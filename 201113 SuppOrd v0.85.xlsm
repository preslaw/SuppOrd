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S:\USERS\mbi\Sprzedaż ZARZ\VBA\Nowy system zamawiania\"/>
    </mc:Choice>
  </mc:AlternateContent>
  <bookViews>
    <workbookView xWindow="0" yWindow="0" windowWidth="28800" windowHeight="12375" tabRatio="848"/>
  </bookViews>
  <sheets>
    <sheet name="ORDER" sheetId="7" r:id="rId1"/>
    <sheet name="Towary_poniżej_stanu_minimalneg" sheetId="1" r:id="rId2"/>
    <sheet name="Towary_na_zamówieniach" sheetId="3" r:id="rId3"/>
    <sheet name="MBI_Dostawcy_towarów" sheetId="2" r:id="rId4"/>
    <sheet name="Towary_i_uslugi" sheetId="8" r:id="rId5"/>
    <sheet name="MBI_LastBuy" sheetId="9" r:id="rId6"/>
    <sheet name="ItemToXLS" sheetId="10" r:id="rId7"/>
  </sheets>
  <definedNames>
    <definedName name="_xlnm._FilterDatabase" localSheetId="0" hidden="1">ORDER!$A$1:$Y$526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" i="7" l="1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2" i="7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V127" i="7"/>
  <c r="V128" i="7"/>
  <c r="V129" i="7"/>
  <c r="V130" i="7"/>
  <c r="V131" i="7"/>
  <c r="V132" i="7"/>
  <c r="V133" i="7"/>
  <c r="V134" i="7"/>
  <c r="V135" i="7"/>
  <c r="V136" i="7"/>
  <c r="V137" i="7"/>
  <c r="V138" i="7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V211" i="7"/>
  <c r="V212" i="7"/>
  <c r="V213" i="7"/>
  <c r="V214" i="7"/>
  <c r="V215" i="7"/>
  <c r="V216" i="7"/>
  <c r="V217" i="7"/>
  <c r="V218" i="7"/>
  <c r="V219" i="7"/>
  <c r="V220" i="7"/>
  <c r="V221" i="7"/>
  <c r="V222" i="7"/>
  <c r="V223" i="7"/>
  <c r="V224" i="7"/>
  <c r="V225" i="7"/>
  <c r="V226" i="7"/>
  <c r="V227" i="7"/>
  <c r="V228" i="7"/>
  <c r="V229" i="7"/>
  <c r="V230" i="7"/>
  <c r="V231" i="7"/>
  <c r="V232" i="7"/>
  <c r="V233" i="7"/>
  <c r="V234" i="7"/>
  <c r="V235" i="7"/>
  <c r="V236" i="7"/>
  <c r="V237" i="7"/>
  <c r="V238" i="7"/>
  <c r="V239" i="7"/>
  <c r="V240" i="7"/>
  <c r="V241" i="7"/>
  <c r="V242" i="7"/>
  <c r="V243" i="7"/>
  <c r="V244" i="7"/>
  <c r="V245" i="7"/>
  <c r="V246" i="7"/>
  <c r="V247" i="7"/>
  <c r="V248" i="7"/>
  <c r="V249" i="7"/>
  <c r="V250" i="7"/>
  <c r="V251" i="7"/>
  <c r="V252" i="7"/>
  <c r="V253" i="7"/>
  <c r="V254" i="7"/>
  <c r="V255" i="7"/>
  <c r="V256" i="7"/>
  <c r="V257" i="7"/>
  <c r="V258" i="7"/>
  <c r="V259" i="7"/>
  <c r="V260" i="7"/>
  <c r="V261" i="7"/>
  <c r="V262" i="7"/>
  <c r="V263" i="7"/>
  <c r="V264" i="7"/>
  <c r="V265" i="7"/>
  <c r="V266" i="7"/>
  <c r="V267" i="7"/>
  <c r="V268" i="7"/>
  <c r="V269" i="7"/>
  <c r="V270" i="7"/>
  <c r="V271" i="7"/>
  <c r="V272" i="7"/>
  <c r="V273" i="7"/>
  <c r="V274" i="7"/>
  <c r="V275" i="7"/>
  <c r="V276" i="7"/>
  <c r="V277" i="7"/>
  <c r="V278" i="7"/>
  <c r="V279" i="7"/>
  <c r="V280" i="7"/>
  <c r="V281" i="7"/>
  <c r="V282" i="7"/>
  <c r="V283" i="7"/>
  <c r="V284" i="7"/>
  <c r="V285" i="7"/>
  <c r="V286" i="7"/>
  <c r="V287" i="7"/>
  <c r="V288" i="7"/>
  <c r="V289" i="7"/>
  <c r="V290" i="7"/>
  <c r="V291" i="7"/>
  <c r="V292" i="7"/>
  <c r="V293" i="7"/>
  <c r="V294" i="7"/>
  <c r="V295" i="7"/>
  <c r="V296" i="7"/>
  <c r="V297" i="7"/>
  <c r="V298" i="7"/>
  <c r="V299" i="7"/>
  <c r="V300" i="7"/>
  <c r="V301" i="7"/>
  <c r="V302" i="7"/>
  <c r="V303" i="7"/>
  <c r="V304" i="7"/>
  <c r="V305" i="7"/>
  <c r="V306" i="7"/>
  <c r="V307" i="7"/>
  <c r="V308" i="7"/>
  <c r="V309" i="7"/>
  <c r="V310" i="7"/>
  <c r="V311" i="7"/>
  <c r="V312" i="7"/>
  <c r="V313" i="7"/>
  <c r="V314" i="7"/>
  <c r="V315" i="7"/>
  <c r="V316" i="7"/>
  <c r="V317" i="7"/>
  <c r="V318" i="7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V343" i="7"/>
  <c r="V344" i="7"/>
  <c r="V345" i="7"/>
  <c r="V346" i="7"/>
  <c r="V347" i="7"/>
  <c r="V348" i="7"/>
  <c r="V349" i="7"/>
  <c r="V350" i="7"/>
  <c r="V351" i="7"/>
  <c r="V352" i="7"/>
  <c r="V353" i="7"/>
  <c r="V354" i="7"/>
  <c r="V355" i="7"/>
  <c r="V356" i="7"/>
  <c r="V357" i="7"/>
  <c r="V358" i="7"/>
  <c r="V359" i="7"/>
  <c r="V360" i="7"/>
  <c r="V361" i="7"/>
  <c r="V362" i="7"/>
  <c r="V363" i="7"/>
  <c r="V364" i="7"/>
  <c r="V365" i="7"/>
  <c r="V366" i="7"/>
  <c r="V367" i="7"/>
  <c r="V368" i="7"/>
  <c r="V369" i="7"/>
  <c r="V370" i="7"/>
  <c r="V371" i="7"/>
  <c r="V372" i="7"/>
  <c r="V373" i="7"/>
  <c r="V374" i="7"/>
  <c r="V375" i="7"/>
  <c r="V376" i="7"/>
  <c r="V377" i="7"/>
  <c r="V378" i="7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407" i="7"/>
  <c r="V408" i="7"/>
  <c r="V409" i="7"/>
  <c r="V410" i="7"/>
  <c r="V411" i="7"/>
  <c r="V412" i="7"/>
  <c r="V413" i="7"/>
  <c r="V414" i="7"/>
  <c r="V415" i="7"/>
  <c r="V416" i="7"/>
  <c r="V417" i="7"/>
  <c r="V418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55" i="7"/>
  <c r="V456" i="7"/>
  <c r="V457" i="7"/>
  <c r="V458" i="7"/>
  <c r="V459" i="7"/>
  <c r="V460" i="7"/>
  <c r="V461" i="7"/>
  <c r="V462" i="7"/>
  <c r="V463" i="7"/>
  <c r="V464" i="7"/>
  <c r="V465" i="7"/>
  <c r="V466" i="7"/>
  <c r="V467" i="7"/>
  <c r="V468" i="7"/>
  <c r="V469" i="7"/>
  <c r="V470" i="7"/>
  <c r="V471" i="7"/>
  <c r="V472" i="7"/>
  <c r="V473" i="7"/>
  <c r="V474" i="7"/>
  <c r="V475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V501" i="7"/>
  <c r="V502" i="7"/>
  <c r="V503" i="7"/>
  <c r="V504" i="7"/>
  <c r="V505" i="7"/>
  <c r="V506" i="7"/>
  <c r="V507" i="7"/>
  <c r="V508" i="7"/>
  <c r="V509" i="7"/>
  <c r="V510" i="7"/>
  <c r="V511" i="7"/>
  <c r="V512" i="7"/>
  <c r="V513" i="7"/>
  <c r="V514" i="7"/>
  <c r="V515" i="7"/>
  <c r="V516" i="7"/>
  <c r="V517" i="7"/>
  <c r="V518" i="7"/>
  <c r="V519" i="7"/>
  <c r="V520" i="7"/>
  <c r="V521" i="7"/>
  <c r="V522" i="7"/>
  <c r="V523" i="7"/>
  <c r="V524" i="7"/>
  <c r="V525" i="7"/>
  <c r="V526" i="7"/>
  <c r="V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2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2" i="7"/>
  <c r="M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454" i="7"/>
  <c r="M455" i="7"/>
  <c r="M456" i="7"/>
  <c r="M457" i="7"/>
  <c r="M458" i="7"/>
  <c r="M459" i="7"/>
  <c r="M460" i="7"/>
  <c r="M461" i="7"/>
  <c r="M462" i="7"/>
  <c r="M463" i="7"/>
  <c r="M464" i="7"/>
  <c r="M465" i="7"/>
  <c r="M466" i="7"/>
  <c r="M467" i="7"/>
  <c r="M468" i="7"/>
  <c r="M469" i="7"/>
  <c r="M470" i="7"/>
  <c r="M471" i="7"/>
  <c r="M472" i="7"/>
  <c r="M473" i="7"/>
  <c r="M474" i="7"/>
  <c r="M475" i="7"/>
  <c r="M476" i="7"/>
  <c r="M477" i="7"/>
  <c r="M478" i="7"/>
  <c r="M479" i="7"/>
  <c r="M480" i="7"/>
  <c r="M481" i="7"/>
  <c r="M482" i="7"/>
  <c r="M483" i="7"/>
  <c r="M484" i="7"/>
  <c r="M485" i="7"/>
  <c r="M486" i="7"/>
  <c r="M487" i="7"/>
  <c r="M488" i="7"/>
  <c r="M489" i="7"/>
  <c r="M490" i="7"/>
  <c r="M491" i="7"/>
  <c r="M492" i="7"/>
  <c r="M493" i="7"/>
  <c r="M494" i="7"/>
  <c r="M495" i="7"/>
  <c r="M496" i="7"/>
  <c r="M497" i="7"/>
  <c r="M498" i="7"/>
  <c r="M499" i="7"/>
  <c r="M500" i="7"/>
  <c r="M501" i="7"/>
  <c r="M502" i="7"/>
  <c r="M503" i="7"/>
  <c r="M504" i="7"/>
  <c r="M505" i="7"/>
  <c r="M506" i="7"/>
  <c r="M507" i="7"/>
  <c r="M508" i="7"/>
  <c r="M509" i="7"/>
  <c r="M510" i="7"/>
  <c r="M511" i="7"/>
  <c r="M512" i="7"/>
  <c r="M513" i="7"/>
  <c r="M514" i="7"/>
  <c r="M515" i="7"/>
  <c r="M516" i="7"/>
  <c r="M517" i="7"/>
  <c r="M518" i="7"/>
  <c r="M519" i="7"/>
  <c r="M520" i="7"/>
  <c r="M521" i="7"/>
  <c r="M522" i="7"/>
  <c r="M523" i="7"/>
  <c r="M524" i="7"/>
  <c r="M525" i="7"/>
  <c r="M526" i="7"/>
  <c r="M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2" i="7"/>
  <c r="K3" i="7"/>
  <c r="P3" i="7" s="1"/>
  <c r="K4" i="7"/>
  <c r="P4" i="7" s="1"/>
  <c r="K5" i="7"/>
  <c r="P5" i="7" s="1"/>
  <c r="K6" i="7"/>
  <c r="P6" i="7" s="1"/>
  <c r="K7" i="7"/>
  <c r="P7" i="7" s="1"/>
  <c r="K8" i="7"/>
  <c r="P8" i="7" s="1"/>
  <c r="K9" i="7"/>
  <c r="P9" i="7" s="1"/>
  <c r="K10" i="7"/>
  <c r="P10" i="7" s="1"/>
  <c r="K11" i="7"/>
  <c r="P11" i="7" s="1"/>
  <c r="K12" i="7"/>
  <c r="P12" i="7" s="1"/>
  <c r="K13" i="7"/>
  <c r="P13" i="7" s="1"/>
  <c r="K14" i="7"/>
  <c r="P14" i="7" s="1"/>
  <c r="K15" i="7"/>
  <c r="P15" i="7" s="1"/>
  <c r="K16" i="7"/>
  <c r="P16" i="7" s="1"/>
  <c r="K17" i="7"/>
  <c r="P17" i="7" s="1"/>
  <c r="K18" i="7"/>
  <c r="P18" i="7" s="1"/>
  <c r="K19" i="7"/>
  <c r="P19" i="7" s="1"/>
  <c r="K20" i="7"/>
  <c r="P20" i="7" s="1"/>
  <c r="K21" i="7"/>
  <c r="P21" i="7" s="1"/>
  <c r="K22" i="7"/>
  <c r="P22" i="7" s="1"/>
  <c r="K23" i="7"/>
  <c r="P23" i="7" s="1"/>
  <c r="K24" i="7"/>
  <c r="P24" i="7" s="1"/>
  <c r="K25" i="7"/>
  <c r="P25" i="7" s="1"/>
  <c r="K26" i="7"/>
  <c r="P26" i="7" s="1"/>
  <c r="K27" i="7"/>
  <c r="P27" i="7" s="1"/>
  <c r="K28" i="7"/>
  <c r="P28" i="7" s="1"/>
  <c r="K29" i="7"/>
  <c r="P29" i="7" s="1"/>
  <c r="K30" i="7"/>
  <c r="P30" i="7" s="1"/>
  <c r="K31" i="7"/>
  <c r="P31" i="7" s="1"/>
  <c r="K32" i="7"/>
  <c r="P32" i="7" s="1"/>
  <c r="K33" i="7"/>
  <c r="P33" i="7" s="1"/>
  <c r="K34" i="7"/>
  <c r="P34" i="7" s="1"/>
  <c r="K35" i="7"/>
  <c r="P35" i="7" s="1"/>
  <c r="K36" i="7"/>
  <c r="P36" i="7" s="1"/>
  <c r="K37" i="7"/>
  <c r="P37" i="7" s="1"/>
  <c r="K38" i="7"/>
  <c r="P38" i="7" s="1"/>
  <c r="K39" i="7"/>
  <c r="P39" i="7" s="1"/>
  <c r="K40" i="7"/>
  <c r="P40" i="7" s="1"/>
  <c r="K41" i="7"/>
  <c r="P41" i="7" s="1"/>
  <c r="K42" i="7"/>
  <c r="P42" i="7" s="1"/>
  <c r="K43" i="7"/>
  <c r="P43" i="7" s="1"/>
  <c r="K44" i="7"/>
  <c r="P44" i="7" s="1"/>
  <c r="K45" i="7"/>
  <c r="P45" i="7" s="1"/>
  <c r="K46" i="7"/>
  <c r="P46" i="7" s="1"/>
  <c r="K47" i="7"/>
  <c r="P47" i="7" s="1"/>
  <c r="K48" i="7"/>
  <c r="P48" i="7" s="1"/>
  <c r="K49" i="7"/>
  <c r="P49" i="7" s="1"/>
  <c r="K50" i="7"/>
  <c r="P50" i="7" s="1"/>
  <c r="K51" i="7"/>
  <c r="P51" i="7" s="1"/>
  <c r="K52" i="7"/>
  <c r="P52" i="7" s="1"/>
  <c r="K53" i="7"/>
  <c r="P53" i="7" s="1"/>
  <c r="K54" i="7"/>
  <c r="P54" i="7" s="1"/>
  <c r="K55" i="7"/>
  <c r="P55" i="7" s="1"/>
  <c r="K56" i="7"/>
  <c r="P56" i="7" s="1"/>
  <c r="K57" i="7"/>
  <c r="P57" i="7" s="1"/>
  <c r="K58" i="7"/>
  <c r="P58" i="7" s="1"/>
  <c r="K59" i="7"/>
  <c r="P59" i="7" s="1"/>
  <c r="K60" i="7"/>
  <c r="P60" i="7" s="1"/>
  <c r="K61" i="7"/>
  <c r="P61" i="7" s="1"/>
  <c r="K62" i="7"/>
  <c r="P62" i="7" s="1"/>
  <c r="K63" i="7"/>
  <c r="P63" i="7" s="1"/>
  <c r="K64" i="7"/>
  <c r="P64" i="7" s="1"/>
  <c r="K65" i="7"/>
  <c r="P65" i="7" s="1"/>
  <c r="K66" i="7"/>
  <c r="P66" i="7" s="1"/>
  <c r="K67" i="7"/>
  <c r="P67" i="7" s="1"/>
  <c r="K68" i="7"/>
  <c r="P68" i="7" s="1"/>
  <c r="K69" i="7"/>
  <c r="P69" i="7" s="1"/>
  <c r="K70" i="7"/>
  <c r="P70" i="7" s="1"/>
  <c r="K71" i="7"/>
  <c r="P71" i="7" s="1"/>
  <c r="K72" i="7"/>
  <c r="P72" i="7" s="1"/>
  <c r="K73" i="7"/>
  <c r="P73" i="7" s="1"/>
  <c r="K74" i="7"/>
  <c r="P74" i="7" s="1"/>
  <c r="K75" i="7"/>
  <c r="P75" i="7" s="1"/>
  <c r="K76" i="7"/>
  <c r="P76" i="7" s="1"/>
  <c r="K77" i="7"/>
  <c r="P77" i="7" s="1"/>
  <c r="K78" i="7"/>
  <c r="P78" i="7" s="1"/>
  <c r="K79" i="7"/>
  <c r="P79" i="7" s="1"/>
  <c r="K80" i="7"/>
  <c r="P80" i="7" s="1"/>
  <c r="K81" i="7"/>
  <c r="P81" i="7" s="1"/>
  <c r="K82" i="7"/>
  <c r="P82" i="7" s="1"/>
  <c r="K83" i="7"/>
  <c r="P83" i="7" s="1"/>
  <c r="K84" i="7"/>
  <c r="P84" i="7" s="1"/>
  <c r="K85" i="7"/>
  <c r="P85" i="7" s="1"/>
  <c r="K86" i="7"/>
  <c r="P86" i="7" s="1"/>
  <c r="K87" i="7"/>
  <c r="P87" i="7" s="1"/>
  <c r="K88" i="7"/>
  <c r="P88" i="7" s="1"/>
  <c r="K89" i="7"/>
  <c r="P89" i="7" s="1"/>
  <c r="K90" i="7"/>
  <c r="P90" i="7" s="1"/>
  <c r="K91" i="7"/>
  <c r="P91" i="7" s="1"/>
  <c r="K92" i="7"/>
  <c r="P92" i="7" s="1"/>
  <c r="K93" i="7"/>
  <c r="P93" i="7" s="1"/>
  <c r="K94" i="7"/>
  <c r="P94" i="7" s="1"/>
  <c r="K95" i="7"/>
  <c r="P95" i="7" s="1"/>
  <c r="K96" i="7"/>
  <c r="P96" i="7" s="1"/>
  <c r="K97" i="7"/>
  <c r="P97" i="7" s="1"/>
  <c r="K98" i="7"/>
  <c r="P98" i="7" s="1"/>
  <c r="K99" i="7"/>
  <c r="P99" i="7" s="1"/>
  <c r="K100" i="7"/>
  <c r="P100" i="7" s="1"/>
  <c r="K101" i="7"/>
  <c r="P101" i="7" s="1"/>
  <c r="K102" i="7"/>
  <c r="P102" i="7" s="1"/>
  <c r="K103" i="7"/>
  <c r="P103" i="7" s="1"/>
  <c r="K104" i="7"/>
  <c r="P104" i="7" s="1"/>
  <c r="K105" i="7"/>
  <c r="P105" i="7" s="1"/>
  <c r="K106" i="7"/>
  <c r="P106" i="7" s="1"/>
  <c r="K107" i="7"/>
  <c r="P107" i="7" s="1"/>
  <c r="K108" i="7"/>
  <c r="P108" i="7" s="1"/>
  <c r="K109" i="7"/>
  <c r="P109" i="7" s="1"/>
  <c r="K110" i="7"/>
  <c r="P110" i="7" s="1"/>
  <c r="K111" i="7"/>
  <c r="P111" i="7" s="1"/>
  <c r="K112" i="7"/>
  <c r="P112" i="7" s="1"/>
  <c r="K113" i="7"/>
  <c r="P113" i="7" s="1"/>
  <c r="K114" i="7"/>
  <c r="P114" i="7" s="1"/>
  <c r="K115" i="7"/>
  <c r="P115" i="7" s="1"/>
  <c r="K116" i="7"/>
  <c r="P116" i="7" s="1"/>
  <c r="K117" i="7"/>
  <c r="P117" i="7" s="1"/>
  <c r="K118" i="7"/>
  <c r="P118" i="7" s="1"/>
  <c r="K119" i="7"/>
  <c r="P119" i="7" s="1"/>
  <c r="K120" i="7"/>
  <c r="P120" i="7" s="1"/>
  <c r="K121" i="7"/>
  <c r="P121" i="7" s="1"/>
  <c r="K122" i="7"/>
  <c r="P122" i="7" s="1"/>
  <c r="K123" i="7"/>
  <c r="P123" i="7" s="1"/>
  <c r="K124" i="7"/>
  <c r="P124" i="7" s="1"/>
  <c r="K125" i="7"/>
  <c r="P125" i="7" s="1"/>
  <c r="K126" i="7"/>
  <c r="P126" i="7" s="1"/>
  <c r="K127" i="7"/>
  <c r="P127" i="7" s="1"/>
  <c r="K128" i="7"/>
  <c r="P128" i="7" s="1"/>
  <c r="K129" i="7"/>
  <c r="P129" i="7" s="1"/>
  <c r="K130" i="7"/>
  <c r="P130" i="7" s="1"/>
  <c r="K131" i="7"/>
  <c r="P131" i="7" s="1"/>
  <c r="K132" i="7"/>
  <c r="P132" i="7" s="1"/>
  <c r="K133" i="7"/>
  <c r="P133" i="7" s="1"/>
  <c r="K134" i="7"/>
  <c r="P134" i="7" s="1"/>
  <c r="K135" i="7"/>
  <c r="P135" i="7" s="1"/>
  <c r="K136" i="7"/>
  <c r="P136" i="7" s="1"/>
  <c r="K137" i="7"/>
  <c r="P137" i="7" s="1"/>
  <c r="K138" i="7"/>
  <c r="P138" i="7" s="1"/>
  <c r="K139" i="7"/>
  <c r="P139" i="7" s="1"/>
  <c r="K140" i="7"/>
  <c r="P140" i="7" s="1"/>
  <c r="K141" i="7"/>
  <c r="P141" i="7" s="1"/>
  <c r="K142" i="7"/>
  <c r="P142" i="7" s="1"/>
  <c r="K143" i="7"/>
  <c r="P143" i="7" s="1"/>
  <c r="K144" i="7"/>
  <c r="P144" i="7" s="1"/>
  <c r="K145" i="7"/>
  <c r="P145" i="7" s="1"/>
  <c r="K146" i="7"/>
  <c r="P146" i="7" s="1"/>
  <c r="K147" i="7"/>
  <c r="P147" i="7" s="1"/>
  <c r="K148" i="7"/>
  <c r="P148" i="7" s="1"/>
  <c r="K149" i="7"/>
  <c r="P149" i="7" s="1"/>
  <c r="K150" i="7"/>
  <c r="P150" i="7" s="1"/>
  <c r="K151" i="7"/>
  <c r="P151" i="7" s="1"/>
  <c r="K152" i="7"/>
  <c r="P152" i="7" s="1"/>
  <c r="K153" i="7"/>
  <c r="P153" i="7" s="1"/>
  <c r="K154" i="7"/>
  <c r="P154" i="7" s="1"/>
  <c r="K155" i="7"/>
  <c r="P155" i="7" s="1"/>
  <c r="K156" i="7"/>
  <c r="P156" i="7" s="1"/>
  <c r="K157" i="7"/>
  <c r="P157" i="7" s="1"/>
  <c r="K158" i="7"/>
  <c r="P158" i="7" s="1"/>
  <c r="K159" i="7"/>
  <c r="P159" i="7" s="1"/>
  <c r="K160" i="7"/>
  <c r="P160" i="7" s="1"/>
  <c r="K161" i="7"/>
  <c r="P161" i="7" s="1"/>
  <c r="K162" i="7"/>
  <c r="P162" i="7" s="1"/>
  <c r="K163" i="7"/>
  <c r="P163" i="7" s="1"/>
  <c r="K164" i="7"/>
  <c r="P164" i="7" s="1"/>
  <c r="K165" i="7"/>
  <c r="P165" i="7" s="1"/>
  <c r="K166" i="7"/>
  <c r="P166" i="7" s="1"/>
  <c r="K167" i="7"/>
  <c r="P167" i="7" s="1"/>
  <c r="K168" i="7"/>
  <c r="P168" i="7" s="1"/>
  <c r="K169" i="7"/>
  <c r="P169" i="7" s="1"/>
  <c r="K170" i="7"/>
  <c r="P170" i="7" s="1"/>
  <c r="K171" i="7"/>
  <c r="P171" i="7" s="1"/>
  <c r="K172" i="7"/>
  <c r="P172" i="7" s="1"/>
  <c r="K173" i="7"/>
  <c r="P173" i="7" s="1"/>
  <c r="K174" i="7"/>
  <c r="P174" i="7" s="1"/>
  <c r="K175" i="7"/>
  <c r="P175" i="7" s="1"/>
  <c r="K176" i="7"/>
  <c r="P176" i="7" s="1"/>
  <c r="K177" i="7"/>
  <c r="P177" i="7" s="1"/>
  <c r="K178" i="7"/>
  <c r="P178" i="7" s="1"/>
  <c r="K179" i="7"/>
  <c r="P179" i="7" s="1"/>
  <c r="K180" i="7"/>
  <c r="P180" i="7" s="1"/>
  <c r="K181" i="7"/>
  <c r="P181" i="7" s="1"/>
  <c r="K182" i="7"/>
  <c r="P182" i="7" s="1"/>
  <c r="K183" i="7"/>
  <c r="P183" i="7" s="1"/>
  <c r="K184" i="7"/>
  <c r="P184" i="7" s="1"/>
  <c r="K185" i="7"/>
  <c r="P185" i="7" s="1"/>
  <c r="K186" i="7"/>
  <c r="P186" i="7" s="1"/>
  <c r="K187" i="7"/>
  <c r="P187" i="7" s="1"/>
  <c r="K188" i="7"/>
  <c r="P188" i="7" s="1"/>
  <c r="K189" i="7"/>
  <c r="P189" i="7" s="1"/>
  <c r="K190" i="7"/>
  <c r="P190" i="7" s="1"/>
  <c r="K191" i="7"/>
  <c r="P191" i="7" s="1"/>
  <c r="K192" i="7"/>
  <c r="P192" i="7" s="1"/>
  <c r="K193" i="7"/>
  <c r="P193" i="7" s="1"/>
  <c r="K194" i="7"/>
  <c r="P194" i="7" s="1"/>
  <c r="K195" i="7"/>
  <c r="P195" i="7" s="1"/>
  <c r="K196" i="7"/>
  <c r="P196" i="7" s="1"/>
  <c r="K197" i="7"/>
  <c r="P197" i="7" s="1"/>
  <c r="K198" i="7"/>
  <c r="P198" i="7" s="1"/>
  <c r="K199" i="7"/>
  <c r="P199" i="7" s="1"/>
  <c r="K200" i="7"/>
  <c r="P200" i="7" s="1"/>
  <c r="K201" i="7"/>
  <c r="P201" i="7" s="1"/>
  <c r="K202" i="7"/>
  <c r="P202" i="7" s="1"/>
  <c r="K203" i="7"/>
  <c r="P203" i="7" s="1"/>
  <c r="K204" i="7"/>
  <c r="P204" i="7" s="1"/>
  <c r="K205" i="7"/>
  <c r="P205" i="7" s="1"/>
  <c r="K206" i="7"/>
  <c r="P206" i="7" s="1"/>
  <c r="K207" i="7"/>
  <c r="P207" i="7" s="1"/>
  <c r="K208" i="7"/>
  <c r="P208" i="7" s="1"/>
  <c r="K209" i="7"/>
  <c r="P209" i="7" s="1"/>
  <c r="K210" i="7"/>
  <c r="P210" i="7" s="1"/>
  <c r="K211" i="7"/>
  <c r="P211" i="7" s="1"/>
  <c r="K212" i="7"/>
  <c r="P212" i="7" s="1"/>
  <c r="K213" i="7"/>
  <c r="P213" i="7" s="1"/>
  <c r="K214" i="7"/>
  <c r="P214" i="7" s="1"/>
  <c r="K215" i="7"/>
  <c r="P215" i="7" s="1"/>
  <c r="K216" i="7"/>
  <c r="P216" i="7" s="1"/>
  <c r="K217" i="7"/>
  <c r="P217" i="7" s="1"/>
  <c r="K218" i="7"/>
  <c r="P218" i="7" s="1"/>
  <c r="K219" i="7"/>
  <c r="P219" i="7" s="1"/>
  <c r="K220" i="7"/>
  <c r="P220" i="7" s="1"/>
  <c r="K221" i="7"/>
  <c r="P221" i="7" s="1"/>
  <c r="K222" i="7"/>
  <c r="P222" i="7" s="1"/>
  <c r="K223" i="7"/>
  <c r="P223" i="7" s="1"/>
  <c r="K224" i="7"/>
  <c r="P224" i="7" s="1"/>
  <c r="K225" i="7"/>
  <c r="P225" i="7" s="1"/>
  <c r="K226" i="7"/>
  <c r="P226" i="7" s="1"/>
  <c r="K227" i="7"/>
  <c r="P227" i="7" s="1"/>
  <c r="K228" i="7"/>
  <c r="P228" i="7" s="1"/>
  <c r="K229" i="7"/>
  <c r="P229" i="7" s="1"/>
  <c r="K230" i="7"/>
  <c r="P230" i="7" s="1"/>
  <c r="K231" i="7"/>
  <c r="P231" i="7" s="1"/>
  <c r="K232" i="7"/>
  <c r="P232" i="7" s="1"/>
  <c r="K233" i="7"/>
  <c r="P233" i="7" s="1"/>
  <c r="K234" i="7"/>
  <c r="P234" i="7" s="1"/>
  <c r="K235" i="7"/>
  <c r="P235" i="7" s="1"/>
  <c r="K236" i="7"/>
  <c r="P236" i="7" s="1"/>
  <c r="K237" i="7"/>
  <c r="P237" i="7" s="1"/>
  <c r="K238" i="7"/>
  <c r="P238" i="7" s="1"/>
  <c r="K239" i="7"/>
  <c r="P239" i="7" s="1"/>
  <c r="K240" i="7"/>
  <c r="P240" i="7" s="1"/>
  <c r="K241" i="7"/>
  <c r="P241" i="7" s="1"/>
  <c r="K242" i="7"/>
  <c r="P242" i="7" s="1"/>
  <c r="K243" i="7"/>
  <c r="P243" i="7" s="1"/>
  <c r="K244" i="7"/>
  <c r="P244" i="7" s="1"/>
  <c r="K245" i="7"/>
  <c r="P245" i="7" s="1"/>
  <c r="K246" i="7"/>
  <c r="P246" i="7" s="1"/>
  <c r="K247" i="7"/>
  <c r="P247" i="7" s="1"/>
  <c r="K248" i="7"/>
  <c r="P248" i="7" s="1"/>
  <c r="K249" i="7"/>
  <c r="P249" i="7" s="1"/>
  <c r="K250" i="7"/>
  <c r="P250" i="7" s="1"/>
  <c r="K251" i="7"/>
  <c r="P251" i="7" s="1"/>
  <c r="K252" i="7"/>
  <c r="P252" i="7" s="1"/>
  <c r="K253" i="7"/>
  <c r="P253" i="7" s="1"/>
  <c r="K254" i="7"/>
  <c r="P254" i="7" s="1"/>
  <c r="K255" i="7"/>
  <c r="P255" i="7" s="1"/>
  <c r="K256" i="7"/>
  <c r="P256" i="7" s="1"/>
  <c r="K257" i="7"/>
  <c r="P257" i="7" s="1"/>
  <c r="K258" i="7"/>
  <c r="P258" i="7" s="1"/>
  <c r="K259" i="7"/>
  <c r="P259" i="7" s="1"/>
  <c r="K260" i="7"/>
  <c r="P260" i="7" s="1"/>
  <c r="K261" i="7"/>
  <c r="P261" i="7" s="1"/>
  <c r="K262" i="7"/>
  <c r="P262" i="7" s="1"/>
  <c r="K263" i="7"/>
  <c r="P263" i="7" s="1"/>
  <c r="K264" i="7"/>
  <c r="P264" i="7" s="1"/>
  <c r="K265" i="7"/>
  <c r="P265" i="7" s="1"/>
  <c r="K266" i="7"/>
  <c r="P266" i="7" s="1"/>
  <c r="K267" i="7"/>
  <c r="P267" i="7" s="1"/>
  <c r="K268" i="7"/>
  <c r="P268" i="7" s="1"/>
  <c r="K269" i="7"/>
  <c r="P269" i="7" s="1"/>
  <c r="K270" i="7"/>
  <c r="P270" i="7" s="1"/>
  <c r="K271" i="7"/>
  <c r="P271" i="7" s="1"/>
  <c r="K272" i="7"/>
  <c r="P272" i="7" s="1"/>
  <c r="K273" i="7"/>
  <c r="P273" i="7" s="1"/>
  <c r="K274" i="7"/>
  <c r="P274" i="7" s="1"/>
  <c r="K275" i="7"/>
  <c r="P275" i="7" s="1"/>
  <c r="K276" i="7"/>
  <c r="P276" i="7" s="1"/>
  <c r="K277" i="7"/>
  <c r="P277" i="7" s="1"/>
  <c r="K278" i="7"/>
  <c r="P278" i="7" s="1"/>
  <c r="K279" i="7"/>
  <c r="P279" i="7" s="1"/>
  <c r="K280" i="7"/>
  <c r="P280" i="7" s="1"/>
  <c r="K281" i="7"/>
  <c r="P281" i="7" s="1"/>
  <c r="K282" i="7"/>
  <c r="P282" i="7" s="1"/>
  <c r="K283" i="7"/>
  <c r="P283" i="7" s="1"/>
  <c r="K284" i="7"/>
  <c r="P284" i="7" s="1"/>
  <c r="K285" i="7"/>
  <c r="P285" i="7" s="1"/>
  <c r="K286" i="7"/>
  <c r="P286" i="7" s="1"/>
  <c r="K287" i="7"/>
  <c r="P287" i="7" s="1"/>
  <c r="K288" i="7"/>
  <c r="P288" i="7" s="1"/>
  <c r="K289" i="7"/>
  <c r="P289" i="7" s="1"/>
  <c r="K290" i="7"/>
  <c r="P290" i="7" s="1"/>
  <c r="K291" i="7"/>
  <c r="P291" i="7" s="1"/>
  <c r="K292" i="7"/>
  <c r="P292" i="7" s="1"/>
  <c r="K293" i="7"/>
  <c r="P293" i="7" s="1"/>
  <c r="K294" i="7"/>
  <c r="P294" i="7" s="1"/>
  <c r="K295" i="7"/>
  <c r="P295" i="7" s="1"/>
  <c r="K296" i="7"/>
  <c r="P296" i="7" s="1"/>
  <c r="K297" i="7"/>
  <c r="P297" i="7" s="1"/>
  <c r="K298" i="7"/>
  <c r="P298" i="7" s="1"/>
  <c r="K299" i="7"/>
  <c r="P299" i="7" s="1"/>
  <c r="K300" i="7"/>
  <c r="P300" i="7" s="1"/>
  <c r="K301" i="7"/>
  <c r="P301" i="7" s="1"/>
  <c r="K302" i="7"/>
  <c r="P302" i="7" s="1"/>
  <c r="K303" i="7"/>
  <c r="P303" i="7" s="1"/>
  <c r="K304" i="7"/>
  <c r="P304" i="7" s="1"/>
  <c r="K305" i="7"/>
  <c r="P305" i="7" s="1"/>
  <c r="K306" i="7"/>
  <c r="P306" i="7" s="1"/>
  <c r="K307" i="7"/>
  <c r="P307" i="7" s="1"/>
  <c r="K308" i="7"/>
  <c r="P308" i="7" s="1"/>
  <c r="K309" i="7"/>
  <c r="P309" i="7" s="1"/>
  <c r="K310" i="7"/>
  <c r="P310" i="7" s="1"/>
  <c r="K311" i="7"/>
  <c r="P311" i="7" s="1"/>
  <c r="K312" i="7"/>
  <c r="P312" i="7" s="1"/>
  <c r="K313" i="7"/>
  <c r="P313" i="7" s="1"/>
  <c r="K314" i="7"/>
  <c r="P314" i="7" s="1"/>
  <c r="K315" i="7"/>
  <c r="P315" i="7" s="1"/>
  <c r="K316" i="7"/>
  <c r="P316" i="7" s="1"/>
  <c r="K317" i="7"/>
  <c r="P317" i="7" s="1"/>
  <c r="K318" i="7"/>
  <c r="P318" i="7" s="1"/>
  <c r="K319" i="7"/>
  <c r="P319" i="7" s="1"/>
  <c r="K320" i="7"/>
  <c r="P320" i="7" s="1"/>
  <c r="K321" i="7"/>
  <c r="P321" i="7" s="1"/>
  <c r="K322" i="7"/>
  <c r="P322" i="7" s="1"/>
  <c r="K323" i="7"/>
  <c r="P323" i="7" s="1"/>
  <c r="K324" i="7"/>
  <c r="P324" i="7" s="1"/>
  <c r="K325" i="7"/>
  <c r="P325" i="7" s="1"/>
  <c r="K326" i="7"/>
  <c r="P326" i="7" s="1"/>
  <c r="K327" i="7"/>
  <c r="P327" i="7" s="1"/>
  <c r="K328" i="7"/>
  <c r="P328" i="7" s="1"/>
  <c r="K329" i="7"/>
  <c r="P329" i="7" s="1"/>
  <c r="K330" i="7"/>
  <c r="P330" i="7" s="1"/>
  <c r="K331" i="7"/>
  <c r="P331" i="7" s="1"/>
  <c r="K332" i="7"/>
  <c r="P332" i="7" s="1"/>
  <c r="K333" i="7"/>
  <c r="P333" i="7" s="1"/>
  <c r="K334" i="7"/>
  <c r="P334" i="7" s="1"/>
  <c r="K335" i="7"/>
  <c r="P335" i="7" s="1"/>
  <c r="K336" i="7"/>
  <c r="P336" i="7" s="1"/>
  <c r="K337" i="7"/>
  <c r="P337" i="7" s="1"/>
  <c r="K338" i="7"/>
  <c r="P338" i="7" s="1"/>
  <c r="K339" i="7"/>
  <c r="P339" i="7" s="1"/>
  <c r="K340" i="7"/>
  <c r="P340" i="7" s="1"/>
  <c r="K341" i="7"/>
  <c r="P341" i="7" s="1"/>
  <c r="K342" i="7"/>
  <c r="P342" i="7" s="1"/>
  <c r="K343" i="7"/>
  <c r="P343" i="7" s="1"/>
  <c r="K344" i="7"/>
  <c r="P344" i="7" s="1"/>
  <c r="K345" i="7"/>
  <c r="P345" i="7" s="1"/>
  <c r="K346" i="7"/>
  <c r="P346" i="7" s="1"/>
  <c r="K347" i="7"/>
  <c r="P347" i="7" s="1"/>
  <c r="K348" i="7"/>
  <c r="P348" i="7" s="1"/>
  <c r="K349" i="7"/>
  <c r="P349" i="7" s="1"/>
  <c r="K350" i="7"/>
  <c r="P350" i="7" s="1"/>
  <c r="K351" i="7"/>
  <c r="P351" i="7" s="1"/>
  <c r="K352" i="7"/>
  <c r="P352" i="7" s="1"/>
  <c r="K353" i="7"/>
  <c r="P353" i="7" s="1"/>
  <c r="K354" i="7"/>
  <c r="P354" i="7" s="1"/>
  <c r="K355" i="7"/>
  <c r="P355" i="7" s="1"/>
  <c r="K356" i="7"/>
  <c r="P356" i="7" s="1"/>
  <c r="K357" i="7"/>
  <c r="P357" i="7" s="1"/>
  <c r="K358" i="7"/>
  <c r="P358" i="7" s="1"/>
  <c r="K359" i="7"/>
  <c r="P359" i="7" s="1"/>
  <c r="K360" i="7"/>
  <c r="P360" i="7" s="1"/>
  <c r="K361" i="7"/>
  <c r="P361" i="7" s="1"/>
  <c r="K362" i="7"/>
  <c r="P362" i="7" s="1"/>
  <c r="K363" i="7"/>
  <c r="P363" i="7" s="1"/>
  <c r="K364" i="7"/>
  <c r="P364" i="7" s="1"/>
  <c r="K365" i="7"/>
  <c r="P365" i="7" s="1"/>
  <c r="K366" i="7"/>
  <c r="P366" i="7" s="1"/>
  <c r="K367" i="7"/>
  <c r="P367" i="7" s="1"/>
  <c r="K368" i="7"/>
  <c r="P368" i="7" s="1"/>
  <c r="K369" i="7"/>
  <c r="P369" i="7" s="1"/>
  <c r="K370" i="7"/>
  <c r="P370" i="7" s="1"/>
  <c r="K371" i="7"/>
  <c r="P371" i="7" s="1"/>
  <c r="K372" i="7"/>
  <c r="P372" i="7" s="1"/>
  <c r="K373" i="7"/>
  <c r="P373" i="7" s="1"/>
  <c r="K374" i="7"/>
  <c r="P374" i="7" s="1"/>
  <c r="K375" i="7"/>
  <c r="P375" i="7" s="1"/>
  <c r="K376" i="7"/>
  <c r="P376" i="7" s="1"/>
  <c r="K377" i="7"/>
  <c r="P377" i="7" s="1"/>
  <c r="K378" i="7"/>
  <c r="P378" i="7" s="1"/>
  <c r="K379" i="7"/>
  <c r="P379" i="7" s="1"/>
  <c r="K380" i="7"/>
  <c r="P380" i="7" s="1"/>
  <c r="K381" i="7"/>
  <c r="P381" i="7" s="1"/>
  <c r="K382" i="7"/>
  <c r="P382" i="7" s="1"/>
  <c r="K383" i="7"/>
  <c r="P383" i="7" s="1"/>
  <c r="K384" i="7"/>
  <c r="P384" i="7" s="1"/>
  <c r="K385" i="7"/>
  <c r="P385" i="7" s="1"/>
  <c r="K386" i="7"/>
  <c r="P386" i="7" s="1"/>
  <c r="K387" i="7"/>
  <c r="P387" i="7" s="1"/>
  <c r="K388" i="7"/>
  <c r="P388" i="7" s="1"/>
  <c r="K389" i="7"/>
  <c r="P389" i="7" s="1"/>
  <c r="K390" i="7"/>
  <c r="P390" i="7" s="1"/>
  <c r="K391" i="7"/>
  <c r="P391" i="7" s="1"/>
  <c r="K392" i="7"/>
  <c r="P392" i="7" s="1"/>
  <c r="K393" i="7"/>
  <c r="P393" i="7" s="1"/>
  <c r="K394" i="7"/>
  <c r="P394" i="7" s="1"/>
  <c r="K395" i="7"/>
  <c r="P395" i="7" s="1"/>
  <c r="K396" i="7"/>
  <c r="P396" i="7" s="1"/>
  <c r="K397" i="7"/>
  <c r="P397" i="7" s="1"/>
  <c r="K398" i="7"/>
  <c r="P398" i="7" s="1"/>
  <c r="K399" i="7"/>
  <c r="P399" i="7" s="1"/>
  <c r="K400" i="7"/>
  <c r="P400" i="7" s="1"/>
  <c r="K401" i="7"/>
  <c r="P401" i="7" s="1"/>
  <c r="K402" i="7"/>
  <c r="P402" i="7" s="1"/>
  <c r="K403" i="7"/>
  <c r="P403" i="7" s="1"/>
  <c r="K404" i="7"/>
  <c r="P404" i="7" s="1"/>
  <c r="K405" i="7"/>
  <c r="P405" i="7" s="1"/>
  <c r="K406" i="7"/>
  <c r="P406" i="7" s="1"/>
  <c r="K407" i="7"/>
  <c r="P407" i="7" s="1"/>
  <c r="K408" i="7"/>
  <c r="P408" i="7" s="1"/>
  <c r="K409" i="7"/>
  <c r="P409" i="7" s="1"/>
  <c r="K410" i="7"/>
  <c r="P410" i="7" s="1"/>
  <c r="K411" i="7"/>
  <c r="P411" i="7" s="1"/>
  <c r="K412" i="7"/>
  <c r="P412" i="7" s="1"/>
  <c r="K413" i="7"/>
  <c r="P413" i="7" s="1"/>
  <c r="K414" i="7"/>
  <c r="P414" i="7" s="1"/>
  <c r="K415" i="7"/>
  <c r="P415" i="7" s="1"/>
  <c r="K416" i="7"/>
  <c r="P416" i="7" s="1"/>
  <c r="K417" i="7"/>
  <c r="P417" i="7" s="1"/>
  <c r="K418" i="7"/>
  <c r="P418" i="7" s="1"/>
  <c r="K419" i="7"/>
  <c r="P419" i="7" s="1"/>
  <c r="K420" i="7"/>
  <c r="P420" i="7" s="1"/>
  <c r="K421" i="7"/>
  <c r="P421" i="7" s="1"/>
  <c r="K422" i="7"/>
  <c r="P422" i="7" s="1"/>
  <c r="K423" i="7"/>
  <c r="P423" i="7" s="1"/>
  <c r="K424" i="7"/>
  <c r="P424" i="7" s="1"/>
  <c r="K425" i="7"/>
  <c r="P425" i="7" s="1"/>
  <c r="K426" i="7"/>
  <c r="P426" i="7" s="1"/>
  <c r="K427" i="7"/>
  <c r="P427" i="7" s="1"/>
  <c r="K428" i="7"/>
  <c r="P428" i="7" s="1"/>
  <c r="K429" i="7"/>
  <c r="P429" i="7" s="1"/>
  <c r="K430" i="7"/>
  <c r="P430" i="7" s="1"/>
  <c r="K431" i="7"/>
  <c r="P431" i="7" s="1"/>
  <c r="K432" i="7"/>
  <c r="P432" i="7" s="1"/>
  <c r="K433" i="7"/>
  <c r="P433" i="7" s="1"/>
  <c r="K434" i="7"/>
  <c r="P434" i="7" s="1"/>
  <c r="K435" i="7"/>
  <c r="P435" i="7" s="1"/>
  <c r="K436" i="7"/>
  <c r="P436" i="7" s="1"/>
  <c r="K437" i="7"/>
  <c r="P437" i="7" s="1"/>
  <c r="K438" i="7"/>
  <c r="P438" i="7" s="1"/>
  <c r="K439" i="7"/>
  <c r="P439" i="7" s="1"/>
  <c r="K440" i="7"/>
  <c r="P440" i="7" s="1"/>
  <c r="K441" i="7"/>
  <c r="P441" i="7" s="1"/>
  <c r="K442" i="7"/>
  <c r="P442" i="7" s="1"/>
  <c r="K443" i="7"/>
  <c r="P443" i="7" s="1"/>
  <c r="K444" i="7"/>
  <c r="P444" i="7" s="1"/>
  <c r="K445" i="7"/>
  <c r="P445" i="7" s="1"/>
  <c r="K446" i="7"/>
  <c r="P446" i="7" s="1"/>
  <c r="K447" i="7"/>
  <c r="P447" i="7" s="1"/>
  <c r="K448" i="7"/>
  <c r="P448" i="7" s="1"/>
  <c r="K449" i="7"/>
  <c r="P449" i="7" s="1"/>
  <c r="K450" i="7"/>
  <c r="P450" i="7" s="1"/>
  <c r="K451" i="7"/>
  <c r="P451" i="7" s="1"/>
  <c r="K452" i="7"/>
  <c r="P452" i="7" s="1"/>
  <c r="K453" i="7"/>
  <c r="P453" i="7" s="1"/>
  <c r="K454" i="7"/>
  <c r="P454" i="7" s="1"/>
  <c r="K455" i="7"/>
  <c r="P455" i="7" s="1"/>
  <c r="K456" i="7"/>
  <c r="P456" i="7" s="1"/>
  <c r="K457" i="7"/>
  <c r="P457" i="7" s="1"/>
  <c r="K458" i="7"/>
  <c r="P458" i="7" s="1"/>
  <c r="K459" i="7"/>
  <c r="P459" i="7" s="1"/>
  <c r="K460" i="7"/>
  <c r="P460" i="7" s="1"/>
  <c r="K461" i="7"/>
  <c r="P461" i="7" s="1"/>
  <c r="K462" i="7"/>
  <c r="P462" i="7" s="1"/>
  <c r="K463" i="7"/>
  <c r="P463" i="7" s="1"/>
  <c r="K464" i="7"/>
  <c r="P464" i="7" s="1"/>
  <c r="K465" i="7"/>
  <c r="P465" i="7" s="1"/>
  <c r="K466" i="7"/>
  <c r="P466" i="7" s="1"/>
  <c r="K467" i="7"/>
  <c r="P467" i="7" s="1"/>
  <c r="K468" i="7"/>
  <c r="P468" i="7" s="1"/>
  <c r="K469" i="7"/>
  <c r="P469" i="7" s="1"/>
  <c r="K470" i="7"/>
  <c r="P470" i="7" s="1"/>
  <c r="K471" i="7"/>
  <c r="P471" i="7" s="1"/>
  <c r="K472" i="7"/>
  <c r="P472" i="7" s="1"/>
  <c r="K473" i="7"/>
  <c r="P473" i="7" s="1"/>
  <c r="K474" i="7"/>
  <c r="P474" i="7" s="1"/>
  <c r="K475" i="7"/>
  <c r="P475" i="7" s="1"/>
  <c r="K476" i="7"/>
  <c r="P476" i="7" s="1"/>
  <c r="K477" i="7"/>
  <c r="P477" i="7" s="1"/>
  <c r="K478" i="7"/>
  <c r="P478" i="7" s="1"/>
  <c r="K479" i="7"/>
  <c r="P479" i="7" s="1"/>
  <c r="K480" i="7"/>
  <c r="P480" i="7" s="1"/>
  <c r="K481" i="7"/>
  <c r="P481" i="7" s="1"/>
  <c r="K482" i="7"/>
  <c r="P482" i="7" s="1"/>
  <c r="K483" i="7"/>
  <c r="P483" i="7" s="1"/>
  <c r="K484" i="7"/>
  <c r="P484" i="7" s="1"/>
  <c r="K485" i="7"/>
  <c r="P485" i="7" s="1"/>
  <c r="K486" i="7"/>
  <c r="P486" i="7" s="1"/>
  <c r="K487" i="7"/>
  <c r="P487" i="7" s="1"/>
  <c r="K488" i="7"/>
  <c r="P488" i="7" s="1"/>
  <c r="K489" i="7"/>
  <c r="P489" i="7" s="1"/>
  <c r="K490" i="7"/>
  <c r="P490" i="7" s="1"/>
  <c r="K491" i="7"/>
  <c r="P491" i="7" s="1"/>
  <c r="K492" i="7"/>
  <c r="P492" i="7" s="1"/>
  <c r="K493" i="7"/>
  <c r="P493" i="7" s="1"/>
  <c r="K494" i="7"/>
  <c r="P494" i="7" s="1"/>
  <c r="K495" i="7"/>
  <c r="P495" i="7" s="1"/>
  <c r="K496" i="7"/>
  <c r="P496" i="7" s="1"/>
  <c r="K497" i="7"/>
  <c r="P497" i="7" s="1"/>
  <c r="K498" i="7"/>
  <c r="P498" i="7" s="1"/>
  <c r="K499" i="7"/>
  <c r="P499" i="7" s="1"/>
  <c r="K500" i="7"/>
  <c r="P500" i="7" s="1"/>
  <c r="K501" i="7"/>
  <c r="P501" i="7" s="1"/>
  <c r="K502" i="7"/>
  <c r="P502" i="7" s="1"/>
  <c r="K503" i="7"/>
  <c r="P503" i="7" s="1"/>
  <c r="K504" i="7"/>
  <c r="P504" i="7" s="1"/>
  <c r="K505" i="7"/>
  <c r="P505" i="7" s="1"/>
  <c r="K506" i="7"/>
  <c r="P506" i="7" s="1"/>
  <c r="K507" i="7"/>
  <c r="P507" i="7" s="1"/>
  <c r="K508" i="7"/>
  <c r="P508" i="7" s="1"/>
  <c r="K509" i="7"/>
  <c r="P509" i="7" s="1"/>
  <c r="K510" i="7"/>
  <c r="P510" i="7" s="1"/>
  <c r="K511" i="7"/>
  <c r="P511" i="7" s="1"/>
  <c r="K512" i="7"/>
  <c r="P512" i="7" s="1"/>
  <c r="K513" i="7"/>
  <c r="P513" i="7" s="1"/>
  <c r="K514" i="7"/>
  <c r="P514" i="7" s="1"/>
  <c r="K515" i="7"/>
  <c r="P515" i="7" s="1"/>
  <c r="K516" i="7"/>
  <c r="P516" i="7" s="1"/>
  <c r="K517" i="7"/>
  <c r="P517" i="7" s="1"/>
  <c r="K518" i="7"/>
  <c r="P518" i="7" s="1"/>
  <c r="K519" i="7"/>
  <c r="P519" i="7" s="1"/>
  <c r="K520" i="7"/>
  <c r="P520" i="7" s="1"/>
  <c r="K521" i="7"/>
  <c r="P521" i="7" s="1"/>
  <c r="K522" i="7"/>
  <c r="P522" i="7" s="1"/>
  <c r="K523" i="7"/>
  <c r="P523" i="7" s="1"/>
  <c r="K524" i="7"/>
  <c r="P524" i="7" s="1"/>
  <c r="K525" i="7"/>
  <c r="P525" i="7" s="1"/>
  <c r="K526" i="7"/>
  <c r="P526" i="7" s="1"/>
  <c r="K2" i="7"/>
  <c r="P2" i="7" s="1"/>
  <c r="Q2" i="7" l="1"/>
  <c r="R2" i="7" s="1"/>
  <c r="Q523" i="7"/>
  <c r="R523" i="7" s="1"/>
  <c r="Q519" i="7"/>
  <c r="R519" i="7" s="1"/>
  <c r="Q515" i="7"/>
  <c r="R515" i="7" s="1"/>
  <c r="Q511" i="7"/>
  <c r="R511" i="7" s="1"/>
  <c r="Q507" i="7"/>
  <c r="R507" i="7" s="1"/>
  <c r="Q503" i="7"/>
  <c r="R503" i="7" s="1"/>
  <c r="Q499" i="7"/>
  <c r="R499" i="7" s="1"/>
  <c r="Q495" i="7"/>
  <c r="R495" i="7" s="1"/>
  <c r="Q491" i="7"/>
  <c r="R491" i="7" s="1"/>
  <c r="Q487" i="7"/>
  <c r="R487" i="7" s="1"/>
  <c r="Q483" i="7"/>
  <c r="R483" i="7" s="1"/>
  <c r="Q479" i="7"/>
  <c r="R479" i="7" s="1"/>
  <c r="Q475" i="7"/>
  <c r="R475" i="7" s="1"/>
  <c r="Q471" i="7"/>
  <c r="R471" i="7" s="1"/>
  <c r="Q467" i="7"/>
  <c r="R467" i="7" s="1"/>
  <c r="Q463" i="7"/>
  <c r="R463" i="7" s="1"/>
  <c r="Q459" i="7"/>
  <c r="R459" i="7" s="1"/>
  <c r="Q455" i="7"/>
  <c r="R455" i="7" s="1"/>
  <c r="Q451" i="7"/>
  <c r="R451" i="7" s="1"/>
  <c r="Q447" i="7"/>
  <c r="R447" i="7" s="1"/>
  <c r="Q443" i="7"/>
  <c r="R443" i="7" s="1"/>
  <c r="Q439" i="7"/>
  <c r="R439" i="7" s="1"/>
  <c r="Q435" i="7"/>
  <c r="R435" i="7" s="1"/>
  <c r="Q431" i="7"/>
  <c r="R431" i="7" s="1"/>
  <c r="Q427" i="7"/>
  <c r="R427" i="7" s="1"/>
  <c r="Q423" i="7"/>
  <c r="R423" i="7" s="1"/>
  <c r="Q419" i="7"/>
  <c r="R419" i="7" s="1"/>
  <c r="Q415" i="7"/>
  <c r="R415" i="7" s="1"/>
  <c r="Q411" i="7"/>
  <c r="R411" i="7" s="1"/>
  <c r="Q407" i="7"/>
  <c r="R407" i="7" s="1"/>
  <c r="Q403" i="7"/>
  <c r="R403" i="7" s="1"/>
  <c r="Q399" i="7"/>
  <c r="R399" i="7" s="1"/>
  <c r="Q395" i="7"/>
  <c r="R395" i="7" s="1"/>
  <c r="Q391" i="7"/>
  <c r="R391" i="7" s="1"/>
  <c r="Q387" i="7"/>
  <c r="R387" i="7" s="1"/>
  <c r="Q383" i="7"/>
  <c r="R383" i="7" s="1"/>
  <c r="Q379" i="7"/>
  <c r="R379" i="7" s="1"/>
  <c r="Q375" i="7"/>
  <c r="R375" i="7" s="1"/>
  <c r="Q371" i="7"/>
  <c r="R371" i="7" s="1"/>
  <c r="Q367" i="7"/>
  <c r="R367" i="7" s="1"/>
  <c r="Q363" i="7"/>
  <c r="R363" i="7" s="1"/>
  <c r="Q359" i="7"/>
  <c r="R359" i="7" s="1"/>
  <c r="Q355" i="7"/>
  <c r="R355" i="7" s="1"/>
  <c r="Q351" i="7"/>
  <c r="R351" i="7" s="1"/>
  <c r="Q347" i="7"/>
  <c r="R347" i="7" s="1"/>
  <c r="Q343" i="7"/>
  <c r="R343" i="7" s="1"/>
  <c r="Q339" i="7"/>
  <c r="R339" i="7" s="1"/>
  <c r="Q335" i="7"/>
  <c r="R335" i="7" s="1"/>
  <c r="Q331" i="7"/>
  <c r="R331" i="7" s="1"/>
  <c r="Q327" i="7"/>
  <c r="R327" i="7" s="1"/>
  <c r="Q323" i="7"/>
  <c r="R323" i="7" s="1"/>
  <c r="Q319" i="7"/>
  <c r="R319" i="7" s="1"/>
  <c r="Q315" i="7"/>
  <c r="R315" i="7" s="1"/>
  <c r="Q311" i="7"/>
  <c r="R311" i="7" s="1"/>
  <c r="Q307" i="7"/>
  <c r="R307" i="7" s="1"/>
  <c r="Q303" i="7"/>
  <c r="R303" i="7" s="1"/>
  <c r="Q299" i="7"/>
  <c r="R299" i="7" s="1"/>
  <c r="Q295" i="7"/>
  <c r="R295" i="7" s="1"/>
  <c r="Q291" i="7"/>
  <c r="R291" i="7" s="1"/>
  <c r="Q287" i="7"/>
  <c r="R287" i="7" s="1"/>
  <c r="Q283" i="7"/>
  <c r="R283" i="7" s="1"/>
  <c r="Q279" i="7"/>
  <c r="R279" i="7" s="1"/>
  <c r="Q275" i="7"/>
  <c r="R275" i="7" s="1"/>
  <c r="Q271" i="7"/>
  <c r="R271" i="7" s="1"/>
  <c r="Q267" i="7"/>
  <c r="R267" i="7" s="1"/>
  <c r="Q263" i="7"/>
  <c r="R263" i="7" s="1"/>
  <c r="Q259" i="7"/>
  <c r="R259" i="7" s="1"/>
  <c r="Q255" i="7"/>
  <c r="R255" i="7" s="1"/>
  <c r="Q251" i="7"/>
  <c r="R251" i="7" s="1"/>
  <c r="Q247" i="7"/>
  <c r="R247" i="7" s="1"/>
  <c r="Q243" i="7"/>
  <c r="R243" i="7" s="1"/>
  <c r="Q239" i="7"/>
  <c r="R239" i="7" s="1"/>
  <c r="Q235" i="7"/>
  <c r="R235" i="7" s="1"/>
  <c r="Q231" i="7"/>
  <c r="R231" i="7" s="1"/>
  <c r="Q227" i="7"/>
  <c r="R227" i="7" s="1"/>
  <c r="Q223" i="7"/>
  <c r="R223" i="7" s="1"/>
  <c r="Q219" i="7"/>
  <c r="R219" i="7" s="1"/>
  <c r="Q215" i="7"/>
  <c r="R215" i="7" s="1"/>
  <c r="Q211" i="7"/>
  <c r="R211" i="7" s="1"/>
  <c r="Q207" i="7"/>
  <c r="R207" i="7" s="1"/>
  <c r="Q203" i="7"/>
  <c r="R203" i="7" s="1"/>
  <c r="Q199" i="7"/>
  <c r="R199" i="7" s="1"/>
  <c r="Q195" i="7"/>
  <c r="R195" i="7" s="1"/>
  <c r="Q191" i="7"/>
  <c r="R191" i="7" s="1"/>
  <c r="Q187" i="7"/>
  <c r="R187" i="7" s="1"/>
  <c r="Q183" i="7"/>
  <c r="R183" i="7" s="1"/>
  <c r="Q179" i="7"/>
  <c r="R179" i="7" s="1"/>
  <c r="Q175" i="7"/>
  <c r="R175" i="7" s="1"/>
  <c r="Q171" i="7"/>
  <c r="R171" i="7" s="1"/>
  <c r="Q167" i="7"/>
  <c r="R167" i="7" s="1"/>
  <c r="Q163" i="7"/>
  <c r="R163" i="7" s="1"/>
  <c r="Q159" i="7"/>
  <c r="R159" i="7" s="1"/>
  <c r="Q155" i="7"/>
  <c r="R155" i="7" s="1"/>
  <c r="Q151" i="7"/>
  <c r="R151" i="7" s="1"/>
  <c r="Q147" i="7"/>
  <c r="R147" i="7" s="1"/>
  <c r="Q143" i="7"/>
  <c r="R143" i="7" s="1"/>
  <c r="Q139" i="7"/>
  <c r="R139" i="7" s="1"/>
  <c r="Q135" i="7"/>
  <c r="R135" i="7" s="1"/>
  <c r="Q131" i="7"/>
  <c r="R131" i="7" s="1"/>
  <c r="Q127" i="7"/>
  <c r="R127" i="7" s="1"/>
  <c r="Q123" i="7"/>
  <c r="R123" i="7" s="1"/>
  <c r="Q119" i="7"/>
  <c r="R119" i="7" s="1"/>
  <c r="Q115" i="7"/>
  <c r="R115" i="7" s="1"/>
  <c r="Q111" i="7"/>
  <c r="R111" i="7" s="1"/>
  <c r="Q107" i="7"/>
  <c r="R107" i="7" s="1"/>
  <c r="Q103" i="7"/>
  <c r="R103" i="7" s="1"/>
  <c r="Q99" i="7"/>
  <c r="R99" i="7" s="1"/>
  <c r="Q95" i="7"/>
  <c r="R95" i="7" s="1"/>
  <c r="Q91" i="7"/>
  <c r="R91" i="7" s="1"/>
  <c r="Q87" i="7"/>
  <c r="R87" i="7" s="1"/>
  <c r="Q83" i="7"/>
  <c r="R83" i="7" s="1"/>
  <c r="Q79" i="7"/>
  <c r="R79" i="7" s="1"/>
  <c r="Q75" i="7"/>
  <c r="R75" i="7" s="1"/>
  <c r="Q71" i="7"/>
  <c r="R71" i="7" s="1"/>
  <c r="Q67" i="7"/>
  <c r="R67" i="7" s="1"/>
  <c r="Q63" i="7"/>
  <c r="R63" i="7" s="1"/>
  <c r="Q59" i="7"/>
  <c r="R59" i="7" s="1"/>
  <c r="Q55" i="7"/>
  <c r="R55" i="7" s="1"/>
  <c r="Q51" i="7"/>
  <c r="R51" i="7" s="1"/>
  <c r="Q47" i="7"/>
  <c r="R47" i="7" s="1"/>
  <c r="Q43" i="7"/>
  <c r="R43" i="7" s="1"/>
  <c r="Q39" i="7"/>
  <c r="R39" i="7" s="1"/>
  <c r="Q35" i="7"/>
  <c r="R35" i="7" s="1"/>
  <c r="Q31" i="7"/>
  <c r="R31" i="7" s="1"/>
  <c r="Q27" i="7"/>
  <c r="R27" i="7" s="1"/>
  <c r="Q23" i="7"/>
  <c r="R23" i="7" s="1"/>
  <c r="Q19" i="7"/>
  <c r="R19" i="7" s="1"/>
  <c r="Q15" i="7"/>
  <c r="R15" i="7" s="1"/>
  <c r="Q11" i="7"/>
  <c r="R11" i="7" s="1"/>
  <c r="Q7" i="7"/>
  <c r="R7" i="7" s="1"/>
  <c r="Q3" i="7"/>
  <c r="R3" i="7" s="1"/>
  <c r="Q526" i="7"/>
  <c r="R526" i="7" s="1"/>
  <c r="Q522" i="7"/>
  <c r="R522" i="7" s="1"/>
  <c r="Q518" i="7"/>
  <c r="R518" i="7" s="1"/>
  <c r="Q514" i="7"/>
  <c r="R514" i="7" s="1"/>
  <c r="Q510" i="7"/>
  <c r="R510" i="7" s="1"/>
  <c r="Q506" i="7"/>
  <c r="R506" i="7" s="1"/>
  <c r="Q502" i="7"/>
  <c r="R502" i="7" s="1"/>
  <c r="Q498" i="7"/>
  <c r="R498" i="7" s="1"/>
  <c r="Q494" i="7"/>
  <c r="R494" i="7" s="1"/>
  <c r="Q490" i="7"/>
  <c r="R490" i="7" s="1"/>
  <c r="Q486" i="7"/>
  <c r="R486" i="7" s="1"/>
  <c r="Q482" i="7"/>
  <c r="R482" i="7" s="1"/>
  <c r="Q478" i="7"/>
  <c r="R478" i="7" s="1"/>
  <c r="Q474" i="7"/>
  <c r="R474" i="7" s="1"/>
  <c r="Q470" i="7"/>
  <c r="R470" i="7" s="1"/>
  <c r="Q466" i="7"/>
  <c r="R466" i="7" s="1"/>
  <c r="Q462" i="7"/>
  <c r="R462" i="7" s="1"/>
  <c r="Q458" i="7"/>
  <c r="R458" i="7" s="1"/>
  <c r="Q454" i="7"/>
  <c r="R454" i="7" s="1"/>
  <c r="Q450" i="7"/>
  <c r="R450" i="7" s="1"/>
  <c r="Q446" i="7"/>
  <c r="R446" i="7" s="1"/>
  <c r="Q442" i="7"/>
  <c r="R442" i="7" s="1"/>
  <c r="Q438" i="7"/>
  <c r="R438" i="7" s="1"/>
  <c r="Q434" i="7"/>
  <c r="R434" i="7" s="1"/>
  <c r="Q430" i="7"/>
  <c r="R430" i="7" s="1"/>
  <c r="Q426" i="7"/>
  <c r="R426" i="7" s="1"/>
  <c r="Q422" i="7"/>
  <c r="R422" i="7" s="1"/>
  <c r="Q418" i="7"/>
  <c r="R418" i="7" s="1"/>
  <c r="Q414" i="7"/>
  <c r="R414" i="7" s="1"/>
  <c r="Q410" i="7"/>
  <c r="R410" i="7" s="1"/>
  <c r="Q406" i="7"/>
  <c r="R406" i="7" s="1"/>
  <c r="Q402" i="7"/>
  <c r="R402" i="7" s="1"/>
  <c r="Q398" i="7"/>
  <c r="R398" i="7" s="1"/>
  <c r="Q394" i="7"/>
  <c r="R394" i="7" s="1"/>
  <c r="Q390" i="7"/>
  <c r="R390" i="7" s="1"/>
  <c r="Q386" i="7"/>
  <c r="R386" i="7" s="1"/>
  <c r="Q382" i="7"/>
  <c r="R382" i="7" s="1"/>
  <c r="Q378" i="7"/>
  <c r="R378" i="7" s="1"/>
  <c r="Q374" i="7"/>
  <c r="R374" i="7" s="1"/>
  <c r="Q370" i="7"/>
  <c r="R370" i="7" s="1"/>
  <c r="Q366" i="7"/>
  <c r="R366" i="7" s="1"/>
  <c r="Q362" i="7"/>
  <c r="R362" i="7" s="1"/>
  <c r="Q358" i="7"/>
  <c r="R358" i="7" s="1"/>
  <c r="Q354" i="7"/>
  <c r="R354" i="7" s="1"/>
  <c r="Q350" i="7"/>
  <c r="R350" i="7" s="1"/>
  <c r="Q346" i="7"/>
  <c r="R346" i="7" s="1"/>
  <c r="Q342" i="7"/>
  <c r="R342" i="7" s="1"/>
  <c r="Q338" i="7"/>
  <c r="R338" i="7" s="1"/>
  <c r="Q334" i="7"/>
  <c r="R334" i="7" s="1"/>
  <c r="Q330" i="7"/>
  <c r="R330" i="7" s="1"/>
  <c r="Q326" i="7"/>
  <c r="R326" i="7" s="1"/>
  <c r="Q322" i="7"/>
  <c r="R322" i="7" s="1"/>
  <c r="Q318" i="7"/>
  <c r="R318" i="7" s="1"/>
  <c r="Q314" i="7"/>
  <c r="R314" i="7" s="1"/>
  <c r="Q310" i="7"/>
  <c r="R310" i="7" s="1"/>
  <c r="Q306" i="7"/>
  <c r="R306" i="7" s="1"/>
  <c r="Q302" i="7"/>
  <c r="R302" i="7" s="1"/>
  <c r="Q298" i="7"/>
  <c r="R298" i="7" s="1"/>
  <c r="Q294" i="7"/>
  <c r="R294" i="7" s="1"/>
  <c r="Q290" i="7"/>
  <c r="R290" i="7" s="1"/>
  <c r="Q286" i="7"/>
  <c r="R286" i="7" s="1"/>
  <c r="Q282" i="7"/>
  <c r="R282" i="7" s="1"/>
  <c r="Q278" i="7"/>
  <c r="R278" i="7" s="1"/>
  <c r="Q274" i="7"/>
  <c r="R274" i="7" s="1"/>
  <c r="Q270" i="7"/>
  <c r="R270" i="7" s="1"/>
  <c r="Q266" i="7"/>
  <c r="R266" i="7" s="1"/>
  <c r="Q262" i="7"/>
  <c r="R262" i="7" s="1"/>
  <c r="Q525" i="7"/>
  <c r="R525" i="7" s="1"/>
  <c r="Q521" i="7"/>
  <c r="R521" i="7" s="1"/>
  <c r="Q517" i="7"/>
  <c r="R517" i="7" s="1"/>
  <c r="Q513" i="7"/>
  <c r="R513" i="7" s="1"/>
  <c r="Q509" i="7"/>
  <c r="R509" i="7" s="1"/>
  <c r="Q505" i="7"/>
  <c r="R505" i="7" s="1"/>
  <c r="Q501" i="7"/>
  <c r="R501" i="7" s="1"/>
  <c r="Q493" i="7"/>
  <c r="R493" i="7" s="1"/>
  <c r="Q489" i="7"/>
  <c r="R489" i="7" s="1"/>
  <c r="Q485" i="7"/>
  <c r="R485" i="7" s="1"/>
  <c r="Q481" i="7"/>
  <c r="R481" i="7" s="1"/>
  <c r="Q477" i="7"/>
  <c r="R477" i="7" s="1"/>
  <c r="Q473" i="7"/>
  <c r="R473" i="7" s="1"/>
  <c r="Q469" i="7"/>
  <c r="R469" i="7" s="1"/>
  <c r="Q465" i="7"/>
  <c r="R465" i="7" s="1"/>
  <c r="Q461" i="7"/>
  <c r="R461" i="7" s="1"/>
  <c r="Q457" i="7"/>
  <c r="R457" i="7" s="1"/>
  <c r="Q453" i="7"/>
  <c r="R453" i="7" s="1"/>
  <c r="Q449" i="7"/>
  <c r="R449" i="7" s="1"/>
  <c r="Q445" i="7"/>
  <c r="R445" i="7" s="1"/>
  <c r="Q441" i="7"/>
  <c r="R441" i="7" s="1"/>
  <c r="Q437" i="7"/>
  <c r="R437" i="7" s="1"/>
  <c r="Q433" i="7"/>
  <c r="R433" i="7" s="1"/>
  <c r="Q429" i="7"/>
  <c r="R429" i="7" s="1"/>
  <c r="Q425" i="7"/>
  <c r="R425" i="7" s="1"/>
  <c r="Q421" i="7"/>
  <c r="R421" i="7" s="1"/>
  <c r="Q417" i="7"/>
  <c r="R417" i="7" s="1"/>
  <c r="Q413" i="7"/>
  <c r="R413" i="7" s="1"/>
  <c r="Q409" i="7"/>
  <c r="R409" i="7" s="1"/>
  <c r="Q405" i="7"/>
  <c r="R405" i="7" s="1"/>
  <c r="Q401" i="7"/>
  <c r="R401" i="7" s="1"/>
  <c r="Q524" i="7"/>
  <c r="R524" i="7" s="1"/>
  <c r="Q520" i="7"/>
  <c r="R520" i="7" s="1"/>
  <c r="Q516" i="7"/>
  <c r="R516" i="7" s="1"/>
  <c r="Q512" i="7"/>
  <c r="R512" i="7" s="1"/>
  <c r="Q508" i="7"/>
  <c r="R508" i="7" s="1"/>
  <c r="Q504" i="7"/>
  <c r="R504" i="7" s="1"/>
  <c r="Q500" i="7"/>
  <c r="R500" i="7" s="1"/>
  <c r="Q496" i="7"/>
  <c r="R496" i="7" s="1"/>
  <c r="Q492" i="7"/>
  <c r="R492" i="7" s="1"/>
  <c r="Q488" i="7"/>
  <c r="R488" i="7" s="1"/>
  <c r="Q484" i="7"/>
  <c r="R484" i="7" s="1"/>
  <c r="Q480" i="7"/>
  <c r="R480" i="7" s="1"/>
  <c r="Q476" i="7"/>
  <c r="R476" i="7" s="1"/>
  <c r="Q472" i="7"/>
  <c r="R472" i="7" s="1"/>
  <c r="Q468" i="7"/>
  <c r="R468" i="7" s="1"/>
  <c r="Q464" i="7"/>
  <c r="R464" i="7" s="1"/>
  <c r="Q460" i="7"/>
  <c r="R460" i="7" s="1"/>
  <c r="Q456" i="7"/>
  <c r="R456" i="7" s="1"/>
  <c r="Q452" i="7"/>
  <c r="R452" i="7" s="1"/>
  <c r="Q448" i="7"/>
  <c r="R448" i="7" s="1"/>
  <c r="Q444" i="7"/>
  <c r="R444" i="7" s="1"/>
  <c r="Q440" i="7"/>
  <c r="R440" i="7" s="1"/>
  <c r="Q436" i="7"/>
  <c r="R436" i="7" s="1"/>
  <c r="Q432" i="7"/>
  <c r="R432" i="7" s="1"/>
  <c r="Q428" i="7"/>
  <c r="R428" i="7" s="1"/>
  <c r="Q424" i="7"/>
  <c r="R424" i="7" s="1"/>
  <c r="Q420" i="7"/>
  <c r="R420" i="7" s="1"/>
  <c r="Q416" i="7"/>
  <c r="R416" i="7" s="1"/>
  <c r="Q412" i="7"/>
  <c r="R412" i="7" s="1"/>
  <c r="Q408" i="7"/>
  <c r="R408" i="7" s="1"/>
  <c r="Q404" i="7"/>
  <c r="R404" i="7" s="1"/>
  <c r="Q400" i="7"/>
  <c r="R400" i="7" s="1"/>
  <c r="Q396" i="7"/>
  <c r="R396" i="7" s="1"/>
  <c r="Q392" i="7"/>
  <c r="R392" i="7" s="1"/>
  <c r="Q388" i="7"/>
  <c r="R388" i="7" s="1"/>
  <c r="Q384" i="7"/>
  <c r="R384" i="7" s="1"/>
  <c r="Q380" i="7"/>
  <c r="R380" i="7" s="1"/>
  <c r="Q376" i="7"/>
  <c r="R376" i="7" s="1"/>
  <c r="Q372" i="7"/>
  <c r="R372" i="7" s="1"/>
  <c r="Q368" i="7"/>
  <c r="R368" i="7" s="1"/>
  <c r="Q364" i="7"/>
  <c r="R364" i="7" s="1"/>
  <c r="Q360" i="7"/>
  <c r="R360" i="7" s="1"/>
  <c r="Q356" i="7"/>
  <c r="R356" i="7" s="1"/>
  <c r="Q352" i="7"/>
  <c r="R352" i="7" s="1"/>
  <c r="Q348" i="7"/>
  <c r="R348" i="7" s="1"/>
  <c r="Q344" i="7"/>
  <c r="R344" i="7" s="1"/>
  <c r="Q340" i="7"/>
  <c r="R340" i="7" s="1"/>
  <c r="Q336" i="7"/>
  <c r="R336" i="7" s="1"/>
  <c r="Q332" i="7"/>
  <c r="R332" i="7" s="1"/>
  <c r="Q328" i="7"/>
  <c r="R328" i="7" s="1"/>
  <c r="Q397" i="7"/>
  <c r="R397" i="7" s="1"/>
  <c r="Q393" i="7"/>
  <c r="R393" i="7" s="1"/>
  <c r="Q389" i="7"/>
  <c r="R389" i="7" s="1"/>
  <c r="Q385" i="7"/>
  <c r="R385" i="7" s="1"/>
  <c r="Q381" i="7"/>
  <c r="R381" i="7" s="1"/>
  <c r="Q377" i="7"/>
  <c r="R377" i="7" s="1"/>
  <c r="Q373" i="7"/>
  <c r="R373" i="7" s="1"/>
  <c r="Q369" i="7"/>
  <c r="R369" i="7" s="1"/>
  <c r="Q365" i="7"/>
  <c r="R365" i="7" s="1"/>
  <c r="Q361" i="7"/>
  <c r="R361" i="7" s="1"/>
  <c r="Q357" i="7"/>
  <c r="R357" i="7" s="1"/>
  <c r="Q353" i="7"/>
  <c r="R353" i="7" s="1"/>
  <c r="Q349" i="7"/>
  <c r="R349" i="7" s="1"/>
  <c r="Q345" i="7"/>
  <c r="R345" i="7" s="1"/>
  <c r="Q341" i="7"/>
  <c r="R341" i="7" s="1"/>
  <c r="Q337" i="7"/>
  <c r="R337" i="7" s="1"/>
  <c r="Q333" i="7"/>
  <c r="R333" i="7" s="1"/>
  <c r="Q329" i="7"/>
  <c r="R329" i="7" s="1"/>
  <c r="Q325" i="7"/>
  <c r="R325" i="7" s="1"/>
  <c r="Q321" i="7"/>
  <c r="R321" i="7" s="1"/>
  <c r="Q317" i="7"/>
  <c r="R317" i="7" s="1"/>
  <c r="Q313" i="7"/>
  <c r="R313" i="7" s="1"/>
  <c r="Q309" i="7"/>
  <c r="R309" i="7" s="1"/>
  <c r="Q305" i="7"/>
  <c r="R305" i="7" s="1"/>
  <c r="Q301" i="7"/>
  <c r="R301" i="7" s="1"/>
  <c r="Q297" i="7"/>
  <c r="R297" i="7" s="1"/>
  <c r="Q293" i="7"/>
  <c r="R293" i="7" s="1"/>
  <c r="Q289" i="7"/>
  <c r="R289" i="7" s="1"/>
  <c r="Q285" i="7"/>
  <c r="R285" i="7" s="1"/>
  <c r="Q281" i="7"/>
  <c r="R281" i="7" s="1"/>
  <c r="Q277" i="7"/>
  <c r="R277" i="7" s="1"/>
  <c r="Q273" i="7"/>
  <c r="R273" i="7" s="1"/>
  <c r="Q269" i="7"/>
  <c r="R269" i="7" s="1"/>
  <c r="Q265" i="7"/>
  <c r="R265" i="7" s="1"/>
  <c r="Q261" i="7"/>
  <c r="R261" i="7" s="1"/>
  <c r="Q257" i="7"/>
  <c r="R257" i="7" s="1"/>
  <c r="Q253" i="7"/>
  <c r="R253" i="7" s="1"/>
  <c r="Q249" i="7"/>
  <c r="R249" i="7" s="1"/>
  <c r="Q245" i="7"/>
  <c r="R245" i="7" s="1"/>
  <c r="Q241" i="7"/>
  <c r="R241" i="7" s="1"/>
  <c r="Q237" i="7"/>
  <c r="R237" i="7" s="1"/>
  <c r="Q233" i="7"/>
  <c r="R233" i="7" s="1"/>
  <c r="Q229" i="7"/>
  <c r="R229" i="7" s="1"/>
  <c r="Q225" i="7"/>
  <c r="R225" i="7" s="1"/>
  <c r="Q221" i="7"/>
  <c r="R221" i="7" s="1"/>
  <c r="Q217" i="7"/>
  <c r="R217" i="7" s="1"/>
  <c r="Q213" i="7"/>
  <c r="R213" i="7" s="1"/>
  <c r="Q209" i="7"/>
  <c r="R209" i="7" s="1"/>
  <c r="Q205" i="7"/>
  <c r="R205" i="7" s="1"/>
  <c r="Q201" i="7"/>
  <c r="R201" i="7" s="1"/>
  <c r="Q197" i="7"/>
  <c r="R197" i="7" s="1"/>
  <c r="Q193" i="7"/>
  <c r="R193" i="7" s="1"/>
  <c r="Q189" i="7"/>
  <c r="R189" i="7" s="1"/>
  <c r="Q185" i="7"/>
  <c r="R185" i="7" s="1"/>
  <c r="Q181" i="7"/>
  <c r="R181" i="7" s="1"/>
  <c r="Q177" i="7"/>
  <c r="R177" i="7" s="1"/>
  <c r="Q173" i="7"/>
  <c r="R173" i="7" s="1"/>
  <c r="Q169" i="7"/>
  <c r="R169" i="7" s="1"/>
  <c r="Q165" i="7"/>
  <c r="R165" i="7" s="1"/>
  <c r="Q161" i="7"/>
  <c r="R161" i="7" s="1"/>
  <c r="Q157" i="7"/>
  <c r="R157" i="7" s="1"/>
  <c r="Q153" i="7"/>
  <c r="R153" i="7" s="1"/>
  <c r="Q149" i="7"/>
  <c r="R149" i="7" s="1"/>
  <c r="Q145" i="7"/>
  <c r="R145" i="7" s="1"/>
  <c r="Q141" i="7"/>
  <c r="R141" i="7" s="1"/>
  <c r="Q137" i="7"/>
  <c r="R137" i="7" s="1"/>
  <c r="Q133" i="7"/>
  <c r="R133" i="7" s="1"/>
  <c r="Q129" i="7"/>
  <c r="R129" i="7" s="1"/>
  <c r="Q125" i="7"/>
  <c r="R125" i="7" s="1"/>
  <c r="Q121" i="7"/>
  <c r="R121" i="7" s="1"/>
  <c r="Q117" i="7"/>
  <c r="R117" i="7" s="1"/>
  <c r="Q113" i="7"/>
  <c r="R113" i="7" s="1"/>
  <c r="Q109" i="7"/>
  <c r="R109" i="7" s="1"/>
  <c r="Q105" i="7"/>
  <c r="R105" i="7" s="1"/>
  <c r="Q101" i="7"/>
  <c r="R101" i="7" s="1"/>
  <c r="Q97" i="7"/>
  <c r="R97" i="7" s="1"/>
  <c r="Q93" i="7"/>
  <c r="R93" i="7" s="1"/>
  <c r="Q89" i="7"/>
  <c r="R89" i="7" s="1"/>
  <c r="Q85" i="7"/>
  <c r="R85" i="7" s="1"/>
  <c r="Q81" i="7"/>
  <c r="R81" i="7" s="1"/>
  <c r="Q77" i="7"/>
  <c r="R77" i="7" s="1"/>
  <c r="Q73" i="7"/>
  <c r="R73" i="7" s="1"/>
  <c r="Q69" i="7"/>
  <c r="R69" i="7" s="1"/>
  <c r="Q65" i="7"/>
  <c r="R65" i="7" s="1"/>
  <c r="Q61" i="7"/>
  <c r="R61" i="7" s="1"/>
  <c r="Q57" i="7"/>
  <c r="R57" i="7" s="1"/>
  <c r="Q53" i="7"/>
  <c r="R53" i="7" s="1"/>
  <c r="Q49" i="7"/>
  <c r="R49" i="7" s="1"/>
  <c r="Q45" i="7"/>
  <c r="R45" i="7" s="1"/>
  <c r="Q41" i="7"/>
  <c r="R41" i="7" s="1"/>
  <c r="Q37" i="7"/>
  <c r="R37" i="7" s="1"/>
  <c r="Q33" i="7"/>
  <c r="R33" i="7" s="1"/>
  <c r="Q29" i="7"/>
  <c r="R29" i="7" s="1"/>
  <c r="Q25" i="7"/>
  <c r="R25" i="7" s="1"/>
  <c r="Q21" i="7"/>
  <c r="R21" i="7" s="1"/>
  <c r="Q17" i="7"/>
  <c r="R17" i="7" s="1"/>
  <c r="Q13" i="7"/>
  <c r="R13" i="7" s="1"/>
  <c r="Q9" i="7"/>
  <c r="R9" i="7" s="1"/>
  <c r="Q5" i="7"/>
  <c r="R5" i="7" s="1"/>
  <c r="Q324" i="7"/>
  <c r="R324" i="7" s="1"/>
  <c r="Q320" i="7"/>
  <c r="R320" i="7" s="1"/>
  <c r="Q316" i="7"/>
  <c r="R316" i="7" s="1"/>
  <c r="Q312" i="7"/>
  <c r="R312" i="7" s="1"/>
  <c r="Q308" i="7"/>
  <c r="R308" i="7" s="1"/>
  <c r="Q304" i="7"/>
  <c r="R304" i="7" s="1"/>
  <c r="Q300" i="7"/>
  <c r="R300" i="7" s="1"/>
  <c r="Q296" i="7"/>
  <c r="R296" i="7" s="1"/>
  <c r="Q292" i="7"/>
  <c r="R292" i="7" s="1"/>
  <c r="Q288" i="7"/>
  <c r="R288" i="7" s="1"/>
  <c r="Q284" i="7"/>
  <c r="R284" i="7" s="1"/>
  <c r="Q280" i="7"/>
  <c r="R280" i="7" s="1"/>
  <c r="Q276" i="7"/>
  <c r="R276" i="7" s="1"/>
  <c r="Q272" i="7"/>
  <c r="R272" i="7" s="1"/>
  <c r="Q268" i="7"/>
  <c r="R268" i="7" s="1"/>
  <c r="Q264" i="7"/>
  <c r="R264" i="7" s="1"/>
  <c r="Q260" i="7"/>
  <c r="R260" i="7" s="1"/>
  <c r="Q256" i="7"/>
  <c r="R256" i="7" s="1"/>
  <c r="Q252" i="7"/>
  <c r="R252" i="7" s="1"/>
  <c r="Q248" i="7"/>
  <c r="R248" i="7" s="1"/>
  <c r="Q244" i="7"/>
  <c r="R244" i="7" s="1"/>
  <c r="Q240" i="7"/>
  <c r="R240" i="7" s="1"/>
  <c r="Q236" i="7"/>
  <c r="R236" i="7" s="1"/>
  <c r="Q232" i="7"/>
  <c r="R232" i="7" s="1"/>
  <c r="Q228" i="7"/>
  <c r="R228" i="7" s="1"/>
  <c r="Q224" i="7"/>
  <c r="R224" i="7" s="1"/>
  <c r="Q220" i="7"/>
  <c r="R220" i="7" s="1"/>
  <c r="Q216" i="7"/>
  <c r="R216" i="7" s="1"/>
  <c r="Q212" i="7"/>
  <c r="R212" i="7" s="1"/>
  <c r="Q208" i="7"/>
  <c r="R208" i="7" s="1"/>
  <c r="Q204" i="7"/>
  <c r="R204" i="7" s="1"/>
  <c r="Q200" i="7"/>
  <c r="R200" i="7" s="1"/>
  <c r="Q196" i="7"/>
  <c r="R196" i="7" s="1"/>
  <c r="Q192" i="7"/>
  <c r="R192" i="7" s="1"/>
  <c r="Q188" i="7"/>
  <c r="R188" i="7" s="1"/>
  <c r="Q184" i="7"/>
  <c r="R184" i="7" s="1"/>
  <c r="Q180" i="7"/>
  <c r="R180" i="7" s="1"/>
  <c r="Q176" i="7"/>
  <c r="R176" i="7" s="1"/>
  <c r="Q172" i="7"/>
  <c r="R172" i="7" s="1"/>
  <c r="Q168" i="7"/>
  <c r="R168" i="7" s="1"/>
  <c r="Q164" i="7"/>
  <c r="R164" i="7" s="1"/>
  <c r="Q160" i="7"/>
  <c r="R160" i="7" s="1"/>
  <c r="Q156" i="7"/>
  <c r="R156" i="7" s="1"/>
  <c r="Q152" i="7"/>
  <c r="R152" i="7" s="1"/>
  <c r="Q148" i="7"/>
  <c r="R148" i="7" s="1"/>
  <c r="Q144" i="7"/>
  <c r="R144" i="7" s="1"/>
  <c r="Q140" i="7"/>
  <c r="R140" i="7" s="1"/>
  <c r="Q136" i="7"/>
  <c r="R136" i="7" s="1"/>
  <c r="Q132" i="7"/>
  <c r="R132" i="7" s="1"/>
  <c r="Q128" i="7"/>
  <c r="R128" i="7" s="1"/>
  <c r="Q124" i="7"/>
  <c r="R124" i="7" s="1"/>
  <c r="Q120" i="7"/>
  <c r="R120" i="7" s="1"/>
  <c r="Q116" i="7"/>
  <c r="R116" i="7" s="1"/>
  <c r="Q112" i="7"/>
  <c r="R112" i="7" s="1"/>
  <c r="Q108" i="7"/>
  <c r="R108" i="7" s="1"/>
  <c r="Q104" i="7"/>
  <c r="R104" i="7" s="1"/>
  <c r="Q100" i="7"/>
  <c r="R100" i="7" s="1"/>
  <c r="Q96" i="7"/>
  <c r="R96" i="7" s="1"/>
  <c r="Q92" i="7"/>
  <c r="R92" i="7" s="1"/>
  <c r="Q88" i="7"/>
  <c r="R88" i="7" s="1"/>
  <c r="Q84" i="7"/>
  <c r="R84" i="7" s="1"/>
  <c r="Q80" i="7"/>
  <c r="R80" i="7" s="1"/>
  <c r="Q76" i="7"/>
  <c r="R76" i="7" s="1"/>
  <c r="Q72" i="7"/>
  <c r="R72" i="7" s="1"/>
  <c r="Q68" i="7"/>
  <c r="R68" i="7" s="1"/>
  <c r="Q64" i="7"/>
  <c r="R64" i="7" s="1"/>
  <c r="Q60" i="7"/>
  <c r="R60" i="7" s="1"/>
  <c r="Q56" i="7"/>
  <c r="R56" i="7" s="1"/>
  <c r="Q52" i="7"/>
  <c r="R52" i="7" s="1"/>
  <c r="Q48" i="7"/>
  <c r="R48" i="7" s="1"/>
  <c r="Q44" i="7"/>
  <c r="R44" i="7" s="1"/>
  <c r="Q40" i="7"/>
  <c r="R40" i="7" s="1"/>
  <c r="Q36" i="7"/>
  <c r="R36" i="7" s="1"/>
  <c r="Q32" i="7"/>
  <c r="R32" i="7" s="1"/>
  <c r="Q28" i="7"/>
  <c r="R28" i="7" s="1"/>
  <c r="Q24" i="7"/>
  <c r="R24" i="7" s="1"/>
  <c r="Q20" i="7"/>
  <c r="R20" i="7" s="1"/>
  <c r="Q16" i="7"/>
  <c r="R16" i="7" s="1"/>
  <c r="Q12" i="7"/>
  <c r="R12" i="7" s="1"/>
  <c r="Q8" i="7"/>
  <c r="R8" i="7" s="1"/>
  <c r="Q4" i="7"/>
  <c r="R4" i="7" s="1"/>
  <c r="Q258" i="7"/>
  <c r="R258" i="7" s="1"/>
  <c r="Q254" i="7"/>
  <c r="R254" i="7" s="1"/>
  <c r="Q250" i="7"/>
  <c r="R250" i="7" s="1"/>
  <c r="Q246" i="7"/>
  <c r="R246" i="7" s="1"/>
  <c r="Q242" i="7"/>
  <c r="R242" i="7" s="1"/>
  <c r="Q238" i="7"/>
  <c r="R238" i="7" s="1"/>
  <c r="Q234" i="7"/>
  <c r="R234" i="7" s="1"/>
  <c r="Q230" i="7"/>
  <c r="R230" i="7" s="1"/>
  <c r="Q226" i="7"/>
  <c r="R226" i="7" s="1"/>
  <c r="Q222" i="7"/>
  <c r="R222" i="7" s="1"/>
  <c r="Q218" i="7"/>
  <c r="R218" i="7" s="1"/>
  <c r="Q214" i="7"/>
  <c r="R214" i="7" s="1"/>
  <c r="Q210" i="7"/>
  <c r="R210" i="7" s="1"/>
  <c r="Q206" i="7"/>
  <c r="R206" i="7" s="1"/>
  <c r="Q202" i="7"/>
  <c r="R202" i="7" s="1"/>
  <c r="Q198" i="7"/>
  <c r="R198" i="7" s="1"/>
  <c r="Q194" i="7"/>
  <c r="R194" i="7" s="1"/>
  <c r="Q190" i="7"/>
  <c r="R190" i="7" s="1"/>
  <c r="Q186" i="7"/>
  <c r="R186" i="7" s="1"/>
  <c r="Q182" i="7"/>
  <c r="R182" i="7" s="1"/>
  <c r="Q178" i="7"/>
  <c r="R178" i="7" s="1"/>
  <c r="Q174" i="7"/>
  <c r="R174" i="7" s="1"/>
  <c r="Q170" i="7"/>
  <c r="R170" i="7" s="1"/>
  <c r="Q166" i="7"/>
  <c r="R166" i="7" s="1"/>
  <c r="Q162" i="7"/>
  <c r="R162" i="7" s="1"/>
  <c r="Q158" i="7"/>
  <c r="R158" i="7" s="1"/>
  <c r="Q154" i="7"/>
  <c r="R154" i="7" s="1"/>
  <c r="Q150" i="7"/>
  <c r="R150" i="7" s="1"/>
  <c r="Q146" i="7"/>
  <c r="R146" i="7" s="1"/>
  <c r="Q142" i="7"/>
  <c r="R142" i="7" s="1"/>
  <c r="Q138" i="7"/>
  <c r="R138" i="7" s="1"/>
  <c r="Q134" i="7"/>
  <c r="R134" i="7" s="1"/>
  <c r="Q130" i="7"/>
  <c r="R130" i="7" s="1"/>
  <c r="Q126" i="7"/>
  <c r="R126" i="7" s="1"/>
  <c r="Q122" i="7"/>
  <c r="R122" i="7" s="1"/>
  <c r="Q118" i="7"/>
  <c r="R118" i="7" s="1"/>
  <c r="Q114" i="7"/>
  <c r="R114" i="7" s="1"/>
  <c r="Q110" i="7"/>
  <c r="R110" i="7" s="1"/>
  <c r="Q106" i="7"/>
  <c r="R106" i="7" s="1"/>
  <c r="Q102" i="7"/>
  <c r="R102" i="7" s="1"/>
  <c r="Q98" i="7"/>
  <c r="R98" i="7" s="1"/>
  <c r="Q94" i="7"/>
  <c r="R94" i="7" s="1"/>
  <c r="Q90" i="7"/>
  <c r="R90" i="7" s="1"/>
  <c r="Q86" i="7"/>
  <c r="R86" i="7" s="1"/>
  <c r="Q82" i="7"/>
  <c r="R82" i="7" s="1"/>
  <c r="Q78" i="7"/>
  <c r="R78" i="7" s="1"/>
  <c r="Q74" i="7"/>
  <c r="R74" i="7" s="1"/>
  <c r="Q70" i="7"/>
  <c r="R70" i="7" s="1"/>
  <c r="Q66" i="7"/>
  <c r="R66" i="7" s="1"/>
  <c r="Q62" i="7"/>
  <c r="R62" i="7" s="1"/>
  <c r="Q58" i="7"/>
  <c r="R58" i="7" s="1"/>
  <c r="Q54" i="7"/>
  <c r="R54" i="7" s="1"/>
  <c r="Q50" i="7"/>
  <c r="R50" i="7" s="1"/>
  <c r="Q46" i="7"/>
  <c r="R46" i="7" s="1"/>
  <c r="Q42" i="7"/>
  <c r="R42" i="7" s="1"/>
  <c r="Q38" i="7"/>
  <c r="R38" i="7" s="1"/>
  <c r="Q34" i="7"/>
  <c r="R34" i="7" s="1"/>
  <c r="Q30" i="7"/>
  <c r="R30" i="7" s="1"/>
  <c r="Q26" i="7"/>
  <c r="R26" i="7" s="1"/>
  <c r="Q22" i="7"/>
  <c r="R22" i="7" s="1"/>
  <c r="Q18" i="7"/>
  <c r="R18" i="7" s="1"/>
  <c r="Q14" i="7"/>
  <c r="R14" i="7" s="1"/>
  <c r="Q10" i="7"/>
  <c r="R10" i="7" s="1"/>
  <c r="Q6" i="7"/>
  <c r="R6" i="7" s="1"/>
  <c r="Q497" i="7"/>
  <c r="R497" i="7" s="1"/>
</calcChain>
</file>

<file path=xl/sharedStrings.xml><?xml version="1.0" encoding="utf-8"?>
<sst xmlns="http://schemas.openxmlformats.org/spreadsheetml/2006/main" count="26014" uniqueCount="3831">
  <si>
    <t>Symbol</t>
  </si>
  <si>
    <t>Ilość</t>
  </si>
  <si>
    <t>XM</t>
  </si>
  <si>
    <t>ZS</t>
  </si>
  <si>
    <t>BW</t>
  </si>
  <si>
    <t>HT</t>
  </si>
  <si>
    <t>OIL FILTER CHAIN</t>
  </si>
  <si>
    <t>Uwagi</t>
  </si>
  <si>
    <t>Stan</t>
  </si>
  <si>
    <t>Stan minimalny</t>
  </si>
  <si>
    <t>Rezerwacja</t>
  </si>
  <si>
    <t>MACHINIST HAMMER FORGED 500G DIN 1041, ROUND&amp; FLAT WEDGES FIXING</t>
  </si>
  <si>
    <t>MACHINIST HAMMER FORGED 2000G DIN 1041, ROUND&amp; FLAT WEDGES FIXING</t>
  </si>
  <si>
    <t>GARDEN COMFORT PADS RUBBER, 2X</t>
  </si>
  <si>
    <t>COMBINATION PLIER 200MM POLISHED</t>
  </si>
  <si>
    <t>WATERPUMPPLIER 250MM BOX TYPE</t>
  </si>
  <si>
    <t>LOCKING PLIER MORSE 250MM</t>
  </si>
  <si>
    <t>WIRE STRIPPER 1.6, 2.0, 2.6, 4mm</t>
  </si>
  <si>
    <t>GLUE GUN 8MM 10W CE LEAFLET INSIDE</t>
  </si>
  <si>
    <t>GLUE GUN 8MM 10W CE LEAFLET INSIDE, DECORATIVE HANDLE + 6 COLOR GLITTERING GLUE STICKS</t>
  </si>
  <si>
    <t>COMBINATION SPANNER SET 6-19MM WS 8X</t>
  </si>
  <si>
    <t>COMBINATION SPANNER SET 6-22MM WS 12X</t>
  </si>
  <si>
    <t>SOCKET SET 8-32MM 1/2'' CV 19X</t>
  </si>
  <si>
    <t>SOCKET SET 8-27MM 1/2'' CV 19X, SATIN FINISHED</t>
  </si>
  <si>
    <t>SOCKET SET 4-13MM 1/4'' 24T CV 27X</t>
  </si>
  <si>
    <t>SOCKET SET 1/4'' CV 29X</t>
  </si>
  <si>
    <t>SOCKET SET 1/4''+3/8''+1/2'' CV 150X</t>
  </si>
  <si>
    <t>MASONRY DRILL SET SDS 110/5-6MM + 160/6-8-10MM</t>
  </si>
  <si>
    <t>WOOD DRILL SET 4-5-6-7-8-10-12x300 7X</t>
  </si>
  <si>
    <t>COUNTERSINK MILLING SET 8MM 50X ALU CASE</t>
  </si>
  <si>
    <t>PARALLEL BENCH VICE 100MM 5KG</t>
  </si>
  <si>
    <t>PARALLEL BENCH VICE 125MM 6.5KG</t>
  </si>
  <si>
    <t>PARALLEL BENCH VICE 150MM 11KG</t>
  </si>
  <si>
    <t>PARALLEL BENCH VICE SWIVEL STEEL 150MM 12.5KG</t>
  </si>
  <si>
    <t>CHISEL 50MM/14MM/230MM</t>
  </si>
  <si>
    <t xml:space="preserve">CHISEL 60MM/16MM/210MM PROFI </t>
  </si>
  <si>
    <t>TAP AND DIE SET 24X ALLOY STEEL METAL CASE PROFI</t>
  </si>
  <si>
    <t>TAP AND DIE SET 60X</t>
  </si>
  <si>
    <t>CAULKING GUN SKELETON 225MM HEAVY</t>
  </si>
  <si>
    <t>CAULKING GUN 240MM PROFI HEAVY</t>
  </si>
  <si>
    <t>CUTTING DISC 115X1.6X22.2MM METAL</t>
  </si>
  <si>
    <t>STEEL BRUSH SET WOODEN HANDLE W/HOLE, 2-3-4 RAWS 3PCS</t>
  </si>
  <si>
    <t>STEEL BRUSH WOODEN HANDLE W/HOLE, 4 RAWS</t>
  </si>
  <si>
    <t>FOOT PUMP W/PRESS.GAUGE 1 CYLINDER</t>
  </si>
  <si>
    <t>Item</t>
  </si>
  <si>
    <t>tw_idProducenta</t>
  </si>
  <si>
    <t>ctw_id</t>
  </si>
  <si>
    <t>HQ</t>
  </si>
  <si>
    <t>A027</t>
  </si>
  <si>
    <t>A062</t>
  </si>
  <si>
    <t>TV!!!</t>
  </si>
  <si>
    <t>0294TZ</t>
  </si>
  <si>
    <t>627312A</t>
  </si>
  <si>
    <t>627532A</t>
  </si>
  <si>
    <t>A543</t>
  </si>
  <si>
    <t>A987</t>
  </si>
  <si>
    <t>664925B</t>
  </si>
  <si>
    <t>0444D</t>
  </si>
  <si>
    <t>P700</t>
  </si>
  <si>
    <t>P200</t>
  </si>
  <si>
    <t>A1034100</t>
  </si>
  <si>
    <t>P477</t>
  </si>
  <si>
    <t>A1034200</t>
  </si>
  <si>
    <t>A1034300</t>
  </si>
  <si>
    <t>A1034400</t>
  </si>
  <si>
    <t>A1034500</t>
  </si>
  <si>
    <t>A1034600</t>
  </si>
  <si>
    <t>A1034700</t>
  </si>
  <si>
    <t>A1034800</t>
  </si>
  <si>
    <t>A3004</t>
  </si>
  <si>
    <t>A3008</t>
  </si>
  <si>
    <t>A3010</t>
  </si>
  <si>
    <t>A3016</t>
  </si>
  <si>
    <t>A3033</t>
  </si>
  <si>
    <t>A3042</t>
  </si>
  <si>
    <t>A3087</t>
  </si>
  <si>
    <t>A3096</t>
  </si>
  <si>
    <t>A3100</t>
  </si>
  <si>
    <t>A3104</t>
  </si>
  <si>
    <t>A3133</t>
  </si>
  <si>
    <t>A9010005</t>
  </si>
  <si>
    <t>A9010015</t>
  </si>
  <si>
    <t>A9010022</t>
  </si>
  <si>
    <t>ACRB15</t>
  </si>
  <si>
    <t>ACRG15</t>
  </si>
  <si>
    <t>ACRG50</t>
  </si>
  <si>
    <t>CB9107</t>
  </si>
  <si>
    <t>D840240</t>
  </si>
  <si>
    <t>DK830251</t>
  </si>
  <si>
    <t>DK830252</t>
  </si>
  <si>
    <t>DK830253</t>
  </si>
  <si>
    <t>E660015</t>
  </si>
  <si>
    <t>E660017</t>
  </si>
  <si>
    <t>E660018</t>
  </si>
  <si>
    <t>E660019</t>
  </si>
  <si>
    <t>E660021</t>
  </si>
  <si>
    <t>E660111</t>
  </si>
  <si>
    <t>E660115</t>
  </si>
  <si>
    <t>E660121</t>
  </si>
  <si>
    <t>E660125</t>
  </si>
  <si>
    <t>E660131</t>
  </si>
  <si>
    <t>E660135</t>
  </si>
  <si>
    <t>E661130</t>
  </si>
  <si>
    <t>E661330</t>
  </si>
  <si>
    <t>E661440</t>
  </si>
  <si>
    <t>E661550</t>
  </si>
  <si>
    <t>E661570</t>
  </si>
  <si>
    <t>E662073</t>
  </si>
  <si>
    <t>E662093</t>
  </si>
  <si>
    <t>E662103</t>
  </si>
  <si>
    <t>E662398</t>
  </si>
  <si>
    <t>F250460</t>
  </si>
  <si>
    <t>F250700</t>
  </si>
  <si>
    <t>F250800</t>
  </si>
  <si>
    <t>F845045</t>
  </si>
  <si>
    <t>F845085</t>
  </si>
  <si>
    <t>F845200</t>
  </si>
  <si>
    <t>F846100</t>
  </si>
  <si>
    <t>F846200</t>
  </si>
  <si>
    <t>G250010</t>
  </si>
  <si>
    <t>G340930</t>
  </si>
  <si>
    <t>G831030</t>
  </si>
  <si>
    <t>G831031</t>
  </si>
  <si>
    <t>G831032</t>
  </si>
  <si>
    <t>GB02541</t>
  </si>
  <si>
    <t>GB30311</t>
  </si>
  <si>
    <t>LE642911</t>
  </si>
  <si>
    <t>LE642912</t>
  </si>
  <si>
    <t>LE642913</t>
  </si>
  <si>
    <t>M340932</t>
  </si>
  <si>
    <t>P733552</t>
  </si>
  <si>
    <t>P733553</t>
  </si>
  <si>
    <t>P733556</t>
  </si>
  <si>
    <t>P841326</t>
  </si>
  <si>
    <t>R476460</t>
  </si>
  <si>
    <t>S254000</t>
  </si>
  <si>
    <t>P296</t>
  </si>
  <si>
    <t>S254005</t>
  </si>
  <si>
    <t>T250010</t>
  </si>
  <si>
    <t>T738434</t>
  </si>
  <si>
    <t>T738438</t>
  </si>
  <si>
    <t>T738536</t>
  </si>
  <si>
    <t>TE250010</t>
  </si>
  <si>
    <t>TR241210</t>
  </si>
  <si>
    <t>TR241250</t>
  </si>
  <si>
    <t>TR430018</t>
  </si>
  <si>
    <t>TR44056871</t>
  </si>
  <si>
    <t>P343</t>
  </si>
  <si>
    <t>TR44056877</t>
  </si>
  <si>
    <t>TR44056891</t>
  </si>
  <si>
    <t>TR44057012</t>
  </si>
  <si>
    <t>TR44057013</t>
  </si>
  <si>
    <t>TR44057032</t>
  </si>
  <si>
    <t>TR44089298</t>
  </si>
  <si>
    <t>TR44089299</t>
  </si>
  <si>
    <t>TR443108523</t>
  </si>
  <si>
    <t>TR443172401</t>
  </si>
  <si>
    <t>TR443172515</t>
  </si>
  <si>
    <t>TR443178501</t>
  </si>
  <si>
    <t>TR443179001</t>
  </si>
  <si>
    <t>TR645400</t>
  </si>
  <si>
    <t>TR645410</t>
  </si>
  <si>
    <t>TR700290</t>
  </si>
  <si>
    <t>TR733000</t>
  </si>
  <si>
    <t>V250010</t>
  </si>
  <si>
    <t>W060390</t>
  </si>
  <si>
    <t>W060392</t>
  </si>
  <si>
    <t>W060400</t>
  </si>
  <si>
    <t>W060600</t>
  </si>
  <si>
    <t>W060800</t>
  </si>
  <si>
    <t>W080600</t>
  </si>
  <si>
    <t>W080800</t>
  </si>
  <si>
    <t>W081000</t>
  </si>
  <si>
    <t>W081200</t>
  </si>
  <si>
    <t>W100800</t>
  </si>
  <si>
    <t>W453100</t>
  </si>
  <si>
    <t>W453130</t>
  </si>
  <si>
    <t>W476400</t>
  </si>
  <si>
    <t>W476410</t>
  </si>
  <si>
    <t>W627021</t>
  </si>
  <si>
    <t>W652000</t>
  </si>
  <si>
    <t>W652010</t>
  </si>
  <si>
    <t>W960370</t>
  </si>
  <si>
    <t>W960372</t>
  </si>
  <si>
    <t>W960380</t>
  </si>
  <si>
    <t>W960381</t>
  </si>
  <si>
    <t>W960382</t>
  </si>
  <si>
    <t>W960383</t>
  </si>
  <si>
    <t>WPGO061000</t>
  </si>
  <si>
    <t>WPGO081000</t>
  </si>
  <si>
    <t>WPGO101000</t>
  </si>
  <si>
    <t>WPGO121000</t>
  </si>
  <si>
    <t>WPGO141000</t>
  </si>
  <si>
    <t>WPGO161000</t>
  </si>
  <si>
    <t>WPGO201000</t>
  </si>
  <si>
    <t>WPGO241000</t>
  </si>
  <si>
    <t>Y101010</t>
  </si>
  <si>
    <t>Y102010</t>
  </si>
  <si>
    <t>Y137600</t>
  </si>
  <si>
    <t>Y140060</t>
  </si>
  <si>
    <t>Y140070</t>
  </si>
  <si>
    <t>Y140080</t>
  </si>
  <si>
    <t>Y154060</t>
  </si>
  <si>
    <t>Y156600</t>
  </si>
  <si>
    <t>Y194260</t>
  </si>
  <si>
    <t>Y194280</t>
  </si>
  <si>
    <t>Y230030</t>
  </si>
  <si>
    <t>Y261012</t>
  </si>
  <si>
    <t>Y261112</t>
  </si>
  <si>
    <t>Y261322</t>
  </si>
  <si>
    <t>Y261410</t>
  </si>
  <si>
    <t>Y320080</t>
  </si>
  <si>
    <t>Y34000</t>
  </si>
  <si>
    <t>TB</t>
  </si>
  <si>
    <t>Y410341</t>
  </si>
  <si>
    <t>Y410342</t>
  </si>
  <si>
    <t>Y410343</t>
  </si>
  <si>
    <t>Y410344</t>
  </si>
  <si>
    <t>Y410345</t>
  </si>
  <si>
    <t>Y450090</t>
  </si>
  <si>
    <t>Y453010</t>
  </si>
  <si>
    <t>Y453011</t>
  </si>
  <si>
    <t>Y453015</t>
  </si>
  <si>
    <t>Y453020</t>
  </si>
  <si>
    <t>Y453025</t>
  </si>
  <si>
    <t>Y453030</t>
  </si>
  <si>
    <t>Y453040</t>
  </si>
  <si>
    <t>Y453045</t>
  </si>
  <si>
    <t>Y453050</t>
  </si>
  <si>
    <t>Y453060</t>
  </si>
  <si>
    <t>Y453080</t>
  </si>
  <si>
    <t>Y453100</t>
  </si>
  <si>
    <t>Y483000</t>
  </si>
  <si>
    <t>Y519020</t>
  </si>
  <si>
    <t>Y519038</t>
  </si>
  <si>
    <t>Y520400</t>
  </si>
  <si>
    <t>Y520600</t>
  </si>
  <si>
    <t>Y531520</t>
  </si>
  <si>
    <t>Y543000</t>
  </si>
  <si>
    <t>Y552500</t>
  </si>
  <si>
    <t>Y553000</t>
  </si>
  <si>
    <t>Y563000</t>
  </si>
  <si>
    <t>Y614012</t>
  </si>
  <si>
    <t>Y620040</t>
  </si>
  <si>
    <t>Y624200</t>
  </si>
  <si>
    <t>Y624400</t>
  </si>
  <si>
    <t>Y630010</t>
  </si>
  <si>
    <t>Y635202</t>
  </si>
  <si>
    <t>Y638004</t>
  </si>
  <si>
    <t>Y638006</t>
  </si>
  <si>
    <t>Y638008</t>
  </si>
  <si>
    <t>Y638010</t>
  </si>
  <si>
    <t>Y685050</t>
  </si>
  <si>
    <t>Y685220</t>
  </si>
  <si>
    <t>Y685230</t>
  </si>
  <si>
    <t>Y686200</t>
  </si>
  <si>
    <t>Y686300</t>
  </si>
  <si>
    <t>Y700080</t>
  </si>
  <si>
    <t>Y700160</t>
  </si>
  <si>
    <t>Y701220</t>
  </si>
  <si>
    <t>Y712070</t>
  </si>
  <si>
    <t>Y714070</t>
  </si>
  <si>
    <t>Y714110</t>
  </si>
  <si>
    <t>Y721400</t>
  </si>
  <si>
    <t>Y721900</t>
  </si>
  <si>
    <t>Y731060</t>
  </si>
  <si>
    <t>Y73315</t>
  </si>
  <si>
    <t>Y734050</t>
  </si>
  <si>
    <t>Y735076</t>
  </si>
  <si>
    <t>Y743001</t>
  </si>
  <si>
    <t>Y743003</t>
  </si>
  <si>
    <t>Y750110</t>
  </si>
  <si>
    <t>Y750150</t>
  </si>
  <si>
    <t>Y750160</t>
  </si>
  <si>
    <t>Y841600</t>
  </si>
  <si>
    <t>Y900200</t>
  </si>
  <si>
    <t>Y910040</t>
  </si>
  <si>
    <t>Y93062</t>
  </si>
  <si>
    <t>Y96003</t>
  </si>
  <si>
    <t>Wartość netto</t>
  </si>
  <si>
    <t>MinStock</t>
  </si>
  <si>
    <t>Supplier</t>
  </si>
  <si>
    <t>DelivTime</t>
  </si>
  <si>
    <t>ITEM</t>
  </si>
  <si>
    <t>F</t>
  </si>
  <si>
    <t>CTN</t>
  </si>
  <si>
    <t>INBX</t>
  </si>
  <si>
    <t>S</t>
  </si>
  <si>
    <t>NAME</t>
  </si>
  <si>
    <t>nazwa angielska</t>
  </si>
  <si>
    <t>Opis</t>
  </si>
  <si>
    <t>nazwa niemiecka</t>
  </si>
  <si>
    <t>AVLB</t>
  </si>
  <si>
    <t>RSVD</t>
  </si>
  <si>
    <t>STOCK</t>
  </si>
  <si>
    <t>PLN</t>
  </si>
  <si>
    <t>USD</t>
  </si>
  <si>
    <t>EUR</t>
  </si>
  <si>
    <t>PROM</t>
  </si>
  <si>
    <t>Podstawowy dostawca</t>
  </si>
  <si>
    <t>Kod kreskowy</t>
  </si>
  <si>
    <t>package</t>
  </si>
  <si>
    <t>(brak)</t>
  </si>
  <si>
    <t xml:space="preserve"> </t>
  </si>
  <si>
    <t xml:space="preserve">MACHINIST HAMMER </t>
  </si>
  <si>
    <t xml:space="preserve">SCHLOSSERHAMMER </t>
  </si>
  <si>
    <t>sticker-bulk packing</t>
  </si>
  <si>
    <t>sticker - bulk packing</t>
  </si>
  <si>
    <t>D/F 300G</t>
  </si>
  <si>
    <t>D/F 500G</t>
  </si>
  <si>
    <t>D/F 600G</t>
  </si>
  <si>
    <t>MACHINIST HAMMER</t>
  </si>
  <si>
    <t>D/F 800G</t>
  </si>
  <si>
    <t>D/F 1000G</t>
  </si>
  <si>
    <t>D/F 1500G</t>
  </si>
  <si>
    <t>SCHLOSSERHAMMER</t>
  </si>
  <si>
    <t>D/F 2000G</t>
  </si>
  <si>
    <t xml:space="preserve">STONING HAMMER </t>
  </si>
  <si>
    <t>1000G</t>
  </si>
  <si>
    <t xml:space="preserve">FAUSTEL </t>
  </si>
  <si>
    <t>1500G</t>
  </si>
  <si>
    <t xml:space="preserve">CLAWHAMMER </t>
  </si>
  <si>
    <t>27MM FG PLASTIFIED</t>
  </si>
  <si>
    <t xml:space="preserve">KLAUENHAMMER </t>
  </si>
  <si>
    <t xml:space="preserve">ROOFING POINT HAMMER </t>
  </si>
  <si>
    <t xml:space="preserve">600G  D/F  </t>
  </si>
  <si>
    <t xml:space="preserve">LATTENHAMMER </t>
  </si>
  <si>
    <t>600G  D/F  FG  PLASTIFIED MAGNETIC</t>
  </si>
  <si>
    <t xml:space="preserve">BERLINER MAURERHAMMER </t>
  </si>
  <si>
    <t>BERLINER HAMMER</t>
  </si>
  <si>
    <t>600G D/F FG PLASTIFIED</t>
  </si>
  <si>
    <t>sticker</t>
  </si>
  <si>
    <t>POBIJAK BLACHARSKI GUMOWO-PLASTIKOWY</t>
  </si>
  <si>
    <t xml:space="preserve">MALLET HAMMER RUBBER/PLASTIC </t>
  </si>
  <si>
    <t>32MM</t>
  </si>
  <si>
    <t xml:space="preserve">AUSBEULHAMMER </t>
  </si>
  <si>
    <t xml:space="preserve">HQ - Canada </t>
  </si>
  <si>
    <t xml:space="preserve">RUBBER MALLET </t>
  </si>
  <si>
    <t>45MM</t>
  </si>
  <si>
    <t>GUMMI HAMMER</t>
  </si>
  <si>
    <t>55MM</t>
  </si>
  <si>
    <t xml:space="preserve">GUMMI HAMMER </t>
  </si>
  <si>
    <t>50MM 500G METAL</t>
  </si>
  <si>
    <t>65MM METAL</t>
  </si>
  <si>
    <t xml:space="preserve">65MM </t>
  </si>
  <si>
    <t>90MM METAL</t>
  </si>
  <si>
    <t>60MM, FG, WHITE, PROFI</t>
  </si>
  <si>
    <t>90MM 1250G</t>
  </si>
  <si>
    <t>NAKOLANNIKI</t>
  </si>
  <si>
    <t xml:space="preserve">GARDEN COMFORT PADS </t>
  </si>
  <si>
    <t>RUBBER</t>
  </si>
  <si>
    <t xml:space="preserve">KNIESCHONER </t>
  </si>
  <si>
    <t>polybag header</t>
  </si>
  <si>
    <t>KNEE PADS</t>
  </si>
  <si>
    <t>GEL DOUBLE</t>
  </si>
  <si>
    <t xml:space="preserve">KNIESCHONER, </t>
  </si>
  <si>
    <t>display carton + sticker</t>
  </si>
  <si>
    <t xml:space="preserve">WRECKING BAR RUBBER HANDLE </t>
  </si>
  <si>
    <t xml:space="preserve">RUBBER 300 x 12MM </t>
  </si>
  <si>
    <t xml:space="preserve">NAGELEISEN </t>
  </si>
  <si>
    <t>pvc bag</t>
  </si>
  <si>
    <t>PRY BAR</t>
  </si>
  <si>
    <t xml:space="preserve">380MM </t>
  </si>
  <si>
    <t xml:space="preserve">WRECKING BAR </t>
  </si>
  <si>
    <t>600 x14MM</t>
  </si>
  <si>
    <t>KOMBINERKI</t>
  </si>
  <si>
    <t xml:space="preserve">COMBINATION PLIER </t>
  </si>
  <si>
    <t>160MM POLISHED</t>
  </si>
  <si>
    <t>KOMBINATIONSZANGE</t>
  </si>
  <si>
    <t>plastic header</t>
  </si>
  <si>
    <t>175MM POLISHED</t>
  </si>
  <si>
    <t xml:space="preserve">KOMBINATIONSZANGE </t>
  </si>
  <si>
    <t>200MM POLISHED</t>
  </si>
  <si>
    <t>160MM HEAVY DUTY BLACK</t>
  </si>
  <si>
    <t xml:space="preserve">175MM HEAVY DUTY BLACK </t>
  </si>
  <si>
    <t>SZCZYPCE BOCZNE</t>
  </si>
  <si>
    <t xml:space="preserve">SIDE CUTTING PLIER </t>
  </si>
  <si>
    <t xml:space="preserve">SEITENSCHNEIDER </t>
  </si>
  <si>
    <t>175MM HEAVY DUTY  BLACK</t>
  </si>
  <si>
    <t>ZESTAW SZCZYPIEC MINI</t>
  </si>
  <si>
    <t xml:space="preserve">PLIER SET </t>
  </si>
  <si>
    <t>2x110MM + 2x120MM</t>
  </si>
  <si>
    <t xml:space="preserve">ZANGENSATZ </t>
  </si>
  <si>
    <t>slide blister card</t>
  </si>
  <si>
    <t>SZCZYPCE DO RUR NASTAWNE ROWKOWE</t>
  </si>
  <si>
    <t xml:space="preserve">WATERPUMPPLIER </t>
  </si>
  <si>
    <t>250MM D/F</t>
  </si>
  <si>
    <t>WASSERPUMPEZANGE</t>
  </si>
  <si>
    <t>250MM BOX TYPE</t>
  </si>
  <si>
    <t xml:space="preserve">WASSERPUMPEZANGE GEZAHNT </t>
  </si>
  <si>
    <t>pvc bag + sticker</t>
  </si>
  <si>
    <t>SZCZYPCE ZACISKOWE MORSE'A</t>
  </si>
  <si>
    <t xml:space="preserve">LOCKING PLIER MORSE </t>
  </si>
  <si>
    <t>250MM</t>
  </si>
  <si>
    <t xml:space="preserve">GRIPZANGE </t>
  </si>
  <si>
    <t>sticker + protection foil bag</t>
  </si>
  <si>
    <t>250MM LONG NOSE</t>
  </si>
  <si>
    <t>tag on string</t>
  </si>
  <si>
    <t>250MM FLAT JAWS</t>
  </si>
  <si>
    <t>250MM C-SHAPE JAWS</t>
  </si>
  <si>
    <t>KLUCZ SZWEDZKI</t>
  </si>
  <si>
    <t xml:space="preserve">PIPE WRENCH </t>
  </si>
  <si>
    <t>1''</t>
  </si>
  <si>
    <t xml:space="preserve">ECKROHRZANGE </t>
  </si>
  <si>
    <t>carton box</t>
  </si>
  <si>
    <t>2''</t>
  </si>
  <si>
    <t xml:space="preserve">'S' 1''  </t>
  </si>
  <si>
    <t>carton box+sticker</t>
  </si>
  <si>
    <t>PIPE WRENCH</t>
  </si>
  <si>
    <t>'S' 1.5''</t>
  </si>
  <si>
    <t>'S' 2''</t>
  </si>
  <si>
    <t xml:space="preserve">RABIT PINCER </t>
  </si>
  <si>
    <t>225MM</t>
  </si>
  <si>
    <t xml:space="preserve">RABITZANGE </t>
  </si>
  <si>
    <t>plastic black header/hanger + 2-side sticker</t>
  </si>
  <si>
    <t xml:space="preserve">BLINDNIETZANGE </t>
  </si>
  <si>
    <t xml:space="preserve">RIVETING PLIER </t>
  </si>
  <si>
    <t>2.4-3.2-4.0 -4.8MM HEAVY DUTY</t>
  </si>
  <si>
    <t>RIVETING PLIER PROFI</t>
  </si>
  <si>
    <t>2.4-3.2-4.0- 4.8MM 450MM PROFI</t>
  </si>
  <si>
    <t>BLINDNIETZANGE PROFI</t>
  </si>
  <si>
    <t xml:space="preserve">BLINDNIETZANGESATZ </t>
  </si>
  <si>
    <t>2.4-3.2-4.0 -4.8MM + 100X</t>
  </si>
  <si>
    <t>plastic case</t>
  </si>
  <si>
    <t>RIVETER ADAPTOR</t>
  </si>
  <si>
    <t>2.4-3.2 -4.0-4.8MM ALU RIVETS 3X</t>
  </si>
  <si>
    <t>NIETGERAET FUER BOHRMASCHINE</t>
  </si>
  <si>
    <t>blister card</t>
  </si>
  <si>
    <t>ZESTAW PRZEBIJAKÓW RYMARSKICH</t>
  </si>
  <si>
    <t>PUNCH PLIER SET</t>
  </si>
  <si>
    <t>230+150MM 100GROMMETS</t>
  </si>
  <si>
    <t>STEMPELSATZ</t>
  </si>
  <si>
    <t>SZCZYPCE SEEGERA</t>
  </si>
  <si>
    <t>CIRCLIP PLIER</t>
  </si>
  <si>
    <t>150MM 5X</t>
  </si>
  <si>
    <t>SEEGERRINGZANGE</t>
  </si>
  <si>
    <t>ZSZYWACZ TAPICERSKI</t>
  </si>
  <si>
    <t xml:space="preserve">TACKER </t>
  </si>
  <si>
    <t>4-8MM METAL</t>
  </si>
  <si>
    <t xml:space="preserve">NAGLER </t>
  </si>
  <si>
    <t>4-14MM METAL HEAVY DUTY</t>
  </si>
  <si>
    <t>3-WAY 4-14MM METAL HEAVY DUTY</t>
  </si>
  <si>
    <t>ZACISKARKA WTYKÓW SIECIOWYCH</t>
  </si>
  <si>
    <t>NET CABLE CRIMPER</t>
  </si>
  <si>
    <t>8P8C/RJ45, 6P6C/RJ12, 6P4C/RJ11</t>
  </si>
  <si>
    <t>CRIMPZANGE</t>
  </si>
  <si>
    <t>SZCZYPCE DO ZAPRAWIANIA KABLI</t>
  </si>
  <si>
    <t>WIRE STRIPPERS</t>
  </si>
  <si>
    <t>1.6, 2.0, 2.6, 4MM</t>
  </si>
  <si>
    <t>ZACISKI DO PRZEWODÓW</t>
  </si>
  <si>
    <t xml:space="preserve">CABLE TIE SET </t>
  </si>
  <si>
    <t xml:space="preserve">KABELBINDER-SORTIMENT </t>
  </si>
  <si>
    <t>190x4.7MM NYLON WHITE 50X</t>
  </si>
  <si>
    <t>190x4.7MM NYLON BLACK 50X</t>
  </si>
  <si>
    <t>300x4.7MM BLACK NYLON 50X</t>
  </si>
  <si>
    <t>500x4.7MM WHITE NYLON 30X</t>
  </si>
  <si>
    <t>500x4.7MM BLACK NYLON 30X</t>
  </si>
  <si>
    <t>530x7.6MM WHITE NYLON 20X</t>
  </si>
  <si>
    <t>530x7.6MM BLACK NYLON 20X</t>
  </si>
  <si>
    <t xml:space="preserve">CLAMP GERMAN TYPE </t>
  </si>
  <si>
    <t xml:space="preserve">X6, 2x(10-16, 16-25, 20-32MM) </t>
  </si>
  <si>
    <t>SCHELLENSATZ</t>
  </si>
  <si>
    <t>CLAMP GERMAN TYPE,</t>
  </si>
  <si>
    <t xml:space="preserve">X8, 2x(10-16, 12-22, 16-27, 25-40MM) </t>
  </si>
  <si>
    <t xml:space="preserve">SCHELLENSATZ </t>
  </si>
  <si>
    <t xml:space="preserve">BASTLER-SCHRAUBZWINGE </t>
  </si>
  <si>
    <t xml:space="preserve">F-CLAMP </t>
  </si>
  <si>
    <t>500x120MM PROFI</t>
  </si>
  <si>
    <t>800x120MM PROFI</t>
  </si>
  <si>
    <t>CORNER CLAMP</t>
  </si>
  <si>
    <t>75MM</t>
  </si>
  <si>
    <t>WINKELSPANNER</t>
  </si>
  <si>
    <t>color sticker</t>
  </si>
  <si>
    <t>140x68MM ALUMINIUM</t>
  </si>
  <si>
    <t>color box + sticker</t>
  </si>
  <si>
    <t xml:space="preserve">C-CLAMP SET </t>
  </si>
  <si>
    <t>25-50-75MM 3X</t>
  </si>
  <si>
    <t xml:space="preserve">C-ZWINGENSATZ </t>
  </si>
  <si>
    <t>PISTOLET DO KLEJU</t>
  </si>
  <si>
    <t xml:space="preserve">GLUE GUN </t>
  </si>
  <si>
    <t>8MM</t>
  </si>
  <si>
    <t>SCHMELZKLEBEPISTOLE</t>
  </si>
  <si>
    <t>double blister</t>
  </si>
  <si>
    <t xml:space="preserve">PISTOLET DO KLEJU </t>
  </si>
  <si>
    <t>8MM DECORATIVE</t>
  </si>
  <si>
    <t>11MM</t>
  </si>
  <si>
    <t xml:space="preserve">SCHMELZKLEBEPISTOLE </t>
  </si>
  <si>
    <t>SZTYFTY KLEJOWE</t>
  </si>
  <si>
    <t xml:space="preserve">GLUE STICKS </t>
  </si>
  <si>
    <t xml:space="preserve">HEISSKLEBEPATRONEN </t>
  </si>
  <si>
    <t>11x100MM, 6X</t>
  </si>
  <si>
    <t>11x100MM 6X COLOR GLITTER</t>
  </si>
  <si>
    <t>11x200MM, 20X</t>
  </si>
  <si>
    <t>FOLIA MALARSKA</t>
  </si>
  <si>
    <t xml:space="preserve">COVER </t>
  </si>
  <si>
    <t>2.5x4M 0.004MM</t>
  </si>
  <si>
    <t xml:space="preserve">ABDECKFOLIE </t>
  </si>
  <si>
    <t>COVER</t>
  </si>
  <si>
    <t>4x5M 0.004MM</t>
  </si>
  <si>
    <t>PLANDEKA NIEPRZEMAKALNA</t>
  </si>
  <si>
    <t>TARPAULIN</t>
  </si>
  <si>
    <t>2x3M CUT SIZE</t>
  </si>
  <si>
    <t xml:space="preserve">ABDECKPLANE </t>
  </si>
  <si>
    <t xml:space="preserve">TARPAULIN </t>
  </si>
  <si>
    <t>3x4M CUT SIZE</t>
  </si>
  <si>
    <t>3x5M CUT SIZE</t>
  </si>
  <si>
    <t>6x10M CUT SIZE</t>
  </si>
  <si>
    <t>10x12M CUT SIZE</t>
  </si>
  <si>
    <t>10x15M CUT SIZE</t>
  </si>
  <si>
    <t>15x16M CUT SIZE</t>
  </si>
  <si>
    <t>15x20M CUT SIZE</t>
  </si>
  <si>
    <t>20x20M CUT SIZE</t>
  </si>
  <si>
    <t>TOOLBELT LEATHER</t>
  </si>
  <si>
    <t>WERKZEUGGURTEL LEATHER</t>
  </si>
  <si>
    <t>KLUCZYKI DO WIERTARKI</t>
  </si>
  <si>
    <t xml:space="preserve">CHUCK KEY SET </t>
  </si>
  <si>
    <t>10MM 3/8''-13MM 17/32'' 2X</t>
  </si>
  <si>
    <t xml:space="preserve">BOHRFUTTERSCHLUSSELSATZ </t>
  </si>
  <si>
    <t>KLUCZ NASTAWNY</t>
  </si>
  <si>
    <t xml:space="preserve">ADJUSTABLE WRENCH </t>
  </si>
  <si>
    <t>150MM</t>
  </si>
  <si>
    <t xml:space="preserve">ROLLGABELSCHLUSSEL </t>
  </si>
  <si>
    <t>200MM</t>
  </si>
  <si>
    <t>300MM</t>
  </si>
  <si>
    <t>200MM HEAVY DUTY</t>
  </si>
  <si>
    <t>250MM HEAVY DUTY</t>
  </si>
  <si>
    <t>300MM HEAVY DUTY</t>
  </si>
  <si>
    <t>KLUCZ UNIWERSALNY</t>
  </si>
  <si>
    <t xml:space="preserve">UNIVERSAL WRENCH </t>
  </si>
  <si>
    <t>10'' #45-STEEL 8 - 30MM</t>
  </si>
  <si>
    <t xml:space="preserve">MULTI-FUNCTION SCHLUSSEL </t>
  </si>
  <si>
    <t>white box+sticker</t>
  </si>
  <si>
    <t>14'' #45-STEEL 25 - 60MM</t>
  </si>
  <si>
    <t xml:space="preserve">OPEN-END SPANNER SET </t>
  </si>
  <si>
    <t xml:space="preserve">GABELSCHLUSSELSATZ </t>
  </si>
  <si>
    <t>pvc shrink</t>
  </si>
  <si>
    <t>6-22MM WS 8X</t>
  </si>
  <si>
    <t>6-32MM CV 12X</t>
  </si>
  <si>
    <t>re-inforced wallet</t>
  </si>
  <si>
    <t>SPANNER STORAGE POUCH</t>
  </si>
  <si>
    <t>FOR 12 PCS SPANNERS (6-32MM)</t>
  </si>
  <si>
    <t>MAULSCHLUESSEL TASCHE</t>
  </si>
  <si>
    <t>KLUCZE OCZKOWE</t>
  </si>
  <si>
    <t xml:space="preserve">RING SPANNER SET </t>
  </si>
  <si>
    <t>RINGSCHLUSSELSATZ</t>
  </si>
  <si>
    <t xml:space="preserve">COMBINATION SPANNER SET </t>
  </si>
  <si>
    <t>10-17MM WS 6X</t>
  </si>
  <si>
    <t xml:space="preserve">GABEL-RINGSCHLUSSELSATZ </t>
  </si>
  <si>
    <t>pvc shrink +sticker</t>
  </si>
  <si>
    <t>6-19MM WS 8X</t>
  </si>
  <si>
    <t>GABEL-RINGSCHLUSSELSATZ</t>
  </si>
  <si>
    <t>6-19MM CV 8X</t>
  </si>
  <si>
    <t>6-22MM WS 12X</t>
  </si>
  <si>
    <t>6-22MM CV 12X HEAVY DUTY</t>
  </si>
  <si>
    <t>6-32MM CV 26X</t>
  </si>
  <si>
    <t>6-32MM CV 17X</t>
  </si>
  <si>
    <t>6-32MM WS 26X</t>
  </si>
  <si>
    <t xml:space="preserve">COMBINATION SPANNER </t>
  </si>
  <si>
    <t xml:space="preserve">GABEL-RINGSCHLUSSEL </t>
  </si>
  <si>
    <t>plastic hanger</t>
  </si>
  <si>
    <t>17MM CV</t>
  </si>
  <si>
    <t>KLUCZE IMBUSOWE</t>
  </si>
  <si>
    <t xml:space="preserve">HEX KEY WRENCH SET </t>
  </si>
  <si>
    <t>2-10MM 8X</t>
  </si>
  <si>
    <t xml:space="preserve">INNENSECHSKANTSCHLUSSELSATZ </t>
  </si>
  <si>
    <t>skin card</t>
  </si>
  <si>
    <t>KLUCZE TRX</t>
  </si>
  <si>
    <t>STAR HEX KEY SET T</t>
  </si>
  <si>
    <t>10-50 CV LONG 9X</t>
  </si>
  <si>
    <t>SCHLUSSELSATZ T</t>
  </si>
  <si>
    <t>10-50 CV SHORT 9X</t>
  </si>
  <si>
    <t xml:space="preserve">BALL HEX KEY SET </t>
  </si>
  <si>
    <t>1.5-10MM CV LONG 9X</t>
  </si>
  <si>
    <t>SCHLUSSELSATZ IMBUS</t>
  </si>
  <si>
    <t>1.5-10MM CV MIDDLE 9X</t>
  </si>
  <si>
    <t xml:space="preserve">SCHLUSSELSATZ IMBUS </t>
  </si>
  <si>
    <t>1.5-10MM CV SHORT 9X</t>
  </si>
  <si>
    <t xml:space="preserve">SCHLUSSELSATZ </t>
  </si>
  <si>
    <t>plastic foldable hanger</t>
  </si>
  <si>
    <t>KLUCZE IMBUSOWE Z JEDNYM UCHWYTEM</t>
  </si>
  <si>
    <t>1.5-6MM CV 8X</t>
  </si>
  <si>
    <t>FLEXIBLE BAR</t>
  </si>
  <si>
    <t>1/2'' 450MM CV</t>
  </si>
  <si>
    <t>protection foil+ sticker</t>
  </si>
  <si>
    <t>STAR KEY SET T</t>
  </si>
  <si>
    <t>10-40 STAR 7X</t>
  </si>
  <si>
    <t>TRX-SCHLUSSELSATZ T</t>
  </si>
  <si>
    <t>KLUCZ-GRZECHOTKA</t>
  </si>
  <si>
    <t xml:space="preserve">RATCHET W/RUB.GRIP </t>
  </si>
  <si>
    <t>1/4''</t>
  </si>
  <si>
    <t xml:space="preserve">UMSCHALTKNARRE </t>
  </si>
  <si>
    <t>RATCHET WRENCH</t>
  </si>
  <si>
    <t>1/4''+3/8"</t>
  </si>
  <si>
    <t xml:space="preserve">SLIDING  T-BAR </t>
  </si>
  <si>
    <t>1/2'' 250MM</t>
  </si>
  <si>
    <t xml:space="preserve">HANDGRIFF MIT GLEITSTUCK </t>
  </si>
  <si>
    <t>sticker, pvc bag</t>
  </si>
  <si>
    <t>ZESTAW NASADEK</t>
  </si>
  <si>
    <t xml:space="preserve">SOCKET SET </t>
  </si>
  <si>
    <t>1/2'' 4PCS 10-13 -17-19MM</t>
  </si>
  <si>
    <t xml:space="preserve">STECKSCHLUSSELSATZ </t>
  </si>
  <si>
    <t>ZESTAW KLUCZY NASADOWYCH</t>
  </si>
  <si>
    <t>4-13MM 1/4'' 16X</t>
  </si>
  <si>
    <t>STECKSCHLUSSELSATZ</t>
  </si>
  <si>
    <t>pvc hanger + shrink</t>
  </si>
  <si>
    <t>8-32MM 1/2'' CV 19X</t>
  </si>
  <si>
    <t>8-27MM 1/2''CV 19X SATIN</t>
  </si>
  <si>
    <t>10-32MM 1/2'' 24X</t>
  </si>
  <si>
    <t>8-32MM 1/2'' CV 26X</t>
  </si>
  <si>
    <t>4-13MM 1/4'' 24T CV 27X</t>
  </si>
  <si>
    <t>1/4'' CV 29X</t>
  </si>
  <si>
    <t>1/4''+3/8''+1/2'' CV 150X</t>
  </si>
  <si>
    <t>ZESTAW DO ZACISKÓW HAMULCOWYCH</t>
  </si>
  <si>
    <t>BRAKE CALIPER PISTON TOOLS</t>
  </si>
  <si>
    <t>12X</t>
  </si>
  <si>
    <t>BREMSKOLBEN-RÜCKSTELL-WERKZEUG</t>
  </si>
  <si>
    <t>BMC + shrink foil + leaflet</t>
  </si>
  <si>
    <t>COIL SPRING COMPRESSOR</t>
  </si>
  <si>
    <t>FEDERSPANNER</t>
  </si>
  <si>
    <t>color box</t>
  </si>
  <si>
    <t>285MM 2X</t>
  </si>
  <si>
    <t>21X</t>
  </si>
  <si>
    <t>BEARING SEPARATOR ASSEMBLY KIT</t>
  </si>
  <si>
    <t>ZESTAW SZCZYPIEC DO OPASEK ZACISKOWYCH</t>
  </si>
  <si>
    <t>HOSE CLAMP PLIER SET</t>
  </si>
  <si>
    <t>9X</t>
  </si>
  <si>
    <t>SCHLAUCHKLEMMENZANGE SET</t>
  </si>
  <si>
    <t>MOTOR EINSTELL WERKZEUG SET</t>
  </si>
  <si>
    <t>ENGINE TIMING TOOL</t>
  </si>
  <si>
    <t>VAG VW AUDI SKODA</t>
  </si>
  <si>
    <t>ZESTAW FREZÓW DO GNIAZD WTRYSKIWACZY</t>
  </si>
  <si>
    <t>INJECTOR CUTTER SET</t>
  </si>
  <si>
    <t>DIESEL 7X</t>
  </si>
  <si>
    <t>INJEKTOREN  DICHTFLACHEN FRAESER SET</t>
  </si>
  <si>
    <t>CHAIN BREAKER AND RIVETING TOOL</t>
  </si>
  <si>
    <t>13X</t>
  </si>
  <si>
    <t>KETTENBRECHER NIETWERKZEUG</t>
  </si>
  <si>
    <t>BMC with sticker</t>
  </si>
  <si>
    <t>10X</t>
  </si>
  <si>
    <t>5X</t>
  </si>
  <si>
    <t>ZESTAW DO NAPRAWY GWINTÓW</t>
  </si>
  <si>
    <t>THREAD REPAIR SET</t>
  </si>
  <si>
    <t>REPARTURSATZ FUR GEWINDE</t>
  </si>
  <si>
    <t>metal box + shrink foil + leaflet</t>
  </si>
  <si>
    <t>131X</t>
  </si>
  <si>
    <t>3X</t>
  </si>
  <si>
    <t>slide blister</t>
  </si>
  <si>
    <t>ROTARY BARREL PUMP</t>
  </si>
  <si>
    <t xml:space="preserve">ALU </t>
  </si>
  <si>
    <t>FASSPUMPE</t>
  </si>
  <si>
    <t>carton box + sticker</t>
  </si>
  <si>
    <t xml:space="preserve">TWIST DRILL SET </t>
  </si>
  <si>
    <t>SPIRALBOHRERSATZ</t>
  </si>
  <si>
    <t>plastic box</t>
  </si>
  <si>
    <t>TWIST DRILL SET</t>
  </si>
  <si>
    <t>1.5-6.5MM HSS 13X</t>
  </si>
  <si>
    <t xml:space="preserve">SPIRALBOHRERSATZ </t>
  </si>
  <si>
    <t>2-8MM HSS 13X</t>
  </si>
  <si>
    <t>WHITE 1.5-6.5MM HSS 13X</t>
  </si>
  <si>
    <t>plastic box + sticker on back side</t>
  </si>
  <si>
    <t>1-10MM HSS TITAN 19X</t>
  </si>
  <si>
    <t>plastic box+sticker</t>
  </si>
  <si>
    <t>1-10MM HSS TITAN 170X</t>
  </si>
  <si>
    <t>metal box+sticker</t>
  </si>
  <si>
    <t xml:space="preserve">1.5-6.5MM HSS TITAN HEX SHANK 13X </t>
  </si>
  <si>
    <t xml:space="preserve">MASONRY DRILL/CHISEL SET SDS </t>
  </si>
  <si>
    <t>MIX 12X</t>
  </si>
  <si>
    <t xml:space="preserve">STEINBOHRER/BEITELSATZ SDS </t>
  </si>
  <si>
    <t>MASONRY DRILL SET SDS</t>
  </si>
  <si>
    <t>110/5-6MM + 160/6-8-10MM 5X</t>
  </si>
  <si>
    <t xml:space="preserve">STEINBOHRERSATZ SDS </t>
  </si>
  <si>
    <t>ADAPTER DO OTWORNICY DO BETONU</t>
  </si>
  <si>
    <t xml:space="preserve">MASONRY HOLE SAW ADAPTOR </t>
  </si>
  <si>
    <t>SDS 110MM</t>
  </si>
  <si>
    <t xml:space="preserve">BETONLOCHSAEGE - ADAPTOR </t>
  </si>
  <si>
    <t xml:space="preserve">MASONRY DRILL SET SDS </t>
  </si>
  <si>
    <t>8-10-12 x260MM 3X</t>
  </si>
  <si>
    <t>pvc pouch</t>
  </si>
  <si>
    <t>10-14-20 x400MM 3X</t>
  </si>
  <si>
    <t xml:space="preserve">CHISEL SET SDS </t>
  </si>
  <si>
    <t>16X200 2X POINT+FLAT</t>
  </si>
  <si>
    <t>BEITELSATZT BETON SDS</t>
  </si>
  <si>
    <t xml:space="preserve">CHISEL SDS </t>
  </si>
  <si>
    <t xml:space="preserve">BEITEL SDS SDS </t>
  </si>
  <si>
    <t>14X250 FLAT</t>
  </si>
  <si>
    <t>16x250 U-SHAPE</t>
  </si>
  <si>
    <t>plastic tube box + sticker</t>
  </si>
  <si>
    <t>ADAPTER</t>
  </si>
  <si>
    <t>ADAPTOR</t>
  </si>
  <si>
    <t>DRILL CHUCK WITH SDS ADAPTER</t>
  </si>
  <si>
    <t>1/2'' 1.5-13MM 3X</t>
  </si>
  <si>
    <t xml:space="preserve">BOHRERKOPF </t>
  </si>
  <si>
    <t xml:space="preserve">DRILL CHUCK </t>
  </si>
  <si>
    <t>1/2'' 2-13MM SDS ADAPTOR</t>
  </si>
  <si>
    <t>BOHRERKOPF</t>
  </si>
  <si>
    <t xml:space="preserve">WOOD DRILL SET </t>
  </si>
  <si>
    <t>3-10MM 8X</t>
  </si>
  <si>
    <t xml:space="preserve">HOLZBOHRERSATZ </t>
  </si>
  <si>
    <t>WOOD DRILL SET</t>
  </si>
  <si>
    <t>3-10MM 8X (PLASTIC BOX)</t>
  </si>
  <si>
    <t>4,5,6,8,10MM HEX SHANK 5X</t>
  </si>
  <si>
    <t>3-10MM HEX SHANK 8X</t>
  </si>
  <si>
    <t>8-10-12x300MM 3X</t>
  </si>
  <si>
    <t>4-5-6-7-8 -10-12x300MM 7X</t>
  </si>
  <si>
    <t xml:space="preserve">FLATBIT WOOD DRILL SET </t>
  </si>
  <si>
    <t>10-12-16 -18-20-25MM 6X</t>
  </si>
  <si>
    <t xml:space="preserve">FLACHFRASBOHRERSATZ </t>
  </si>
  <si>
    <t>PVC wallet</t>
  </si>
  <si>
    <t>6-25MM HEX SHANK 13X</t>
  </si>
  <si>
    <t>wooden box</t>
  </si>
  <si>
    <t>FREZY DO DREWNA</t>
  </si>
  <si>
    <t>COUNTERSINKSET FOR DRILL MACHINE</t>
  </si>
  <si>
    <t>15-20-25-30-35 x 8MM 5X</t>
  </si>
  <si>
    <t xml:space="preserve">HOLZFRASERSATZ </t>
  </si>
  <si>
    <t>wooden case</t>
  </si>
  <si>
    <t>FREZY DO DREWNA PROFI</t>
  </si>
  <si>
    <t>COUNTERSINK MILLING SET PROFI</t>
  </si>
  <si>
    <t>8MM 12X ALU CASE</t>
  </si>
  <si>
    <t>HOLZOBERFRASERSATZ  PROFI</t>
  </si>
  <si>
    <t>shrink foil + sticker</t>
  </si>
  <si>
    <t>8MM 50X ALU CASE</t>
  </si>
  <si>
    <t>KOMBI-BOHRERSATZ</t>
  </si>
  <si>
    <t xml:space="preserve">COMBI-DRILL SET </t>
  </si>
  <si>
    <t>3-4-5-6-8-10MM 18X</t>
  </si>
  <si>
    <t>SCREW EXTRACTOR</t>
  </si>
  <si>
    <t>HCS 5X  M3-18</t>
  </si>
  <si>
    <t>SCHRAUBENAUSDREHERSATZ</t>
  </si>
  <si>
    <t>PVC BOX + sticker</t>
  </si>
  <si>
    <t>HCS 6X M3-25</t>
  </si>
  <si>
    <t xml:space="preserve">DRILLS+BITS+PLUGS </t>
  </si>
  <si>
    <t>300X</t>
  </si>
  <si>
    <t xml:space="preserve">BITSEN, BOHRER UND DUBELSATZ </t>
  </si>
  <si>
    <t>plastic box+shrink+sticker</t>
  </si>
  <si>
    <t>PARALLEL BENCH VICE</t>
  </si>
  <si>
    <t>75MM 4KG</t>
  </si>
  <si>
    <t>PARALLEL SCHRAUBSTOCK</t>
  </si>
  <si>
    <t>photo color box</t>
  </si>
  <si>
    <t>100MM 5KG</t>
  </si>
  <si>
    <t>125MM 6.5KG</t>
  </si>
  <si>
    <t>150MM 11KG</t>
  </si>
  <si>
    <t>PARALLEL BENCH VICE SWIVEL STEEL</t>
  </si>
  <si>
    <t>100MM 5.5KG</t>
  </si>
  <si>
    <t>PARALLEL SCHRAUBSTOCK DREHB.</t>
  </si>
  <si>
    <t>PARALLEL BENCH VICE SWIVEL PROFI</t>
  </si>
  <si>
    <t>125MM 7.5KG</t>
  </si>
  <si>
    <t>PARALLEL SCHRAUBSTOCK DREHB.SCHWER</t>
  </si>
  <si>
    <t>150MM 12.5KG</t>
  </si>
  <si>
    <t>TABLE VICE W/HAND FIXING</t>
  </si>
  <si>
    <t>40MM</t>
  </si>
  <si>
    <t>TISCH SCHRAUBSTOCK</t>
  </si>
  <si>
    <t>50MM</t>
  </si>
  <si>
    <t>TABLE-VICE SWIVEL LIGHT</t>
  </si>
  <si>
    <t>60MM</t>
  </si>
  <si>
    <t>TISCH SCHRAUBSTOCK DREHB.</t>
  </si>
  <si>
    <t>DRILL PRESS VICE</t>
  </si>
  <si>
    <t>65MM  1,3KG</t>
  </si>
  <si>
    <t>SCHRAUBSTOCK</t>
  </si>
  <si>
    <t>HANDSAW HARDENED TEETH</t>
  </si>
  <si>
    <t>400MM HARDPOINT</t>
  </si>
  <si>
    <t>HANDSAGE GEHARTET ZAHN</t>
  </si>
  <si>
    <t>carton sleeve</t>
  </si>
  <si>
    <t>400MM PROFI</t>
  </si>
  <si>
    <t>pvc bag, PVC teeth protector</t>
  </si>
  <si>
    <t>450MM PROFI</t>
  </si>
  <si>
    <t>500MM PROFI</t>
  </si>
  <si>
    <t>550MM PROFI</t>
  </si>
  <si>
    <t>COMPASS SAW</t>
  </si>
  <si>
    <t>STICHSAGE</t>
  </si>
  <si>
    <t>d/b</t>
  </si>
  <si>
    <t>PLASTERBOARD SAW</t>
  </si>
  <si>
    <t>GIPSKARTONPLATTESAGE</t>
  </si>
  <si>
    <t>d/b 'try-it'</t>
  </si>
  <si>
    <t>HACKSAWFRAME ADJUST.</t>
  </si>
  <si>
    <t>300MM ALUMINIUM</t>
  </si>
  <si>
    <t>SAGEBOGEN VERSTELL.</t>
  </si>
  <si>
    <t>HACKSAWFRAME W/PLSTC HNDLE</t>
  </si>
  <si>
    <t>SAGEBOGEN KUNSTSTOFF</t>
  </si>
  <si>
    <t>BRZESZCZOTY DO METALU</t>
  </si>
  <si>
    <t>SAW BLADES</t>
  </si>
  <si>
    <t>300MM 12X</t>
  </si>
  <si>
    <t>SAGEBLATTER</t>
  </si>
  <si>
    <t>BI-METAL  12''x18T  2X</t>
  </si>
  <si>
    <t>OTWORNICA</t>
  </si>
  <si>
    <t>HOLE SAW</t>
  </si>
  <si>
    <t>1''  26-63MM  7X</t>
  </si>
  <si>
    <t>LOCHSAGE</t>
  </si>
  <si>
    <t>2''  26-63MM  7X</t>
  </si>
  <si>
    <t>1.5''  60-95MM  5X</t>
  </si>
  <si>
    <t>HOLE SAW SET</t>
  </si>
  <si>
    <t>19-64MM 11X</t>
  </si>
  <si>
    <t>64-127MM</t>
  </si>
  <si>
    <t>MITRE BOX+TENON SAW</t>
  </si>
  <si>
    <t>300/250MM WOOD</t>
  </si>
  <si>
    <t>GEHRUNGSLADE MIT SAGE</t>
  </si>
  <si>
    <t>MITRE BOX+TENON SAW PLASTIC</t>
  </si>
  <si>
    <t>300/300MM PLASTIC</t>
  </si>
  <si>
    <t>GEHRUNGSLADE MIT SAGE PLASTIK</t>
  </si>
  <si>
    <t>PRECISION MITRE BOX</t>
  </si>
  <si>
    <t>550MM</t>
  </si>
  <si>
    <t>GEHRUNGSSAGE</t>
  </si>
  <si>
    <t>shrink foil+sticker</t>
  </si>
  <si>
    <t>WHEEL CASTERS</t>
  </si>
  <si>
    <t>32MM RUBBER 4X</t>
  </si>
  <si>
    <t>LENKROLLERSATZ - GUMMI 32MM RUBBER 4X</t>
  </si>
  <si>
    <t>40MM NYLON 2+2</t>
  </si>
  <si>
    <t>LENKROLLERSATZ</t>
  </si>
  <si>
    <t>40MM RUBBER 2+2</t>
  </si>
  <si>
    <t>40MM PP 4X</t>
  </si>
  <si>
    <t>FURNITURE GLIDERS</t>
  </si>
  <si>
    <t>FILZGLEITER</t>
  </si>
  <si>
    <t>FURNITURE GLIDER FELT</t>
  </si>
  <si>
    <t>24X 28x3MM FELT SQUARE</t>
  </si>
  <si>
    <t>FILZGLEITERSATZ</t>
  </si>
  <si>
    <t>PVC re-open bag w/header</t>
  </si>
  <si>
    <t>125X WHITE FELT MIX SIZE</t>
  </si>
  <si>
    <t>125X BLACK FELT MIX SIZE</t>
  </si>
  <si>
    <t>24X 28x3MM FELT ROUND</t>
  </si>
  <si>
    <t>FURNITURE GLIDER FELT SET</t>
  </si>
  <si>
    <t>28X BROWN</t>
  </si>
  <si>
    <t xml:space="preserve">UTILITY KNIVES </t>
  </si>
  <si>
    <t xml:space="preserve">UNIVERSALMESSER </t>
  </si>
  <si>
    <t>COLOR MIX 12X</t>
  </si>
  <si>
    <t>polybag</t>
  </si>
  <si>
    <t xml:space="preserve">RIPPER KNIFE </t>
  </si>
  <si>
    <t xml:space="preserve">75/205MM 65Mn STEEL </t>
  </si>
  <si>
    <t xml:space="preserve">MESSER - RIPPER </t>
  </si>
  <si>
    <t xml:space="preserve">WALLPAPER SNAP-OFF KNIFE </t>
  </si>
  <si>
    <t>18MM, METAL SLIDE RAIL</t>
  </si>
  <si>
    <t>ABBRECHMESSER</t>
  </si>
  <si>
    <t xml:space="preserve">METAL SNAP-OFF KNIFE </t>
  </si>
  <si>
    <t>ZN-ALLOY HANDLE HEAVY 18MM</t>
  </si>
  <si>
    <t>ABBRECHMESSER AUS METALL</t>
  </si>
  <si>
    <t>UNIVERSAL MESSER VERSTELLBAR</t>
  </si>
  <si>
    <t>GLASS CUTTER</t>
  </si>
  <si>
    <t>WOOD-CHISSELSET</t>
  </si>
  <si>
    <t>6­12­18­24MM 4X</t>
  </si>
  <si>
    <t xml:space="preserve">STECH-BEITELSATZ HOLZGRIFF </t>
  </si>
  <si>
    <t xml:space="preserve">CHISSELSET </t>
  </si>
  <si>
    <t>6­12­18­24MM PROFI 4X</t>
  </si>
  <si>
    <t xml:space="preserve">STECH-BEITELSATZ PVC-GRIFF </t>
  </si>
  <si>
    <t>PVC box + sticker</t>
  </si>
  <si>
    <t>4X</t>
  </si>
  <si>
    <t>TRIM REMOVAL SET</t>
  </si>
  <si>
    <t>NYLON 11X</t>
  </si>
  <si>
    <t>TRIM-ENTFERNER SET</t>
  </si>
  <si>
    <t>Oxford hop-pocket</t>
  </si>
  <si>
    <t>NYLON 6'' 4X</t>
  </si>
  <si>
    <t>STRUG STALOWY</t>
  </si>
  <si>
    <t>STEEL PLANE ADJUSTABLE</t>
  </si>
  <si>
    <t>135 x 40MM</t>
  </si>
  <si>
    <t xml:space="preserve">SCHLICHTHOBEL </t>
  </si>
  <si>
    <t xml:space="preserve">STEEL PLANE ADJUSTABLE </t>
  </si>
  <si>
    <t>240 x 50MM</t>
  </si>
  <si>
    <t>SCHLICHTHOBEL</t>
  </si>
  <si>
    <t>OCTAGONAL COLD CHISEL</t>
  </si>
  <si>
    <t>250MM FLAT</t>
  </si>
  <si>
    <t>FLACHMEISEL MIT GRIFF</t>
  </si>
  <si>
    <t>pvc bag / sticker</t>
  </si>
  <si>
    <t xml:space="preserve">FLACHMEISEL MIT GRIFF </t>
  </si>
  <si>
    <t xml:space="preserve">OCTAGONAL POINT CHISEL </t>
  </si>
  <si>
    <t>300MM POINT</t>
  </si>
  <si>
    <t xml:space="preserve">SPITZMEISEL MIT GRIFF </t>
  </si>
  <si>
    <t>300x16MM FLAT</t>
  </si>
  <si>
    <t>300x16MM POINT</t>
  </si>
  <si>
    <t xml:space="preserve">CHISEL </t>
  </si>
  <si>
    <t xml:space="preserve">FUGENMEISEL </t>
  </si>
  <si>
    <t>CHISEL 60MM/16MM PROFI</t>
  </si>
  <si>
    <t>60MMx16MM PROFI</t>
  </si>
  <si>
    <t>OBCINAK DO RUR PCV</t>
  </si>
  <si>
    <t xml:space="preserve">PCV-PIPE CUTTER </t>
  </si>
  <si>
    <t>42MM PROFI MN65-STEEL</t>
  </si>
  <si>
    <t>PVC-ROHRABSCHNEIDER</t>
  </si>
  <si>
    <t>42MM LIGHT</t>
  </si>
  <si>
    <t>ZESTAW NARZYNEK W KASECIE</t>
  </si>
  <si>
    <t>DIE SET PROF.</t>
  </si>
  <si>
    <t>1/2''-3/4''-1'' -5/4'' 7X</t>
  </si>
  <si>
    <t xml:space="preserve">SCHNEIDKLUPPENSATZ </t>
  </si>
  <si>
    <t>plastic case + shrink+sticker</t>
  </si>
  <si>
    <t>1/4''-3/8''- 1/2''-3/4"- 1''-5/4'' 9X</t>
  </si>
  <si>
    <t>ZESTAW NARZYNEK</t>
  </si>
  <si>
    <t>DIE SET</t>
  </si>
  <si>
    <t>12x1.75, 10x1.5, 8x1.25, 6x1.0, 5x0,8 (6X HCS)</t>
  </si>
  <si>
    <t xml:space="preserve">GEWINDESCHNEIDESATZ </t>
  </si>
  <si>
    <t>ZESTAW GWINTOWNIKÓW</t>
  </si>
  <si>
    <t xml:space="preserve">TAP SET </t>
  </si>
  <si>
    <t>6X HCS</t>
  </si>
  <si>
    <t>TAP AND DIE SET</t>
  </si>
  <si>
    <t>20X</t>
  </si>
  <si>
    <t>plastic box, shrink+sticker</t>
  </si>
  <si>
    <t>24X ALLOY STEEL METAL CASE PROFI</t>
  </si>
  <si>
    <t>metal case</t>
  </si>
  <si>
    <t>40X</t>
  </si>
  <si>
    <t xml:space="preserve">TAP AND DIE SET </t>
  </si>
  <si>
    <t>60X INCH AND METRIC</t>
  </si>
  <si>
    <t>GEWINDESCHNEIDESATZ</t>
  </si>
  <si>
    <t>sticker+ shrink foil</t>
  </si>
  <si>
    <t>OLIWIARKA</t>
  </si>
  <si>
    <t xml:space="preserve">OILCAN FLEX SPOUT </t>
  </si>
  <si>
    <t>300ML</t>
  </si>
  <si>
    <t xml:space="preserve">OLKANNE </t>
  </si>
  <si>
    <t>TOWOTNICA</t>
  </si>
  <si>
    <t>GREASE GUN</t>
  </si>
  <si>
    <t>150CC</t>
  </si>
  <si>
    <t>FETTPRESSE</t>
  </si>
  <si>
    <t>sticker, PVC bag</t>
  </si>
  <si>
    <t>carton header</t>
  </si>
  <si>
    <t>PVC bag + sticker</t>
  </si>
  <si>
    <t>PVC bag w/header</t>
  </si>
  <si>
    <t>SABA Sp. z o.o.</t>
  </si>
  <si>
    <t xml:space="preserve">TEFLON TAPE WATER RESIST. </t>
  </si>
  <si>
    <t>TEFLONBANDERSATZ</t>
  </si>
  <si>
    <t>TEFLON 8M 10ROLLS</t>
  </si>
  <si>
    <t>KOSZULKI TERMOKURCZLIWE ASSORT.</t>
  </si>
  <si>
    <t xml:space="preserve">SHRINK-ON TUBES </t>
  </si>
  <si>
    <t>127X BLACK THERMO TUBES</t>
  </si>
  <si>
    <t>SCHRUMPFSCHLAUCHENS</t>
  </si>
  <si>
    <t xml:space="preserve">INSULATION TAPE COLOR </t>
  </si>
  <si>
    <t>ISOLIERBANDERSATZ FARBE</t>
  </si>
  <si>
    <t xml:space="preserve">INSULATIONTAPE BLACK </t>
  </si>
  <si>
    <t>ISOLIERBANDERSATZ SCHWARTZ</t>
  </si>
  <si>
    <t>shrink foil w/round sticker</t>
  </si>
  <si>
    <t>INSULATIONTAPE COLOR</t>
  </si>
  <si>
    <t xml:space="preserve">ISOLIERBANDERSATZ FARBE </t>
  </si>
  <si>
    <t>PRZETYKACZ RUR</t>
  </si>
  <si>
    <t xml:space="preserve">DRAIN CLEANER PROFI </t>
  </si>
  <si>
    <t>5MM x 1.7M</t>
  </si>
  <si>
    <t>ROHRREINIGUNGSWELLE</t>
  </si>
  <si>
    <t>carton hanger</t>
  </si>
  <si>
    <t>5MMx3M</t>
  </si>
  <si>
    <t xml:space="preserve">DRAIN CLEANER </t>
  </si>
  <si>
    <t>6MMx5M</t>
  </si>
  <si>
    <t>8MMx5M</t>
  </si>
  <si>
    <t xml:space="preserve">ROHRREINIGUNGSWELLE </t>
  </si>
  <si>
    <t>8MMx7.5M</t>
  </si>
  <si>
    <t>8MMx10M</t>
  </si>
  <si>
    <t xml:space="preserve">SCISSORS </t>
  </si>
  <si>
    <t>225MM STAINLESS</t>
  </si>
  <si>
    <t>SCHERE</t>
  </si>
  <si>
    <t>double folded carton hanger</t>
  </si>
  <si>
    <t>SCISSORS</t>
  </si>
  <si>
    <t>200MM STAINLESS</t>
  </si>
  <si>
    <t xml:space="preserve">SCHERE </t>
  </si>
  <si>
    <t xml:space="preserve">SCISSORSET STAINLESS </t>
  </si>
  <si>
    <t>SCHERENSATZ STAINLESS</t>
  </si>
  <si>
    <t>TAILOR SCISSORS</t>
  </si>
  <si>
    <t>200MM STAINLESS PROFI</t>
  </si>
  <si>
    <t>SCHNEIDERSCHEREN</t>
  </si>
  <si>
    <t>250MM STAINLESS PROFI</t>
  </si>
  <si>
    <t>sticker+neutral carton w/sticker</t>
  </si>
  <si>
    <t xml:space="preserve">BOLT CUTTER </t>
  </si>
  <si>
    <t xml:space="preserve">BOLZENSCHNEIDER </t>
  </si>
  <si>
    <t>30''- 750MM HEAVY DUTY</t>
  </si>
  <si>
    <t xml:space="preserve">TINMANS SNIPS </t>
  </si>
  <si>
    <t>250MM 3X</t>
  </si>
  <si>
    <t>BLECHSCHERENSATZ</t>
  </si>
  <si>
    <t>pvc wallet</t>
  </si>
  <si>
    <t>250MM STRAIGHT</t>
  </si>
  <si>
    <t xml:space="preserve">SCHLAGSCHNUR </t>
  </si>
  <si>
    <t xml:space="preserve">CHALKLINE WITH POWDER </t>
  </si>
  <si>
    <t>15M + 100G</t>
  </si>
  <si>
    <t>TILE CUTTING MACHINE</t>
  </si>
  <si>
    <t>400MM</t>
  </si>
  <si>
    <t xml:space="preserve">FLIESSENSCHNEIDMACHINE </t>
  </si>
  <si>
    <t xml:space="preserve">FLIESSENSCHNEIDMACH./LOCHSCHN. </t>
  </si>
  <si>
    <t>600MM HEAVY DUTY</t>
  </si>
  <si>
    <t xml:space="preserve">sticker </t>
  </si>
  <si>
    <t>PION MURARSKI ZE SZNUREM</t>
  </si>
  <si>
    <t xml:space="preserve">PLUMB BOB WITH STRING </t>
  </si>
  <si>
    <t>160G/3M</t>
  </si>
  <si>
    <t xml:space="preserve">SENKLOT </t>
  </si>
  <si>
    <t>INSTAR 2</t>
  </si>
  <si>
    <t xml:space="preserve">CARPENTER'S PENCIL SET </t>
  </si>
  <si>
    <t>180MM 12X</t>
  </si>
  <si>
    <t>ZIMMERMANN BLEISTIFTENSATZ</t>
  </si>
  <si>
    <t>WYCISKACZ DO MAS RYNNOWY</t>
  </si>
  <si>
    <t xml:space="preserve">CAULKING GUN </t>
  </si>
  <si>
    <t xml:space="preserve">KARTUSCHENPRESSE </t>
  </si>
  <si>
    <t>CAULKING GUN RIBBED BAR</t>
  </si>
  <si>
    <t xml:space="preserve">KARTUSCHENPRESSE GEZAHNT </t>
  </si>
  <si>
    <t>225MM BI-COLOR</t>
  </si>
  <si>
    <t>pvc bag + tag on string</t>
  </si>
  <si>
    <t>WYCISKACZ DO MAS SZKIELETOWY</t>
  </si>
  <si>
    <t xml:space="preserve">CAULKING GUN SKELETON </t>
  </si>
  <si>
    <t xml:space="preserve">KARTUSCHENPRESSE SKELET </t>
  </si>
  <si>
    <t>sticker + protection pvc bag</t>
  </si>
  <si>
    <t>225MM HEAVY</t>
  </si>
  <si>
    <t>225MM ROUND BARS</t>
  </si>
  <si>
    <t>WYCISKACZ DO MAS ALUMINIOWY</t>
  </si>
  <si>
    <t xml:space="preserve">CAULKING GUN ALUMINIUM PROFESSIONAL </t>
  </si>
  <si>
    <t>240MM PROFI ALUMINIUM</t>
  </si>
  <si>
    <t xml:space="preserve">KARTUSCHENPRESSE ALUMINIUM </t>
  </si>
  <si>
    <t>WYCISKACZ DO MAS</t>
  </si>
  <si>
    <t>240MM PROFI SKELETON</t>
  </si>
  <si>
    <t>240MM PROFI</t>
  </si>
  <si>
    <t>240MM PROFI HEAVY</t>
  </si>
  <si>
    <t>sticker+pvc bag</t>
  </si>
  <si>
    <t>PISTOLET DO PIAN</t>
  </si>
  <si>
    <t xml:space="preserve">FOAM GAULKING GUN </t>
  </si>
  <si>
    <t xml:space="preserve">SCHAUMPISTOLE </t>
  </si>
  <si>
    <t>SCHAUMPISTOLE</t>
  </si>
  <si>
    <t>ZN/ALLOY LIGHT</t>
  </si>
  <si>
    <t>polybag header+ carton sleeve</t>
  </si>
  <si>
    <t>FOAM GAULKING GUN</t>
  </si>
  <si>
    <t>PLASTIC</t>
  </si>
  <si>
    <t>PISTOLET DO PIAN TEFLON</t>
  </si>
  <si>
    <t>FOAM GAULKING GUN TEFLON COAT</t>
  </si>
  <si>
    <t>SCHAUMPISTOLE TEFLON</t>
  </si>
  <si>
    <t>LONG 64CM ZN/ALLOY TEFLON</t>
  </si>
  <si>
    <t>neutral square box with sticker</t>
  </si>
  <si>
    <t>BRUSH SET FLAT</t>
  </si>
  <si>
    <t>0.5''-1''-1.5'' -2''-2.5'' 5X</t>
  </si>
  <si>
    <t xml:space="preserve">PINSELSATZ </t>
  </si>
  <si>
    <t xml:space="preserve">FLAT PAINT BRUSH PROFI </t>
  </si>
  <si>
    <t>EX 3"x22MM 76MM</t>
  </si>
  <si>
    <t xml:space="preserve">BRUSH SET ROUND </t>
  </si>
  <si>
    <t>NO. 2-4-6-8-10 5X</t>
  </si>
  <si>
    <t xml:space="preserve">PINSELSATZ RUND </t>
  </si>
  <si>
    <t>BRUSH SET</t>
  </si>
  <si>
    <t>PINSELSATZ</t>
  </si>
  <si>
    <t>7X</t>
  </si>
  <si>
    <t xml:space="preserve">BRUSH FOR WALL PAPERS </t>
  </si>
  <si>
    <t>70x30MM 60% TOPS</t>
  </si>
  <si>
    <t xml:space="preserve">MALERBURSTE </t>
  </si>
  <si>
    <t>90x30MM 60% TOPS</t>
  </si>
  <si>
    <t xml:space="preserve">FARBE ROLLERSATZ </t>
  </si>
  <si>
    <t xml:space="preserve">PAINTROLLER SET </t>
  </si>
  <si>
    <t>PAINTROLLERS</t>
  </si>
  <si>
    <t>foil shrink + sticker</t>
  </si>
  <si>
    <t xml:space="preserve">PAINT MIXER </t>
  </si>
  <si>
    <t>400 x 80MM</t>
  </si>
  <si>
    <t xml:space="preserve">FARBEMISCHER </t>
  </si>
  <si>
    <t>FARBEMISCHER ZINC PLATED</t>
  </si>
  <si>
    <t xml:space="preserve">PAINT MIXER ZINC PLATED </t>
  </si>
  <si>
    <t xml:space="preserve">SDS 600x100MM </t>
  </si>
  <si>
    <t xml:space="preserve">FARBEMISCHER ZINC PLATED </t>
  </si>
  <si>
    <t>flag sticker</t>
  </si>
  <si>
    <t xml:space="preserve">ZINC PLATED MORTAR MIXER </t>
  </si>
  <si>
    <t xml:space="preserve">400 x 80MM </t>
  </si>
  <si>
    <t>ZINC PLATED MORTAR MIXER ZINC PLATED</t>
  </si>
  <si>
    <t xml:space="preserve">500 x 100MM </t>
  </si>
  <si>
    <t>FARBEMISCHER  ZINC PLATED</t>
  </si>
  <si>
    <t xml:space="preserve">MASKING TAPE </t>
  </si>
  <si>
    <t xml:space="preserve">ABDECKBAND </t>
  </si>
  <si>
    <t>ROLL/sticker</t>
  </si>
  <si>
    <t>25MM x 25M</t>
  </si>
  <si>
    <t>MASKING TAPE 'BLUE SHARK' 48MM X 50M</t>
  </si>
  <si>
    <t>BLUE 80C 48MMx50M</t>
  </si>
  <si>
    <t>MAAN faktury i zamowienia</t>
  </si>
  <si>
    <t>10L</t>
  </si>
  <si>
    <t>MISKA STALOWA OCYNKOWANA</t>
  </si>
  <si>
    <t>BASIN ZINC PLATED</t>
  </si>
  <si>
    <t>13L ROUND</t>
  </si>
  <si>
    <t>VERZINKT STAHLKESSEL</t>
  </si>
  <si>
    <t>27L OVAL</t>
  </si>
  <si>
    <t xml:space="preserve">JOINERS SQUARE </t>
  </si>
  <si>
    <t xml:space="preserve">SCHREINERWINKEL </t>
  </si>
  <si>
    <t>two stickers</t>
  </si>
  <si>
    <t>JOINERS SQUARE</t>
  </si>
  <si>
    <t>pvc shrink + sticker</t>
  </si>
  <si>
    <t>VIAL 300MM ALUMINIUM</t>
  </si>
  <si>
    <t>350MM</t>
  </si>
  <si>
    <t>VIAL 350MM ALUMINIUM</t>
  </si>
  <si>
    <t xml:space="preserve">SQUARE </t>
  </si>
  <si>
    <t>400/38MM x 600/50MM</t>
  </si>
  <si>
    <t>SCHREINERWINKEL</t>
  </si>
  <si>
    <t>PROTRACTOR</t>
  </si>
  <si>
    <t>WINKELMESSER</t>
  </si>
  <si>
    <t>MIARA ZWIJANA</t>
  </si>
  <si>
    <t xml:space="preserve">POCKET RULE </t>
  </si>
  <si>
    <t xml:space="preserve">ROLLBANDMASS </t>
  </si>
  <si>
    <t>CLASS II 5Mx19MM SELF-LOCK CE</t>
  </si>
  <si>
    <t>MEASURE TAPE</t>
  </si>
  <si>
    <t>10M GLASS FIBRE</t>
  </si>
  <si>
    <t>RAHMENBANDMASS</t>
  </si>
  <si>
    <t>20M GLASS FIBRE</t>
  </si>
  <si>
    <t>flag on string + PVC protection bag</t>
  </si>
  <si>
    <t>SUWMIARKA METALOWA W KASECIE</t>
  </si>
  <si>
    <t xml:space="preserve">VERNIER CALIPER </t>
  </si>
  <si>
    <t>150MM 0.02MM INOX</t>
  </si>
  <si>
    <t>SCHIEBLEHRE</t>
  </si>
  <si>
    <t>200MM 0.02MM INOX</t>
  </si>
  <si>
    <t xml:space="preserve">SCHIEBLEHRE </t>
  </si>
  <si>
    <t>DRILLMACHINE BITS</t>
  </si>
  <si>
    <t>BITS-SATZ</t>
  </si>
  <si>
    <t>DRILLMACHINE BITS FOR GYPSUM BOARDS</t>
  </si>
  <si>
    <t>PH2 2X MAGNETIC</t>
  </si>
  <si>
    <t>BITS-SATZ MIT SCHUTZ</t>
  </si>
  <si>
    <t>4X PZ1-2-3, S2</t>
  </si>
  <si>
    <t>MAGNETIC 7X</t>
  </si>
  <si>
    <t>BITS-SATZ MAGNETIC</t>
  </si>
  <si>
    <t>DRILLMACHINE BITS MAGNETIC</t>
  </si>
  <si>
    <t>MAGNETIC CV 7X</t>
  </si>
  <si>
    <t>MAGNETIC CV 16X</t>
  </si>
  <si>
    <t>PVC box w/sticker</t>
  </si>
  <si>
    <t>DRILLMACHINE SOCKETS</t>
  </si>
  <si>
    <t>5-13MM 8X</t>
  </si>
  <si>
    <t>BIT-NUSSENSATZ</t>
  </si>
  <si>
    <t>double blister card</t>
  </si>
  <si>
    <t>16 BITS/ADAPTERS CRV6150</t>
  </si>
  <si>
    <t>S2 STEEL, 30X BITS COLOUR, 2 ADAPT.</t>
  </si>
  <si>
    <t>shrink + sticker</t>
  </si>
  <si>
    <t xml:space="preserve">33 BITS </t>
  </si>
  <si>
    <t>S2 STEEL, 22 BITS COLOUR + ADAPT.</t>
  </si>
  <si>
    <t>sticker + shrink</t>
  </si>
  <si>
    <t>S2 STEEL, 18 BITS COLOUR + 3 NUTS + ADAPT.</t>
  </si>
  <si>
    <t>POWER HANDLE KEY SET</t>
  </si>
  <si>
    <t>HEX 2-6MM  6X  CRV STEEL</t>
  </si>
  <si>
    <t>T-GRIFF SCHRAUBENDREHERSATZ</t>
  </si>
  <si>
    <t>THICK T-HANDLE SCREWDRIVERSET</t>
  </si>
  <si>
    <t>HEAVY DUTY GR SCRWDRVRSET</t>
  </si>
  <si>
    <t>15X</t>
  </si>
  <si>
    <t>KRAFT-GRIFF SCHRAUBENDREHERSATZ</t>
  </si>
  <si>
    <t>BMC</t>
  </si>
  <si>
    <t>41X</t>
  </si>
  <si>
    <t>SCREWDRIVER</t>
  </si>
  <si>
    <t>26BITS</t>
  </si>
  <si>
    <t>SCHRAUBENDREHER</t>
  </si>
  <si>
    <t>SCREWDRIVERSET</t>
  </si>
  <si>
    <t>SCHRAUBENDREHERSATZ ISO</t>
  </si>
  <si>
    <t>IMPACT SCREWDRIVER</t>
  </si>
  <si>
    <t>6 BITS CRV-6150 A3/TPR</t>
  </si>
  <si>
    <t>SCHLAGSCHRAUBENDREHER</t>
  </si>
  <si>
    <t>bmc</t>
  </si>
  <si>
    <t>HIT-SCREWDRIVERSET</t>
  </si>
  <si>
    <t>MAGN HIT 6X</t>
  </si>
  <si>
    <t>SCHLAGSCHRAUBENDREHERSATZ</t>
  </si>
  <si>
    <t>SCREWDRIVERSET HIT</t>
  </si>
  <si>
    <t>6X</t>
  </si>
  <si>
    <t>SCREWDRIVER SET INSUL.</t>
  </si>
  <si>
    <t>1000V 6X</t>
  </si>
  <si>
    <t>SCHRAUBENDREHERSATZ</t>
  </si>
  <si>
    <t>5 x 100 MM</t>
  </si>
  <si>
    <t>flag sticker - bulk packing</t>
  </si>
  <si>
    <t>photo color box w/window</t>
  </si>
  <si>
    <t>CV - 4 x 75MM</t>
  </si>
  <si>
    <t>plastic hanger w/2 stickers</t>
  </si>
  <si>
    <t>CV - 6 x 100MM</t>
  </si>
  <si>
    <t>CV + PH1 x 75MM</t>
  </si>
  <si>
    <t>CV + PH2 x 100MM</t>
  </si>
  <si>
    <t>UHRMACHERSCHRAUBENDREHERSATZ</t>
  </si>
  <si>
    <t>WATCHMAKERS' SCRWDRVRSET</t>
  </si>
  <si>
    <t>11X</t>
  </si>
  <si>
    <t>PRACIZIONSSCHRAUBENDREHER MOBIPHONE</t>
  </si>
  <si>
    <t>PRECISION MOBIPHONE SCREWDRIVER SET</t>
  </si>
  <si>
    <t>22X PRECISION</t>
  </si>
  <si>
    <t>PVC box w/hanger+ 3 stickers</t>
  </si>
  <si>
    <t>FILE SET PLASTIC HANDLE</t>
  </si>
  <si>
    <t>200MM PROFI 3X</t>
  </si>
  <si>
    <t>FEILENSATZ</t>
  </si>
  <si>
    <t>PILNIKI ZDZIERAKI</t>
  </si>
  <si>
    <t>RASPSET</t>
  </si>
  <si>
    <t>RASPELNSATZ</t>
  </si>
  <si>
    <t>SHARPENING STONE</t>
  </si>
  <si>
    <t>150x50x25MM DOUBLE GRADE</t>
  </si>
  <si>
    <t>ABZIEHSTEIN</t>
  </si>
  <si>
    <t>230 x 30 x 15MM</t>
  </si>
  <si>
    <t>ABZIEHSTEIN OVAL</t>
  </si>
  <si>
    <t>carton hanger 3D</t>
  </si>
  <si>
    <t>225MM OVAL</t>
  </si>
  <si>
    <t>DYSK SZLIFIERSKI Z RZEPEM</t>
  </si>
  <si>
    <t>BACKING PAD VELCRO</t>
  </si>
  <si>
    <t>125MM 12000RPM</t>
  </si>
  <si>
    <t>KLETT-STUTZTELLER</t>
  </si>
  <si>
    <t>DYSK SZLIFIERSKI Z RZEPEM PIN</t>
  </si>
  <si>
    <t>125MM PIN-M14 12000RPM</t>
  </si>
  <si>
    <t>KAMIENIE SZLIFIERSKIE DO WIERTARKI</t>
  </si>
  <si>
    <t>MOUNTED STONE SET</t>
  </si>
  <si>
    <t>SCHLEIF-KORPERSATZ</t>
  </si>
  <si>
    <t>ZESTAW SZLIFIERSKI 'MINI'</t>
  </si>
  <si>
    <t>GRINDING SET 'MINI'</t>
  </si>
  <si>
    <t>'MINI' 100X</t>
  </si>
  <si>
    <t>wooden box, shrink foil, leaflet</t>
  </si>
  <si>
    <t>DYSK TNACY</t>
  </si>
  <si>
    <t>CUTTING DISC</t>
  </si>
  <si>
    <t>115 x 1 x 22.2MM METAL</t>
  </si>
  <si>
    <t>TRENNSCHEIBE</t>
  </si>
  <si>
    <t>115 x 1.6 x 22.2MM METAL</t>
  </si>
  <si>
    <t xml:space="preserve">230 x 1.9MM METAL </t>
  </si>
  <si>
    <t>125 x 1 x 22.2MM METAL</t>
  </si>
  <si>
    <t>125 x 1.6 x 22.2MM METAL</t>
  </si>
  <si>
    <t>ABRASIVE MOP DISCS</t>
  </si>
  <si>
    <t>P40/115MM 3X</t>
  </si>
  <si>
    <t>FAECHERSCHLEIFSCHEIBEN</t>
  </si>
  <si>
    <t>shrink/sticker</t>
  </si>
  <si>
    <t>ABRASIVE MOP DISC</t>
  </si>
  <si>
    <t>P40/125MM FOLDED 3X</t>
  </si>
  <si>
    <t>FAECHERSCHLEIFSCHEIBE P40/125MM FOLDED 3X</t>
  </si>
  <si>
    <t>P60/125MM FOLDED 3X</t>
  </si>
  <si>
    <t>FAECHERSCHLEIFSCHEIBE P60/125MM FOLDED 3X</t>
  </si>
  <si>
    <t>P80/125MM FOLDED 3X</t>
  </si>
  <si>
    <t>FAECHERSCHLEIFSCHEIBE P80/125MM FOLDED 3X</t>
  </si>
  <si>
    <t>SZCZOTKA STAL. OBROTOWA</t>
  </si>
  <si>
    <t>STEEL BRUSH ROTARY</t>
  </si>
  <si>
    <t xml:space="preserve">SCHEIBENBUERSTE </t>
  </si>
  <si>
    <t>M14 COIL CUP 80MM RING</t>
  </si>
  <si>
    <t>M14 COIL BEVEL 80MM</t>
  </si>
  <si>
    <t>M14 STRAIGHT CUP 65MM</t>
  </si>
  <si>
    <t>SCHEIBENBUERSTE</t>
  </si>
  <si>
    <t>M14 STRAIGHT CUP 100MM</t>
  </si>
  <si>
    <t>STAHLBURSTENSATZ</t>
  </si>
  <si>
    <t>PIVOT 6MM STRAIGHT CUP 50MM</t>
  </si>
  <si>
    <t>PIVOT 6MM STRAIGHT CUP 80MM</t>
  </si>
  <si>
    <t>PIVOT 6MM STRAIGHT FLAT 65MM</t>
  </si>
  <si>
    <t>PIVOT 6MM STRAIGHT FLAT 80MM</t>
  </si>
  <si>
    <t>PIVOT 6MM STRAIGHT FLAT 100MM</t>
  </si>
  <si>
    <t>SZCZOTKI</t>
  </si>
  <si>
    <t>MINI-BURSTENSATZ</t>
  </si>
  <si>
    <t>BRUSHES SET</t>
  </si>
  <si>
    <t>2X 40MM + 2X 100MM BRASS + STEEL</t>
  </si>
  <si>
    <t>SZCZOTKA METALOWA</t>
  </si>
  <si>
    <t>WIRE BRUSH</t>
  </si>
  <si>
    <t>PLASTIC HANDLE</t>
  </si>
  <si>
    <t>STAHLBURSTE</t>
  </si>
  <si>
    <t>3X 2-3-4R STEEL</t>
  </si>
  <si>
    <t>SZCZOTKA STALOWA</t>
  </si>
  <si>
    <t>STEEL BRUSH</t>
  </si>
  <si>
    <t>4R</t>
  </si>
  <si>
    <t>STAHLBURST</t>
  </si>
  <si>
    <t>5R</t>
  </si>
  <si>
    <t>6R</t>
  </si>
  <si>
    <t>NAUSZNIKI OCHRONNE</t>
  </si>
  <si>
    <t>EARMUFF</t>
  </si>
  <si>
    <t>CE EN352</t>
  </si>
  <si>
    <t xml:space="preserve">GEHORSCHUTZKAPSEL </t>
  </si>
  <si>
    <t>GOGLE OCHRONNE</t>
  </si>
  <si>
    <t xml:space="preserve">SCHUTSBRILLE </t>
  </si>
  <si>
    <t>GOGLE OCHRONNE EXT</t>
  </si>
  <si>
    <t xml:space="preserve">PROTECTION GOGGLES </t>
  </si>
  <si>
    <t>EN166</t>
  </si>
  <si>
    <t xml:space="preserve">SCHUTSBRILLE PROFI </t>
  </si>
  <si>
    <t>PROTECTION GOGGLES TRANSPARENT</t>
  </si>
  <si>
    <t>MASKI JEDNORAZOWE</t>
  </si>
  <si>
    <t>DISPOSABLE FACE FILTER</t>
  </si>
  <si>
    <t>EINWEG-GEZICHTSFILTER</t>
  </si>
  <si>
    <t>PVC bag with header</t>
  </si>
  <si>
    <t>FILTERMASK</t>
  </si>
  <si>
    <t>GROB-STAUBMASKENSATZ</t>
  </si>
  <si>
    <t>COMFORT DUST MASK</t>
  </si>
  <si>
    <t>FFP1 EN149 2X</t>
  </si>
  <si>
    <t>KOMFORTMASKE</t>
  </si>
  <si>
    <t>ZAMEK DO ROWERU</t>
  </si>
  <si>
    <t xml:space="preserve">CABLE BIKE LOCK </t>
  </si>
  <si>
    <t>600MM COLOR MIX</t>
  </si>
  <si>
    <t xml:space="preserve">FAHRRADSCHLOSS </t>
  </si>
  <si>
    <t>colour tag</t>
  </si>
  <si>
    <t>12x650MM 4-DIGIT COLOR MIX</t>
  </si>
  <si>
    <t>colour tag on string</t>
  </si>
  <si>
    <t>ZAMEK-SPIRALA DO ROWERU</t>
  </si>
  <si>
    <t>10x800MM SPIRAL</t>
  </si>
  <si>
    <t>color tag</t>
  </si>
  <si>
    <t>ToM-PaR</t>
  </si>
  <si>
    <t>TOOLBOX</t>
  </si>
  <si>
    <t>WERKZEUGKASTEN</t>
  </si>
  <si>
    <t>PATROL</t>
  </si>
  <si>
    <t>STICKER</t>
  </si>
  <si>
    <t>CARBO ALU FLEX 600</t>
  </si>
  <si>
    <t>20''</t>
  </si>
  <si>
    <t>CLAMPS WITH LOUPE 'THIRD HAND'</t>
  </si>
  <si>
    <t>factory carton box+sticker</t>
  </si>
  <si>
    <t>LAMPA NAFTOWA</t>
  </si>
  <si>
    <t>STORM LIGHT</t>
  </si>
  <si>
    <t>230MM COLOR MIX</t>
  </si>
  <si>
    <t xml:space="preserve">STURMLATERNE </t>
  </si>
  <si>
    <t xml:space="preserve">STORM LIGHT </t>
  </si>
  <si>
    <t>280MM COLOR MIX</t>
  </si>
  <si>
    <t>STURMLATERNE</t>
  </si>
  <si>
    <t>LAMPA "NAFTOWA" LED</t>
  </si>
  <si>
    <t>STORM LIGHT LED</t>
  </si>
  <si>
    <t>STURMLATERNE LED</t>
  </si>
  <si>
    <t>HEAD LAMP</t>
  </si>
  <si>
    <t xml:space="preserve">KOPFLAMPE </t>
  </si>
  <si>
    <t xml:space="preserve">WHEEL WRENCH L-TYPE </t>
  </si>
  <si>
    <t>17-19MM 1/2'' TELESCOPIC</t>
  </si>
  <si>
    <t xml:space="preserve">RADMUTTERSCHLUSSEL </t>
  </si>
  <si>
    <t xml:space="preserve">RIM WRENCH </t>
  </si>
  <si>
    <t>17-19-21 -1/2''</t>
  </si>
  <si>
    <t xml:space="preserve">LKW-KREUZSCHLUSSEL </t>
  </si>
  <si>
    <t>KLUCZ DYNAMOMETRYCZNY</t>
  </si>
  <si>
    <t>TORQUE WRENCH</t>
  </si>
  <si>
    <t>1/2" 28-210Nm 24T</t>
  </si>
  <si>
    <t xml:space="preserve">DREHMOMENTSCHLUSSEL </t>
  </si>
  <si>
    <t>BMC case</t>
  </si>
  <si>
    <t>GEARPULLER</t>
  </si>
  <si>
    <t xml:space="preserve">KUGELLAGERABZIEHER </t>
  </si>
  <si>
    <t xml:space="preserve">GEARPULLER SET </t>
  </si>
  <si>
    <t xml:space="preserve">ABZIEHERSATZ </t>
  </si>
  <si>
    <t>OLFILTERKETTE</t>
  </si>
  <si>
    <t>BELT OIL FILTER WRENCH</t>
  </si>
  <si>
    <t>60-105MM HEAVY DUTY</t>
  </si>
  <si>
    <t>OLFILTERSCHLUESSEL</t>
  </si>
  <si>
    <t>KLUCZ DO FILTRA OLEJU</t>
  </si>
  <si>
    <t>OIL FILTER WRENCH</t>
  </si>
  <si>
    <t>63.5-110 MM</t>
  </si>
  <si>
    <t>OELFILTERSCHLUESSEL</t>
  </si>
  <si>
    <t>BEZPIECZNIKI SAMOCHODOWE</t>
  </si>
  <si>
    <t>CAR FUSES</t>
  </si>
  <si>
    <t xml:space="preserve">120X 5-30A MIX MINI SIZE    </t>
  </si>
  <si>
    <t>AUTOSICHERUNGEN</t>
  </si>
  <si>
    <t>PP case+shrink+sticker</t>
  </si>
  <si>
    <t>120X 5-30A MIX REGULAR SIZE</t>
  </si>
  <si>
    <t>MISKA MAGNETYCZNA</t>
  </si>
  <si>
    <t>MAGNETIC TRAY</t>
  </si>
  <si>
    <t>MAGNETSCHALE</t>
  </si>
  <si>
    <t xml:space="preserve">O-RING GASKET SET </t>
  </si>
  <si>
    <t xml:space="preserve">O-RING DICHTSATZ </t>
  </si>
  <si>
    <t>3-50/1.5-3.5MM PROFI 419X</t>
  </si>
  <si>
    <t>WASHER ASSORTMENT</t>
  </si>
  <si>
    <t>COPPER 150X 5-17.5MM</t>
  </si>
  <si>
    <t>SCHEIBEN-SORTIMENT</t>
  </si>
  <si>
    <t>ZAWLECZKI</t>
  </si>
  <si>
    <t>COTTER PIN ASSORTMENT</t>
  </si>
  <si>
    <t>555X</t>
  </si>
  <si>
    <t>SPLINTE-SORTIMENT</t>
  </si>
  <si>
    <t>GROMMETS RUBBER</t>
  </si>
  <si>
    <t>125X 3-19/6-24MM 7-25MM</t>
  </si>
  <si>
    <t xml:space="preserve">DICHTSATZ </t>
  </si>
  <si>
    <t>SPRING SET</t>
  </si>
  <si>
    <t>200X</t>
  </si>
  <si>
    <t>FEDERNSATZ</t>
  </si>
  <si>
    <t>SEEGER RINGS</t>
  </si>
  <si>
    <t>SEEGER-TYPE RINGENSATZ</t>
  </si>
  <si>
    <t>SCREWS AND WASHERS SET</t>
  </si>
  <si>
    <t>170X</t>
  </si>
  <si>
    <t>AUTOKAROSSERIE SCHRAUBEN UND UNTERLEGSCHEIBENSATZ</t>
  </si>
  <si>
    <t>KUFIETA S.J.</t>
  </si>
  <si>
    <t>ZACISKI DO KABLI ROZRUCHOWYCH</t>
  </si>
  <si>
    <t>PCV bag w/header</t>
  </si>
  <si>
    <t xml:space="preserve">BOOSTERCABLE CLAMPS </t>
  </si>
  <si>
    <t>JUMBO 17CM-4X</t>
  </si>
  <si>
    <t xml:space="preserve">KLEMMEN FUR STARTHILFEKABEL  </t>
  </si>
  <si>
    <t>ICE SCRAPER</t>
  </si>
  <si>
    <t>BRASS BLADE</t>
  </si>
  <si>
    <t>EISKRATZER</t>
  </si>
  <si>
    <t>AUTO SZCZOTKA SKROBACZKA</t>
  </si>
  <si>
    <t xml:space="preserve">CAR BRUSH+SCRAPER </t>
  </si>
  <si>
    <t>310MM</t>
  </si>
  <si>
    <t>SCHNEEBESEN MIT EISKRATZER</t>
  </si>
  <si>
    <t>CAR BRUSH+SCRAPER</t>
  </si>
  <si>
    <t>490MM</t>
  </si>
  <si>
    <t xml:space="preserve">SCHNEEBESEN MIT EISKRATZER </t>
  </si>
  <si>
    <t>SKROBAK DO SZYB SAMOCHODOWYCH 'ICEBREAKER'</t>
  </si>
  <si>
    <t>CAR WINDOW SCRAPER 'ICEBREAKER'</t>
  </si>
  <si>
    <t>ICE SCRAPER WITH GLOVE</t>
  </si>
  <si>
    <t>EISKRATZER MIT HANDSCHUH</t>
  </si>
  <si>
    <t>AUTO SZCZOTKA SKROBACZKA 'ICEBREAKER'</t>
  </si>
  <si>
    <t xml:space="preserve">CAR BRUSH +ICEBREAKER </t>
  </si>
  <si>
    <t>770MM ALU</t>
  </si>
  <si>
    <t>530MM</t>
  </si>
  <si>
    <t>AUTO SHOVEL</t>
  </si>
  <si>
    <t>256x340 x720MM</t>
  </si>
  <si>
    <t xml:space="preserve">AUTOSCHIEBER </t>
  </si>
  <si>
    <t xml:space="preserve">SNOW SHOVEL </t>
  </si>
  <si>
    <t>540x360 x1370MM</t>
  </si>
  <si>
    <t xml:space="preserve">SCHNEESCHIEBER </t>
  </si>
  <si>
    <t xml:space="preserve">ALUMINIUM SNOW SHOVEL </t>
  </si>
  <si>
    <t>380x400 x1370MM</t>
  </si>
  <si>
    <t xml:space="preserve">ALUMINIUM SCHNEESCHIEBER </t>
  </si>
  <si>
    <t xml:space="preserve">SNOW PUSHER </t>
  </si>
  <si>
    <t>800x450 x1425MM</t>
  </si>
  <si>
    <t xml:space="preserve">SCHNEEWANNE </t>
  </si>
  <si>
    <t>SNOW SHOVEL</t>
  </si>
  <si>
    <t>ECO 470 x370 x1350MM</t>
  </si>
  <si>
    <t>PODSTAWKI POD SAMOCHÓD</t>
  </si>
  <si>
    <t xml:space="preserve">UNTERSTELLBOCKENSATZ </t>
  </si>
  <si>
    <t xml:space="preserve">JACKSTANDS </t>
  </si>
  <si>
    <t>3000KG 2X</t>
  </si>
  <si>
    <t>LINKA HOLOWNICZA ELASTYCZNA Z HAKAMI 'S'</t>
  </si>
  <si>
    <t xml:space="preserve">TOW ROPE FLEXIBLE S-HOOK </t>
  </si>
  <si>
    <t>1800KG 1.5M</t>
  </si>
  <si>
    <t xml:space="preserve">ELASTISCHER ABSCHLEPSEIL </t>
  </si>
  <si>
    <t xml:space="preserve">FOOT PUMP W/PRESS.GAUGE </t>
  </si>
  <si>
    <t>1 CYLINDER</t>
  </si>
  <si>
    <t>FUSSLUFTPUMPE</t>
  </si>
  <si>
    <t xml:space="preserve">FOOT PUMP </t>
  </si>
  <si>
    <t>2 CYLINDERS</t>
  </si>
  <si>
    <t xml:space="preserve">STRAP SET </t>
  </si>
  <si>
    <t>450, 600, 800MM 3X</t>
  </si>
  <si>
    <t xml:space="preserve">GEPACKBANDER </t>
  </si>
  <si>
    <t>CARGO NET</t>
  </si>
  <si>
    <t>60x60CM 750KG</t>
  </si>
  <si>
    <t>GEPACKNETZ</t>
  </si>
  <si>
    <t>STRAP 8 ARMS</t>
  </si>
  <si>
    <t>800MM 4X</t>
  </si>
  <si>
    <t xml:space="preserve">GEPACKBANDER 8 ARMIG </t>
  </si>
  <si>
    <t>LUGGAGE STRAPS</t>
  </si>
  <si>
    <t>6 x 800MM</t>
  </si>
  <si>
    <t>UNIV.STRAP W/RATCHET</t>
  </si>
  <si>
    <t>5M 250KG</t>
  </si>
  <si>
    <t xml:space="preserve">RATSCHEN-SPANNGURT MIT HAKEN </t>
  </si>
  <si>
    <t>UNIV.STRAP</t>
  </si>
  <si>
    <t>2.5M 2X</t>
  </si>
  <si>
    <t xml:space="preserve">SPANNGURTSATZ </t>
  </si>
  <si>
    <t xml:space="preserve">RATCHET TIE DOWN COMPACT </t>
  </si>
  <si>
    <t>3M x 25MM 4X</t>
  </si>
  <si>
    <t xml:space="preserve">RATSCHEN-SPANNGURT COMPACT </t>
  </si>
  <si>
    <t xml:space="preserve">RATCHET TIE DOWN SET </t>
  </si>
  <si>
    <t>765KG 4.5M x 50MM  HEAVY DUTY</t>
  </si>
  <si>
    <t>SPRING HOOK</t>
  </si>
  <si>
    <t xml:space="preserve">5.5 x 3CM </t>
  </si>
  <si>
    <t>HALTER</t>
  </si>
  <si>
    <t xml:space="preserve">2X 8.5x3.5CM </t>
  </si>
  <si>
    <t>WIESZAK</t>
  </si>
  <si>
    <t>HANGER</t>
  </si>
  <si>
    <t xml:space="preserve">UNIVERSAL MULTI </t>
  </si>
  <si>
    <t>ETYKIETKI DO KLUCZY KOLOR</t>
  </si>
  <si>
    <t xml:space="preserve">KEY INDICATORS </t>
  </si>
  <si>
    <t>SCHLUSSELZEIGERSATZ</t>
  </si>
  <si>
    <t xml:space="preserve">LAWN RAKE </t>
  </si>
  <si>
    <t>430MM</t>
  </si>
  <si>
    <t xml:space="preserve">LAUBBESEN FEST </t>
  </si>
  <si>
    <t xml:space="preserve">LAWN RAKE ADJUSTABLE </t>
  </si>
  <si>
    <t>270-460MM</t>
  </si>
  <si>
    <t xml:space="preserve">LAUBBESEN VERSTELLBAR </t>
  </si>
  <si>
    <t>126-150CM</t>
  </si>
  <si>
    <t>GRABIE SPREZYNOWE NASTAWNE</t>
  </si>
  <si>
    <t>LAWN RAKE ADJUSTABLE</t>
  </si>
  <si>
    <t>80-165CM TELESCOPIC</t>
  </si>
  <si>
    <t>STICK HANDLE</t>
  </si>
  <si>
    <t>130CM, D=[28-22]</t>
  </si>
  <si>
    <t>BESENSTIEL</t>
  </si>
  <si>
    <t>KIJ Z GWINTEM</t>
  </si>
  <si>
    <t xml:space="preserve">115CM </t>
  </si>
  <si>
    <t>BROOM/BRUSH</t>
  </si>
  <si>
    <t>60CM</t>
  </si>
  <si>
    <t>BESEN/BURSTE</t>
  </si>
  <si>
    <t>80CM</t>
  </si>
  <si>
    <t>PODBIERAK DO OWOCÓW</t>
  </si>
  <si>
    <t xml:space="preserve">FRUIT PICKER </t>
  </si>
  <si>
    <t>140MM</t>
  </si>
  <si>
    <t>OBSTPFLUCKER</t>
  </si>
  <si>
    <t xml:space="preserve">IRON WIRE </t>
  </si>
  <si>
    <t>30M PLASTIC COATED</t>
  </si>
  <si>
    <t xml:space="preserve">BINDEDRAHT </t>
  </si>
  <si>
    <t>roll/carton header</t>
  </si>
  <si>
    <t xml:space="preserve">IRON WIRE GREEN </t>
  </si>
  <si>
    <t>50M PLASTIC COATED</t>
  </si>
  <si>
    <t>50M ZINC PLATED</t>
  </si>
  <si>
    <t xml:space="preserve">BINDEDRAHT VERZINKT </t>
  </si>
  <si>
    <t>AUTOMAT DO PLANTOWANIA CEBULEK</t>
  </si>
  <si>
    <t xml:space="preserve">BULB PLANTER AUTOMATIC </t>
  </si>
  <si>
    <t>BLUMENZWIEBEL-PLANZER AUTOMAT</t>
  </si>
  <si>
    <t>GARDEN TOOL SET</t>
  </si>
  <si>
    <t xml:space="preserve">GARTENWERKZEUGSATZ </t>
  </si>
  <si>
    <t>PEGS FOR FIXING DOUBLE SIDED</t>
  </si>
  <si>
    <t>50X (12,5CM; TOP: 3,4x2,8CM)</t>
  </si>
  <si>
    <t>DOPPELSEITIG ERDNAGEL</t>
  </si>
  <si>
    <t xml:space="preserve">ROBKAT </t>
  </si>
  <si>
    <t>SZPILKA DO MOCOWANIA</t>
  </si>
  <si>
    <t>ANCHORS FOR FIXING</t>
  </si>
  <si>
    <t>100X (12,5CMx 1,5CM) round</t>
  </si>
  <si>
    <t>ERDNAGEL</t>
  </si>
  <si>
    <t>KOTWA DO MOCOWANIA</t>
  </si>
  <si>
    <t>PINS FOR FIXING</t>
  </si>
  <si>
    <t>50X (3x25CM TERRACOTA )</t>
  </si>
  <si>
    <t>LAWN EDGING 45</t>
  </si>
  <si>
    <t>100CM x 45MM BLACK 6xFIX. HOLES</t>
  </si>
  <si>
    <t>100CM x 45MM GREEN 6xFIX. HOLES</t>
  </si>
  <si>
    <t>100CM x 45MM TERRACOTA 6xFIX. HOLES</t>
  </si>
  <si>
    <t>100CM x 45MM BROWN 6xFIX. HOLES</t>
  </si>
  <si>
    <t>LAWN EDGING 58</t>
  </si>
  <si>
    <t>100CM x 58MM BLACK 6xFIX. HOLES</t>
  </si>
  <si>
    <t>KRATKA TRAWNIKOWA DLA PIESZYCH</t>
  </si>
  <si>
    <t>GRASS REINFORCEMENT MESH</t>
  </si>
  <si>
    <t>50 x 50 x 2,5CM BLACK  FOOT TRAFFIC BLACK</t>
  </si>
  <si>
    <t>RASENGITTERPLATTEN KUNSTSTOFF</t>
  </si>
  <si>
    <t xml:space="preserve">50 x 50 x 4CM BLACK, SLOW WALK </t>
  </si>
  <si>
    <t xml:space="preserve">GARDEN FENCE, BORDER </t>
  </si>
  <si>
    <t>5X (50 x 36CM) PLASTIC WHITE</t>
  </si>
  <si>
    <t>GARTENZAUN</t>
  </si>
  <si>
    <t>5X (50 x 36CM) PLASTIC GREEN</t>
  </si>
  <si>
    <t xml:space="preserve">GARTENZAUN </t>
  </si>
  <si>
    <t>5X (50 x 36CM) PLASTIC BROWN</t>
  </si>
  <si>
    <t>5X (50 x 36CM) PLASTIC TERRACOTA</t>
  </si>
  <si>
    <t>GARDEN FENCE, BORDER</t>
  </si>
  <si>
    <t>4X (60 x 34,5CM) PLASTIC WHITE</t>
  </si>
  <si>
    <t>4X (60 x 34,5CM) PLASTIC OLD GOLD</t>
  </si>
  <si>
    <t>GARTENZAUN ALTGOLD</t>
  </si>
  <si>
    <t>4X (60 x 34,5CM) PLASTIC BLACK</t>
  </si>
  <si>
    <t>GARTENZAUN SCHWARTZ</t>
  </si>
  <si>
    <t>5X (60 x 30CM) PLASTIC WHITE</t>
  </si>
  <si>
    <t>GARTENZAUN WEISS</t>
  </si>
  <si>
    <t>5X (60 x 30CM) PLASTIC TERRACOTA</t>
  </si>
  <si>
    <t>5X (60 x 30CM) PLASTIC BROWN</t>
  </si>
  <si>
    <t>5X (60 x 30CM) PLASTIC BLACK</t>
  </si>
  <si>
    <t>KOLCE NA PTAKI A_1 "PALOMA"</t>
  </si>
  <si>
    <t>BIRD SPIKES A_1</t>
  </si>
  <si>
    <t>36CM WIDE: 50- 100MM</t>
  </si>
  <si>
    <t>TAUBENSPIKES TAUBENWEHR</t>
  </si>
  <si>
    <t>KOLCE NA PTAKI C_2 "PALOMA"</t>
  </si>
  <si>
    <t>BIRD SPIKES C_2</t>
  </si>
  <si>
    <t>34CM WIDE: 60- 110MM</t>
  </si>
  <si>
    <t>MOLE TRAP</t>
  </si>
  <si>
    <t>MAULWURFFALLE</t>
  </si>
  <si>
    <t>MOUSE TRAP</t>
  </si>
  <si>
    <t>MAUSEFALLE</t>
  </si>
  <si>
    <t>5X 10x5CM STEEL</t>
  </si>
  <si>
    <t>TOPOREK</t>
  </si>
  <si>
    <t xml:space="preserve">HOUSEHOLD HATCHET </t>
  </si>
  <si>
    <t>600G HEAVY DUTY</t>
  </si>
  <si>
    <t xml:space="preserve">KUCHENBEIL </t>
  </si>
  <si>
    <t>SIEKIERA</t>
  </si>
  <si>
    <t xml:space="preserve">AXE </t>
  </si>
  <si>
    <t>1250G HEAVY DUTY</t>
  </si>
  <si>
    <t xml:space="preserve">RHEINISCHE AXT </t>
  </si>
  <si>
    <t>BOWSAW FOR WOOD</t>
  </si>
  <si>
    <t>BUGELSAGE</t>
  </si>
  <si>
    <t xml:space="preserve">FOLDABLE GARDEN SAW </t>
  </si>
  <si>
    <t>180MM</t>
  </si>
  <si>
    <t xml:space="preserve">GARTENKLAPPSAGE </t>
  </si>
  <si>
    <t xml:space="preserve">GARDEN SAW </t>
  </si>
  <si>
    <t>Mn 65 STEEL 370MM</t>
  </si>
  <si>
    <t xml:space="preserve">GARTENSAGE </t>
  </si>
  <si>
    <t>65Mn STEEL 350MM FAST-TECH</t>
  </si>
  <si>
    <t>SEKATOR</t>
  </si>
  <si>
    <t xml:space="preserve">PRUNING SHEAR </t>
  </si>
  <si>
    <t>210MM MODEL 'F'</t>
  </si>
  <si>
    <t xml:space="preserve">REBENSCHERE </t>
  </si>
  <si>
    <t>PRUNING SHEAR WITH ERGONOMIC GRIP</t>
  </si>
  <si>
    <t>REBENSCHERE MIT ERGONOMISCHE GRIFF</t>
  </si>
  <si>
    <t>PRUNINGSHEAR</t>
  </si>
  <si>
    <t>200MM FORGED</t>
  </si>
  <si>
    <t xml:space="preserve">PRUNINGSHEAR ROSES </t>
  </si>
  <si>
    <t xml:space="preserve">REBENSCHERE ROSE </t>
  </si>
  <si>
    <t>SK-5 STEEL 250MM</t>
  </si>
  <si>
    <t xml:space="preserve">HEDGE SHEAR </t>
  </si>
  <si>
    <t>510MM</t>
  </si>
  <si>
    <t xml:space="preserve">HECKENSCHERE </t>
  </si>
  <si>
    <t>SK-5 200MM ALU</t>
  </si>
  <si>
    <t>LOPPING SHEAR</t>
  </si>
  <si>
    <t>TELESCOP TEFLON ALU HNDL</t>
  </si>
  <si>
    <t>ASTSCHERE</t>
  </si>
  <si>
    <t xml:space="preserve">LOPPING SHEAR </t>
  </si>
  <si>
    <t>ANVIL 720MM</t>
  </si>
  <si>
    <t xml:space="preserve">ASTSCHERE MIT AMBOSS </t>
  </si>
  <si>
    <t>KOSISKO</t>
  </si>
  <si>
    <t xml:space="preserve">SCYTHE HANDLE </t>
  </si>
  <si>
    <t>150CM  METAL 2xWOOD HNDL</t>
  </si>
  <si>
    <t>SENSE GRIFF</t>
  </si>
  <si>
    <t>KOSA</t>
  </si>
  <si>
    <t>SCYTHE</t>
  </si>
  <si>
    <t>SENSE</t>
  </si>
  <si>
    <t>70CM</t>
  </si>
  <si>
    <t>FALCE</t>
  </si>
  <si>
    <t>90CM</t>
  </si>
  <si>
    <t>ZRASZACZ OGRODOWY</t>
  </si>
  <si>
    <t>GARDEN SPRINKLER</t>
  </si>
  <si>
    <t>50 CM RANGE 24 METERS</t>
  </si>
  <si>
    <t>GARTENSPRENGER</t>
  </si>
  <si>
    <t>ANGERMAN</t>
  </si>
  <si>
    <t>polybag + sticker</t>
  </si>
  <si>
    <t>SPRYSKIWACZ OGRODNICZY-PULWERYZATOR</t>
  </si>
  <si>
    <t>HOUSEHOLD SPRAY GUN</t>
  </si>
  <si>
    <t>0.5L</t>
  </si>
  <si>
    <t>PFLANZEN SPRUHER</t>
  </si>
  <si>
    <t xml:space="preserve">COMPRESSED AIR SPRINKLER </t>
  </si>
  <si>
    <t>1L HIGH PRESSURE</t>
  </si>
  <si>
    <t xml:space="preserve">PFLANZEN SPRUHER DRUCK. </t>
  </si>
  <si>
    <t>KONEWKA</t>
  </si>
  <si>
    <t>WATERING CAN</t>
  </si>
  <si>
    <t xml:space="preserve">GIEßKANNEN </t>
  </si>
  <si>
    <t>VODAR</t>
  </si>
  <si>
    <t>SMYCZ DLA PSA AUTOMATYCZNA</t>
  </si>
  <si>
    <t xml:space="preserve">HUNDELEINE AUTOMATISCH </t>
  </si>
  <si>
    <t>DOG BELT AUTOMATIC</t>
  </si>
  <si>
    <t>5M</t>
  </si>
  <si>
    <t>HUNDELEINE AUTOMATISCH</t>
  </si>
  <si>
    <t>SMYCZ DLA PSA AUTOMATYCZNA 'TIGER'</t>
  </si>
  <si>
    <t>7M 45-50KG</t>
  </si>
  <si>
    <t>GRILL OGRODOWY TRÓJNÓG</t>
  </si>
  <si>
    <t>TRIPOD BARBECUE</t>
  </si>
  <si>
    <t>175x60CM</t>
  </si>
  <si>
    <t>DREINBEINGRILL</t>
  </si>
  <si>
    <t>210x70CM</t>
  </si>
  <si>
    <t>TRIPOD BARBECUE CAST IRON GRATE</t>
  </si>
  <si>
    <t>DREINBEINGRILL GUSSEISEN-GITTER</t>
  </si>
  <si>
    <t>CAULDRON FOR OPEN FIRE</t>
  </si>
  <si>
    <t>8L CAST IRON 14KG</t>
  </si>
  <si>
    <t>KESSEL AUF FEUER</t>
  </si>
  <si>
    <t>RUBBER MALLET 90MM 1250G</t>
  </si>
  <si>
    <t>CIRCLIP PLIER 150MM 5X</t>
  </si>
  <si>
    <t>GLUE GUN 11MM CE 40W, CE LEAFLET INSIDE</t>
  </si>
  <si>
    <t>ADJUSTABLE WRENCH 250MM HEAVY DUTY, CrV, TPR HANDLE, SAND BLASTED</t>
  </si>
  <si>
    <t>ADJUSTABLE WRENCH 300MM HEAVY DUTY, CrV, TPR HANDLE, SAND BLASTED</t>
  </si>
  <si>
    <t>OPEN-END SPANNER SET 6-22MM WS 8X</t>
  </si>
  <si>
    <t>RING SPANNER SET 6-22MM WS 8X</t>
  </si>
  <si>
    <t>COMBINATION SPANNER SET 10-17MM WS 6X</t>
  </si>
  <si>
    <t>FLEXIBLE BAR 1/2'' 450MM CV</t>
  </si>
  <si>
    <t>SOCKET SET 8-20MM 1/2'' CV 12PCS, SATIN FINISHED</t>
  </si>
  <si>
    <t>WOOD DRILL SET3,4,5,6,7,8,9,10 HEX SHANK 8PCS</t>
  </si>
  <si>
    <t>TABLE VICE W/HAND FIXING 40MM</t>
  </si>
  <si>
    <t>MITRE BOX WOOD+TENON SAW 300/250MM</t>
  </si>
  <si>
    <t>WOOD-CHISSELSET 6­12­18­24MM 4X</t>
  </si>
  <si>
    <t>STEEL PLANE ADJUSTABLE 240 X 50MM</t>
  </si>
  <si>
    <t>DRAIN CLEANER PROFI 5MM X 3M</t>
  </si>
  <si>
    <t>CHALKLINE WITH POWDER 15M+100G</t>
  </si>
  <si>
    <t>33PCS BITS SET 6.35MMX25MM BITS , 1PC 1/4 60MM  MAGNETIC BAR ,45# CARBON STEEL, SATIN FINISHED , 46HRC HARDNESS, 2PCS PVC HOLDER</t>
  </si>
  <si>
    <t>DRILLMACHINE BITS S2 STEEL, COLOR RINGS, 18BITS+3NUTS (6-8-10MM)+ADAPTER, TRANSPARENT COVER BOX</t>
  </si>
  <si>
    <t>CUTTING DISC 115X1X22.2MM METAL</t>
  </si>
  <si>
    <t>CUTTING DISC 125X1X22.2MM METAL</t>
  </si>
  <si>
    <t>TOOLBOX CARBO 600 RS ALU FLEX RED COVER</t>
  </si>
  <si>
    <t>SPRING HOOK 5.5X3CM</t>
  </si>
  <si>
    <t>LAWN RAKE 430MM</t>
  </si>
  <si>
    <t>CAULDRON FOR OPEN FIRE 8L, 14KG</t>
  </si>
  <si>
    <t>P699</t>
  </si>
  <si>
    <t>MASKA</t>
  </si>
  <si>
    <t>HOBBY</t>
  </si>
  <si>
    <t>BRUSHESSET:STEEL/BRASS 2X 40MM + 2X 100MM</t>
  </si>
  <si>
    <t>plastic case with sticker + pvc shrink</t>
  </si>
  <si>
    <t>CHECK</t>
  </si>
  <si>
    <t>MBI29.1.19 * packing check</t>
  </si>
  <si>
    <t>PFA30.10.18*oznaczenia i ulotka</t>
  </si>
  <si>
    <t>1/2''+1/4'' CV 108X</t>
  </si>
  <si>
    <t>PFA30.10.18*CE</t>
  </si>
  <si>
    <t>MBA7.1.2019*dodatkowy knot instrukcja</t>
  </si>
  <si>
    <t>P1-EN149 2X</t>
  </si>
  <si>
    <t>SOCKET SET 1/2'' 4PCS 10-13-17-19MM</t>
  </si>
  <si>
    <t>PLUMB BOB WITH STRING 160G/3M</t>
  </si>
  <si>
    <t>GEARPULLERSET 75-100-150MM 3X</t>
  </si>
  <si>
    <t>8-20MM 1/2'' CV 12X</t>
  </si>
  <si>
    <t xml:space="preserve">FLAT BRUSH SET </t>
  </si>
  <si>
    <t>2x(0.5''-1''-1.5'' -2''-2.5'') 10X</t>
  </si>
  <si>
    <t>SOCKET SET 8-32MM 1/2'' CV 26X</t>
  </si>
  <si>
    <t>OCTAGONAL COLD CHISEL 300x16MM FLAT</t>
  </si>
  <si>
    <t>FOAM GAULKING GUN PLASTIC</t>
  </si>
  <si>
    <t>SCREWDRIVER 5 X 100 MM, BLACK HANDLE</t>
  </si>
  <si>
    <t>T6273160</t>
  </si>
  <si>
    <t>T6273163</t>
  </si>
  <si>
    <t>T6649370</t>
  </si>
  <si>
    <t>T6649376</t>
  </si>
  <si>
    <t>KLUCZE RUROWE</t>
  </si>
  <si>
    <t>TUBULAR BOX SPANNER SET</t>
  </si>
  <si>
    <t>6-22MM WS 9X</t>
  </si>
  <si>
    <t>ROHRSTECKSCHLUESSEL</t>
  </si>
  <si>
    <t>7M 35KG GARBAGE CAN</t>
  </si>
  <si>
    <t>5M LAMP 15KG</t>
  </si>
  <si>
    <t>RUBBER MALLET 65MM 800G</t>
  </si>
  <si>
    <t>ADJUSTABLE GRIP FOR TIMING BELT WHEEL</t>
  </si>
  <si>
    <t xml:space="preserve">STEP DRILLS 3 PCS (4-12, 4-20, 4-32MM), HSS4241 </t>
  </si>
  <si>
    <t>MECHANIC'S STETOSCOPE</t>
  </si>
  <si>
    <t>MASONRY HOLE SAW SET 65, 80 MM SDS</t>
  </si>
  <si>
    <t>HOLE SAW 1.5'', 60-95MM, 5X</t>
  </si>
  <si>
    <t>Opis z kartoteki</t>
  </si>
  <si>
    <t>90MM FG  PROFI</t>
  </si>
  <si>
    <t>300MM BOX TYPE</t>
  </si>
  <si>
    <t>2.4-3.2-4.0 -4.8MM + 50X</t>
  </si>
  <si>
    <t>300x120MM PROFI</t>
  </si>
  <si>
    <t>100X</t>
  </si>
  <si>
    <t>1/4''+1/2'' 24T CV 94X</t>
  </si>
  <si>
    <t xml:space="preserve">6X VW SKODA AUDI VAG 2.0 TDI </t>
  </si>
  <si>
    <t>CITROEN PEUGEOT</t>
  </si>
  <si>
    <t>35X</t>
  </si>
  <si>
    <t>0.75L 21-30, 24-32, 28-37MM 90-120PSI</t>
  </si>
  <si>
    <t>BMW M47 M57 M67 N20/26/43 /45/46/47/51 /52/53/54</t>
  </si>
  <si>
    <t>BMW N51 N53 N54 N55</t>
  </si>
  <si>
    <t>VAG 1.2 2.0 TDi CR</t>
  </si>
  <si>
    <t>3X VAG 1.9 TDI PD</t>
  </si>
  <si>
    <t>27X</t>
  </si>
  <si>
    <t>5X 17.4-23.8-28.5mm / 10mm</t>
  </si>
  <si>
    <t>1/2" 27-42MM</t>
  </si>
  <si>
    <t>MACPHERSON 65-125 88-160 126-212</t>
  </si>
  <si>
    <t>3X (4-12,4-20, 4-32MM) HSS</t>
  </si>
  <si>
    <t>6 CYLINDERS BOSCH/DELPHI/DENSO</t>
  </si>
  <si>
    <t>PETROL</t>
  </si>
  <si>
    <t>1/2"</t>
  </si>
  <si>
    <t>79x59CM</t>
  </si>
  <si>
    <t>8MM 12X</t>
  </si>
  <si>
    <t>75MM x 100M</t>
  </si>
  <si>
    <t>75MM x 250M</t>
  </si>
  <si>
    <t>24'' - 600MM HEAVY DUTY</t>
  </si>
  <si>
    <t>36"- 900MM HEAVY DUTY</t>
  </si>
  <si>
    <t>ZN/ALLOY, HEAVY 380g</t>
  </si>
  <si>
    <t>TEFLON, ZN/ALLOY</t>
  </si>
  <si>
    <t>48MM x 50M</t>
  </si>
  <si>
    <t>CLASS II 3M x 16MM 3xSTOP CE</t>
  </si>
  <si>
    <t>CLASS II 5M x 19MM 3xSTOP CE</t>
  </si>
  <si>
    <t>CLASS II 3Mx16MM SELF-LOCK CE</t>
  </si>
  <si>
    <t>CLASS II 8Mx25MM SELF-LOCK CE</t>
  </si>
  <si>
    <t>4X PH1-2-3, S2</t>
  </si>
  <si>
    <t>PH2 38MM STUBBY</t>
  </si>
  <si>
    <t>P80/125MM 3X</t>
  </si>
  <si>
    <t>M14 STRAIGHT CUP 80MM</t>
  </si>
  <si>
    <t>1''-2''-2'' 3X</t>
  </si>
  <si>
    <t>17-19-22 -13/16''</t>
  </si>
  <si>
    <t>165MM</t>
  </si>
  <si>
    <t>50-75-100 -125MM 4X</t>
  </si>
  <si>
    <t>JUMBO</t>
  </si>
  <si>
    <t>3000KG 12MM x3.9M S-HOOKS WALLET</t>
  </si>
  <si>
    <t>5M x 25MM 250KG</t>
  </si>
  <si>
    <t>500KG 4.5M x 37MM</t>
  </si>
  <si>
    <t>50X (3x25CM BLACK)</t>
  </si>
  <si>
    <t>100CM x 78MM BLACK 6xFIX. HOLES</t>
  </si>
  <si>
    <t>33CM WIDE: 100- 160MM</t>
  </si>
  <si>
    <t>1/2'' 5X</t>
  </si>
  <si>
    <t>S623081</t>
  </si>
  <si>
    <t>SK</t>
  </si>
  <si>
    <t>XM!!!</t>
  </si>
  <si>
    <t>FX!!!</t>
  </si>
  <si>
    <t>P391</t>
  </si>
  <si>
    <t>D/F 200G</t>
  </si>
  <si>
    <t>D/F 400G</t>
  </si>
  <si>
    <t xml:space="preserve">BERLINER HAMMER </t>
  </si>
  <si>
    <t>KNIESCHONER</t>
  </si>
  <si>
    <t xml:space="preserve">RADIO PLIER BOWED </t>
  </si>
  <si>
    <t xml:space="preserve">TELEFONZANGE GEBOGEN </t>
  </si>
  <si>
    <t>250MM CRV D/F</t>
  </si>
  <si>
    <t xml:space="preserve">WASSERPUMPEZANGE </t>
  </si>
  <si>
    <t>1.5''</t>
  </si>
  <si>
    <t xml:space="preserve">PINCER </t>
  </si>
  <si>
    <t>175MM COBBLER</t>
  </si>
  <si>
    <t xml:space="preserve">KANTENZANGE </t>
  </si>
  <si>
    <t>RIVETING PLIER</t>
  </si>
  <si>
    <t>2.4-3.2-4.0 -4.8MM</t>
  </si>
  <si>
    <t>CRIRMPING PLIER</t>
  </si>
  <si>
    <t xml:space="preserve">PROFI 6-4 0.25-6MM </t>
  </si>
  <si>
    <t xml:space="preserve">CRIMPZANGE </t>
  </si>
  <si>
    <t>200x2.5MM 120X COLOR MIX</t>
  </si>
  <si>
    <t>300x4.7MM WHITE NYLON 50X</t>
  </si>
  <si>
    <t>40-60MM, 12X</t>
  </si>
  <si>
    <t>F-CLAMP</t>
  </si>
  <si>
    <t>CLAMP</t>
  </si>
  <si>
    <t>4 METER BELT</t>
  </si>
  <si>
    <t>ZWINGE</t>
  </si>
  <si>
    <t>8x50MM  12X</t>
  </si>
  <si>
    <t>7.2x100MM  6X COLOR GLITTER</t>
  </si>
  <si>
    <t>FOLIA OCHRONNA BUDOWLANA</t>
  </si>
  <si>
    <t xml:space="preserve">THICK PROTECTIVE COVER </t>
  </si>
  <si>
    <t>LDPE 4x5M 460G 0.025MM</t>
  </si>
  <si>
    <t xml:space="preserve">DICK SCHUTZABDECKPLANE </t>
  </si>
  <si>
    <t>4x5M CUT SIZE</t>
  </si>
  <si>
    <t>ABDECKPLANE</t>
  </si>
  <si>
    <t>4x6M CUT SIZE</t>
  </si>
  <si>
    <t>4x8M CUT SIZE</t>
  </si>
  <si>
    <t>5x6M CUT SIZE</t>
  </si>
  <si>
    <t>5x8M CUT SIZE</t>
  </si>
  <si>
    <t>6x8M CUT SIZE</t>
  </si>
  <si>
    <t>6x12M CUT SIZE</t>
  </si>
  <si>
    <t>8x10M CUT SIZE</t>
  </si>
  <si>
    <t>8x12M CUT SIZE</t>
  </si>
  <si>
    <t>PLANDEKA 133 G/M2</t>
  </si>
  <si>
    <t>TARPAULIN  133G/M2</t>
  </si>
  <si>
    <t>3x4M CUT SIZE  SILVER GREEN</t>
  </si>
  <si>
    <t>ABDECKPLANE  133G/M2</t>
  </si>
  <si>
    <t>tarp bale</t>
  </si>
  <si>
    <t>TARPAULIN 133 G/M2</t>
  </si>
  <si>
    <t>4x6M CUT SIZE  SILVER GREEN</t>
  </si>
  <si>
    <t>ABDECKPLANE 133 G/M2</t>
  </si>
  <si>
    <t>5x8M CUT SIZE  SILVER GREEN</t>
  </si>
  <si>
    <t>TARPAULIN  133 G/M2</t>
  </si>
  <si>
    <t>6x10M CUT SIZE  SILVER GREEN</t>
  </si>
  <si>
    <t>8x12M CUT SIZE  SILVER GREEN</t>
  </si>
  <si>
    <t>WORKI NA GRUZ</t>
  </si>
  <si>
    <t>RUBBLE BAGS</t>
  </si>
  <si>
    <t>10X 70x110CM 120L BLACK 60 MICRON  LDPE</t>
  </si>
  <si>
    <t>MUELLBEUTEL</t>
  </si>
  <si>
    <t>KLUCZYK DO WIERTARKI</t>
  </si>
  <si>
    <t xml:space="preserve">CHUCK KEY </t>
  </si>
  <si>
    <t>13MM 17/32''</t>
  </si>
  <si>
    <t xml:space="preserve">BOHRFUTTERSCHLUSSEL </t>
  </si>
  <si>
    <t>6-17MM WS 6X</t>
  </si>
  <si>
    <t>6-22MM CV HEAVY DUTY 8X</t>
  </si>
  <si>
    <t>FOR 17 PCS SPANNERS (6-32MM)</t>
  </si>
  <si>
    <t>FOR 26 PCS SPANNERS (6-32MM)</t>
  </si>
  <si>
    <t xml:space="preserve">RATCHET COMBI SPANNER </t>
  </si>
  <si>
    <t>19MM REVERSIBLE FIXED RING 72T TAIWAN</t>
  </si>
  <si>
    <t xml:space="preserve">GABEL-RINGSCHLUSSEL MIT UMSCHALTKNARRE </t>
  </si>
  <si>
    <t>TZ</t>
  </si>
  <si>
    <t>10MM CV</t>
  </si>
  <si>
    <t>13MM CV</t>
  </si>
  <si>
    <t>19MM CV</t>
  </si>
  <si>
    <t>STAR HEX KEY SET</t>
  </si>
  <si>
    <t>10-50 CV MIDDLE 9X</t>
  </si>
  <si>
    <t xml:space="preserve">HEXAGON KEY SET </t>
  </si>
  <si>
    <t>2.5-10MM 7X</t>
  </si>
  <si>
    <t xml:space="preserve">KUGELKOPF-INNENSECHSKANTSCHLUSSELSATZ </t>
  </si>
  <si>
    <t>1/2''</t>
  </si>
  <si>
    <t>1/2'' 72T CV EXTENDABLE</t>
  </si>
  <si>
    <t>ZESTAW BITÓW I NASADEK</t>
  </si>
  <si>
    <t xml:space="preserve">BIT &amp; SOCKET SET </t>
  </si>
  <si>
    <t xml:space="preserve">STECKSCHLUSSELSATZ  + BITS </t>
  </si>
  <si>
    <t>BMC + sticker</t>
  </si>
  <si>
    <t>ZESTAW BITÓW HEX</t>
  </si>
  <si>
    <t>BIT SET HEX</t>
  </si>
  <si>
    <t>SOCKET SET</t>
  </si>
  <si>
    <t>4-13MM, 5/32''-15/32'', 1/4''-3/8'' 40X</t>
  </si>
  <si>
    <t>1/4'' CV 46X</t>
  </si>
  <si>
    <t>380MM 2X</t>
  </si>
  <si>
    <t>MACPHERSON SPRING DUMPER EXTRACTOR TOOLSET</t>
  </si>
  <si>
    <t>FEDERSPANNER FUR MACPHERSON FEDERBEINE</t>
  </si>
  <si>
    <t>KUGELLAGER-ABZIEHER UND SEPARATOR-WERKZEUGSATZ</t>
  </si>
  <si>
    <t>ENGINE TWIN CAM LOCKING TOOL</t>
  </si>
  <si>
    <t>PETROL UNIVERSAL</t>
  </si>
  <si>
    <t>ENGINE TIMING CRANK LOCKING TOOL SET</t>
  </si>
  <si>
    <t>slide card</t>
  </si>
  <si>
    <t>ENGINE TIMING TOOL SET</t>
  </si>
  <si>
    <t>IGNITION COIL PULLER SET</t>
  </si>
  <si>
    <t>VAG VW AUDI SKODA 4X</t>
  </si>
  <si>
    <t>ZUENDSPULENABZIEHER SET</t>
  </si>
  <si>
    <t>ZESTAW DO ZARABIANIA PRZEWODÓW HAMULCOWYCH</t>
  </si>
  <si>
    <t>BRAKE PIPE FLARING KIT</t>
  </si>
  <si>
    <t>BOERDELGERAET</t>
  </si>
  <si>
    <t>FORK TYPE BALL JOINT SEPARATOR</t>
  </si>
  <si>
    <t>TRENNGABEL SATZ</t>
  </si>
  <si>
    <t>BMC+sticker</t>
  </si>
  <si>
    <t>DRIVE TIE ROD WRENCH</t>
  </si>
  <si>
    <t>STECKNUSS</t>
  </si>
  <si>
    <t>white box + sticker</t>
  </si>
  <si>
    <t>BEARING PULLER TOOL</t>
  </si>
  <si>
    <t>6-28MM</t>
  </si>
  <si>
    <t>ABZIEHER</t>
  </si>
  <si>
    <t>WINDSHIELD WIPPER PULLER</t>
  </si>
  <si>
    <t>SCHEIBENWISCHER ARM ABZIEHER</t>
  </si>
  <si>
    <t>BALL JOINT PULLER SEPARATOR</t>
  </si>
  <si>
    <t>0-48MM</t>
  </si>
  <si>
    <t>KUGELGELENKABZIEHER</t>
  </si>
  <si>
    <t>BOOT CAMP PLIERS</t>
  </si>
  <si>
    <t>240MM</t>
  </si>
  <si>
    <t>ASCHMASCHETTEN ZANGEN</t>
  </si>
  <si>
    <t>SZCZYPCE DO ZACISKANIA PRZEWODÓW GUMOWYCH</t>
  </si>
  <si>
    <t>HOSE PLIERS</t>
  </si>
  <si>
    <t>SCHLAUCHKLEMMZANGE</t>
  </si>
  <si>
    <t>PNEUMATIC BLEEDING SET (BRAKE FLUID)</t>
  </si>
  <si>
    <t>PNEUMATISCH BREMFLUSSIGKEITEXTRACTOR</t>
  </si>
  <si>
    <t>PVC BAG</t>
  </si>
  <si>
    <t>VERSTELB. GRIFF FUR ZAHNRIEMENRAD</t>
  </si>
  <si>
    <t>PRESS AND PULL SLEEVE TOOL SET</t>
  </si>
  <si>
    <t>SILENTLAGER ABZIEHER SATZ</t>
  </si>
  <si>
    <t>NUT SPLITTER SET</t>
  </si>
  <si>
    <t>NUSSSPALTERSATZ</t>
  </si>
  <si>
    <t>BMC+ sticker</t>
  </si>
  <si>
    <t>pvc box + sticker</t>
  </si>
  <si>
    <t>STEP DRILLS</t>
  </si>
  <si>
    <t>STUFENBOHRER</t>
  </si>
  <si>
    <t>ZESTAW KLUCZY DO KORKÓW OLEJU</t>
  </si>
  <si>
    <t>OIL DRAIN PLUG KEY SET</t>
  </si>
  <si>
    <t>OELDIENSTSCHLUESSELSATZ</t>
  </si>
  <si>
    <t>ZESTAW DIAGNOSTYCZNY DO WTRYSKIWACZY</t>
  </si>
  <si>
    <t>DIESEL INJECTION LEAK BACK MASTER KIT</t>
  </si>
  <si>
    <t xml:space="preserve">PRUEFGERAET DIESEL INJEKTOR COMMON RAIL </t>
  </si>
  <si>
    <t>PETROL ENGINE COMPRESSION TESTER</t>
  </si>
  <si>
    <t>STETOSKOP DIAGNOSTYCZNY WARSZTATOWY</t>
  </si>
  <si>
    <t>TORQUE ANGLE DRIVER</t>
  </si>
  <si>
    <t>WINKELMESSER FUR DREHMOMENTSCHLUSSEL</t>
  </si>
  <si>
    <t>MAGNETIC FENDER COVER</t>
  </si>
  <si>
    <t>MAGNETISCHE KOTFLUGELABDECKUNG</t>
  </si>
  <si>
    <t>1.5-6.5MM 13X</t>
  </si>
  <si>
    <t>1-10MM 19X</t>
  </si>
  <si>
    <t>PVC box+shrink</t>
  </si>
  <si>
    <t>1-10MM HSS 19X</t>
  </si>
  <si>
    <t xml:space="preserve">1.5-4.8MM HSS TITAN HEX SHANK 5X </t>
  </si>
  <si>
    <t xml:space="preserve">MASONRY DRILL SET </t>
  </si>
  <si>
    <t>3-4-5-6-7 -8-9-10MM 8X</t>
  </si>
  <si>
    <t xml:space="preserve">STEINBOHRERSATZ </t>
  </si>
  <si>
    <t>OTWORNICE DO BETONU I GLAZURY</t>
  </si>
  <si>
    <t xml:space="preserve">MASONRY HOLE SAW SET </t>
  </si>
  <si>
    <t>22-73MM CEMENTED CARBIDE 9X</t>
  </si>
  <si>
    <t xml:space="preserve">BETON UND FLIESEN LOCHSAEGESATZ </t>
  </si>
  <si>
    <t>OTWORNICE DO BETONU</t>
  </si>
  <si>
    <t>65, 80MM SDS</t>
  </si>
  <si>
    <t xml:space="preserve">BETONLOCHSAEGESATZ </t>
  </si>
  <si>
    <t>neutral box+sticker</t>
  </si>
  <si>
    <t>OTWORNICA DO BETONU</t>
  </si>
  <si>
    <t xml:space="preserve">MASONRY HOLE SAW </t>
  </si>
  <si>
    <t>80MM</t>
  </si>
  <si>
    <t xml:space="preserve">BETONLOCHSAEGE  </t>
  </si>
  <si>
    <t>PVC tube</t>
  </si>
  <si>
    <t>65MM</t>
  </si>
  <si>
    <t>14X250 POINT</t>
  </si>
  <si>
    <t>COUNTERSINK MILLING SET</t>
  </si>
  <si>
    <t xml:space="preserve">HOLZOBERFRASERSATZ </t>
  </si>
  <si>
    <t>COMBI-DRILL SET</t>
  </si>
  <si>
    <t>5-6-8MM 9X</t>
  </si>
  <si>
    <t>DUAL JAWS 100MM 15.5KG 2xSWIVEL</t>
  </si>
  <si>
    <t>450MM HARDPOINT</t>
  </si>
  <si>
    <t>500MM HARDPOINT</t>
  </si>
  <si>
    <t>250MM SK-5</t>
  </si>
  <si>
    <t>HACKSAWFRAME PLASTIC HANDLE</t>
  </si>
  <si>
    <t>JUNIOR SAGEBOGEN KUNSTSTOFF</t>
  </si>
  <si>
    <t>HACKSAWFRAME WOODEN HANDLE</t>
  </si>
  <si>
    <t>SAGEBOGEN HOLZ</t>
  </si>
  <si>
    <t>HAND TROLLEY</t>
  </si>
  <si>
    <t>75KG 42X38X100CM ALU</t>
  </si>
  <si>
    <t>SACKKARRE</t>
  </si>
  <si>
    <t>44X 20x3MM FELT ROUND</t>
  </si>
  <si>
    <t xml:space="preserve">FILZGLEITERSATZ </t>
  </si>
  <si>
    <t>28X WHITE</t>
  </si>
  <si>
    <t>FILZGLEITERSATZ WEISS</t>
  </si>
  <si>
    <t>SCYZORYK</t>
  </si>
  <si>
    <t xml:space="preserve">POCKETKNIFE </t>
  </si>
  <si>
    <t>90MM 11 FUNCTIONS</t>
  </si>
  <si>
    <t xml:space="preserve">TASCHENMESSER </t>
  </si>
  <si>
    <t xml:space="preserve">LOCKKNIFE </t>
  </si>
  <si>
    <t>80/200MM STAINLESS STEEL</t>
  </si>
  <si>
    <t xml:space="preserve">KLAPPMESSER </t>
  </si>
  <si>
    <t>GLASS SCRAPER</t>
  </si>
  <si>
    <t xml:space="preserve">GLASSCHABER </t>
  </si>
  <si>
    <t xml:space="preserve">WALLPAPER CUTTER BLADES </t>
  </si>
  <si>
    <t>18MM 10X</t>
  </si>
  <si>
    <t>ABBRECHBARE KLINGEN</t>
  </si>
  <si>
    <t>18MM</t>
  </si>
  <si>
    <t xml:space="preserve">ABBRECHMESSER </t>
  </si>
  <si>
    <t>18MM, TPR HANDLE, METAL SLIDE RAIL</t>
  </si>
  <si>
    <t xml:space="preserve">UTILITY KNIFE ADJ. ALUMINIUM </t>
  </si>
  <si>
    <t>150MM ALUMINIUM</t>
  </si>
  <si>
    <t>6 WHEELS  PROFI GERMAN TYPE</t>
  </si>
  <si>
    <t>GLASSCHNEIDER 6 WHEELS, PROFI GERMAN TYPE</t>
  </si>
  <si>
    <t>GLASS CUTTER PROFI</t>
  </si>
  <si>
    <t>PROFI OIL INJECT</t>
  </si>
  <si>
    <t>GLASSCHNEIDER</t>
  </si>
  <si>
    <t xml:space="preserve">PRECISION KNIFE SET </t>
  </si>
  <si>
    <t>16X</t>
  </si>
  <si>
    <t>PRAZISION MESSERSATZ</t>
  </si>
  <si>
    <t>PRZEBIJAKI</t>
  </si>
  <si>
    <t>PUNCHERS</t>
  </si>
  <si>
    <t>2.5-10MM #45-STEEL 9X</t>
  </si>
  <si>
    <t>SPLINTENTREIBER SATZ</t>
  </si>
  <si>
    <t xml:space="preserve">OCTAGONAL COLD CHISEL </t>
  </si>
  <si>
    <t>300MM FLAT</t>
  </si>
  <si>
    <t>250ML</t>
  </si>
  <si>
    <t>TAP 1/2''</t>
  </si>
  <si>
    <t>1/2'' ECONOMY</t>
  </si>
  <si>
    <t xml:space="preserve">GARTENHAHN </t>
  </si>
  <si>
    <t>WARNING CHAIN</t>
  </si>
  <si>
    <t>5M PVC</t>
  </si>
  <si>
    <t>WARNUNG KETTE</t>
  </si>
  <si>
    <t>WARNING TAPE  WHITE-RED</t>
  </si>
  <si>
    <t xml:space="preserve">WARNBAND </t>
  </si>
  <si>
    <t>TEFLON 8M 3X</t>
  </si>
  <si>
    <t>INSULATIONTAPE</t>
  </si>
  <si>
    <t>50MMx10M</t>
  </si>
  <si>
    <t xml:space="preserve">REPAIR TAPE </t>
  </si>
  <si>
    <t>50MMx10M REINFORCED SILVER</t>
  </si>
  <si>
    <t xml:space="preserve">REPARATURBAND </t>
  </si>
  <si>
    <t>REPAIR TAPE</t>
  </si>
  <si>
    <t>50MMx25M REINFORCED SILVER</t>
  </si>
  <si>
    <t>50MMx50M REINFORCED SILVER</t>
  </si>
  <si>
    <t xml:space="preserve">MULTIPURPOSE SCISSORS </t>
  </si>
  <si>
    <t xml:space="preserve">MULTI-SCHERE </t>
  </si>
  <si>
    <t>BOLT CUTTER</t>
  </si>
  <si>
    <t>18'' - 450MM HEAVY DUTY</t>
  </si>
  <si>
    <t>BOLZENSCHNEIDER</t>
  </si>
  <si>
    <t>STEEL TIN CUTTING SET</t>
  </si>
  <si>
    <t>POWER DRILL EXTENSION</t>
  </si>
  <si>
    <t>BLECHSCHERESATZ</t>
  </si>
  <si>
    <t>CHALK LINE</t>
  </si>
  <si>
    <t>30M</t>
  </si>
  <si>
    <t>TILER SPONGE</t>
  </si>
  <si>
    <t>165x100x60MM</t>
  </si>
  <si>
    <t>FLIESENLEGER SCHWAMM</t>
  </si>
  <si>
    <t>ARIX Sp. z o.o.</t>
  </si>
  <si>
    <t xml:space="preserve">TILE-CUTTING AND DRILLMACHINE </t>
  </si>
  <si>
    <t>400MM HEAVY DUTY</t>
  </si>
  <si>
    <t xml:space="preserve">RASP FLOAT SCREW </t>
  </si>
  <si>
    <t>10x21CM</t>
  </si>
  <si>
    <t>HANDSCHLEIFER MIT SCHRAUBEN</t>
  </si>
  <si>
    <t>PACA SZLIFIERSKA ZATRZASK</t>
  </si>
  <si>
    <t xml:space="preserve">RASP FLOAT W/LOCK </t>
  </si>
  <si>
    <t>HANDSCHLEIFER MIT DRUCKKNOPFE</t>
  </si>
  <si>
    <t>SZPACHLA NIERDZEWNA FASADOWA</t>
  </si>
  <si>
    <t>STAINLESS ELEVATION TROWEL</t>
  </si>
  <si>
    <t>150MM STAINLESS</t>
  </si>
  <si>
    <t>MAHLERSPACHTEL</t>
  </si>
  <si>
    <t>STAINLESS ELEVATION TROWEL 200MM</t>
  </si>
  <si>
    <t>MAHLERSPACHTEL 200MM STAINLESS</t>
  </si>
  <si>
    <t>TROWEL 250MM</t>
  </si>
  <si>
    <t>250MM STAINLESS</t>
  </si>
  <si>
    <t>MAHLERSPACHTEL 250MM STAINLESS</t>
  </si>
  <si>
    <t>TROWEL 300MM</t>
  </si>
  <si>
    <t>300MM STAINLESS</t>
  </si>
  <si>
    <t>MAHLERSPACHTEL 300MM STAINLESS</t>
  </si>
  <si>
    <t>STAINLESS ELEVATION TROWEL 450MM STAINLESS</t>
  </si>
  <si>
    <t>450MM STAINLESS</t>
  </si>
  <si>
    <t>MAHLERSPACHTEL 450MM STAINLESS</t>
  </si>
  <si>
    <t>STAINLESS ELEVATION TROWEL 600MM STAINLESS</t>
  </si>
  <si>
    <t>600MM STAINLESS</t>
  </si>
  <si>
    <t>MAHLERSPACHTEL 600MM STAINLESS</t>
  </si>
  <si>
    <t>SZPACHELKA NIERDZEWNA MALARSKA</t>
  </si>
  <si>
    <t xml:space="preserve">TROWEL </t>
  </si>
  <si>
    <t>40MM STAINLESS</t>
  </si>
  <si>
    <t>SPACHTEL</t>
  </si>
  <si>
    <t>STAINLESS TROWEL</t>
  </si>
  <si>
    <t>60MM STAINLESS</t>
  </si>
  <si>
    <t xml:space="preserve">STAINLESS TROWEL </t>
  </si>
  <si>
    <t>80MM STAINLESS</t>
  </si>
  <si>
    <t>100MM STAINLESS</t>
  </si>
  <si>
    <t>225MM MASSIVE PLASTIC</t>
  </si>
  <si>
    <t>ZN/ALLOY PP TRIGGER</t>
  </si>
  <si>
    <t>square wihite carton+sticker</t>
  </si>
  <si>
    <t>FOAM GAULKING GUN ALU</t>
  </si>
  <si>
    <t>DIE-CASTED ALU DYNAMIC</t>
  </si>
  <si>
    <t>SCHAUMPISTOLE ALU</t>
  </si>
  <si>
    <t>color carton box</t>
  </si>
  <si>
    <t>EX 1"x18MM 25MM</t>
  </si>
  <si>
    <t>FLACHE PINSEL PROFI</t>
  </si>
  <si>
    <t>EX 1,5"x18MM 36MM</t>
  </si>
  <si>
    <t>EX 2"x18MM 50MM</t>
  </si>
  <si>
    <t>EX 2,5"x18MM 63MM</t>
  </si>
  <si>
    <t>1-1.5-2'' - 3X; NO. 4-6 - 2X</t>
  </si>
  <si>
    <t>RADIATOR BRUSH SET</t>
  </si>
  <si>
    <t>1''-1.5''-2'' 3X</t>
  </si>
  <si>
    <t xml:space="preserve">HEIZKORPERPINSELSATZ </t>
  </si>
  <si>
    <t>BRUSH-PENCIL SET FLAT</t>
  </si>
  <si>
    <t>KLEINPINSELSATZ FLACH</t>
  </si>
  <si>
    <t>110x30MM 60% TOPS</t>
  </si>
  <si>
    <t xml:space="preserve">BRUSH-PENCIL SET ROUND CON. </t>
  </si>
  <si>
    <t xml:space="preserve">KLEINPINSELSATZ RUND </t>
  </si>
  <si>
    <t>BRUSH-PENCIL</t>
  </si>
  <si>
    <t>MIX 15X</t>
  </si>
  <si>
    <t xml:space="preserve">KLEINPINSELSATZ </t>
  </si>
  <si>
    <t>130x30MM 60% TOPS</t>
  </si>
  <si>
    <t>MALERBURSTE</t>
  </si>
  <si>
    <t>140x40MM 60% TOPS</t>
  </si>
  <si>
    <t>150x50MM 60% TOPS</t>
  </si>
  <si>
    <t xml:space="preserve">PAINT ROLL SET </t>
  </si>
  <si>
    <t>polybag+carton hanger</t>
  </si>
  <si>
    <t xml:space="preserve">PAINTROLLERS </t>
  </si>
  <si>
    <t>PAINT MIXED ZINC PLATED</t>
  </si>
  <si>
    <t xml:space="preserve">600 x 100MM </t>
  </si>
  <si>
    <t xml:space="preserve">PAINT MIXER SET </t>
  </si>
  <si>
    <t xml:space="preserve">FARBEMISCHERSATZ </t>
  </si>
  <si>
    <t>19MM x 50M</t>
  </si>
  <si>
    <t>19MM x 25M</t>
  </si>
  <si>
    <t>ABDECKBAND</t>
  </si>
  <si>
    <t>25MM x 50M</t>
  </si>
  <si>
    <t>MASKING TAPE</t>
  </si>
  <si>
    <t>38MM x 50M</t>
  </si>
  <si>
    <t>38MM x 25M</t>
  </si>
  <si>
    <t xml:space="preserve">MASKING TAPE 'BLUE SHARK' </t>
  </si>
  <si>
    <t>BLUE 80C 48MMx25M</t>
  </si>
  <si>
    <t>48MM x 25M</t>
  </si>
  <si>
    <t>WIADRO GOSPODARCZE</t>
  </si>
  <si>
    <t xml:space="preserve">ROUND BUCKET </t>
  </si>
  <si>
    <t>12L</t>
  </si>
  <si>
    <t xml:space="preserve">BAUEIMER </t>
  </si>
  <si>
    <t>MARLUX Maria Szymoniak</t>
  </si>
  <si>
    <t>16L</t>
  </si>
  <si>
    <t>BAUEIMER</t>
  </si>
  <si>
    <t>ROUND BUCKET</t>
  </si>
  <si>
    <t>20L</t>
  </si>
  <si>
    <t xml:space="preserve">RECTANGULAR MORTAR </t>
  </si>
  <si>
    <t>40L</t>
  </si>
  <si>
    <t xml:space="preserve">MORTELKIST </t>
  </si>
  <si>
    <t>65L</t>
  </si>
  <si>
    <t>RECTANGULAR MORTAR</t>
  </si>
  <si>
    <t>90L</t>
  </si>
  <si>
    <t>ROUND MORTAR BUCKET</t>
  </si>
  <si>
    <t>MORTELKUBEL</t>
  </si>
  <si>
    <t>WIADRO Z BLACHY OCYNKOWANEJ</t>
  </si>
  <si>
    <t xml:space="preserve">BUCKET ZINC PLATED </t>
  </si>
  <si>
    <t>5L</t>
  </si>
  <si>
    <t>STAHL EIMER VERZINKT</t>
  </si>
  <si>
    <t>7L</t>
  </si>
  <si>
    <t xml:space="preserve">15L </t>
  </si>
  <si>
    <t>POT ZINC PLATED</t>
  </si>
  <si>
    <t>15L- COVER - DUAL BOTTOM</t>
  </si>
  <si>
    <t>VERZINKT STAHLTOPF</t>
  </si>
  <si>
    <t>25L- COVER - DUAL BOTTOM</t>
  </si>
  <si>
    <t>32L- COVER - DUAL BOTTOM</t>
  </si>
  <si>
    <t>WANNA STALOWA OCYNKOWANA</t>
  </si>
  <si>
    <t>BATH ZINC PLATED</t>
  </si>
  <si>
    <t>75L OVAL</t>
  </si>
  <si>
    <t>VERZINKT STAHLWANNE</t>
  </si>
  <si>
    <t>100L OVAL</t>
  </si>
  <si>
    <t>120L OVAL</t>
  </si>
  <si>
    <t>250MM ALUMINIUM</t>
  </si>
  <si>
    <t>VIAL 250MM ALUMINIUM</t>
  </si>
  <si>
    <t>350MM ALUMINIUM</t>
  </si>
  <si>
    <t>VIAL 400MM ALUMINIUM</t>
  </si>
  <si>
    <t>CLASS II 8M x 25MM 3xSTOP CE</t>
  </si>
  <si>
    <t>20M GLASS FIBRE PRO</t>
  </si>
  <si>
    <t>POZIOMNICA ALUMINIOWA</t>
  </si>
  <si>
    <t xml:space="preserve">ALUMINIUM LEVEL SQR </t>
  </si>
  <si>
    <t xml:space="preserve">ALUMINIUM WASSERWAAGE </t>
  </si>
  <si>
    <t>600MM</t>
  </si>
  <si>
    <t>ALUMINIUM WASSERWAAGE</t>
  </si>
  <si>
    <t>ALUMINIUM LEVEL SQR</t>
  </si>
  <si>
    <t>800MM</t>
  </si>
  <si>
    <t>BITSET DOUBLE-ENDED</t>
  </si>
  <si>
    <t>MIX 10X</t>
  </si>
  <si>
    <t>BITS-SATZ DUBB.</t>
  </si>
  <si>
    <t>NUT SETTER</t>
  </si>
  <si>
    <t>8x48MM 2X MAGNETIC</t>
  </si>
  <si>
    <t>NUT SETTER ADAPTER</t>
  </si>
  <si>
    <t>1/4" RED HANDLE</t>
  </si>
  <si>
    <t>DRILL BIT-NUSS ADAPTER</t>
  </si>
  <si>
    <t>SOCKET ADAPTER</t>
  </si>
  <si>
    <t xml:space="preserve">1/2" 3/8" 1/4" HEX SHANK 3X  </t>
  </si>
  <si>
    <t>ADAPTER SATZ</t>
  </si>
  <si>
    <t>37 BITS CRV6150</t>
  </si>
  <si>
    <t>BIT SET</t>
  </si>
  <si>
    <t>30-75MM 1/2'' 3/8'' CV 40X</t>
  </si>
  <si>
    <t>KLUCZE TORX</t>
  </si>
  <si>
    <t xml:space="preserve">POWER HANDLE KEY SET </t>
  </si>
  <si>
    <t>W/PIN  T8-T25  6X  CRV STEEL</t>
  </si>
  <si>
    <t>T-HANDLE SCREWDRVRSET</t>
  </si>
  <si>
    <t>28X</t>
  </si>
  <si>
    <t>37X</t>
  </si>
  <si>
    <t>MBA*190219* uchwyt</t>
  </si>
  <si>
    <t xml:space="preserve">2 IN 1 DOUBLE END 120MM </t>
  </si>
  <si>
    <t>PH1 x 100MM</t>
  </si>
  <si>
    <t>CV - 7 x 125MM</t>
  </si>
  <si>
    <t>CV + PH2 x 125MM</t>
  </si>
  <si>
    <t>PREC.SCREWDRIVERS.COMBI</t>
  </si>
  <si>
    <t>ZESTAW DO ROBÓT PRECYZYJNYCH</t>
  </si>
  <si>
    <t>PRECISION SET</t>
  </si>
  <si>
    <t>25X</t>
  </si>
  <si>
    <t>PRACIZIONSSATZ</t>
  </si>
  <si>
    <t>BMC + db</t>
  </si>
  <si>
    <t>PRECISION IPHONE SCREWDRIVER SET</t>
  </si>
  <si>
    <t xml:space="preserve">i5 4g 4s 3gs Phone  </t>
  </si>
  <si>
    <t>PRACIZIONSSCHRAUBENDREHER</t>
  </si>
  <si>
    <t>iPhone 5 4S 3GS iPad4</t>
  </si>
  <si>
    <t xml:space="preserve">PRACIZIONSSCHRAUBENDREHER MOBIPHONE </t>
  </si>
  <si>
    <t>carton box w/tray</t>
  </si>
  <si>
    <t>31X PRECISION</t>
  </si>
  <si>
    <t>sticker+carton photo box</t>
  </si>
  <si>
    <t>32X PRECISION</t>
  </si>
  <si>
    <t>shrink foil + 2 stickers</t>
  </si>
  <si>
    <t>POCKET SCREWDRIVER</t>
  </si>
  <si>
    <t>double blister/neutral carton box+ sticker</t>
  </si>
  <si>
    <t>PILNIKI IGLAKI</t>
  </si>
  <si>
    <t>WARDING FILE SET PLASTIC HANDLE</t>
  </si>
  <si>
    <t>150MM 6X</t>
  </si>
  <si>
    <t>SCHLUSSELFEILENSATZ</t>
  </si>
  <si>
    <t>FUTERKO POLERSKIE NA RZEP</t>
  </si>
  <si>
    <t>WOOL POLISHING PAD, VELCRO</t>
  </si>
  <si>
    <t>125MM</t>
  </si>
  <si>
    <t>LAMMWOLL POLIERHAUBE MIT KLETT</t>
  </si>
  <si>
    <t>SANDING MESH SHEET</t>
  </si>
  <si>
    <t>P80 105 x 280MM  5X</t>
  </si>
  <si>
    <t>SCHLEIFGITTER</t>
  </si>
  <si>
    <t>Zapan</t>
  </si>
  <si>
    <t>PVC bag w/sticker/leaflet</t>
  </si>
  <si>
    <t>P100 105 x 280MM 5X</t>
  </si>
  <si>
    <t>P120 105 x 280MM 5X</t>
  </si>
  <si>
    <t>P180 105 x 280MM 5X</t>
  </si>
  <si>
    <t>P60/115MM 3X</t>
  </si>
  <si>
    <t>P80/115MM 3X</t>
  </si>
  <si>
    <t>FAECHERSCHLEIFSCHEIBE P80/115MM/3X</t>
  </si>
  <si>
    <t>P100/115MM 3X</t>
  </si>
  <si>
    <t>FAECHERSCHLEIFSCHEIBE P100/115MM/3X</t>
  </si>
  <si>
    <t>P40/125MM 3X</t>
  </si>
  <si>
    <t>FAECHERSCHLEIFSCHEIBE P40/125MM/3X</t>
  </si>
  <si>
    <t>P60/125MM 3X</t>
  </si>
  <si>
    <t>FAECHERSCHLEIFSCHEIBE P60/125MM/3X</t>
  </si>
  <si>
    <t>FAECHERSCHLEIFSCHEIBE P80/125MM/3X</t>
  </si>
  <si>
    <t>M14 COIL CUP 65MM RING</t>
  </si>
  <si>
    <t>M14 COIL BEVEL 100MM</t>
  </si>
  <si>
    <t>STALOWE SZCZOTKI DO WIERTARKI</t>
  </si>
  <si>
    <t>STEELBRUSHES ROTARY</t>
  </si>
  <si>
    <t>1''-1.5''-2' '-2.5''-3'' 5X</t>
  </si>
  <si>
    <t>SCHEIBENBURSTENSATZ</t>
  </si>
  <si>
    <t>TOPF-BURSTENSATZ</t>
  </si>
  <si>
    <t>PIVOT 6MM STRAIGHT CUP 100MM</t>
  </si>
  <si>
    <t>SZCZOTKA STAL. OBR.</t>
  </si>
  <si>
    <t>PIVOT 6MM STRAIGHT FLAT 125MM</t>
  </si>
  <si>
    <t>BRUSHESSET</t>
  </si>
  <si>
    <t>3X NYLON BRASS STEEL 40MM</t>
  </si>
  <si>
    <t>PROTECTION GOGGLES</t>
  </si>
  <si>
    <t>PROFI</t>
  </si>
  <si>
    <t>polybag header, leaflet inside</t>
  </si>
  <si>
    <t>MBI 28.05.19*CE</t>
  </si>
  <si>
    <t>KOMBI ZESTAW ROWEROWY</t>
  </si>
  <si>
    <t>BIKE REPAIR KIT</t>
  </si>
  <si>
    <t>16 IN 1</t>
  </si>
  <si>
    <t>SCHLÜSSEL ZUM FAHRRAD</t>
  </si>
  <si>
    <t>TAG ON STRING</t>
  </si>
  <si>
    <t>POMPKA MINI</t>
  </si>
  <si>
    <t>MINI PUMP</t>
  </si>
  <si>
    <t>26x200MM</t>
  </si>
  <si>
    <t>MINIPUMPE</t>
  </si>
  <si>
    <t>PVC bag w/hanger</t>
  </si>
  <si>
    <t>POMPKA</t>
  </si>
  <si>
    <t>PUMP</t>
  </si>
  <si>
    <t>PUMPE</t>
  </si>
  <si>
    <t>PVC bag w/sticker</t>
  </si>
  <si>
    <t>SZCZOTKA DO PRZERZUTKI ROWEROWEJ</t>
  </si>
  <si>
    <t>DERAILLEUR BRUSH</t>
  </si>
  <si>
    <t>14x6 CM</t>
  </si>
  <si>
    <t>FAHRRAD-KETTENREINIGUNGBURSTE</t>
  </si>
  <si>
    <t>CARBO ALU FLEX 500</t>
  </si>
  <si>
    <t>12''</t>
  </si>
  <si>
    <t>16''</t>
  </si>
  <si>
    <t>WERHZEUGKASTEN</t>
  </si>
  <si>
    <t>26''</t>
  </si>
  <si>
    <t xml:space="preserve">'THIRD HAND' WITH LOUPE - LED </t>
  </si>
  <si>
    <t>85MM BI-FOCAL 2x-6x 2xLED</t>
  </si>
  <si>
    <t>factory carton box W/STICKER</t>
  </si>
  <si>
    <t>LAMPA LED</t>
  </si>
  <si>
    <t>LED LAMP</t>
  </si>
  <si>
    <t>S-LED BIKE 3-FUNCT. PP</t>
  </si>
  <si>
    <t>LEDLAMPE</t>
  </si>
  <si>
    <t>SPOKE-LED BIKE 3-FUNCT. PP</t>
  </si>
  <si>
    <t>19 LED</t>
  </si>
  <si>
    <t>LATARKA LED</t>
  </si>
  <si>
    <t>LED TORCH</t>
  </si>
  <si>
    <t>ALU 14-LED 30x100MM</t>
  </si>
  <si>
    <t>LED TASCHENLAMPE</t>
  </si>
  <si>
    <t>TORCH LED</t>
  </si>
  <si>
    <t>TASCHENLAMPE LED</t>
  </si>
  <si>
    <t>FOUR-WAY RIM WRENCH</t>
  </si>
  <si>
    <t xml:space="preserve">PKW-KREUZSCHLUSSEL </t>
  </si>
  <si>
    <t>ELASTYCZNY CHWYTAK MAGNETYCZNY</t>
  </si>
  <si>
    <t>MAGNETIC FLEX PICK-UP TOOL</t>
  </si>
  <si>
    <t>580MM</t>
  </si>
  <si>
    <t>FLEX MAGNETISCHE GREIFER</t>
  </si>
  <si>
    <t xml:space="preserve">FUNNEL SKEW HEAVY DUTY </t>
  </si>
  <si>
    <t>120MM HEAVY DUTY</t>
  </si>
  <si>
    <t>LEJEK GIETKI</t>
  </si>
  <si>
    <t xml:space="preserve">FUNNEL FLEXIBLE </t>
  </si>
  <si>
    <t xml:space="preserve">TRICHTER MIT FLITER FLEX </t>
  </si>
  <si>
    <t xml:space="preserve">FUNNEL SKEW </t>
  </si>
  <si>
    <t xml:space="preserve">TRICHTER MIT FLITER SCHRAG </t>
  </si>
  <si>
    <t>LEJKI PLASTIKOWE</t>
  </si>
  <si>
    <t xml:space="preserve">FUNNELSET </t>
  </si>
  <si>
    <t xml:space="preserve">TRICHTERSATZ </t>
  </si>
  <si>
    <t>BOOSTERCABLE CLAMPS</t>
  </si>
  <si>
    <t>13CM 4X</t>
  </si>
  <si>
    <t>KLEMMEN FUR STARTHILFEKABEL</t>
  </si>
  <si>
    <t>KABLE ROZRUCHOWE DO AKUMULAT.</t>
  </si>
  <si>
    <t>BOOSTERCABLE</t>
  </si>
  <si>
    <t>MAX 250A  2M</t>
  </si>
  <si>
    <t xml:space="preserve">STARTHILFEKABEL </t>
  </si>
  <si>
    <t>zip bag w/leaflet</t>
  </si>
  <si>
    <t>MAX 600A  4M</t>
  </si>
  <si>
    <t>STARTHILFEKABEL</t>
  </si>
  <si>
    <t>CAR WINDOW SCRAPER</t>
  </si>
  <si>
    <t>W/RUBBER</t>
  </si>
  <si>
    <t>500MM</t>
  </si>
  <si>
    <t xml:space="preserve">CAR BRUSH+ICEBREAKER </t>
  </si>
  <si>
    <t>CAR WINDOW SPONGE ANTI-FOG CHAMOIS LEATHER</t>
  </si>
  <si>
    <t>CHAMOIS</t>
  </si>
  <si>
    <t>AUTO FENSTERSCHWAMM</t>
  </si>
  <si>
    <t xml:space="preserve">CAR WASH FOAM </t>
  </si>
  <si>
    <t>AUTOSCHWAMM</t>
  </si>
  <si>
    <t>150x100x60MM ANTI-INSECT</t>
  </si>
  <si>
    <t xml:space="preserve">WIPER FLEXIBLE </t>
  </si>
  <si>
    <t>300x240MM FLEX</t>
  </si>
  <si>
    <t xml:space="preserve">GUMMIWISCHER </t>
  </si>
  <si>
    <t xml:space="preserve">CAR WINDSCREEN COVER </t>
  </si>
  <si>
    <t>150x70CM</t>
  </si>
  <si>
    <t xml:space="preserve">AUTOSCHEIBENABDECKUNG </t>
  </si>
  <si>
    <t>foil shrink + leaflet insert</t>
  </si>
  <si>
    <t xml:space="preserve">BRUSH FOR WASHING </t>
  </si>
  <si>
    <t>WASCH BURSTE</t>
  </si>
  <si>
    <t>SZCZOTKA DREWNIANA</t>
  </si>
  <si>
    <t xml:space="preserve">WOODEN BRUSH </t>
  </si>
  <si>
    <t>280MM</t>
  </si>
  <si>
    <t xml:space="preserve">HOLZ HANDFEGER </t>
  </si>
  <si>
    <t>CAR WHEEL BRUSH NARROW</t>
  </si>
  <si>
    <t>32x4 CM</t>
  </si>
  <si>
    <t>AUTOFELGENSCHMALBURSTE</t>
  </si>
  <si>
    <t>CAR BRUSH-ANIMAL HAIR REMOVING</t>
  </si>
  <si>
    <t>14x6CM RUBBER</t>
  </si>
  <si>
    <t>AUTO-TIERHAAR-REINIGUNGSBURSTE</t>
  </si>
  <si>
    <t>AUTO-SZCZOTKA DO DYWANIKÓW</t>
  </si>
  <si>
    <t>CAR CARPET BRUSH</t>
  </si>
  <si>
    <t>AUTOTEPPICHRBURSTE</t>
  </si>
  <si>
    <t>CAR FINISHING BRUSH</t>
  </si>
  <si>
    <t>19x2 CM</t>
  </si>
  <si>
    <t>AUTOREINIGUNGSDETAILBURSTE</t>
  </si>
  <si>
    <t>SKUWACZ DO LODU</t>
  </si>
  <si>
    <t>ICE CRASHER</t>
  </si>
  <si>
    <t>220x80 x1110MM</t>
  </si>
  <si>
    <t xml:space="preserve">EISSTÖSSER </t>
  </si>
  <si>
    <t xml:space="preserve">FOLDABLE JACKSTANDS </t>
  </si>
  <si>
    <t>2000KG 2X</t>
  </si>
  <si>
    <t>LINKA HOLOWNICZA</t>
  </si>
  <si>
    <t xml:space="preserve">TOW ROPE </t>
  </si>
  <si>
    <t>1800KG 14MM x3.6M</t>
  </si>
  <si>
    <t xml:space="preserve">ABSCHLEPPSEIL </t>
  </si>
  <si>
    <t>TOW ROPE</t>
  </si>
  <si>
    <t>3000KG 18MM x3.6M</t>
  </si>
  <si>
    <t>zip wallet w/sticker</t>
  </si>
  <si>
    <t>3,6Mx50MM  2000KG</t>
  </si>
  <si>
    <t xml:space="preserve">SUCTION LIFTER SINGLE </t>
  </si>
  <si>
    <t>115MM 30KG</t>
  </si>
  <si>
    <t>neutral carton box/sticker</t>
  </si>
  <si>
    <t xml:space="preserve">SUCTION CUP DOUBLE </t>
  </si>
  <si>
    <t>115MM 60KG</t>
  </si>
  <si>
    <t>factory color box + sticker</t>
  </si>
  <si>
    <t xml:space="preserve">LUGGAGE STRAPS </t>
  </si>
  <si>
    <t>(300, 450, 600MM) x 2</t>
  </si>
  <si>
    <t>2 x 800MM</t>
  </si>
  <si>
    <t>2 x 1000MM</t>
  </si>
  <si>
    <t>GEPACKBANDER</t>
  </si>
  <si>
    <t>UNIV. STRAP WITH RATCHET</t>
  </si>
  <si>
    <t xml:space="preserve">RATSCHEN-SPANNGURT </t>
  </si>
  <si>
    <t>RATCHET TIE DOWN SET</t>
  </si>
  <si>
    <t>RATSCHEN-SPANNGURTSATZ</t>
  </si>
  <si>
    <t>LUPA</t>
  </si>
  <si>
    <t>MAGNIFYING GLASS</t>
  </si>
  <si>
    <t>90MM</t>
  </si>
  <si>
    <t xml:space="preserve">LUPE </t>
  </si>
  <si>
    <t>ETYKIETKI DO KLUCZY</t>
  </si>
  <si>
    <t>COLOR MIX SHIFT 8X</t>
  </si>
  <si>
    <t>COLOR MIX CLICK 8X</t>
  </si>
  <si>
    <t>DRABINA DWUSTRONNA</t>
  </si>
  <si>
    <t>STEP LADDER DOUBLE-SIDED</t>
  </si>
  <si>
    <t>3 STEPS 125KG</t>
  </si>
  <si>
    <t xml:space="preserve">BEIDSEITIGE STUFENLEITER </t>
  </si>
  <si>
    <t>DRABEST</t>
  </si>
  <si>
    <t>GRABIE</t>
  </si>
  <si>
    <t xml:space="preserve">RAKE </t>
  </si>
  <si>
    <t>12T</t>
  </si>
  <si>
    <t xml:space="preserve">LAUBBESEN </t>
  </si>
  <si>
    <t>GRABIE PVC DO SIANA</t>
  </si>
  <si>
    <t>PVC HAY RAKE</t>
  </si>
  <si>
    <t>PVC HEURAUPE</t>
  </si>
  <si>
    <t xml:space="preserve">PVC HEURAUPE </t>
  </si>
  <si>
    <t>PVC GARDEN LEAF RAKE</t>
  </si>
  <si>
    <t>460MM 20T</t>
  </si>
  <si>
    <t xml:space="preserve">PVC GARTEN LAUBRECHEN </t>
  </si>
  <si>
    <t>430MM 20T</t>
  </si>
  <si>
    <t>PVC ECO GARDEN LEAF RAKE</t>
  </si>
  <si>
    <t xml:space="preserve">430MM 20T  </t>
  </si>
  <si>
    <t xml:space="preserve">PVC ECO GARTEN LAUBRECHEN </t>
  </si>
  <si>
    <t>580MM 27T</t>
  </si>
  <si>
    <t>PVC GARTEN LAUBRECHEN</t>
  </si>
  <si>
    <t xml:space="preserve">PVC ECO GARDEN LEAF RAKE </t>
  </si>
  <si>
    <t xml:space="preserve">580MM 27T </t>
  </si>
  <si>
    <t>610MM 24T</t>
  </si>
  <si>
    <t xml:space="preserve">610MM 24T  </t>
  </si>
  <si>
    <t xml:space="preserve">140CM </t>
  </si>
  <si>
    <t xml:space="preserve">BROOM/BRUSH </t>
  </si>
  <si>
    <t>24CM COLOR MIX</t>
  </si>
  <si>
    <t xml:space="preserve">BESEN/BURSTE </t>
  </si>
  <si>
    <t>30CM</t>
  </si>
  <si>
    <t>40CM</t>
  </si>
  <si>
    <t>50CM</t>
  </si>
  <si>
    <t>GARDEN BASKET</t>
  </si>
  <si>
    <t>fi28CM X fi42CM X H31,5CM;  25L</t>
  </si>
  <si>
    <t>GARTENKORB</t>
  </si>
  <si>
    <t>MAAN do ulotkowania</t>
  </si>
  <si>
    <t>fi31,5CM X fi48CM H35CM;  35L</t>
  </si>
  <si>
    <t>100M PLASTIC COATED</t>
  </si>
  <si>
    <t>PODSTAWKA WIELOFUNKCYJNA</t>
  </si>
  <si>
    <t>MULTIFUCTIONAL TRAY</t>
  </si>
  <si>
    <t>MULTIFUNKTION UNTERSETZER</t>
  </si>
  <si>
    <t>LAWN EDGING 78</t>
  </si>
  <si>
    <t>KOLCE NA PTAKI E_4 "PALOMA"</t>
  </si>
  <si>
    <t>BIRD SPIKES E_4</t>
  </si>
  <si>
    <t>KRUK ODSTRASZACZ</t>
  </si>
  <si>
    <t>RAVEN SCARECROW</t>
  </si>
  <si>
    <t>38 CM PLASTIC</t>
  </si>
  <si>
    <t>RABE VOGELSCHRECK</t>
  </si>
  <si>
    <t>5X 21CM x fi5CM</t>
  </si>
  <si>
    <t>MOLE TRAP WITH MARKER</t>
  </si>
  <si>
    <t>5X 25CM x fi5CM</t>
  </si>
  <si>
    <t>MAULWURFFALLE MIT MELDER</t>
  </si>
  <si>
    <t>5X 11x5CM WOOD</t>
  </si>
  <si>
    <t>RAT TRAP</t>
  </si>
  <si>
    <t xml:space="preserve">5X 17x7CM WOOD </t>
  </si>
  <si>
    <t>RATTENFALLE</t>
  </si>
  <si>
    <t>5X 17x7CM STEEL</t>
  </si>
  <si>
    <t xml:space="preserve">SAW </t>
  </si>
  <si>
    <t xml:space="preserve">600MM CHAIN </t>
  </si>
  <si>
    <t>HANDKETTENSAGE</t>
  </si>
  <si>
    <t>200MM 'VINTAGE'</t>
  </si>
  <si>
    <t>TEFLON ALU HANDLES 200MM</t>
  </si>
  <si>
    <t xml:space="preserve">TRIMMER LINE </t>
  </si>
  <si>
    <t>15M 2MM  ROUND</t>
  </si>
  <si>
    <t xml:space="preserve">MAHFADEN </t>
  </si>
  <si>
    <t>15M 2MM  ROUND REINFORCED</t>
  </si>
  <si>
    <t>15M 2.4MM  ROUND</t>
  </si>
  <si>
    <t>MAHFADEN</t>
  </si>
  <si>
    <t>15M 2.4MM  ROUND REINFORCED</t>
  </si>
  <si>
    <t>15M 3MM  ROUND</t>
  </si>
  <si>
    <t>15M 3MM  ROUND REINFORCED</t>
  </si>
  <si>
    <t>15M 3MM  SQUARE</t>
  </si>
  <si>
    <t>15M 3MM  STAR</t>
  </si>
  <si>
    <t>TRIMMER HEAD</t>
  </si>
  <si>
    <t>FADENSPULE</t>
  </si>
  <si>
    <t xml:space="preserve">HOSE CONNECT SET </t>
  </si>
  <si>
    <t xml:space="preserve">BEWASSERUNGSSPRUHERSATZ </t>
  </si>
  <si>
    <t xml:space="preserve">SPRAYER </t>
  </si>
  <si>
    <t>5 FUNCTIONS</t>
  </si>
  <si>
    <t xml:space="preserve">SPRUHPISTOLESATZ </t>
  </si>
  <si>
    <t>PFLANZEN SPRUHER DRUCK.</t>
  </si>
  <si>
    <t>COMPRESSED AIR SPRINKLER</t>
  </si>
  <si>
    <t xml:space="preserve">DOG BELT AUTOMATIC </t>
  </si>
  <si>
    <t>3M</t>
  </si>
  <si>
    <t>PET FUR DESHEDDING TOOL</t>
  </si>
  <si>
    <t>7CM</t>
  </si>
  <si>
    <t>HUNDEBUERSTE</t>
  </si>
  <si>
    <t>OPASKA SMYCZ NA NADGARSTEK</t>
  </si>
  <si>
    <t>BABY LEASH</t>
  </si>
  <si>
    <t>2M BLUE</t>
  </si>
  <si>
    <t>HANDGELENKLEINE</t>
  </si>
  <si>
    <t>2M ORANGE</t>
  </si>
  <si>
    <t>WIESZAK NA UBRANIA</t>
  </si>
  <si>
    <t>CLOTHES HANGER</t>
  </si>
  <si>
    <t>10X 410MM ROTATING HOOK</t>
  </si>
  <si>
    <t>KLEIDERBUEGEL</t>
  </si>
  <si>
    <t>PLASTJAN</t>
  </si>
  <si>
    <t>BEAST</t>
  </si>
  <si>
    <t>'</t>
  </si>
  <si>
    <t>MACHINIST HAMMER FORGED 100G DIN 1041, ROUND&amp; FLAT WEDGES FIXING</t>
  </si>
  <si>
    <t>OPEN-END SPANNER SET 6-22MM CV HEAVY DUTY 8X</t>
  </si>
  <si>
    <t>PVC CHAIN RED/WHITE 5m, 6mm x (27out-20in)mm</t>
  </si>
  <si>
    <t>FOAM GAULKING GUN TEFLON COATED, ZN/ALLOY, BI-COLOUR HANDLE</t>
  </si>
  <si>
    <t>PAINT MIXER SET 3X</t>
  </si>
  <si>
    <t>100X 160MM BIRCH WOOD</t>
  </si>
  <si>
    <t>100X 165MM BIRCH WOOD</t>
  </si>
  <si>
    <t>CH !!!!</t>
  </si>
  <si>
    <t xml:space="preserve">SZCZOTKA STAL. OBROTOWA </t>
  </si>
  <si>
    <t>SPOON</t>
  </si>
  <si>
    <t>LOEFFEL</t>
  </si>
  <si>
    <t xml:space="preserve">CH przyjecie towaru </t>
  </si>
  <si>
    <t>polybag+sticker</t>
  </si>
  <si>
    <t>KNIFE</t>
  </si>
  <si>
    <t>MESSER</t>
  </si>
  <si>
    <t>WIDELEC</t>
  </si>
  <si>
    <t>FORK</t>
  </si>
  <si>
    <t>GABEL</t>
  </si>
  <si>
    <t>WATERPUMPPLIER 250MM DROP FORGED 2-COLOR HANDLE</t>
  </si>
  <si>
    <t>WHEEL CASTERS - NYLON 40MM ROTATING 2pcs + FIXED 2pcs</t>
  </si>
  <si>
    <t>BRUSH-PENCIL SET FLAT 9X</t>
  </si>
  <si>
    <t>T627027</t>
  </si>
  <si>
    <t>TK250010</t>
  </si>
  <si>
    <t>MBI*190709*first delivery</t>
  </si>
  <si>
    <t>ALU 6 BITS PRECISION</t>
  </si>
  <si>
    <t>RUBBER MALLET 65MM METAL</t>
  </si>
  <si>
    <t>HEX KEY WRENCH SET 2-10MM 8X</t>
  </si>
  <si>
    <t>DRAIN CLEANER PROFI 8MM X 10M</t>
  </si>
  <si>
    <t>PROTECTION GOGGLES TRANSPARENT EN166 CE YSA2</t>
  </si>
  <si>
    <t>tw_masa</t>
  </si>
  <si>
    <t>T627325</t>
  </si>
  <si>
    <t>RUBBER MALLET 60MM FG, WHITE, PROFI</t>
  </si>
  <si>
    <t>UNIV.STRAP W/RATCHET+2 HOOKS 5M 250KG</t>
  </si>
  <si>
    <t>50MMx50M PREMIUM GLUE REINFORCED BLACK</t>
  </si>
  <si>
    <t xml:space="preserve">192MM  STAINLESS PROFI </t>
  </si>
  <si>
    <t xml:space="preserve">215 MM  STAINLESS PROFI </t>
  </si>
  <si>
    <t>162504X</t>
  </si>
  <si>
    <t>nazwa DE</t>
  </si>
  <si>
    <t>***</t>
  </si>
  <si>
    <t>ABDECKBAND "BLUE SHARK" 48MM X50M</t>
  </si>
  <si>
    <t xml:space="preserve">ABDECKBAND "BLUE SHARK" </t>
  </si>
  <si>
    <t>SCHLEIFSET "MINI"</t>
  </si>
  <si>
    <t>GREIFER MIT LUPE - "DRITTE HAND"</t>
  </si>
  <si>
    <t>LUPE - "DRITTE HAND" - LED</t>
  </si>
  <si>
    <t>TRICHTER MIT FLITER SCHRAG  SCHWERLAST</t>
  </si>
  <si>
    <t xml:space="preserve">SCHNEEBESEN MIT EISKRATZER "ICEBREAKER" </t>
  </si>
  <si>
    <t>RATSCHEN-SPANNGURTSATZ 765KG 4.5Mx50MM SCHWERLAST</t>
  </si>
  <si>
    <t>CAULKING GUN 240MM PROFI SKELETON</t>
  </si>
  <si>
    <t>ALUMINIUM LEVEL SQR 800MM</t>
  </si>
  <si>
    <t>STEEL BRUSH WOODEN HANDLE W/HOLE, 6 RAWS</t>
  </si>
  <si>
    <t>TOW ROPE FLEXIBLE S-HOOK 1800KG 1.5M</t>
  </si>
  <si>
    <t>19MMx2.5M 6ROLLS</t>
  </si>
  <si>
    <t>19MMX10M 10ROLLS</t>
  </si>
  <si>
    <t>19MMx10M 5ROLLS</t>
  </si>
  <si>
    <t>G530040</t>
  </si>
  <si>
    <t>G734120</t>
  </si>
  <si>
    <t>HARD CAP</t>
  </si>
  <si>
    <t>AJKA BIS</t>
  </si>
  <si>
    <t>PAINT MIXER 400 X 80MM</t>
  </si>
  <si>
    <t>PIPE WRENCH 2'', WELDED BODY, BLUE PAINTED, "U"-SHAPE MOUTH</t>
  </si>
  <si>
    <t>PINCER 175MM CV (BW order: remove CV, add Cobbler to description)</t>
  </si>
  <si>
    <t>TARPAULIN 8 X 10M cut size, waving yarn 6x6/inch, ALU eyelets inside dia=12mm each 1m, PP rope inside, 2 side coated, blue, 42G/M2</t>
  </si>
  <si>
    <t>TARPAULIN 8 X 12M cut size, waving yarn 6x6/inch, ALU eyelets inside dia=12mm each 1m, PP rope inside, 2 side coated, blue, 42G/M2</t>
  </si>
  <si>
    <t>WALLPAPER CUTTER BLADES 18 x 0.4MM, 10PCS</t>
  </si>
  <si>
    <t>DIE SET PROF. 1/4''-3/8''-1/2''-3/4''-1''-5/4'' 9X</t>
  </si>
  <si>
    <t>SCISSORSET STAINLESS 3X 25-21-14cm</t>
  </si>
  <si>
    <t>ALUMINIUM LEVEL SQR 600MM</t>
  </si>
  <si>
    <t>PRECISION MOBIPHONE SCREWDRIVER SET 31 PCS packed in carton box</t>
  </si>
  <si>
    <t>MOUNTED STONE SET 5pcs</t>
  </si>
  <si>
    <t>MOUNTED STONE SET 10pcs</t>
  </si>
  <si>
    <t>IRON WIRE ZINC PLATED 50M, 0.5MM THICKNESS (target price $0,17)</t>
  </si>
  <si>
    <t>DOG BELT AUTOMATIC 18.5 x 16 x 4cm, 45-50KG</t>
  </si>
  <si>
    <t>STAINLESS 3X 25-21-14CM</t>
  </si>
  <si>
    <t>P325</t>
  </si>
  <si>
    <t>T6649375</t>
  </si>
  <si>
    <t>nazwa GB</t>
  </si>
  <si>
    <t>TOOLBELT</t>
  </si>
  <si>
    <t xml:space="preserve">3/4'' 22-50MM HEX 14X </t>
  </si>
  <si>
    <t>3/4'' 22-50MM 12-STAR 14X</t>
  </si>
  <si>
    <t>3/4" 19-50MM HEX 21X</t>
  </si>
  <si>
    <t>3/4'' 19-50MM 12-STAR 21X</t>
  </si>
  <si>
    <t>'try-it' carton hanger</t>
  </si>
  <si>
    <t>STAINLESS 2X 21-14CM</t>
  </si>
  <si>
    <t>MBI*8.8.19*check color</t>
  </si>
  <si>
    <t>WORKBENCH</t>
  </si>
  <si>
    <t>WERKBANK</t>
  </si>
  <si>
    <t>16T 55CM</t>
  </si>
  <si>
    <t>18T 60CM</t>
  </si>
  <si>
    <t>410526X</t>
  </si>
  <si>
    <t>654394NNG</t>
  </si>
  <si>
    <t>664925A</t>
  </si>
  <si>
    <t>735071T</t>
  </si>
  <si>
    <t>A900100</t>
  </si>
  <si>
    <t>B685220</t>
  </si>
  <si>
    <t>B685230</t>
  </si>
  <si>
    <t>B685250</t>
  </si>
  <si>
    <t>D84200</t>
  </si>
  <si>
    <t>D84202</t>
  </si>
  <si>
    <t>D84203</t>
  </si>
  <si>
    <t>PF600X600</t>
  </si>
  <si>
    <t>PF640X640</t>
  </si>
  <si>
    <t>PF800X800</t>
  </si>
  <si>
    <t>PF840X840</t>
  </si>
  <si>
    <t>S254010</t>
  </si>
  <si>
    <t>UD0001</t>
  </si>
  <si>
    <t>UK0000</t>
  </si>
  <si>
    <t>UMP001</t>
  </si>
  <si>
    <t>UMP002</t>
  </si>
  <si>
    <t>UMP004</t>
  </si>
  <si>
    <t>UMP007</t>
  </si>
  <si>
    <t>UMP008</t>
  </si>
  <si>
    <t>UMP009</t>
  </si>
  <si>
    <t>USC001</t>
  </si>
  <si>
    <t>UT0000</t>
  </si>
  <si>
    <t>Y741000</t>
  </si>
  <si>
    <t>Price</t>
  </si>
  <si>
    <t>QTY</t>
  </si>
  <si>
    <t>Date</t>
  </si>
  <si>
    <t>MALLET HAMMER RUBBER/PLASTIC 32MM</t>
  </si>
  <si>
    <t>WRECKING BAR RUBBER HANDLE 300 x 12MM RUBBER</t>
  </si>
  <si>
    <t>SOCKET SET 3/4'', 21PCS, 12-STAR</t>
  </si>
  <si>
    <t>12PCS BRAKE CALIPER WIND BACK TOOL KIT</t>
  </si>
  <si>
    <t xml:space="preserve">QUALITY- MUST IMPROVE;BREAK PIPE FLARING KIT, 7 ADAPTERS- 5; 6; 8; 10; 12; 14; 16MM PIPE PRESS, SQUEEZE WITH HOLES 5; 6; 8; 10; 12; 14; 16mm - 1PC </t>
  </si>
  <si>
    <t>HANDSAW HARDENED TEETH 450MM PROFESSIONAL</t>
  </si>
  <si>
    <t>HACKSAWFRAME WOODEN HANDLE 300MM</t>
  </si>
  <si>
    <t>CAULKING GUN 240MM PROFI</t>
  </si>
  <si>
    <t>JOINERS SQUARE 350MM</t>
  </si>
  <si>
    <t>DRILLMACHINE BITS MAGNETIC CV 16X</t>
  </si>
  <si>
    <t>T-HANDLE SCREWDRVRSET 21X</t>
  </si>
  <si>
    <t>RASPSET 200MM PROFI 3X</t>
  </si>
  <si>
    <t>BACKING PAD VELCRO GUM 125MM, max 12000RPM, W/M14 PIN</t>
  </si>
  <si>
    <t>GEARPULLERSET 75(2 LEGS)-100-150MM 3X</t>
  </si>
  <si>
    <t>LAWN RAKE ADJUSTABLE 1260-1500MM</t>
  </si>
  <si>
    <t>SDS-MAX &gt; SDS-PLUS 200MM</t>
  </si>
  <si>
    <t>100MM FOAM 5X</t>
  </si>
  <si>
    <t xml:space="preserve">2+3X FOAM 100MM </t>
  </si>
  <si>
    <t>3+9X FOAM 100MM</t>
  </si>
  <si>
    <t>2+3X 100MM ACRYL</t>
  </si>
  <si>
    <t>100MM ACRYL 5X</t>
  </si>
  <si>
    <t>100MM ACRYL 10X</t>
  </si>
  <si>
    <t>8x65MM 10X MAGNETIC</t>
  </si>
  <si>
    <t>17x11.5CM BRASS RUBBER GRIP</t>
  </si>
  <si>
    <t>26X10CM POLYCARBON</t>
  </si>
  <si>
    <t>FUR LINING</t>
  </si>
  <si>
    <t>69CM SOFT GRIP POLYCARBON</t>
  </si>
  <si>
    <t>7 IN 1 MULTIFUNCTION FOLDABLE</t>
  </si>
  <si>
    <t>FX MAPLE</t>
  </si>
  <si>
    <t>TR651300</t>
  </si>
  <si>
    <t>DESC</t>
  </si>
  <si>
    <t>SUPP</t>
  </si>
  <si>
    <t>MinSt</t>
  </si>
  <si>
    <t>PACK</t>
  </si>
  <si>
    <t>FX -MAPLE Frank Xu</t>
  </si>
  <si>
    <t>MBA*30.9.19* TUV stamped</t>
  </si>
  <si>
    <t xml:space="preserve">8MM COLOR MIX </t>
  </si>
  <si>
    <t>Drimer Sp. z o. o. Sp.k.</t>
  </si>
  <si>
    <t xml:space="preserve">FOLIA OCHRONNA SAMOPRZYLEPNA </t>
  </si>
  <si>
    <t>ADHESIVE PROTECTIVE FOIL</t>
  </si>
  <si>
    <t xml:space="preserve">50CMx75M 45um UV 60DAYS </t>
  </si>
  <si>
    <t xml:space="preserve">KLEBESCHUTZFOLIE </t>
  </si>
  <si>
    <t>ROLL/STICKER</t>
  </si>
  <si>
    <t>WERKZEUGGURTEL</t>
  </si>
  <si>
    <t xml:space="preserve">19X T20-70  E10-24 1/2" CRV </t>
  </si>
  <si>
    <t>30X CRV 55-100- 140-200MM 5-19 1/2"</t>
  </si>
  <si>
    <t>BMW MINI PSA N43 N45 N46 N52 N54</t>
  </si>
  <si>
    <t>FIAT 1.2 1.4 1.6 1.8 16v 1.9D/TD/JTD 2.4TD/JTD</t>
  </si>
  <si>
    <t>DIESEL GM FIAT 1.3 1.9 2.0 2.2 INJECTION WATER PUMP REMOVAL</t>
  </si>
  <si>
    <t>14X 30-50mm, 50-75mm</t>
  </si>
  <si>
    <t>16/24MM</t>
  </si>
  <si>
    <t>4X 0-37MM</t>
  </si>
  <si>
    <t>M6x1x6MM 15X</t>
  </si>
  <si>
    <t>88PCS M6-M8-M10</t>
  </si>
  <si>
    <t>TESTER KOMPRESJI SILNIKA</t>
  </si>
  <si>
    <t>KOMPRESSIONSPRUEFER</t>
  </si>
  <si>
    <t>30CM EXT</t>
  </si>
  <si>
    <t>D/B+sticker</t>
  </si>
  <si>
    <t xml:space="preserve">2+10X 100MM FOAM </t>
  </si>
  <si>
    <t>1+5X 100MM FOAM</t>
  </si>
  <si>
    <t>d//b +sticker</t>
  </si>
  <si>
    <t>PLASTERING TAPE</t>
  </si>
  <si>
    <t>INT/EXT 60C 48MMx50M</t>
  </si>
  <si>
    <t>ABDECKBAND FUR STUCKATEUR</t>
  </si>
  <si>
    <t>Polirat</t>
  </si>
  <si>
    <t>MBI*3.10.19* CE BREXIT</t>
  </si>
  <si>
    <t>DISCO DE CORTE</t>
  </si>
  <si>
    <t>MBA*30.9.19* we need Beast package, not pink factory packig</t>
  </si>
  <si>
    <t>MBI*24.9.19* we need Beast package, not pink factory packig</t>
  </si>
  <si>
    <t>MBI*19.9.19*CE</t>
  </si>
  <si>
    <t>ZESTAW KLUCZY DO POKRYWEK FILTRA OLEJU</t>
  </si>
  <si>
    <t>OIL FILTER CAP WRENCH SET</t>
  </si>
  <si>
    <t xml:space="preserve">23X 65-101MM  3/8" 1/2" </t>
  </si>
  <si>
    <t>OELFILTERSCHLUESSELSATZ</t>
  </si>
  <si>
    <t>SKROBAK DO SZYB SAMOCHODOWYCH</t>
  </si>
  <si>
    <t>SOFT GRIP 27CM</t>
  </si>
  <si>
    <t>500x380x1460MM fi 28 mm METAL HANDLE</t>
  </si>
  <si>
    <t>500 x 380 x 1460MM ALU HANDLE</t>
  </si>
  <si>
    <t xml:space="preserve">ALUMINIUM SHOVEL </t>
  </si>
  <si>
    <t>345x350x1340MM WOODEN HANDLE</t>
  </si>
  <si>
    <t xml:space="preserve">SCHNEESCHIEBER ALUMINIUM </t>
  </si>
  <si>
    <t>265x290 x1300MM WOODEN HANDLE</t>
  </si>
  <si>
    <t xml:space="preserve">490x385 x1400MM WOODEN HANDLE </t>
  </si>
  <si>
    <t>490x375 x1430MM ALU HANDLE</t>
  </si>
  <si>
    <t>MBA24.10.19*Product code on outerbox</t>
  </si>
  <si>
    <t>100X 155MM BIRCH WOOD</t>
  </si>
  <si>
    <t>dok_waluta</t>
  </si>
  <si>
    <t>MACHINIST HAMMER FORGED 600G DIN 1041, ROUND&amp; FLAT WEDGES FIXING</t>
  </si>
  <si>
    <t>BERLINER HAMMER 600G, D/F, FG, PLASTIFIED</t>
  </si>
  <si>
    <t>RUBBER MALLET 90MM FG, PROFI</t>
  </si>
  <si>
    <t>RIVETING PLIER 2.4-3.2-4.0-4.8MM</t>
  </si>
  <si>
    <t>CORNER CLAMP 75mm</t>
  </si>
  <si>
    <t>EVA HOT MELT GLUE STICKS 11X200MM 20PCS</t>
  </si>
  <si>
    <t>TARPAULIN 3 X 4M cut size, waving yarn 6x6/inch, ALU eyelets inside dia=12mm each 1m, PP rope inside, 2 side coated, blue, 42G/M2</t>
  </si>
  <si>
    <t>TARPAULIN 10 X 12M cut size, waving yarn 6x6/inch, ALU eyelets inside dia=12mm each 1m, PP rope inside, 2 side coated, blue, 42G/M2</t>
  </si>
  <si>
    <t>TARPAULIN 15 X 16M cut size, waving yarn 6x6/inch, ALU eyelets inside dia=12mm each 1m, PP rope inside, 2 side coated, blue, 42G/M2</t>
  </si>
  <si>
    <t>CHUCK KEY SET 10MM 3/8'' - 13MM 17/32'' 2X BLACK FINISHED</t>
  </si>
  <si>
    <t>CHUCK KEY 13MM 17/32'' CHROM FINISHED</t>
  </si>
  <si>
    <t>MULTIFUNCTIONAL FAST PIPE WRENCH 12'' #45, TPR HANDLE</t>
  </si>
  <si>
    <t>COMBINATION SPANNER SET 6-22MM CV HEAVY DUTY 12X</t>
  </si>
  <si>
    <t>COMBINATION SPANNER 10MM CV</t>
  </si>
  <si>
    <t>SOCKET SET 3/4'', 21PCS, HEX</t>
  </si>
  <si>
    <t>SOCKET SET 1/4'' + 1/2'' CV 94X</t>
  </si>
  <si>
    <t>35PCS BRAKE WIND-BACK TOOL KIT</t>
  </si>
  <si>
    <t>ENGINE TIMING TOOL SET - FIAT 1.2 1.4 1.6 1.8</t>
  </si>
  <si>
    <t xml:space="preserve">170PCS HSS TWIST DRILL BIT SET 1-8MMx10, 8.5-10MMx5, TITANIUM COATED (buy price in PL: 21.67USD) </t>
  </si>
  <si>
    <t>TWIST DRILL SET 1.5-2-2.5-3.2-4.8MM HSS TITAN HEX SHANK 5X</t>
  </si>
  <si>
    <t>MASONRY DRILL SET SDS 10-14-20X400 3X</t>
  </si>
  <si>
    <t>COUNTERSINKSET FOR DRILL MACHINE 15-20-25-30-35</t>
  </si>
  <si>
    <t>PARALLEL BENCH VICE SWIVEL PROFI 125MM 7.5KG</t>
  </si>
  <si>
    <t>HANDSAW HARDENED TEETH 500MM HARDPOINT</t>
  </si>
  <si>
    <t>HOLE SAW SET, 19-22-29-32-38-44-51-64MM  6, 10MM MANDRELS, 6MM DRILL BIT WITH MANDREL AND HEX KEY</t>
  </si>
  <si>
    <t>FURNITURE GLIDERS 24X 24MM WITH PIN, WHITE PVC, GREY FELT</t>
  </si>
  <si>
    <t>TEFLON TAPE WATER RESIST. 0.075MM*12MM*8M, 10X</t>
  </si>
  <si>
    <t>SCISSORSET STAINLESS 2X 21-14CM</t>
  </si>
  <si>
    <t>CAULKING GUN SKELETON 225MM ROUND BARS</t>
  </si>
  <si>
    <t>FOAM GAULKING GUN ZN/ALLOY</t>
  </si>
  <si>
    <t>ALUMINIUM LEVEL SQR 400MM</t>
  </si>
  <si>
    <t>2 IN 1 SCREWDRIVER SET, DOUBLE ENDED BIT 120 MM</t>
  </si>
  <si>
    <t>SCREWDRIVER CV + PH2 x 100</t>
  </si>
  <si>
    <t>SHARPENING STONE 225mm OVAL</t>
  </si>
  <si>
    <t>ABRASIVE MOP DISCS P40/115MM/3pcs</t>
  </si>
  <si>
    <t>STEEL BRUSH ROTARY M14/STRAIGHT/CUP/100MM</t>
  </si>
  <si>
    <t>STEEL BRUSH ROTARY PIVOT 6MM/STRAIGHT/FLAT/65MM</t>
  </si>
  <si>
    <t>must have updated CE Certificate! FILTERMASK CE P1-EN149 2X - new leaflet inside, no 'BEAST' print on the mask</t>
  </si>
  <si>
    <t>COMFORT DUST MASK CE FFP2 EN149 2X</t>
  </si>
  <si>
    <t>FOUR-WAY RIM WRENCH 17-19-22-13/16'' ; need to change sizes to: 17-19-21-23</t>
  </si>
  <si>
    <t>LUGGAGE STRAP SET 2x12'', 2x18'', 2x24''</t>
  </si>
  <si>
    <t>STRAP 8 ARMS 800MM  4X</t>
  </si>
  <si>
    <t>WIRE W/COATING ON ROLL 30M</t>
  </si>
  <si>
    <t>PRUNING SAW 350MM, HIGH GRADE 65Mn STEEL BLADE</t>
  </si>
  <si>
    <t>24X 24MM WHITE +GREY</t>
  </si>
  <si>
    <t>1M WOOD</t>
  </si>
  <si>
    <t xml:space="preserve">sticker - bulk packing </t>
  </si>
  <si>
    <t>MBI29.1.19 * first delivery</t>
  </si>
  <si>
    <t>MBA*17.12.19*STICKER</t>
  </si>
  <si>
    <t>MBA*17.1.20* Please print product code and number of pieces on outerbox</t>
  </si>
  <si>
    <t>PFA*28.11.19*zmiana we wzorcowni</t>
  </si>
  <si>
    <t>shrink foil+ sticker</t>
  </si>
  <si>
    <t>MBA4.12.19*Please make our packing from artwork</t>
  </si>
  <si>
    <t>MBA*04.12.19*Please make short packing bag</t>
  </si>
  <si>
    <t xml:space="preserve">TWINE ROLLER </t>
  </si>
  <si>
    <t>250MM fi60</t>
  </si>
  <si>
    <t>FARB ROLLER</t>
  </si>
  <si>
    <t>MULTIKA</t>
  </si>
  <si>
    <t xml:space="preserve">FOLDING RULE </t>
  </si>
  <si>
    <t>ZOLLSTOCK 1M WOOD</t>
  </si>
  <si>
    <t>PFA*28.11.19*sprawdzenie CE</t>
  </si>
  <si>
    <t>50X -  BOX</t>
  </si>
  <si>
    <t>MBA*10.2.2020*Please make user manual. Please add reserve wick</t>
  </si>
  <si>
    <t>150MM MAGNETIC</t>
  </si>
  <si>
    <t xml:space="preserve">SAUGNAPF-GLASSHALTER </t>
  </si>
  <si>
    <t>SPRING CLIP HANGER</t>
  </si>
  <si>
    <t>AUFHANGER-FEDERKLEMME</t>
  </si>
  <si>
    <t xml:space="preserve">760x384x32MM PLASTIC </t>
  </si>
  <si>
    <t>Aga Plast Met</t>
  </si>
  <si>
    <t>MACHINIST HAMMER FORGED 1000G DIN 1041, ROUND&amp; FLAT WEDGES FIXING</t>
  </si>
  <si>
    <t>MACHINIST HAMMER FORGED 1500G DIN 1041, ROUND&amp; FLAT WEDGES FIXING</t>
  </si>
  <si>
    <t>STONING HAMMER 1000G, CURVED HEAD TYPE</t>
  </si>
  <si>
    <t>CHIPPING HAMMER WITH SPRING HANDLE</t>
  </si>
  <si>
    <t>WRECKING BAR 600 x14MM</t>
  </si>
  <si>
    <t>COMBINATION PLIER 160MM POLISHED</t>
  </si>
  <si>
    <t>RADIO PLIER BOWED 160MM POLISHED</t>
  </si>
  <si>
    <t>TARPAULIN 3 X 5M cut size, waving yarn 6x6/inch, ALU eyelets inside dia=12mm each 1m, PP rope inside, 2 side coated, blue, 42G/M2</t>
  </si>
  <si>
    <t>100PCS BITSET</t>
  </si>
  <si>
    <t>COUNTERSINK MILLING SET 8MM 12X ALU CASE</t>
  </si>
  <si>
    <t>DRILL PRESS VICE 65MM, 1,5KG</t>
  </si>
  <si>
    <t>HANDSAW HARDENED TEETH 550MM PROFESSIONAL</t>
  </si>
  <si>
    <t>BOARD SAW 150MM</t>
  </si>
  <si>
    <t>HACKSAWFRAME PLASTIC HANDLE 150MM</t>
  </si>
  <si>
    <t>KNIFE 75/205MM 65Mn STEEL, WOOD HANDLE</t>
  </si>
  <si>
    <t xml:space="preserve">4PCS PRY BAR INSTALLER KIT, Nylon, 6" long, Includes: straight, wedge, offset v-notch, straight v-notch   </t>
  </si>
  <si>
    <t>DRAIN CLEANER  6MM X 5M</t>
  </si>
  <si>
    <t>SCISSORS 225MM (not: 200mm)</t>
  </si>
  <si>
    <t>TAILOR SHEARS 200-85MM</t>
  </si>
  <si>
    <t>BOLT CUTTER 30'' - 750MM HEAVY DUTY</t>
  </si>
  <si>
    <t>FLAT BRUSH SET 0.5''-1''-1.5''-2''-2.5'' 10X</t>
  </si>
  <si>
    <t>PAINTROLLER SET 3 ROLLS FOAM, HANDLE, CUVETTE</t>
  </si>
  <si>
    <t>PAINTROLLERS 100MM, 10PCS; LONG HAIR ACRYL</t>
  </si>
  <si>
    <t>FOLDING RULE 2M WOOD</t>
  </si>
  <si>
    <t>JOINERS SQUARE 400MM</t>
  </si>
  <si>
    <t>DRILLMACHINE SOCKETS length=38mm, dia=5,6,8,9,10,11,12,13mm 8pcs, carbon steel #45</t>
  </si>
  <si>
    <t>DRILLMACHINE BITS S2 STEEL, COLOR 32X, TRANSPARENT COVER BOX, QUICK RELEASE BITS HOLDER</t>
  </si>
  <si>
    <t>SCREWDRIVERSET HIT 6X, PH3x150MM, PH2x100 MM, PH1x80 MM, 8x150MM, 6x100MM, 4x80MM, MAGNETIC TIPS</t>
  </si>
  <si>
    <t>SCREWDRIVERSET INSUL. 1000V 6X</t>
  </si>
  <si>
    <t>PREC.SCREWDRIVERS.COMBI 6X</t>
  </si>
  <si>
    <t>BACKING PAD VELCRO GUM 150MM, max 8500RPM, W/M14 PIN</t>
  </si>
  <si>
    <t>STEEL BRUSH ROTARY M14/STRAIGHT/CUP/65MM</t>
  </si>
  <si>
    <t>771101X</t>
  </si>
  <si>
    <t>771102X</t>
  </si>
  <si>
    <t>771103X</t>
  </si>
  <si>
    <t>PROTECTION GOGGLES EXTENDED CE EN166 YSA1</t>
  </si>
  <si>
    <t>771300X</t>
  </si>
  <si>
    <t>MASK</t>
  </si>
  <si>
    <t>COLOR MIX</t>
  </si>
  <si>
    <t>CABLE BIKE LOCK 600MM</t>
  </si>
  <si>
    <t xml:space="preserve">O-RING GASKET SET 419PCS, MATERIAL: NBR </t>
  </si>
  <si>
    <t xml:space="preserve">SPRING SET 200PCS, PVC BOX W/12 MODELS </t>
  </si>
  <si>
    <t>FOOT PUMP 2 CYLINDERS</t>
  </si>
  <si>
    <t>LUGGAGE STRAPS 2x800MM</t>
  </si>
  <si>
    <t>KEY INDICATORS 10X COLOR MIX</t>
  </si>
  <si>
    <t>KEY INDICATORS 100X COLOR MIX</t>
  </si>
  <si>
    <t>COMPRESSED AIR SPRINKLER 1L</t>
  </si>
  <si>
    <t>WOOD DISPOSABLE SPOON 160MM BIRCH</t>
  </si>
  <si>
    <t>WOOD DISPOSABLE KNIFE 160MM BIRCH</t>
  </si>
  <si>
    <t>WOOD DISPOSABLE FORK 160MM BIRCH</t>
  </si>
  <si>
    <t>D/F 100G</t>
  </si>
  <si>
    <t xml:space="preserve">600 x18MM HEAVY DUTY </t>
  </si>
  <si>
    <t>200G PRO</t>
  </si>
  <si>
    <t>8X COLOR MIX</t>
  </si>
  <si>
    <t>410830X</t>
  </si>
  <si>
    <t>HQ!!!</t>
  </si>
  <si>
    <t>652050X</t>
  </si>
  <si>
    <t>0287ZLF</t>
  </si>
  <si>
    <t>981001DW</t>
  </si>
  <si>
    <t>981002DW</t>
  </si>
  <si>
    <t>981003DW</t>
  </si>
  <si>
    <t>981004XM</t>
  </si>
  <si>
    <t>981005XM</t>
  </si>
  <si>
    <t>NAME PL</t>
  </si>
  <si>
    <t xml:space="preserve">HAMMER </t>
  </si>
  <si>
    <t>WATERPUMPPLIER</t>
  </si>
  <si>
    <t>MBA09.03.20*oznaczenia i ulotka</t>
  </si>
  <si>
    <t>RUBBISH BAGS</t>
  </si>
  <si>
    <t>ENGINE BALANCE SHAFT LOCKING TOOL KIT</t>
  </si>
  <si>
    <t>RENAULT VOLVO NISSAN DACIA</t>
  </si>
  <si>
    <t>WOOD WORKING VICE</t>
  </si>
  <si>
    <t>TISCHLERSCHRAUBSTOCK</t>
  </si>
  <si>
    <t>ZN/ALLOY, HEAVY</t>
  </si>
  <si>
    <t>SLOVAKIA TREND EXPORT-IMPORT</t>
  </si>
  <si>
    <t>FOLDING RULE</t>
  </si>
  <si>
    <t>2M WOOD</t>
  </si>
  <si>
    <t>ZOLLSTOCK</t>
  </si>
  <si>
    <t>150MM PIN-M14 8500RPM</t>
  </si>
  <si>
    <t>MBA*02.03.20* we need Beast package, not pink factory packig</t>
  </si>
  <si>
    <t>FACE BANDANA</t>
  </si>
  <si>
    <t>Cermet Marcin Olechowski</t>
  </si>
  <si>
    <t>TYRE LEVER</t>
  </si>
  <si>
    <t>REIFENHEBER</t>
  </si>
  <si>
    <t>10X COLOR MIX</t>
  </si>
  <si>
    <t>WISPLAST</t>
  </si>
  <si>
    <t>PFA*21.2.20 * first delivery</t>
  </si>
  <si>
    <t>100X COLOR MIX</t>
  </si>
  <si>
    <t>0.75L</t>
  </si>
  <si>
    <t>5M 20KG METALLIC SHINE</t>
  </si>
  <si>
    <t>MBA09.03.20*CE</t>
  </si>
  <si>
    <t>MACHINIST HAMMER FORGED 200G DIN 1041, ROUND&amp; FLAT WEDGES FIXING</t>
  </si>
  <si>
    <t>MACHINIST HAMMER FORGED 400G DIN 1041, ROUND&amp; FLAT WEDGES FIXING</t>
  </si>
  <si>
    <t>STONING HAMMER 1000G DIN 1193-6475, ROUND&amp; FLAT WEDGES FIXING</t>
  </si>
  <si>
    <t>KNEE PADS HARD CAP, 2pcs DOUBLE PROTECT</t>
  </si>
  <si>
    <t>COMBINATION PLIER 160MM HEAVY DUTY BLACK</t>
  </si>
  <si>
    <t>PLIER SET 2X110MM 2X120MM MINI</t>
  </si>
  <si>
    <t>WATERPUMPPLIER 250MM DROP FORGED</t>
  </si>
  <si>
    <t>WATERPUMPPLIER 300MM BOX TYPE</t>
  </si>
  <si>
    <t>PIPE WRENCH 1.5'', WELDED BODY, BLUE PAINTED, "U"-SHAPE MOUTH</t>
  </si>
  <si>
    <t xml:space="preserve">PIPE WRENCH 1": "S"-TYPE, GRINDED MOUTH, FORGED BODY </t>
  </si>
  <si>
    <t>RABIT PINCER 250MM</t>
  </si>
  <si>
    <t>RIVETER ADAPTOR + 2 WRENCHES,  2.4-3.2 -4.0-4.8MM ALU RIVETS</t>
  </si>
  <si>
    <t>CRIMPING PLIER 6-4, 0.25-6MM, 4 PINS</t>
  </si>
  <si>
    <t>C-CLAMP SET 25-50-75MM 3X</t>
  </si>
  <si>
    <t>EVA HOT MELT GLUE STICKS 11X100MM  6PCS</t>
  </si>
  <si>
    <t>TARPAULIN 6x10M cut size, waving yarn 14x12/inch, ALU eyelets inside dia=12mm each 1m, PP rope inside, 2 side coated, reinforced hooks, dark green/silver colour, 133GSM</t>
  </si>
  <si>
    <t>RUBBISH BAGS 50X 35L 20 micron</t>
  </si>
  <si>
    <t>TOOLBELT NYLON</t>
  </si>
  <si>
    <t>ADJUSTABLE WRENCH 150MM</t>
  </si>
  <si>
    <t>MULTIFUNCTIONAL FAST PIPE WRENCH 10'' #45, TPR HANDLE</t>
  </si>
  <si>
    <t>OPEN-END SPANNER SET 6-17MM WS 6X</t>
  </si>
  <si>
    <t>COMBINATION SPANNER 13MM CV</t>
  </si>
  <si>
    <t>TUBULAR BOX WRENCH SET 6-22MM WS 8X</t>
  </si>
  <si>
    <t>STAR HEX KEY SET T-10-15-20-25-27-30-40-45-50 CV 115MM MATT FINISH</t>
  </si>
  <si>
    <t>BALL HEX KEY SET 1.5-10MM CV 9X 120MM MATT FINISH</t>
  </si>
  <si>
    <t>RATCHET W/RUB.GRIP 1/4''</t>
  </si>
  <si>
    <t>SLIDING  T-BAR 1/2" 250MM</t>
  </si>
  <si>
    <t>SOCKET SET 1/4" (M4,5,6), 3/8" (M8,10,12), 1/2" (M14,16)</t>
  </si>
  <si>
    <t>SOCKET SET 10X INCH 3/8" -15/16"</t>
  </si>
  <si>
    <t xml:space="preserve">SOCKET SET 11X INCH 1/2" - 3/16" </t>
  </si>
  <si>
    <t>BIT SET TORX 12X 1/4"( TP8- TP30); 3/8" (TP40- TP55); 1/2" TP60</t>
  </si>
  <si>
    <t>SOCKET SET 4-13MM 1/4'' 16pcs</t>
  </si>
  <si>
    <t>SOCKET SET 4-13MM 1/4'' CV 27X</t>
  </si>
  <si>
    <t xml:space="preserve">108PCS SOCKET SET SOCKET W/O HEATED 17PCS 1/2"DR.SOCKETS: 10-32MM  5PCS 1/2"DR.DEEP SOCKETS: 14,15,17,19,22MM 2PCS 1/2"DR.EXTENSION BARS: 125MM 250MM  1PC 1/2"DR.UNIVERSAL JOINT   8PCS-1/2"DR.TORX SOCKETS: E10-E24 1PC </t>
  </si>
  <si>
    <t>SOCKET SET 171PCS 1/4'', 3/8'', 1/2'' DR</t>
  </si>
  <si>
    <t>INJECTOR CUTTER SET 7pcs, DIESEL</t>
  </si>
  <si>
    <t>2pcs COIL SPRING COMPRESSOR  Professional coil spring compressor 380mm drop forged 45# steel jaws &amp;  screws</t>
  </si>
  <si>
    <t>BALL JOINT EXTRACTOR FOR 21 MM WRENCH, LENGTH 150 mm  . new artwork with description 0-48mm needed</t>
  </si>
  <si>
    <t>131 PCS THREAD REPAIR SET</t>
  </si>
  <si>
    <t>21PCS BRAKE CALIPER WIND BACK TOOL KIT</t>
  </si>
  <si>
    <t>REPAIR SET 12X FOR BRAKING SYSTEM VAG FOR OPEL</t>
  </si>
  <si>
    <t>REPAIR SET  16X M9x1.25 VAG Opel Ford</t>
  </si>
  <si>
    <t xml:space="preserve">ENGINE TIMING TOOL SET - BMW N51 N51 N53 N54 N55 </t>
  </si>
  <si>
    <t>ENGINE TIMING TOOL SET - BMW MINI PSA</t>
  </si>
  <si>
    <t>ENGINE TIMING TOOL SET - VAG 1.6 2.0 TDi CD</t>
  </si>
  <si>
    <t>PSA ENGINE TIMING TOOL SET CITROEN PEUGEOT</t>
  </si>
  <si>
    <t>BEARING SEPARATOR ASSEMBLY KIT 14pcs 30-50MM, 50-75MM</t>
  </si>
  <si>
    <t>THREAD REPAIR KIT FOR WHEEL STUDS AND WHEEL NUTS 8X M12x(1.25 - 1.75),  M14x 1.5</t>
  </si>
  <si>
    <t>THREAD REPAIR SET 9X (M14,M16,M18,M20,M22,M28)x1.5, M27x2.0MM</t>
  </si>
  <si>
    <t>TORQUE ANGLE DRIVER 1/2"</t>
  </si>
  <si>
    <t>TWIST DRILL SET 1.5-6.5MM HSS 13X WHITE FINISHED</t>
  </si>
  <si>
    <t xml:space="preserve">MASONRY DRILL SET  3-3-4-4-5-5-6-6-8-8-10MM 11X </t>
  </si>
  <si>
    <t>MASONRY HOLE SAW WITHOUT ADAPTOR 65MM</t>
  </si>
  <si>
    <t>CHISEL SDS 14X250 POINT</t>
  </si>
  <si>
    <t>SDS MAX - PLUS ADAPTER 200MM</t>
  </si>
  <si>
    <t>FLATBIT WOOD DRILL SET 6-25MM 13PCS</t>
  </si>
  <si>
    <t>COMBI-DRILL SET 3-4-5-6-8-10MM 18X</t>
  </si>
  <si>
    <t>PARALLEL BENCH VICE SWIVEL STEEL 100MM 5.5KG</t>
  </si>
  <si>
    <t>HANDSAW HARDENED TEETH 400MM HARDPOINT</t>
  </si>
  <si>
    <t>HANDSAW HARDENED TEETH 450MM HARDPOINT</t>
  </si>
  <si>
    <t>HANDSAW HARDENED TEETH 400MM PROFESSIONAL</t>
  </si>
  <si>
    <t>HANDSAW HARDENED TEETH 500MM PROFESSIONAL</t>
  </si>
  <si>
    <t>HACKSAWFRAME ADJUST., CHROM 300MM ALUMINIUM</t>
  </si>
  <si>
    <t>HACKSAWFRAME W/PLSTC HNDLE 300MM</t>
  </si>
  <si>
    <t>SAW BLADES BI-METAL, 12''x18T, 2X</t>
  </si>
  <si>
    <t>HOLE SAW 1'', 26-63MM, 7X</t>
  </si>
  <si>
    <t>HOLE SAW 2'', 26-63MM, 7X</t>
  </si>
  <si>
    <t>PRECISION MITRE BOX 550MM</t>
  </si>
  <si>
    <t>WHEEL CASTERS - RUBBER 40MM ROTATING 2pcs + FIXED 2pcs</t>
  </si>
  <si>
    <t>FURNITURE GLIDER FELT SET 28PCS, BROWN</t>
  </si>
  <si>
    <t>UTILITY KNIVES 3PCS, RED, 20.5CM</t>
  </si>
  <si>
    <t>UTILITY KNIVES 4PCS, COLOR MIX DESIGN</t>
  </si>
  <si>
    <t>UTILITY KNIVES 12X COLOR MIX, 20.5CM</t>
  </si>
  <si>
    <t>WALLPAPER SNAP-OFF KNIFE 18MM, METAL SLIDE RAIL</t>
  </si>
  <si>
    <t>CHISSELSET PLST HNDL 6­12­18­24MM PROFI 4X</t>
  </si>
  <si>
    <t>9PCS HOLLOW PUNCH SET               45# CARBON STEEL MATERIAL  SIZE:2.5/3/4/5/6/7/8/9/10MM, POLISHING</t>
  </si>
  <si>
    <t>OCTAGONAL COLD CHISEL 250MM/14MM</t>
  </si>
  <si>
    <t>OCTAGONAL COLD CHISEL 300MM/14MM</t>
  </si>
  <si>
    <t>OCTAGONAL POINT CHISEL 300x16MM</t>
  </si>
  <si>
    <t>PCV-PIPE CUTTER LIGHT MODEL</t>
  </si>
  <si>
    <t>DIE SET PROF. 1/2''-3/4''-1''-5/4'' 7X</t>
  </si>
  <si>
    <t>DRAIN CLEANER PROFI 8MM X 7.5M</t>
  </si>
  <si>
    <t>BOLT CUTTER 24'' - 600MM HEAVY DUTY</t>
  </si>
  <si>
    <t>TINMANS SNIPS 250MM 3X</t>
  </si>
  <si>
    <t>STEEL TIN CUTTER SET - POWER DRILL EXTENSION (3pcs: HEAD, HANDLE, WRENCH)</t>
  </si>
  <si>
    <t>CAULKING GUN 225MM</t>
  </si>
  <si>
    <t>CAULKING GUN SKELETON 225MM</t>
  </si>
  <si>
    <t>FOAM GAULKING GUN TEFLON COATED, ZN/ALLOY, BI-COLOUR HANDLE, LONG MODEL, 64CM</t>
  </si>
  <si>
    <t>BRUSH SET FLAT 0.5''-1''-1.5''-2''-2.5'' 5X</t>
  </si>
  <si>
    <t>BRUSH SET 5pcs: 1-1.5-2'' - 3pcs; NO. 4-6 - 2pcs</t>
  </si>
  <si>
    <t>PAINT ROLL SET 100MM 6X</t>
  </si>
  <si>
    <t>PAINT MIXER 600 X 100MM ZINC PLATED</t>
  </si>
  <si>
    <t>PAINT MIXER 600 X 100MM ZINC PLATED SDS</t>
  </si>
  <si>
    <t>MASKING TAPE 38MM X 50M * up to 60C, short time use, interior only</t>
  </si>
  <si>
    <t>JOINERS SQUARE 250MM</t>
  </si>
  <si>
    <t>JOINERS SQUARE 300MM PROFI ALUMINIUM W/VIAL</t>
  </si>
  <si>
    <t>JOINERS SQUARE 350MM PROFI ALUMINIUM</t>
  </si>
  <si>
    <t>SQUARE 400/38MM X 600/50MM</t>
  </si>
  <si>
    <t>MEASURE TAPE 30M GLASS FIBRE</t>
  </si>
  <si>
    <t>BITSET DOUBLE-ENDED MIX 10X, GOLD FINISHED</t>
  </si>
  <si>
    <t>NUT SETTER 8MM, CrV50, MAGNETIC, 48mm, 2pcs</t>
  </si>
  <si>
    <t>NUT SETTER 8x65MM, CrV50, MAGNETIC, 10pcs</t>
  </si>
  <si>
    <t>ADAPTER RED HANDLE,  60MM x 15.5MM, 38.5G</t>
  </si>
  <si>
    <t>ADAPTER &amp; BITS SET 16PCS, CRV6150</t>
  </si>
  <si>
    <t>SCREWDRIVERSET LIGHT MODEl, 5pcs: PH0-75MM, PH1-100MM, 4x75, 5x100, 6x125MM, CV, MAGNETIC</t>
  </si>
  <si>
    <t>SCREWDRIVER CV - 4x75</t>
  </si>
  <si>
    <t>SCREWDRIVER CV - 7x125</t>
  </si>
  <si>
    <t>WATCHMAKERS' SCRWDRVRSET 11X w/bigger handle</t>
  </si>
  <si>
    <t>PRECISION MOBIPHONE SCREWDRIVER SET 32 PCS</t>
  </si>
  <si>
    <t>WARDING FILE SET PLASTIC HANDLE 150MM 6X</t>
  </si>
  <si>
    <t>SHARPENING STONE 150 X 50 X 25MM</t>
  </si>
  <si>
    <t>SHARPENING STONE 230 X 30 X 15MM</t>
  </si>
  <si>
    <t>BACKING PAD VELCRO 125MM, max 12000RPM, M14, WITHOUT PIN</t>
  </si>
  <si>
    <t>ADAPTER M14 6MM, 5pcs</t>
  </si>
  <si>
    <t>CUTTING DISC 125X1.6X22.2MM METAL</t>
  </si>
  <si>
    <t>ABRASIVE MOP DISC P60/125MM/3pcs</t>
  </si>
  <si>
    <t>ABRASIVE MOP DISC P40/125MM FOLDED 3pcs</t>
  </si>
  <si>
    <t>STEELBRUSHES ROTARY 1''-1.5''-2''-2.5''-3'' 5pcs</t>
  </si>
  <si>
    <t>STEEL BRUSH ROTARY M14/STRAIGHT/CUP/80MM</t>
  </si>
  <si>
    <t>STEEL BRUSH ROTARY PIVOT 6MM/STRAIGHT/CUP/80MM</t>
  </si>
  <si>
    <t>STEEL BRUSH ROTARY PIVOT 6MM/STRAIGHT/FLAT/80MM</t>
  </si>
  <si>
    <t>STEEL BRUSH ROTARY PIVOT 6MM/STRAIGHT/FLAT/100MM</t>
  </si>
  <si>
    <t>WIRE BRUSH 270MM</t>
  </si>
  <si>
    <t>EARMUFF CE EN352</t>
  </si>
  <si>
    <t>PROTECTION GOGGLES PROFI CE EN166 VENTIL</t>
  </si>
  <si>
    <t>PROTECTION GOGGLES PROFI CE EN166 GREEN</t>
  </si>
  <si>
    <t>PROTECTION GOGGLES PROFI CE EN166 HEAVY DUTY</t>
  </si>
  <si>
    <t>MASK 50 pcs carton size 51x41x59</t>
  </si>
  <si>
    <t>POPULAR FILTER MASKS DISPOSABLE 50pcs</t>
  </si>
  <si>
    <t>CABLE BIKE LOCK 800MM, LOCK COVER - ABS</t>
  </si>
  <si>
    <t>MINI PUMP plastic material size 26*200mm</t>
  </si>
  <si>
    <t>PUMP LONG MODEL 690MM</t>
  </si>
  <si>
    <t>CLAMPS WITH LOUPE 'THIRD HAND', 60MM</t>
  </si>
  <si>
    <t>STORM LIGHT 230MM COLOR MIX</t>
  </si>
  <si>
    <t>STORM LIGHT 280MM COLOR MIX</t>
  </si>
  <si>
    <t>WHEEL WRENCH L-TYPE 17-19MM 1/2'' HEAVY DUTY</t>
  </si>
  <si>
    <t>GEARPULLER, 250MM</t>
  </si>
  <si>
    <t>INSPECTION TOOL SET</t>
  </si>
  <si>
    <t xml:space="preserve">150pcs COPPER WASHER ASSORTMENT, 15 SIZES 5-17.5MM </t>
  </si>
  <si>
    <t xml:space="preserve">555 pcs COTTER PIN ASSORTMENT 6 SIZES 1.6x20MM ... 4.0-64MM </t>
  </si>
  <si>
    <t>STRAP SET 450-600-800MM 3X</t>
  </si>
  <si>
    <t>SPRING HOOK 5.5X3CM GREY</t>
  </si>
  <si>
    <t>SPRING HOOK 5.5X3CM PINK</t>
  </si>
  <si>
    <t>SPRING HOOK 5.5X3CM BLUE</t>
  </si>
  <si>
    <t>SPRING HOOK 5.5X3CM WHITE</t>
  </si>
  <si>
    <t>KEY INDICATORS COLOR MIX, CLICK WINDOW, 8pcs</t>
  </si>
  <si>
    <t>LAWN RAKE ADJUSTABLE 1260-1600MM, TELESCOPIC</t>
  </si>
  <si>
    <t>KIJ Z GWINTEM 140CM {900162}</t>
  </si>
  <si>
    <t>FRUIT PICKER 140MM</t>
  </si>
  <si>
    <t>IRON WIRE GREEN PLASTIFIED 50M, 0.75MM</t>
  </si>
  <si>
    <t>dł.12,5 cm, główka:3,4x2,8cm (prostokątna), jednostka sprzedaży 50szt. (TYP2)</t>
  </si>
  <si>
    <t>BIRD SHRICKKER 1 pc size: 13*11*38CM, recycled PE</t>
  </si>
  <si>
    <t>HOUSEHOLD HATCHET 600G HEAVY DUTY</t>
  </si>
  <si>
    <t>AXE 1250G HEAVY DUTY</t>
  </si>
  <si>
    <t>BOWSAW FOR WOOD 530MM W/TEETH PROTECTION PVC SLIDE BAR</t>
  </si>
  <si>
    <t>TRIMMER LINE 15M, 2.4MM, ROUND</t>
  </si>
  <si>
    <t>TRIMMER LINE 15M, 3MM, ROUND</t>
  </si>
  <si>
    <t>TRIMMER LINE 15M, 3MM, ROUND WITH WIRE</t>
  </si>
  <si>
    <t>TRIMMER LINE 15M, 3.0MM, SQUARE</t>
  </si>
  <si>
    <t>TRIMMER LINE 15M, 3.0MM, STAR</t>
  </si>
  <si>
    <t>7.2V LITHIUM CORDLESS GRASS TRIMMER&amp;HEDGE TRIMMER VOLTAGE/FREQUENCY:230V-50HZ BATTERY PACK VOLTAGE:DC7.2V (1500MAH)  NO LOAD SPEED:1100MIN-1 CUTTING WIDTH OF SHEAR BLADE:68MM CUTTING LENGTH OF TRIMMER BLADE:110MM CHARGER TIME:3-5HOUR</t>
  </si>
  <si>
    <t>regulowana wysokość, pulsacyjny,  połączenie przez szybkozłączkę,</t>
  </si>
  <si>
    <t>DOG BELT AUTOMATIC 3M</t>
  </si>
  <si>
    <t>DOG BELT AUTOMATIC 5M PROFI</t>
  </si>
  <si>
    <t>40-110MM OIL FILTER LOCKING PLIERS</t>
  </si>
  <si>
    <t>195MM</t>
  </si>
  <si>
    <t>45x18CM LEATHER</t>
  </si>
  <si>
    <t>60x24CM NYLON HEAVY DUTY</t>
  </si>
  <si>
    <t>6X 1/4M- 3/8F 3/8M-1/4F 3/8M-1/2 "F 1/2M-3/8F 1/2M-3/4F 3/4M-1/2F</t>
  </si>
  <si>
    <t>8x VAG SOCKETS 1/4" (M4,5,6), 3/8" (M8,10,12), 1/2" (M14,16)</t>
  </si>
  <si>
    <t xml:space="preserve">34X T10-60, TR10-55, E4-E20 </t>
  </si>
  <si>
    <t>21X RIBE BITS MP5-MP14</t>
  </si>
  <si>
    <t xml:space="preserve">4-13MM 1/4'' CV 27X </t>
  </si>
  <si>
    <t>1/4''+ 3/8''+ 1/2'' CV 171X</t>
  </si>
  <si>
    <t>1/2" 27MM, L=80MM</t>
  </si>
  <si>
    <t xml:space="preserve">2X </t>
  </si>
  <si>
    <t>6X 3/8" 8-16MM L=150MM</t>
  </si>
  <si>
    <t>43MM PSA</t>
  </si>
  <si>
    <t>8X ADJUSTABLE SIZE</t>
  </si>
  <si>
    <t>16X M9x1.25 VAG Opel Ford</t>
  </si>
  <si>
    <t>25, 27, 45, 46 MM</t>
  </si>
  <si>
    <t>500ML</t>
  </si>
  <si>
    <t>5X E10-E12-E14-E16-E18 460 mm</t>
  </si>
  <si>
    <t>BMW N43</t>
  </si>
  <si>
    <t>VAG 1.0L 3 CYLINDERS GASOLINE</t>
  </si>
  <si>
    <t>VAG Dodge Ford Mitsubishi 1.2D,1.4D, 1.6D, 1.9D, 2.0D</t>
  </si>
  <si>
    <t xml:space="preserve">RENAULT 1.4 1.6 1.8 2.0 16V </t>
  </si>
  <si>
    <t>PEUGEOT CITROEN FIAT</t>
  </si>
  <si>
    <t>3X 17-19-21MM CR-MO</t>
  </si>
  <si>
    <t>5X 14MM L=10,11.20,12.70,19MM</t>
  </si>
  <si>
    <t>M8, M10, M12, M14 DIESEL</t>
  </si>
  <si>
    <t>100-160MM, 7.5 CM</t>
  </si>
  <si>
    <t>58-168 MM</t>
  </si>
  <si>
    <t xml:space="preserve">17X </t>
  </si>
  <si>
    <t xml:space="preserve">11X </t>
  </si>
  <si>
    <t>1:58, 270MM, MAX OUTPUT 3800 Nm</t>
  </si>
  <si>
    <t xml:space="preserve">1,5-8MM HSS 11X </t>
  </si>
  <si>
    <t xml:space="preserve">3-3-4-4-5-5-6-6-8-8-10MM 11X </t>
  </si>
  <si>
    <t xml:space="preserve"> 3-3-4-4-5-5-6-6-7-8-10MM 11X </t>
  </si>
  <si>
    <t>420 MM DOUBLE-SIDED</t>
  </si>
  <si>
    <t>COLOR DESIGN 4X</t>
  </si>
  <si>
    <t>171X COLOR MIX THERMO TUBES</t>
  </si>
  <si>
    <t>560X COLOR MIX THERMO TUBES</t>
  </si>
  <si>
    <t>8X - 2-12MM</t>
  </si>
  <si>
    <t>PH2 25MM 10X MAGNETIC</t>
  </si>
  <si>
    <t xml:space="preserve">1/4" HEX 2-4-6"  </t>
  </si>
  <si>
    <t>5X 75-125MM MAGN CV</t>
  </si>
  <si>
    <t>NYLON 3X</t>
  </si>
  <si>
    <t>RUBBER NYLON 5X</t>
  </si>
  <si>
    <t>5X M14 8MM</t>
  </si>
  <si>
    <t>115MM 6X</t>
  </si>
  <si>
    <t xml:space="preserve">610MM METAL BAR PSI </t>
  </si>
  <si>
    <t>3/8" 19-110Nm 24T</t>
  </si>
  <si>
    <t>1/4" 5-25Nm 24T</t>
  </si>
  <si>
    <t>75MM (2LEGS)- 100,150MM (3LEGS), 3X</t>
  </si>
  <si>
    <t>75,100,150MM (3-LEGS), 3X</t>
  </si>
  <si>
    <t>600MM 1500G LED</t>
  </si>
  <si>
    <t>600MM 2.25KG-LIFT MAGNET 3X</t>
  </si>
  <si>
    <t>1200X 3-10MM</t>
  </si>
  <si>
    <t>192X 6.3-10MM 6-MODELS</t>
  </si>
  <si>
    <t>60X 3x3x20-...-12x8x40MM</t>
  </si>
  <si>
    <t>113X 3.17-...-9.5MM VACUUM</t>
  </si>
  <si>
    <t>45x52CM</t>
  </si>
  <si>
    <t>40x50CM EXTRA STRONG</t>
  </si>
  <si>
    <t>59x27x49CM</t>
  </si>
  <si>
    <t>FX MAPLE!!!</t>
  </si>
  <si>
    <t>FX</t>
  </si>
  <si>
    <t>662965X</t>
  </si>
  <si>
    <t>773012Z</t>
  </si>
  <si>
    <t>X410749</t>
  </si>
  <si>
    <t>X410750</t>
  </si>
  <si>
    <t>TARIC</t>
  </si>
  <si>
    <t>MŁOTEK ŚLUSARSKI</t>
  </si>
  <si>
    <t>nowość!!! więcej info dla klienta</t>
  </si>
  <si>
    <t>D/F100G HEAVY DUTY</t>
  </si>
  <si>
    <t>D/F 200G HEAVY DUTY</t>
  </si>
  <si>
    <t>MBI*26.8.2020* too heavy master box</t>
  </si>
  <si>
    <t>D/F 300G HEAVY DUTY</t>
  </si>
  <si>
    <t>D/F 400G HEAVY DUTY</t>
  </si>
  <si>
    <t>D/F 500G HEAVY DUTY</t>
  </si>
  <si>
    <t>D/F 800G HEAVY DUTY</t>
  </si>
  <si>
    <t>D/F 1000G HEAVY DUTY</t>
  </si>
  <si>
    <t>MŁOT KAMIENIARSKI</t>
  </si>
  <si>
    <t>D/F 1500G HEAVY DUTY</t>
  </si>
  <si>
    <t>MŁOTEK SZEWSKI</t>
  </si>
  <si>
    <t>MŁOTEK SPAWALNICZY</t>
  </si>
  <si>
    <t>HEAVY DUTY</t>
  </si>
  <si>
    <t>MŁOTEK DEKARSKI</t>
  </si>
  <si>
    <t>jest w składzie celnym</t>
  </si>
  <si>
    <t>MŁOTEK MURARSKI BERLIŃSKI</t>
  </si>
  <si>
    <t>MŁOTEK GUMOWY</t>
  </si>
  <si>
    <t>HQ - Canada - PRZYJĘCIE TOWARU</t>
  </si>
  <si>
    <t>ŁAPKA STALOWA</t>
  </si>
  <si>
    <t>160MM POLISHED HEAVY DUTY</t>
  </si>
  <si>
    <t>175MM POLISHED HEAVY DUTY</t>
  </si>
  <si>
    <t>200MM POLISHED HEAVY DUTY</t>
  </si>
  <si>
    <t>SZCZYPCE TELEFONICZNE GIĘTE</t>
  </si>
  <si>
    <t>SZCZYPCE DO RUR NASTAWNE Z ZĘBATKĄ</t>
  </si>
  <si>
    <t>OBCĘGI TYNKARSKIE</t>
  </si>
  <si>
    <t>OBCĘGI STOLARSKIE</t>
  </si>
  <si>
    <t>NITOWNICA RĘCZNA</t>
  </si>
  <si>
    <t>MBI16.11.2018*opakowanie,jakość</t>
  </si>
  <si>
    <t>NITOWNICA RĘCZNA Z NITAMI</t>
  </si>
  <si>
    <t>NITOWNICA ADAPTER NA WKRĘTARKĘ</t>
  </si>
  <si>
    <t>TACKER</t>
  </si>
  <si>
    <t>WBA*09.10.20* TUV stamp is not removed</t>
  </si>
  <si>
    <t>XM - PRZYJĘCIE TOWARU !!!</t>
  </si>
  <si>
    <t>ręczna premia za sprzedaż - wylatuje z oferty</t>
  </si>
  <si>
    <t>ZACISKI DO WĘŻY</t>
  </si>
  <si>
    <t>WBA 01.07.2020*made in PRC / Too big package</t>
  </si>
  <si>
    <t>ŚCISK STOLARSKI</t>
  </si>
  <si>
    <t>FX -MAPLE PRZYJĘCIE TOWARU !!!</t>
  </si>
  <si>
    <t>ŚCISK STOLARSKI KĄTOWY</t>
  </si>
  <si>
    <t>ŚCISK STOLARSKI TYP 'C'</t>
  </si>
  <si>
    <t>ostrzeżenie</t>
  </si>
  <si>
    <t>WBA07.10.2020*oznaczenia i ulotka</t>
  </si>
  <si>
    <t>WBA.7.10.20*oznaczenia i ulotka</t>
  </si>
  <si>
    <t xml:space="preserve">TV Tarpia Vina - PRZYJĘCIE TOWARU </t>
  </si>
  <si>
    <t>WORKI NA ŚMIECI</t>
  </si>
  <si>
    <t>50X 50x60CM 35L</t>
  </si>
  <si>
    <t>C2C Spółka z Ograniczoną Odpowiedzialnością</t>
  </si>
  <si>
    <t>PAS NA NARZĘDZIA</t>
  </si>
  <si>
    <t>150MM D/F HEAVY DUTY</t>
  </si>
  <si>
    <t>WBA*26-08-20*Please print correct scale on tool</t>
  </si>
  <si>
    <t>200MM D/F HEAVY DUTY</t>
  </si>
  <si>
    <t>250MM D/F HEAVY DUTY</t>
  </si>
  <si>
    <t>300MM D/F HEAVY DUTY</t>
  </si>
  <si>
    <t>KLUCZE PŁASKIE</t>
  </si>
  <si>
    <t>PŁACHTA NA KLUCZE</t>
  </si>
  <si>
    <t>KLUCZE PŁASKO-OCZKOWE</t>
  </si>
  <si>
    <t>KLUCZ PŁASKO -OCZKOWY -GRZECHOTKA</t>
  </si>
  <si>
    <t>KLUCZ PŁASKO-OCZKOWY</t>
  </si>
  <si>
    <t>KLUCZE IMBUSOWE Z KULISTYMI KOŃCÓWKAMI</t>
  </si>
  <si>
    <t>RĘKOJEŚĆ UCHYLNA</t>
  </si>
  <si>
    <t>POKRĘTŁO TYPU 'T</t>
  </si>
  <si>
    <t>ADAPTERY DO GRZECHOTKI</t>
  </si>
  <si>
    <t>RATCHET ADAPTOR</t>
  </si>
  <si>
    <t>UMSCHALTKNARRE  ADAPTOR</t>
  </si>
  <si>
    <t>10X INCH 3/8" -15/16"</t>
  </si>
  <si>
    <t xml:space="preserve">11X INCH 1/2" - 3/16" </t>
  </si>
  <si>
    <t>ZESTAW BITÓW TORX</t>
  </si>
  <si>
    <t>BIT SET TORX</t>
  </si>
  <si>
    <t>12X 1/4"( TP8- TP30); 3/8" (TP40- TP55); 1/2" TP60</t>
  </si>
  <si>
    <t>ZESTAW BITÓW</t>
  </si>
  <si>
    <t>MBI*21.9.2020* LF - first delivery</t>
  </si>
  <si>
    <t>WBA*09.10.2020*Make stronger shrink</t>
  </si>
  <si>
    <t xml:space="preserve">ZESTAW KLUCZY NASADOWYCH </t>
  </si>
  <si>
    <t>pvc hanger+shrink foil</t>
  </si>
  <si>
    <t xml:space="preserve">KOŃCÓWKI WKRĘTAKOWE </t>
  </si>
  <si>
    <t>NASADKA DO WTRYSKIWACZY</t>
  </si>
  <si>
    <t>INJECTOR SOCKET</t>
  </si>
  <si>
    <t>EINSPRITZBUCHSE</t>
  </si>
  <si>
    <t>ŚCIĄGACZ DO SPRĘŻYN AMORTYZATORÓW</t>
  </si>
  <si>
    <t>WHITE BOX</t>
  </si>
  <si>
    <t>ZESTAW BLOKADY ROZRZĄDU</t>
  </si>
  <si>
    <t>ZESTAW ŚCIĄGACZY DO CEWEK ZAPŁONOWYCH</t>
  </si>
  <si>
    <t>ZESTAW KLUCZY NASADOWYCH DO ŚWIEC ŻAROWYCH</t>
  </si>
  <si>
    <t>GLOW PLUG SOCKET SET</t>
  </si>
  <si>
    <t>GLUEHKERZEN STECKSCHLUESSEL SET</t>
  </si>
  <si>
    <t>ZAKUWARKA DO ŁAŃCUCHÓW</t>
  </si>
  <si>
    <t>ŚCIĄGACZ UNIWERSALNY</t>
  </si>
  <si>
    <t>ŚCIĄGACZ SWORZNI KULISTYCH</t>
  </si>
  <si>
    <t>kandydat do usuniecia - nie zamawiać</t>
  </si>
  <si>
    <t>SZCZYPCE DO OPASEK OSŁON PRZEGUBÓW</t>
  </si>
  <si>
    <t>NASADKA DO PRZEGUBÓW KULOWYCH</t>
  </si>
  <si>
    <t>LOWER BALL JOINT SOCKET</t>
  </si>
  <si>
    <t>TRAGGELENK-ZAPFENSCHLUESSEL</t>
  </si>
  <si>
    <t>BULK</t>
  </si>
  <si>
    <t>POMPA RĘCZNA DO BECZKI</t>
  </si>
  <si>
    <t>ZESTAW NAPRAWCZY DO WSPORNIKA ZACISKU HAMULCA</t>
  </si>
  <si>
    <t>REPAIR SET</t>
  </si>
  <si>
    <t>12X FOR BRAKING SYSTEM VAG FOR OPEL</t>
  </si>
  <si>
    <t>REPARTURSATZ</t>
  </si>
  <si>
    <t>ZESTAW NAPRAWCZY GWINTÓW UKŁADU HAMULCOWEGO</t>
  </si>
  <si>
    <t>ODPOWIETRZACZ PRÓŻNIOWY (PŁYN HAMULCOW)</t>
  </si>
  <si>
    <t>ZESTAW KLUCZY DO PASKA KLINOWEGO</t>
  </si>
  <si>
    <t>V-BELT WRENCH SET</t>
  </si>
  <si>
    <t>RIPPENRIEMEN SCHLUESSELSATZ</t>
  </si>
  <si>
    <t>ZESTAW BLOKADY ROZRZĄDU BMW</t>
  </si>
  <si>
    <t>BLOKADA WAŁKÓW WYRÓWNOWAŻAJĄCYCH</t>
  </si>
  <si>
    <t xml:space="preserve">BLOKADA ROZRZĄDU </t>
  </si>
  <si>
    <t>ZESTAW BLOKADY ROZRZĄDU PEUGEOT</t>
  </si>
  <si>
    <t>ZESTAW BLOKADY ROZRZĄDU RENAULT</t>
  </si>
  <si>
    <t>ZESTAW BLOKADY ROZRZĄDU FIAT</t>
  </si>
  <si>
    <t>ZESTAW BLOKADY ROZRZĄDU GM</t>
  </si>
  <si>
    <t>KLUCZ NASTAWNY DO KÓŁ PASOWYCH ROZRZĄDU</t>
  </si>
  <si>
    <t>BLOKADA KOŁA ZAMACHOWEGO</t>
  </si>
  <si>
    <t>FLYWHEEL LOCKING TOOL</t>
  </si>
  <si>
    <t>SCHWUNGRAD SPERREN WERKZEUG</t>
  </si>
  <si>
    <t>BLOKADA ROZRZĄDU</t>
  </si>
  <si>
    <t>ŚCIĄGACZ DO ŁOŻYSK</t>
  </si>
  <si>
    <t>ZESTAW ŚCIĄGACZY DO ŁOŻYSK</t>
  </si>
  <si>
    <t>ZESTAW ŚCIĄGACZY TULEI</t>
  </si>
  <si>
    <t>ZESTAW ŚCIĄGACZY DO DRĄŻKÓW KIEROWNICZYCH</t>
  </si>
  <si>
    <t>KLUCZ DO DRĄŻKÓW KIEROWNICZYCH</t>
  </si>
  <si>
    <t>ŚCIĄGACZE SPRĘŻYN</t>
  </si>
  <si>
    <t>ŚCIĄGACZ DO RAMION WYCIERACZEK</t>
  </si>
  <si>
    <t>ZESTAW NASADEK DO USZKODZONYCH ŚRUB</t>
  </si>
  <si>
    <t>DAMAGED NUT REMOVER SET</t>
  </si>
  <si>
    <t>ABZIEHER-SET FUER BECHAEDIGTE MUTTERN</t>
  </si>
  <si>
    <t>ZESTAW NAPRAWCZY DO ŚRUB I NAKRĘTEK KÓŁ</t>
  </si>
  <si>
    <t>THREAD REPAIR KIT FOR WHEEL STUDS &amp;  NUTS</t>
  </si>
  <si>
    <t>8X M12x(1.25 - 1.75),  M14x 1.5</t>
  </si>
  <si>
    <t>GEWINDE-REPARATUR-SATZ FUR RADBOLZEN UND RADMUTTER</t>
  </si>
  <si>
    <t>ZESTAW PRZECINAKÓW NAKRĘTEK</t>
  </si>
  <si>
    <t>ZESTAW DO NAPRAWY GWINTÓW ŚWIEC ZAPŁONOWYCH</t>
  </si>
  <si>
    <t xml:space="preserve">REPAIR SET FOR SPARK PLUG THREADS </t>
  </si>
  <si>
    <t>REPARATURSATZ FUER ZUENDKERZENGEWINDE</t>
  </si>
  <si>
    <t>9X (M14,M16,M18,M20,M22,M28)x1.5, M27x2.0MM</t>
  </si>
  <si>
    <t>WIERTŁA STOŻKOWE</t>
  </si>
  <si>
    <t>double blister+sticker</t>
  </si>
  <si>
    <t>MBI*30.06.2020* FX first delivery - ok?</t>
  </si>
  <si>
    <t>PRZYRZĄD DO USTAWIANIA POMP WTRYSKOWYCH</t>
  </si>
  <si>
    <t>FUEL PUMP TIMING TOOL SET</t>
  </si>
  <si>
    <t>LPUMPE EINSTELL WERKZEUG</t>
  </si>
  <si>
    <t>ŚCIĄGACZ WTRYSKIWACZY</t>
  </si>
  <si>
    <t>INJECTION EXTRACTOR SET</t>
  </si>
  <si>
    <t>INJEKTOR ABZIEHER SATZ</t>
  </si>
  <si>
    <t>ZACISKACZ DO PIERŚCIENI TŁOKOWYCH</t>
  </si>
  <si>
    <t>PISTON RING COMPRESSOR</t>
  </si>
  <si>
    <t>KOLBENRINGKOMPRESSOR</t>
  </si>
  <si>
    <t>white box</t>
  </si>
  <si>
    <t>HONOWNICA</t>
  </si>
  <si>
    <t>HONING TOOL</t>
  </si>
  <si>
    <t>HONWERKZEUG</t>
  </si>
  <si>
    <t>bulk</t>
  </si>
  <si>
    <t>ZESTAW DO CENTROWANIA TARCZY SPRZĘGŁA</t>
  </si>
  <si>
    <t>CLUTCH ALIGNING KIT</t>
  </si>
  <si>
    <t>KUPPLUNGSZENTRIERWERKZEUG</t>
  </si>
  <si>
    <t>KĄTOMIERZ KLUCZA DYNAMOMETRYCZNEGO</t>
  </si>
  <si>
    <t>MULTIPLIKATOR MOMENTU OBROTOWEGO</t>
  </si>
  <si>
    <t>TORQUE MULTIPLIER</t>
  </si>
  <si>
    <t>DREHMOMENTVERVIELFAELTIGER</t>
  </si>
  <si>
    <t>PŁACHTA MAGNETYCZNA NA BŁOTNIK</t>
  </si>
  <si>
    <t>WIERTŁA DO METALU</t>
  </si>
  <si>
    <t>plastic barrel</t>
  </si>
  <si>
    <t xml:space="preserve">WIERTŁA DO METALU </t>
  </si>
  <si>
    <t>MBI*4.9.2020* LF different packing</t>
  </si>
  <si>
    <t>WIERTŁA DO BETONU</t>
  </si>
  <si>
    <t>WIERTŁA/DŁUTA ZESTAW SDS</t>
  </si>
  <si>
    <t>WIERTŁA DO BETONU SDS</t>
  </si>
  <si>
    <t>DŁUTA SDS</t>
  </si>
  <si>
    <t>DŁUTO SDS</t>
  </si>
  <si>
    <t>GŁOWICA, SDS ADAPTER, KLUCZYK DO WIERT.</t>
  </si>
  <si>
    <t>GŁOWICA DO WIERTARKI</t>
  </si>
  <si>
    <t>SDS, 3/8" - 24UNF</t>
  </si>
  <si>
    <t>WIERTŁA DO DREWNA</t>
  </si>
  <si>
    <t>MBA07.11.19*Pobrać na wzorcownię</t>
  </si>
  <si>
    <t>WIERTŁA DO DREWNA MOTYLKOWE</t>
  </si>
  <si>
    <t>WIERTŁA METAL-BETON-DREWNO</t>
  </si>
  <si>
    <t>WYKRĘTAKI</t>
  </si>
  <si>
    <t>ZESTAW WIERTEŁ I KOŁKÓW ROZPOROWYCH</t>
  </si>
  <si>
    <t>WIERTARKO-WKRĘTARKA AKUMULATOROWA</t>
  </si>
  <si>
    <t>DRILL</t>
  </si>
  <si>
    <t xml:space="preserve">18V, 2x1300mAh LI-ION + TOOLS SET </t>
  </si>
  <si>
    <t>BOHRMASCHINE</t>
  </si>
  <si>
    <t>BMC+color box</t>
  </si>
  <si>
    <t>SZLIFIERKA KĄTOWA</t>
  </si>
  <si>
    <t>ANGLE GRINDER</t>
  </si>
  <si>
    <t>900W 125MM 220-240V 11000RPM</t>
  </si>
  <si>
    <t>WINKELSCHLEIFER</t>
  </si>
  <si>
    <t>color carton box + sticker</t>
  </si>
  <si>
    <t xml:space="preserve">WYRZYNARKA </t>
  </si>
  <si>
    <t>PENDULUM JIGSAW</t>
  </si>
  <si>
    <t>570W 8MM/65MM 220-240V 800-3000RPM</t>
  </si>
  <si>
    <t>STICHSAEGE</t>
  </si>
  <si>
    <t>OPALARKA</t>
  </si>
  <si>
    <t>HOT AIR GUN</t>
  </si>
  <si>
    <t>1600W 350-550C 220-240V</t>
  </si>
  <si>
    <t>HEISSLUFTPISTOLE</t>
  </si>
  <si>
    <t>POLERKA</t>
  </si>
  <si>
    <t>POLISHER</t>
  </si>
  <si>
    <t>1300W 180MM 220-240V 600-3200RPM</t>
  </si>
  <si>
    <t>POLIERER</t>
  </si>
  <si>
    <t>IMADŁO</t>
  </si>
  <si>
    <t>IMADŁO OBROTOWE</t>
  </si>
  <si>
    <t>IMADŁO STOLARSKIE</t>
  </si>
  <si>
    <t>IMADŁO STOŁOWE</t>
  </si>
  <si>
    <t>IMADŁO STOŁOWE OBROTOWE</t>
  </si>
  <si>
    <t>IMADŁO DO WIERTARKI</t>
  </si>
  <si>
    <t>PIŁA PŁATNICA HARTOWANA</t>
  </si>
  <si>
    <t>PIŁA OTWORNICA</t>
  </si>
  <si>
    <t>PIŁA DO PŁYT GIPSOWYCH</t>
  </si>
  <si>
    <t xml:space="preserve">NÓŻ DO WEŁNY MINERALNEJ/STYROPIANU </t>
  </si>
  <si>
    <t>KNIFE FOR MINERAL WOOL/STYROFOAM</t>
  </si>
  <si>
    <t>DAEMMSTOFFMESSER</t>
  </si>
  <si>
    <t>PIŁA DO METALU Z PLASTIKOWYM UCHWYTEM</t>
  </si>
  <si>
    <t>PIŁA DO METALU Z DREWNIANYM UCHWYTEM</t>
  </si>
  <si>
    <t>PIŁA DO METALU RAMA RUROWA</t>
  </si>
  <si>
    <t>PIŁA DO METALU RAMA PŁASKA Z PLASTIKOWYM UCHWYTEM</t>
  </si>
  <si>
    <t>PIŁA RĘCZNA ZE SKRZYNKĄ UCIOSOWĄ</t>
  </si>
  <si>
    <t>PIŁA RĘCZNA ZE SKRZYNKĄ UCIOSOWĄ CZARNA</t>
  </si>
  <si>
    <t>PIŁA KĄTOWA RĘCZNA</t>
  </si>
  <si>
    <t>WÓZEK RĘCZNY</t>
  </si>
  <si>
    <t>KÓŁKA DO MEBLI</t>
  </si>
  <si>
    <t>PODKŁADKI FILCOWE POD MEBLE</t>
  </si>
  <si>
    <t>*MBI*24.9.2020* new packing slide card</t>
  </si>
  <si>
    <t>NOŻYKI UNIWERSALNE</t>
  </si>
  <si>
    <t>UTILITY KNIVES</t>
  </si>
  <si>
    <t>NÓŻ SKŁADANY</t>
  </si>
  <si>
    <t>NÓŻ - ROZPRUWACZ</t>
  </si>
  <si>
    <t>MBA*30-06-2020*Please print product code and number of pcs on outerbox</t>
  </si>
  <si>
    <t>SKROBAK DO SZKŁA</t>
  </si>
  <si>
    <t>OSTRZA DO NOŻY DO TAPET</t>
  </si>
  <si>
    <t>NÓŻ ŁAMANY WYSUWANY DO TAPET</t>
  </si>
  <si>
    <t>NÓŻ ŁAMANY METALOWY</t>
  </si>
  <si>
    <t>NÓŻ UNIWERSALNY WYSUWANY</t>
  </si>
  <si>
    <t>KÓŁKO DO CIĘCIA SZKŁA</t>
  </si>
  <si>
    <t>KÓŁKO DO CIĘCIA SZKŁA PROFI OIL INJECT</t>
  </si>
  <si>
    <t>ZESTAW NOŻYKÓW PRECYZYJNYCH 1</t>
  </si>
  <si>
    <t>DŁUTA STOLARSKIE Z DREWNIANYM UCHWYTEM</t>
  </si>
  <si>
    <t>DŁUTA STOLARSKIE Z PLASTIKOWYM UCHWYTEM</t>
  </si>
  <si>
    <t xml:space="preserve">ZESTAW DO DEMONTAŻU TAPICERKI </t>
  </si>
  <si>
    <t>PRZECINAK MURARSKI Z OSŁONĄ</t>
  </si>
  <si>
    <t>PRZEBIJAK MURARSKI Z OSŁONĄ</t>
  </si>
  <si>
    <t>MBA*11.09.20*Must add rubber hose;new order comes with addtional rubber hosel</t>
  </si>
  <si>
    <t>ZAWÓR DO WĘŻA OGRODOWEGO</t>
  </si>
  <si>
    <t>ŁAŃCUCH OSTRZEGAWCZY BIAŁO-CZERWONY</t>
  </si>
  <si>
    <t>TAŚMA OSTRZEGAWCZA BIAŁO-CZERWONA</t>
  </si>
  <si>
    <t>TAŚMA TEFLONOWA USZCZELNIAJĄCA</t>
  </si>
  <si>
    <t>TAŚMA IZOLACYJNA KOLOROWA</t>
  </si>
  <si>
    <t>TAŚMA IZOLACYJNA CZARNA</t>
  </si>
  <si>
    <t>TAŚMA NAPRAWCZA</t>
  </si>
  <si>
    <t>NOŻYCZKI</t>
  </si>
  <si>
    <t>MBA*16-07-20*Please print correct number of pieces on outerbox</t>
  </si>
  <si>
    <t>ZESTAW NOŻYCZEK</t>
  </si>
  <si>
    <t>NOŻYCE UNIWERSALNE</t>
  </si>
  <si>
    <t>NOŻYCE KRAWIECKIE</t>
  </si>
  <si>
    <t>NOŻYCE DO PRĘTÓW</t>
  </si>
  <si>
    <t>ZESTAW NOŻYC DO BLACHY</t>
  </si>
  <si>
    <t>NOŻYCE DO BLACHY</t>
  </si>
  <si>
    <t>WBA23.07.20*Snips are too high; barcode is not available</t>
  </si>
  <si>
    <t>PRZYRZĄD TRASERSKI</t>
  </si>
  <si>
    <t>PRZYRZĄD TRASERSKI Z KREDĄ</t>
  </si>
  <si>
    <t>GĄBKA GLAZURNICZA</t>
  </si>
  <si>
    <t>PRZYRŻNIA DO GLAZURY</t>
  </si>
  <si>
    <t>PRZYRŻNIA Z OTWORNICĄ DO GLAZURY</t>
  </si>
  <si>
    <t>PACA SZLIFIERSKA SKRĘCANA</t>
  </si>
  <si>
    <t>OŁÓWKI STOLARSKIE</t>
  </si>
  <si>
    <t>WYCISKACZ DO MAS RYNNOWY Z ZĘBATKĄ</t>
  </si>
  <si>
    <t>MBA*30.6.2020* We need plastic pipe</t>
  </si>
  <si>
    <t>PĘDZEL ANGIELSKI</t>
  </si>
  <si>
    <t>FLAT PAINT BRUSH  36MM</t>
  </si>
  <si>
    <t xml:space="preserve">36MM </t>
  </si>
  <si>
    <t>AJKA Józef Andryka</t>
  </si>
  <si>
    <t>ZESTAW PĘDZLI PŁASKICH</t>
  </si>
  <si>
    <t xml:space="preserve">ZESTAW PĘDZLI PŁASKICH </t>
  </si>
  <si>
    <t>PĘDZEL PROFESJONALNY</t>
  </si>
  <si>
    <t>ZESTAW PĘDZLI OKRĄGŁYCH</t>
  </si>
  <si>
    <t>ZESTAW PĘDZLI PŁASKICH I OKRĄGŁYCH</t>
  </si>
  <si>
    <t>ZESTAW PĘDZLI DO KALORYFERÓW</t>
  </si>
  <si>
    <t>PĘDZEL TAPETÓWKA</t>
  </si>
  <si>
    <t>ZESTAW PĘDZELKÓW PŁASKICH</t>
  </si>
  <si>
    <t>ZESTAW PĘDZELKÓW OKRĄGŁYCH</t>
  </si>
  <si>
    <t>ZESTAW PĘDZELKÓW</t>
  </si>
  <si>
    <t>WAŁKI MALARSKIE</t>
  </si>
  <si>
    <t>ZESTAW WAŁKÓW MALARSKICH</t>
  </si>
  <si>
    <t>WAŁEK SZNURKOWY</t>
  </si>
  <si>
    <t>MIESZADŁO DO FARB</t>
  </si>
  <si>
    <t>MIESZADŁO DO FARB OCYNKOWANE</t>
  </si>
  <si>
    <t>MIESZADŁO OCYNKOWANE DO FARB</t>
  </si>
  <si>
    <t>ZESTAW MIESZADEŁ DO FARB</t>
  </si>
  <si>
    <t>MIESZADŁO DO ZAPRAW OCYNKOWANE</t>
  </si>
  <si>
    <t xml:space="preserve">TAŚMA TYNKARSKA </t>
  </si>
  <si>
    <t>TAŚMA MALARSKA</t>
  </si>
  <si>
    <t>TAŚMA MALARSKA 'BLUE SHARK'</t>
  </si>
  <si>
    <t>KASTRA PROSTOKĄTNA MAŁA</t>
  </si>
  <si>
    <t>KASTRA PROSTOKĄTNA ŚREDNIA</t>
  </si>
  <si>
    <t>KASTRA PROSTOKĄTNA DUŻA</t>
  </si>
  <si>
    <t>KASTRA OKRĄGŁA</t>
  </si>
  <si>
    <t>KOCIOŁ STALOWY OCYNKOWANY</t>
  </si>
  <si>
    <t xml:space="preserve">MIARA SKŁADANA </t>
  </si>
  <si>
    <t>MIARA SKŁADANA</t>
  </si>
  <si>
    <t>KĄTOWNIK STOLARSKI</t>
  </si>
  <si>
    <t>MBA12.11.2019*pobrać próbkę na worcownię</t>
  </si>
  <si>
    <t>PRZYMIAR PROSTOKĄTNY</t>
  </si>
  <si>
    <t>KĄTOMIERZ</t>
  </si>
  <si>
    <t>MBI*3.10.19* CE BREXIT // WBA*23.07.20* Please, add our sticker</t>
  </si>
  <si>
    <t>MBI*3.10.19* CE BREXIT// WBA*23.07.20* Please, add our sticker</t>
  </si>
  <si>
    <t>TAŚMA MIERNICZA</t>
  </si>
  <si>
    <t xml:space="preserve">MEASURE TAPE </t>
  </si>
  <si>
    <t>30M GLASS FIBRE</t>
  </si>
  <si>
    <t xml:space="preserve">RAHMENBANDMASS </t>
  </si>
  <si>
    <t>MBI*5.10.2020* first delivery</t>
  </si>
  <si>
    <t>SZCZELINOMIERZ KLOCKÓW HAMULCOWYCH</t>
  </si>
  <si>
    <t>BRAKE PAD THICKNESS GAUGE</t>
  </si>
  <si>
    <t>BREMSBELAGDICKENMESSER</t>
  </si>
  <si>
    <t>box</t>
  </si>
  <si>
    <t>KOŃCÓWKI WKRĘTAKOWE DO PŁYT GIPSOWYCH</t>
  </si>
  <si>
    <t>KOŃCÓWKI WKRĘTAKOWE</t>
  </si>
  <si>
    <t>KOŃCÓWKI WKRĘTAKOWE PODWÓJNE</t>
  </si>
  <si>
    <t>KOŃCÓWKI NASADKOWE</t>
  </si>
  <si>
    <t>NASADKI DO WKRĘTARKI</t>
  </si>
  <si>
    <t>NASADKA DO WKRĘTARKI</t>
  </si>
  <si>
    <t>ADAPTERY DO WKRĘTARKI</t>
  </si>
  <si>
    <t>DRILL EXTENSION</t>
  </si>
  <si>
    <t>300MM FLEXIBLE</t>
  </si>
  <si>
    <t>BIT VERLAENGERUNG</t>
  </si>
  <si>
    <t>UCHWYT DO BITÓW</t>
  </si>
  <si>
    <t>BIT HOLDER</t>
  </si>
  <si>
    <t>115MM</t>
  </si>
  <si>
    <t>BITHALTER</t>
  </si>
  <si>
    <t>KOŃCÓWKI WKRĘTAKOWE - IMBUSY</t>
  </si>
  <si>
    <t>UCHWYT 'T' Z KOŃCÓWKAMI I NASADKAMI</t>
  </si>
  <si>
    <t>UCHWYT 'T' MIĘKKI Z KOŃCÓWKAMI I NASADKAMI</t>
  </si>
  <si>
    <t>WKRĘTAK Z MIĘKKIM UCHWYTEM</t>
  </si>
  <si>
    <t>WKRĘTAK</t>
  </si>
  <si>
    <t>WKRĘTAKI IZOLOWANE</t>
  </si>
  <si>
    <t>WKRĘTAK UDAROWY</t>
  </si>
  <si>
    <t>WKRĘTAKI DO POBIJANIA</t>
  </si>
  <si>
    <t>WKRĘTAKI</t>
  </si>
  <si>
    <t>6X 80-150MM MAGN CV</t>
  </si>
  <si>
    <t>WKRĘTAKI ZEGARMISTRZOWSKIE</t>
  </si>
  <si>
    <t>WKRĘTAKI PRECYZYJNE</t>
  </si>
  <si>
    <t>WKRĘTAK PRECYZYJNY</t>
  </si>
  <si>
    <t>WKRĘTAK KIESZONKOWY</t>
  </si>
  <si>
    <t>PILNIKI GŁADZIKI</t>
  </si>
  <si>
    <t>OSEŁKA</t>
  </si>
  <si>
    <t>SZCZOTKI OBROTOWE</t>
  </si>
  <si>
    <t>CLEANING BRUSHES ROTARY</t>
  </si>
  <si>
    <t>PFA*5.6.20*new</t>
  </si>
  <si>
    <t>SK PRZYJECIE TOWARU !!!</t>
  </si>
  <si>
    <t>polybag + header</t>
  </si>
  <si>
    <t>MBA*2.7.20* first delivery</t>
  </si>
  <si>
    <t>ZESTAW DO POLEROWANIA I CZYSZCZENIA</t>
  </si>
  <si>
    <t>POLISHING KIT</t>
  </si>
  <si>
    <t>POLIERSET</t>
  </si>
  <si>
    <t>ŚCIERNICE SIATKOWE</t>
  </si>
  <si>
    <t>CLEANING AND POLISHING KIT</t>
  </si>
  <si>
    <t>REINIGUNGS- UND POLIERSET</t>
  </si>
  <si>
    <t>DYSK TNĄCY</t>
  </si>
  <si>
    <t>DYSKI ŚCIERNE</t>
  </si>
  <si>
    <t>PFA*28.11.19*sprawdzenie CE właczyć Sklep</t>
  </si>
  <si>
    <t>VENTIL</t>
  </si>
  <si>
    <t>GREEN</t>
  </si>
  <si>
    <t>MASKA, PRZYŁBICA</t>
  </si>
  <si>
    <t>VISOR</t>
  </si>
  <si>
    <t>RAMP</t>
  </si>
  <si>
    <t>MASECZKA BAWEŁNIANA</t>
  </si>
  <si>
    <t>WBA*09.10.2020*Make better package</t>
  </si>
  <si>
    <t>MASKI PRZECIWPYŁOWE</t>
  </si>
  <si>
    <t>MASKA MEDYCZNA</t>
  </si>
  <si>
    <t>MEDICAL MASK</t>
  </si>
  <si>
    <t>EN14683, 3layers</t>
  </si>
  <si>
    <t>MASKE</t>
  </si>
  <si>
    <t xml:space="preserve">Maxxb Chocolate Factory - Maksymilian Nowotarski, </t>
  </si>
  <si>
    <t>PFA*nowość</t>
  </si>
  <si>
    <t xml:space="preserve">690MM METAL BAR PSI </t>
  </si>
  <si>
    <t>SKRZYNKA NARZĘDZIOWA</t>
  </si>
  <si>
    <t>ZACISKI Z LUPĄ ''TRZECIA RĘKA''</t>
  </si>
  <si>
    <t>ZACISKI ''TRZECIA RĘKA' LED</t>
  </si>
  <si>
    <t>190MM 12LED</t>
  </si>
  <si>
    <t>ctn box + sticker</t>
  </si>
  <si>
    <t>PFA2.6.20*CE</t>
  </si>
  <si>
    <t>LATARKA NA GŁOWĘ</t>
  </si>
  <si>
    <t>COB 2W+ LED 1W 100+80LM</t>
  </si>
  <si>
    <t>9-LED 26x90MM COLOR MIX</t>
  </si>
  <si>
    <t>LAMPKA LED</t>
  </si>
  <si>
    <t>GARAGE COB LAMP</t>
  </si>
  <si>
    <t>COB 2W 80LM MAGNET</t>
  </si>
  <si>
    <t>GARAGE COB LAMPE</t>
  </si>
  <si>
    <t>box + sticker</t>
  </si>
  <si>
    <t>PFA*2.6.20*CE</t>
  </si>
  <si>
    <t>COB 2W + LED 1W 164MM MAGNET</t>
  </si>
  <si>
    <t>COB 3W + LED 1W MAGNET</t>
  </si>
  <si>
    <t>LATARKA COB LED</t>
  </si>
  <si>
    <t>TORCH  COB LED</t>
  </si>
  <si>
    <t>COB 1W + CREE 2W 400mAh Li-ion USB</t>
  </si>
  <si>
    <t>TASCHENLAMPE COB LED</t>
  </si>
  <si>
    <t>CREE 3W</t>
  </si>
  <si>
    <t>LAMPA</t>
  </si>
  <si>
    <t>SENSOR LAMP</t>
  </si>
  <si>
    <t>146LED SENSOR 1200mAh Li-ion (186500)</t>
  </si>
  <si>
    <t>SENSOR LAMPE</t>
  </si>
  <si>
    <t>KLUCZ DO KÓŁ TYP-L</t>
  </si>
  <si>
    <t>KLUCZ DO KÓŁ KRZYŻAKOWY</t>
  </si>
  <si>
    <t>ŁYŻKA DO OPON</t>
  </si>
  <si>
    <t>500MM HEAVY DUTY</t>
  </si>
  <si>
    <t>ŚCIĄGACZE DO ŁOŻYSK</t>
  </si>
  <si>
    <t>KLUCZ ŁAŃCUCHOWY DO FILTRA OLEJU</t>
  </si>
  <si>
    <t>KLUCZ TAŚMOWY DO FILTRA OLEJU</t>
  </si>
  <si>
    <t>ZESTAW INSPEKCYJNY</t>
  </si>
  <si>
    <t>INSPEKTIONWERKZEUGESATZ</t>
  </si>
  <si>
    <t>DOUBLE BLISTER</t>
  </si>
  <si>
    <t>RIVET NUTS ASSORTMENT</t>
  </si>
  <si>
    <t>NIETMUTTERN SORTIMENT</t>
  </si>
  <si>
    <t>USZCZELKI OKRĄGŁE</t>
  </si>
  <si>
    <t>3-22MM/1-4MM 125X</t>
  </si>
  <si>
    <t>PODKŁADKI MIEDZIANE</t>
  </si>
  <si>
    <t>PODKŁADKI GUMOWE Z ROWKIEM</t>
  </si>
  <si>
    <t xml:space="preserve">SPRĘŻYNKI </t>
  </si>
  <si>
    <t>PIERŚCIENIE SEEGERA</t>
  </si>
  <si>
    <t>WKRĘTY I PODKŁADKI DO KAROSERII</t>
  </si>
  <si>
    <t>PODKŁADKI SPRĘŻYNOWE</t>
  </si>
  <si>
    <t>SPINKI SAMOCHODOWE</t>
  </si>
  <si>
    <t>TRIM CLIP ASSORTMENT</t>
  </si>
  <si>
    <t>CLIP-SORIMENT</t>
  </si>
  <si>
    <t>KLINY DO OSADZANIA PIAST</t>
  </si>
  <si>
    <t>FEATHER KEY ASSORTMENT</t>
  </si>
  <si>
    <t>PASSFEDERNSORTIMENT</t>
  </si>
  <si>
    <t>ZŁĄCZKI DO WĘZYKÓW</t>
  </si>
  <si>
    <t>HOSES CONNECTORS</t>
  </si>
  <si>
    <t>SCHLAUCHKUPPLUNGEN</t>
  </si>
  <si>
    <t>LEJEK SKOŚNY</t>
  </si>
  <si>
    <t>SKROBAK DO SZYB SAMOCHODOWYCH Z MOSIĘŻNYM OSTRZEM</t>
  </si>
  <si>
    <t>SKROBAK DO SZYB SAMOCHODOWYCH Z GUMKĄ</t>
  </si>
  <si>
    <t>SKROBAK DO SZYB SAMOCHODOWYCH Z RĘKAWICĄ</t>
  </si>
  <si>
    <t>GĄBKA PRZECIWMGIELNA/IRCHA</t>
  </si>
  <si>
    <t>GĄBKA SAMOCHODOWA</t>
  </si>
  <si>
    <t>ŚCIĄGACZ DO WODY</t>
  </si>
  <si>
    <t>OSŁONA NA PRZEDNIĄ SZYBĘ SAMOCHODU</t>
  </si>
  <si>
    <t>SZCZOTKA PVC DO MYCIA + PODŁĄCZENIE DO WĘŻA</t>
  </si>
  <si>
    <t>AUTO-SZCZOTKA DO FELG WĄSKA</t>
  </si>
  <si>
    <t>AUTO-SZCZOTKA DO USUWANIA SIERŚCI ZWIERZĄT</t>
  </si>
  <si>
    <t>AUTO-SZCZOTKA DO WYKOŃCZEŃ</t>
  </si>
  <si>
    <t xml:space="preserve">ŁOPATA DO ŚNIEGU ALUMINIOWA </t>
  </si>
  <si>
    <t xml:space="preserve">ŁOPATA ALUMINIOWA DUŻA </t>
  </si>
  <si>
    <t xml:space="preserve">ŁOPATA ALUMINIOWA MAŁA </t>
  </si>
  <si>
    <t>SZUFLA SKŁADANA</t>
  </si>
  <si>
    <t>ŁOPATA DO ŚNIEGU</t>
  </si>
  <si>
    <t>ŁOPATA DO ŚNIEGU ALUMINIOWA</t>
  </si>
  <si>
    <t xml:space="preserve">ŁOPATA DO ŚNIEGU </t>
  </si>
  <si>
    <t>ZGARNIACZ DO ŚNIEGU</t>
  </si>
  <si>
    <t>LINKA SZNUROWA PŁASKA</t>
  </si>
  <si>
    <t>POMPKA NOŻNA Z MANOMETREM</t>
  </si>
  <si>
    <t>PODNOŚNIK PRZYSSAWKOWY POJEDYNCZY</t>
  </si>
  <si>
    <t>PODNOŚNIK PRZYSSAWKOWY PODWÓJNY</t>
  </si>
  <si>
    <t>WBA*1.07.2020 Please print correct number of pcs on outerbox</t>
  </si>
  <si>
    <t>ŚCIĄGACZE NA BAGAŻNIK</t>
  </si>
  <si>
    <t>SIATKA BAGAŻNIKOWA</t>
  </si>
  <si>
    <t>ŚCIĄGACZ NA BAGAŻNIK 8-RAMIENNY ''PAJĄK''</t>
  </si>
  <si>
    <t>TAŚMA MOCUJĄCA BAGAŻ Z HAKAMI I GRZECHOTKĄ</t>
  </si>
  <si>
    <t>TAŚMA MOCUJĄCA BAGAŻ Z GRZECHOTKĄ</t>
  </si>
  <si>
    <t>TAŚMY MOCUJĄCE BAGAŻ</t>
  </si>
  <si>
    <t>TAŚMY MOCUJĄCE Z HAKAMI</t>
  </si>
  <si>
    <t>TAŚMA MOCUJĄCA Z HAKAMI</t>
  </si>
  <si>
    <t>PAS TRANSPORTOWY Z NAPINACZEM</t>
  </si>
  <si>
    <t>STRAP RATCHET</t>
  </si>
  <si>
    <t>5T 8M EN12195-2 PROFI</t>
  </si>
  <si>
    <t>KLIMAR</t>
  </si>
  <si>
    <t>WIESZAK SPRĘŻYNOWY</t>
  </si>
  <si>
    <t xml:space="preserve">GREY 5x3CM 5kG ADHESIVE </t>
  </si>
  <si>
    <t>PFA7.10.20*non-color mix</t>
  </si>
  <si>
    <t xml:space="preserve">PINK 5x3CM 5kG ADHESIVE </t>
  </si>
  <si>
    <t xml:space="preserve">BLUE 5x3CM 5kG ADHESIVE </t>
  </si>
  <si>
    <t xml:space="preserve">WHITE 5x3CM 5kG ADHESIVE </t>
  </si>
  <si>
    <t>STÓŁ WARSZTATOWY</t>
  </si>
  <si>
    <t>GRABIE SPRĘŻYNOWE</t>
  </si>
  <si>
    <t>GRABIE SPRĘŻYNOWE NASTAWNE</t>
  </si>
  <si>
    <t>GRABIE PVC DO LIŚCI</t>
  </si>
  <si>
    <t>GRABIE PVC DO LIŚCI ECO</t>
  </si>
  <si>
    <t>KIJ DO MIOTŁY</t>
  </si>
  <si>
    <t>MIOTŁA GOSPODARCZA</t>
  </si>
  <si>
    <t>MIOTŁA 'ULICÓWKA'</t>
  </si>
  <si>
    <t>KOSZ OGRODOWY AŻUROWY</t>
  </si>
  <si>
    <t>POJEMNIK OGRODOWY SKŁADANY</t>
  </si>
  <si>
    <t>POP-UP GARDEN WASTE BASKET</t>
  </si>
  <si>
    <t>GARTENKORB, FALTBAR</t>
  </si>
  <si>
    <t>pvc bag + paper insert</t>
  </si>
  <si>
    <t>PFA*3.6.20*new</t>
  </si>
  <si>
    <t>ŁAWECZKA/KLĘCZNIK OGRODOWY</t>
  </si>
  <si>
    <t>GARDEN KNEELER/STOOL</t>
  </si>
  <si>
    <t>GARTENKNIESCHUTZER/SCHEMEL</t>
  </si>
  <si>
    <t>PODWIĄZKA OGRODNICZA</t>
  </si>
  <si>
    <t>ZESTAW NARZĘDZI OGRODOWYCH</t>
  </si>
  <si>
    <t xml:space="preserve">KOŁKI DO MOCOWANIA DWUSTRONNE </t>
  </si>
  <si>
    <t>OBRZEŻE TRAWNIKOWE 45</t>
  </si>
  <si>
    <t>OBRZEŻE TRAWNIKOWE 58</t>
  </si>
  <si>
    <t>OBRZEŻE TRAWNIKOWE 78</t>
  </si>
  <si>
    <t xml:space="preserve">PŁOTEK OGRODOWY "PŁASKI" </t>
  </si>
  <si>
    <t>PŁOTEK OGRODOWY "KUTY"</t>
  </si>
  <si>
    <t xml:space="preserve">PŁOTEK OGRODOWY "KUTY" </t>
  </si>
  <si>
    <t xml:space="preserve">PŁOTEK OGRODOWY "Z LISTEWEK" </t>
  </si>
  <si>
    <t>PŁOTEK OGRODOWY "Z LISTEWEK"</t>
  </si>
  <si>
    <t>PUŁAPKA NA KRETY</t>
  </si>
  <si>
    <t>PUŁAPKA NA KRETY Z SYGNALIZATOREM</t>
  </si>
  <si>
    <t>PUŁAPKA NA MYSZY</t>
  </si>
  <si>
    <t>PUŁAPKA NA SZCZURY</t>
  </si>
  <si>
    <t>PIŁA KABŁĄKOWA OGRODOWA</t>
  </si>
  <si>
    <t>PIŁA OGRODOWA SKŁADANA</t>
  </si>
  <si>
    <t>PIŁA OGRODOWA</t>
  </si>
  <si>
    <t>PIŁA ŁAŃCUCHOWA 'SURVIVAL'</t>
  </si>
  <si>
    <t>SEKATOR Z ERGONOMICZNĄ RĘKOJEŚCIĄ</t>
  </si>
  <si>
    <t>SEKATOR PRECYZYJNY DO RÓŻ</t>
  </si>
  <si>
    <t>SEKATOR DO ŻYWOPŁOTU</t>
  </si>
  <si>
    <t>SEKATOR DO GAŁĘZI</t>
  </si>
  <si>
    <t>SEKATOR DO GAŁĘZI KOWADEŁKOWY</t>
  </si>
  <si>
    <t>pvc bag + header</t>
  </si>
  <si>
    <t>ŻYŁKA DO PODKASZARKI</t>
  </si>
  <si>
    <t>GŁOWICA ŻYŁKOWA DO PODKASZARKI</t>
  </si>
  <si>
    <t>10x1.25FLH 2.4MM 2.5M</t>
  </si>
  <si>
    <t>NOŻYCE DO ŻYWOPŁOTU</t>
  </si>
  <si>
    <t>HEDGE TRIMMER</t>
  </si>
  <si>
    <t>18V 1500mAh LI-ION</t>
  </si>
  <si>
    <t>HECKENSCHERE</t>
  </si>
  <si>
    <t>PODKASZARKA</t>
  </si>
  <si>
    <t>ELECTRIC GRASS TRIMMER</t>
  </si>
  <si>
    <t xml:space="preserve">18V 1500mAh LI-ION </t>
  </si>
  <si>
    <t>ELEKTRISCHE RAZENTRIMMER</t>
  </si>
  <si>
    <t>NOŻYCE DO TRAWY</t>
  </si>
  <si>
    <t xml:space="preserve">GRASS SHEAR LIGHT </t>
  </si>
  <si>
    <t>7.2V 1500mAh</t>
  </si>
  <si>
    <t>GRASSCHAAR VAST</t>
  </si>
  <si>
    <t>DMUCHAWA</t>
  </si>
  <si>
    <t>BLOWER</t>
  </si>
  <si>
    <t>GEBLAESE</t>
  </si>
  <si>
    <t>KOŃCÓWKI DO WĘŻA OGRODOWEGO</t>
  </si>
  <si>
    <t>KOŃCÓWKA DO WĘŻA OGRODOWEGO</t>
  </si>
  <si>
    <t>90 CM RANGE 26 METERS</t>
  </si>
  <si>
    <t>SPRYSKIWACZ OGRODNICZY CIŚNIENIOWY</t>
  </si>
  <si>
    <t xml:space="preserve">SPRYSKIWACZ OGRODNICZY CIŚNIENIOWY </t>
  </si>
  <si>
    <t>4L</t>
  </si>
  <si>
    <t>6L</t>
  </si>
  <si>
    <t>SZCZOTKA DO SIERŚCI</t>
  </si>
  <si>
    <t xml:space="preserve">ŁYŻKA </t>
  </si>
  <si>
    <t>NÓŻ</t>
  </si>
  <si>
    <t>DREWMET Końskie</t>
  </si>
  <si>
    <t>GRILL OGRODOWY TRÓJNÓG RUSZT ŻELIWNY</t>
  </si>
  <si>
    <t>160x50CM</t>
  </si>
  <si>
    <t>KOCIOŁEK NA OGNISKO</t>
  </si>
  <si>
    <t>QPending</t>
  </si>
  <si>
    <t>VPending</t>
  </si>
  <si>
    <t>Name</t>
  </si>
  <si>
    <t>Stock</t>
  </si>
  <si>
    <t>Reserved</t>
  </si>
  <si>
    <t>pcs/ctn</t>
  </si>
  <si>
    <t>Packing</t>
  </si>
  <si>
    <t>OrderCTNS</t>
  </si>
  <si>
    <t>OrderPCS</t>
  </si>
  <si>
    <t>YRprice</t>
  </si>
  <si>
    <t>YRrem</t>
  </si>
  <si>
    <t>Rem</t>
  </si>
  <si>
    <t>XM-201113</t>
  </si>
  <si>
    <t>FX-201113</t>
  </si>
  <si>
    <t>BW-201113</t>
  </si>
  <si>
    <t>HQ-201113</t>
  </si>
  <si>
    <t>LF-201113</t>
  </si>
  <si>
    <t>SK-201113</t>
  </si>
  <si>
    <t>ZS-201113</t>
  </si>
  <si>
    <t>TV-201113</t>
  </si>
  <si>
    <t>C2-201113</t>
  </si>
  <si>
    <t>SA-201113</t>
  </si>
  <si>
    <t>RA-201113</t>
  </si>
  <si>
    <t>Ce-201113</t>
  </si>
  <si>
    <t>PA-201113</t>
  </si>
  <si>
    <t>WI-201113</t>
  </si>
  <si>
    <t>AJ-201113</t>
  </si>
  <si>
    <t>RO-201113</t>
  </si>
  <si>
    <t>HT-201113</t>
  </si>
  <si>
    <t>AN-201113</t>
  </si>
  <si>
    <t>VO-201113</t>
  </si>
  <si>
    <t>CH-201113</t>
  </si>
  <si>
    <t>DR-201113</t>
  </si>
  <si>
    <t>OrderID</t>
  </si>
  <si>
    <t>Flag</t>
  </si>
  <si>
    <t>Check</t>
  </si>
  <si>
    <t>Weight</t>
  </si>
  <si>
    <t>LastBuy</t>
  </si>
  <si>
    <t>LDate</t>
  </si>
  <si>
    <t>LCur</t>
  </si>
  <si>
    <t>OrderValue</t>
  </si>
  <si>
    <t>LQTY</t>
  </si>
  <si>
    <t>MACHINIST HAMMER FORGED 100G , ROUND&amp; FLAT WEDGES FIXING</t>
  </si>
  <si>
    <t>MACHINIST HAMMER FORGED 300G DIN 1041, ROUND&amp; FLAT WEDGES FIXING</t>
  </si>
  <si>
    <t>MACHINIST HAMMER FORGED 800G DIN 1041, ROUND&amp; FLAT WEDGES FIXING</t>
  </si>
  <si>
    <t>MACHINIST HAMMER FORGED 1000G, ROUND&amp; FLAT WEDGES FIXING</t>
  </si>
  <si>
    <t>CLAWHAMMER 27MM FG PLASTIFIED</t>
  </si>
  <si>
    <t>ROOFING POINT HAMMER 600G, D/F, FG, PLASTIFIED, MAGNETIC</t>
  </si>
  <si>
    <t>RUBBER MALLET 55MM</t>
  </si>
  <si>
    <t>RUBBER MALLET 50MM 500G</t>
  </si>
  <si>
    <t>RUBBER MALLET 90MM METAL</t>
  </si>
  <si>
    <t>KNEE PADS, GEL, DOUBLE, 2pcs</t>
  </si>
  <si>
    <t>LOCKING PLIER MORSE 250MM LONG NOSE</t>
  </si>
  <si>
    <t>LOCKING PLIER MORSE 250MM C-SHAPE JAWS</t>
  </si>
  <si>
    <t>PIPE WRENCH 1.5": "S"-TYPE, GRINDED MOUTH, FORGED BODY</t>
  </si>
  <si>
    <t>RABIT PINCER 225MM</t>
  </si>
  <si>
    <t>RIVETING PLIER 2.4-3.2-4.0-4.8MM HEAVY DUTY</t>
  </si>
  <si>
    <t>TACKER 4-8MM METAL</t>
  </si>
  <si>
    <t>TACKER 3-WAY 4-14MM METAL HEAVY DUTY + 500/250/250 STAPLES</t>
  </si>
  <si>
    <t>NET CABLE CLAMPS SET: 8P8C/RJ45, 6P6C/RJ12, 6P4C/RJ11</t>
  </si>
  <si>
    <t>CABLE TIE SET 200x2.5MM 120X COLOR MIX, NYLON 66</t>
  </si>
  <si>
    <t>CABLE TIE SET 190x4.7MM NYLON WHITE 50X</t>
  </si>
  <si>
    <t>CABLE TIE SET 190x4.7MM NYLON BLACK 50X</t>
  </si>
  <si>
    <t>CLAMP GERMAN TYPE 10-16MM 2X, 16-25MM 2X, 20-32MM</t>
  </si>
  <si>
    <t>CLAMP GERMAN TYPE 40-60MM, 12X</t>
  </si>
  <si>
    <t>F-CLAMP 500 X 120 MM PROFI</t>
  </si>
  <si>
    <t>F-CLAMP 800 X 120 MM PROFI</t>
  </si>
  <si>
    <t>PROTECTION ADHESIVE FOIL 500MMx30M 45um, ACRYL GLUE, UV RESISTANT</t>
  </si>
  <si>
    <t>PROTECTION ADHESIVE FOIL 50CMx75M 45um, ACRYL GLUE, UV RESISTANT</t>
  </si>
  <si>
    <t>PROTECTION ADHESIVE FOIL 500MMx100M 45um, ACRYL GLUE, UV RESISTANT</t>
  </si>
  <si>
    <t>TARPAULIN 2 X 3M cut size, waving yarn 6x6/inch, ALU eyelets inside dia=12mm each 1m, PP rope inside, 2 side coated, blue, 42G/M2</t>
  </si>
  <si>
    <t>TARPAULIN 6 X 12M cut size, waving yarn 6x6/inch, ALU eyelets inside dia=12mm each 1m, PP rope inside, 2 side coated, blue, 42G/M2</t>
  </si>
  <si>
    <t>TARPAULIN 10 X 15M cut size, waving yarn 6x6/inch, ALU eyelets inside dia=12mm each 1m, PP rope inside, 2 side coated, blue, 42G/M2</t>
  </si>
  <si>
    <t>TARPAULIN 3x4M cut size, waving yarn 14x12/inch, ALU eyelets inside dia=12mm each 1m, PP rope inside, 2 side coated, reinforced hooks, dark green/silver colour, 133GSM</t>
  </si>
  <si>
    <t>RUBBLE BAGS 10rolls 70x110CM 120L BLACK 60 MICRON  LDPE</t>
  </si>
  <si>
    <t>ADJUSTABLE WRENCH 250MM</t>
  </si>
  <si>
    <t>ADJUSTABLE WRENCH 300MM</t>
  </si>
  <si>
    <t>ADJUSTABLE WRENCH 200MM HEAVY DUTY, CrV, TPR HANDLE, SAND BLASTED</t>
  </si>
  <si>
    <t>TATRON KIT ROLL AS PER 312250 OR 312260</t>
  </si>
  <si>
    <t>STAR HEX KEY SET T-10-15-20-25-27-30-40-45-50 CV 170MM MATT FINISH</t>
  </si>
  <si>
    <t>HOSE CLAMP PLIER SET 9pcs</t>
  </si>
  <si>
    <t>ROTARY BARREL PUMP1257MM, DIAMETER 128MM,PIPE 25-32MM, THREE SECTION ALUMINIUM TUBE</t>
  </si>
  <si>
    <t>SDS DRILL/CHISEL SET 5-6X110, 8-10-12X160, 14X200</t>
  </si>
  <si>
    <t>MASONRY HOLE SAW WITHOUT ADAPTOR 80MM</t>
  </si>
  <si>
    <t>CHISEL SDS 14X250 FLAT</t>
  </si>
  <si>
    <t>DRILL CHUCK SET: SDS, AIR ADAPTER 1/2'' 2-13MM 4X</t>
  </si>
  <si>
    <t>WOOD DRILL SET 3-4-5-6-7-8-9-10MM 8X</t>
  </si>
  <si>
    <t>WOOD DRILL SET4,5,6,8,10 HEX SHANK 8X</t>
  </si>
  <si>
    <t>WOOD DRILL SET 8-10-12x300 3X</t>
  </si>
  <si>
    <t>FLATBIT WOOD DRILL SET 10-12-16-18-20-25MM 6X</t>
  </si>
  <si>
    <t>COUNTERSINK MILLING SET 8MM 12X</t>
  </si>
  <si>
    <t>PARALLEL BENCH VICE 75MM 4KG</t>
  </si>
  <si>
    <t>TABLE VICE W/HAND FIXING 50 MM</t>
  </si>
  <si>
    <t>MITRE BOX PLASTIC+TENON SAW 300/300MM</t>
  </si>
  <si>
    <t xml:space="preserve">PLATFORM HAND TRUCK,730×470×830/470mm , steel , 4""pu castor wheels;  max load:150kgs  </t>
  </si>
  <si>
    <t xml:space="preserve">PLATFORM HAND TRUCK,580×380×150mm , woodl , 4""rubber castor wheels, 2- with brakes;  max load:400kgs   </t>
  </si>
  <si>
    <t>FURNITURE GLIDER FELT SET 24PCS,SQUARE 28x28X3MM, FELT, NIGGER-BROWN</t>
  </si>
  <si>
    <t>FURNITURE GLIDER FELT SET 24PCS, ROUND 28x3MM, FELT, GRAY</t>
  </si>
  <si>
    <t>FURNITURE GLIDER FELT SET 44PCS, ROUND 22x3MM, FELT, GRAY</t>
  </si>
  <si>
    <t>FURNITURE GLIDER FELT SET 28PCS, WHITE</t>
  </si>
  <si>
    <t>POCKETKNIFE 90MM 11 FUNCTIONS</t>
  </si>
  <si>
    <t>WALLPAPER SNAP-OFF KNIFE 18MM</t>
  </si>
  <si>
    <t>WALLPAPER SNAP-OFF KNIFE 18MM, TPR HANDLE, METAL SLIDE RAIL</t>
  </si>
  <si>
    <t>TAP AND DIE SET 40X</t>
  </si>
  <si>
    <t>TAP 1/2'' LIGHT</t>
  </si>
  <si>
    <t>INSULATION TAPE BLACK 50MM X 10M</t>
  </si>
  <si>
    <t>PACKING TAPE 48MM X 50M TRANSPARENT</t>
  </si>
  <si>
    <t>DRAIN CLEANER PROFI 8MM X 5M</t>
  </si>
  <si>
    <t>BOLT CUTTER 18'' - 450MM HEAVY DUTY</t>
  </si>
  <si>
    <t>TINMANS SNIPS 250MM STRAIGHT</t>
  </si>
  <si>
    <t>TILE CUTTING MACHINE 400MM</t>
  </si>
  <si>
    <t>CAULKING GUN ALUMINIUM PROFESSIONAL 240MM</t>
  </si>
  <si>
    <t xml:space="preserve">FLAT PAINT BRUSH PROFI EX 2"X18MM MULTIKA - PT 033 </t>
  </si>
  <si>
    <t>**max. 1000sets! ** BRUSH SET ROUND NO. 2-4-6-8-10 5pcs</t>
  </si>
  <si>
    <t>BRUSH FOR WALL PAPERS 70X30MM</t>
  </si>
  <si>
    <t>BRUSH FOR WALL PAPERS 90X30MM</t>
  </si>
  <si>
    <t>BRUSH FOR WALL PAPERS 130X30MM</t>
  </si>
  <si>
    <t>BRUSH FOR WALL PAPERS 140X40MM</t>
  </si>
  <si>
    <t>MASKING TAPE 48MM X 25M * upto 60C, short time use, interior only</t>
  </si>
  <si>
    <t>RECTANGULAR MORTAL 40L</t>
  </si>
  <si>
    <t>STEEL POT ZINC PLATED 15L</t>
  </si>
  <si>
    <t>JOINERS SQUARE 250MM PROFI ALUMINIUM W/VIAL</t>
  </si>
  <si>
    <t>JOINERS SQUARE 300MM</t>
  </si>
  <si>
    <t>JOINERS SQUARE 400MM PROFI ALUMINIUM W/VIAL</t>
  </si>
  <si>
    <t xml:space="preserve">GLASS FIBRE TAPE 10Mx12.5MM  ABS BODY, METRIC SCALE  </t>
  </si>
  <si>
    <t>MEASURE TAPE 20M GLASS FIBRE</t>
  </si>
  <si>
    <t>DRILLMACHINE BITS  FOR GYPSUM BOARDS, PH2, 2PCS Magnetic</t>
  </si>
  <si>
    <t>DRILLMACHINE BITS S2 STEEL, COLOR RINGS, 18+4+ADAPTER, TRANSPARENT COVER BOX</t>
  </si>
  <si>
    <t>POWER HANDLE KEY SET HEX , 2-6MM, 6 X, CV STEEL</t>
  </si>
  <si>
    <t>HEAVY DUTY GRIP SCREWDRIVER SET 15PCS</t>
  </si>
  <si>
    <t>6PCS GO THROUGH RED+BLACK SCREWDRIVER SET CV, MAGNETIC, HEX-6mm, 2x260mm, 2x210mm, 2x175mm</t>
  </si>
  <si>
    <t>SCREWDRIVER PH2 38MM STUBBY, BLACK HANDLE</t>
  </si>
  <si>
    <t>WOOL POLISHING PAD, VELCRO, 125MM</t>
  </si>
  <si>
    <t>GRINDING SET 100PCS FOR MINI-GRINDER, WOODEN BOX</t>
  </si>
  <si>
    <t>ABRASIVE MOP DISC P80/115MM/3pcs</t>
  </si>
  <si>
    <t>ABRASIVE MOP DISC P80/125MM/3pcs</t>
  </si>
  <si>
    <t>BRUSHESSET:STEEL/BRASS/NYLON 40MM 3X</t>
  </si>
  <si>
    <t>PROTECTION GOGGLES PROFI CE EN166 YSA4</t>
  </si>
  <si>
    <t xml:space="preserve">1 gumka wokół głowy </t>
  </si>
  <si>
    <t>POPULAR FILTER MASKS DISPOSABLE 10X</t>
  </si>
  <si>
    <t>FINGER PULSE OXYMETER P-01</t>
  </si>
  <si>
    <t>SMART BLOOD OXYGEN CLIP</t>
  </si>
  <si>
    <t>CABLE BIKE LOCK, 5.5x1000MM, 2 BRONZE KEYS, BLACK</t>
  </si>
  <si>
    <t>SOLAR SENSOR LIGHT 146LED, 1200mAh Li-batt.</t>
  </si>
  <si>
    <t>TYRE LEVER 500MM</t>
  </si>
  <si>
    <t>MAGNETIC FLEX PICK-UP TOOL 580MM</t>
  </si>
  <si>
    <t>INSPECTION TOOL SET Mirror: 11,5cm - 46,5cm;  Magnetic: 13cm - 63,5cm; Clavs: 61 cm;</t>
  </si>
  <si>
    <t>FUNNELSET 50-75-100-125MM 4X</t>
  </si>
  <si>
    <t>BOOSTERCABLE CLAMPS 'JUMBO' 17CM 4PCS</t>
  </si>
  <si>
    <t>BOOSTERCABLE MAX 250A, 2M, 12CM CLAMPS, HANDLES RUBBER INSULATION</t>
  </si>
  <si>
    <t>CAR WINDOW SCRAPER W/RUBBER, COLOUR MIX</t>
  </si>
  <si>
    <t>WATER HOSE BRUSH</t>
  </si>
  <si>
    <t xml:space="preserve">WOODEN BRUSH 280MM </t>
  </si>
  <si>
    <t>TOW ROPE 3000KG 18MM X 3.6M WITH RED FLAG</t>
  </si>
  <si>
    <t>SUCTION LIFTER SINGLE 115MM, 30KG</t>
  </si>
  <si>
    <t>LUGGAGE STRAPS 6x800MM</t>
  </si>
  <si>
    <t>UNIV. STRAP WITH RATCHET 5M X 25MM 250KG</t>
  </si>
  <si>
    <t>2+3 LAYERS SHELF:180×100×30&amp;60CM;stee powder coated ,0.7mm, MDF board 6.0mm,s Load capacity:120+120k+220+220+220KG</t>
  </si>
  <si>
    <t xml:space="preserve">5 LAYERS SHELF, 900×400×1800mm ; steel: powder coated , 0.6mm  MDF board: 4mm , Load capacity:5x175KG </t>
  </si>
  <si>
    <t>***pls cut your price *** LAWN RAKE ADJUSTABLE 270-460MM</t>
  </si>
  <si>
    <t>BROOM 25CM COLOR MIX</t>
  </si>
  <si>
    <t>STREET BROOM 40CM</t>
  </si>
  <si>
    <t>STREET BROOM 50CM</t>
  </si>
  <si>
    <t>GARDEN WASTE BAG 76X67CM 272L</t>
  </si>
  <si>
    <t>FOLDABLE WHEELBARROW Open Size(LXWxH)  1120x720x730mm  Folded  Size(LXWxH): 1200x680x230mm Tray  Size(LXWxH): 720X400x320rnm  Material:steel&amp;rubber  8"x2 solid tyre  Surface finish:powder coated"</t>
  </si>
  <si>
    <t>FOLDABLE WHEELBARROW Open Size: 520x400x900mm  Material:steel&amp;rubber /steel tube diam. 22x1mm  With 6""x1 .5 solid tyre Surface finish:powder coated</t>
  </si>
  <si>
    <t xml:space="preserve">GARDEN TROLLEY Product SiZe(LxWxH):490x450x1030mm  Material of  Tray: Polyester Wheel Size:with 8""x1.75""plastic wheels  Carton Size:71x42x15cm N.W.:7.9kgs G.W.:8.7kgs  </t>
  </si>
  <si>
    <t>GARDEN MESH CART  ----HIGHER LINER -Product size: 11OOx530x835/1 OBOmm   Tray size:965x51Ox500mm "-Tyre: 1O""x3 .50-4 pneumatic wheel steel rim -Loading Capacity: 200Kg -Finish: powder coated</t>
  </si>
  <si>
    <t xml:space="preserve">GARDEN TROLLEY Product Size: 950/500x500x1 OBOmm Material:Steel&amp;Poly&amp;rubber Wheels: 1O""x3 .50-4 pneumatic wheels  Loading Capacity: 200Kgs" Watering Capacity: 75L 1pc/carton Carton Size:35x52x22cm N.W. 15.4Kgs G.W.:16.5Kgs  </t>
  </si>
  <si>
    <t xml:space="preserve">PLANT MOVER Product Size(LxWxH): 280x280x75mm  Material:Steel wire with 40mm castor  Surface finish:Powder coated  1pc/polybag ,6pcs/carton Carton Size:29x29x20cm N.W.:1.1Kgs G.W. 1.3Kgs    </t>
  </si>
  <si>
    <t xml:space="preserve">GREENHOUSE 690×490×950mm , TUBE:16mm; 2-LAYERS, COVER PVC   0.08mm </t>
  </si>
  <si>
    <t xml:space="preserve">GREENHOUSE 690×490×1250mm , 3-LAYERS, TUBE:16mm, COVER PVC   0.08mm </t>
  </si>
  <si>
    <t xml:space="preserve">GREENHOUSE 690×490×1550mm, tube: 16mm, 4-LAYERS, COVER PVC   0.08mm </t>
  </si>
  <si>
    <t>GREENHOUSE 600X600X1500mm , TUBE:19mm; COVER PVC   0.07mm</t>
  </si>
  <si>
    <t>GREENHOUSE :920×920×920mm tube:16MM, PVC cover 0.08mm</t>
  </si>
  <si>
    <t>GREENHOUSE :920×1820×920mm, tube:16MM,  PVC cover 0.08mm</t>
  </si>
  <si>
    <t>dł.segmentu:36cm, szerokość chroniona: 50-100mm</t>
  </si>
  <si>
    <t>dł.segmentu:34cm, szerokość chroniona:60-110mm</t>
  </si>
  <si>
    <t>dł.segmentu:33cm, szerokość chroniona:100-160mm</t>
  </si>
  <si>
    <t>PRUNNING SHEAR WITH ERGONOMIC GRIP 200MM</t>
  </si>
  <si>
    <t>TRIMMER LINE 15M, 2.4MM, ROUND WITH WIRE</t>
  </si>
  <si>
    <t>BATTERY PACK VOLTAGE:DC20V (2Ah LI-ION) CHARGE TIME:1 HOUR, FOR HOTECHE: G840208,G840703,G840102</t>
  </si>
  <si>
    <t>20V LITHIUM CORDLESS GRASS TRIMMER BATTERY PACK VOLTAGE:DC18V (1500MAH LI-ION) NO LOAD SPEED:8000MIN-1 CUTTING WIDTH:260MM CHARGER TIME:1HOUR</t>
  </si>
  <si>
    <t>COMPRESSED AIR SPRINKLER 5L</t>
  </si>
  <si>
    <t xml:space="preserve">4X: SDS AIR 1/2'' 2-13MM </t>
  </si>
  <si>
    <t>CE</t>
  </si>
  <si>
    <t>BLUETOOTH, CE</t>
  </si>
  <si>
    <t>95x69x49CM 2-LAYERS</t>
  </si>
  <si>
    <t>125x69x49CM 3-LAYERS</t>
  </si>
  <si>
    <t>155x69x49CM 4-LAYERS</t>
  </si>
  <si>
    <t>MINI 92x92x92cm</t>
  </si>
  <si>
    <t>DOUBLE MINI 92x182x92cm</t>
  </si>
  <si>
    <t xml:space="preserve">20V 2Ah LI-ION </t>
  </si>
  <si>
    <t>OR</t>
  </si>
  <si>
    <t>776002XM</t>
  </si>
  <si>
    <t>776003XM</t>
  </si>
  <si>
    <t>776004XM</t>
  </si>
  <si>
    <t>776012XM</t>
  </si>
  <si>
    <t>776013XM</t>
  </si>
  <si>
    <t>776014XM</t>
  </si>
  <si>
    <t>776100XM</t>
  </si>
  <si>
    <t>776200XM</t>
  </si>
  <si>
    <t>776300XM</t>
  </si>
  <si>
    <t>776400XM</t>
  </si>
  <si>
    <t xml:space="preserve">LF rozrachunki </t>
  </si>
  <si>
    <t xml:space="preserve">SK rozrachunki </t>
  </si>
  <si>
    <t>*MBI*26.10.2020* first delivery</t>
  </si>
  <si>
    <t>*MBA*09.11.2020* Please print new sticker from artwork</t>
  </si>
  <si>
    <t xml:space="preserve">500MMx30M 45um UV 60DAYS </t>
  </si>
  <si>
    <t xml:space="preserve">500MMx100M 45um UV 60DAYS </t>
  </si>
  <si>
    <t>paper sleeve</t>
  </si>
  <si>
    <t>20X 58x74CM 60L</t>
  </si>
  <si>
    <t>*WBA*20.11.2020*Dostosować plastik do ilości kluczy*</t>
  </si>
  <si>
    <t>19X 8-32MM GEARLOCK, SPLINE</t>
  </si>
  <si>
    <t>10X VAG XZN M5-M12, SPLINE</t>
  </si>
  <si>
    <t>3X 8mm 1.5 1.9 DCI RENAULT DACIA NISSAN</t>
  </si>
  <si>
    <t>7X DIESEL</t>
  </si>
  <si>
    <t>PFA*26.10*new</t>
  </si>
  <si>
    <t>HT rozrachunki</t>
  </si>
  <si>
    <t>PLATFORM HAND TROLLEY</t>
  </si>
  <si>
    <t>73x47x83/47 150KG</t>
  </si>
  <si>
    <t>OR OUTREACH</t>
  </si>
  <si>
    <t>carton box+ sicker</t>
  </si>
  <si>
    <t>PLATFORMA TRANSPORTOWA</t>
  </si>
  <si>
    <t>DOLLY PLATFORM</t>
  </si>
  <si>
    <t>58x38x15CM 400KG</t>
  </si>
  <si>
    <t>TRANSPORTROLLER</t>
  </si>
  <si>
    <t>TAŚMA PAKOWA 48MM X 50M</t>
  </si>
  <si>
    <t>PACKING TAPE</t>
  </si>
  <si>
    <t>48MM x 50M TRANSPARENT</t>
  </si>
  <si>
    <t>KLEBEBAND</t>
  </si>
  <si>
    <t>PÓŁPRZYŁBICA</t>
  </si>
  <si>
    <t>MINI FACE SHIELD</t>
  </si>
  <si>
    <t>NOSE CLIP, COLOR MIX</t>
  </si>
  <si>
    <t xml:space="preserve">CHIN REST, COLOR MIX </t>
  </si>
  <si>
    <t>PULSOKSYMETR</t>
  </si>
  <si>
    <t>PULSE OXYMETER</t>
  </si>
  <si>
    <t>PULSOXIMETER</t>
  </si>
  <si>
    <t>COLOR BOX</t>
  </si>
  <si>
    <t>AWY*9.11.20*nowość</t>
  </si>
  <si>
    <t>5.5x1000MM 2KEYS BLACK</t>
  </si>
  <si>
    <t>N</t>
  </si>
  <si>
    <t xml:space="preserve">DW rozrachunki </t>
  </si>
  <si>
    <t>NITONAKRĘTKI</t>
  </si>
  <si>
    <t>150X M3,4,5, 6,8,10 STEEL</t>
  </si>
  <si>
    <t>REGAŁ METALOWY</t>
  </si>
  <si>
    <t>STORAGE SHELVES</t>
  </si>
  <si>
    <t>2+3 LAYERS SHELVES 180x100 x300&amp;600CM</t>
  </si>
  <si>
    <t>LAGERREGALE</t>
  </si>
  <si>
    <t>5 SHELVES 90x40x180CM</t>
  </si>
  <si>
    <t>TORBA OGRODOWA</t>
  </si>
  <si>
    <t>GARDEN BAG</t>
  </si>
  <si>
    <t xml:space="preserve">76X67CM 272L </t>
  </si>
  <si>
    <t>GARTENTASCHE</t>
  </si>
  <si>
    <t>MBI*2020.10.13*new</t>
  </si>
  <si>
    <t>TACZKA OGRODOWA</t>
  </si>
  <si>
    <t xml:space="preserve">GARDEN WHEELBARROW </t>
  </si>
  <si>
    <t>FOLDABLE</t>
  </si>
  <si>
    <t xml:space="preserve">SCHUBKARRE </t>
  </si>
  <si>
    <t>carton box + photo sticker</t>
  </si>
  <si>
    <t>MBI*2020.10.13* new item</t>
  </si>
  <si>
    <t>WÓZEK OGRODOWY</t>
  </si>
  <si>
    <t>52X40X90CM</t>
  </si>
  <si>
    <t>GARTENWAGEN</t>
  </si>
  <si>
    <t>49X45X103CM</t>
  </si>
  <si>
    <t xml:space="preserve">110x53x84 200KG </t>
  </si>
  <si>
    <t>95/50X50X108CM 200KG 75L</t>
  </si>
  <si>
    <t>WÓZEK DO DONIC</t>
  </si>
  <si>
    <t>FLOWER POT TROLLEY</t>
  </si>
  <si>
    <t xml:space="preserve">28X28X8CM </t>
  </si>
  <si>
    <t>BLUMENTOPFWAGEN</t>
  </si>
  <si>
    <t>SZKLARNIA BALKONOWA</t>
  </si>
  <si>
    <t>BALCONY GREENHOUSE</t>
  </si>
  <si>
    <t>BALKONGEWACHSHAUS</t>
  </si>
  <si>
    <t>CORNER 60x60x150CM 4-LAYERS</t>
  </si>
  <si>
    <t>SZKLARNIA OGRODOWA</t>
  </si>
  <si>
    <t>GARTENGEWACHSHAUS</t>
  </si>
  <si>
    <t>OSTRZAŁKA DO OSTRZA KOSIARKI</t>
  </si>
  <si>
    <t>LAWNMOWER BLADE SHARPENER</t>
  </si>
  <si>
    <t>50MM ROTARY</t>
  </si>
  <si>
    <t>RASENMAEHER SCHAERFER</t>
  </si>
  <si>
    <t>AKUMULATOR</t>
  </si>
  <si>
    <t>CHARGEABLE BATTERY PACK</t>
  </si>
  <si>
    <t>AUFLADBARER AKKU</t>
  </si>
  <si>
    <t>OR-201113</t>
  </si>
  <si>
    <t>MA-201113</t>
  </si>
  <si>
    <t>Po-201113</t>
  </si>
  <si>
    <t>DW-201113</t>
  </si>
  <si>
    <t>KU-201113</t>
  </si>
  <si>
    <t>To-201113</t>
  </si>
  <si>
    <t>!N-201113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</si>
</sst>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mm/yy"/>
  </numFmts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5" tint="-0.249977111117893"/>
      <name val="Calibri"/>
      <family val="2"/>
      <charset val="238"/>
      <scheme val="minor"/>
    </font>
    <font>
      <sz val="11"/>
      <color theme="5" tint="-0.24997711111789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1">
          <color theme="0" tint="-0.1489913632618183"/>
        </stop>
      </gradientFill>
    </fill>
    <fill>
      <patternFill patternType="solid">
        <fgColor rgb="FFFFFF99"/>
        <bgColor auto="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2" fillId="0" borderId="0" xfId="0" applyFont="1" applyFill="1"/>
    <xf numFmtId="14" fontId="0" fillId="2" borderId="0" xfId="0" applyNumberFormat="1" applyFill="1"/>
    <xf numFmtId="0" fontId="0" fillId="2" borderId="0" xfId="0" applyFont="1" applyFill="1"/>
    <xf numFmtId="0" fontId="0" fillId="2" borderId="0" xfId="0" applyFill="1"/>
    <xf numFmtId="0" fontId="0" fillId="0" borderId="0" xfId="0" applyFont="1"/>
    <xf numFmtId="0" fontId="0" fillId="0" borderId="0" xfId="0" applyFill="1"/>
    <xf numFmtId="14" fontId="0" fillId="0" borderId="0" xfId="0" applyNumberFormat="1"/>
    <xf numFmtId="0" fontId="5" fillId="3" borderId="0" xfId="0" applyFont="1" applyFill="1"/>
    <xf numFmtId="0" fontId="0" fillId="3" borderId="0" xfId="0" applyFill="1"/>
    <xf numFmtId="164" fontId="5" fillId="3" borderId="0" xfId="0" applyNumberFormat="1" applyFont="1" applyFill="1" applyAlignment="1">
      <alignment horizontal="right"/>
    </xf>
    <xf numFmtId="164" fontId="0" fillId="3" borderId="0" xfId="0" applyNumberFormat="1" applyFill="1" applyAlignment="1">
      <alignment horizontal="right"/>
    </xf>
    <xf numFmtId="165" fontId="5" fillId="3" borderId="0" xfId="0" applyNumberFormat="1" applyFont="1" applyFill="1" applyAlignment="1">
      <alignment horizontal="right"/>
    </xf>
    <xf numFmtId="165" fontId="0" fillId="3" borderId="0" xfId="0" applyNumberFormat="1" applyFill="1" applyAlignment="1">
      <alignment horizontal="right"/>
    </xf>
    <xf numFmtId="1" fontId="5" fillId="3" borderId="0" xfId="0" applyNumberFormat="1" applyFont="1" applyFill="1" applyAlignment="1">
      <alignment horizontal="right"/>
    </xf>
    <xf numFmtId="1" fontId="0" fillId="3" borderId="0" xfId="0" applyNumberFormat="1" applyFill="1" applyAlignment="1">
      <alignment horizontal="right"/>
    </xf>
    <xf numFmtId="0" fontId="5" fillId="4" borderId="0" xfId="0" applyFont="1" applyFill="1"/>
    <xf numFmtId="0" fontId="0" fillId="4" borderId="0" xfId="0" applyFill="1"/>
    <xf numFmtId="165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FFFF99"/>
      <color rgb="FFD5E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180975</xdr:colOff>
          <xdr:row>3</xdr:row>
          <xdr:rowOff>66675</xdr:rowOff>
        </xdr:from>
        <xdr:to>
          <xdr:col>28</xdr:col>
          <xdr:colOff>180975</xdr:colOff>
          <xdr:row>5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CREATE ORDER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752475</xdr:colOff>
          <xdr:row>1</xdr:row>
          <xdr:rowOff>57150</xdr:rowOff>
        </xdr:from>
        <xdr:to>
          <xdr:col>26</xdr:col>
          <xdr:colOff>19050</xdr:colOff>
          <xdr:row>3</xdr:row>
          <xdr:rowOff>85725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</a:rPr>
                <a:t>EXPORT TO XLS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180975</xdr:colOff>
          <xdr:row>1</xdr:row>
          <xdr:rowOff>66675</xdr:rowOff>
        </xdr:from>
        <xdr:to>
          <xdr:col>28</xdr:col>
          <xdr:colOff>180975</xdr:colOff>
          <xdr:row>3</xdr:row>
          <xdr:rowOff>38100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47625</xdr:colOff>
          <xdr:row>5</xdr:row>
          <xdr:rowOff>142875</xdr:rowOff>
        </xdr:from>
        <xdr:to>
          <xdr:col>26</xdr:col>
          <xdr:colOff>76200</xdr:colOff>
          <xdr:row>7</xdr:row>
          <xdr:rowOff>171450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</a:rPr>
                <a:t>ITEM TO XLS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0</xdr:rowOff>
        </xdr:from>
        <xdr:to>
          <xdr:col>1</xdr:col>
          <xdr:colOff>1228725</xdr:colOff>
          <xdr:row>0</xdr:row>
          <xdr:rowOff>180975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590550</xdr:colOff>
          <xdr:row>0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0</xdr:row>
          <xdr:rowOff>0</xdr:rowOff>
        </xdr:from>
        <xdr:to>
          <xdr:col>2</xdr:col>
          <xdr:colOff>609600</xdr:colOff>
          <xdr:row>0</xdr:row>
          <xdr:rowOff>180975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0</xdr:row>
          <xdr:rowOff>0</xdr:rowOff>
        </xdr:from>
        <xdr:to>
          <xdr:col>2</xdr:col>
          <xdr:colOff>600075</xdr:colOff>
          <xdr:row>0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0</xdr:row>
          <xdr:rowOff>0</xdr:rowOff>
        </xdr:from>
        <xdr:to>
          <xdr:col>2</xdr:col>
          <xdr:colOff>600075</xdr:colOff>
          <xdr:row>0</xdr:row>
          <xdr:rowOff>180975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7"/>
  <dimension ref="A1:Y526"/>
  <sheetViews>
    <sheetView tabSelected="1" zoomScale="70" zoomScaleNormal="70" workbookViewId="0">
      <selection activeCell="V3" sqref="V3"/>
    </sheetView>
  </sheetViews>
  <sheetFormatPr defaultColWidth="11.85546875" defaultRowHeight="15" x14ac:dyDescent="0.25"/>
  <cols>
    <col min="1" max="1" width="9.28515625" style="11" customWidth="1"/>
    <col min="2" max="2" width="8.85546875" style="11" customWidth="1"/>
    <col min="3" max="3" width="5.7109375" style="11" customWidth="1"/>
    <col min="4" max="4" width="32.28515625" style="11" customWidth="1"/>
    <col min="5" max="5" width="5.85546875" style="11" customWidth="1"/>
    <col min="6" max="6" width="12.28515625" style="11" customWidth="1"/>
    <col min="7" max="7" width="6.42578125" style="11" customWidth="1"/>
    <col min="8" max="8" width="6.85546875" style="11" customWidth="1"/>
    <col min="9" max="9" width="6.5703125" style="11" customWidth="1"/>
    <col min="10" max="12" width="7.140625" style="11" customWidth="1"/>
    <col min="13" max="13" width="13.140625" style="11" customWidth="1"/>
    <col min="14" max="14" width="10" style="11" customWidth="1"/>
    <col min="15" max="15" width="6.140625" style="11" customWidth="1"/>
    <col min="16" max="16" width="7.28515625" style="11" customWidth="1"/>
    <col min="17" max="17" width="9.5703125" style="11" customWidth="1"/>
    <col min="18" max="18" width="10" style="17" customWidth="1"/>
    <col min="19" max="19" width="7.85546875" style="17" customWidth="1"/>
    <col min="20" max="20" width="9.5703125" style="13" customWidth="1"/>
    <col min="21" max="21" width="6.42578125" style="13" customWidth="1"/>
    <col min="22" max="22" width="8.42578125" style="15" customWidth="1"/>
    <col min="23" max="23" width="11.28515625" style="19" customWidth="1"/>
    <col min="24" max="24" width="11.42578125" style="19" customWidth="1"/>
    <col min="25" max="25" width="11.42578125" style="11" customWidth="1"/>
    <col min="26" max="16384" width="11.85546875" style="11"/>
  </cols>
  <sheetData>
    <row r="1" spans="1:25" s="10" customFormat="1" x14ac:dyDescent="0.25">
      <c r="A1" s="10" t="s">
        <v>3573</v>
      </c>
      <c r="B1" s="10" t="s">
        <v>44</v>
      </c>
      <c r="C1" s="10" t="s">
        <v>3574</v>
      </c>
      <c r="D1" s="10" t="s">
        <v>3542</v>
      </c>
      <c r="E1" s="10" t="s">
        <v>3545</v>
      </c>
      <c r="F1" s="10" t="s">
        <v>3546</v>
      </c>
      <c r="G1" s="10" t="s">
        <v>3576</v>
      </c>
      <c r="H1" s="10" t="s">
        <v>3543</v>
      </c>
      <c r="I1" s="10" t="s">
        <v>3544</v>
      </c>
      <c r="J1" s="10" t="s">
        <v>280</v>
      </c>
      <c r="K1" s="10" t="s">
        <v>3540</v>
      </c>
      <c r="L1" s="10" t="s">
        <v>3541</v>
      </c>
      <c r="M1" s="10" t="s">
        <v>282</v>
      </c>
      <c r="N1" s="10" t="s">
        <v>281</v>
      </c>
      <c r="O1" s="10" t="s">
        <v>3575</v>
      </c>
      <c r="P1" s="10" t="s">
        <v>3547</v>
      </c>
      <c r="Q1" s="10" t="s">
        <v>3548</v>
      </c>
      <c r="R1" s="16" t="s">
        <v>3580</v>
      </c>
      <c r="S1" s="16" t="s">
        <v>3581</v>
      </c>
      <c r="T1" s="12" t="s">
        <v>3577</v>
      </c>
      <c r="U1" s="12" t="s">
        <v>3579</v>
      </c>
      <c r="V1" s="14" t="s">
        <v>3578</v>
      </c>
      <c r="W1" s="18" t="s">
        <v>3549</v>
      </c>
      <c r="X1" s="18" t="s">
        <v>3550</v>
      </c>
      <c r="Y1" s="10" t="s">
        <v>3551</v>
      </c>
    </row>
    <row r="2" spans="1:25" x14ac:dyDescent="0.25">
      <c r="A2" s="11" t="s">
        <v>3552</v>
      </c>
      <c r="B2" s="11">
        <v>101010</v>
      </c>
      <c r="C2" s="11" t="str">
        <f>VLOOKUP(B2,Towary_i_uslugi!$A$4:$B$1500,2)</f>
        <v>(brak)</v>
      </c>
      <c r="D2" s="11" t="s">
        <v>2396</v>
      </c>
      <c r="E2" s="11">
        <f>VLOOKUP(B2,Towary_i_uslugi!$A$3:$T$1500,3,FALSE)</f>
        <v>96</v>
      </c>
      <c r="F2" s="11" t="str">
        <f>VLOOKUP(B2,Towary_i_uslugi!$A$3:$T$1500,20,FALSE)</f>
        <v>sticker-bulk packing</v>
      </c>
      <c r="G2" s="11">
        <f>VLOOKUP(B2,MBI_Dostawcy_towarów!$A$4:$C$1399,3,FALSE)</f>
        <v>0.152</v>
      </c>
      <c r="H2" s="11">
        <v>49</v>
      </c>
      <c r="I2" s="11">
        <v>48</v>
      </c>
      <c r="J2" s="11">
        <v>1400</v>
      </c>
      <c r="K2" s="11">
        <f>_xlfn.IFNA(VLOOKUP(B2,Towary_na_zamówieniach!$A$4:$C$1500,2,FALSE),0)</f>
        <v>2592</v>
      </c>
      <c r="L2" s="11">
        <f>_xlfn.IFNA(VLOOKUP(B2,Towary_na_zamówieniach!$A$4:$C$1500,3,FALSE),0)</f>
        <v>1529.28</v>
      </c>
      <c r="M2" s="11">
        <f>_xlfn.IFNA(VLOOKUP(B2,MBI_Dostawcy_towarów!$A$4:$C$2000,2,FALSE),"N/A")</f>
        <v>90</v>
      </c>
      <c r="N2" s="11" t="str">
        <f>IF(VLOOKUP(B2,Towary_i_uslugi!$A$3:$T$1500,17,FALSE)=0,"!NO SUPPLIER",VLOOKUP(B2,Towary_i_uslugi!$A$3:$T$1500,17))</f>
        <v>XM</v>
      </c>
      <c r="O2" s="11" t="str">
        <f>IF(VLOOKUP(B2,Towary_i_uslugi!$A$4:$U$1200,21,FALSE)&gt;0,VLOOKUP(B2,Towary_i_uslugi!$A$4:$U$1200,21,FALSE),"")</f>
        <v/>
      </c>
      <c r="P2" s="11">
        <f>IF(K2=0,ROUNDUP(J2/E2,0),IF((K2+H2-I2)/J2&lt;1,ROUNDUP(J2/E2,0),0))</f>
        <v>0</v>
      </c>
      <c r="Q2" s="11">
        <f>P2*E2</f>
        <v>0</v>
      </c>
      <c r="R2" s="17">
        <f>Q2*T2</f>
        <v>0</v>
      </c>
      <c r="S2" s="17">
        <f>VLOOKUP($B2,   MBI_LastBuy!$A$3:E$13199,3,FALSE)</f>
        <v>1440</v>
      </c>
      <c r="T2" s="13">
        <f>VLOOKUP($B2,   MBI_LastBuy!$A$3:E$13199,2,FALSE)</f>
        <v>0.59</v>
      </c>
      <c r="U2" s="13" t="str">
        <f>VLOOKUP($B2,   MBI_LastBuy!$A$3:E$13199,5,FALSE)</f>
        <v>USD</v>
      </c>
      <c r="V2" s="15">
        <f>VLOOKUP($B2,   MBI_LastBuy!$A$3:E$13199,4,FALSE)</f>
        <v>44083</v>
      </c>
    </row>
    <row r="3" spans="1:25" x14ac:dyDescent="0.25">
      <c r="A3" s="11" t="s">
        <v>3554</v>
      </c>
      <c r="B3" s="11">
        <v>101012</v>
      </c>
      <c r="C3" s="11" t="str">
        <f>VLOOKUP(B3,Towary_i_uslugi!$A$4:$B$1500,2)</f>
        <v>nowość!!! więcej info dla klienta</v>
      </c>
      <c r="D3" s="11" t="s">
        <v>3582</v>
      </c>
      <c r="E3" s="11">
        <f>VLOOKUP(B3,Towary_i_uslugi!$A$3:$T$1500,3,FALSE)</f>
        <v>100</v>
      </c>
      <c r="F3" s="11" t="str">
        <f>VLOOKUP(B3,Towary_i_uslugi!$A$3:$T$1500,20,FALSE)</f>
        <v>sticker-bulk packing</v>
      </c>
      <c r="G3" s="11">
        <f>VLOOKUP(B3,MBI_Dostawcy_towarów!$A$4:$C$1399,3,FALSE)</f>
        <v>0.153</v>
      </c>
      <c r="H3" s="11">
        <v>2</v>
      </c>
      <c r="I3" s="11">
        <v>11</v>
      </c>
      <c r="J3" s="11">
        <v>256</v>
      </c>
      <c r="K3" s="11">
        <f>_xlfn.IFNA(VLOOKUP(B3,Towary_na_zamówieniach!$A$4:$C$1500,2,FALSE),0)</f>
        <v>0</v>
      </c>
      <c r="L3" s="11">
        <f>_xlfn.IFNA(VLOOKUP(B3,Towary_na_zamówieniach!$A$4:$C$1500,3,FALSE),0)</f>
        <v>0</v>
      </c>
      <c r="M3" s="11">
        <f>_xlfn.IFNA(VLOOKUP(B3,MBI_Dostawcy_towarów!$A$4:$C$2000,2,FALSE),"N/A")</f>
        <v>90</v>
      </c>
      <c r="N3" s="11" t="str">
        <f>IF(VLOOKUP(B3,Towary_i_uslugi!$A$3:$T$1500,17,FALSE)=0,"!NO SUPPLIER",VLOOKUP(B3,Towary_i_uslugi!$A$3:$T$1500,17))</f>
        <v>BW</v>
      </c>
      <c r="O3" s="11" t="str">
        <f>IF(VLOOKUP(B3,Towary_i_uslugi!$A$4:$U$1200,21,FALSE)&gt;0,VLOOKUP(B3,Towary_i_uslugi!$A$4:$U$1200,21,FALSE),"")</f>
        <v/>
      </c>
      <c r="P3" s="11">
        <f t="shared" ref="P3:P66" si="0">IF(K3=0,ROUNDUP(J3/E3,0),IF((K3+H3-I3)/J3&lt;1,ROUNDUP(J3/E3,0),0))</f>
        <v>3</v>
      </c>
      <c r="Q3" s="11">
        <f t="shared" ref="Q3:Q66" si="1">P3*E3</f>
        <v>300</v>
      </c>
      <c r="R3" s="17">
        <f t="shared" ref="R3:R66" si="2">Q3*T3</f>
        <v>231</v>
      </c>
      <c r="S3" s="17">
        <f>VLOOKUP($B3,   MBI_LastBuy!$A$3:E$13199,3,FALSE)</f>
        <v>500</v>
      </c>
      <c r="T3" s="13">
        <f>VLOOKUP($B3,   MBI_LastBuy!$A$3:E$13199,2,FALSE)</f>
        <v>0.77</v>
      </c>
      <c r="U3" s="13" t="str">
        <f>VLOOKUP($B3,   MBI_LastBuy!$A$3:E$13199,5,FALSE)</f>
        <v>USD</v>
      </c>
      <c r="V3" s="15">
        <f>VLOOKUP($B3,   MBI_LastBuy!$A$3:E$13199,4,FALSE)</f>
        <v>44005</v>
      </c>
    </row>
    <row r="4" spans="1:25" x14ac:dyDescent="0.25">
      <c r="A4" s="11" t="s">
        <v>3552</v>
      </c>
      <c r="B4" s="11">
        <v>102010</v>
      </c>
      <c r="C4" s="11" t="str">
        <f>VLOOKUP(B4,Towary_i_uslugi!$A$4:$B$1500,2)</f>
        <v>(brak)</v>
      </c>
      <c r="D4" s="11" t="s">
        <v>2760</v>
      </c>
      <c r="E4" s="11">
        <f>VLOOKUP(B4,Towary_i_uslugi!$A$3:$T$1500,3,FALSE)</f>
        <v>72</v>
      </c>
      <c r="F4" s="11" t="str">
        <f>VLOOKUP(B4,Towary_i_uslugi!$A$3:$T$1500,20,FALSE)</f>
        <v>sticker-bulk packing</v>
      </c>
      <c r="G4" s="11">
        <f>VLOOKUP(B4,MBI_Dostawcy_towarów!$A$4:$C$1399,3,FALSE)</f>
        <v>0.28000000000000003</v>
      </c>
      <c r="H4" s="11">
        <v>204</v>
      </c>
      <c r="I4" s="11">
        <v>73</v>
      </c>
      <c r="J4" s="11">
        <v>490</v>
      </c>
      <c r="K4" s="11">
        <f>_xlfn.IFNA(VLOOKUP(B4,Towary_na_zamówieniach!$A$4:$C$1500,2,FALSE),0)</f>
        <v>1008</v>
      </c>
      <c r="L4" s="11">
        <f>_xlfn.IFNA(VLOOKUP(B4,Towary_na_zamówieniach!$A$4:$C$1500,3,FALSE),0)</f>
        <v>771.12</v>
      </c>
      <c r="M4" s="11">
        <f>_xlfn.IFNA(VLOOKUP(B4,MBI_Dostawcy_towarów!$A$4:$C$2000,2,FALSE),"N/A")</f>
        <v>90</v>
      </c>
      <c r="N4" s="11" t="str">
        <f>IF(VLOOKUP(B4,Towary_i_uslugi!$A$3:$T$1500,17,FALSE)=0,"!NO SUPPLIER",VLOOKUP(B4,Towary_i_uslugi!$A$3:$T$1500,17))</f>
        <v>XM</v>
      </c>
      <c r="O4" s="11" t="str">
        <f>IF(VLOOKUP(B4,Towary_i_uslugi!$A$4:$U$1200,21,FALSE)&gt;0,VLOOKUP(B4,Towary_i_uslugi!$A$4:$U$1200,21,FALSE),"")</f>
        <v/>
      </c>
      <c r="P4" s="11">
        <f t="shared" si="0"/>
        <v>0</v>
      </c>
      <c r="Q4" s="11">
        <f t="shared" si="1"/>
        <v>0</v>
      </c>
      <c r="R4" s="17">
        <f t="shared" si="2"/>
        <v>0</v>
      </c>
      <c r="S4" s="17">
        <f>VLOOKUP($B4,   MBI_LastBuy!$A$3:E$13199,3,FALSE)</f>
        <v>1008</v>
      </c>
      <c r="T4" s="13">
        <f>VLOOKUP($B4,   MBI_LastBuy!$A$3:E$13199,2,FALSE)</f>
        <v>0.76500000000000001</v>
      </c>
      <c r="U4" s="13" t="str">
        <f>VLOOKUP($B4,   MBI_LastBuy!$A$3:E$13199,5,FALSE)</f>
        <v>USD</v>
      </c>
      <c r="V4" s="15">
        <f>VLOOKUP($B4,   MBI_LastBuy!$A$3:E$13199,4,FALSE)</f>
        <v>44021</v>
      </c>
    </row>
    <row r="5" spans="1:25" x14ac:dyDescent="0.25">
      <c r="A5" s="11" t="s">
        <v>3552</v>
      </c>
      <c r="B5" s="11">
        <v>103010</v>
      </c>
      <c r="C5" s="11" t="str">
        <f>VLOOKUP(B5,Towary_i_uslugi!$A$4:$B$1500,2)</f>
        <v>(brak)</v>
      </c>
      <c r="D5" s="11" t="s">
        <v>3583</v>
      </c>
      <c r="E5" s="11">
        <f>VLOOKUP(B5,Towary_i_uslugi!$A$3:$T$1500,3,FALSE)</f>
        <v>48</v>
      </c>
      <c r="F5" s="11" t="str">
        <f>VLOOKUP(B5,Towary_i_uslugi!$A$3:$T$1500,20,FALSE)</f>
        <v>sticker - bulk packing</v>
      </c>
      <c r="G5" s="11">
        <f>VLOOKUP(B5,MBI_Dostawcy_towarów!$A$4:$C$1399,3,FALSE)</f>
        <v>0.42</v>
      </c>
      <c r="H5" s="11">
        <v>718</v>
      </c>
      <c r="I5" s="11">
        <v>49</v>
      </c>
      <c r="J5" s="11">
        <v>750</v>
      </c>
      <c r="K5" s="11">
        <f>_xlfn.IFNA(VLOOKUP(B5,Towary_na_zamówieniach!$A$4:$C$1500,2,FALSE),0)</f>
        <v>768</v>
      </c>
      <c r="L5" s="11">
        <f>_xlfn.IFNA(VLOOKUP(B5,Towary_na_zamówieniach!$A$4:$C$1500,3,FALSE),0)</f>
        <v>698.88</v>
      </c>
      <c r="M5" s="11">
        <f>_xlfn.IFNA(VLOOKUP(B5,MBI_Dostawcy_towarów!$A$4:$C$2000,2,FALSE),"N/A")</f>
        <v>90</v>
      </c>
      <c r="N5" s="11" t="str">
        <f>IF(VLOOKUP(B5,Towary_i_uslugi!$A$3:$T$1500,17,FALSE)=0,"!NO SUPPLIER",VLOOKUP(B5,Towary_i_uslugi!$A$3:$T$1500,17))</f>
        <v>XM</v>
      </c>
      <c r="O5" s="11" t="str">
        <f>IF(VLOOKUP(B5,Towary_i_uslugi!$A$4:$U$1200,21,FALSE)&gt;0,VLOOKUP(B5,Towary_i_uslugi!$A$4:$U$1200,21,FALSE),"")</f>
        <v/>
      </c>
      <c r="P5" s="11">
        <f t="shared" si="0"/>
        <v>0</v>
      </c>
      <c r="Q5" s="11">
        <f t="shared" si="1"/>
        <v>0</v>
      </c>
      <c r="R5" s="17">
        <f t="shared" si="2"/>
        <v>0</v>
      </c>
      <c r="S5" s="17">
        <f>VLOOKUP($B5,   MBI_LastBuy!$A$3:E$13199,3,FALSE)</f>
        <v>768</v>
      </c>
      <c r="T5" s="13">
        <f>VLOOKUP($B5,   MBI_LastBuy!$A$3:E$13199,2,FALSE)</f>
        <v>0.91</v>
      </c>
      <c r="U5" s="13" t="str">
        <f>VLOOKUP($B5,   MBI_LastBuy!$A$3:E$13199,5,FALSE)</f>
        <v>USD</v>
      </c>
      <c r="V5" s="15">
        <f>VLOOKUP($B5,   MBI_LastBuy!$A$3:E$13199,4,FALSE)</f>
        <v>44133</v>
      </c>
    </row>
    <row r="6" spans="1:25" x14ac:dyDescent="0.25">
      <c r="A6" s="11" t="s">
        <v>3552</v>
      </c>
      <c r="B6" s="11">
        <v>104010</v>
      </c>
      <c r="C6" s="11" t="str">
        <f>VLOOKUP(B6,Towary_i_uslugi!$A$4:$B$1500,2)</f>
        <v>(brak)</v>
      </c>
      <c r="D6" s="11" t="s">
        <v>2761</v>
      </c>
      <c r="E6" s="11">
        <f>VLOOKUP(B6,Towary_i_uslugi!$A$3:$T$1500,3,FALSE)</f>
        <v>48</v>
      </c>
      <c r="F6" s="11" t="str">
        <f>VLOOKUP(B6,Towary_i_uslugi!$A$3:$T$1500,20,FALSE)</f>
        <v>sticker - bulk packing</v>
      </c>
      <c r="G6" s="11">
        <f>VLOOKUP(B6,MBI_Dostawcy_towarów!$A$4:$C$1399,3,FALSE)</f>
        <v>0.52</v>
      </c>
      <c r="H6" s="11">
        <v>192</v>
      </c>
      <c r="I6" s="11">
        <v>50</v>
      </c>
      <c r="J6" s="11">
        <v>450</v>
      </c>
      <c r="K6" s="11">
        <f>_xlfn.IFNA(VLOOKUP(B6,Towary_na_zamówieniach!$A$4:$C$1500,2,FALSE),0)</f>
        <v>672</v>
      </c>
      <c r="L6" s="11">
        <f>_xlfn.IFNA(VLOOKUP(B6,Towary_na_zamówieniach!$A$4:$C$1500,3,FALSE),0)</f>
        <v>712.32</v>
      </c>
      <c r="M6" s="11">
        <f>_xlfn.IFNA(VLOOKUP(B6,MBI_Dostawcy_towarów!$A$4:$C$2000,2,FALSE),"N/A")</f>
        <v>90</v>
      </c>
      <c r="N6" s="11" t="str">
        <f>IF(VLOOKUP(B6,Towary_i_uslugi!$A$3:$T$1500,17,FALSE)=0,"!NO SUPPLIER",VLOOKUP(B6,Towary_i_uslugi!$A$3:$T$1500,17))</f>
        <v>XM</v>
      </c>
      <c r="O6" s="11" t="str">
        <f>IF(VLOOKUP(B6,Towary_i_uslugi!$A$4:$U$1200,21,FALSE)&gt;0,VLOOKUP(B6,Towary_i_uslugi!$A$4:$U$1200,21,FALSE),"")</f>
        <v/>
      </c>
      <c r="P6" s="11">
        <f t="shared" si="0"/>
        <v>0</v>
      </c>
      <c r="Q6" s="11">
        <f t="shared" si="1"/>
        <v>0</v>
      </c>
      <c r="R6" s="17">
        <f t="shared" si="2"/>
        <v>0</v>
      </c>
      <c r="S6" s="17">
        <f>VLOOKUP($B6,   MBI_LastBuy!$A$3:E$13199,3,FALSE)</f>
        <v>672</v>
      </c>
      <c r="T6" s="13">
        <f>VLOOKUP($B6,   MBI_LastBuy!$A$3:E$13199,2,FALSE)</f>
        <v>1.06</v>
      </c>
      <c r="U6" s="13" t="str">
        <f>VLOOKUP($B6,   MBI_LastBuy!$A$3:E$13199,5,FALSE)</f>
        <v>USD</v>
      </c>
      <c r="V6" s="15">
        <f>VLOOKUP($B6,   MBI_LastBuy!$A$3:E$13199,4,FALSE)</f>
        <v>43955</v>
      </c>
    </row>
    <row r="7" spans="1:25" x14ac:dyDescent="0.25">
      <c r="A7" s="11" t="s">
        <v>3552</v>
      </c>
      <c r="B7" s="11">
        <v>105010</v>
      </c>
      <c r="C7" s="11" t="str">
        <f>VLOOKUP(B7,Towary_i_uslugi!$A$4:$B$1500,2)</f>
        <v>(brak)</v>
      </c>
      <c r="D7" s="11" t="s">
        <v>11</v>
      </c>
      <c r="E7" s="11">
        <f>VLOOKUP(B7,Towary_i_uslugi!$A$3:$T$1500,3,FALSE)</f>
        <v>36</v>
      </c>
      <c r="F7" s="11" t="str">
        <f>VLOOKUP(B7,Towary_i_uslugi!$A$3:$T$1500,20,FALSE)</f>
        <v>sticker - bulk packing</v>
      </c>
      <c r="G7" s="11">
        <f>VLOOKUP(B7,MBI_Dostawcy_towarów!$A$4:$C$1399,3,FALSE)</f>
        <v>0.61299999999999999</v>
      </c>
      <c r="H7" s="11">
        <v>1</v>
      </c>
      <c r="I7" s="11">
        <v>0</v>
      </c>
      <c r="J7" s="11">
        <v>600</v>
      </c>
      <c r="K7" s="11">
        <f>_xlfn.IFNA(VLOOKUP(B7,Towary_na_zamówieniach!$A$4:$C$1500,2,FALSE),0)</f>
        <v>1368</v>
      </c>
      <c r="L7" s="11">
        <f>_xlfn.IFNA(VLOOKUP(B7,Towary_na_zamówieniach!$A$4:$C$1500,3,FALSE),0)</f>
        <v>1594.8</v>
      </c>
      <c r="M7" s="11">
        <f>_xlfn.IFNA(VLOOKUP(B7,MBI_Dostawcy_towarów!$A$4:$C$2000,2,FALSE),"N/A")</f>
        <v>90</v>
      </c>
      <c r="N7" s="11" t="str">
        <f>IF(VLOOKUP(B7,Towary_i_uslugi!$A$3:$T$1500,17,FALSE)=0,"!NO SUPPLIER",VLOOKUP(B7,Towary_i_uslugi!$A$3:$T$1500,17))</f>
        <v>XM</v>
      </c>
      <c r="O7" s="11" t="str">
        <f>IF(VLOOKUP(B7,Towary_i_uslugi!$A$4:$U$1200,21,FALSE)&gt;0,VLOOKUP(B7,Towary_i_uslugi!$A$4:$U$1200,21,FALSE),"")</f>
        <v/>
      </c>
      <c r="P7" s="11">
        <f t="shared" si="0"/>
        <v>0</v>
      </c>
      <c r="Q7" s="11">
        <f t="shared" si="1"/>
        <v>0</v>
      </c>
      <c r="R7" s="17">
        <f t="shared" si="2"/>
        <v>0</v>
      </c>
      <c r="S7" s="17">
        <f>VLOOKUP($B7,   MBI_LastBuy!$A$3:E$13199,3,FALSE)</f>
        <v>720</v>
      </c>
      <c r="T7" s="13">
        <f>VLOOKUP($B7,   MBI_LastBuy!$A$3:E$13199,2,FALSE)</f>
        <v>1.18</v>
      </c>
      <c r="U7" s="13" t="str">
        <f>VLOOKUP($B7,   MBI_LastBuy!$A$3:E$13199,5,FALSE)</f>
        <v>USD</v>
      </c>
      <c r="V7" s="15">
        <f>VLOOKUP($B7,   MBI_LastBuy!$A$3:E$13199,4,FALSE)</f>
        <v>44140</v>
      </c>
    </row>
    <row r="8" spans="1:25" x14ac:dyDescent="0.25">
      <c r="A8" s="11" t="s">
        <v>3552</v>
      </c>
      <c r="B8" s="11">
        <v>106010</v>
      </c>
      <c r="C8" s="11" t="str">
        <f>VLOOKUP(B8,Towary_i_uslugi!$A$4:$B$1500,2)</f>
        <v>(brak)</v>
      </c>
      <c r="D8" s="11" t="s">
        <v>2601</v>
      </c>
      <c r="E8" s="11">
        <f>VLOOKUP(B8,Towary_i_uslugi!$A$3:$T$1500,3,FALSE)</f>
        <v>24</v>
      </c>
      <c r="F8" s="11" t="str">
        <f>VLOOKUP(B8,Towary_i_uslugi!$A$3:$T$1500,20,FALSE)</f>
        <v>sticker - bulk packing</v>
      </c>
      <c r="G8" s="11">
        <f>VLOOKUP(B8,MBI_Dostawcy_towarów!$A$4:$C$1399,3,FALSE)</f>
        <v>0.72299999999999998</v>
      </c>
      <c r="H8" s="11">
        <v>88</v>
      </c>
      <c r="I8" s="11">
        <v>25</v>
      </c>
      <c r="J8" s="11">
        <v>350</v>
      </c>
      <c r="K8" s="11">
        <f>_xlfn.IFNA(VLOOKUP(B8,Towary_na_zamówieniach!$A$4:$C$1500,2,FALSE),0)</f>
        <v>576</v>
      </c>
      <c r="L8" s="11">
        <f>_xlfn.IFNA(VLOOKUP(B8,Towary_na_zamówieniach!$A$4:$C$1500,3,FALSE),0)</f>
        <v>794.88</v>
      </c>
      <c r="M8" s="11">
        <f>_xlfn.IFNA(VLOOKUP(B8,MBI_Dostawcy_towarów!$A$4:$C$2000,2,FALSE),"N/A")</f>
        <v>90</v>
      </c>
      <c r="N8" s="11" t="str">
        <f>IF(VLOOKUP(B8,Towary_i_uslugi!$A$3:$T$1500,17,FALSE)=0,"!NO SUPPLIER",VLOOKUP(B8,Towary_i_uslugi!$A$3:$T$1500,17))</f>
        <v>XM</v>
      </c>
      <c r="O8" s="11" t="str">
        <f>IF(VLOOKUP(B8,Towary_i_uslugi!$A$4:$U$1200,21,FALSE)&gt;0,VLOOKUP(B8,Towary_i_uslugi!$A$4:$U$1200,21,FALSE),"")</f>
        <v/>
      </c>
      <c r="P8" s="11">
        <f t="shared" si="0"/>
        <v>0</v>
      </c>
      <c r="Q8" s="11">
        <f t="shared" si="1"/>
        <v>0</v>
      </c>
      <c r="R8" s="17">
        <f t="shared" si="2"/>
        <v>0</v>
      </c>
      <c r="S8" s="17">
        <f>VLOOKUP($B8,   MBI_LastBuy!$A$3:E$13199,3,FALSE)</f>
        <v>576</v>
      </c>
      <c r="T8" s="13">
        <f>VLOOKUP($B8,   MBI_LastBuy!$A$3:E$13199,2,FALSE)</f>
        <v>1.38</v>
      </c>
      <c r="U8" s="13" t="str">
        <f>VLOOKUP($B8,   MBI_LastBuy!$A$3:E$13199,5,FALSE)</f>
        <v>USD</v>
      </c>
      <c r="V8" s="15">
        <f>VLOOKUP($B8,   MBI_LastBuy!$A$3:E$13199,4,FALSE)</f>
        <v>44021</v>
      </c>
    </row>
    <row r="9" spans="1:25" x14ac:dyDescent="0.25">
      <c r="A9" s="11" t="s">
        <v>3552</v>
      </c>
      <c r="B9" s="11">
        <v>108010</v>
      </c>
      <c r="C9" s="11" t="str">
        <f>VLOOKUP(B9,Towary_i_uslugi!$A$4:$B$1500,2)</f>
        <v>(brak)</v>
      </c>
      <c r="D9" s="11" t="s">
        <v>3584</v>
      </c>
      <c r="E9" s="11">
        <f>VLOOKUP(B9,Towary_i_uslugi!$A$3:$T$1500,3,FALSE)</f>
        <v>24</v>
      </c>
      <c r="F9" s="11" t="str">
        <f>VLOOKUP(B9,Towary_i_uslugi!$A$3:$T$1500,20,FALSE)</f>
        <v>sticker - bulk packing</v>
      </c>
      <c r="G9" s="11">
        <f>VLOOKUP(B9,MBI_Dostawcy_towarów!$A$4:$C$1399,3,FALSE)</f>
        <v>0.98199999999999998</v>
      </c>
      <c r="H9" s="11">
        <v>133</v>
      </c>
      <c r="I9" s="11">
        <v>25</v>
      </c>
      <c r="J9" s="11">
        <v>150</v>
      </c>
      <c r="K9" s="11">
        <f>_xlfn.IFNA(VLOOKUP(B9,Towary_na_zamówieniach!$A$4:$C$1500,2,FALSE),0)</f>
        <v>432</v>
      </c>
      <c r="L9" s="11">
        <f>_xlfn.IFNA(VLOOKUP(B9,Towary_na_zamówieniach!$A$4:$C$1500,3,FALSE),0)</f>
        <v>725.76</v>
      </c>
      <c r="M9" s="11">
        <f>_xlfn.IFNA(VLOOKUP(B9,MBI_Dostawcy_towarów!$A$4:$C$2000,2,FALSE),"N/A")</f>
        <v>90</v>
      </c>
      <c r="N9" s="11" t="str">
        <f>IF(VLOOKUP(B9,Towary_i_uslugi!$A$3:$T$1500,17,FALSE)=0,"!NO SUPPLIER",VLOOKUP(B9,Towary_i_uslugi!$A$3:$T$1500,17))</f>
        <v>XM</v>
      </c>
      <c r="O9" s="11" t="str">
        <f>IF(VLOOKUP(B9,Towary_i_uslugi!$A$4:$U$1200,21,FALSE)&gt;0,VLOOKUP(B9,Towary_i_uslugi!$A$4:$U$1200,21,FALSE),"")</f>
        <v/>
      </c>
      <c r="P9" s="11">
        <f t="shared" si="0"/>
        <v>0</v>
      </c>
      <c r="Q9" s="11">
        <f t="shared" si="1"/>
        <v>0</v>
      </c>
      <c r="R9" s="17">
        <f t="shared" si="2"/>
        <v>0</v>
      </c>
      <c r="S9" s="17">
        <f>VLOOKUP($B9,   MBI_LastBuy!$A$3:E$13199,3,FALSE)</f>
        <v>432</v>
      </c>
      <c r="T9" s="13">
        <f>VLOOKUP($B9,   MBI_LastBuy!$A$3:E$13199,2,FALSE)</f>
        <v>1.68</v>
      </c>
      <c r="U9" s="13" t="str">
        <f>VLOOKUP($B9,   MBI_LastBuy!$A$3:E$13199,5,FALSE)</f>
        <v>USD</v>
      </c>
      <c r="V9" s="15">
        <f>VLOOKUP($B9,   MBI_LastBuy!$A$3:E$13199,4,FALSE)</f>
        <v>44111</v>
      </c>
    </row>
    <row r="10" spans="1:25" x14ac:dyDescent="0.25">
      <c r="A10" s="11" t="s">
        <v>3552</v>
      </c>
      <c r="B10" s="11">
        <v>110010</v>
      </c>
      <c r="C10" s="11" t="str">
        <f>VLOOKUP(B10,Towary_i_uslugi!$A$4:$B$1500,2)</f>
        <v>(brak)</v>
      </c>
      <c r="D10" s="11" t="s">
        <v>2670</v>
      </c>
      <c r="E10" s="11">
        <f>VLOOKUP(B10,Towary_i_uslugi!$A$3:$T$1500,3,FALSE)</f>
        <v>24</v>
      </c>
      <c r="F10" s="11" t="str">
        <f>VLOOKUP(B10,Towary_i_uslugi!$A$3:$T$1500,20,FALSE)</f>
        <v>sticker - bulk packing</v>
      </c>
      <c r="G10" s="11">
        <f>VLOOKUP(B10,MBI_Dostawcy_towarów!$A$4:$C$1399,3,FALSE)</f>
        <v>1.157</v>
      </c>
      <c r="H10" s="11">
        <v>1</v>
      </c>
      <c r="I10" s="11">
        <v>0</v>
      </c>
      <c r="J10" s="11">
        <v>200</v>
      </c>
      <c r="K10" s="11">
        <f>_xlfn.IFNA(VLOOKUP(B10,Towary_na_zamówieniach!$A$4:$C$1500,2,FALSE),0)</f>
        <v>384</v>
      </c>
      <c r="L10" s="11">
        <f>_xlfn.IFNA(VLOOKUP(B10,Towary_na_zamówieniach!$A$4:$C$1500,3,FALSE),0)</f>
        <v>775.68</v>
      </c>
      <c r="M10" s="11">
        <f>_xlfn.IFNA(VLOOKUP(B10,MBI_Dostawcy_towarów!$A$4:$C$2000,2,FALSE),"N/A")</f>
        <v>90</v>
      </c>
      <c r="N10" s="11" t="str">
        <f>IF(VLOOKUP(B10,Towary_i_uslugi!$A$3:$T$1500,17,FALSE)=0,"!NO SUPPLIER",VLOOKUP(B10,Towary_i_uslugi!$A$3:$T$1500,17))</f>
        <v>XM</v>
      </c>
      <c r="O10" s="11" t="str">
        <f>IF(VLOOKUP(B10,Towary_i_uslugi!$A$4:$U$1200,21,FALSE)&gt;0,VLOOKUP(B10,Towary_i_uslugi!$A$4:$U$1200,21,FALSE),"")</f>
        <v/>
      </c>
      <c r="P10" s="11">
        <f t="shared" si="0"/>
        <v>0</v>
      </c>
      <c r="Q10" s="11">
        <f t="shared" si="1"/>
        <v>0</v>
      </c>
      <c r="R10" s="17">
        <f t="shared" si="2"/>
        <v>0</v>
      </c>
      <c r="S10" s="17">
        <f>VLOOKUP($B10,   MBI_LastBuy!$A$3:E$13199,3,FALSE)</f>
        <v>384</v>
      </c>
      <c r="T10" s="13">
        <f>VLOOKUP($B10,   MBI_LastBuy!$A$3:E$13199,2,FALSE)</f>
        <v>2.02</v>
      </c>
      <c r="U10" s="13" t="str">
        <f>VLOOKUP($B10,   MBI_LastBuy!$A$3:E$13199,5,FALSE)</f>
        <v>USD</v>
      </c>
      <c r="V10" s="15">
        <f>VLOOKUP($B10,   MBI_LastBuy!$A$3:E$13199,4,FALSE)</f>
        <v>44068</v>
      </c>
    </row>
    <row r="11" spans="1:25" x14ac:dyDescent="0.25">
      <c r="A11" s="11" t="s">
        <v>3554</v>
      </c>
      <c r="B11" s="11">
        <v>110012</v>
      </c>
      <c r="C11" s="11" t="str">
        <f>VLOOKUP(B11,Towary_i_uslugi!$A$4:$B$1500,2)</f>
        <v>nowość!!! więcej info dla klienta</v>
      </c>
      <c r="D11" s="11" t="s">
        <v>3585</v>
      </c>
      <c r="E11" s="11">
        <f>VLOOKUP(B11,Towary_i_uslugi!$A$3:$T$1500,3,FALSE)</f>
        <v>12</v>
      </c>
      <c r="F11" s="11" t="str">
        <f>VLOOKUP(B11,Towary_i_uslugi!$A$3:$T$1500,20,FALSE)</f>
        <v>sticker - bulk packing</v>
      </c>
      <c r="G11" s="11">
        <f>VLOOKUP(B11,MBI_Dostawcy_towarów!$A$4:$C$1399,3,FALSE)</f>
        <v>1.284</v>
      </c>
      <c r="H11" s="11">
        <v>26</v>
      </c>
      <c r="I11" s="11">
        <v>25</v>
      </c>
      <c r="J11" s="11">
        <v>120</v>
      </c>
      <c r="K11" s="11">
        <f>_xlfn.IFNA(VLOOKUP(B11,Towary_na_zamówieniach!$A$4:$C$1500,2,FALSE),0)</f>
        <v>0</v>
      </c>
      <c r="L11" s="11">
        <f>_xlfn.IFNA(VLOOKUP(B11,Towary_na_zamówieniach!$A$4:$C$1500,3,FALSE),0)</f>
        <v>0</v>
      </c>
      <c r="M11" s="11">
        <f>_xlfn.IFNA(VLOOKUP(B11,MBI_Dostawcy_towarów!$A$4:$C$2000,2,FALSE),"N/A")</f>
        <v>90</v>
      </c>
      <c r="N11" s="11" t="str">
        <f>IF(VLOOKUP(B11,Towary_i_uslugi!$A$3:$T$1500,17,FALSE)=0,"!NO SUPPLIER",VLOOKUP(B11,Towary_i_uslugi!$A$3:$T$1500,17))</f>
        <v>BW</v>
      </c>
      <c r="O11" s="11" t="str">
        <f>IF(VLOOKUP(B11,Towary_i_uslugi!$A$4:$U$1200,21,FALSE)&gt;0,VLOOKUP(B11,Towary_i_uslugi!$A$4:$U$1200,21,FALSE),"")</f>
        <v/>
      </c>
      <c r="P11" s="11">
        <f t="shared" si="0"/>
        <v>10</v>
      </c>
      <c r="Q11" s="11">
        <f t="shared" si="1"/>
        <v>120</v>
      </c>
      <c r="R11" s="17">
        <f t="shared" si="2"/>
        <v>302.39999999999998</v>
      </c>
      <c r="S11" s="17">
        <f>VLOOKUP($B11,   MBI_LastBuy!$A$3:E$13199,3,FALSE)</f>
        <v>240</v>
      </c>
      <c r="T11" s="13">
        <f>VLOOKUP($B11,   MBI_LastBuy!$A$3:E$13199,2,FALSE)</f>
        <v>2.52</v>
      </c>
      <c r="U11" s="13" t="str">
        <f>VLOOKUP($B11,   MBI_LastBuy!$A$3:E$13199,5,FALSE)</f>
        <v>USD</v>
      </c>
      <c r="V11" s="15">
        <f>VLOOKUP($B11,   MBI_LastBuy!$A$3:E$13199,4,FALSE)</f>
        <v>44005</v>
      </c>
    </row>
    <row r="12" spans="1:25" x14ac:dyDescent="0.25">
      <c r="A12" s="11" t="s">
        <v>3553</v>
      </c>
      <c r="B12" s="11">
        <v>115010</v>
      </c>
      <c r="C12" s="11" t="str">
        <f>VLOOKUP(B12,Towary_i_uslugi!$A$4:$B$1500,2)</f>
        <v>(brak)</v>
      </c>
      <c r="D12" s="11" t="s">
        <v>2671</v>
      </c>
      <c r="E12" s="11">
        <f>VLOOKUP(B12,Towary_i_uslugi!$A$3:$T$1500,3,FALSE)</f>
        <v>12</v>
      </c>
      <c r="F12" s="11" t="str">
        <f>VLOOKUP(B12,Towary_i_uslugi!$A$3:$T$1500,20,FALSE)</f>
        <v>sticker - bulk packing</v>
      </c>
      <c r="G12" s="11">
        <f>VLOOKUP(B12,MBI_Dostawcy_towarów!$A$4:$C$1399,3,FALSE)</f>
        <v>1.6379999999999999</v>
      </c>
      <c r="H12" s="11">
        <v>192</v>
      </c>
      <c r="I12" s="11">
        <v>4</v>
      </c>
      <c r="J12" s="11">
        <v>220</v>
      </c>
      <c r="K12" s="11">
        <f>_xlfn.IFNA(VLOOKUP(B12,Towary_na_zamówieniach!$A$4:$C$1500,2,FALSE),0)</f>
        <v>300</v>
      </c>
      <c r="L12" s="11">
        <f>_xlfn.IFNA(VLOOKUP(B12,Towary_na_zamówieniach!$A$4:$C$1500,3,FALSE),0)</f>
        <v>756</v>
      </c>
      <c r="M12" s="11">
        <f>_xlfn.IFNA(VLOOKUP(B12,MBI_Dostawcy_towarów!$A$4:$C$2000,2,FALSE),"N/A")</f>
        <v>90</v>
      </c>
      <c r="N12" s="11" t="str">
        <f>IF(VLOOKUP(B12,Towary_i_uslugi!$A$3:$T$1500,17,FALSE)=0,"!NO SUPPLIER",VLOOKUP(B12,Towary_i_uslugi!$A$3:$T$1500,17))</f>
        <v>FX -MAPLE Frank Xu</v>
      </c>
      <c r="O12" s="11" t="str">
        <f>IF(VLOOKUP(B12,Towary_i_uslugi!$A$4:$U$1200,21,FALSE)&gt;0,VLOOKUP(B12,Towary_i_uslugi!$A$4:$U$1200,21,FALSE),"")</f>
        <v/>
      </c>
      <c r="P12" s="11">
        <f t="shared" si="0"/>
        <v>0</v>
      </c>
      <c r="Q12" s="11">
        <f t="shared" si="1"/>
        <v>0</v>
      </c>
      <c r="R12" s="17">
        <f t="shared" si="2"/>
        <v>0</v>
      </c>
      <c r="S12" s="17">
        <f>VLOOKUP($B12,   MBI_LastBuy!$A$3:E$13199,3,FALSE)</f>
        <v>300</v>
      </c>
      <c r="T12" s="13">
        <f>VLOOKUP($B12,   MBI_LastBuy!$A$3:E$13199,2,FALSE)</f>
        <v>2.52</v>
      </c>
      <c r="U12" s="13" t="str">
        <f>VLOOKUP($B12,   MBI_LastBuy!$A$3:E$13199,5,FALSE)</f>
        <v>USD</v>
      </c>
      <c r="V12" s="15">
        <f>VLOOKUP($B12,   MBI_LastBuy!$A$3:E$13199,4,FALSE)</f>
        <v>44098</v>
      </c>
    </row>
    <row r="13" spans="1:25" x14ac:dyDescent="0.25">
      <c r="A13" s="11" t="s">
        <v>3553</v>
      </c>
      <c r="B13" s="11">
        <v>116010</v>
      </c>
      <c r="C13" s="11" t="str">
        <f>VLOOKUP(B13,Towary_i_uslugi!$A$4:$B$1500,2)</f>
        <v>(brak)</v>
      </c>
      <c r="D13" s="11" t="s">
        <v>12</v>
      </c>
      <c r="E13" s="11">
        <f>VLOOKUP(B13,Towary_i_uslugi!$A$3:$T$1500,3,FALSE)</f>
        <v>12</v>
      </c>
      <c r="F13" s="11" t="str">
        <f>VLOOKUP(B13,Towary_i_uslugi!$A$3:$T$1500,20,FALSE)</f>
        <v>sticker - bulk packing</v>
      </c>
      <c r="G13" s="11">
        <f>VLOOKUP(B13,MBI_Dostawcy_towarów!$A$4:$C$1399,3,FALSE)</f>
        <v>2.323</v>
      </c>
      <c r="H13" s="11">
        <v>205</v>
      </c>
      <c r="I13" s="11">
        <v>1</v>
      </c>
      <c r="J13" s="11">
        <v>420</v>
      </c>
      <c r="K13" s="11">
        <f>_xlfn.IFNA(VLOOKUP(B13,Towary_na_zamówieniach!$A$4:$C$1500,2,FALSE),0)</f>
        <v>360</v>
      </c>
      <c r="L13" s="11">
        <f>_xlfn.IFNA(VLOOKUP(B13,Towary_na_zamówieniach!$A$4:$C$1500,3,FALSE),0)</f>
        <v>1170</v>
      </c>
      <c r="M13" s="11">
        <f>_xlfn.IFNA(VLOOKUP(B13,MBI_Dostawcy_towarów!$A$4:$C$2000,2,FALSE),"N/A")</f>
        <v>90</v>
      </c>
      <c r="N13" s="11" t="str">
        <f>IF(VLOOKUP(B13,Towary_i_uslugi!$A$3:$T$1500,17,FALSE)=0,"!NO SUPPLIER",VLOOKUP(B13,Towary_i_uslugi!$A$3:$T$1500,17))</f>
        <v>FX -MAPLE Frank Xu</v>
      </c>
      <c r="O13" s="11" t="str">
        <f>IF(VLOOKUP(B13,Towary_i_uslugi!$A$4:$U$1200,21,FALSE)&gt;0,VLOOKUP(B13,Towary_i_uslugi!$A$4:$U$1200,21,FALSE),"")</f>
        <v/>
      </c>
      <c r="P13" s="11">
        <f t="shared" si="0"/>
        <v>0</v>
      </c>
      <c r="Q13" s="11">
        <f t="shared" si="1"/>
        <v>0</v>
      </c>
      <c r="R13" s="17">
        <f t="shared" si="2"/>
        <v>0</v>
      </c>
      <c r="S13" s="17">
        <f>VLOOKUP($B13,   MBI_LastBuy!$A$3:E$13199,3,FALSE)</f>
        <v>360</v>
      </c>
      <c r="T13" s="13">
        <f>VLOOKUP($B13,   MBI_LastBuy!$A$3:E$13199,2,FALSE)</f>
        <v>3.25</v>
      </c>
      <c r="U13" s="13" t="str">
        <f>VLOOKUP($B13,   MBI_LastBuy!$A$3:E$13199,5,FALSE)</f>
        <v>USD</v>
      </c>
      <c r="V13" s="15">
        <f>VLOOKUP($B13,   MBI_LastBuy!$A$3:E$13199,4,FALSE)</f>
        <v>44043</v>
      </c>
    </row>
    <row r="14" spans="1:25" x14ac:dyDescent="0.25">
      <c r="A14" s="11" t="s">
        <v>3552</v>
      </c>
      <c r="B14" s="11">
        <v>121010</v>
      </c>
      <c r="C14" s="11" t="str">
        <f>VLOOKUP(B14,Towary_i_uslugi!$A$4:$B$1500,2)</f>
        <v>(brak)</v>
      </c>
      <c r="D14" s="11" t="s">
        <v>2762</v>
      </c>
      <c r="E14" s="11">
        <f>VLOOKUP(B14,Towary_i_uslugi!$A$3:$T$1500,3,FALSE)</f>
        <v>24</v>
      </c>
      <c r="F14" s="11" t="str">
        <f>VLOOKUP(B14,Towary_i_uslugi!$A$3:$T$1500,20,FALSE)</f>
        <v>sticker - bulk packing</v>
      </c>
      <c r="G14" s="11">
        <f>VLOOKUP(B14,MBI_Dostawcy_towarów!$A$4:$C$1399,3,FALSE)</f>
        <v>1.125</v>
      </c>
      <c r="H14" s="11">
        <v>1</v>
      </c>
      <c r="I14" s="11">
        <v>0</v>
      </c>
      <c r="J14" s="11">
        <v>100</v>
      </c>
      <c r="K14" s="11">
        <f>_xlfn.IFNA(VLOOKUP(B14,Towary_na_zamówieniach!$A$4:$C$1500,2,FALSE),0)</f>
        <v>384</v>
      </c>
      <c r="L14" s="11">
        <f>_xlfn.IFNA(VLOOKUP(B14,Towary_na_zamówieniach!$A$4:$C$1500,3,FALSE),0)</f>
        <v>721.92</v>
      </c>
      <c r="M14" s="11">
        <f>_xlfn.IFNA(VLOOKUP(B14,MBI_Dostawcy_towarów!$A$4:$C$2000,2,FALSE),"N/A")</f>
        <v>90</v>
      </c>
      <c r="N14" s="11" t="str">
        <f>IF(VLOOKUP(B14,Towary_i_uslugi!$A$3:$T$1500,17,FALSE)=0,"!NO SUPPLIER",VLOOKUP(B14,Towary_i_uslugi!$A$3:$T$1500,17))</f>
        <v>XM</v>
      </c>
      <c r="O14" s="11" t="str">
        <f>IF(VLOOKUP(B14,Towary_i_uslugi!$A$4:$U$1200,21,FALSE)&gt;0,VLOOKUP(B14,Towary_i_uslugi!$A$4:$U$1200,21,FALSE),"")</f>
        <v/>
      </c>
      <c r="P14" s="11">
        <f t="shared" si="0"/>
        <v>0</v>
      </c>
      <c r="Q14" s="11">
        <f t="shared" si="1"/>
        <v>0</v>
      </c>
      <c r="R14" s="17">
        <f t="shared" si="2"/>
        <v>0</v>
      </c>
      <c r="S14" s="17">
        <f>VLOOKUP($B14,   MBI_LastBuy!$A$3:E$13199,3,FALSE)</f>
        <v>384</v>
      </c>
      <c r="T14" s="13">
        <f>VLOOKUP($B14,   MBI_LastBuy!$A$3:E$13199,2,FALSE)</f>
        <v>1.88</v>
      </c>
      <c r="U14" s="13" t="str">
        <f>VLOOKUP($B14,   MBI_LastBuy!$A$3:E$13199,5,FALSE)</f>
        <v>USD</v>
      </c>
      <c r="V14" s="15">
        <f>VLOOKUP($B14,   MBI_LastBuy!$A$3:E$13199,4,FALSE)</f>
        <v>44068</v>
      </c>
    </row>
    <row r="15" spans="1:25" x14ac:dyDescent="0.25">
      <c r="A15" s="11" t="s">
        <v>3554</v>
      </c>
      <c r="B15" s="11">
        <v>121012</v>
      </c>
      <c r="C15" s="11" t="str">
        <f>VLOOKUP(B15,Towary_i_uslugi!$A$4:$B$1500,2)</f>
        <v>nowość!!! więcej info dla klienta</v>
      </c>
      <c r="D15" s="11" t="s">
        <v>2672</v>
      </c>
      <c r="E15" s="11">
        <f>VLOOKUP(B15,Towary_i_uslugi!$A$3:$T$1500,3,FALSE)</f>
        <v>12</v>
      </c>
      <c r="F15" s="11" t="str">
        <f>VLOOKUP(B15,Towary_i_uslugi!$A$3:$T$1500,20,FALSE)</f>
        <v>sticker - bulk packing</v>
      </c>
      <c r="G15" s="11">
        <f>VLOOKUP(B15,MBI_Dostawcy_towarów!$A$4:$C$1399,3,FALSE)</f>
        <v>1.1599999999999999</v>
      </c>
      <c r="H15" s="11">
        <v>7</v>
      </c>
      <c r="I15" s="11">
        <v>2</v>
      </c>
      <c r="J15" s="11">
        <v>60</v>
      </c>
      <c r="K15" s="11">
        <f>_xlfn.IFNA(VLOOKUP(B15,Towary_na_zamówieniach!$A$4:$C$1500,2,FALSE),0)</f>
        <v>0</v>
      </c>
      <c r="L15" s="11">
        <f>_xlfn.IFNA(VLOOKUP(B15,Towary_na_zamówieniach!$A$4:$C$1500,3,FALSE),0)</f>
        <v>0</v>
      </c>
      <c r="M15" s="11">
        <f>_xlfn.IFNA(VLOOKUP(B15,MBI_Dostawcy_towarów!$A$4:$C$2000,2,FALSE),"N/A")</f>
        <v>90</v>
      </c>
      <c r="N15" s="11" t="str">
        <f>IF(VLOOKUP(B15,Towary_i_uslugi!$A$3:$T$1500,17,FALSE)=0,"!NO SUPPLIER",VLOOKUP(B15,Towary_i_uslugi!$A$3:$T$1500,17))</f>
        <v>BW</v>
      </c>
      <c r="O15" s="11" t="str">
        <f>IF(VLOOKUP(B15,Towary_i_uslugi!$A$4:$U$1200,21,FALSE)&gt;0,VLOOKUP(B15,Towary_i_uslugi!$A$4:$U$1200,21,FALSE),"")</f>
        <v/>
      </c>
      <c r="P15" s="11">
        <f t="shared" si="0"/>
        <v>5</v>
      </c>
      <c r="Q15" s="11">
        <f t="shared" si="1"/>
        <v>60</v>
      </c>
      <c r="R15" s="17">
        <f t="shared" si="2"/>
        <v>122.99999999999999</v>
      </c>
      <c r="S15" s="17">
        <f>VLOOKUP($B15,   MBI_LastBuy!$A$3:E$13199,3,FALSE)</f>
        <v>120</v>
      </c>
      <c r="T15" s="13">
        <f>VLOOKUP($B15,   MBI_LastBuy!$A$3:E$13199,2,FALSE)</f>
        <v>2.0499999999999998</v>
      </c>
      <c r="U15" s="13" t="str">
        <f>VLOOKUP($B15,   MBI_LastBuy!$A$3:E$13199,5,FALSE)</f>
        <v>USD</v>
      </c>
      <c r="V15" s="15">
        <f>VLOOKUP($B15,   MBI_LastBuy!$A$3:E$13199,4,FALSE)</f>
        <v>44005</v>
      </c>
    </row>
    <row r="16" spans="1:25" x14ac:dyDescent="0.25">
      <c r="A16" s="11" t="s">
        <v>3552</v>
      </c>
      <c r="B16" s="11">
        <v>132390</v>
      </c>
      <c r="C16" s="11" t="str">
        <f>VLOOKUP(B16,Towary_i_uslugi!$A$4:$B$1500,2)</f>
        <v>(brak)</v>
      </c>
      <c r="D16" s="11" t="s">
        <v>3586</v>
      </c>
      <c r="E16" s="11">
        <f>VLOOKUP(B16,Towary_i_uslugi!$A$3:$T$1500,3,FALSE)</f>
        <v>24</v>
      </c>
      <c r="F16" s="11" t="str">
        <f>VLOOKUP(B16,Towary_i_uslugi!$A$3:$T$1500,20,FALSE)</f>
        <v>sticker - bulk packing</v>
      </c>
      <c r="G16" s="11">
        <f>VLOOKUP(B16,MBI_Dostawcy_towarów!$A$4:$C$1399,3,FALSE)</f>
        <v>0.72299999999999998</v>
      </c>
      <c r="H16" s="11">
        <v>127</v>
      </c>
      <c r="I16" s="11">
        <v>1</v>
      </c>
      <c r="J16" s="11">
        <v>200</v>
      </c>
      <c r="K16" s="11">
        <f>_xlfn.IFNA(VLOOKUP(B16,Towary_na_zamówieniach!$A$4:$C$1500,2,FALSE),0)</f>
        <v>576</v>
      </c>
      <c r="L16" s="11">
        <f>_xlfn.IFNA(VLOOKUP(B16,Towary_na_zamówieniach!$A$4:$C$1500,3,FALSE),0)</f>
        <v>927.36</v>
      </c>
      <c r="M16" s="11">
        <f>_xlfn.IFNA(VLOOKUP(B16,MBI_Dostawcy_towarów!$A$4:$C$2000,2,FALSE),"N/A")</f>
        <v>90</v>
      </c>
      <c r="N16" s="11" t="str">
        <f>IF(VLOOKUP(B16,Towary_i_uslugi!$A$3:$T$1500,17,FALSE)=0,"!NO SUPPLIER",VLOOKUP(B16,Towary_i_uslugi!$A$3:$T$1500,17))</f>
        <v>XM</v>
      </c>
      <c r="O16" s="11" t="str">
        <f>IF(VLOOKUP(B16,Towary_i_uslugi!$A$4:$U$1200,21,FALSE)&gt;0,VLOOKUP(B16,Towary_i_uslugi!$A$4:$U$1200,21,FALSE),"")</f>
        <v/>
      </c>
      <c r="P16" s="11">
        <f t="shared" si="0"/>
        <v>0</v>
      </c>
      <c r="Q16" s="11">
        <f t="shared" si="1"/>
        <v>0</v>
      </c>
      <c r="R16" s="17">
        <f t="shared" si="2"/>
        <v>0</v>
      </c>
      <c r="S16" s="17">
        <f>VLOOKUP($B16,   MBI_LastBuy!$A$3:E$13199,3,FALSE)</f>
        <v>576</v>
      </c>
      <c r="T16" s="13">
        <f>VLOOKUP($B16,   MBI_LastBuy!$A$3:E$13199,2,FALSE)</f>
        <v>1.61</v>
      </c>
      <c r="U16" s="13" t="str">
        <f>VLOOKUP($B16,   MBI_LastBuy!$A$3:E$13199,5,FALSE)</f>
        <v>USD</v>
      </c>
      <c r="V16" s="15">
        <f>VLOOKUP($B16,   MBI_LastBuy!$A$3:E$13199,4,FALSE)</f>
        <v>44133</v>
      </c>
    </row>
    <row r="17" spans="1:22" x14ac:dyDescent="0.25">
      <c r="A17" s="11" t="s">
        <v>3552</v>
      </c>
      <c r="B17" s="11">
        <v>136022</v>
      </c>
      <c r="C17" s="11" t="str">
        <f>VLOOKUP(B17,Towary_i_uslugi!$A$4:$B$1500,2)</f>
        <v>(brak)</v>
      </c>
      <c r="D17" s="11" t="s">
        <v>3587</v>
      </c>
      <c r="E17" s="11">
        <f>VLOOKUP(B17,Towary_i_uslugi!$A$3:$T$1500,3,FALSE)</f>
        <v>24</v>
      </c>
      <c r="F17" s="11" t="str">
        <f>VLOOKUP(B17,Towary_i_uslugi!$A$3:$T$1500,20,FALSE)</f>
        <v>sticker - bulk packing</v>
      </c>
      <c r="G17" s="11">
        <f>VLOOKUP(B17,MBI_Dostawcy_towarów!$A$4:$C$1399,3,FALSE)</f>
        <v>0.83799999999999997</v>
      </c>
      <c r="H17" s="11">
        <v>241</v>
      </c>
      <c r="I17" s="11">
        <v>3</v>
      </c>
      <c r="J17" s="11">
        <v>300</v>
      </c>
      <c r="K17" s="11">
        <f>_xlfn.IFNA(VLOOKUP(B17,Towary_na_zamówieniach!$A$4:$C$1500,2,FALSE),0)</f>
        <v>312</v>
      </c>
      <c r="L17" s="11">
        <f>_xlfn.IFNA(VLOOKUP(B17,Towary_na_zamówieniach!$A$4:$C$1500,3,FALSE),0)</f>
        <v>667.68</v>
      </c>
      <c r="M17" s="11">
        <f>_xlfn.IFNA(VLOOKUP(B17,MBI_Dostawcy_towarów!$A$4:$C$2000,2,FALSE),"N/A")</f>
        <v>90</v>
      </c>
      <c r="N17" s="11" t="str">
        <f>IF(VLOOKUP(B17,Towary_i_uslugi!$A$3:$T$1500,17,FALSE)=0,"!NO SUPPLIER",VLOOKUP(B17,Towary_i_uslugi!$A$3:$T$1500,17))</f>
        <v>XM</v>
      </c>
      <c r="O17" s="11" t="str">
        <f>IF(VLOOKUP(B17,Towary_i_uslugi!$A$4:$U$1200,21,FALSE)&gt;0,VLOOKUP(B17,Towary_i_uslugi!$A$4:$U$1200,21,FALSE),"")</f>
        <v/>
      </c>
      <c r="P17" s="11">
        <f t="shared" si="0"/>
        <v>0</v>
      </c>
      <c r="Q17" s="11">
        <f t="shared" si="1"/>
        <v>0</v>
      </c>
      <c r="R17" s="17">
        <f t="shared" si="2"/>
        <v>0</v>
      </c>
      <c r="S17" s="17">
        <f>VLOOKUP($B17,   MBI_LastBuy!$A$3:E$13199,3,FALSE)</f>
        <v>312</v>
      </c>
      <c r="T17" s="13">
        <f>VLOOKUP($B17,   MBI_LastBuy!$A$3:E$13199,2,FALSE)</f>
        <v>2.14</v>
      </c>
      <c r="U17" s="13" t="str">
        <f>VLOOKUP($B17,   MBI_LastBuy!$A$3:E$13199,5,FALSE)</f>
        <v>USD</v>
      </c>
      <c r="V17" s="15">
        <f>VLOOKUP($B17,   MBI_LastBuy!$A$3:E$13199,4,FALSE)</f>
        <v>44111</v>
      </c>
    </row>
    <row r="18" spans="1:22" x14ac:dyDescent="0.25">
      <c r="A18" s="11" t="s">
        <v>3552</v>
      </c>
      <c r="B18" s="11">
        <v>136222</v>
      </c>
      <c r="C18" s="11" t="str">
        <f>VLOOKUP(B18,Towary_i_uslugi!$A$4:$B$1500,2)</f>
        <v>(brak)</v>
      </c>
      <c r="D18" s="11" t="s">
        <v>2602</v>
      </c>
      <c r="E18" s="11">
        <f>VLOOKUP(B18,Towary_i_uslugi!$A$3:$T$1500,3,FALSE)</f>
        <v>24</v>
      </c>
      <c r="F18" s="11" t="str">
        <f>VLOOKUP(B18,Towary_i_uslugi!$A$3:$T$1500,20,FALSE)</f>
        <v>sticker - bulk packing</v>
      </c>
      <c r="G18" s="11">
        <f>VLOOKUP(B18,MBI_Dostawcy_towarów!$A$4:$C$1399,3,FALSE)</f>
        <v>0.84399999999999997</v>
      </c>
      <c r="H18" s="11">
        <v>1</v>
      </c>
      <c r="I18" s="11">
        <v>0</v>
      </c>
      <c r="J18" s="11">
        <v>100</v>
      </c>
      <c r="K18" s="11">
        <f>_xlfn.IFNA(VLOOKUP(B18,Towary_na_zamówieniach!$A$4:$C$1500,2,FALSE),0)</f>
        <v>360</v>
      </c>
      <c r="L18" s="11">
        <f>_xlfn.IFNA(VLOOKUP(B18,Towary_na_zamówieniach!$A$4:$C$1500,3,FALSE),0)</f>
        <v>786.6</v>
      </c>
      <c r="M18" s="11">
        <f>_xlfn.IFNA(VLOOKUP(B18,MBI_Dostawcy_towarów!$A$4:$C$2000,2,FALSE),"N/A")</f>
        <v>90</v>
      </c>
      <c r="N18" s="11" t="str">
        <f>IF(VLOOKUP(B18,Towary_i_uslugi!$A$3:$T$1500,17,FALSE)=0,"!NO SUPPLIER",VLOOKUP(B18,Towary_i_uslugi!$A$3:$T$1500,17))</f>
        <v>XM</v>
      </c>
      <c r="O18" s="11" t="str">
        <f>IF(VLOOKUP(B18,Towary_i_uslugi!$A$4:$U$1200,21,FALSE)&gt;0,VLOOKUP(B18,Towary_i_uslugi!$A$4:$U$1200,21,FALSE),"")</f>
        <v/>
      </c>
      <c r="P18" s="11">
        <f t="shared" si="0"/>
        <v>0</v>
      </c>
      <c r="Q18" s="11">
        <f t="shared" si="1"/>
        <v>0</v>
      </c>
      <c r="R18" s="17">
        <f t="shared" si="2"/>
        <v>0</v>
      </c>
      <c r="S18" s="17">
        <f>VLOOKUP($B18,   MBI_LastBuy!$A$3:E$13199,3,FALSE)</f>
        <v>360</v>
      </c>
      <c r="T18" s="13">
        <f>VLOOKUP($B18,   MBI_LastBuy!$A$3:E$13199,2,FALSE)</f>
        <v>2.1850000000000001</v>
      </c>
      <c r="U18" s="13" t="str">
        <f>VLOOKUP($B18,   MBI_LastBuy!$A$3:E$13199,5,FALSE)</f>
        <v>USD</v>
      </c>
      <c r="V18" s="15">
        <f>VLOOKUP($B18,   MBI_LastBuy!$A$3:E$13199,4,FALSE)</f>
        <v>44083</v>
      </c>
    </row>
    <row r="19" spans="1:22" x14ac:dyDescent="0.25">
      <c r="A19" s="11" t="s">
        <v>3555</v>
      </c>
      <c r="B19" s="11">
        <v>136320</v>
      </c>
      <c r="C19" s="11" t="str">
        <f>VLOOKUP(B19,Towary_i_uslugi!$A$4:$B$1500,2)</f>
        <v>(brak)</v>
      </c>
      <c r="D19" s="11" t="s">
        <v>2514</v>
      </c>
      <c r="E19" s="11">
        <f>VLOOKUP(B19,Towary_i_uslugi!$A$3:$T$1500,3,FALSE)</f>
        <v>36</v>
      </c>
      <c r="F19" s="11" t="str">
        <f>VLOOKUP(B19,Towary_i_uslugi!$A$3:$T$1500,20,FALSE)</f>
        <v>sticker - bulk packing</v>
      </c>
      <c r="G19" s="11">
        <f>VLOOKUP(B19,MBI_Dostawcy_towarów!$A$4:$C$1399,3,FALSE)</f>
        <v>0.22600000000000001</v>
      </c>
      <c r="H19" s="11">
        <v>209</v>
      </c>
      <c r="I19" s="11">
        <v>0</v>
      </c>
      <c r="J19" s="11">
        <v>260</v>
      </c>
      <c r="K19" s="11">
        <f>_xlfn.IFNA(VLOOKUP(B19,Towary_na_zamówieniach!$A$4:$C$1500,2,FALSE),0)</f>
        <v>648</v>
      </c>
      <c r="L19" s="11">
        <f>_xlfn.IFNA(VLOOKUP(B19,Towary_na_zamówieniach!$A$4:$C$1500,3,FALSE),0)</f>
        <v>623.38</v>
      </c>
      <c r="M19" s="11">
        <f>_xlfn.IFNA(VLOOKUP(B19,MBI_Dostawcy_towarów!$A$4:$C$2000,2,FALSE),"N/A")</f>
        <v>90</v>
      </c>
      <c r="N19" s="11" t="str">
        <f>IF(VLOOKUP(B19,Towary_i_uslugi!$A$3:$T$1500,17,FALSE)=0,"!NO SUPPLIER",VLOOKUP(B19,Towary_i_uslugi!$A$3:$T$1500,17))</f>
        <v xml:space="preserve">HQ - Canada </v>
      </c>
      <c r="O19" s="11" t="str">
        <f>IF(VLOOKUP(B19,Towary_i_uslugi!$A$4:$U$1200,21,FALSE)&gt;0,VLOOKUP(B19,Towary_i_uslugi!$A$4:$U$1200,21,FALSE),"")</f>
        <v/>
      </c>
      <c r="P19" s="11">
        <f t="shared" si="0"/>
        <v>0</v>
      </c>
      <c r="Q19" s="11">
        <f t="shared" si="1"/>
        <v>0</v>
      </c>
      <c r="R19" s="17">
        <f t="shared" si="2"/>
        <v>0</v>
      </c>
      <c r="S19" s="17">
        <f>VLOOKUP($B19,   MBI_LastBuy!$A$3:E$13199,3,FALSE)</f>
        <v>648</v>
      </c>
      <c r="T19" s="13">
        <f>VLOOKUP($B19,   MBI_LastBuy!$A$3:E$13199,2,FALSE)</f>
        <v>0.96199999999999997</v>
      </c>
      <c r="U19" s="13" t="str">
        <f>VLOOKUP($B19,   MBI_LastBuy!$A$3:E$13199,5,FALSE)</f>
        <v>USD</v>
      </c>
      <c r="V19" s="15">
        <f>VLOOKUP($B19,   MBI_LastBuy!$A$3:E$13199,4,FALSE)</f>
        <v>44113</v>
      </c>
    </row>
    <row r="20" spans="1:22" x14ac:dyDescent="0.25">
      <c r="A20" s="11" t="s">
        <v>3555</v>
      </c>
      <c r="B20" s="11">
        <v>136550</v>
      </c>
      <c r="C20" s="11" t="str">
        <f>VLOOKUP(B20,Towary_i_uslugi!$A$4:$B$1500,2)</f>
        <v>(brak)</v>
      </c>
      <c r="D20" s="11" t="s">
        <v>3588</v>
      </c>
      <c r="E20" s="11">
        <f>VLOOKUP(B20,Towary_i_uslugi!$A$3:$T$1500,3,FALSE)</f>
        <v>40</v>
      </c>
      <c r="F20" s="11" t="str">
        <f>VLOOKUP(B20,Towary_i_uslugi!$A$3:$T$1500,20,FALSE)</f>
        <v>sticker</v>
      </c>
      <c r="G20" s="11">
        <f>VLOOKUP(B20,MBI_Dostawcy_towarów!$A$4:$C$1399,3,FALSE)</f>
        <v>0.375</v>
      </c>
      <c r="H20" s="11">
        <v>374</v>
      </c>
      <c r="I20" s="11">
        <v>0</v>
      </c>
      <c r="J20" s="11">
        <v>400</v>
      </c>
      <c r="K20" s="11">
        <f>_xlfn.IFNA(VLOOKUP(B20,Towary_na_zamówieniach!$A$4:$C$1500,2,FALSE),0)</f>
        <v>0</v>
      </c>
      <c r="L20" s="11">
        <f>_xlfn.IFNA(VLOOKUP(B20,Towary_na_zamówieniach!$A$4:$C$1500,3,FALSE),0)</f>
        <v>0</v>
      </c>
      <c r="M20" s="11">
        <f>_xlfn.IFNA(VLOOKUP(B20,MBI_Dostawcy_towarów!$A$4:$C$2000,2,FALSE),"N/A")</f>
        <v>90</v>
      </c>
      <c r="N20" s="11" t="str">
        <f>IF(VLOOKUP(B20,Towary_i_uslugi!$A$3:$T$1500,17,FALSE)=0,"!NO SUPPLIER",VLOOKUP(B20,Towary_i_uslugi!$A$3:$T$1500,17))</f>
        <v xml:space="preserve">HQ - Canada </v>
      </c>
      <c r="O20" s="11" t="str">
        <f>IF(VLOOKUP(B20,Towary_i_uslugi!$A$4:$U$1200,21,FALSE)&gt;0,VLOOKUP(B20,Towary_i_uslugi!$A$4:$U$1200,21,FALSE),"")</f>
        <v/>
      </c>
      <c r="P20" s="11">
        <f t="shared" si="0"/>
        <v>10</v>
      </c>
      <c r="Q20" s="11">
        <f t="shared" si="1"/>
        <v>400</v>
      </c>
      <c r="R20" s="17">
        <f t="shared" si="2"/>
        <v>226.39999999999998</v>
      </c>
      <c r="S20" s="17">
        <f>VLOOKUP($B20,   MBI_LastBuy!$A$3:E$13199,3,FALSE)</f>
        <v>800</v>
      </c>
      <c r="T20" s="13">
        <f>VLOOKUP($B20,   MBI_LastBuy!$A$3:E$13199,2,FALSE)</f>
        <v>0.56599999999999995</v>
      </c>
      <c r="U20" s="13" t="str">
        <f>VLOOKUP($B20,   MBI_LastBuy!$A$3:E$13199,5,FALSE)</f>
        <v>USD</v>
      </c>
      <c r="V20" s="15">
        <f>VLOOKUP($B20,   MBI_LastBuy!$A$3:E$13199,4,FALSE)</f>
        <v>44068</v>
      </c>
    </row>
    <row r="21" spans="1:22" x14ac:dyDescent="0.25">
      <c r="A21" s="11" t="s">
        <v>3553</v>
      </c>
      <c r="B21" s="11">
        <v>136600</v>
      </c>
      <c r="C21" s="11" t="str">
        <f>VLOOKUP(B21,Towary_i_uslugi!$A$4:$B$1500,2)</f>
        <v>(brak)</v>
      </c>
      <c r="D21" s="11" t="s">
        <v>3589</v>
      </c>
      <c r="E21" s="11">
        <f>VLOOKUP(B21,Towary_i_uslugi!$A$3:$T$1500,3,FALSE)</f>
        <v>36</v>
      </c>
      <c r="F21" s="11" t="str">
        <f>VLOOKUP(B21,Towary_i_uslugi!$A$3:$T$1500,20,FALSE)</f>
        <v>sticker - bulk packing</v>
      </c>
      <c r="G21" s="11">
        <f>VLOOKUP(B21,MBI_Dostawcy_towarów!$A$4:$C$1399,3,FALSE)</f>
        <v>0.47299999999999998</v>
      </c>
      <c r="H21" s="11">
        <v>236</v>
      </c>
      <c r="I21" s="11">
        <v>0</v>
      </c>
      <c r="J21" s="11">
        <v>260</v>
      </c>
      <c r="K21" s="11">
        <f>_xlfn.IFNA(VLOOKUP(B21,Towary_na_zamówieniach!$A$4:$C$1500,2,FALSE),0)</f>
        <v>1080</v>
      </c>
      <c r="L21" s="11">
        <f>_xlfn.IFNA(VLOOKUP(B21,Towary_na_zamówieniach!$A$4:$C$1500,3,FALSE),0)</f>
        <v>745.2</v>
      </c>
      <c r="M21" s="11">
        <f>_xlfn.IFNA(VLOOKUP(B21,MBI_Dostawcy_towarów!$A$4:$C$2000,2,FALSE),"N/A")</f>
        <v>90</v>
      </c>
      <c r="N21" s="11" t="str">
        <f>IF(VLOOKUP(B21,Towary_i_uslugi!$A$3:$T$1500,17,FALSE)=0,"!NO SUPPLIER",VLOOKUP(B21,Towary_i_uslugi!$A$3:$T$1500,17))</f>
        <v>FX -MAPLE PRZYJĘCIE TOWARU !!!</v>
      </c>
      <c r="O21" s="11" t="str">
        <f>IF(VLOOKUP(B21,Towary_i_uslugi!$A$4:$U$1200,21,FALSE)&gt;0,VLOOKUP(B21,Towary_i_uslugi!$A$4:$U$1200,21,FALSE),"")</f>
        <v/>
      </c>
      <c r="P21" s="11">
        <f t="shared" si="0"/>
        <v>0</v>
      </c>
      <c r="Q21" s="11">
        <f t="shared" si="1"/>
        <v>0</v>
      </c>
      <c r="R21" s="17">
        <f t="shared" si="2"/>
        <v>0</v>
      </c>
      <c r="S21" s="17">
        <f>VLOOKUP($B21,   MBI_LastBuy!$A$3:E$13199,3,FALSE)</f>
        <v>1080</v>
      </c>
      <c r="T21" s="13">
        <f>VLOOKUP($B21,   MBI_LastBuy!$A$3:E$13199,2,FALSE)</f>
        <v>0.69</v>
      </c>
      <c r="U21" s="13" t="str">
        <f>VLOOKUP($B21,   MBI_LastBuy!$A$3:E$13199,5,FALSE)</f>
        <v>USD</v>
      </c>
      <c r="V21" s="15">
        <f>VLOOKUP($B21,   MBI_LastBuy!$A$3:E$13199,4,FALSE)</f>
        <v>44131</v>
      </c>
    </row>
    <row r="22" spans="1:22" x14ac:dyDescent="0.25">
      <c r="A22" s="11" t="s">
        <v>3555</v>
      </c>
      <c r="B22" s="11">
        <v>136650</v>
      </c>
      <c r="C22" s="11" t="str">
        <f>VLOOKUP(B22,Towary_i_uslugi!$A$4:$B$1500,2)</f>
        <v>(brak)</v>
      </c>
      <c r="D22" s="11" t="s">
        <v>2421</v>
      </c>
      <c r="E22" s="11">
        <f>VLOOKUP(B22,Towary_i_uslugi!$A$3:$T$1500,3,FALSE)</f>
        <v>24</v>
      </c>
      <c r="F22" s="11" t="str">
        <f>VLOOKUP(B22,Towary_i_uslugi!$A$3:$T$1500,20,FALSE)</f>
        <v>sticker - bulk packing</v>
      </c>
      <c r="G22" s="11">
        <f>VLOOKUP(B22,MBI_Dostawcy_towarów!$A$4:$C$1399,3,FALSE)</f>
        <v>0.66700000000000004</v>
      </c>
      <c r="H22" s="11">
        <v>1</v>
      </c>
      <c r="I22" s="11">
        <v>0</v>
      </c>
      <c r="J22" s="11">
        <v>700</v>
      </c>
      <c r="K22" s="11">
        <f>_xlfn.IFNA(VLOOKUP(B22,Towary_na_zamówieniach!$A$4:$C$1500,2,FALSE),0)</f>
        <v>864</v>
      </c>
      <c r="L22" s="11">
        <f>_xlfn.IFNA(VLOOKUP(B22,Towary_na_zamówieniach!$A$4:$C$1500,3,FALSE),0)</f>
        <v>768.96</v>
      </c>
      <c r="M22" s="11">
        <f>_xlfn.IFNA(VLOOKUP(B22,MBI_Dostawcy_towarów!$A$4:$C$2000,2,FALSE),"N/A")</f>
        <v>90</v>
      </c>
      <c r="N22" s="11" t="str">
        <f>IF(VLOOKUP(B22,Towary_i_uslugi!$A$3:$T$1500,17,FALSE)=0,"!NO SUPPLIER",VLOOKUP(B22,Towary_i_uslugi!$A$3:$T$1500,17))</f>
        <v xml:space="preserve">HQ - Canada </v>
      </c>
      <c r="O22" s="11" t="str">
        <f>IF(VLOOKUP(B22,Towary_i_uslugi!$A$4:$U$1200,21,FALSE)&gt;0,VLOOKUP(B22,Towary_i_uslugi!$A$4:$U$1200,21,FALSE),"")</f>
        <v/>
      </c>
      <c r="P22" s="11">
        <f t="shared" si="0"/>
        <v>0</v>
      </c>
      <c r="Q22" s="11">
        <f t="shared" si="1"/>
        <v>0</v>
      </c>
      <c r="R22" s="17">
        <f t="shared" si="2"/>
        <v>0</v>
      </c>
      <c r="S22" s="17">
        <f>VLOOKUP($B22,   MBI_LastBuy!$A$3:E$13199,3,FALSE)</f>
        <v>48</v>
      </c>
      <c r="T22" s="13">
        <f>VLOOKUP($B22,   MBI_LastBuy!$A$3:E$13199,2,FALSE)</f>
        <v>0.89</v>
      </c>
      <c r="U22" s="13" t="str">
        <f>VLOOKUP($B22,   MBI_LastBuy!$A$3:E$13199,5,FALSE)</f>
        <v>USD</v>
      </c>
      <c r="V22" s="15">
        <f>VLOOKUP($B22,   MBI_LastBuy!$A$3:E$13199,4,FALSE)</f>
        <v>44068</v>
      </c>
    </row>
    <row r="23" spans="1:22" x14ac:dyDescent="0.25">
      <c r="A23" s="11" t="s">
        <v>3555</v>
      </c>
      <c r="B23" s="11">
        <v>136660</v>
      </c>
      <c r="C23" s="11" t="str">
        <f>VLOOKUP(B23,Towary_i_uslugi!$A$4:$B$1500,2)</f>
        <v>(brak)</v>
      </c>
      <c r="D23" s="11" t="s">
        <v>1635</v>
      </c>
      <c r="E23" s="11">
        <f>VLOOKUP(B23,Towary_i_uslugi!$A$3:$T$1500,3,FALSE)</f>
        <v>24</v>
      </c>
      <c r="F23" s="11" t="str">
        <f>VLOOKUP(B23,Towary_i_uslugi!$A$3:$T$1500,20,FALSE)</f>
        <v>sticker - bulk packing</v>
      </c>
      <c r="G23" s="11">
        <f>VLOOKUP(B23,MBI_Dostawcy_towarów!$A$4:$C$1399,3,FALSE)</f>
        <v>0.5</v>
      </c>
      <c r="H23" s="11">
        <v>381</v>
      </c>
      <c r="I23" s="11">
        <v>0</v>
      </c>
      <c r="J23" s="11">
        <v>450</v>
      </c>
      <c r="K23" s="11">
        <f>_xlfn.IFNA(VLOOKUP(B23,Towary_na_zamówieniach!$A$4:$C$1500,2,FALSE),0)</f>
        <v>576</v>
      </c>
      <c r="L23" s="11">
        <f>_xlfn.IFNA(VLOOKUP(B23,Towary_na_zamówieniach!$A$4:$C$1500,3,FALSE),0)</f>
        <v>456.19</v>
      </c>
      <c r="M23" s="11">
        <f>_xlfn.IFNA(VLOOKUP(B23,MBI_Dostawcy_towarów!$A$4:$C$2000,2,FALSE),"N/A")</f>
        <v>90</v>
      </c>
      <c r="N23" s="11" t="str">
        <f>IF(VLOOKUP(B23,Towary_i_uslugi!$A$3:$T$1500,17,FALSE)=0,"!NO SUPPLIER",VLOOKUP(B23,Towary_i_uslugi!$A$3:$T$1500,17))</f>
        <v>HQ - Canada - PRZYJĘCIE TOWARU</v>
      </c>
      <c r="O23" s="11" t="str">
        <f>IF(VLOOKUP(B23,Towary_i_uslugi!$A$4:$U$1200,21,FALSE)&gt;0,VLOOKUP(B23,Towary_i_uslugi!$A$4:$U$1200,21,FALSE),"")</f>
        <v/>
      </c>
      <c r="P23" s="11">
        <f t="shared" si="0"/>
        <v>0</v>
      </c>
      <c r="Q23" s="11">
        <f t="shared" si="1"/>
        <v>0</v>
      </c>
      <c r="R23" s="17">
        <f t="shared" si="2"/>
        <v>0</v>
      </c>
      <c r="S23" s="17">
        <f>VLOOKUP($B23,   MBI_LastBuy!$A$3:E$13199,3,FALSE)</f>
        <v>576</v>
      </c>
      <c r="T23" s="13">
        <f>VLOOKUP($B23,   MBI_LastBuy!$A$3:E$13199,2,FALSE)</f>
        <v>0.79200000000000004</v>
      </c>
      <c r="U23" s="13" t="str">
        <f>VLOOKUP($B23,   MBI_LastBuy!$A$3:E$13199,5,FALSE)</f>
        <v>USD</v>
      </c>
      <c r="V23" s="15">
        <f>VLOOKUP($B23,   MBI_LastBuy!$A$3:E$13199,4,FALSE)</f>
        <v>44095</v>
      </c>
    </row>
    <row r="24" spans="1:22" x14ac:dyDescent="0.25">
      <c r="A24" s="11" t="s">
        <v>3555</v>
      </c>
      <c r="B24" s="11">
        <v>136691</v>
      </c>
      <c r="C24" s="11" t="str">
        <f>VLOOKUP(B24,Towary_i_uslugi!$A$4:$B$1500,2)</f>
        <v>(brak)</v>
      </c>
      <c r="D24" s="11" t="s">
        <v>3590</v>
      </c>
      <c r="E24" s="11">
        <f>VLOOKUP(B24,Towary_i_uslugi!$A$3:$T$1500,3,FALSE)</f>
        <v>18</v>
      </c>
      <c r="F24" s="11" t="str">
        <f>VLOOKUP(B24,Towary_i_uslugi!$A$3:$T$1500,20,FALSE)</f>
        <v>sticker - bulk packing</v>
      </c>
      <c r="G24" s="11">
        <f>VLOOKUP(B24,MBI_Dostawcy_towarów!$A$4:$C$1399,3,FALSE)</f>
        <v>1.238</v>
      </c>
      <c r="H24" s="11">
        <v>421</v>
      </c>
      <c r="I24" s="11">
        <v>0</v>
      </c>
      <c r="J24" s="11">
        <v>500</v>
      </c>
      <c r="K24" s="11">
        <f>_xlfn.IFNA(VLOOKUP(B24,Towary_na_zamówieniach!$A$4:$C$1500,2,FALSE),0)</f>
        <v>504</v>
      </c>
      <c r="L24" s="11">
        <f>_xlfn.IFNA(VLOOKUP(B24,Towary_na_zamówieniach!$A$4:$C$1500,3,FALSE),0)</f>
        <v>739.87</v>
      </c>
      <c r="M24" s="11">
        <f>_xlfn.IFNA(VLOOKUP(B24,MBI_Dostawcy_towarów!$A$4:$C$2000,2,FALSE),"N/A")</f>
        <v>90</v>
      </c>
      <c r="N24" s="11" t="str">
        <f>IF(VLOOKUP(B24,Towary_i_uslugi!$A$3:$T$1500,17,FALSE)=0,"!NO SUPPLIER",VLOOKUP(B24,Towary_i_uslugi!$A$3:$T$1500,17))</f>
        <v xml:space="preserve">HQ - Canada </v>
      </c>
      <c r="O24" s="11" t="str">
        <f>IF(VLOOKUP(B24,Towary_i_uslugi!$A$4:$U$1200,21,FALSE)&gt;0,VLOOKUP(B24,Towary_i_uslugi!$A$4:$U$1200,21,FALSE),"")</f>
        <v/>
      </c>
      <c r="P24" s="11">
        <f t="shared" si="0"/>
        <v>0</v>
      </c>
      <c r="Q24" s="11">
        <f t="shared" si="1"/>
        <v>0</v>
      </c>
      <c r="R24" s="17">
        <f t="shared" si="2"/>
        <v>0</v>
      </c>
      <c r="S24" s="17">
        <f>VLOOKUP($B24,   MBI_LastBuy!$A$3:E$13199,3,FALSE)</f>
        <v>756</v>
      </c>
      <c r="T24" s="13">
        <f>VLOOKUP($B24,   MBI_LastBuy!$A$3:E$13199,2,FALSE)</f>
        <v>1.468</v>
      </c>
      <c r="U24" s="13" t="str">
        <f>VLOOKUP($B24,   MBI_LastBuy!$A$3:E$13199,5,FALSE)</f>
        <v>USD</v>
      </c>
      <c r="V24" s="15">
        <f>VLOOKUP($B24,   MBI_LastBuy!$A$3:E$13199,4,FALSE)</f>
        <v>44068</v>
      </c>
    </row>
    <row r="25" spans="1:22" x14ac:dyDescent="0.25">
      <c r="A25" s="11" t="s">
        <v>3555</v>
      </c>
      <c r="B25" s="11">
        <v>136865</v>
      </c>
      <c r="C25" s="11" t="str">
        <f>VLOOKUP(B25,Towary_i_uslugi!$A$4:$B$1500,2)</f>
        <v>(brak)</v>
      </c>
      <c r="D25" s="11" t="s">
        <v>2427</v>
      </c>
      <c r="E25" s="11">
        <f>VLOOKUP(B25,Towary_i_uslugi!$A$3:$T$1500,3,FALSE)</f>
        <v>24</v>
      </c>
      <c r="F25" s="11" t="str">
        <f>VLOOKUP(B25,Towary_i_uslugi!$A$3:$T$1500,20,FALSE)</f>
        <v>sticker - bulk packing</v>
      </c>
      <c r="G25" s="11">
        <f>VLOOKUP(B25,MBI_Dostawcy_towarów!$A$4:$C$1399,3,FALSE)</f>
        <v>0.59099999999999997</v>
      </c>
      <c r="H25" s="11">
        <v>17</v>
      </c>
      <c r="I25" s="11">
        <v>1</v>
      </c>
      <c r="J25" s="11">
        <v>300</v>
      </c>
      <c r="K25" s="11">
        <f>_xlfn.IFNA(VLOOKUP(B25,Towary_na_zamówieniach!$A$4:$C$1500,2,FALSE),0)</f>
        <v>432</v>
      </c>
      <c r="L25" s="11">
        <f>_xlfn.IFNA(VLOOKUP(B25,Towary_na_zamówieniach!$A$4:$C$1500,3,FALSE),0)</f>
        <v>676.94</v>
      </c>
      <c r="M25" s="11">
        <f>_xlfn.IFNA(VLOOKUP(B25,MBI_Dostawcy_towarów!$A$4:$C$2000,2,FALSE),"N/A")</f>
        <v>90</v>
      </c>
      <c r="N25" s="11" t="str">
        <f>IF(VLOOKUP(B25,Towary_i_uslugi!$A$3:$T$1500,17,FALSE)=0,"!NO SUPPLIER",VLOOKUP(B25,Towary_i_uslugi!$A$3:$T$1500,17))</f>
        <v xml:space="preserve">HQ - Canada </v>
      </c>
      <c r="O25" s="11" t="str">
        <f>IF(VLOOKUP(B25,Towary_i_uslugi!$A$4:$U$1200,21,FALSE)&gt;0,VLOOKUP(B25,Towary_i_uslugi!$A$4:$U$1200,21,FALSE),"")</f>
        <v/>
      </c>
      <c r="P25" s="11">
        <f t="shared" si="0"/>
        <v>0</v>
      </c>
      <c r="Q25" s="11">
        <f t="shared" si="1"/>
        <v>0</v>
      </c>
      <c r="R25" s="17">
        <f t="shared" si="2"/>
        <v>0</v>
      </c>
      <c r="S25" s="17">
        <f>VLOOKUP($B25,   MBI_LastBuy!$A$3:E$13199,3,FALSE)</f>
        <v>432</v>
      </c>
      <c r="T25" s="13">
        <f>VLOOKUP($B25,   MBI_LastBuy!$A$3:E$13199,2,FALSE)</f>
        <v>1.5669999999999999</v>
      </c>
      <c r="U25" s="13" t="str">
        <f>VLOOKUP($B25,   MBI_LastBuy!$A$3:E$13199,5,FALSE)</f>
        <v>USD</v>
      </c>
      <c r="V25" s="15">
        <f>VLOOKUP($B25,   MBI_LastBuy!$A$3:E$13199,4,FALSE)</f>
        <v>44074</v>
      </c>
    </row>
    <row r="26" spans="1:22" x14ac:dyDescent="0.25">
      <c r="A26" s="11" t="s">
        <v>3553</v>
      </c>
      <c r="B26" s="11">
        <v>136892</v>
      </c>
      <c r="C26" s="11" t="str">
        <f>VLOOKUP(B26,Towary_i_uslugi!$A$4:$B$1500,2)</f>
        <v>(brak)</v>
      </c>
      <c r="D26" s="11" t="s">
        <v>2603</v>
      </c>
      <c r="E26" s="11">
        <f>VLOOKUP(B26,Towary_i_uslugi!$A$3:$T$1500,3,FALSE)</f>
        <v>16</v>
      </c>
      <c r="F26" s="11" t="str">
        <f>VLOOKUP(B26,Towary_i_uslugi!$A$3:$T$1500,20,FALSE)</f>
        <v>sticker - bulk packing</v>
      </c>
      <c r="G26" s="11">
        <f>VLOOKUP(B26,MBI_Dostawcy_towarów!$A$4:$C$1399,3,FALSE)</f>
        <v>1.339</v>
      </c>
      <c r="H26" s="11">
        <v>1</v>
      </c>
      <c r="I26" s="11">
        <v>0</v>
      </c>
      <c r="J26" s="11">
        <v>200</v>
      </c>
      <c r="K26" s="11">
        <f>_xlfn.IFNA(VLOOKUP(B26,Towary_na_zamówieniach!$A$4:$C$1500,2,FALSE),0)</f>
        <v>512</v>
      </c>
      <c r="L26" s="11">
        <f>_xlfn.IFNA(VLOOKUP(B26,Towary_na_zamówieniach!$A$4:$C$1500,3,FALSE),0)</f>
        <v>815.1</v>
      </c>
      <c r="M26" s="11">
        <f>_xlfn.IFNA(VLOOKUP(B26,MBI_Dostawcy_towarów!$A$4:$C$2000,2,FALSE),"N/A")</f>
        <v>90</v>
      </c>
      <c r="N26" s="11" t="str">
        <f>IF(VLOOKUP(B26,Towary_i_uslugi!$A$3:$T$1500,17,FALSE)=0,"!NO SUPPLIER",VLOOKUP(B26,Towary_i_uslugi!$A$3:$T$1500,17))</f>
        <v>FX -MAPLE PRZYJĘCIE TOWARU !!!</v>
      </c>
      <c r="O26" s="11" t="str">
        <f>IF(VLOOKUP(B26,Towary_i_uslugi!$A$4:$U$1200,21,FALSE)&gt;0,VLOOKUP(B26,Towary_i_uslugi!$A$4:$U$1200,21,FALSE),"")</f>
        <v/>
      </c>
      <c r="P26" s="11">
        <f t="shared" si="0"/>
        <v>0</v>
      </c>
      <c r="Q26" s="11">
        <f t="shared" si="1"/>
        <v>0</v>
      </c>
      <c r="R26" s="17">
        <f t="shared" si="2"/>
        <v>0</v>
      </c>
      <c r="S26" s="17">
        <f>VLOOKUP($B26,   MBI_LastBuy!$A$3:E$13199,3,FALSE)</f>
        <v>512</v>
      </c>
      <c r="T26" s="13">
        <f>VLOOKUP($B26,   MBI_LastBuy!$A$3:E$13199,2,FALSE)</f>
        <v>1.5920000000000001</v>
      </c>
      <c r="U26" s="13" t="str">
        <f>VLOOKUP($B26,   MBI_LastBuy!$A$3:E$13199,5,FALSE)</f>
        <v>USD</v>
      </c>
      <c r="V26" s="15">
        <f>VLOOKUP($B26,   MBI_LastBuy!$A$3:E$13199,4,FALSE)</f>
        <v>43889</v>
      </c>
    </row>
    <row r="27" spans="1:22" x14ac:dyDescent="0.25">
      <c r="A27" s="11" t="s">
        <v>3553</v>
      </c>
      <c r="B27" s="11">
        <v>136900</v>
      </c>
      <c r="C27" s="11" t="str">
        <f>VLOOKUP(B27,Towary_i_uslugi!$A$4:$B$1500,2)</f>
        <v>(brak)</v>
      </c>
      <c r="D27" s="11" t="s">
        <v>1578</v>
      </c>
      <c r="E27" s="11">
        <f>VLOOKUP(B27,Towary_i_uslugi!$A$3:$T$1500,3,FALSE)</f>
        <v>18</v>
      </c>
      <c r="F27" s="11" t="str">
        <f>VLOOKUP(B27,Towary_i_uslugi!$A$3:$T$1500,20,FALSE)</f>
        <v>sticker - bulk packing</v>
      </c>
      <c r="G27" s="11">
        <f>VLOOKUP(B27,MBI_Dostawcy_towarów!$A$4:$C$1399,3,FALSE)</f>
        <v>1.242</v>
      </c>
      <c r="H27" s="11">
        <v>1</v>
      </c>
      <c r="I27" s="11">
        <v>0</v>
      </c>
      <c r="J27" s="11">
        <v>720</v>
      </c>
      <c r="K27" s="11">
        <f>_xlfn.IFNA(VLOOKUP(B27,Towary_na_zamówieniach!$A$4:$C$1500,2,FALSE),0)</f>
        <v>1440</v>
      </c>
      <c r="L27" s="11">
        <f>_xlfn.IFNA(VLOOKUP(B27,Towary_na_zamówieniach!$A$4:$C$1500,3,FALSE),0)</f>
        <v>1872</v>
      </c>
      <c r="M27" s="11">
        <f>_xlfn.IFNA(VLOOKUP(B27,MBI_Dostawcy_towarów!$A$4:$C$2000,2,FALSE),"N/A")</f>
        <v>90</v>
      </c>
      <c r="N27" s="11" t="str">
        <f>IF(VLOOKUP(B27,Towary_i_uslugi!$A$3:$T$1500,17,FALSE)=0,"!NO SUPPLIER",VLOOKUP(B27,Towary_i_uslugi!$A$3:$T$1500,17))</f>
        <v>FX -MAPLE PRZYJĘCIE TOWARU !!!</v>
      </c>
      <c r="O27" s="11" t="str">
        <f>IF(VLOOKUP(B27,Towary_i_uslugi!$A$4:$U$1200,21,FALSE)&gt;0,VLOOKUP(B27,Towary_i_uslugi!$A$4:$U$1200,21,FALSE),"")</f>
        <v/>
      </c>
      <c r="P27" s="11">
        <f t="shared" si="0"/>
        <v>0</v>
      </c>
      <c r="Q27" s="11">
        <f t="shared" si="1"/>
        <v>0</v>
      </c>
      <c r="R27" s="17">
        <f t="shared" si="2"/>
        <v>0</v>
      </c>
      <c r="S27" s="17">
        <f>VLOOKUP($B27,   MBI_LastBuy!$A$3:E$13199,3,FALSE)</f>
        <v>720</v>
      </c>
      <c r="T27" s="13">
        <f>VLOOKUP($B27,   MBI_LastBuy!$A$3:E$13199,2,FALSE)</f>
        <v>1.3</v>
      </c>
      <c r="U27" s="13" t="str">
        <f>VLOOKUP($B27,   MBI_LastBuy!$A$3:E$13199,5,FALSE)</f>
        <v>USD</v>
      </c>
      <c r="V27" s="15">
        <f>VLOOKUP($B27,   MBI_LastBuy!$A$3:E$13199,4,FALSE)</f>
        <v>43936</v>
      </c>
    </row>
    <row r="28" spans="1:22" x14ac:dyDescent="0.25">
      <c r="A28" s="11" t="s">
        <v>3555</v>
      </c>
      <c r="B28" s="11">
        <v>136920</v>
      </c>
      <c r="C28" s="11" t="str">
        <f>VLOOKUP(B28,Towary_i_uslugi!$A$4:$B$1500,2)</f>
        <v>(brak)</v>
      </c>
      <c r="D28" s="11" t="s">
        <v>13</v>
      </c>
      <c r="E28" s="11">
        <f>VLOOKUP(B28,Towary_i_uslugi!$A$3:$T$1500,3,FALSE)</f>
        <v>24</v>
      </c>
      <c r="F28" s="11" t="str">
        <f>VLOOKUP(B28,Towary_i_uslugi!$A$3:$T$1500,20,FALSE)</f>
        <v>polybag header</v>
      </c>
      <c r="G28" s="11">
        <f>VLOOKUP(B28,MBI_Dostawcy_towarów!$A$4:$C$1399,3,FALSE)</f>
        <v>0.40899999999999997</v>
      </c>
      <c r="H28" s="11">
        <v>1</v>
      </c>
      <c r="I28" s="11">
        <v>0</v>
      </c>
      <c r="J28" s="11">
        <v>700</v>
      </c>
      <c r="K28" s="11">
        <f>_xlfn.IFNA(VLOOKUP(B28,Towary_na_zamówieniach!$A$4:$C$1500,2,FALSE),0)</f>
        <v>1200</v>
      </c>
      <c r="L28" s="11">
        <f>_xlfn.IFNA(VLOOKUP(B28,Towary_na_zamówieniach!$A$4:$C$1500,3,FALSE),0)</f>
        <v>2280</v>
      </c>
      <c r="M28" s="11">
        <f>_xlfn.IFNA(VLOOKUP(B28,MBI_Dostawcy_towarów!$A$4:$C$2000,2,FALSE),"N/A")</f>
        <v>90</v>
      </c>
      <c r="N28" s="11" t="str">
        <f>IF(VLOOKUP(B28,Towary_i_uslugi!$A$3:$T$1500,17,FALSE)=0,"!NO SUPPLIER",VLOOKUP(B28,Towary_i_uslugi!$A$3:$T$1500,17))</f>
        <v>HQ - Canada - PRZYJĘCIE TOWARU</v>
      </c>
      <c r="O28" s="11" t="str">
        <f>IF(VLOOKUP(B28,Towary_i_uslugi!$A$4:$U$1200,21,FALSE)&gt;0,VLOOKUP(B28,Towary_i_uslugi!$A$4:$U$1200,21,FALSE),"")</f>
        <v/>
      </c>
      <c r="P28" s="11">
        <f t="shared" si="0"/>
        <v>0</v>
      </c>
      <c r="Q28" s="11">
        <f t="shared" si="1"/>
        <v>0</v>
      </c>
      <c r="R28" s="17">
        <f t="shared" si="2"/>
        <v>0</v>
      </c>
      <c r="S28" s="17">
        <f>VLOOKUP($B28,   MBI_LastBuy!$A$3:E$13199,3,FALSE)</f>
        <v>480</v>
      </c>
      <c r="T28" s="13">
        <f>VLOOKUP($B28,   MBI_LastBuy!$A$3:E$13199,2,FALSE)</f>
        <v>1.9</v>
      </c>
      <c r="U28" s="13" t="str">
        <f>VLOOKUP($B28,   MBI_LastBuy!$A$3:E$13199,5,FALSE)</f>
        <v>USD</v>
      </c>
      <c r="V28" s="15">
        <f>VLOOKUP($B28,   MBI_LastBuy!$A$3:E$13199,4,FALSE)</f>
        <v>44120</v>
      </c>
    </row>
    <row r="29" spans="1:22" x14ac:dyDescent="0.25">
      <c r="A29" s="11" t="s">
        <v>3553</v>
      </c>
      <c r="B29" s="11">
        <v>136930</v>
      </c>
      <c r="C29" s="11" t="str">
        <f>VLOOKUP(B29,Towary_i_uslugi!$A$4:$B$1500,2)</f>
        <v>(brak)</v>
      </c>
      <c r="D29" s="11" t="s">
        <v>2763</v>
      </c>
      <c r="E29" s="11">
        <f>VLOOKUP(B29,Towary_i_uslugi!$A$3:$T$1500,3,FALSE)</f>
        <v>24</v>
      </c>
      <c r="F29" s="11" t="str">
        <f>VLOOKUP(B29,Towary_i_uslugi!$A$3:$T$1500,20,FALSE)</f>
        <v>polybag header</v>
      </c>
      <c r="G29" s="11">
        <f>VLOOKUP(B29,MBI_Dostawcy_towarów!$A$4:$C$1399,3,FALSE)</f>
        <v>0.183</v>
      </c>
      <c r="H29" s="11">
        <v>1</v>
      </c>
      <c r="I29" s="11">
        <v>0</v>
      </c>
      <c r="J29" s="11">
        <v>600</v>
      </c>
      <c r="K29" s="11">
        <f>_xlfn.IFNA(VLOOKUP(B29,Towary_na_zamówieniach!$A$4:$C$1500,2,FALSE),0)</f>
        <v>1200</v>
      </c>
      <c r="L29" s="11">
        <f>_xlfn.IFNA(VLOOKUP(B29,Towary_na_zamówieniach!$A$4:$C$1500,3,FALSE),0)</f>
        <v>2112</v>
      </c>
      <c r="M29" s="11">
        <f>_xlfn.IFNA(VLOOKUP(B29,MBI_Dostawcy_towarów!$A$4:$C$2000,2,FALSE),"N/A")</f>
        <v>90</v>
      </c>
      <c r="N29" s="11" t="str">
        <f>IF(VLOOKUP(B29,Towary_i_uslugi!$A$3:$T$1500,17,FALSE)=0,"!NO SUPPLIER",VLOOKUP(B29,Towary_i_uslugi!$A$3:$T$1500,17))</f>
        <v>FX -MAPLE Frank Xu</v>
      </c>
      <c r="O29" s="11" t="str">
        <f>IF(VLOOKUP(B29,Towary_i_uslugi!$A$4:$U$1200,21,FALSE)&gt;0,VLOOKUP(B29,Towary_i_uslugi!$A$4:$U$1200,21,FALSE),"")</f>
        <v>MBI29.1.19 * first delivery</v>
      </c>
      <c r="P29" s="11">
        <f t="shared" si="0"/>
        <v>0</v>
      </c>
      <c r="Q29" s="11">
        <f t="shared" si="1"/>
        <v>0</v>
      </c>
      <c r="R29" s="17">
        <f t="shared" si="2"/>
        <v>0</v>
      </c>
      <c r="S29" s="17">
        <f>VLOOKUP($B29,   MBI_LastBuy!$A$3:E$13199,3,FALSE)</f>
        <v>600</v>
      </c>
      <c r="T29" s="13">
        <f>VLOOKUP($B29,   MBI_LastBuy!$A$3:E$13199,2,FALSE)</f>
        <v>1.8</v>
      </c>
      <c r="U29" s="13" t="str">
        <f>VLOOKUP($B29,   MBI_LastBuy!$A$3:E$13199,5,FALSE)</f>
        <v>USD</v>
      </c>
      <c r="V29" s="15">
        <f>VLOOKUP($B29,   MBI_LastBuy!$A$3:E$13199,4,FALSE)</f>
        <v>44141</v>
      </c>
    </row>
    <row r="30" spans="1:22" x14ac:dyDescent="0.25">
      <c r="A30" s="11" t="s">
        <v>3556</v>
      </c>
      <c r="B30" s="11">
        <v>136950</v>
      </c>
      <c r="C30" s="11" t="str">
        <f>VLOOKUP(B30,Towary_i_uslugi!$A$4:$B$1500,2)</f>
        <v>(brak)</v>
      </c>
      <c r="D30" s="11" t="s">
        <v>3591</v>
      </c>
      <c r="E30" s="11">
        <f>VLOOKUP(B30,Towary_i_uslugi!$A$3:$T$1500,3,FALSE)</f>
        <v>12</v>
      </c>
      <c r="F30" s="11" t="str">
        <f>VLOOKUP(B30,Towary_i_uslugi!$A$3:$T$1500,20,FALSE)</f>
        <v>display carton + sticker</v>
      </c>
      <c r="G30" s="11">
        <f>VLOOKUP(B30,MBI_Dostawcy_towarów!$A$4:$C$1399,3,FALSE)</f>
        <v>0.41699999999999998</v>
      </c>
      <c r="H30" s="11">
        <v>179</v>
      </c>
      <c r="I30" s="11">
        <v>72</v>
      </c>
      <c r="J30" s="11">
        <v>130</v>
      </c>
      <c r="K30" s="11">
        <f>_xlfn.IFNA(VLOOKUP(B30,Towary_na_zamówieniach!$A$4:$C$1500,2,FALSE),0)</f>
        <v>0</v>
      </c>
      <c r="L30" s="11">
        <f>_xlfn.IFNA(VLOOKUP(B30,Towary_na_zamówieniach!$A$4:$C$1500,3,FALSE),0)</f>
        <v>0</v>
      </c>
      <c r="M30" s="11">
        <f>_xlfn.IFNA(VLOOKUP(B30,MBI_Dostawcy_towarów!$A$4:$C$2000,2,FALSE),"N/A")</f>
        <v>90</v>
      </c>
      <c r="N30" s="11" t="str">
        <f>IF(VLOOKUP(B30,Towary_i_uslugi!$A$3:$T$1500,17,FALSE)=0,"!NO SUPPLIER",VLOOKUP(B30,Towary_i_uslugi!$A$3:$T$1500,17))</f>
        <v xml:space="preserve">LF rozrachunki </v>
      </c>
      <c r="O30" s="11" t="str">
        <f>IF(VLOOKUP(B30,Towary_i_uslugi!$A$4:$U$1200,21,FALSE)&gt;0,VLOOKUP(B30,Towary_i_uslugi!$A$4:$U$1200,21,FALSE),"")</f>
        <v>MBI29.1.19 * packing check</v>
      </c>
      <c r="P30" s="11">
        <f t="shared" si="0"/>
        <v>11</v>
      </c>
      <c r="Q30" s="11">
        <f t="shared" si="1"/>
        <v>132</v>
      </c>
      <c r="R30" s="17">
        <f t="shared" si="2"/>
        <v>586.08000000000004</v>
      </c>
      <c r="S30" s="17">
        <f>VLOOKUP($B30,   MBI_LastBuy!$A$3:E$13199,3,FALSE)</f>
        <v>240</v>
      </c>
      <c r="T30" s="13">
        <f>VLOOKUP($B30,   MBI_LastBuy!$A$3:E$13199,2,FALSE)</f>
        <v>4.4400000000000004</v>
      </c>
      <c r="U30" s="13" t="str">
        <f>VLOOKUP($B30,   MBI_LastBuy!$A$3:E$13199,5,FALSE)</f>
        <v>USD</v>
      </c>
      <c r="V30" s="15">
        <f>VLOOKUP($B30,   MBI_LastBuy!$A$3:E$13199,4,FALSE)</f>
        <v>44068</v>
      </c>
    </row>
    <row r="31" spans="1:22" x14ac:dyDescent="0.25">
      <c r="A31" s="11" t="s">
        <v>3554</v>
      </c>
      <c r="B31" s="11">
        <v>137300</v>
      </c>
      <c r="C31" s="11" t="str">
        <f>VLOOKUP(B31,Towary_i_uslugi!$A$4:$B$1500,2)</f>
        <v>(brak)</v>
      </c>
      <c r="D31" s="11" t="s">
        <v>2515</v>
      </c>
      <c r="E31" s="11">
        <f>VLOOKUP(B31,Towary_i_uslugi!$A$3:$T$1500,3,FALSE)</f>
        <v>24</v>
      </c>
      <c r="F31" s="11" t="str">
        <f>VLOOKUP(B31,Towary_i_uslugi!$A$3:$T$1500,20,FALSE)</f>
        <v>pvc bag</v>
      </c>
      <c r="G31" s="11">
        <f>VLOOKUP(B31,MBI_Dostawcy_towarów!$A$4:$C$1399,3,FALSE)</f>
        <v>0.378</v>
      </c>
      <c r="H31" s="11">
        <v>1</v>
      </c>
      <c r="I31" s="11">
        <v>0</v>
      </c>
      <c r="J31" s="11">
        <v>1200</v>
      </c>
      <c r="K31" s="11">
        <f>_xlfn.IFNA(VLOOKUP(B31,Towary_na_zamówieniach!$A$4:$C$1500,2,FALSE),0)</f>
        <v>1536</v>
      </c>
      <c r="L31" s="11">
        <f>_xlfn.IFNA(VLOOKUP(B31,Towary_na_zamówieniach!$A$4:$C$1500,3,FALSE),0)</f>
        <v>906.24</v>
      </c>
      <c r="M31" s="11">
        <f>_xlfn.IFNA(VLOOKUP(B31,MBI_Dostawcy_towarów!$A$4:$C$2000,2,FALSE),"N/A")</f>
        <v>120</v>
      </c>
      <c r="N31" s="11" t="str">
        <f>IF(VLOOKUP(B31,Towary_i_uslugi!$A$3:$T$1500,17,FALSE)=0,"!NO SUPPLIER",VLOOKUP(B31,Towary_i_uslugi!$A$3:$T$1500,17))</f>
        <v>BW</v>
      </c>
      <c r="O31" s="11" t="str">
        <f>IF(VLOOKUP(B31,Towary_i_uslugi!$A$4:$U$1200,21,FALSE)&gt;0,VLOOKUP(B31,Towary_i_uslugi!$A$4:$U$1200,21,FALSE),"")</f>
        <v/>
      </c>
      <c r="P31" s="11">
        <f t="shared" si="0"/>
        <v>0</v>
      </c>
      <c r="Q31" s="11">
        <f t="shared" si="1"/>
        <v>0</v>
      </c>
      <c r="R31" s="17">
        <f t="shared" si="2"/>
        <v>0</v>
      </c>
      <c r="S31" s="17">
        <f>VLOOKUP($B31,   MBI_LastBuy!$A$3:E$13199,3,FALSE)</f>
        <v>1536</v>
      </c>
      <c r="T31" s="13">
        <f>VLOOKUP($B31,   MBI_LastBuy!$A$3:E$13199,2,FALSE)</f>
        <v>0.59</v>
      </c>
      <c r="U31" s="13" t="str">
        <f>VLOOKUP($B31,   MBI_LastBuy!$A$3:E$13199,5,FALSE)</f>
        <v>USD</v>
      </c>
      <c r="V31" s="15">
        <f>VLOOKUP($B31,   MBI_LastBuy!$A$3:E$13199,4,FALSE)</f>
        <v>44071</v>
      </c>
    </row>
    <row r="32" spans="1:22" x14ac:dyDescent="0.25">
      <c r="A32" s="11" t="s">
        <v>3552</v>
      </c>
      <c r="B32" s="11">
        <v>137600</v>
      </c>
      <c r="C32" s="11" t="str">
        <f>VLOOKUP(B32,Towary_i_uslugi!$A$4:$B$1500,2)</f>
        <v>(brak)</v>
      </c>
      <c r="D32" s="11" t="s">
        <v>2674</v>
      </c>
      <c r="E32" s="11">
        <f>VLOOKUP(B32,Towary_i_uslugi!$A$3:$T$1500,3,FALSE)</f>
        <v>25</v>
      </c>
      <c r="F32" s="11" t="str">
        <f>VLOOKUP(B32,Towary_i_uslugi!$A$3:$T$1500,20,FALSE)</f>
        <v>pvc bag</v>
      </c>
      <c r="G32" s="11">
        <f>VLOOKUP(B32,MBI_Dostawcy_towarów!$A$4:$C$1399,3,FALSE)</f>
        <v>0.75</v>
      </c>
      <c r="H32" s="11">
        <v>234</v>
      </c>
      <c r="I32" s="11">
        <v>25</v>
      </c>
      <c r="J32" s="11">
        <v>700</v>
      </c>
      <c r="K32" s="11">
        <f>_xlfn.IFNA(VLOOKUP(B32,Towary_na_zamówieniach!$A$4:$C$1500,2,FALSE),0)</f>
        <v>750</v>
      </c>
      <c r="L32" s="11">
        <f>_xlfn.IFNA(VLOOKUP(B32,Towary_na_zamówieniach!$A$4:$C$1500,3,FALSE),0)</f>
        <v>922.5</v>
      </c>
      <c r="M32" s="11">
        <f>_xlfn.IFNA(VLOOKUP(B32,MBI_Dostawcy_towarów!$A$4:$C$2000,2,FALSE),"N/A")</f>
        <v>90</v>
      </c>
      <c r="N32" s="11" t="str">
        <f>IF(VLOOKUP(B32,Towary_i_uslugi!$A$3:$T$1500,17,FALSE)=0,"!NO SUPPLIER",VLOOKUP(B32,Towary_i_uslugi!$A$3:$T$1500,17))</f>
        <v>XM</v>
      </c>
      <c r="O32" s="11" t="str">
        <f>IF(VLOOKUP(B32,Towary_i_uslugi!$A$4:$U$1200,21,FALSE)&gt;0,VLOOKUP(B32,Towary_i_uslugi!$A$4:$U$1200,21,FALSE),"")</f>
        <v/>
      </c>
      <c r="P32" s="11">
        <f t="shared" si="0"/>
        <v>0</v>
      </c>
      <c r="Q32" s="11">
        <f t="shared" si="1"/>
        <v>0</v>
      </c>
      <c r="R32" s="17">
        <f t="shared" si="2"/>
        <v>0</v>
      </c>
      <c r="S32" s="17">
        <f>VLOOKUP($B32,   MBI_LastBuy!$A$3:E$13199,3,FALSE)</f>
        <v>750</v>
      </c>
      <c r="T32" s="13">
        <f>VLOOKUP($B32,   MBI_LastBuy!$A$3:E$13199,2,FALSE)</f>
        <v>1.23</v>
      </c>
      <c r="U32" s="13" t="str">
        <f>VLOOKUP($B32,   MBI_LastBuy!$A$3:E$13199,5,FALSE)</f>
        <v>USD</v>
      </c>
      <c r="V32" s="15">
        <f>VLOOKUP($B32,   MBI_LastBuy!$A$3:E$13199,4,FALSE)</f>
        <v>44097</v>
      </c>
    </row>
    <row r="33" spans="1:22" x14ac:dyDescent="0.25">
      <c r="A33" s="11" t="s">
        <v>3553</v>
      </c>
      <c r="B33" s="11">
        <v>140060</v>
      </c>
      <c r="C33" s="11" t="str">
        <f>VLOOKUP(B33,Towary_i_uslugi!$A$4:$B$1500,2)</f>
        <v>(brak)</v>
      </c>
      <c r="D33" s="11" t="s">
        <v>2675</v>
      </c>
      <c r="E33" s="11">
        <f>VLOOKUP(B33,Towary_i_uslugi!$A$3:$T$1500,3,FALSE)</f>
        <v>60</v>
      </c>
      <c r="F33" s="11" t="str">
        <f>VLOOKUP(B33,Towary_i_uslugi!$A$3:$T$1500,20,FALSE)</f>
        <v>plastic header</v>
      </c>
      <c r="G33" s="11">
        <f>VLOOKUP(B33,MBI_Dostawcy_towarów!$A$4:$C$1399,3,FALSE)</f>
        <v>0.22900000000000001</v>
      </c>
      <c r="H33" s="11">
        <v>205</v>
      </c>
      <c r="I33" s="11">
        <v>10</v>
      </c>
      <c r="J33" s="11">
        <v>360</v>
      </c>
      <c r="K33" s="11">
        <f>_xlfn.IFNA(VLOOKUP(B33,Towary_na_zamówieniach!$A$4:$C$1500,2,FALSE),0)</f>
        <v>960</v>
      </c>
      <c r="L33" s="11">
        <f>_xlfn.IFNA(VLOOKUP(B33,Towary_na_zamówieniach!$A$4:$C$1500,3,FALSE),0)</f>
        <v>1017.6</v>
      </c>
      <c r="M33" s="11">
        <f>_xlfn.IFNA(VLOOKUP(B33,MBI_Dostawcy_towarów!$A$4:$C$2000,2,FALSE),"N/A")</f>
        <v>90</v>
      </c>
      <c r="N33" s="11" t="str">
        <f>IF(VLOOKUP(B33,Towary_i_uslugi!$A$3:$T$1500,17,FALSE)=0,"!NO SUPPLIER",VLOOKUP(B33,Towary_i_uslugi!$A$3:$T$1500,17))</f>
        <v>FX -MAPLE Frank Xu</v>
      </c>
      <c r="O33" s="11" t="str">
        <f>IF(VLOOKUP(B33,Towary_i_uslugi!$A$4:$U$1200,21,FALSE)&gt;0,VLOOKUP(B33,Towary_i_uslugi!$A$4:$U$1200,21,FALSE),"")</f>
        <v/>
      </c>
      <c r="P33" s="11">
        <f t="shared" si="0"/>
        <v>0</v>
      </c>
      <c r="Q33" s="11">
        <f t="shared" si="1"/>
        <v>0</v>
      </c>
      <c r="R33" s="17">
        <f t="shared" si="2"/>
        <v>0</v>
      </c>
      <c r="S33" s="17">
        <f>VLOOKUP($B33,   MBI_LastBuy!$A$3:E$13199,3,FALSE)</f>
        <v>960</v>
      </c>
      <c r="T33" s="13">
        <f>VLOOKUP($B33,   MBI_LastBuy!$A$3:E$13199,2,FALSE)</f>
        <v>1.06</v>
      </c>
      <c r="U33" s="13" t="str">
        <f>VLOOKUP($B33,   MBI_LastBuy!$A$3:E$13199,5,FALSE)</f>
        <v>USD</v>
      </c>
      <c r="V33" s="15">
        <f>VLOOKUP($B33,   MBI_LastBuy!$A$3:E$13199,4,FALSE)</f>
        <v>44091</v>
      </c>
    </row>
    <row r="34" spans="1:22" x14ac:dyDescent="0.25">
      <c r="A34" s="11" t="s">
        <v>3553</v>
      </c>
      <c r="B34" s="11">
        <v>140080</v>
      </c>
      <c r="C34" s="11" t="str">
        <f>VLOOKUP(B34,Towary_i_uslugi!$A$4:$B$1500,2)</f>
        <v>(brak)</v>
      </c>
      <c r="D34" s="11" t="s">
        <v>14</v>
      </c>
      <c r="E34" s="11">
        <f>VLOOKUP(B34,Towary_i_uslugi!$A$3:$T$1500,3,FALSE)</f>
        <v>60</v>
      </c>
      <c r="F34" s="11" t="str">
        <f>VLOOKUP(B34,Towary_i_uslugi!$A$3:$T$1500,20,FALSE)</f>
        <v>plastic header</v>
      </c>
      <c r="G34" s="11">
        <f>VLOOKUP(B34,MBI_Dostawcy_towarów!$A$4:$C$1399,3,FALSE)</f>
        <v>0.36699999999999999</v>
      </c>
      <c r="H34" s="11">
        <v>541</v>
      </c>
      <c r="I34" s="11">
        <v>1</v>
      </c>
      <c r="J34" s="11">
        <v>800</v>
      </c>
      <c r="K34" s="11">
        <f>_xlfn.IFNA(VLOOKUP(B34,Towary_na_zamówieniach!$A$4:$C$1500,2,FALSE),0)</f>
        <v>960</v>
      </c>
      <c r="L34" s="11">
        <f>_xlfn.IFNA(VLOOKUP(B34,Towary_na_zamówieniach!$A$4:$C$1500,3,FALSE),0)</f>
        <v>1248</v>
      </c>
      <c r="M34" s="11">
        <f>_xlfn.IFNA(VLOOKUP(B34,MBI_Dostawcy_towarów!$A$4:$C$2000,2,FALSE),"N/A")</f>
        <v>90</v>
      </c>
      <c r="N34" s="11" t="str">
        <f>IF(VLOOKUP(B34,Towary_i_uslugi!$A$3:$T$1500,17,FALSE)=0,"!NO SUPPLIER",VLOOKUP(B34,Towary_i_uslugi!$A$3:$T$1500,17))</f>
        <v>FX -MAPLE Frank Xu</v>
      </c>
      <c r="O34" s="11" t="str">
        <f>IF(VLOOKUP(B34,Towary_i_uslugi!$A$4:$U$1200,21,FALSE)&gt;0,VLOOKUP(B34,Towary_i_uslugi!$A$4:$U$1200,21,FALSE),"")</f>
        <v/>
      </c>
      <c r="P34" s="11">
        <f t="shared" si="0"/>
        <v>0</v>
      </c>
      <c r="Q34" s="11">
        <f t="shared" si="1"/>
        <v>0</v>
      </c>
      <c r="R34" s="17">
        <f t="shared" si="2"/>
        <v>0</v>
      </c>
      <c r="S34" s="17">
        <f>VLOOKUP($B34,   MBI_LastBuy!$A$3:E$13199,3,FALSE)</f>
        <v>960</v>
      </c>
      <c r="T34" s="13">
        <f>VLOOKUP($B34,   MBI_LastBuy!$A$3:E$13199,2,FALSE)</f>
        <v>1.3</v>
      </c>
      <c r="U34" s="13" t="str">
        <f>VLOOKUP($B34,   MBI_LastBuy!$A$3:E$13199,5,FALSE)</f>
        <v>USD</v>
      </c>
      <c r="V34" s="15">
        <f>VLOOKUP($B34,   MBI_LastBuy!$A$3:E$13199,4,FALSE)</f>
        <v>44091</v>
      </c>
    </row>
    <row r="35" spans="1:22" x14ac:dyDescent="0.25">
      <c r="A35" s="11" t="s">
        <v>3553</v>
      </c>
      <c r="B35" s="11">
        <v>140160</v>
      </c>
      <c r="C35" s="11" t="str">
        <f>VLOOKUP(B35,Towary_i_uslugi!$A$4:$B$1500,2)</f>
        <v>(brak)</v>
      </c>
      <c r="D35" s="11" t="s">
        <v>2764</v>
      </c>
      <c r="E35" s="11">
        <f>VLOOKUP(B35,Towary_i_uslugi!$A$3:$T$1500,3,FALSE)</f>
        <v>60</v>
      </c>
      <c r="F35" s="11" t="str">
        <f>VLOOKUP(B35,Towary_i_uslugi!$A$3:$T$1500,20,FALSE)</f>
        <v>plastic header</v>
      </c>
      <c r="G35" s="11">
        <f>VLOOKUP(B35,MBI_Dostawcy_towarów!$A$4:$C$1399,3,FALSE)</f>
        <v>0.247</v>
      </c>
      <c r="H35" s="11">
        <v>276</v>
      </c>
      <c r="I35" s="11">
        <v>0</v>
      </c>
      <c r="J35" s="11">
        <v>650</v>
      </c>
      <c r="K35" s="11">
        <f>_xlfn.IFNA(VLOOKUP(B35,Towary_na_zamówieniach!$A$4:$C$1500,2,FALSE),0)</f>
        <v>1200</v>
      </c>
      <c r="L35" s="11">
        <f>_xlfn.IFNA(VLOOKUP(B35,Towary_na_zamówieniach!$A$4:$C$1500,3,FALSE),0)</f>
        <v>1296</v>
      </c>
      <c r="M35" s="11">
        <f>_xlfn.IFNA(VLOOKUP(B35,MBI_Dostawcy_towarów!$A$4:$C$2000,2,FALSE),"N/A")</f>
        <v>90</v>
      </c>
      <c r="N35" s="11" t="str">
        <f>IF(VLOOKUP(B35,Towary_i_uslugi!$A$3:$T$1500,17,FALSE)=0,"!NO SUPPLIER",VLOOKUP(B35,Towary_i_uslugi!$A$3:$T$1500,17))</f>
        <v>FX -MAPLE Frank Xu</v>
      </c>
      <c r="O35" s="11" t="str">
        <f>IF(VLOOKUP(B35,Towary_i_uslugi!$A$4:$U$1200,21,FALSE)&gt;0,VLOOKUP(B35,Towary_i_uslugi!$A$4:$U$1200,21,FALSE),"")</f>
        <v>MBA*17.12.19*STICKER</v>
      </c>
      <c r="P35" s="11">
        <f t="shared" si="0"/>
        <v>0</v>
      </c>
      <c r="Q35" s="11">
        <f t="shared" si="1"/>
        <v>0</v>
      </c>
      <c r="R35" s="17">
        <f t="shared" si="2"/>
        <v>0</v>
      </c>
      <c r="S35" s="17">
        <f>VLOOKUP($B35,   MBI_LastBuy!$A$3:E$13199,3,FALSE)</f>
        <v>1200</v>
      </c>
      <c r="T35" s="13">
        <f>VLOOKUP($B35,   MBI_LastBuy!$A$3:E$13199,2,FALSE)</f>
        <v>1.08</v>
      </c>
      <c r="U35" s="13" t="str">
        <f>VLOOKUP($B35,   MBI_LastBuy!$A$3:E$13199,5,FALSE)</f>
        <v>USD</v>
      </c>
      <c r="V35" s="15">
        <f>VLOOKUP($B35,   MBI_LastBuy!$A$3:E$13199,4,FALSE)</f>
        <v>44117</v>
      </c>
    </row>
    <row r="36" spans="1:22" x14ac:dyDescent="0.25">
      <c r="A36" s="11" t="s">
        <v>3556</v>
      </c>
      <c r="B36" s="11">
        <v>141160</v>
      </c>
      <c r="C36" s="11" t="str">
        <f>VLOOKUP(B36,Towary_i_uslugi!$A$4:$B$1500,2)</f>
        <v>(brak)</v>
      </c>
      <c r="D36" s="11" t="s">
        <v>2676</v>
      </c>
      <c r="E36" s="11">
        <f>VLOOKUP(B36,Towary_i_uslugi!$A$3:$T$1500,3,FALSE)</f>
        <v>60</v>
      </c>
      <c r="F36" s="11" t="str">
        <f>VLOOKUP(B36,Towary_i_uslugi!$A$3:$T$1500,20,FALSE)</f>
        <v>plastic header</v>
      </c>
      <c r="G36" s="11">
        <f>VLOOKUP(B36,MBI_Dostawcy_towarów!$A$4:$C$1399,3,FALSE)</f>
        <v>0.193</v>
      </c>
      <c r="H36" s="11">
        <v>275</v>
      </c>
      <c r="I36" s="11">
        <v>0</v>
      </c>
      <c r="J36" s="11">
        <v>300</v>
      </c>
      <c r="K36" s="11">
        <f>_xlfn.IFNA(VLOOKUP(B36,Towary_na_zamówieniach!$A$4:$C$1500,2,FALSE),0)</f>
        <v>960</v>
      </c>
      <c r="L36" s="11">
        <f>_xlfn.IFNA(VLOOKUP(B36,Towary_na_zamówieniach!$A$4:$C$1500,3,FALSE),0)</f>
        <v>899.52</v>
      </c>
      <c r="M36" s="11">
        <f>_xlfn.IFNA(VLOOKUP(B36,MBI_Dostawcy_towarów!$A$4:$C$2000,2,FALSE),"N/A")</f>
        <v>90</v>
      </c>
      <c r="N36" s="11" t="str">
        <f>IF(VLOOKUP(B36,Towary_i_uslugi!$A$3:$T$1500,17,FALSE)=0,"!NO SUPPLIER",VLOOKUP(B36,Towary_i_uslugi!$A$3:$T$1500,17))</f>
        <v xml:space="preserve">LF rozrachunki </v>
      </c>
      <c r="O36" s="11" t="str">
        <f>IF(VLOOKUP(B36,Towary_i_uslugi!$A$4:$U$1200,21,FALSE)&gt;0,VLOOKUP(B36,Towary_i_uslugi!$A$4:$U$1200,21,FALSE),"")</f>
        <v/>
      </c>
      <c r="P36" s="11">
        <f t="shared" si="0"/>
        <v>0</v>
      </c>
      <c r="Q36" s="11">
        <f t="shared" si="1"/>
        <v>0</v>
      </c>
      <c r="R36" s="17">
        <f t="shared" si="2"/>
        <v>0</v>
      </c>
      <c r="S36" s="17">
        <f>VLOOKUP($B36,   MBI_LastBuy!$A$3:E$13199,3,FALSE)</f>
        <v>960</v>
      </c>
      <c r="T36" s="13">
        <f>VLOOKUP($B36,   MBI_LastBuy!$A$3:E$13199,2,FALSE)</f>
        <v>0.93700000000000006</v>
      </c>
      <c r="U36" s="13" t="str">
        <f>VLOOKUP($B36,   MBI_LastBuy!$A$3:E$13199,5,FALSE)</f>
        <v>USD</v>
      </c>
      <c r="V36" s="15">
        <f>VLOOKUP($B36,   MBI_LastBuy!$A$3:E$13199,4,FALSE)</f>
        <v>44070</v>
      </c>
    </row>
    <row r="37" spans="1:22" x14ac:dyDescent="0.25">
      <c r="A37" s="11" t="s">
        <v>3553</v>
      </c>
      <c r="B37" s="11">
        <v>156140</v>
      </c>
      <c r="C37" s="11" t="str">
        <f>VLOOKUP(B37,Towary_i_uslugi!$A$4:$B$1500,2)</f>
        <v>(brak)</v>
      </c>
      <c r="D37" s="11" t="s">
        <v>2765</v>
      </c>
      <c r="E37" s="11">
        <f>VLOOKUP(B37,Towary_i_uslugi!$A$3:$T$1500,3,FALSE)</f>
        <v>24</v>
      </c>
      <c r="F37" s="11" t="str">
        <f>VLOOKUP(B37,Towary_i_uslugi!$A$3:$T$1500,20,FALSE)</f>
        <v>slide blister card</v>
      </c>
      <c r="G37" s="11">
        <f>VLOOKUP(B37,MBI_Dostawcy_towarów!$A$4:$C$1399,3,FALSE)</f>
        <v>0.30399999999999999</v>
      </c>
      <c r="H37" s="11">
        <v>1</v>
      </c>
      <c r="I37" s="11">
        <v>0</v>
      </c>
      <c r="J37" s="11">
        <v>264</v>
      </c>
      <c r="K37" s="11">
        <f>_xlfn.IFNA(VLOOKUP(B37,Towary_na_zamówieniach!$A$4:$C$1500,2,FALSE),0)</f>
        <v>576</v>
      </c>
      <c r="L37" s="11">
        <f>_xlfn.IFNA(VLOOKUP(B37,Towary_na_zamówieniach!$A$4:$C$1500,3,FALSE),0)</f>
        <v>1486.08</v>
      </c>
      <c r="M37" s="11">
        <f>_xlfn.IFNA(VLOOKUP(B37,MBI_Dostawcy_towarów!$A$4:$C$2000,2,FALSE),"N/A")</f>
        <v>90</v>
      </c>
      <c r="N37" s="11" t="str">
        <f>IF(VLOOKUP(B37,Towary_i_uslugi!$A$3:$T$1500,17,FALSE)=0,"!NO SUPPLIER",VLOOKUP(B37,Towary_i_uslugi!$A$3:$T$1500,17))</f>
        <v>FX -MAPLE Frank Xu</v>
      </c>
      <c r="O37" s="11" t="str">
        <f>IF(VLOOKUP(B37,Towary_i_uslugi!$A$4:$U$1200,21,FALSE)&gt;0,VLOOKUP(B37,Towary_i_uslugi!$A$4:$U$1200,21,FALSE),"")</f>
        <v/>
      </c>
      <c r="P37" s="11">
        <f t="shared" si="0"/>
        <v>0</v>
      </c>
      <c r="Q37" s="11">
        <f t="shared" si="1"/>
        <v>0</v>
      </c>
      <c r="R37" s="17">
        <f t="shared" si="2"/>
        <v>0</v>
      </c>
      <c r="S37" s="17">
        <f>VLOOKUP($B37,   MBI_LastBuy!$A$3:E$13199,3,FALSE)</f>
        <v>576</v>
      </c>
      <c r="T37" s="13">
        <f>VLOOKUP($B37,   MBI_LastBuy!$A$3:E$13199,2,FALSE)</f>
        <v>2.58</v>
      </c>
      <c r="U37" s="13" t="str">
        <f>VLOOKUP($B37,   MBI_LastBuy!$A$3:E$13199,5,FALSE)</f>
        <v>USD</v>
      </c>
      <c r="V37" s="15">
        <f>VLOOKUP($B37,   MBI_LastBuy!$A$3:E$13199,4,FALSE)</f>
        <v>43998</v>
      </c>
    </row>
    <row r="38" spans="1:22" x14ac:dyDescent="0.25">
      <c r="A38" s="11" t="s">
        <v>3554</v>
      </c>
      <c r="B38" s="11">
        <v>156490</v>
      </c>
      <c r="C38" s="11" t="str">
        <f>VLOOKUP(B38,Towary_i_uslugi!$A$4:$B$1500,2)</f>
        <v>(brak)</v>
      </c>
      <c r="D38" s="11" t="s">
        <v>2766</v>
      </c>
      <c r="E38" s="11">
        <f>VLOOKUP(B38,Towary_i_uslugi!$A$3:$T$1500,3,FALSE)</f>
        <v>60</v>
      </c>
      <c r="F38" s="11" t="str">
        <f>VLOOKUP(B38,Towary_i_uslugi!$A$3:$T$1500,20,FALSE)</f>
        <v>plastic header</v>
      </c>
      <c r="G38" s="11">
        <f>VLOOKUP(B38,MBI_Dostawcy_towarów!$A$4:$C$1399,3,FALSE)</f>
        <v>0.434</v>
      </c>
      <c r="H38" s="11">
        <v>285</v>
      </c>
      <c r="I38" s="11">
        <v>72</v>
      </c>
      <c r="J38" s="11">
        <v>800</v>
      </c>
      <c r="K38" s="11">
        <f>_xlfn.IFNA(VLOOKUP(B38,Towary_na_zamówieniach!$A$4:$C$1500,2,FALSE),0)</f>
        <v>0</v>
      </c>
      <c r="L38" s="11">
        <f>_xlfn.IFNA(VLOOKUP(B38,Towary_na_zamówieniach!$A$4:$C$1500,3,FALSE),0)</f>
        <v>0</v>
      </c>
      <c r="M38" s="11">
        <f>_xlfn.IFNA(VLOOKUP(B38,MBI_Dostawcy_towarów!$A$4:$C$2000,2,FALSE),"N/A")</f>
        <v>90</v>
      </c>
      <c r="N38" s="11" t="str">
        <f>IF(VLOOKUP(B38,Towary_i_uslugi!$A$3:$T$1500,17,FALSE)=0,"!NO SUPPLIER",VLOOKUP(B38,Towary_i_uslugi!$A$3:$T$1500,17))</f>
        <v>BW</v>
      </c>
      <c r="O38" s="11" t="str">
        <f>IF(VLOOKUP(B38,Towary_i_uslugi!$A$4:$U$1200,21,FALSE)&gt;0,VLOOKUP(B38,Towary_i_uslugi!$A$4:$U$1200,21,FALSE),"")</f>
        <v/>
      </c>
      <c r="P38" s="11">
        <f t="shared" si="0"/>
        <v>14</v>
      </c>
      <c r="Q38" s="11">
        <f t="shared" si="1"/>
        <v>840</v>
      </c>
      <c r="R38" s="17">
        <f t="shared" si="2"/>
        <v>1058.4000000000001</v>
      </c>
      <c r="S38" s="17">
        <f>VLOOKUP($B38,   MBI_LastBuy!$A$3:E$13199,3,FALSE)</f>
        <v>840</v>
      </c>
      <c r="T38" s="13">
        <f>VLOOKUP($B38,   MBI_LastBuy!$A$3:E$13199,2,FALSE)</f>
        <v>1.26</v>
      </c>
      <c r="U38" s="13" t="str">
        <f>VLOOKUP($B38,   MBI_LastBuy!$A$3:E$13199,5,FALSE)</f>
        <v>USD</v>
      </c>
      <c r="V38" s="15">
        <f>VLOOKUP($B38,   MBI_LastBuy!$A$3:E$13199,4,FALSE)</f>
        <v>44005</v>
      </c>
    </row>
    <row r="39" spans="1:22" x14ac:dyDescent="0.25">
      <c r="A39" s="11" t="s">
        <v>3554</v>
      </c>
      <c r="B39" s="11">
        <v>156494</v>
      </c>
      <c r="C39" s="11" t="str">
        <f>VLOOKUP(B39,Towary_i_uslugi!$A$4:$B$1500,2)</f>
        <v>(brak)</v>
      </c>
      <c r="D39" s="11" t="s">
        <v>2414</v>
      </c>
      <c r="E39" s="11">
        <f>VLOOKUP(B39,Towary_i_uslugi!$A$3:$T$1500,3,FALSE)</f>
        <v>60</v>
      </c>
      <c r="F39" s="11" t="str">
        <f>VLOOKUP(B39,Towary_i_uslugi!$A$3:$T$1500,20,FALSE)</f>
        <v>plastic header</v>
      </c>
      <c r="G39" s="11">
        <f>VLOOKUP(B39,MBI_Dostawcy_towarów!$A$4:$C$1399,3,FALSE)</f>
        <v>0.42299999999999999</v>
      </c>
      <c r="H39" s="11">
        <v>126</v>
      </c>
      <c r="I39" s="11">
        <v>67</v>
      </c>
      <c r="J39" s="11">
        <v>600</v>
      </c>
      <c r="K39" s="11">
        <f>_xlfn.IFNA(VLOOKUP(B39,Towary_na_zamówieniach!$A$4:$C$1500,2,FALSE),0)</f>
        <v>0</v>
      </c>
      <c r="L39" s="11">
        <f>_xlfn.IFNA(VLOOKUP(B39,Towary_na_zamówieniach!$A$4:$C$1500,3,FALSE),0)</f>
        <v>0</v>
      </c>
      <c r="M39" s="11">
        <f>_xlfn.IFNA(VLOOKUP(B39,MBI_Dostawcy_towarów!$A$4:$C$2000,2,FALSE),"N/A")</f>
        <v>90</v>
      </c>
      <c r="N39" s="11" t="str">
        <f>IF(VLOOKUP(B39,Towary_i_uslugi!$A$3:$T$1500,17,FALSE)=0,"!NO SUPPLIER",VLOOKUP(B39,Towary_i_uslugi!$A$3:$T$1500,17))</f>
        <v>BW</v>
      </c>
      <c r="O39" s="11" t="str">
        <f>IF(VLOOKUP(B39,Towary_i_uslugi!$A$4:$U$1200,21,FALSE)&gt;0,VLOOKUP(B39,Towary_i_uslugi!$A$4:$U$1200,21,FALSE),"")</f>
        <v/>
      </c>
      <c r="P39" s="11">
        <f t="shared" si="0"/>
        <v>10</v>
      </c>
      <c r="Q39" s="11">
        <f t="shared" si="1"/>
        <v>600</v>
      </c>
      <c r="R39" s="17">
        <f t="shared" si="2"/>
        <v>888</v>
      </c>
      <c r="S39" s="17">
        <f>VLOOKUP($B39,   MBI_LastBuy!$A$3:E$13199,3,FALSE)</f>
        <v>840</v>
      </c>
      <c r="T39" s="13">
        <f>VLOOKUP($B39,   MBI_LastBuy!$A$3:E$13199,2,FALSE)</f>
        <v>1.48</v>
      </c>
      <c r="U39" s="13" t="str">
        <f>VLOOKUP($B39,   MBI_LastBuy!$A$3:E$13199,5,FALSE)</f>
        <v>USD</v>
      </c>
      <c r="V39" s="15">
        <f>VLOOKUP($B39,   MBI_LastBuy!$A$3:E$13199,4,FALSE)</f>
        <v>44005</v>
      </c>
    </row>
    <row r="40" spans="1:22" x14ac:dyDescent="0.25">
      <c r="A40" s="11" t="s">
        <v>3554</v>
      </c>
      <c r="B40" s="11">
        <v>156600</v>
      </c>
      <c r="C40" s="11" t="str">
        <f>VLOOKUP(B40,Towary_i_uslugi!$A$4:$B$1500,2)</f>
        <v>(brak)</v>
      </c>
      <c r="D40" s="11" t="s">
        <v>15</v>
      </c>
      <c r="E40" s="11">
        <f>VLOOKUP(B40,Towary_i_uslugi!$A$3:$T$1500,3,FALSE)</f>
        <v>60</v>
      </c>
      <c r="F40" s="11" t="str">
        <f>VLOOKUP(B40,Towary_i_uslugi!$A$3:$T$1500,20,FALSE)</f>
        <v>pvc bag + sticker</v>
      </c>
      <c r="G40" s="11">
        <f>VLOOKUP(B40,MBI_Dostawcy_towarów!$A$4:$C$1399,3,FALSE)</f>
        <v>0.38100000000000001</v>
      </c>
      <c r="H40" s="11">
        <v>1</v>
      </c>
      <c r="I40" s="11">
        <v>0</v>
      </c>
      <c r="J40" s="11">
        <v>1200</v>
      </c>
      <c r="K40" s="11">
        <f>_xlfn.IFNA(VLOOKUP(B40,Towary_na_zamówieniach!$A$4:$C$1500,2,FALSE),0)</f>
        <v>1920</v>
      </c>
      <c r="L40" s="11">
        <f>_xlfn.IFNA(VLOOKUP(B40,Towary_na_zamówieniach!$A$4:$C$1500,3,FALSE),0)</f>
        <v>2169.6</v>
      </c>
      <c r="M40" s="11">
        <f>_xlfn.IFNA(VLOOKUP(B40,MBI_Dostawcy_towarów!$A$4:$C$2000,2,FALSE),"N/A")</f>
        <v>90</v>
      </c>
      <c r="N40" s="11" t="str">
        <f>IF(VLOOKUP(B40,Towary_i_uslugi!$A$3:$T$1500,17,FALSE)=0,"!NO SUPPLIER",VLOOKUP(B40,Towary_i_uslugi!$A$3:$T$1500,17))</f>
        <v>BW</v>
      </c>
      <c r="O40" s="11" t="str">
        <f>IF(VLOOKUP(B40,Towary_i_uslugi!$A$4:$U$1200,21,FALSE)&gt;0,VLOOKUP(B40,Towary_i_uslugi!$A$4:$U$1200,21,FALSE),"")</f>
        <v/>
      </c>
      <c r="P40" s="11">
        <f t="shared" si="0"/>
        <v>0</v>
      </c>
      <c r="Q40" s="11">
        <f t="shared" si="1"/>
        <v>0</v>
      </c>
      <c r="R40" s="17">
        <f t="shared" si="2"/>
        <v>0</v>
      </c>
      <c r="S40" s="17">
        <f>VLOOKUP($B40,   MBI_LastBuy!$A$3:E$13199,3,FALSE)</f>
        <v>1920</v>
      </c>
      <c r="T40" s="13">
        <f>VLOOKUP($B40,   MBI_LastBuy!$A$3:E$13199,2,FALSE)</f>
        <v>1.1299999999999999</v>
      </c>
      <c r="U40" s="13" t="str">
        <f>VLOOKUP($B40,   MBI_LastBuy!$A$3:E$13199,5,FALSE)</f>
        <v>USD</v>
      </c>
      <c r="V40" s="15">
        <f>VLOOKUP($B40,   MBI_LastBuy!$A$3:E$13199,4,FALSE)</f>
        <v>44071</v>
      </c>
    </row>
    <row r="41" spans="1:22" x14ac:dyDescent="0.25">
      <c r="A41" s="11" t="s">
        <v>3554</v>
      </c>
      <c r="B41" s="11">
        <v>156630</v>
      </c>
      <c r="C41" s="11" t="str">
        <f>VLOOKUP(B41,Towary_i_uslugi!$A$4:$B$1500,2)</f>
        <v>(brak)</v>
      </c>
      <c r="D41" s="11" t="s">
        <v>2767</v>
      </c>
      <c r="E41" s="11">
        <f>VLOOKUP(B41,Towary_i_uslugi!$A$3:$T$1500,3,FALSE)</f>
        <v>24</v>
      </c>
      <c r="F41" s="11" t="str">
        <f>VLOOKUP(B41,Towary_i_uslugi!$A$3:$T$1500,20,FALSE)</f>
        <v>plastic header</v>
      </c>
      <c r="G41" s="11">
        <f>VLOOKUP(B41,MBI_Dostawcy_towarów!$A$4:$C$1399,3,FALSE)</f>
        <v>0.60599999999999998</v>
      </c>
      <c r="H41" s="11">
        <v>210</v>
      </c>
      <c r="I41" s="11">
        <v>0</v>
      </c>
      <c r="J41" s="11">
        <v>600</v>
      </c>
      <c r="K41" s="11">
        <f>_xlfn.IFNA(VLOOKUP(B41,Towary_na_zamówieniach!$A$4:$C$1500,2,FALSE),0)</f>
        <v>1392</v>
      </c>
      <c r="L41" s="11">
        <f>_xlfn.IFNA(VLOOKUP(B41,Towary_na_zamówieniach!$A$4:$C$1500,3,FALSE),0)</f>
        <v>3243.17</v>
      </c>
      <c r="M41" s="11">
        <f>_xlfn.IFNA(VLOOKUP(B41,MBI_Dostawcy_towarów!$A$4:$C$2000,2,FALSE),"N/A")</f>
        <v>90</v>
      </c>
      <c r="N41" s="11" t="str">
        <f>IF(VLOOKUP(B41,Towary_i_uslugi!$A$3:$T$1500,17,FALSE)=0,"!NO SUPPLIER",VLOOKUP(B41,Towary_i_uslugi!$A$3:$T$1500,17))</f>
        <v>BW</v>
      </c>
      <c r="O41" s="11" t="str">
        <f>IF(VLOOKUP(B41,Towary_i_uslugi!$A$4:$U$1200,21,FALSE)&gt;0,VLOOKUP(B41,Towary_i_uslugi!$A$4:$U$1200,21,FALSE),"")</f>
        <v/>
      </c>
      <c r="P41" s="11">
        <f t="shared" si="0"/>
        <v>0</v>
      </c>
      <c r="Q41" s="11">
        <f t="shared" si="1"/>
        <v>0</v>
      </c>
      <c r="R41" s="17">
        <f t="shared" si="2"/>
        <v>0</v>
      </c>
      <c r="S41" s="17">
        <f>VLOOKUP($B41,   MBI_LastBuy!$A$3:E$13199,3,FALSE)</f>
        <v>720</v>
      </c>
      <c r="T41" s="13">
        <f>VLOOKUP($B41,   MBI_LastBuy!$A$3:E$13199,2,FALSE)</f>
        <v>2.34</v>
      </c>
      <c r="U41" s="13" t="str">
        <f>VLOOKUP($B41,   MBI_LastBuy!$A$3:E$13199,5,FALSE)</f>
        <v>USD</v>
      </c>
      <c r="V41" s="15">
        <f>VLOOKUP($B41,   MBI_LastBuy!$A$3:E$13199,4,FALSE)</f>
        <v>44071</v>
      </c>
    </row>
    <row r="42" spans="1:22" x14ac:dyDescent="0.25">
      <c r="A42" s="11" t="s">
        <v>3552</v>
      </c>
      <c r="B42" s="11">
        <v>162500</v>
      </c>
      <c r="C42" s="11" t="str">
        <f>VLOOKUP(B42,Towary_i_uslugi!$A$4:$B$1500,2)</f>
        <v>(brak)</v>
      </c>
      <c r="D42" s="11" t="s">
        <v>16</v>
      </c>
      <c r="E42" s="11">
        <f>VLOOKUP(B42,Towary_i_uslugi!$A$3:$T$1500,3,FALSE)</f>
        <v>60</v>
      </c>
      <c r="F42" s="11" t="str">
        <f>VLOOKUP(B42,Towary_i_uslugi!$A$3:$T$1500,20,FALSE)</f>
        <v>sticker + protection foil bag</v>
      </c>
      <c r="G42" s="11">
        <f>VLOOKUP(B42,MBI_Dostawcy_towarów!$A$4:$C$1399,3,FALSE)</f>
        <v>0.45500000000000002</v>
      </c>
      <c r="H42" s="11">
        <v>504</v>
      </c>
      <c r="I42" s="11">
        <v>0</v>
      </c>
      <c r="J42" s="11">
        <v>800</v>
      </c>
      <c r="K42" s="11">
        <f>_xlfn.IFNA(VLOOKUP(B42,Towary_na_zamówieniach!$A$4:$C$1500,2,FALSE),0)</f>
        <v>840</v>
      </c>
      <c r="L42" s="11">
        <f>_xlfn.IFNA(VLOOKUP(B42,Towary_na_zamówieniach!$A$4:$C$1500,3,FALSE),0)</f>
        <v>949.2</v>
      </c>
      <c r="M42" s="11">
        <f>_xlfn.IFNA(VLOOKUP(B42,MBI_Dostawcy_towarów!$A$4:$C$2000,2,FALSE),"N/A")</f>
        <v>90</v>
      </c>
      <c r="N42" s="11" t="str">
        <f>IF(VLOOKUP(B42,Towary_i_uslugi!$A$3:$T$1500,17,FALSE)=0,"!NO SUPPLIER",VLOOKUP(B42,Towary_i_uslugi!$A$3:$T$1500,17))</f>
        <v>XM</v>
      </c>
      <c r="O42" s="11" t="str">
        <f>IF(VLOOKUP(B42,Towary_i_uslugi!$A$4:$U$1200,21,FALSE)&gt;0,VLOOKUP(B42,Towary_i_uslugi!$A$4:$U$1200,21,FALSE),"")</f>
        <v/>
      </c>
      <c r="P42" s="11">
        <f t="shared" si="0"/>
        <v>0</v>
      </c>
      <c r="Q42" s="11">
        <f t="shared" si="1"/>
        <v>0</v>
      </c>
      <c r="R42" s="17">
        <f t="shared" si="2"/>
        <v>0</v>
      </c>
      <c r="S42" s="17">
        <f>VLOOKUP($B42,   MBI_LastBuy!$A$3:E$13199,3,FALSE)</f>
        <v>840</v>
      </c>
      <c r="T42" s="13">
        <f>VLOOKUP($B42,   MBI_LastBuy!$A$3:E$13199,2,FALSE)</f>
        <v>1.1299999999999999</v>
      </c>
      <c r="U42" s="13" t="str">
        <f>VLOOKUP($B42,   MBI_LastBuy!$A$3:E$13199,5,FALSE)</f>
        <v>USD</v>
      </c>
      <c r="V42" s="15">
        <f>VLOOKUP($B42,   MBI_LastBuy!$A$3:E$13199,4,FALSE)</f>
        <v>44111</v>
      </c>
    </row>
    <row r="43" spans="1:22" x14ac:dyDescent="0.25">
      <c r="A43" s="11" t="s">
        <v>3552</v>
      </c>
      <c r="B43" s="11">
        <v>162502</v>
      </c>
      <c r="C43" s="11" t="str">
        <f>VLOOKUP(B43,Towary_i_uslugi!$A$4:$B$1500,2)</f>
        <v>(brak)</v>
      </c>
      <c r="D43" s="11" t="s">
        <v>3592</v>
      </c>
      <c r="E43" s="11">
        <f>VLOOKUP(B43,Towary_i_uslugi!$A$3:$T$1500,3,FALSE)</f>
        <v>80</v>
      </c>
      <c r="F43" s="11" t="str">
        <f>VLOOKUP(B43,Towary_i_uslugi!$A$3:$T$1500,20,FALSE)</f>
        <v>tag on string</v>
      </c>
      <c r="G43" s="11">
        <f>VLOOKUP(B43,MBI_Dostawcy_towarów!$A$4:$C$1399,3,FALSE)</f>
        <v>0.34399999999999997</v>
      </c>
      <c r="H43" s="11">
        <v>61</v>
      </c>
      <c r="I43" s="11">
        <v>0</v>
      </c>
      <c r="J43" s="11">
        <v>100</v>
      </c>
      <c r="K43" s="11">
        <f>_xlfn.IFNA(VLOOKUP(B43,Towary_na_zamówieniach!$A$4:$C$1500,2,FALSE),0)</f>
        <v>480</v>
      </c>
      <c r="L43" s="11">
        <f>_xlfn.IFNA(VLOOKUP(B43,Towary_na_zamówieniach!$A$4:$C$1500,3,FALSE),0)</f>
        <v>547.20000000000005</v>
      </c>
      <c r="M43" s="11">
        <f>_xlfn.IFNA(VLOOKUP(B43,MBI_Dostawcy_towarów!$A$4:$C$2000,2,FALSE),"N/A")</f>
        <v>90</v>
      </c>
      <c r="N43" s="11" t="str">
        <f>IF(VLOOKUP(B43,Towary_i_uslugi!$A$3:$T$1500,17,FALSE)=0,"!NO SUPPLIER",VLOOKUP(B43,Towary_i_uslugi!$A$3:$T$1500,17))</f>
        <v>XM</v>
      </c>
      <c r="O43" s="11" t="str">
        <f>IF(VLOOKUP(B43,Towary_i_uslugi!$A$4:$U$1200,21,FALSE)&gt;0,VLOOKUP(B43,Towary_i_uslugi!$A$4:$U$1200,21,FALSE),"")</f>
        <v/>
      </c>
      <c r="P43" s="11">
        <f t="shared" si="0"/>
        <v>0</v>
      </c>
      <c r="Q43" s="11">
        <f t="shared" si="1"/>
        <v>0</v>
      </c>
      <c r="R43" s="17">
        <f t="shared" si="2"/>
        <v>0</v>
      </c>
      <c r="S43" s="17">
        <f>VLOOKUP($B43,   MBI_LastBuy!$A$3:E$13199,3,FALSE)</f>
        <v>480</v>
      </c>
      <c r="T43" s="13">
        <f>VLOOKUP($B43,   MBI_LastBuy!$A$3:E$13199,2,FALSE)</f>
        <v>1.1399999999999999</v>
      </c>
      <c r="U43" s="13" t="str">
        <f>VLOOKUP($B43,   MBI_LastBuy!$A$3:E$13199,5,FALSE)</f>
        <v>USD</v>
      </c>
      <c r="V43" s="15">
        <f>VLOOKUP($B43,   MBI_LastBuy!$A$3:E$13199,4,FALSE)</f>
        <v>44133</v>
      </c>
    </row>
    <row r="44" spans="1:22" x14ac:dyDescent="0.25">
      <c r="A44" s="11" t="s">
        <v>3552</v>
      </c>
      <c r="B44" s="11">
        <v>162506</v>
      </c>
      <c r="C44" s="11" t="str">
        <f>VLOOKUP(B44,Towary_i_uslugi!$A$4:$B$1500,2)</f>
        <v>(brak)</v>
      </c>
      <c r="D44" s="11" t="s">
        <v>3593</v>
      </c>
      <c r="E44" s="11">
        <f>VLOOKUP(B44,Towary_i_uslugi!$A$3:$T$1500,3,FALSE)</f>
        <v>30</v>
      </c>
      <c r="F44" s="11" t="str">
        <f>VLOOKUP(B44,Towary_i_uslugi!$A$3:$T$1500,20,FALSE)</f>
        <v>tag on string</v>
      </c>
      <c r="G44" s="11">
        <f>VLOOKUP(B44,MBI_Dostawcy_towarów!$A$4:$C$1399,3,FALSE)</f>
        <v>0.69299999999999995</v>
      </c>
      <c r="H44" s="11">
        <v>47</v>
      </c>
      <c r="I44" s="11">
        <v>0</v>
      </c>
      <c r="J44" s="11">
        <v>130</v>
      </c>
      <c r="K44" s="11">
        <f>_xlfn.IFNA(VLOOKUP(B44,Towary_na_zamówieniach!$A$4:$C$1500,2,FALSE),0)</f>
        <v>300</v>
      </c>
      <c r="L44" s="11">
        <f>_xlfn.IFNA(VLOOKUP(B44,Towary_na_zamówieniach!$A$4:$C$1500,3,FALSE),0)</f>
        <v>540</v>
      </c>
      <c r="M44" s="11">
        <f>_xlfn.IFNA(VLOOKUP(B44,MBI_Dostawcy_towarów!$A$4:$C$2000,2,FALSE),"N/A")</f>
        <v>90</v>
      </c>
      <c r="N44" s="11" t="str">
        <f>IF(VLOOKUP(B44,Towary_i_uslugi!$A$3:$T$1500,17,FALSE)=0,"!NO SUPPLIER",VLOOKUP(B44,Towary_i_uslugi!$A$3:$T$1500,17))</f>
        <v>XM</v>
      </c>
      <c r="O44" s="11" t="str">
        <f>IF(VLOOKUP(B44,Towary_i_uslugi!$A$4:$U$1200,21,FALSE)&gt;0,VLOOKUP(B44,Towary_i_uslugi!$A$4:$U$1200,21,FALSE),"")</f>
        <v/>
      </c>
      <c r="P44" s="11">
        <f t="shared" si="0"/>
        <v>0</v>
      </c>
      <c r="Q44" s="11">
        <f t="shared" si="1"/>
        <v>0</v>
      </c>
      <c r="R44" s="17">
        <f t="shared" si="2"/>
        <v>0</v>
      </c>
      <c r="S44" s="17">
        <f>VLOOKUP($B44,   MBI_LastBuy!$A$3:E$13199,3,FALSE)</f>
        <v>300</v>
      </c>
      <c r="T44" s="13">
        <f>VLOOKUP($B44,   MBI_LastBuy!$A$3:E$13199,2,FALSE)</f>
        <v>1.8</v>
      </c>
      <c r="U44" s="13" t="str">
        <f>VLOOKUP($B44,   MBI_LastBuy!$A$3:E$13199,5,FALSE)</f>
        <v>USD</v>
      </c>
      <c r="V44" s="15">
        <f>VLOOKUP($B44,   MBI_LastBuy!$A$3:E$13199,4,FALSE)</f>
        <v>44125</v>
      </c>
    </row>
    <row r="45" spans="1:22" x14ac:dyDescent="0.25">
      <c r="A45" s="11" t="s">
        <v>3552</v>
      </c>
      <c r="B45" s="11">
        <v>170150</v>
      </c>
      <c r="C45" s="11" t="str">
        <f>VLOOKUP(B45,Towary_i_uslugi!$A$4:$B$1500,2)</f>
        <v>(brak)</v>
      </c>
      <c r="D45" s="11" t="s">
        <v>2768</v>
      </c>
      <c r="E45" s="11">
        <f>VLOOKUP(B45,Towary_i_uslugi!$A$3:$T$1500,3,FALSE)</f>
        <v>20</v>
      </c>
      <c r="F45" s="11" t="str">
        <f>VLOOKUP(B45,Towary_i_uslugi!$A$3:$T$1500,20,FALSE)</f>
        <v>carton box</v>
      </c>
      <c r="G45" s="11">
        <f>VLOOKUP(B45,MBI_Dostawcy_towarów!$A$4:$C$1399,3,FALSE)</f>
        <v>1.1559999999999999</v>
      </c>
      <c r="H45" s="11">
        <v>89</v>
      </c>
      <c r="I45" s="11">
        <v>0</v>
      </c>
      <c r="J45" s="11">
        <v>180</v>
      </c>
      <c r="K45" s="11">
        <f>_xlfn.IFNA(VLOOKUP(B45,Towary_na_zamówieniach!$A$4:$C$1500,2,FALSE),0)</f>
        <v>280</v>
      </c>
      <c r="L45" s="11">
        <f>_xlfn.IFNA(VLOOKUP(B45,Towary_na_zamówieniach!$A$4:$C$1500,3,FALSE),0)</f>
        <v>882</v>
      </c>
      <c r="M45" s="11">
        <f>_xlfn.IFNA(VLOOKUP(B45,MBI_Dostawcy_towarów!$A$4:$C$2000,2,FALSE),"N/A")</f>
        <v>90</v>
      </c>
      <c r="N45" s="11" t="str">
        <f>IF(VLOOKUP(B45,Towary_i_uslugi!$A$3:$T$1500,17,FALSE)=0,"!NO SUPPLIER",VLOOKUP(B45,Towary_i_uslugi!$A$3:$T$1500,17))</f>
        <v>XM</v>
      </c>
      <c r="O45" s="11" t="str">
        <f>IF(VLOOKUP(B45,Towary_i_uslugi!$A$4:$U$1200,21,FALSE)&gt;0,VLOOKUP(B45,Towary_i_uslugi!$A$4:$U$1200,21,FALSE),"")</f>
        <v/>
      </c>
      <c r="P45" s="11">
        <f t="shared" si="0"/>
        <v>0</v>
      </c>
      <c r="Q45" s="11">
        <f t="shared" si="1"/>
        <v>0</v>
      </c>
      <c r="R45" s="17">
        <f t="shared" si="2"/>
        <v>0</v>
      </c>
      <c r="S45" s="17">
        <f>VLOOKUP($B45,   MBI_LastBuy!$A$3:E$13199,3,FALSE)</f>
        <v>280</v>
      </c>
      <c r="T45" s="13">
        <f>VLOOKUP($B45,   MBI_LastBuy!$A$3:E$13199,2,FALSE)</f>
        <v>3.15</v>
      </c>
      <c r="U45" s="13" t="str">
        <f>VLOOKUP($B45,   MBI_LastBuy!$A$3:E$13199,5,FALSE)</f>
        <v>USD</v>
      </c>
      <c r="V45" s="15">
        <f>VLOOKUP($B45,   MBI_LastBuy!$A$3:E$13199,4,FALSE)</f>
        <v>44083</v>
      </c>
    </row>
    <row r="46" spans="1:22" x14ac:dyDescent="0.25">
      <c r="A46" s="11" t="s">
        <v>3552</v>
      </c>
      <c r="B46" s="11">
        <v>170200</v>
      </c>
      <c r="C46" s="11" t="str">
        <f>VLOOKUP(B46,Towary_i_uslugi!$A$4:$B$1500,2)</f>
        <v>(brak)</v>
      </c>
      <c r="D46" s="11" t="s">
        <v>2455</v>
      </c>
      <c r="E46" s="11">
        <f>VLOOKUP(B46,Towary_i_uslugi!$A$3:$T$1500,3,FALSE)</f>
        <v>10</v>
      </c>
      <c r="F46" s="11" t="str">
        <f>VLOOKUP(B46,Towary_i_uslugi!$A$3:$T$1500,20,FALSE)</f>
        <v>carton box</v>
      </c>
      <c r="G46" s="11">
        <f>VLOOKUP(B46,MBI_Dostawcy_towarów!$A$4:$C$1399,3,FALSE)</f>
        <v>1.8440000000000001</v>
      </c>
      <c r="H46" s="11">
        <v>1</v>
      </c>
      <c r="I46" s="11">
        <v>0</v>
      </c>
      <c r="J46" s="11">
        <v>80</v>
      </c>
      <c r="K46" s="11">
        <f>_xlfn.IFNA(VLOOKUP(B46,Towary_na_zamówieniach!$A$4:$C$1500,2,FALSE),0)</f>
        <v>100</v>
      </c>
      <c r="L46" s="11">
        <f>_xlfn.IFNA(VLOOKUP(B46,Towary_na_zamówieniach!$A$4:$C$1500,3,FALSE),0)</f>
        <v>460</v>
      </c>
      <c r="M46" s="11">
        <f>_xlfn.IFNA(VLOOKUP(B46,MBI_Dostawcy_towarów!$A$4:$C$2000,2,FALSE),"N/A")</f>
        <v>90</v>
      </c>
      <c r="N46" s="11" t="str">
        <f>IF(VLOOKUP(B46,Towary_i_uslugi!$A$3:$T$1500,17,FALSE)=0,"!NO SUPPLIER",VLOOKUP(B46,Towary_i_uslugi!$A$3:$T$1500,17))</f>
        <v>XM</v>
      </c>
      <c r="O46" s="11" t="str">
        <f>IF(VLOOKUP(B46,Towary_i_uslugi!$A$4:$U$1200,21,FALSE)&gt;0,VLOOKUP(B46,Towary_i_uslugi!$A$4:$U$1200,21,FALSE),"")</f>
        <v/>
      </c>
      <c r="P46" s="11">
        <f t="shared" si="0"/>
        <v>0</v>
      </c>
      <c r="Q46" s="11">
        <f t="shared" si="1"/>
        <v>0</v>
      </c>
      <c r="R46" s="17">
        <f t="shared" si="2"/>
        <v>0</v>
      </c>
      <c r="S46" s="17">
        <f>VLOOKUP($B46,   MBI_LastBuy!$A$3:E$13199,3,FALSE)</f>
        <v>100</v>
      </c>
      <c r="T46" s="13">
        <f>VLOOKUP($B46,   MBI_LastBuy!$A$3:E$13199,2,FALSE)</f>
        <v>4.5999999999999996</v>
      </c>
      <c r="U46" s="13" t="str">
        <f>VLOOKUP($B46,   MBI_LastBuy!$A$3:E$13199,5,FALSE)</f>
        <v>USD</v>
      </c>
      <c r="V46" s="15">
        <f>VLOOKUP($B46,   MBI_LastBuy!$A$3:E$13199,4,FALSE)</f>
        <v>44018</v>
      </c>
    </row>
    <row r="47" spans="1:22" x14ac:dyDescent="0.25">
      <c r="A47" s="11" t="s">
        <v>3552</v>
      </c>
      <c r="B47" s="11">
        <v>172100</v>
      </c>
      <c r="C47" s="11" t="str">
        <f>VLOOKUP(B47,Towary_i_uslugi!$A$4:$B$1500,2)</f>
        <v>(brak)</v>
      </c>
      <c r="D47" s="11" t="s">
        <v>2769</v>
      </c>
      <c r="E47" s="11">
        <f>VLOOKUP(B47,Towary_i_uslugi!$A$3:$T$1500,3,FALSE)</f>
        <v>20</v>
      </c>
      <c r="F47" s="11" t="str">
        <f>VLOOKUP(B47,Towary_i_uslugi!$A$3:$T$1500,20,FALSE)</f>
        <v>carton box+sticker</v>
      </c>
      <c r="G47" s="11">
        <f>VLOOKUP(B47,MBI_Dostawcy_towarów!$A$4:$C$1399,3,FALSE)</f>
        <v>0.74199999999999999</v>
      </c>
      <c r="H47" s="11">
        <v>25</v>
      </c>
      <c r="I47" s="11">
        <v>0</v>
      </c>
      <c r="J47" s="11">
        <v>160</v>
      </c>
      <c r="K47" s="11">
        <f>_xlfn.IFNA(VLOOKUP(B47,Towary_na_zamówieniach!$A$4:$C$1500,2,FALSE),0)</f>
        <v>240</v>
      </c>
      <c r="L47" s="11">
        <f>_xlfn.IFNA(VLOOKUP(B47,Towary_na_zamówieniach!$A$4:$C$1500,3,FALSE),0)</f>
        <v>595.20000000000005</v>
      </c>
      <c r="M47" s="11">
        <f>_xlfn.IFNA(VLOOKUP(B47,MBI_Dostawcy_towarów!$A$4:$C$2000,2,FALSE),"N/A")</f>
        <v>90</v>
      </c>
      <c r="N47" s="11" t="str">
        <f>IF(VLOOKUP(B47,Towary_i_uslugi!$A$3:$T$1500,17,FALSE)=0,"!NO SUPPLIER",VLOOKUP(B47,Towary_i_uslugi!$A$3:$T$1500,17))</f>
        <v>XM</v>
      </c>
      <c r="O47" s="11" t="str">
        <f>IF(VLOOKUP(B47,Towary_i_uslugi!$A$4:$U$1200,21,FALSE)&gt;0,VLOOKUP(B47,Towary_i_uslugi!$A$4:$U$1200,21,FALSE),"")</f>
        <v/>
      </c>
      <c r="P47" s="11">
        <f t="shared" si="0"/>
        <v>0</v>
      </c>
      <c r="Q47" s="11">
        <f t="shared" si="1"/>
        <v>0</v>
      </c>
      <c r="R47" s="17">
        <f t="shared" si="2"/>
        <v>0</v>
      </c>
      <c r="S47" s="17">
        <f>VLOOKUP($B47,   MBI_LastBuy!$A$3:E$13199,3,FALSE)</f>
        <v>240</v>
      </c>
      <c r="T47" s="13">
        <f>VLOOKUP($B47,   MBI_LastBuy!$A$3:E$13199,2,FALSE)</f>
        <v>2.48</v>
      </c>
      <c r="U47" s="13" t="str">
        <f>VLOOKUP($B47,   MBI_LastBuy!$A$3:E$13199,5,FALSE)</f>
        <v>USD</v>
      </c>
      <c r="V47" s="15">
        <f>VLOOKUP($B47,   MBI_LastBuy!$A$3:E$13199,4,FALSE)</f>
        <v>44034</v>
      </c>
    </row>
    <row r="48" spans="1:22" x14ac:dyDescent="0.25">
      <c r="A48" s="11" t="s">
        <v>3552</v>
      </c>
      <c r="B48" s="11">
        <v>172150</v>
      </c>
      <c r="C48" s="11" t="str">
        <f>VLOOKUP(B48,Towary_i_uslugi!$A$4:$B$1500,2)</f>
        <v>(brak)</v>
      </c>
      <c r="D48" s="11" t="s">
        <v>3594</v>
      </c>
      <c r="E48" s="11">
        <f>VLOOKUP(B48,Towary_i_uslugi!$A$3:$T$1500,3,FALSE)</f>
        <v>20</v>
      </c>
      <c r="F48" s="11" t="str">
        <f>VLOOKUP(B48,Towary_i_uslugi!$A$3:$T$1500,20,FALSE)</f>
        <v>carton box+sticker</v>
      </c>
      <c r="G48" s="11">
        <f>VLOOKUP(B48,MBI_Dostawcy_towarów!$A$4:$C$1399,3,FALSE)</f>
        <v>1.407</v>
      </c>
      <c r="H48" s="11">
        <v>35</v>
      </c>
      <c r="I48" s="11">
        <v>10</v>
      </c>
      <c r="J48" s="11">
        <v>90</v>
      </c>
      <c r="K48" s="11">
        <f>_xlfn.IFNA(VLOOKUP(B48,Towary_na_zamówieniach!$A$4:$C$1500,2,FALSE),0)</f>
        <v>240</v>
      </c>
      <c r="L48" s="11">
        <f>_xlfn.IFNA(VLOOKUP(B48,Towary_na_zamówieniach!$A$4:$C$1500,3,FALSE),0)</f>
        <v>933.12</v>
      </c>
      <c r="M48" s="11">
        <f>_xlfn.IFNA(VLOOKUP(B48,MBI_Dostawcy_towarów!$A$4:$C$2000,2,FALSE),"N/A")</f>
        <v>90</v>
      </c>
      <c r="N48" s="11" t="str">
        <f>IF(VLOOKUP(B48,Towary_i_uslugi!$A$3:$T$1500,17,FALSE)=0,"!NO SUPPLIER",VLOOKUP(B48,Towary_i_uslugi!$A$3:$T$1500,17))</f>
        <v>XM</v>
      </c>
      <c r="O48" s="11" t="str">
        <f>IF(VLOOKUP(B48,Towary_i_uslugi!$A$4:$U$1200,21,FALSE)&gt;0,VLOOKUP(B48,Towary_i_uslugi!$A$4:$U$1200,21,FALSE),"")</f>
        <v/>
      </c>
      <c r="P48" s="11">
        <f t="shared" si="0"/>
        <v>0</v>
      </c>
      <c r="Q48" s="11">
        <f t="shared" si="1"/>
        <v>0</v>
      </c>
      <c r="R48" s="17">
        <f t="shared" si="2"/>
        <v>0</v>
      </c>
      <c r="S48" s="17">
        <f>VLOOKUP($B48,   MBI_LastBuy!$A$3:E$13199,3,FALSE)</f>
        <v>240</v>
      </c>
      <c r="T48" s="13">
        <f>VLOOKUP($B48,   MBI_LastBuy!$A$3:E$13199,2,FALSE)</f>
        <v>3.8879999999999999</v>
      </c>
      <c r="U48" s="13" t="str">
        <f>VLOOKUP($B48,   MBI_LastBuy!$A$3:E$13199,5,FALSE)</f>
        <v>USD</v>
      </c>
      <c r="V48" s="15">
        <f>VLOOKUP($B48,   MBI_LastBuy!$A$3:E$13199,4,FALSE)</f>
        <v>44111</v>
      </c>
    </row>
    <row r="49" spans="1:22" x14ac:dyDescent="0.25">
      <c r="A49" s="11" t="s">
        <v>3552</v>
      </c>
      <c r="B49" s="11">
        <v>180192</v>
      </c>
      <c r="C49" s="11" t="str">
        <f>VLOOKUP(B49,Towary_i_uslugi!$A$4:$B$1500,2)</f>
        <v>(brak)</v>
      </c>
      <c r="D49" s="11" t="s">
        <v>3595</v>
      </c>
      <c r="E49" s="11">
        <f>VLOOKUP(B49,Towary_i_uslugi!$A$3:$T$1500,3,FALSE)</f>
        <v>60</v>
      </c>
      <c r="F49" s="11" t="str">
        <f>VLOOKUP(B49,Towary_i_uslugi!$A$3:$T$1500,20,FALSE)</f>
        <v>plastic black header/hanger + 2-side sticker</v>
      </c>
      <c r="G49" s="11">
        <f>VLOOKUP(B49,MBI_Dostawcy_towarów!$A$4:$C$1399,3,FALSE)</f>
        <v>0.40200000000000002</v>
      </c>
      <c r="H49" s="11">
        <v>285</v>
      </c>
      <c r="I49" s="11">
        <v>20</v>
      </c>
      <c r="J49" s="11">
        <v>280</v>
      </c>
      <c r="K49" s="11">
        <f>_xlfn.IFNA(VLOOKUP(B49,Towary_na_zamówieniach!$A$4:$C$1500,2,FALSE),0)</f>
        <v>720</v>
      </c>
      <c r="L49" s="11">
        <f>_xlfn.IFNA(VLOOKUP(B49,Towary_na_zamówieniach!$A$4:$C$1500,3,FALSE),0)</f>
        <v>828</v>
      </c>
      <c r="M49" s="11">
        <f>_xlfn.IFNA(VLOOKUP(B49,MBI_Dostawcy_towarów!$A$4:$C$2000,2,FALSE),"N/A")</f>
        <v>90</v>
      </c>
      <c r="N49" s="11" t="str">
        <f>IF(VLOOKUP(B49,Towary_i_uslugi!$A$3:$T$1500,17,FALSE)=0,"!NO SUPPLIER",VLOOKUP(B49,Towary_i_uslugi!$A$3:$T$1500,17))</f>
        <v>XM</v>
      </c>
      <c r="O49" s="11" t="str">
        <f>IF(VLOOKUP(B49,Towary_i_uslugi!$A$4:$U$1200,21,FALSE)&gt;0,VLOOKUP(B49,Towary_i_uslugi!$A$4:$U$1200,21,FALSE),"")</f>
        <v/>
      </c>
      <c r="P49" s="11">
        <f t="shared" si="0"/>
        <v>0</v>
      </c>
      <c r="Q49" s="11">
        <f t="shared" si="1"/>
        <v>0</v>
      </c>
      <c r="R49" s="17">
        <f t="shared" si="2"/>
        <v>0</v>
      </c>
      <c r="S49" s="17">
        <f>VLOOKUP($B49,   MBI_LastBuy!$A$3:E$13199,3,FALSE)</f>
        <v>720</v>
      </c>
      <c r="T49" s="13">
        <f>VLOOKUP($B49,   MBI_LastBuy!$A$3:E$13199,2,FALSE)</f>
        <v>1.1499999999999999</v>
      </c>
      <c r="U49" s="13" t="str">
        <f>VLOOKUP($B49,   MBI_LastBuy!$A$3:E$13199,5,FALSE)</f>
        <v>USD</v>
      </c>
      <c r="V49" s="15">
        <f>VLOOKUP($B49,   MBI_LastBuy!$A$3:E$13199,4,FALSE)</f>
        <v>44098</v>
      </c>
    </row>
    <row r="50" spans="1:22" x14ac:dyDescent="0.25">
      <c r="A50" s="11" t="s">
        <v>3552</v>
      </c>
      <c r="B50" s="11">
        <v>180194</v>
      </c>
      <c r="C50" s="11" t="str">
        <f>VLOOKUP(B50,Towary_i_uslugi!$A$4:$B$1500,2)</f>
        <v>(brak)</v>
      </c>
      <c r="D50" s="11" t="s">
        <v>2770</v>
      </c>
      <c r="E50" s="11">
        <f>VLOOKUP(B50,Towary_i_uslugi!$A$3:$T$1500,3,FALSE)</f>
        <v>60</v>
      </c>
      <c r="F50" s="11" t="str">
        <f>VLOOKUP(B50,Towary_i_uslugi!$A$3:$T$1500,20,FALSE)</f>
        <v>plastic black header/hanger + 2-side sticker</v>
      </c>
      <c r="G50" s="11">
        <f>VLOOKUP(B50,MBI_Dostawcy_towarów!$A$4:$C$1399,3,FALSE)</f>
        <v>0.48299999999999998</v>
      </c>
      <c r="H50" s="11">
        <v>132</v>
      </c>
      <c r="I50" s="11">
        <v>0</v>
      </c>
      <c r="J50" s="11">
        <v>250</v>
      </c>
      <c r="K50" s="11">
        <f>_xlfn.IFNA(VLOOKUP(B50,Towary_na_zamówieniach!$A$4:$C$1500,2,FALSE),0)</f>
        <v>600</v>
      </c>
      <c r="L50" s="11">
        <f>_xlfn.IFNA(VLOOKUP(B50,Towary_na_zamówieniach!$A$4:$C$1500,3,FALSE),0)</f>
        <v>744</v>
      </c>
      <c r="M50" s="11">
        <f>_xlfn.IFNA(VLOOKUP(B50,MBI_Dostawcy_towarów!$A$4:$C$2000,2,FALSE),"N/A")</f>
        <v>90</v>
      </c>
      <c r="N50" s="11" t="str">
        <f>IF(VLOOKUP(B50,Towary_i_uslugi!$A$3:$T$1500,17,FALSE)=0,"!NO SUPPLIER",VLOOKUP(B50,Towary_i_uslugi!$A$3:$T$1500,17))</f>
        <v>XM</v>
      </c>
      <c r="O50" s="11" t="str">
        <f>IF(VLOOKUP(B50,Towary_i_uslugi!$A$4:$U$1200,21,FALSE)&gt;0,VLOOKUP(B50,Towary_i_uslugi!$A$4:$U$1200,21,FALSE),"")</f>
        <v/>
      </c>
      <c r="P50" s="11">
        <f t="shared" si="0"/>
        <v>0</v>
      </c>
      <c r="Q50" s="11">
        <f t="shared" si="1"/>
        <v>0</v>
      </c>
      <c r="R50" s="17">
        <f t="shared" si="2"/>
        <v>0</v>
      </c>
      <c r="S50" s="17">
        <f>VLOOKUP($B50,   MBI_LastBuy!$A$3:E$13199,3,FALSE)</f>
        <v>600</v>
      </c>
      <c r="T50" s="13">
        <f>VLOOKUP($B50,   MBI_LastBuy!$A$3:E$13199,2,FALSE)</f>
        <v>1.24</v>
      </c>
      <c r="U50" s="13" t="str">
        <f>VLOOKUP($B50,   MBI_LastBuy!$A$3:E$13199,5,FALSE)</f>
        <v>USD</v>
      </c>
      <c r="V50" s="15">
        <f>VLOOKUP($B50,   MBI_LastBuy!$A$3:E$13199,4,FALSE)</f>
        <v>44097</v>
      </c>
    </row>
    <row r="51" spans="1:22" x14ac:dyDescent="0.25">
      <c r="A51" s="11" t="s">
        <v>3554</v>
      </c>
      <c r="B51" s="11">
        <v>181170</v>
      </c>
      <c r="C51" s="11" t="str">
        <f>VLOOKUP(B51,Towary_i_uslugi!$A$4:$B$1500,2)</f>
        <v>(brak)</v>
      </c>
      <c r="D51" s="11" t="s">
        <v>2456</v>
      </c>
      <c r="E51" s="11">
        <f>VLOOKUP(B51,Towary_i_uslugi!$A$3:$T$1500,3,FALSE)</f>
        <v>60</v>
      </c>
      <c r="F51" s="11" t="str">
        <f>VLOOKUP(B51,Towary_i_uslugi!$A$3:$T$1500,20,FALSE)</f>
        <v>plastic black header/hanger + 2-side sticker</v>
      </c>
      <c r="G51" s="11">
        <f>VLOOKUP(B51,MBI_Dostawcy_towarów!$A$4:$C$1399,3,FALSE)</f>
        <v>0.315</v>
      </c>
      <c r="H51" s="11">
        <v>70</v>
      </c>
      <c r="I51" s="11">
        <v>48</v>
      </c>
      <c r="J51" s="11">
        <v>210</v>
      </c>
      <c r="K51" s="11">
        <f>_xlfn.IFNA(VLOOKUP(B51,Towary_na_zamówieniach!$A$4:$C$1500,2,FALSE),0)</f>
        <v>0</v>
      </c>
      <c r="L51" s="11">
        <f>_xlfn.IFNA(VLOOKUP(B51,Towary_na_zamówieniach!$A$4:$C$1500,3,FALSE),0)</f>
        <v>0</v>
      </c>
      <c r="M51" s="11">
        <f>_xlfn.IFNA(VLOOKUP(B51,MBI_Dostawcy_towarów!$A$4:$C$2000,2,FALSE),"N/A")</f>
        <v>90</v>
      </c>
      <c r="N51" s="11" t="str">
        <f>IF(VLOOKUP(B51,Towary_i_uslugi!$A$3:$T$1500,17,FALSE)=0,"!NO SUPPLIER",VLOOKUP(B51,Towary_i_uslugi!$A$3:$T$1500,17))</f>
        <v>BW</v>
      </c>
      <c r="O51" s="11" t="str">
        <f>IF(VLOOKUP(B51,Towary_i_uslugi!$A$4:$U$1200,21,FALSE)&gt;0,VLOOKUP(B51,Towary_i_uslugi!$A$4:$U$1200,21,FALSE),"")</f>
        <v/>
      </c>
      <c r="P51" s="11">
        <f t="shared" si="0"/>
        <v>4</v>
      </c>
      <c r="Q51" s="11">
        <f t="shared" si="1"/>
        <v>240</v>
      </c>
      <c r="R51" s="17">
        <f t="shared" si="2"/>
        <v>211.2</v>
      </c>
      <c r="S51" s="17">
        <f>VLOOKUP($B51,   MBI_LastBuy!$A$3:E$13199,3,FALSE)</f>
        <v>660</v>
      </c>
      <c r="T51" s="13">
        <f>VLOOKUP($B51,   MBI_LastBuy!$A$3:E$13199,2,FALSE)</f>
        <v>0.88</v>
      </c>
      <c r="U51" s="13" t="str">
        <f>VLOOKUP($B51,   MBI_LastBuy!$A$3:E$13199,5,FALSE)</f>
        <v>USD</v>
      </c>
      <c r="V51" s="15">
        <f>VLOOKUP($B51,   MBI_LastBuy!$A$3:E$13199,4,FALSE)</f>
        <v>44005</v>
      </c>
    </row>
    <row r="52" spans="1:22" x14ac:dyDescent="0.25">
      <c r="A52" s="11" t="s">
        <v>3553</v>
      </c>
      <c r="B52" s="11">
        <v>182000</v>
      </c>
      <c r="C52" s="11" t="str">
        <f>VLOOKUP(B52,Towary_i_uslugi!$A$4:$B$1500,2)</f>
        <v>(brak)</v>
      </c>
      <c r="D52" s="11" t="s">
        <v>2604</v>
      </c>
      <c r="E52" s="11">
        <f>VLOOKUP(B52,Towary_i_uslugi!$A$3:$T$1500,3,FALSE)</f>
        <v>40</v>
      </c>
      <c r="F52" s="11" t="str">
        <f>VLOOKUP(B52,Towary_i_uslugi!$A$3:$T$1500,20,FALSE)</f>
        <v>slide blister card</v>
      </c>
      <c r="G52" s="11">
        <f>VLOOKUP(B52,MBI_Dostawcy_towarów!$A$4:$C$1399,3,FALSE)</f>
        <v>0.56200000000000006</v>
      </c>
      <c r="H52" s="11">
        <v>174</v>
      </c>
      <c r="I52" s="11">
        <v>1</v>
      </c>
      <c r="J52" s="11">
        <v>720</v>
      </c>
      <c r="K52" s="11">
        <f>_xlfn.IFNA(VLOOKUP(B52,Towary_na_zamówieniach!$A$4:$C$1500,2,FALSE),0)</f>
        <v>1200</v>
      </c>
      <c r="L52" s="11">
        <f>_xlfn.IFNA(VLOOKUP(B52,Towary_na_zamówieniach!$A$4:$C$1500,3,FALSE),0)</f>
        <v>1644</v>
      </c>
      <c r="M52" s="11">
        <f>_xlfn.IFNA(VLOOKUP(B52,MBI_Dostawcy_towarów!$A$4:$C$2000,2,FALSE),"N/A")</f>
        <v>90</v>
      </c>
      <c r="N52" s="11" t="str">
        <f>IF(VLOOKUP(B52,Towary_i_uslugi!$A$3:$T$1500,17,FALSE)=0,"!NO SUPPLIER",VLOOKUP(B52,Towary_i_uslugi!$A$3:$T$1500,17))</f>
        <v>FX -MAPLE Frank Xu</v>
      </c>
      <c r="O52" s="11" t="str">
        <f>IF(VLOOKUP(B52,Towary_i_uslugi!$A$4:$U$1200,21,FALSE)&gt;0,VLOOKUP(B52,Towary_i_uslugi!$A$4:$U$1200,21,FALSE),"")</f>
        <v/>
      </c>
      <c r="P52" s="11">
        <f t="shared" si="0"/>
        <v>0</v>
      </c>
      <c r="Q52" s="11">
        <f t="shared" si="1"/>
        <v>0</v>
      </c>
      <c r="R52" s="17">
        <f t="shared" si="2"/>
        <v>0</v>
      </c>
      <c r="S52" s="17">
        <f>VLOOKUP($B52,   MBI_LastBuy!$A$3:E$13199,3,FALSE)</f>
        <v>1200</v>
      </c>
      <c r="T52" s="13">
        <f>VLOOKUP($B52,   MBI_LastBuy!$A$3:E$13199,2,FALSE)</f>
        <v>1.37</v>
      </c>
      <c r="U52" s="13" t="str">
        <f>VLOOKUP($B52,   MBI_LastBuy!$A$3:E$13199,5,FALSE)</f>
        <v>USD</v>
      </c>
      <c r="V52" s="15">
        <f>VLOOKUP($B52,   MBI_LastBuy!$A$3:E$13199,4,FALSE)</f>
        <v>44091</v>
      </c>
    </row>
    <row r="53" spans="1:22" x14ac:dyDescent="0.25">
      <c r="A53" s="11" t="s">
        <v>3553</v>
      </c>
      <c r="B53" s="11">
        <v>182060</v>
      </c>
      <c r="C53" s="11" t="str">
        <f>VLOOKUP(B53,Towary_i_uslugi!$A$4:$B$1500,2)</f>
        <v>(brak)</v>
      </c>
      <c r="D53" s="11" t="s">
        <v>3596</v>
      </c>
      <c r="E53" s="11">
        <f>VLOOKUP(B53,Towary_i_uslugi!$A$3:$T$1500,3,FALSE)</f>
        <v>40</v>
      </c>
      <c r="F53" s="11" t="str">
        <f>VLOOKUP(B53,Towary_i_uslugi!$A$3:$T$1500,20,FALSE)</f>
        <v>slide blister card</v>
      </c>
      <c r="G53" s="11">
        <f>VLOOKUP(B53,MBI_Dostawcy_towarów!$A$4:$C$1399,3,FALSE)</f>
        <v>0.47599999999999998</v>
      </c>
      <c r="H53" s="11">
        <v>519</v>
      </c>
      <c r="I53" s="11">
        <v>141</v>
      </c>
      <c r="J53" s="11">
        <v>400</v>
      </c>
      <c r="K53" s="11">
        <f>_xlfn.IFNA(VLOOKUP(B53,Towary_na_zamówieniach!$A$4:$C$1500,2,FALSE),0)</f>
        <v>0</v>
      </c>
      <c r="L53" s="11">
        <f>_xlfn.IFNA(VLOOKUP(B53,Towary_na_zamówieniach!$A$4:$C$1500,3,FALSE),0)</f>
        <v>0</v>
      </c>
      <c r="M53" s="11">
        <f>_xlfn.IFNA(VLOOKUP(B53,MBI_Dostawcy_towarów!$A$4:$C$2000,2,FALSE),"N/A")</f>
        <v>90</v>
      </c>
      <c r="N53" s="11" t="str">
        <f>IF(VLOOKUP(B53,Towary_i_uslugi!$A$3:$T$1500,17,FALSE)=0,"!NO SUPPLIER",VLOOKUP(B53,Towary_i_uslugi!$A$3:$T$1500,17))</f>
        <v>FX -MAPLE Frank Xu</v>
      </c>
      <c r="O53" s="11" t="str">
        <f>IF(VLOOKUP(B53,Towary_i_uslugi!$A$4:$U$1200,21,FALSE)&gt;0,VLOOKUP(B53,Towary_i_uslugi!$A$4:$U$1200,21,FALSE),"")</f>
        <v>MBI16.11.2018*opakowanie,jakość</v>
      </c>
      <c r="P53" s="11">
        <f t="shared" si="0"/>
        <v>10</v>
      </c>
      <c r="Q53" s="11">
        <f t="shared" si="1"/>
        <v>400</v>
      </c>
      <c r="R53" s="17">
        <f t="shared" si="2"/>
        <v>964</v>
      </c>
      <c r="S53" s="17">
        <f>VLOOKUP($B53,   MBI_LastBuy!$A$3:E$13199,3,FALSE)</f>
        <v>960</v>
      </c>
      <c r="T53" s="13">
        <f>VLOOKUP($B53,   MBI_LastBuy!$A$3:E$13199,2,FALSE)</f>
        <v>2.41</v>
      </c>
      <c r="U53" s="13" t="str">
        <f>VLOOKUP($B53,   MBI_LastBuy!$A$3:E$13199,5,FALSE)</f>
        <v>USD</v>
      </c>
      <c r="V53" s="15">
        <f>VLOOKUP($B53,   MBI_LastBuy!$A$3:E$13199,4,FALSE)</f>
        <v>43483</v>
      </c>
    </row>
    <row r="54" spans="1:22" x14ac:dyDescent="0.25">
      <c r="A54" s="11" t="s">
        <v>3557</v>
      </c>
      <c r="B54" s="11">
        <v>183010</v>
      </c>
      <c r="C54" s="11" t="str">
        <f>VLOOKUP(B54,Towary_i_uslugi!$A$4:$B$1500,2)</f>
        <v>(brak)</v>
      </c>
      <c r="D54" s="11" t="s">
        <v>2771</v>
      </c>
      <c r="E54" s="11">
        <f>VLOOKUP(B54,Towary_i_uslugi!$A$3:$T$1500,3,FALSE)</f>
        <v>60</v>
      </c>
      <c r="F54" s="11" t="str">
        <f>VLOOKUP(B54,Towary_i_uslugi!$A$3:$T$1500,20,FALSE)</f>
        <v>blister card</v>
      </c>
      <c r="G54" s="11">
        <f>VLOOKUP(B54,MBI_Dostawcy_towarów!$A$4:$C$1399,3,FALSE)</f>
        <v>0.55600000000000005</v>
      </c>
      <c r="H54" s="11">
        <v>61</v>
      </c>
      <c r="I54" s="11">
        <v>3</v>
      </c>
      <c r="J54" s="11">
        <v>110</v>
      </c>
      <c r="K54" s="11">
        <f>_xlfn.IFNA(VLOOKUP(B54,Towary_na_zamówieniach!$A$4:$C$1500,2,FALSE),0)</f>
        <v>0</v>
      </c>
      <c r="L54" s="11">
        <f>_xlfn.IFNA(VLOOKUP(B54,Towary_na_zamówieniach!$A$4:$C$1500,3,FALSE),0)</f>
        <v>0</v>
      </c>
      <c r="M54" s="11">
        <f>_xlfn.IFNA(VLOOKUP(B54,MBI_Dostawcy_towarów!$A$4:$C$2000,2,FALSE),"N/A")</f>
        <v>90</v>
      </c>
      <c r="N54" s="11" t="str">
        <f>IF(VLOOKUP(B54,Towary_i_uslugi!$A$3:$T$1500,17,FALSE)=0,"!NO SUPPLIER",VLOOKUP(B54,Towary_i_uslugi!$A$3:$T$1500,17))</f>
        <v xml:space="preserve">SK rozrachunki </v>
      </c>
      <c r="O54" s="11" t="str">
        <f>IF(VLOOKUP(B54,Towary_i_uslugi!$A$4:$U$1200,21,FALSE)&gt;0,VLOOKUP(B54,Towary_i_uslugi!$A$4:$U$1200,21,FALSE),"")</f>
        <v>*MBI*26.10.2020* first delivery</v>
      </c>
      <c r="P54" s="11">
        <f t="shared" si="0"/>
        <v>2</v>
      </c>
      <c r="Q54" s="11">
        <f t="shared" si="1"/>
        <v>120</v>
      </c>
      <c r="R54" s="17">
        <f t="shared" si="2"/>
        <v>501.59999999999997</v>
      </c>
      <c r="S54" s="17">
        <f>VLOOKUP($B54,   MBI_LastBuy!$A$3:E$13199,3,FALSE)</f>
        <v>60</v>
      </c>
      <c r="T54" s="13">
        <f>VLOOKUP($B54,   MBI_LastBuy!$A$3:E$13199,2,FALSE)</f>
        <v>4.18</v>
      </c>
      <c r="U54" s="13" t="str">
        <f>VLOOKUP($B54,   MBI_LastBuy!$A$3:E$13199,5,FALSE)</f>
        <v>USD</v>
      </c>
      <c r="V54" s="15">
        <f>VLOOKUP($B54,   MBI_LastBuy!$A$3:E$13199,4,FALSE)</f>
        <v>44102</v>
      </c>
    </row>
    <row r="55" spans="1:22" x14ac:dyDescent="0.25">
      <c r="A55" s="11" t="s">
        <v>3553</v>
      </c>
      <c r="B55" s="11">
        <v>183650</v>
      </c>
      <c r="C55" s="11" t="str">
        <f>VLOOKUP(B55,Towary_i_uslugi!$A$4:$B$1500,2)</f>
        <v>(brak)</v>
      </c>
      <c r="D55" s="11" t="s">
        <v>1579</v>
      </c>
      <c r="E55" s="11">
        <f>VLOOKUP(B55,Towary_i_uslugi!$A$3:$T$1500,3,FALSE)</f>
        <v>72</v>
      </c>
      <c r="F55" s="11" t="str">
        <f>VLOOKUP(B55,Towary_i_uslugi!$A$3:$T$1500,20,FALSE)</f>
        <v>slide blister card</v>
      </c>
      <c r="G55" s="11">
        <f>VLOOKUP(B55,MBI_Dostawcy_towarów!$A$4:$C$1399,3,FALSE)</f>
        <v>0.20799999999999999</v>
      </c>
      <c r="H55" s="11">
        <v>345</v>
      </c>
      <c r="I55" s="11">
        <v>72</v>
      </c>
      <c r="J55" s="11">
        <v>960</v>
      </c>
      <c r="K55" s="11">
        <f>_xlfn.IFNA(VLOOKUP(B55,Towary_na_zamówieniach!$A$4:$C$1500,2,FALSE),0)</f>
        <v>1200</v>
      </c>
      <c r="L55" s="11">
        <f>_xlfn.IFNA(VLOOKUP(B55,Towary_na_zamówieniach!$A$4:$C$1500,3,FALSE),0)</f>
        <v>1200</v>
      </c>
      <c r="M55" s="11">
        <f>_xlfn.IFNA(VLOOKUP(B55,MBI_Dostawcy_towarów!$A$4:$C$2000,2,FALSE),"N/A")</f>
        <v>90</v>
      </c>
      <c r="N55" s="11" t="str">
        <f>IF(VLOOKUP(B55,Towary_i_uslugi!$A$3:$T$1500,17,FALSE)=0,"!NO SUPPLIER",VLOOKUP(B55,Towary_i_uslugi!$A$3:$T$1500,17))</f>
        <v>FX -MAPLE Frank Xu</v>
      </c>
      <c r="O55" s="11" t="str">
        <f>IF(VLOOKUP(B55,Towary_i_uslugi!$A$4:$U$1200,21,FALSE)&gt;0,VLOOKUP(B55,Towary_i_uslugi!$A$4:$U$1200,21,FALSE),"")</f>
        <v/>
      </c>
      <c r="P55" s="11">
        <f t="shared" si="0"/>
        <v>0</v>
      </c>
      <c r="Q55" s="11">
        <f t="shared" si="1"/>
        <v>0</v>
      </c>
      <c r="R55" s="17">
        <f t="shared" si="2"/>
        <v>0</v>
      </c>
      <c r="S55" s="17">
        <f>VLOOKUP($B55,   MBI_LastBuy!$A$3:E$13199,3,FALSE)</f>
        <v>1200</v>
      </c>
      <c r="T55" s="13">
        <f>VLOOKUP($B55,   MBI_LastBuy!$A$3:E$13199,2,FALSE)</f>
        <v>1</v>
      </c>
      <c r="U55" s="13" t="str">
        <f>VLOOKUP($B55,   MBI_LastBuy!$A$3:E$13199,5,FALSE)</f>
        <v>USD</v>
      </c>
      <c r="V55" s="15">
        <f>VLOOKUP($B55,   MBI_LastBuy!$A$3:E$13199,4,FALSE)</f>
        <v>44020</v>
      </c>
    </row>
    <row r="56" spans="1:22" x14ac:dyDescent="0.25">
      <c r="A56" s="11" t="s">
        <v>3552</v>
      </c>
      <c r="B56" s="11">
        <v>194000</v>
      </c>
      <c r="C56" s="11" t="str">
        <f>VLOOKUP(B56,Towary_i_uslugi!$A$4:$B$1500,2)</f>
        <v>(brak)</v>
      </c>
      <c r="D56" s="11" t="s">
        <v>3597</v>
      </c>
      <c r="E56" s="11">
        <f>VLOOKUP(B56,Towary_i_uslugi!$A$3:$T$1500,3,FALSE)</f>
        <v>40</v>
      </c>
      <c r="F56" s="11" t="str">
        <f>VLOOKUP(B56,Towary_i_uslugi!$A$3:$T$1500,20,FALSE)</f>
        <v>slide blister card</v>
      </c>
      <c r="G56" s="11">
        <f>VLOOKUP(B56,MBI_Dostawcy_towarów!$A$4:$C$1399,3,FALSE)</f>
        <v>0.46800000000000003</v>
      </c>
      <c r="H56" s="11">
        <v>291</v>
      </c>
      <c r="I56" s="11">
        <v>0</v>
      </c>
      <c r="J56" s="11">
        <v>350</v>
      </c>
      <c r="K56" s="11">
        <f>_xlfn.IFNA(VLOOKUP(B56,Towary_na_zamówieniach!$A$4:$C$1500,2,FALSE),0)</f>
        <v>640</v>
      </c>
      <c r="L56" s="11">
        <f>_xlfn.IFNA(VLOOKUP(B56,Towary_na_zamówieniach!$A$4:$C$1500,3,FALSE),0)</f>
        <v>1056</v>
      </c>
      <c r="M56" s="11">
        <f>_xlfn.IFNA(VLOOKUP(B56,MBI_Dostawcy_towarów!$A$4:$C$2000,2,FALSE),"N/A")</f>
        <v>90</v>
      </c>
      <c r="N56" s="11" t="str">
        <f>IF(VLOOKUP(B56,Towary_i_uslugi!$A$3:$T$1500,17,FALSE)=0,"!NO SUPPLIER",VLOOKUP(B56,Towary_i_uslugi!$A$3:$T$1500,17))</f>
        <v>XM</v>
      </c>
      <c r="O56" s="11" t="str">
        <f>IF(VLOOKUP(B56,Towary_i_uslugi!$A$4:$U$1200,21,FALSE)&gt;0,VLOOKUP(B56,Towary_i_uslugi!$A$4:$U$1200,21,FALSE),"")</f>
        <v>MBA*30.9.19* TUV stamped</v>
      </c>
      <c r="P56" s="11">
        <f t="shared" si="0"/>
        <v>0</v>
      </c>
      <c r="Q56" s="11">
        <f t="shared" si="1"/>
        <v>0</v>
      </c>
      <c r="R56" s="17">
        <f t="shared" si="2"/>
        <v>0</v>
      </c>
      <c r="S56" s="17">
        <f>VLOOKUP($B56,   MBI_LastBuy!$A$3:E$13199,3,FALSE)</f>
        <v>640</v>
      </c>
      <c r="T56" s="13">
        <f>VLOOKUP($B56,   MBI_LastBuy!$A$3:E$13199,2,FALSE)</f>
        <v>1.65</v>
      </c>
      <c r="U56" s="13" t="str">
        <f>VLOOKUP($B56,   MBI_LastBuy!$A$3:E$13199,5,FALSE)</f>
        <v>USD</v>
      </c>
      <c r="V56" s="15">
        <f>VLOOKUP($B56,   MBI_LastBuy!$A$3:E$13199,4,FALSE)</f>
        <v>44140</v>
      </c>
    </row>
    <row r="57" spans="1:22" x14ac:dyDescent="0.25">
      <c r="A57" s="11" t="s">
        <v>3552</v>
      </c>
      <c r="B57" s="11">
        <v>194141</v>
      </c>
      <c r="C57" s="11" t="str">
        <f>VLOOKUP(B57,Towary_i_uslugi!$A$4:$B$1500,2)</f>
        <v>(brak)</v>
      </c>
      <c r="D57" s="11" t="s">
        <v>3598</v>
      </c>
      <c r="E57" s="11">
        <f>VLOOKUP(B57,Towary_i_uslugi!$A$3:$T$1500,3,FALSE)</f>
        <v>20</v>
      </c>
      <c r="F57" s="11" t="str">
        <f>VLOOKUP(B57,Towary_i_uslugi!$A$3:$T$1500,20,FALSE)</f>
        <v>slide blister card</v>
      </c>
      <c r="G57" s="11">
        <f>VLOOKUP(B57,MBI_Dostawcy_towarów!$A$4:$C$1399,3,FALSE)</f>
        <v>0.71499999999999997</v>
      </c>
      <c r="H57" s="11">
        <v>338</v>
      </c>
      <c r="I57" s="11">
        <v>161</v>
      </c>
      <c r="J57" s="11">
        <v>800</v>
      </c>
      <c r="K57" s="11">
        <f>_xlfn.IFNA(VLOOKUP(B57,Towary_na_zamówieniach!$A$4:$C$1500,2,FALSE),0)</f>
        <v>800</v>
      </c>
      <c r="L57" s="11">
        <f>_xlfn.IFNA(VLOOKUP(B57,Towary_na_zamówieniach!$A$4:$C$1500,3,FALSE),0)</f>
        <v>1960</v>
      </c>
      <c r="M57" s="11">
        <f>_xlfn.IFNA(VLOOKUP(B57,MBI_Dostawcy_towarów!$A$4:$C$2000,2,FALSE),"N/A")</f>
        <v>90</v>
      </c>
      <c r="N57" s="11" t="str">
        <f>IF(VLOOKUP(B57,Towary_i_uslugi!$A$3:$T$1500,17,FALSE)=0,"!NO SUPPLIER",VLOOKUP(B57,Towary_i_uslugi!$A$3:$T$1500,17))</f>
        <v>XM</v>
      </c>
      <c r="O57" s="11" t="str">
        <f>IF(VLOOKUP(B57,Towary_i_uslugi!$A$4:$U$1200,21,FALSE)&gt;0,VLOOKUP(B57,Towary_i_uslugi!$A$4:$U$1200,21,FALSE),"")</f>
        <v>WBA*09.10.20* TUV stamp is not removed</v>
      </c>
      <c r="P57" s="11">
        <f t="shared" si="0"/>
        <v>0</v>
      </c>
      <c r="Q57" s="11">
        <f t="shared" si="1"/>
        <v>0</v>
      </c>
      <c r="R57" s="17">
        <f t="shared" si="2"/>
        <v>0</v>
      </c>
      <c r="S57" s="17">
        <f>VLOOKUP($B57,   MBI_LastBuy!$A$3:E$13199,3,FALSE)</f>
        <v>800</v>
      </c>
      <c r="T57" s="13">
        <f>VLOOKUP($B57,   MBI_LastBuy!$A$3:E$13199,2,FALSE)</f>
        <v>2.4500000000000002</v>
      </c>
      <c r="U57" s="13" t="str">
        <f>VLOOKUP($B57,   MBI_LastBuy!$A$3:E$13199,5,FALSE)</f>
        <v>USD</v>
      </c>
      <c r="V57" s="15">
        <f>VLOOKUP($B57,   MBI_LastBuy!$A$3:E$13199,4,FALSE)</f>
        <v>44060</v>
      </c>
    </row>
    <row r="58" spans="1:22" x14ac:dyDescent="0.25">
      <c r="A58" s="11" t="s">
        <v>3553</v>
      </c>
      <c r="B58" s="11">
        <v>195012</v>
      </c>
      <c r="C58" s="11" t="str">
        <f>VLOOKUP(B58,Towary_i_uslugi!$A$4:$B$1500,2)</f>
        <v>(brak)</v>
      </c>
      <c r="D58" s="11" t="s">
        <v>3599</v>
      </c>
      <c r="E58" s="11">
        <f>VLOOKUP(B58,Towary_i_uslugi!$A$3:$T$1500,3,FALSE)</f>
        <v>50</v>
      </c>
      <c r="F58" s="11" t="str">
        <f>VLOOKUP(B58,Towary_i_uslugi!$A$3:$T$1500,20,FALSE)</f>
        <v>blister card</v>
      </c>
      <c r="G58" s="11">
        <f>VLOOKUP(B58,MBI_Dostawcy_towarów!$A$4:$C$1399,3,FALSE)</f>
        <v>0.44</v>
      </c>
      <c r="H58" s="11">
        <v>87</v>
      </c>
      <c r="I58" s="11">
        <v>51</v>
      </c>
      <c r="J58" s="11">
        <v>80</v>
      </c>
      <c r="K58" s="11">
        <f>_xlfn.IFNA(VLOOKUP(B58,Towary_na_zamówieniach!$A$4:$C$1500,2,FALSE),0)</f>
        <v>201</v>
      </c>
      <c r="L58" s="11">
        <f>_xlfn.IFNA(VLOOKUP(B58,Towary_na_zamówieniach!$A$4:$C$1500,3,FALSE),0)</f>
        <v>301.52999999999997</v>
      </c>
      <c r="M58" s="11">
        <f>_xlfn.IFNA(VLOOKUP(B58,MBI_Dostawcy_towarów!$A$4:$C$2000,2,FALSE),"N/A")</f>
        <v>90</v>
      </c>
      <c r="N58" s="11" t="str">
        <f>IF(VLOOKUP(B58,Towary_i_uslugi!$A$3:$T$1500,17,FALSE)=0,"!NO SUPPLIER",VLOOKUP(B58,Towary_i_uslugi!$A$3:$T$1500,17))</f>
        <v>FX -MAPLE Frank Xu</v>
      </c>
      <c r="O58" s="11" t="str">
        <f>IF(VLOOKUP(B58,Towary_i_uslugi!$A$4:$U$1200,21,FALSE)&gt;0,VLOOKUP(B58,Towary_i_uslugi!$A$4:$U$1200,21,FALSE),"")</f>
        <v/>
      </c>
      <c r="P58" s="11">
        <f t="shared" si="0"/>
        <v>0</v>
      </c>
      <c r="Q58" s="11">
        <f t="shared" si="1"/>
        <v>0</v>
      </c>
      <c r="R58" s="17">
        <f t="shared" si="2"/>
        <v>0</v>
      </c>
      <c r="S58" s="17">
        <f>VLOOKUP($B58,   MBI_LastBuy!$A$3:E$13199,3,FALSE)</f>
        <v>200</v>
      </c>
      <c r="T58" s="13">
        <f>VLOOKUP($B58,   MBI_LastBuy!$A$3:E$13199,2,FALSE)</f>
        <v>1.5</v>
      </c>
      <c r="U58" s="13" t="str">
        <f>VLOOKUP($B58,   MBI_LastBuy!$A$3:E$13199,5,FALSE)</f>
        <v>USD</v>
      </c>
      <c r="V58" s="15">
        <f>VLOOKUP($B58,   MBI_LastBuy!$A$3:E$13199,4,FALSE)</f>
        <v>44141</v>
      </c>
    </row>
    <row r="59" spans="1:22" x14ac:dyDescent="0.25">
      <c r="A59" s="11" t="s">
        <v>3552</v>
      </c>
      <c r="B59" s="11">
        <v>195013</v>
      </c>
      <c r="C59" s="11" t="str">
        <f>VLOOKUP(B59,Towary_i_uslugi!$A$4:$B$1500,2)</f>
        <v>(brak)</v>
      </c>
      <c r="D59" s="11" t="s">
        <v>2772</v>
      </c>
      <c r="E59" s="11">
        <f>VLOOKUP(B59,Towary_i_uslugi!$A$3:$T$1500,3,FALSE)</f>
        <v>10</v>
      </c>
      <c r="F59" s="11" t="str">
        <f>VLOOKUP(B59,Towary_i_uslugi!$A$3:$T$1500,20,FALSE)</f>
        <v>slide blister card</v>
      </c>
      <c r="G59" s="11">
        <f>VLOOKUP(B59,MBI_Dostawcy_towarów!$A$4:$C$1399,3,FALSE)</f>
        <v>0.44600000000000001</v>
      </c>
      <c r="H59" s="11">
        <v>32</v>
      </c>
      <c r="I59" s="11">
        <v>0</v>
      </c>
      <c r="J59" s="11">
        <v>40</v>
      </c>
      <c r="K59" s="11">
        <f>_xlfn.IFNA(VLOOKUP(B59,Towary_na_zamówieniach!$A$4:$C$1500,2,FALSE),0)</f>
        <v>1</v>
      </c>
      <c r="L59" s="11">
        <f>_xlfn.IFNA(VLOOKUP(B59,Towary_na_zamówieniach!$A$4:$C$1500,3,FALSE),0)</f>
        <v>6.06</v>
      </c>
      <c r="M59" s="11">
        <f>_xlfn.IFNA(VLOOKUP(B59,MBI_Dostawcy_towarów!$A$4:$C$2000,2,FALSE),"N/A")</f>
        <v>90</v>
      </c>
      <c r="N59" s="11" t="str">
        <f>IF(VLOOKUP(B59,Towary_i_uslugi!$A$3:$T$1500,17,FALSE)=0,"!NO SUPPLIER",VLOOKUP(B59,Towary_i_uslugi!$A$3:$T$1500,17))</f>
        <v>XM</v>
      </c>
      <c r="O59" s="11" t="str">
        <f>IF(VLOOKUP(B59,Towary_i_uslugi!$A$4:$U$1200,21,FALSE)&gt;0,VLOOKUP(B59,Towary_i_uslugi!$A$4:$U$1200,21,FALSE),"")</f>
        <v/>
      </c>
      <c r="P59" s="11">
        <f t="shared" si="0"/>
        <v>4</v>
      </c>
      <c r="Q59" s="11">
        <f t="shared" si="1"/>
        <v>40</v>
      </c>
      <c r="R59" s="17">
        <f t="shared" si="2"/>
        <v>316.8</v>
      </c>
      <c r="S59" s="17">
        <f>VLOOKUP($B59,   MBI_LastBuy!$A$3:E$13199,3,FALSE)</f>
        <v>120</v>
      </c>
      <c r="T59" s="13">
        <f>VLOOKUP($B59,   MBI_LastBuy!$A$3:E$13199,2,FALSE)</f>
        <v>7.92</v>
      </c>
      <c r="U59" s="13" t="str">
        <f>VLOOKUP($B59,   MBI_LastBuy!$A$3:E$13199,5,FALSE)</f>
        <v>USD</v>
      </c>
      <c r="V59" s="15">
        <f>VLOOKUP($B59,   MBI_LastBuy!$A$3:E$13199,4,FALSE)</f>
        <v>43244</v>
      </c>
    </row>
    <row r="60" spans="1:22" x14ac:dyDescent="0.25">
      <c r="A60" s="11" t="s">
        <v>3552</v>
      </c>
      <c r="B60" s="11">
        <v>195014</v>
      </c>
      <c r="C60" s="11" t="str">
        <f>VLOOKUP(B60,Towary_i_uslugi!$A$4:$B$1500,2)</f>
        <v>(brak)</v>
      </c>
      <c r="D60" s="11" t="s">
        <v>17</v>
      </c>
      <c r="E60" s="11">
        <f>VLOOKUP(B60,Towary_i_uslugi!$A$3:$T$1500,3,FALSE)</f>
        <v>50</v>
      </c>
      <c r="F60" s="11" t="str">
        <f>VLOOKUP(B60,Towary_i_uslugi!$A$3:$T$1500,20,FALSE)</f>
        <v>slide blister card</v>
      </c>
      <c r="G60" s="11">
        <f>VLOOKUP(B60,MBI_Dostawcy_towarów!$A$4:$C$1399,3,FALSE)</f>
        <v>0.20799999999999999</v>
      </c>
      <c r="H60" s="11">
        <v>46</v>
      </c>
      <c r="I60" s="11">
        <v>1</v>
      </c>
      <c r="J60" s="11">
        <v>200</v>
      </c>
      <c r="K60" s="11">
        <f>_xlfn.IFNA(VLOOKUP(B60,Towary_na_zamówieniach!$A$4:$C$1500,2,FALSE),0)</f>
        <v>251</v>
      </c>
      <c r="L60" s="11">
        <f>_xlfn.IFNA(VLOOKUP(B60,Towary_na_zamówieniach!$A$4:$C$1500,3,FALSE),0)</f>
        <v>414.15</v>
      </c>
      <c r="M60" s="11">
        <f>_xlfn.IFNA(VLOOKUP(B60,MBI_Dostawcy_towarów!$A$4:$C$2000,2,FALSE),"N/A")</f>
        <v>90</v>
      </c>
      <c r="N60" s="11" t="str">
        <f>IF(VLOOKUP(B60,Towary_i_uslugi!$A$3:$T$1500,17,FALSE)=0,"!NO SUPPLIER",VLOOKUP(B60,Towary_i_uslugi!$A$3:$T$1500,17))</f>
        <v>XM - PRZYJĘCIE TOWARU !!!</v>
      </c>
      <c r="O60" s="11" t="str">
        <f>IF(VLOOKUP(B60,Towary_i_uslugi!$A$4:$U$1200,21,FALSE)&gt;0,VLOOKUP(B60,Towary_i_uslugi!$A$4:$U$1200,21,FALSE),"")</f>
        <v/>
      </c>
      <c r="P60" s="11">
        <f t="shared" si="0"/>
        <v>0</v>
      </c>
      <c r="Q60" s="11">
        <f t="shared" si="1"/>
        <v>0</v>
      </c>
      <c r="R60" s="17">
        <f t="shared" si="2"/>
        <v>0</v>
      </c>
      <c r="S60" s="17">
        <f>VLOOKUP($B60,   MBI_LastBuy!$A$3:E$13199,3,FALSE)</f>
        <v>250</v>
      </c>
      <c r="T60" s="13">
        <f>VLOOKUP($B60,   MBI_LastBuy!$A$3:E$13199,2,FALSE)</f>
        <v>1.65</v>
      </c>
      <c r="U60" s="13" t="str">
        <f>VLOOKUP($B60,   MBI_LastBuy!$A$3:E$13199,5,FALSE)</f>
        <v>USD</v>
      </c>
      <c r="V60" s="15">
        <f>VLOOKUP($B60,   MBI_LastBuy!$A$3:E$13199,4,FALSE)</f>
        <v>44021</v>
      </c>
    </row>
    <row r="61" spans="1:22" x14ac:dyDescent="0.25">
      <c r="A61" s="11" t="s">
        <v>3552</v>
      </c>
      <c r="B61" s="11">
        <v>195310</v>
      </c>
      <c r="C61" s="11" t="str">
        <f>VLOOKUP(B61,Towary_i_uslugi!$A$4:$B$1500,2)</f>
        <v>(brak)</v>
      </c>
      <c r="D61" s="11" t="s">
        <v>3600</v>
      </c>
      <c r="E61" s="11">
        <f>VLOOKUP(B61,Towary_i_uslugi!$A$3:$T$1500,3,FALSE)</f>
        <v>240</v>
      </c>
      <c r="F61" s="11" t="str">
        <f>VLOOKUP(B61,Towary_i_uslugi!$A$3:$T$1500,20,FALSE)</f>
        <v>polybag header</v>
      </c>
      <c r="G61" s="11">
        <f>VLOOKUP(B61,MBI_Dostawcy_towarów!$A$4:$C$1399,3,FALSE)</f>
        <v>9.2999999999999999E-2</v>
      </c>
      <c r="H61" s="11">
        <v>1007</v>
      </c>
      <c r="I61" s="11">
        <v>70</v>
      </c>
      <c r="J61" s="11">
        <v>1300</v>
      </c>
      <c r="K61" s="11">
        <f>_xlfn.IFNA(VLOOKUP(B61,Towary_na_zamówieniach!$A$4:$C$1500,2,FALSE),0)</f>
        <v>1440</v>
      </c>
      <c r="L61" s="11">
        <f>_xlfn.IFNA(VLOOKUP(B61,Towary_na_zamówieniach!$A$4:$C$1500,3,FALSE),0)</f>
        <v>738.72</v>
      </c>
      <c r="M61" s="11">
        <f>_xlfn.IFNA(VLOOKUP(B61,MBI_Dostawcy_towarów!$A$4:$C$2000,2,FALSE),"N/A")</f>
        <v>90</v>
      </c>
      <c r="N61" s="11" t="str">
        <f>IF(VLOOKUP(B61,Towary_i_uslugi!$A$3:$T$1500,17,FALSE)=0,"!NO SUPPLIER",VLOOKUP(B61,Towary_i_uslugi!$A$3:$T$1500,17))</f>
        <v>XM - PRZYJĘCIE TOWARU !!!</v>
      </c>
      <c r="O61" s="11" t="str">
        <f>IF(VLOOKUP(B61,Towary_i_uslugi!$A$4:$U$1200,21,FALSE)&gt;0,VLOOKUP(B61,Towary_i_uslugi!$A$4:$U$1200,21,FALSE),"")</f>
        <v/>
      </c>
      <c r="P61" s="11">
        <f t="shared" si="0"/>
        <v>0</v>
      </c>
      <c r="Q61" s="11">
        <f t="shared" si="1"/>
        <v>0</v>
      </c>
      <c r="R61" s="17">
        <f t="shared" si="2"/>
        <v>0</v>
      </c>
      <c r="S61" s="17">
        <f>VLOOKUP($B61,   MBI_LastBuy!$A$3:E$13199,3,FALSE)</f>
        <v>1440</v>
      </c>
      <c r="T61" s="13">
        <f>VLOOKUP($B61,   MBI_LastBuy!$A$3:E$13199,2,FALSE)</f>
        <v>0.51300000000000001</v>
      </c>
      <c r="U61" s="13" t="str">
        <f>VLOOKUP($B61,   MBI_LastBuy!$A$3:E$13199,5,FALSE)</f>
        <v>USD</v>
      </c>
      <c r="V61" s="15">
        <f>VLOOKUP($B61,   MBI_LastBuy!$A$3:E$13199,4,FALSE)</f>
        <v>44125</v>
      </c>
    </row>
    <row r="62" spans="1:22" x14ac:dyDescent="0.25">
      <c r="A62" s="11" t="s">
        <v>3552</v>
      </c>
      <c r="B62" s="11">
        <v>198190</v>
      </c>
      <c r="C62" s="11" t="str">
        <f>VLOOKUP(B62,Towary_i_uslugi!$A$4:$B$1500,2)</f>
        <v>(brak)</v>
      </c>
      <c r="D62" s="11" t="s">
        <v>3601</v>
      </c>
      <c r="E62" s="11">
        <f>VLOOKUP(B62,Towary_i_uslugi!$A$3:$T$1500,3,FALSE)</f>
        <v>60</v>
      </c>
      <c r="F62" s="11" t="str">
        <f>VLOOKUP(B62,Towary_i_uslugi!$A$3:$T$1500,20,FALSE)</f>
        <v>polybag header</v>
      </c>
      <c r="G62" s="11">
        <f>VLOOKUP(B62,MBI_Dostawcy_towarów!$A$4:$C$1399,3,FALSE)</f>
        <v>7.4999999999999997E-2</v>
      </c>
      <c r="H62" s="11">
        <v>2453</v>
      </c>
      <c r="I62" s="11">
        <v>10</v>
      </c>
      <c r="J62" s="11">
        <v>2500</v>
      </c>
      <c r="K62" s="11">
        <f>_xlfn.IFNA(VLOOKUP(B62,Towary_na_zamówieniach!$A$4:$C$1500,2,FALSE),0)</f>
        <v>3000</v>
      </c>
      <c r="L62" s="11">
        <f>_xlfn.IFNA(VLOOKUP(B62,Towary_na_zamówieniach!$A$4:$C$1500,3,FALSE),0)</f>
        <v>765</v>
      </c>
      <c r="M62" s="11">
        <f>_xlfn.IFNA(VLOOKUP(B62,MBI_Dostawcy_towarów!$A$4:$C$2000,2,FALSE),"N/A")</f>
        <v>90</v>
      </c>
      <c r="N62" s="11" t="str">
        <f>IF(VLOOKUP(B62,Towary_i_uslugi!$A$3:$T$1500,17,FALSE)=0,"!NO SUPPLIER",VLOOKUP(B62,Towary_i_uslugi!$A$3:$T$1500,17))</f>
        <v>XM - PRZYJĘCIE TOWARU !!!</v>
      </c>
      <c r="O62" s="11" t="str">
        <f>IF(VLOOKUP(B62,Towary_i_uslugi!$A$4:$U$1200,21,FALSE)&gt;0,VLOOKUP(B62,Towary_i_uslugi!$A$4:$U$1200,21,FALSE),"")</f>
        <v/>
      </c>
      <c r="P62" s="11">
        <f t="shared" si="0"/>
        <v>0</v>
      </c>
      <c r="Q62" s="11">
        <f t="shared" si="1"/>
        <v>0</v>
      </c>
      <c r="R62" s="17">
        <f t="shared" si="2"/>
        <v>0</v>
      </c>
      <c r="S62" s="17">
        <f>VLOOKUP($B62,   MBI_LastBuy!$A$3:E$13199,3,FALSE)</f>
        <v>3000</v>
      </c>
      <c r="T62" s="13">
        <f>VLOOKUP($B62,   MBI_LastBuy!$A$3:E$13199,2,FALSE)</f>
        <v>0.255</v>
      </c>
      <c r="U62" s="13" t="str">
        <f>VLOOKUP($B62,   MBI_LastBuy!$A$3:E$13199,5,FALSE)</f>
        <v>USD</v>
      </c>
      <c r="V62" s="15">
        <f>VLOOKUP($B62,   MBI_LastBuy!$A$3:E$13199,4,FALSE)</f>
        <v>44140</v>
      </c>
    </row>
    <row r="63" spans="1:22" x14ac:dyDescent="0.25">
      <c r="A63" s="11" t="s">
        <v>3552</v>
      </c>
      <c r="B63" s="11">
        <v>198390</v>
      </c>
      <c r="C63" s="11" t="str">
        <f>VLOOKUP(B63,Towary_i_uslugi!$A$4:$B$1500,2)</f>
        <v>(brak)</v>
      </c>
      <c r="D63" s="11" t="s">
        <v>3602</v>
      </c>
      <c r="E63" s="11">
        <f>VLOOKUP(B63,Towary_i_uslugi!$A$3:$T$1500,3,FALSE)</f>
        <v>240</v>
      </c>
      <c r="F63" s="11" t="str">
        <f>VLOOKUP(B63,Towary_i_uslugi!$A$3:$T$1500,20,FALSE)</f>
        <v>polybag header</v>
      </c>
      <c r="G63" s="11">
        <f>VLOOKUP(B63,MBI_Dostawcy_towarów!$A$4:$C$1399,3,FALSE)</f>
        <v>7.6999999999999999E-2</v>
      </c>
      <c r="H63" s="11">
        <v>1885</v>
      </c>
      <c r="I63" s="11">
        <v>10</v>
      </c>
      <c r="J63" s="11">
        <v>2500</v>
      </c>
      <c r="K63" s="11">
        <f>_xlfn.IFNA(VLOOKUP(B63,Towary_na_zamówieniach!$A$4:$C$1500,2,FALSE),0)</f>
        <v>1200</v>
      </c>
      <c r="L63" s="11">
        <f>_xlfn.IFNA(VLOOKUP(B63,Towary_na_zamówieniach!$A$4:$C$1500,3,FALSE),0)</f>
        <v>436.8</v>
      </c>
      <c r="M63" s="11">
        <f>_xlfn.IFNA(VLOOKUP(B63,MBI_Dostawcy_towarów!$A$4:$C$2000,2,FALSE),"N/A")</f>
        <v>90</v>
      </c>
      <c r="N63" s="11" t="str">
        <f>IF(VLOOKUP(B63,Towary_i_uslugi!$A$3:$T$1500,17,FALSE)=0,"!NO SUPPLIER",VLOOKUP(B63,Towary_i_uslugi!$A$3:$T$1500,17))</f>
        <v>XM - PRZYJĘCIE TOWARU !!!</v>
      </c>
      <c r="O63" s="11" t="str">
        <f>IF(VLOOKUP(B63,Towary_i_uslugi!$A$4:$U$1200,21,FALSE)&gt;0,VLOOKUP(B63,Towary_i_uslugi!$A$4:$U$1200,21,FALSE),"")</f>
        <v/>
      </c>
      <c r="P63" s="11">
        <f t="shared" si="0"/>
        <v>0</v>
      </c>
      <c r="Q63" s="11">
        <f t="shared" si="1"/>
        <v>0</v>
      </c>
      <c r="R63" s="17">
        <f t="shared" si="2"/>
        <v>0</v>
      </c>
      <c r="S63" s="17">
        <f>VLOOKUP($B63,   MBI_LastBuy!$A$3:E$13199,3,FALSE)</f>
        <v>1200</v>
      </c>
      <c r="T63" s="13">
        <f>VLOOKUP($B63,   MBI_LastBuy!$A$3:E$13199,2,FALSE)</f>
        <v>0.36399999999999999</v>
      </c>
      <c r="U63" s="13" t="str">
        <f>VLOOKUP($B63,   MBI_LastBuy!$A$3:E$13199,5,FALSE)</f>
        <v>USD</v>
      </c>
      <c r="V63" s="15">
        <f>VLOOKUP($B63,   MBI_LastBuy!$A$3:E$13199,4,FALSE)</f>
        <v>44068</v>
      </c>
    </row>
    <row r="64" spans="1:22" x14ac:dyDescent="0.25">
      <c r="A64" s="11" t="s">
        <v>3553</v>
      </c>
      <c r="B64" s="11">
        <v>199160</v>
      </c>
      <c r="C64" s="11" t="str">
        <f>VLOOKUP(B64,Towary_i_uslugi!$A$4:$B$1500,2)</f>
        <v>(brak)</v>
      </c>
      <c r="D64" s="11" t="s">
        <v>3603</v>
      </c>
      <c r="E64" s="11">
        <f>VLOOKUP(B64,Towary_i_uslugi!$A$3:$T$1500,3,FALSE)</f>
        <v>120</v>
      </c>
      <c r="F64" s="11" t="str">
        <f>VLOOKUP(B64,Towary_i_uslugi!$A$3:$T$1500,20,FALSE)</f>
        <v>polybag header</v>
      </c>
      <c r="G64" s="11">
        <f>VLOOKUP(B64,MBI_Dostawcy_towarów!$A$4:$C$1399,3,FALSE)</f>
        <v>0.09</v>
      </c>
      <c r="H64" s="11">
        <v>257</v>
      </c>
      <c r="I64" s="11">
        <v>0</v>
      </c>
      <c r="J64" s="11">
        <v>500</v>
      </c>
      <c r="K64" s="11">
        <f>_xlfn.IFNA(VLOOKUP(B64,Towary_na_zamówieniach!$A$4:$C$1500,2,FALSE),0)</f>
        <v>1200</v>
      </c>
      <c r="L64" s="11">
        <f>_xlfn.IFNA(VLOOKUP(B64,Towary_na_zamówieniach!$A$4:$C$1500,3,FALSE),0)</f>
        <v>600</v>
      </c>
      <c r="M64" s="11">
        <f>_xlfn.IFNA(VLOOKUP(B64,MBI_Dostawcy_towarów!$A$4:$C$2000,2,FALSE),"N/A")</f>
        <v>90</v>
      </c>
      <c r="N64" s="11" t="str">
        <f>IF(VLOOKUP(B64,Towary_i_uslugi!$A$3:$T$1500,17,FALSE)=0,"!NO SUPPLIER",VLOOKUP(B64,Towary_i_uslugi!$A$3:$T$1500,17))</f>
        <v>FX -MAPLE Frank Xu</v>
      </c>
      <c r="O64" s="11" t="str">
        <f>IF(VLOOKUP(B64,Towary_i_uslugi!$A$4:$U$1200,21,FALSE)&gt;0,VLOOKUP(B64,Towary_i_uslugi!$A$4:$U$1200,21,FALSE),"")</f>
        <v/>
      </c>
      <c r="P64" s="11">
        <f t="shared" si="0"/>
        <v>0</v>
      </c>
      <c r="Q64" s="11">
        <f t="shared" si="1"/>
        <v>0</v>
      </c>
      <c r="R64" s="17">
        <f t="shared" si="2"/>
        <v>0</v>
      </c>
      <c r="S64" s="17">
        <f>VLOOKUP($B64,   MBI_LastBuy!$A$3:E$13199,3,FALSE)</f>
        <v>1200</v>
      </c>
      <c r="T64" s="13">
        <f>VLOOKUP($B64,   MBI_LastBuy!$A$3:E$13199,2,FALSE)</f>
        <v>0.5</v>
      </c>
      <c r="U64" s="13" t="str">
        <f>VLOOKUP($B64,   MBI_LastBuy!$A$3:E$13199,5,FALSE)</f>
        <v>USD</v>
      </c>
      <c r="V64" s="15">
        <f>VLOOKUP($B64,   MBI_LastBuy!$A$3:E$13199,4,FALSE)</f>
        <v>44113</v>
      </c>
    </row>
    <row r="65" spans="1:22" x14ac:dyDescent="0.25">
      <c r="A65" s="11" t="s">
        <v>3553</v>
      </c>
      <c r="B65" s="11">
        <v>199260</v>
      </c>
      <c r="C65" s="11" t="str">
        <f>VLOOKUP(B65,Towary_i_uslugi!$A$4:$B$1500,2)</f>
        <v>(brak)</v>
      </c>
      <c r="D65" s="11" t="s">
        <v>3604</v>
      </c>
      <c r="E65" s="11">
        <f>VLOOKUP(B65,Towary_i_uslugi!$A$3:$T$1500,3,FALSE)</f>
        <v>36</v>
      </c>
      <c r="F65" s="11" t="str">
        <f>VLOOKUP(B65,Towary_i_uslugi!$A$3:$T$1500,20,FALSE)</f>
        <v>pvc bag + sticker</v>
      </c>
      <c r="G65" s="11">
        <f>VLOOKUP(B65,MBI_Dostawcy_towarów!$A$4:$C$1399,3,FALSE)</f>
        <v>0.27800000000000002</v>
      </c>
      <c r="H65" s="11">
        <v>205</v>
      </c>
      <c r="I65" s="11">
        <v>0</v>
      </c>
      <c r="J65" s="11">
        <v>210</v>
      </c>
      <c r="K65" s="11">
        <f>_xlfn.IFNA(VLOOKUP(B65,Towary_na_zamówieniach!$A$4:$C$1500,2,FALSE),0)</f>
        <v>0</v>
      </c>
      <c r="L65" s="11">
        <f>_xlfn.IFNA(VLOOKUP(B65,Towary_na_zamówieniach!$A$4:$C$1500,3,FALSE),0)</f>
        <v>0</v>
      </c>
      <c r="M65" s="11">
        <f>_xlfn.IFNA(VLOOKUP(B65,MBI_Dostawcy_towarów!$A$4:$C$2000,2,FALSE),"N/A")</f>
        <v>90</v>
      </c>
      <c r="N65" s="11" t="str">
        <f>IF(VLOOKUP(B65,Towary_i_uslugi!$A$3:$T$1500,17,FALSE)=0,"!NO SUPPLIER",VLOOKUP(B65,Towary_i_uslugi!$A$3:$T$1500,17))</f>
        <v>FX -MAPLE Frank Xu</v>
      </c>
      <c r="O65" s="11" t="str">
        <f>IF(VLOOKUP(B65,Towary_i_uslugi!$A$4:$U$1200,21,FALSE)&gt;0,VLOOKUP(B65,Towary_i_uslugi!$A$4:$U$1200,21,FALSE),"")</f>
        <v/>
      </c>
      <c r="P65" s="11">
        <f t="shared" si="0"/>
        <v>6</v>
      </c>
      <c r="Q65" s="11">
        <f t="shared" si="1"/>
        <v>216</v>
      </c>
      <c r="R65" s="17">
        <f t="shared" si="2"/>
        <v>270</v>
      </c>
      <c r="S65" s="17">
        <f>VLOOKUP($B65,   MBI_LastBuy!$A$3:E$13199,3,FALSE)</f>
        <v>720</v>
      </c>
      <c r="T65" s="13">
        <f>VLOOKUP($B65,   MBI_LastBuy!$A$3:E$13199,2,FALSE)</f>
        <v>1.25</v>
      </c>
      <c r="U65" s="13" t="str">
        <f>VLOOKUP($B65,   MBI_LastBuy!$A$3:E$13199,5,FALSE)</f>
        <v>USD</v>
      </c>
      <c r="V65" s="15">
        <f>VLOOKUP($B65,   MBI_LastBuy!$A$3:E$13199,4,FALSE)</f>
        <v>43381</v>
      </c>
    </row>
    <row r="66" spans="1:22" x14ac:dyDescent="0.25">
      <c r="A66" s="11" t="s">
        <v>3553</v>
      </c>
      <c r="B66" s="11">
        <v>214052</v>
      </c>
      <c r="C66" s="11" t="str">
        <f>VLOOKUP(B66,Towary_i_uslugi!$A$4:$B$1500,2)</f>
        <v>(brak)</v>
      </c>
      <c r="D66" s="11" t="s">
        <v>3605</v>
      </c>
      <c r="E66" s="11">
        <f>VLOOKUP(B66,Towary_i_uslugi!$A$3:$T$1500,3,FALSE)</f>
        <v>20</v>
      </c>
      <c r="F66" s="11" t="str">
        <f>VLOOKUP(B66,Towary_i_uslugi!$A$3:$T$1500,20,FALSE)</f>
        <v>sticker - bulk packing</v>
      </c>
      <c r="G66" s="11">
        <f>VLOOKUP(B66,MBI_Dostawcy_towarów!$A$4:$C$1399,3,FALSE)</f>
        <v>2.0590000000000002</v>
      </c>
      <c r="H66" s="11">
        <v>30</v>
      </c>
      <c r="I66" s="11">
        <v>10</v>
      </c>
      <c r="J66" s="11">
        <v>130</v>
      </c>
      <c r="K66" s="11">
        <f>_xlfn.IFNA(VLOOKUP(B66,Towary_na_zamówieniach!$A$4:$C$1500,2,FALSE),0)</f>
        <v>140</v>
      </c>
      <c r="L66" s="11">
        <f>_xlfn.IFNA(VLOOKUP(B66,Towary_na_zamówieniach!$A$4:$C$1500,3,FALSE),0)</f>
        <v>700</v>
      </c>
      <c r="M66" s="11">
        <f>_xlfn.IFNA(VLOOKUP(B66,MBI_Dostawcy_towarów!$A$4:$C$2000,2,FALSE),"N/A")</f>
        <v>90</v>
      </c>
      <c r="N66" s="11" t="str">
        <f>IF(VLOOKUP(B66,Towary_i_uslugi!$A$3:$T$1500,17,FALSE)=0,"!NO SUPPLIER",VLOOKUP(B66,Towary_i_uslugi!$A$3:$T$1500,17))</f>
        <v>FX -MAPLE Frank Xu</v>
      </c>
      <c r="O66" s="11" t="str">
        <f>IF(VLOOKUP(B66,Towary_i_uslugi!$A$4:$U$1200,21,FALSE)&gt;0,VLOOKUP(B66,Towary_i_uslugi!$A$4:$U$1200,21,FALSE),"")</f>
        <v/>
      </c>
      <c r="P66" s="11">
        <f t="shared" si="0"/>
        <v>0</v>
      </c>
      <c r="Q66" s="11">
        <f t="shared" si="1"/>
        <v>0</v>
      </c>
      <c r="R66" s="17">
        <f t="shared" si="2"/>
        <v>0</v>
      </c>
      <c r="S66" s="17">
        <f>VLOOKUP($B66,   MBI_LastBuy!$A$3:E$13199,3,FALSE)</f>
        <v>140</v>
      </c>
      <c r="T66" s="13">
        <f>VLOOKUP($B66,   MBI_LastBuy!$A$3:E$13199,2,FALSE)</f>
        <v>5</v>
      </c>
      <c r="U66" s="13" t="str">
        <f>VLOOKUP($B66,   MBI_LastBuy!$A$3:E$13199,5,FALSE)</f>
        <v>USD</v>
      </c>
      <c r="V66" s="15">
        <f>VLOOKUP($B66,   MBI_LastBuy!$A$3:E$13199,4,FALSE)</f>
        <v>44113</v>
      </c>
    </row>
    <row r="67" spans="1:22" x14ac:dyDescent="0.25">
      <c r="A67" s="11" t="s">
        <v>3553</v>
      </c>
      <c r="B67" s="11">
        <v>214082</v>
      </c>
      <c r="C67" s="11" t="str">
        <f>VLOOKUP(B67,Towary_i_uslugi!$A$4:$B$1500,2)</f>
        <v>(brak)</v>
      </c>
      <c r="D67" s="11" t="s">
        <v>3606</v>
      </c>
      <c r="E67" s="11">
        <f>VLOOKUP(B67,Towary_i_uslugi!$A$3:$T$1500,3,FALSE)</f>
        <v>10</v>
      </c>
      <c r="F67" s="11" t="str">
        <f>VLOOKUP(B67,Towary_i_uslugi!$A$3:$T$1500,20,FALSE)</f>
        <v>sticker - bulk packing</v>
      </c>
      <c r="G67" s="11">
        <f>VLOOKUP(B67,MBI_Dostawcy_towarów!$A$4:$C$1399,3,FALSE)</f>
        <v>2.5499999999999998</v>
      </c>
      <c r="H67" s="11">
        <v>74</v>
      </c>
      <c r="I67" s="11">
        <v>10</v>
      </c>
      <c r="J67" s="11">
        <v>80</v>
      </c>
      <c r="K67" s="11">
        <f>_xlfn.IFNA(VLOOKUP(B67,Towary_na_zamówieniach!$A$4:$C$1500,2,FALSE),0)</f>
        <v>120</v>
      </c>
      <c r="L67" s="11">
        <f>_xlfn.IFNA(VLOOKUP(B67,Towary_na_zamówieniach!$A$4:$C$1500,3,FALSE),0)</f>
        <v>684</v>
      </c>
      <c r="M67" s="11">
        <f>_xlfn.IFNA(VLOOKUP(B67,MBI_Dostawcy_towarów!$A$4:$C$2000,2,FALSE),"N/A")</f>
        <v>90</v>
      </c>
      <c r="N67" s="11" t="str">
        <f>IF(VLOOKUP(B67,Towary_i_uslugi!$A$3:$T$1500,17,FALSE)=0,"!NO SUPPLIER",VLOOKUP(B67,Towary_i_uslugi!$A$3:$T$1500,17))</f>
        <v>FX -MAPLE Frank Xu</v>
      </c>
      <c r="O67" s="11" t="str">
        <f>IF(VLOOKUP(B67,Towary_i_uslugi!$A$4:$U$1200,21,FALSE)&gt;0,VLOOKUP(B67,Towary_i_uslugi!$A$4:$U$1200,21,FALSE),"")</f>
        <v/>
      </c>
      <c r="P67" s="11">
        <f t="shared" ref="P67:P130" si="3">IF(K67=0,ROUNDUP(J67/E67,0),IF((K67+H67-I67)/J67&lt;1,ROUNDUP(J67/E67,0),0))</f>
        <v>0</v>
      </c>
      <c r="Q67" s="11">
        <f t="shared" ref="Q67:Q130" si="4">P67*E67</f>
        <v>0</v>
      </c>
      <c r="R67" s="17">
        <f t="shared" ref="R67:R130" si="5">Q67*T67</f>
        <v>0</v>
      </c>
      <c r="S67" s="17">
        <f>VLOOKUP($B67,   MBI_LastBuy!$A$3:E$13199,3,FALSE)</f>
        <v>120</v>
      </c>
      <c r="T67" s="13">
        <f>VLOOKUP($B67,   MBI_LastBuy!$A$3:E$13199,2,FALSE)</f>
        <v>5.7</v>
      </c>
      <c r="U67" s="13" t="str">
        <f>VLOOKUP($B67,   MBI_LastBuy!$A$3:E$13199,5,FALSE)</f>
        <v>USD</v>
      </c>
      <c r="V67" s="15">
        <f>VLOOKUP($B67,   MBI_LastBuy!$A$3:E$13199,4,FALSE)</f>
        <v>44113</v>
      </c>
    </row>
    <row r="68" spans="1:22" x14ac:dyDescent="0.25">
      <c r="A68" s="11" t="s">
        <v>3553</v>
      </c>
      <c r="B68" s="11">
        <v>230015</v>
      </c>
      <c r="C68" s="11" t="str">
        <f>VLOOKUP(B68,Towary_i_uslugi!$A$4:$B$1500,2)</f>
        <v>(brak)</v>
      </c>
      <c r="D68" s="11" t="s">
        <v>2605</v>
      </c>
      <c r="E68" s="11">
        <f>VLOOKUP(B68,Towary_i_uslugi!$A$3:$T$1500,3,FALSE)</f>
        <v>100</v>
      </c>
      <c r="F68" s="11" t="str">
        <f>VLOOKUP(B68,Towary_i_uslugi!$A$3:$T$1500,20,FALSE)</f>
        <v>color sticker</v>
      </c>
      <c r="G68" s="11">
        <f>VLOOKUP(B68,MBI_Dostawcy_towarów!$A$4:$C$1399,3,FALSE)</f>
        <v>0.15</v>
      </c>
      <c r="H68" s="11">
        <v>3</v>
      </c>
      <c r="I68" s="11">
        <v>0</v>
      </c>
      <c r="J68" s="11">
        <v>500</v>
      </c>
      <c r="K68" s="11">
        <f>_xlfn.IFNA(VLOOKUP(B68,Towary_na_zamówieniach!$A$4:$C$1500,2,FALSE),0)</f>
        <v>1000</v>
      </c>
      <c r="L68" s="11">
        <f>_xlfn.IFNA(VLOOKUP(B68,Towary_na_zamówieniach!$A$4:$C$1500,3,FALSE),0)</f>
        <v>870</v>
      </c>
      <c r="M68" s="11">
        <f>_xlfn.IFNA(VLOOKUP(B68,MBI_Dostawcy_towarów!$A$4:$C$2000,2,FALSE),"N/A")</f>
        <v>90</v>
      </c>
      <c r="N68" s="11" t="str">
        <f>IF(VLOOKUP(B68,Towary_i_uslugi!$A$3:$T$1500,17,FALSE)=0,"!NO SUPPLIER",VLOOKUP(B68,Towary_i_uslugi!$A$3:$T$1500,17))</f>
        <v>FX -MAPLE Frank Xu</v>
      </c>
      <c r="O68" s="11" t="str">
        <f>IF(VLOOKUP(B68,Towary_i_uslugi!$A$4:$U$1200,21,FALSE)&gt;0,VLOOKUP(B68,Towary_i_uslugi!$A$4:$U$1200,21,FALSE),"")</f>
        <v/>
      </c>
      <c r="P68" s="11">
        <f t="shared" si="3"/>
        <v>0</v>
      </c>
      <c r="Q68" s="11">
        <f t="shared" si="4"/>
        <v>0</v>
      </c>
      <c r="R68" s="17">
        <f t="shared" si="5"/>
        <v>0</v>
      </c>
      <c r="S68" s="17">
        <f>VLOOKUP($B68,   MBI_LastBuy!$A$3:E$13199,3,FALSE)</f>
        <v>1000</v>
      </c>
      <c r="T68" s="13">
        <f>VLOOKUP($B68,   MBI_LastBuy!$A$3:E$13199,2,FALSE)</f>
        <v>0.87</v>
      </c>
      <c r="U68" s="13" t="str">
        <f>VLOOKUP($B68,   MBI_LastBuy!$A$3:E$13199,5,FALSE)</f>
        <v>USD</v>
      </c>
      <c r="V68" s="15">
        <f>VLOOKUP($B68,   MBI_LastBuy!$A$3:E$13199,4,FALSE)</f>
        <v>44113</v>
      </c>
    </row>
    <row r="69" spans="1:22" x14ac:dyDescent="0.25">
      <c r="A69" s="11" t="s">
        <v>3553</v>
      </c>
      <c r="B69" s="11">
        <v>230016</v>
      </c>
      <c r="C69" s="11" t="str">
        <f>VLOOKUP(B69,Towary_i_uslugi!$A$4:$B$1500,2)</f>
        <v>(brak)</v>
      </c>
      <c r="D69" s="11" t="s">
        <v>2605</v>
      </c>
      <c r="E69" s="11">
        <f>VLOOKUP(B69,Towary_i_uslugi!$A$3:$T$1500,3,FALSE)</f>
        <v>12</v>
      </c>
      <c r="F69" s="11" t="str">
        <f>VLOOKUP(B69,Towary_i_uslugi!$A$3:$T$1500,20,FALSE)</f>
        <v>color box + sticker</v>
      </c>
      <c r="G69" s="11">
        <f>VLOOKUP(B69,MBI_Dostawcy_towarów!$A$4:$C$1399,3,FALSE)</f>
        <v>0.91500000000000004</v>
      </c>
      <c r="H69" s="11">
        <v>1</v>
      </c>
      <c r="I69" s="11">
        <v>0</v>
      </c>
      <c r="J69" s="11">
        <v>140</v>
      </c>
      <c r="K69" s="11">
        <f>_xlfn.IFNA(VLOOKUP(B69,Towary_na_zamówieniach!$A$4:$C$1500,2,FALSE),0)</f>
        <v>144</v>
      </c>
      <c r="L69" s="11">
        <f>_xlfn.IFNA(VLOOKUP(B69,Towary_na_zamówieniach!$A$4:$C$1500,3,FALSE),0)</f>
        <v>1116</v>
      </c>
      <c r="M69" s="11">
        <f>_xlfn.IFNA(VLOOKUP(B69,MBI_Dostawcy_towarów!$A$4:$C$2000,2,FALSE),"N/A")</f>
        <v>90</v>
      </c>
      <c r="N69" s="11" t="str">
        <f>IF(VLOOKUP(B69,Towary_i_uslugi!$A$3:$T$1500,17,FALSE)=0,"!NO SUPPLIER",VLOOKUP(B69,Towary_i_uslugi!$A$3:$T$1500,17))</f>
        <v>FX -MAPLE Frank Xu</v>
      </c>
      <c r="O69" s="11" t="str">
        <f>IF(VLOOKUP(B69,Towary_i_uslugi!$A$4:$U$1200,21,FALSE)&gt;0,VLOOKUP(B69,Towary_i_uslugi!$A$4:$U$1200,21,FALSE),"")</f>
        <v/>
      </c>
      <c r="P69" s="11">
        <f t="shared" si="3"/>
        <v>0</v>
      </c>
      <c r="Q69" s="11">
        <f t="shared" si="4"/>
        <v>0</v>
      </c>
      <c r="R69" s="17">
        <f t="shared" si="5"/>
        <v>0</v>
      </c>
      <c r="S69" s="17">
        <f>VLOOKUP($B69,   MBI_LastBuy!$A$3:E$13199,3,FALSE)</f>
        <v>144</v>
      </c>
      <c r="T69" s="13">
        <f>VLOOKUP($B69,   MBI_LastBuy!$A$3:E$13199,2,FALSE)</f>
        <v>7.75</v>
      </c>
      <c r="U69" s="13" t="str">
        <f>VLOOKUP($B69,   MBI_LastBuy!$A$3:E$13199,5,FALSE)</f>
        <v>USD</v>
      </c>
      <c r="V69" s="15">
        <f>VLOOKUP($B69,   MBI_LastBuy!$A$3:E$13199,4,FALSE)</f>
        <v>43992</v>
      </c>
    </row>
    <row r="70" spans="1:22" x14ac:dyDescent="0.25">
      <c r="A70" s="11" t="s">
        <v>3553</v>
      </c>
      <c r="B70" s="11">
        <v>230018</v>
      </c>
      <c r="C70" s="11" t="str">
        <f>VLOOKUP(B70,Towary_i_uslugi!$A$4:$B$1500,2)</f>
        <v>(brak)</v>
      </c>
      <c r="D70" s="11" t="s">
        <v>2605</v>
      </c>
      <c r="E70" s="11">
        <f>VLOOKUP(B70,Towary_i_uslugi!$A$3:$T$1500,3,FALSE)</f>
        <v>24</v>
      </c>
      <c r="F70" s="11" t="str">
        <f>VLOOKUP(B70,Towary_i_uslugi!$A$3:$T$1500,20,FALSE)</f>
        <v>color box + sticker</v>
      </c>
      <c r="G70" s="11">
        <f>VLOOKUP(B70,MBI_Dostawcy_towarów!$A$4:$C$1399,3,FALSE)</f>
        <v>0.5</v>
      </c>
      <c r="H70" s="11">
        <v>1</v>
      </c>
      <c r="I70" s="11">
        <v>0</v>
      </c>
      <c r="J70" s="11">
        <v>60</v>
      </c>
      <c r="K70" s="11">
        <f>_xlfn.IFNA(VLOOKUP(B70,Towary_na_zamówieniach!$A$4:$C$1500,2,FALSE),0)</f>
        <v>192</v>
      </c>
      <c r="L70" s="11">
        <f>_xlfn.IFNA(VLOOKUP(B70,Towary_na_zamówieniach!$A$4:$C$1500,3,FALSE),0)</f>
        <v>691.2</v>
      </c>
      <c r="M70" s="11">
        <f>_xlfn.IFNA(VLOOKUP(B70,MBI_Dostawcy_towarów!$A$4:$C$2000,2,FALSE),"N/A")</f>
        <v>90</v>
      </c>
      <c r="N70" s="11" t="str">
        <f>IF(VLOOKUP(B70,Towary_i_uslugi!$A$3:$T$1500,17,FALSE)=0,"!NO SUPPLIER",VLOOKUP(B70,Towary_i_uslugi!$A$3:$T$1500,17))</f>
        <v>FX -MAPLE Frank Xu</v>
      </c>
      <c r="O70" s="11" t="str">
        <f>IF(VLOOKUP(B70,Towary_i_uslugi!$A$4:$U$1200,21,FALSE)&gt;0,VLOOKUP(B70,Towary_i_uslugi!$A$4:$U$1200,21,FALSE),"")</f>
        <v/>
      </c>
      <c r="P70" s="11">
        <f t="shared" si="3"/>
        <v>0</v>
      </c>
      <c r="Q70" s="11">
        <f t="shared" si="4"/>
        <v>0</v>
      </c>
      <c r="R70" s="17">
        <f t="shared" si="5"/>
        <v>0</v>
      </c>
      <c r="S70" s="17">
        <f>VLOOKUP($B70,   MBI_LastBuy!$A$3:E$13199,3,FALSE)</f>
        <v>192</v>
      </c>
      <c r="T70" s="13">
        <f>VLOOKUP($B70,   MBI_LastBuy!$A$3:E$13199,2,FALSE)</f>
        <v>3.6</v>
      </c>
      <c r="U70" s="13" t="str">
        <f>VLOOKUP($B70,   MBI_LastBuy!$A$3:E$13199,5,FALSE)</f>
        <v>USD</v>
      </c>
      <c r="V70" s="15">
        <f>VLOOKUP($B70,   MBI_LastBuy!$A$3:E$13199,4,FALSE)</f>
        <v>44028</v>
      </c>
    </row>
    <row r="71" spans="1:22" x14ac:dyDescent="0.25">
      <c r="A71" s="11" t="s">
        <v>3555</v>
      </c>
      <c r="B71" s="11">
        <v>230030</v>
      </c>
      <c r="C71" s="11" t="str">
        <f>VLOOKUP(B71,Towary_i_uslugi!$A$4:$B$1500,2)</f>
        <v>(brak)</v>
      </c>
      <c r="D71" s="11" t="s">
        <v>2773</v>
      </c>
      <c r="E71" s="11">
        <f>VLOOKUP(B71,Towary_i_uslugi!$A$3:$T$1500,3,FALSE)</f>
        <v>60</v>
      </c>
      <c r="F71" s="11" t="str">
        <f>VLOOKUP(B71,Towary_i_uslugi!$A$3:$T$1500,20,FALSE)</f>
        <v>slide blister card</v>
      </c>
      <c r="G71" s="11">
        <f>VLOOKUP(B71,MBI_Dostawcy_towarów!$A$4:$C$1399,3,FALSE)</f>
        <v>0.38</v>
      </c>
      <c r="H71" s="11">
        <v>4</v>
      </c>
      <c r="I71" s="11">
        <v>3</v>
      </c>
      <c r="J71" s="11">
        <v>800</v>
      </c>
      <c r="K71" s="11">
        <f>_xlfn.IFNA(VLOOKUP(B71,Towary_na_zamówieniach!$A$4:$C$1500,2,FALSE),0)</f>
        <v>1040</v>
      </c>
      <c r="L71" s="11">
        <f>_xlfn.IFNA(VLOOKUP(B71,Towary_na_zamówieniach!$A$4:$C$1500,3,FALSE),0)</f>
        <v>1456</v>
      </c>
      <c r="M71" s="11">
        <f>_xlfn.IFNA(VLOOKUP(B71,MBI_Dostawcy_towarów!$A$4:$C$2000,2,FALSE),"N/A")</f>
        <v>90</v>
      </c>
      <c r="N71" s="11" t="str">
        <f>IF(VLOOKUP(B71,Towary_i_uslugi!$A$3:$T$1500,17,FALSE)=0,"!NO SUPPLIER",VLOOKUP(B71,Towary_i_uslugi!$A$3:$T$1500,17))</f>
        <v>HQ - Canada - PRZYJĘCIE TOWARU</v>
      </c>
      <c r="O71" s="11" t="str">
        <f>IF(VLOOKUP(B71,Towary_i_uslugi!$A$4:$U$1200,21,FALSE)&gt;0,VLOOKUP(B71,Towary_i_uslugi!$A$4:$U$1200,21,FALSE),"")</f>
        <v/>
      </c>
      <c r="P71" s="11">
        <f t="shared" si="3"/>
        <v>0</v>
      </c>
      <c r="Q71" s="11">
        <f t="shared" si="4"/>
        <v>0</v>
      </c>
      <c r="R71" s="17">
        <f t="shared" si="5"/>
        <v>0</v>
      </c>
      <c r="S71" s="17">
        <f>VLOOKUP($B71,   MBI_LastBuy!$A$3:E$13199,3,FALSE)</f>
        <v>320</v>
      </c>
      <c r="T71" s="13">
        <f>VLOOKUP($B71,   MBI_LastBuy!$A$3:E$13199,2,FALSE)</f>
        <v>1.4</v>
      </c>
      <c r="U71" s="13" t="str">
        <f>VLOOKUP($B71,   MBI_LastBuy!$A$3:E$13199,5,FALSE)</f>
        <v>USD</v>
      </c>
      <c r="V71" s="15">
        <f>VLOOKUP($B71,   MBI_LastBuy!$A$3:E$13199,4,FALSE)</f>
        <v>44041</v>
      </c>
    </row>
    <row r="72" spans="1:22" x14ac:dyDescent="0.25">
      <c r="A72" s="11" t="s">
        <v>3555</v>
      </c>
      <c r="B72" s="11">
        <v>240101</v>
      </c>
      <c r="C72" s="11" t="str">
        <f>VLOOKUP(B72,Towary_i_uslugi!$A$4:$B$1500,2)</f>
        <v>(brak)</v>
      </c>
      <c r="D72" s="11" t="s">
        <v>18</v>
      </c>
      <c r="E72" s="11">
        <f>VLOOKUP(B72,Towary_i_uslugi!$A$3:$T$1500,3,FALSE)</f>
        <v>48</v>
      </c>
      <c r="F72" s="11" t="str">
        <f>VLOOKUP(B72,Towary_i_uslugi!$A$3:$T$1500,20,FALSE)</f>
        <v>double blister</v>
      </c>
      <c r="G72" s="11">
        <f>VLOOKUP(B72,MBI_Dostawcy_towarów!$A$4:$C$1399,3,FALSE)</f>
        <v>0.158</v>
      </c>
      <c r="H72" s="11">
        <v>443</v>
      </c>
      <c r="I72" s="11">
        <v>29</v>
      </c>
      <c r="J72" s="11">
        <v>2300</v>
      </c>
      <c r="K72" s="11">
        <f>_xlfn.IFNA(VLOOKUP(B72,Towary_na_zamówieniach!$A$4:$C$1500,2,FALSE),0)</f>
        <v>2305</v>
      </c>
      <c r="L72" s="11">
        <f>_xlfn.IFNA(VLOOKUP(B72,Towary_na_zamówieniach!$A$4:$C$1500,3,FALSE),0)</f>
        <v>2073.6</v>
      </c>
      <c r="M72" s="11">
        <f>_xlfn.IFNA(VLOOKUP(B72,MBI_Dostawcy_towarów!$A$4:$C$2000,2,FALSE),"N/A")</f>
        <v>90</v>
      </c>
      <c r="N72" s="11" t="str">
        <f>IF(VLOOKUP(B72,Towary_i_uslugi!$A$3:$T$1500,17,FALSE)=0,"!NO SUPPLIER",VLOOKUP(B72,Towary_i_uslugi!$A$3:$T$1500,17))</f>
        <v xml:space="preserve">HQ - Canada </v>
      </c>
      <c r="O72" s="11" t="str">
        <f>IF(VLOOKUP(B72,Towary_i_uslugi!$A$4:$U$1200,21,FALSE)&gt;0,VLOOKUP(B72,Towary_i_uslugi!$A$4:$U$1200,21,FALSE),"")</f>
        <v>MBA09.03.20*oznaczenia i ulotka</v>
      </c>
      <c r="P72" s="11">
        <f t="shared" si="3"/>
        <v>0</v>
      </c>
      <c r="Q72" s="11">
        <f t="shared" si="4"/>
        <v>0</v>
      </c>
      <c r="R72" s="17">
        <f t="shared" si="5"/>
        <v>0</v>
      </c>
      <c r="S72" s="17">
        <f>VLOOKUP($B72,   MBI_LastBuy!$A$3:E$13199,3,FALSE)</f>
        <v>384</v>
      </c>
      <c r="T72" s="13">
        <f>VLOOKUP($B72,   MBI_LastBuy!$A$3:E$13199,2,FALSE)</f>
        <v>0.9</v>
      </c>
      <c r="U72" s="13" t="str">
        <f>VLOOKUP($B72,   MBI_LastBuy!$A$3:E$13199,5,FALSE)</f>
        <v>USD</v>
      </c>
      <c r="V72" s="15">
        <f>VLOOKUP($B72,   MBI_LastBuy!$A$3:E$13199,4,FALSE)</f>
        <v>44068</v>
      </c>
    </row>
    <row r="73" spans="1:22" x14ac:dyDescent="0.25">
      <c r="A73" s="11" t="s">
        <v>3555</v>
      </c>
      <c r="B73" s="11">
        <v>240106</v>
      </c>
      <c r="C73" s="11" t="str">
        <f>VLOOKUP(B73,Towary_i_uslugi!$A$4:$B$1500,2)</f>
        <v>(brak)</v>
      </c>
      <c r="D73" s="11" t="s">
        <v>19</v>
      </c>
      <c r="E73" s="11">
        <f>VLOOKUP(B73,Towary_i_uslugi!$A$3:$T$1500,3,FALSE)</f>
        <v>48</v>
      </c>
      <c r="F73" s="11" t="str">
        <f>VLOOKUP(B73,Towary_i_uslugi!$A$3:$T$1500,20,FALSE)</f>
        <v>double blister</v>
      </c>
      <c r="G73" s="11">
        <f>VLOOKUP(B73,MBI_Dostawcy_towarów!$A$4:$C$1399,3,FALSE)</f>
        <v>0.26700000000000002</v>
      </c>
      <c r="H73" s="11">
        <v>0</v>
      </c>
      <c r="I73" s="11">
        <v>0</v>
      </c>
      <c r="J73" s="11">
        <v>400</v>
      </c>
      <c r="K73" s="11">
        <f>_xlfn.IFNA(VLOOKUP(B73,Towary_na_zamówieniach!$A$4:$C$1500,2,FALSE),0)</f>
        <v>576</v>
      </c>
      <c r="L73" s="11">
        <f>_xlfn.IFNA(VLOOKUP(B73,Towary_na_zamówieniach!$A$4:$C$1500,3,FALSE),0)</f>
        <v>1267.2</v>
      </c>
      <c r="M73" s="11">
        <f>_xlfn.IFNA(VLOOKUP(B73,MBI_Dostawcy_towarów!$A$4:$C$2000,2,FALSE),"N/A")</f>
        <v>90</v>
      </c>
      <c r="N73" s="11" t="str">
        <f>IF(VLOOKUP(B73,Towary_i_uslugi!$A$3:$T$1500,17,FALSE)=0,"!NO SUPPLIER",VLOOKUP(B73,Towary_i_uslugi!$A$3:$T$1500,17))</f>
        <v xml:space="preserve">HQ - Canada </v>
      </c>
      <c r="O73" s="11" t="str">
        <f>IF(VLOOKUP(B73,Towary_i_uslugi!$A$4:$U$1200,21,FALSE)&gt;0,VLOOKUP(B73,Towary_i_uslugi!$A$4:$U$1200,21,FALSE),"")</f>
        <v>PFA30.10.18*oznaczenia i ulotka</v>
      </c>
      <c r="P73" s="11">
        <f t="shared" si="3"/>
        <v>0</v>
      </c>
      <c r="Q73" s="11">
        <f t="shared" si="4"/>
        <v>0</v>
      </c>
      <c r="R73" s="17">
        <f t="shared" si="5"/>
        <v>0</v>
      </c>
      <c r="S73" s="17">
        <f>VLOOKUP($B73,   MBI_LastBuy!$A$3:E$13199,3,FALSE)</f>
        <v>576</v>
      </c>
      <c r="T73" s="13">
        <f>VLOOKUP($B73,   MBI_LastBuy!$A$3:E$13199,2,FALSE)</f>
        <v>2.2000000000000002</v>
      </c>
      <c r="U73" s="13" t="str">
        <f>VLOOKUP($B73,   MBI_LastBuy!$A$3:E$13199,5,FALSE)</f>
        <v>USD</v>
      </c>
      <c r="V73" s="15">
        <f>VLOOKUP($B73,   MBI_LastBuy!$A$3:E$13199,4,FALSE)</f>
        <v>43480</v>
      </c>
    </row>
    <row r="74" spans="1:22" x14ac:dyDescent="0.25">
      <c r="A74" s="11" t="s">
        <v>3555</v>
      </c>
      <c r="B74" s="11">
        <v>240401</v>
      </c>
      <c r="C74" s="11" t="str">
        <f>VLOOKUP(B74,Towary_i_uslugi!$A$4:$B$1500,2)</f>
        <v>ostrzeżenie</v>
      </c>
      <c r="D74" s="11" t="s">
        <v>1580</v>
      </c>
      <c r="E74" s="11">
        <f>VLOOKUP(B74,Towary_i_uslugi!$A$3:$T$1500,3,FALSE)</f>
        <v>48</v>
      </c>
      <c r="F74" s="11" t="str">
        <f>VLOOKUP(B74,Towary_i_uslugi!$A$3:$T$1500,20,FALSE)</f>
        <v>double blister</v>
      </c>
      <c r="G74" s="11">
        <f>VLOOKUP(B74,MBI_Dostawcy_towarów!$A$4:$C$1399,3,FALSE)</f>
        <v>0.23799999999999999</v>
      </c>
      <c r="H74" s="11">
        <v>2252</v>
      </c>
      <c r="I74" s="11">
        <v>132</v>
      </c>
      <c r="J74" s="11">
        <v>3000</v>
      </c>
      <c r="K74" s="11">
        <f>_xlfn.IFNA(VLOOKUP(B74,Towary_na_zamówieniach!$A$4:$C$1500,2,FALSE),0)</f>
        <v>4704</v>
      </c>
      <c r="L74" s="11">
        <f>_xlfn.IFNA(VLOOKUP(B74,Towary_na_zamówieniach!$A$4:$C$1500,3,FALSE),0)</f>
        <v>6538.56</v>
      </c>
      <c r="M74" s="11">
        <f>_xlfn.IFNA(VLOOKUP(B74,MBI_Dostawcy_towarów!$A$4:$C$2000,2,FALSE),"N/A")</f>
        <v>90</v>
      </c>
      <c r="N74" s="11" t="str">
        <f>IF(VLOOKUP(B74,Towary_i_uslugi!$A$3:$T$1500,17,FALSE)=0,"!NO SUPPLIER",VLOOKUP(B74,Towary_i_uslugi!$A$3:$T$1500,17))</f>
        <v xml:space="preserve">HQ - Canada </v>
      </c>
      <c r="O74" s="11" t="str">
        <f>IF(VLOOKUP(B74,Towary_i_uslugi!$A$4:$U$1200,21,FALSE)&gt;0,VLOOKUP(B74,Towary_i_uslugi!$A$4:$U$1200,21,FALSE),"")</f>
        <v>WBA.7.10.20*oznaczenia i ulotka</v>
      </c>
      <c r="P74" s="11">
        <f t="shared" si="3"/>
        <v>0</v>
      </c>
      <c r="Q74" s="11">
        <f t="shared" si="4"/>
        <v>0</v>
      </c>
      <c r="R74" s="17">
        <f t="shared" si="5"/>
        <v>0</v>
      </c>
      <c r="S74" s="17">
        <f>VLOOKUP($B74,   MBI_LastBuy!$A$3:E$13199,3,FALSE)</f>
        <v>2304</v>
      </c>
      <c r="T74" s="13">
        <f>VLOOKUP($B74,   MBI_LastBuy!$A$3:E$13199,2,FALSE)</f>
        <v>1.39</v>
      </c>
      <c r="U74" s="13" t="str">
        <f>VLOOKUP($B74,   MBI_LastBuy!$A$3:E$13199,5,FALSE)</f>
        <v>USD</v>
      </c>
      <c r="V74" s="15">
        <f>VLOOKUP($B74,   MBI_LastBuy!$A$3:E$13199,4,FALSE)</f>
        <v>44120</v>
      </c>
    </row>
    <row r="75" spans="1:22" x14ac:dyDescent="0.25">
      <c r="A75" s="11" t="s">
        <v>3553</v>
      </c>
      <c r="B75" s="11">
        <v>241110</v>
      </c>
      <c r="C75" s="11" t="str">
        <f>VLOOKUP(B75,Towary_i_uslugi!$A$4:$B$1500,2)</f>
        <v>(brak)</v>
      </c>
      <c r="D75" s="11" t="s">
        <v>2774</v>
      </c>
      <c r="E75" s="11">
        <f>VLOOKUP(B75,Towary_i_uslugi!$A$3:$T$1500,3,FALSE)</f>
        <v>200</v>
      </c>
      <c r="F75" s="11" t="str">
        <f>VLOOKUP(B75,Towary_i_uslugi!$A$3:$T$1500,20,FALSE)</f>
        <v>polybag header</v>
      </c>
      <c r="G75" s="11">
        <f>VLOOKUP(B75,MBI_Dostawcy_towarów!$A$4:$C$1399,3,FALSE)</f>
        <v>6.5000000000000002E-2</v>
      </c>
      <c r="H75" s="11">
        <v>565</v>
      </c>
      <c r="I75" s="11">
        <v>100</v>
      </c>
      <c r="J75" s="11">
        <v>1400</v>
      </c>
      <c r="K75" s="11">
        <f>_xlfn.IFNA(VLOOKUP(B75,Towary_na_zamówieniach!$A$4:$C$1500,2,FALSE),0)</f>
        <v>2400</v>
      </c>
      <c r="L75" s="11">
        <f>_xlfn.IFNA(VLOOKUP(B75,Towary_na_zamówieniach!$A$4:$C$1500,3,FALSE),0)</f>
        <v>624</v>
      </c>
      <c r="M75" s="11">
        <f>_xlfn.IFNA(VLOOKUP(B75,MBI_Dostawcy_towarów!$A$4:$C$2000,2,FALSE),"N/A")</f>
        <v>90</v>
      </c>
      <c r="N75" s="11" t="str">
        <f>IF(VLOOKUP(B75,Towary_i_uslugi!$A$3:$T$1500,17,FALSE)=0,"!NO SUPPLIER",VLOOKUP(B75,Towary_i_uslugi!$A$3:$T$1500,17))</f>
        <v>FX -MAPLE Frank Xu</v>
      </c>
      <c r="O75" s="11" t="str">
        <f>IF(VLOOKUP(B75,Towary_i_uslugi!$A$4:$U$1200,21,FALSE)&gt;0,VLOOKUP(B75,Towary_i_uslugi!$A$4:$U$1200,21,FALSE),"")</f>
        <v/>
      </c>
      <c r="P75" s="11">
        <f t="shared" si="3"/>
        <v>0</v>
      </c>
      <c r="Q75" s="11">
        <f t="shared" si="4"/>
        <v>0</v>
      </c>
      <c r="R75" s="17">
        <f t="shared" si="5"/>
        <v>0</v>
      </c>
      <c r="S75" s="17">
        <f>VLOOKUP($B75,   MBI_LastBuy!$A$3:E$13199,3,FALSE)</f>
        <v>2400</v>
      </c>
      <c r="T75" s="13">
        <f>VLOOKUP($B75,   MBI_LastBuy!$A$3:E$13199,2,FALSE)</f>
        <v>0.26</v>
      </c>
      <c r="U75" s="13" t="str">
        <f>VLOOKUP($B75,   MBI_LastBuy!$A$3:E$13199,5,FALSE)</f>
        <v>USD</v>
      </c>
      <c r="V75" s="15">
        <f>VLOOKUP($B75,   MBI_LastBuy!$A$3:E$13199,4,FALSE)</f>
        <v>44091</v>
      </c>
    </row>
    <row r="76" spans="1:22" x14ac:dyDescent="0.25">
      <c r="A76" s="11" t="s">
        <v>3553</v>
      </c>
      <c r="B76" s="11">
        <v>241200</v>
      </c>
      <c r="C76" s="11" t="str">
        <f>VLOOKUP(B76,Towary_i_uslugi!$A$4:$B$1500,2)</f>
        <v>(brak)</v>
      </c>
      <c r="D76" s="11" t="s">
        <v>2606</v>
      </c>
      <c r="E76" s="11">
        <f>VLOOKUP(B76,Towary_i_uslugi!$A$3:$T$1500,3,FALSE)</f>
        <v>40</v>
      </c>
      <c r="F76" s="11" t="str">
        <f>VLOOKUP(B76,Towary_i_uslugi!$A$3:$T$1500,20,FALSE)</f>
        <v>polybag header</v>
      </c>
      <c r="G76" s="11">
        <f>VLOOKUP(B76,MBI_Dostawcy_towarów!$A$4:$C$1399,3,FALSE)</f>
        <v>0.40300000000000002</v>
      </c>
      <c r="H76" s="11">
        <v>887</v>
      </c>
      <c r="I76" s="11">
        <v>0</v>
      </c>
      <c r="J76" s="11">
        <v>1800</v>
      </c>
      <c r="K76" s="11">
        <f>_xlfn.IFNA(VLOOKUP(B76,Towary_na_zamówieniach!$A$4:$C$1500,2,FALSE),0)</f>
        <v>1200</v>
      </c>
      <c r="L76" s="11">
        <f>_xlfn.IFNA(VLOOKUP(B76,Towary_na_zamówieniach!$A$4:$C$1500,3,FALSE),0)</f>
        <v>1416</v>
      </c>
      <c r="M76" s="11">
        <f>_xlfn.IFNA(VLOOKUP(B76,MBI_Dostawcy_towarów!$A$4:$C$2000,2,FALSE),"N/A")</f>
        <v>90</v>
      </c>
      <c r="N76" s="11" t="str">
        <f>IF(VLOOKUP(B76,Towary_i_uslugi!$A$3:$T$1500,17,FALSE)=0,"!NO SUPPLIER",VLOOKUP(B76,Towary_i_uslugi!$A$3:$T$1500,17))</f>
        <v>FX -MAPLE Frank Xu</v>
      </c>
      <c r="O76" s="11" t="str">
        <f>IF(VLOOKUP(B76,Towary_i_uslugi!$A$4:$U$1200,21,FALSE)&gt;0,VLOOKUP(B76,Towary_i_uslugi!$A$4:$U$1200,21,FALSE),"")</f>
        <v/>
      </c>
      <c r="P76" s="11">
        <f t="shared" si="3"/>
        <v>0</v>
      </c>
      <c r="Q76" s="11">
        <f t="shared" si="4"/>
        <v>0</v>
      </c>
      <c r="R76" s="17">
        <f t="shared" si="5"/>
        <v>0</v>
      </c>
      <c r="S76" s="17">
        <f>VLOOKUP($B76,   MBI_LastBuy!$A$3:E$13199,3,FALSE)</f>
        <v>1200</v>
      </c>
      <c r="T76" s="13">
        <f>VLOOKUP($B76,   MBI_LastBuy!$A$3:E$13199,2,FALSE)</f>
        <v>1.18</v>
      </c>
      <c r="U76" s="13" t="str">
        <f>VLOOKUP($B76,   MBI_LastBuy!$A$3:E$13199,5,FALSE)</f>
        <v>USD</v>
      </c>
      <c r="V76" s="15">
        <f>VLOOKUP($B76,   MBI_LastBuy!$A$3:E$13199,4,FALSE)</f>
        <v>44091</v>
      </c>
    </row>
    <row r="77" spans="1:22" x14ac:dyDescent="0.25">
      <c r="A77" s="11" t="s">
        <v>3561</v>
      </c>
      <c r="B77" s="11">
        <v>250055</v>
      </c>
      <c r="C77" s="11" t="str">
        <f>VLOOKUP(B77,Towary_i_uslugi!$A$4:$B$1500,2)</f>
        <v>(brak)</v>
      </c>
      <c r="D77" s="11" t="s">
        <v>3607</v>
      </c>
      <c r="E77" s="11">
        <f>VLOOKUP(B77,Towary_i_uslugi!$A$3:$T$1500,3,FALSE)</f>
        <v>6</v>
      </c>
      <c r="F77" s="11" t="str">
        <f>VLOOKUP(B77,Towary_i_uslugi!$A$3:$T$1500,20,FALSE)</f>
        <v>ROLL/STICKER</v>
      </c>
      <c r="G77" s="11">
        <f>VLOOKUP(B77,MBI_Dostawcy_towarów!$A$4:$C$1399,3,FALSE)</f>
        <v>0.90300000000000002</v>
      </c>
      <c r="H77" s="11">
        <v>0</v>
      </c>
      <c r="I77" s="11">
        <v>0</v>
      </c>
      <c r="J77" s="11">
        <v>12</v>
      </c>
      <c r="K77" s="11">
        <f>_xlfn.IFNA(VLOOKUP(B77,Towary_na_zamówieniach!$A$4:$C$1500,2,FALSE),0)</f>
        <v>0</v>
      </c>
      <c r="L77" s="11">
        <f>_xlfn.IFNA(VLOOKUP(B77,Towary_na_zamówieniach!$A$4:$C$1500,3,FALSE),0)</f>
        <v>0</v>
      </c>
      <c r="M77" s="11">
        <f>_xlfn.IFNA(VLOOKUP(B77,MBI_Dostawcy_towarów!$A$4:$C$2000,2,FALSE),"N/A")</f>
        <v>7</v>
      </c>
      <c r="N77" s="11" t="str">
        <f>IF(VLOOKUP(B77,Towary_i_uslugi!$A$3:$T$1500,17,FALSE)=0,"!NO SUPPLIER",VLOOKUP(B77,Towary_i_uslugi!$A$3:$T$1500,17))</f>
        <v>SABA Sp. z o.o.</v>
      </c>
      <c r="O77" s="11" t="str">
        <f>IF(VLOOKUP(B77,Towary_i_uslugi!$A$4:$U$1200,21,FALSE)&gt;0,VLOOKUP(B77,Towary_i_uslugi!$A$4:$U$1200,21,FALSE),"")</f>
        <v/>
      </c>
      <c r="P77" s="11">
        <f t="shared" si="3"/>
        <v>2</v>
      </c>
      <c r="Q77" s="11">
        <f t="shared" si="4"/>
        <v>12</v>
      </c>
      <c r="R77" s="17">
        <f t="shared" si="5"/>
        <v>144</v>
      </c>
      <c r="S77" s="17">
        <f>VLOOKUP($B77,   MBI_LastBuy!$A$3:E$13199,3,FALSE)</f>
        <v>60</v>
      </c>
      <c r="T77" s="13">
        <f>VLOOKUP($B77,   MBI_LastBuy!$A$3:E$13199,2,FALSE)</f>
        <v>12</v>
      </c>
      <c r="U77" s="13" t="str">
        <f>VLOOKUP($B77,   MBI_LastBuy!$A$3:E$13199,5,FALSE)</f>
        <v>PLN</v>
      </c>
      <c r="V77" s="15">
        <f>VLOOKUP($B77,   MBI_LastBuy!$A$3:E$13199,4,FALSE)</f>
        <v>42619</v>
      </c>
    </row>
    <row r="78" spans="1:22" x14ac:dyDescent="0.25">
      <c r="A78" s="11" t="s">
        <v>3561</v>
      </c>
      <c r="B78" s="11">
        <v>250057</v>
      </c>
      <c r="C78" s="11" t="str">
        <f>VLOOKUP(B78,Towary_i_uslugi!$A$4:$B$1500,2)</f>
        <v>nowość!!! więcej info dla klienta</v>
      </c>
      <c r="D78" s="11" t="s">
        <v>3608</v>
      </c>
      <c r="E78" s="11">
        <f>VLOOKUP(B78,Towary_i_uslugi!$A$3:$T$1500,3,FALSE)</f>
        <v>6</v>
      </c>
      <c r="F78" s="11" t="str">
        <f>VLOOKUP(B78,Towary_i_uslugi!$A$3:$T$1500,20,FALSE)</f>
        <v>ROLL/STICKER</v>
      </c>
      <c r="G78" s="11">
        <f>VLOOKUP(B78,MBI_Dostawcy_towarów!$A$4:$C$1399,3,FALSE)</f>
        <v>2.2000000000000002</v>
      </c>
      <c r="H78" s="11">
        <v>0</v>
      </c>
      <c r="I78" s="11">
        <v>0</v>
      </c>
      <c r="J78" s="11">
        <v>12</v>
      </c>
      <c r="K78" s="11">
        <f>_xlfn.IFNA(VLOOKUP(B78,Towary_na_zamówieniach!$A$4:$C$1500,2,FALSE),0)</f>
        <v>0</v>
      </c>
      <c r="L78" s="11">
        <f>_xlfn.IFNA(VLOOKUP(B78,Towary_na_zamówieniach!$A$4:$C$1500,3,FALSE),0)</f>
        <v>0</v>
      </c>
      <c r="M78" s="11">
        <f>_xlfn.IFNA(VLOOKUP(B78,MBI_Dostawcy_towarów!$A$4:$C$2000,2,FALSE),"N/A")</f>
        <v>7</v>
      </c>
      <c r="N78" s="11" t="str">
        <f>IF(VLOOKUP(B78,Towary_i_uslugi!$A$3:$T$1500,17,FALSE)=0,"!NO SUPPLIER",VLOOKUP(B78,Towary_i_uslugi!$A$3:$T$1500,17))</f>
        <v>SABA Sp. z o.o.</v>
      </c>
      <c r="O78" s="11" t="str">
        <f>IF(VLOOKUP(B78,Towary_i_uslugi!$A$4:$U$1200,21,FALSE)&gt;0,VLOOKUP(B78,Towary_i_uslugi!$A$4:$U$1200,21,FALSE),"")</f>
        <v/>
      </c>
      <c r="P78" s="11">
        <f t="shared" si="3"/>
        <v>2</v>
      </c>
      <c r="Q78" s="11">
        <f t="shared" si="4"/>
        <v>12</v>
      </c>
      <c r="R78" s="17">
        <f t="shared" si="5"/>
        <v>292.56</v>
      </c>
      <c r="S78" s="17">
        <f>VLOOKUP($B78,   MBI_LastBuy!$A$3:E$13199,3,FALSE)</f>
        <v>30</v>
      </c>
      <c r="T78" s="13">
        <f>VLOOKUP($B78,   MBI_LastBuy!$A$3:E$13199,2,FALSE)</f>
        <v>24.38</v>
      </c>
      <c r="U78" s="13" t="str">
        <f>VLOOKUP($B78,   MBI_LastBuy!$A$3:E$13199,5,FALSE)</f>
        <v>PLN</v>
      </c>
      <c r="V78" s="15">
        <f>VLOOKUP($B78,   MBI_LastBuy!$A$3:E$13199,4,FALSE)</f>
        <v>43761</v>
      </c>
    </row>
    <row r="79" spans="1:22" x14ac:dyDescent="0.25">
      <c r="A79" s="11" t="s">
        <v>3561</v>
      </c>
      <c r="B79" s="11">
        <v>250058</v>
      </c>
      <c r="C79" s="11" t="str">
        <f>VLOOKUP(B79,Towary_i_uslugi!$A$4:$B$1500,2)</f>
        <v>(brak)</v>
      </c>
      <c r="D79" s="11" t="s">
        <v>3609</v>
      </c>
      <c r="E79" s="11">
        <f>VLOOKUP(B79,Towary_i_uslugi!$A$3:$T$1500,3,FALSE)</f>
        <v>6</v>
      </c>
      <c r="F79" s="11" t="str">
        <f>VLOOKUP(B79,Towary_i_uslugi!$A$3:$T$1500,20,FALSE)</f>
        <v>ROLL/STICKER</v>
      </c>
      <c r="G79" s="11">
        <f>VLOOKUP(B79,MBI_Dostawcy_towarów!$A$4:$C$1399,3,FALSE)</f>
        <v>2.319</v>
      </c>
      <c r="H79" s="11">
        <v>0</v>
      </c>
      <c r="I79" s="11">
        <v>0</v>
      </c>
      <c r="J79" s="11">
        <v>12</v>
      </c>
      <c r="K79" s="11">
        <f>_xlfn.IFNA(VLOOKUP(B79,Towary_na_zamówieniach!$A$4:$C$1500,2,FALSE),0)</f>
        <v>0</v>
      </c>
      <c r="L79" s="11">
        <f>_xlfn.IFNA(VLOOKUP(B79,Towary_na_zamówieniach!$A$4:$C$1500,3,FALSE),0)</f>
        <v>0</v>
      </c>
      <c r="M79" s="11">
        <f>_xlfn.IFNA(VLOOKUP(B79,MBI_Dostawcy_towarów!$A$4:$C$2000,2,FALSE),"N/A")</f>
        <v>7</v>
      </c>
      <c r="N79" s="11" t="str">
        <f>IF(VLOOKUP(B79,Towary_i_uslugi!$A$3:$T$1500,17,FALSE)=0,"!NO SUPPLIER",VLOOKUP(B79,Towary_i_uslugi!$A$3:$T$1500,17))</f>
        <v>SABA Sp. z o.o.</v>
      </c>
      <c r="O79" s="11" t="str">
        <f>IF(VLOOKUP(B79,Towary_i_uslugi!$A$4:$U$1200,21,FALSE)&gt;0,VLOOKUP(B79,Towary_i_uslugi!$A$4:$U$1200,21,FALSE),"")</f>
        <v/>
      </c>
      <c r="P79" s="11">
        <f t="shared" si="3"/>
        <v>2</v>
      </c>
      <c r="Q79" s="11">
        <f t="shared" si="4"/>
        <v>12</v>
      </c>
      <c r="R79" s="17">
        <f t="shared" si="5"/>
        <v>450</v>
      </c>
      <c r="S79" s="17">
        <f>VLOOKUP($B79,   MBI_LastBuy!$A$3:E$13199,3,FALSE)</f>
        <v>24</v>
      </c>
      <c r="T79" s="13">
        <f>VLOOKUP($B79,   MBI_LastBuy!$A$3:E$13199,2,FALSE)</f>
        <v>37.5</v>
      </c>
      <c r="U79" s="13" t="str">
        <f>VLOOKUP($B79,   MBI_LastBuy!$A$3:E$13199,5,FALSE)</f>
        <v>PLN</v>
      </c>
      <c r="V79" s="15">
        <f>VLOOKUP($B79,   MBI_LastBuy!$A$3:E$13199,4,FALSE)</f>
        <v>42411</v>
      </c>
    </row>
    <row r="80" spans="1:22" x14ac:dyDescent="0.25">
      <c r="A80" s="11" t="s">
        <v>3559</v>
      </c>
      <c r="B80" s="11">
        <v>250230</v>
      </c>
      <c r="C80" s="11" t="str">
        <f>VLOOKUP(B80,Towary_i_uslugi!$A$4:$B$1500,2)</f>
        <v>(brak)</v>
      </c>
      <c r="D80" s="11" t="s">
        <v>3610</v>
      </c>
      <c r="E80" s="11">
        <f>VLOOKUP(B80,Towary_i_uslugi!$A$3:$T$1500,3,FALSE)</f>
        <v>50</v>
      </c>
      <c r="F80" s="11" t="str">
        <f>VLOOKUP(B80,Towary_i_uslugi!$A$3:$T$1500,20,FALSE)</f>
        <v>pvc bag</v>
      </c>
      <c r="G80" s="11">
        <f>VLOOKUP(B80,MBI_Dostawcy_towarów!$A$4:$C$1399,3,FALSE)</f>
        <v>0.30099999999999999</v>
      </c>
      <c r="H80" s="11">
        <v>118</v>
      </c>
      <c r="I80" s="11">
        <v>57</v>
      </c>
      <c r="J80" s="11">
        <v>1000</v>
      </c>
      <c r="K80" s="11">
        <f>_xlfn.IFNA(VLOOKUP(B80,Towary_na_zamówieniach!$A$4:$C$1500,2,FALSE),0)</f>
        <v>5000</v>
      </c>
      <c r="L80" s="11">
        <f>_xlfn.IFNA(VLOOKUP(B80,Towary_na_zamówieniach!$A$4:$C$1500,3,FALSE),0)</f>
        <v>3200</v>
      </c>
      <c r="M80" s="11">
        <f>_xlfn.IFNA(VLOOKUP(B80,MBI_Dostawcy_towarów!$A$4:$C$2000,2,FALSE),"N/A")</f>
        <v>80</v>
      </c>
      <c r="N80" s="11" t="str">
        <f>IF(VLOOKUP(B80,Towary_i_uslugi!$A$3:$T$1500,17,FALSE)=0,"!NO SUPPLIER",VLOOKUP(B80,Towary_i_uslugi!$A$3:$T$1500,17))</f>
        <v xml:space="preserve">TV Tarpia Vina - PRZYJĘCIE TOWARU </v>
      </c>
      <c r="O80" s="11" t="str">
        <f>IF(VLOOKUP(B80,Towary_i_uslugi!$A$4:$U$1200,21,FALSE)&gt;0,VLOOKUP(B80,Towary_i_uslugi!$A$4:$U$1200,21,FALSE),"")</f>
        <v/>
      </c>
      <c r="P80" s="11">
        <f t="shared" si="3"/>
        <v>0</v>
      </c>
      <c r="Q80" s="11">
        <f t="shared" si="4"/>
        <v>0</v>
      </c>
      <c r="R80" s="17">
        <f t="shared" si="5"/>
        <v>0</v>
      </c>
      <c r="S80" s="17">
        <f>VLOOKUP($B80,   MBI_LastBuy!$A$3:E$13199,3,FALSE)</f>
        <v>150</v>
      </c>
      <c r="T80" s="13">
        <f>VLOOKUP($B80,   MBI_LastBuy!$A$3:E$13199,2,FALSE)</f>
        <v>3.3</v>
      </c>
      <c r="U80" s="13" t="str">
        <f>VLOOKUP($B80,   MBI_LastBuy!$A$3:E$13199,5,FALSE)</f>
        <v>PLN</v>
      </c>
      <c r="V80" s="15">
        <f>VLOOKUP($B80,   MBI_LastBuy!$A$3:E$13199,4,FALSE)</f>
        <v>44133</v>
      </c>
    </row>
    <row r="81" spans="1:22" x14ac:dyDescent="0.25">
      <c r="A81" s="11" t="s">
        <v>3559</v>
      </c>
      <c r="B81" s="11">
        <v>250340</v>
      </c>
      <c r="C81" s="11" t="str">
        <f>VLOOKUP(B81,Towary_i_uslugi!$A$4:$B$1500,2)</f>
        <v>ostrzeżenie</v>
      </c>
      <c r="D81" s="11" t="s">
        <v>2607</v>
      </c>
      <c r="E81" s="11">
        <f>VLOOKUP(B81,Towary_i_uslugi!$A$3:$T$1500,3,FALSE)</f>
        <v>25</v>
      </c>
      <c r="F81" s="11" t="str">
        <f>VLOOKUP(B81,Towary_i_uslugi!$A$3:$T$1500,20,FALSE)</f>
        <v>pvc bag</v>
      </c>
      <c r="G81" s="11">
        <f>VLOOKUP(B81,MBI_Dostawcy_towarów!$A$4:$C$1399,3,FALSE)</f>
        <v>0.57199999999999995</v>
      </c>
      <c r="H81" s="11">
        <v>0</v>
      </c>
      <c r="I81" s="11">
        <v>0</v>
      </c>
      <c r="J81" s="11">
        <v>4000</v>
      </c>
      <c r="K81" s="11">
        <f>_xlfn.IFNA(VLOOKUP(B81,Towary_na_zamówieniach!$A$4:$C$1500,2,FALSE),0)</f>
        <v>7500</v>
      </c>
      <c r="L81" s="11">
        <f>_xlfn.IFNA(VLOOKUP(B81,Towary_na_zamówieniach!$A$4:$C$1500,3,FALSE),0)</f>
        <v>9675</v>
      </c>
      <c r="M81" s="11">
        <f>_xlfn.IFNA(VLOOKUP(B81,MBI_Dostawcy_towarów!$A$4:$C$2000,2,FALSE),"N/A")</f>
        <v>80</v>
      </c>
      <c r="N81" s="11" t="str">
        <f>IF(VLOOKUP(B81,Towary_i_uslugi!$A$3:$T$1500,17,FALSE)=0,"!NO SUPPLIER",VLOOKUP(B81,Towary_i_uslugi!$A$3:$T$1500,17))</f>
        <v xml:space="preserve">TV Tarpia Vina - PRZYJĘCIE TOWARU </v>
      </c>
      <c r="O81" s="11" t="str">
        <f>IF(VLOOKUP(B81,Towary_i_uslugi!$A$4:$U$1200,21,FALSE)&gt;0,VLOOKUP(B81,Towary_i_uslugi!$A$4:$U$1200,21,FALSE),"")</f>
        <v/>
      </c>
      <c r="P81" s="11">
        <f t="shared" si="3"/>
        <v>0</v>
      </c>
      <c r="Q81" s="11">
        <f t="shared" si="4"/>
        <v>0</v>
      </c>
      <c r="R81" s="17">
        <f t="shared" si="5"/>
        <v>0</v>
      </c>
      <c r="S81" s="17">
        <f>VLOOKUP($B81,   MBI_LastBuy!$A$3:E$13199,3,FALSE)</f>
        <v>7500</v>
      </c>
      <c r="T81" s="13">
        <f>VLOOKUP($B81,   MBI_LastBuy!$A$3:E$13199,2,FALSE)</f>
        <v>1.29</v>
      </c>
      <c r="U81" s="13" t="str">
        <f>VLOOKUP($B81,   MBI_LastBuy!$A$3:E$13199,5,FALSE)</f>
        <v>USD</v>
      </c>
      <c r="V81" s="15">
        <f>VLOOKUP($B81,   MBI_LastBuy!$A$3:E$13199,4,FALSE)</f>
        <v>44133</v>
      </c>
    </row>
    <row r="82" spans="1:22" x14ac:dyDescent="0.25">
      <c r="A82" s="11" t="s">
        <v>3559</v>
      </c>
      <c r="B82" s="11">
        <v>250350</v>
      </c>
      <c r="C82" s="11" t="str">
        <f>VLOOKUP(B82,Towary_i_uslugi!$A$4:$B$1500,2)</f>
        <v>ostrzeżenie</v>
      </c>
      <c r="D82" s="11" t="s">
        <v>2677</v>
      </c>
      <c r="E82" s="11">
        <f>VLOOKUP(B82,Towary_i_uslugi!$A$3:$T$1500,3,FALSE)</f>
        <v>20</v>
      </c>
      <c r="F82" s="11" t="str">
        <f>VLOOKUP(B82,Towary_i_uslugi!$A$3:$T$1500,20,FALSE)</f>
        <v>pvc bag</v>
      </c>
      <c r="G82" s="11">
        <f>VLOOKUP(B82,MBI_Dostawcy_towarów!$A$4:$C$1399,3,FALSE)</f>
        <v>0.68799999999999994</v>
      </c>
      <c r="H82" s="11">
        <v>0</v>
      </c>
      <c r="I82" s="11">
        <v>0</v>
      </c>
      <c r="J82" s="11">
        <v>400</v>
      </c>
      <c r="K82" s="11">
        <f>_xlfn.IFNA(VLOOKUP(B82,Towary_na_zamówieniach!$A$4:$C$1500,2,FALSE),0)</f>
        <v>2400</v>
      </c>
      <c r="L82" s="11">
        <f>_xlfn.IFNA(VLOOKUP(B82,Towary_na_zamówieniach!$A$4:$C$1500,3,FALSE),0)</f>
        <v>3864</v>
      </c>
      <c r="M82" s="11">
        <f>_xlfn.IFNA(VLOOKUP(B82,MBI_Dostawcy_towarów!$A$4:$C$2000,2,FALSE),"N/A")</f>
        <v>80</v>
      </c>
      <c r="N82" s="11" t="str">
        <f>IF(VLOOKUP(B82,Towary_i_uslugi!$A$3:$T$1500,17,FALSE)=0,"!NO SUPPLIER",VLOOKUP(B82,Towary_i_uslugi!$A$3:$T$1500,17))</f>
        <v xml:space="preserve">TV Tarpia Vina - PRZYJĘCIE TOWARU </v>
      </c>
      <c r="O82" s="11" t="str">
        <f>IF(VLOOKUP(B82,Towary_i_uslugi!$A$4:$U$1200,21,FALSE)&gt;0,VLOOKUP(B82,Towary_i_uslugi!$A$4:$U$1200,21,FALSE),"")</f>
        <v/>
      </c>
      <c r="P82" s="11">
        <f t="shared" si="3"/>
        <v>0</v>
      </c>
      <c r="Q82" s="11">
        <f t="shared" si="4"/>
        <v>0</v>
      </c>
      <c r="R82" s="17">
        <f t="shared" si="5"/>
        <v>0</v>
      </c>
      <c r="S82" s="17">
        <f>VLOOKUP($B82,   MBI_LastBuy!$A$3:E$13199,3,FALSE)</f>
        <v>2400</v>
      </c>
      <c r="T82" s="13">
        <f>VLOOKUP($B82,   MBI_LastBuy!$A$3:E$13199,2,FALSE)</f>
        <v>1.61</v>
      </c>
      <c r="U82" s="13" t="str">
        <f>VLOOKUP($B82,   MBI_LastBuy!$A$3:E$13199,5,FALSE)</f>
        <v>USD</v>
      </c>
      <c r="V82" s="15">
        <f>VLOOKUP($B82,   MBI_LastBuy!$A$3:E$13199,4,FALSE)</f>
        <v>44133</v>
      </c>
    </row>
    <row r="83" spans="1:22" x14ac:dyDescent="0.25">
      <c r="A83" s="11" t="s">
        <v>3559</v>
      </c>
      <c r="B83" s="11">
        <v>250760</v>
      </c>
      <c r="C83" s="11" t="str">
        <f>VLOOKUP(B83,Towary_i_uslugi!$A$4:$B$1500,2)</f>
        <v>(brak)</v>
      </c>
      <c r="D83" s="11" t="s">
        <v>3611</v>
      </c>
      <c r="E83" s="11">
        <f>VLOOKUP(B83,Towary_i_uslugi!$A$3:$T$1500,3,FALSE)</f>
        <v>5</v>
      </c>
      <c r="F83" s="11" t="str">
        <f>VLOOKUP(B83,Towary_i_uslugi!$A$3:$T$1500,20,FALSE)</f>
        <v>pvc bag</v>
      </c>
      <c r="G83" s="11">
        <f>VLOOKUP(B83,MBI_Dostawcy_towarów!$A$4:$C$1399,3,FALSE)</f>
        <v>3.044</v>
      </c>
      <c r="H83" s="11">
        <v>48</v>
      </c>
      <c r="I83" s="11">
        <v>0</v>
      </c>
      <c r="J83" s="11">
        <v>70</v>
      </c>
      <c r="K83" s="11">
        <f>_xlfn.IFNA(VLOOKUP(B83,Towary_na_zamówieniach!$A$4:$C$1500,2,FALSE),0)</f>
        <v>70</v>
      </c>
      <c r="L83" s="11">
        <f>_xlfn.IFNA(VLOOKUP(B83,Towary_na_zamówieniach!$A$4:$C$1500,3,FALSE),0)</f>
        <v>541.1</v>
      </c>
      <c r="M83" s="11">
        <f>_xlfn.IFNA(VLOOKUP(B83,MBI_Dostawcy_towarów!$A$4:$C$2000,2,FALSE),"N/A")</f>
        <v>80</v>
      </c>
      <c r="N83" s="11" t="str">
        <f>IF(VLOOKUP(B83,Towary_i_uslugi!$A$3:$T$1500,17,FALSE)=0,"!NO SUPPLIER",VLOOKUP(B83,Towary_i_uslugi!$A$3:$T$1500,17))</f>
        <v xml:space="preserve">TV Tarpia Vina - PRZYJĘCIE TOWARU </v>
      </c>
      <c r="O83" s="11" t="str">
        <f>IF(VLOOKUP(B83,Towary_i_uslugi!$A$4:$U$1200,21,FALSE)&gt;0,VLOOKUP(B83,Towary_i_uslugi!$A$4:$U$1200,21,FALSE),"")</f>
        <v/>
      </c>
      <c r="P83" s="11">
        <f t="shared" si="3"/>
        <v>0</v>
      </c>
      <c r="Q83" s="11">
        <f t="shared" si="4"/>
        <v>0</v>
      </c>
      <c r="R83" s="17">
        <f t="shared" si="5"/>
        <v>0</v>
      </c>
      <c r="S83" s="17">
        <f>VLOOKUP($B83,   MBI_LastBuy!$A$3:E$13199,3,FALSE)</f>
        <v>70</v>
      </c>
      <c r="T83" s="13">
        <f>VLOOKUP($B83,   MBI_LastBuy!$A$3:E$13199,2,FALSE)</f>
        <v>7.73</v>
      </c>
      <c r="U83" s="13" t="str">
        <f>VLOOKUP($B83,   MBI_LastBuy!$A$3:E$13199,5,FALSE)</f>
        <v>USD</v>
      </c>
      <c r="V83" s="15">
        <f>VLOOKUP($B83,   MBI_LastBuy!$A$3:E$13199,4,FALSE)</f>
        <v>44133</v>
      </c>
    </row>
    <row r="84" spans="1:22" x14ac:dyDescent="0.25">
      <c r="A84" s="11" t="s">
        <v>3559</v>
      </c>
      <c r="B84" s="11">
        <v>250800</v>
      </c>
      <c r="C84" s="11" t="str">
        <f>VLOOKUP(B84,Towary_i_uslugi!$A$4:$B$1500,2)</f>
        <v>(brak)</v>
      </c>
      <c r="D84" s="11" t="s">
        <v>2457</v>
      </c>
      <c r="E84" s="11">
        <f>VLOOKUP(B84,Towary_i_uslugi!$A$3:$T$1500,3,FALSE)</f>
        <v>5</v>
      </c>
      <c r="F84" s="11" t="str">
        <f>VLOOKUP(B84,Towary_i_uslugi!$A$3:$T$1500,20,FALSE)</f>
        <v>pvc bag</v>
      </c>
      <c r="G84" s="11">
        <f>VLOOKUP(B84,MBI_Dostawcy_towarów!$A$4:$C$1399,3,FALSE)</f>
        <v>3.456</v>
      </c>
      <c r="H84" s="11">
        <v>21</v>
      </c>
      <c r="I84" s="11">
        <v>0</v>
      </c>
      <c r="J84" s="11">
        <v>80</v>
      </c>
      <c r="K84" s="11">
        <f>_xlfn.IFNA(VLOOKUP(B84,Towary_na_zamówieniach!$A$4:$C$1500,2,FALSE),0)</f>
        <v>80</v>
      </c>
      <c r="L84" s="11">
        <f>_xlfn.IFNA(VLOOKUP(B84,Towary_na_zamówieniach!$A$4:$C$1500,3,FALSE),0)</f>
        <v>687.2</v>
      </c>
      <c r="M84" s="11">
        <f>_xlfn.IFNA(VLOOKUP(B84,MBI_Dostawcy_towarów!$A$4:$C$2000,2,FALSE),"N/A")</f>
        <v>80</v>
      </c>
      <c r="N84" s="11" t="str">
        <f>IF(VLOOKUP(B84,Towary_i_uslugi!$A$3:$T$1500,17,FALSE)=0,"!NO SUPPLIER",VLOOKUP(B84,Towary_i_uslugi!$A$3:$T$1500,17))</f>
        <v xml:space="preserve">TV Tarpia Vina - PRZYJĘCIE TOWARU </v>
      </c>
      <c r="O84" s="11" t="str">
        <f>IF(VLOOKUP(B84,Towary_i_uslugi!$A$4:$U$1200,21,FALSE)&gt;0,VLOOKUP(B84,Towary_i_uslugi!$A$4:$U$1200,21,FALSE),"")</f>
        <v/>
      </c>
      <c r="P84" s="11">
        <f t="shared" si="3"/>
        <v>0</v>
      </c>
      <c r="Q84" s="11">
        <f t="shared" si="4"/>
        <v>0</v>
      </c>
      <c r="R84" s="17">
        <f t="shared" si="5"/>
        <v>0</v>
      </c>
      <c r="S84" s="17">
        <f>VLOOKUP($B84,   MBI_LastBuy!$A$3:E$13199,3,FALSE)</f>
        <v>80</v>
      </c>
      <c r="T84" s="13">
        <f>VLOOKUP($B84,   MBI_LastBuy!$A$3:E$13199,2,FALSE)</f>
        <v>8.59</v>
      </c>
      <c r="U84" s="13" t="str">
        <f>VLOOKUP($B84,   MBI_LastBuy!$A$3:E$13199,5,FALSE)</f>
        <v>USD</v>
      </c>
      <c r="V84" s="15">
        <f>VLOOKUP($B84,   MBI_LastBuy!$A$3:E$13199,4,FALSE)</f>
        <v>44133</v>
      </c>
    </row>
    <row r="85" spans="1:22" x14ac:dyDescent="0.25">
      <c r="A85" s="11" t="s">
        <v>3559</v>
      </c>
      <c r="B85" s="11">
        <v>250820</v>
      </c>
      <c r="C85" s="11" t="str">
        <f>VLOOKUP(B85,Towary_i_uslugi!$A$4:$B$1500,2)</f>
        <v>(brak)</v>
      </c>
      <c r="D85" s="11" t="s">
        <v>2458</v>
      </c>
      <c r="E85" s="11">
        <f>VLOOKUP(B85,Towary_i_uslugi!$A$3:$T$1500,3,FALSE)</f>
        <v>5</v>
      </c>
      <c r="F85" s="11" t="str">
        <f>VLOOKUP(B85,Towary_i_uslugi!$A$3:$T$1500,20,FALSE)</f>
        <v>pvc bag</v>
      </c>
      <c r="G85" s="11">
        <f>VLOOKUP(B85,MBI_Dostawcy_towarów!$A$4:$C$1399,3,FALSE)</f>
        <v>4.04</v>
      </c>
      <c r="H85" s="11">
        <v>0</v>
      </c>
      <c r="I85" s="11">
        <v>0</v>
      </c>
      <c r="J85" s="11">
        <v>70</v>
      </c>
      <c r="K85" s="11">
        <f>_xlfn.IFNA(VLOOKUP(B85,Towary_na_zamówieniach!$A$4:$C$1500,2,FALSE),0)</f>
        <v>70</v>
      </c>
      <c r="L85" s="11">
        <f>_xlfn.IFNA(VLOOKUP(B85,Towary_na_zamówieniach!$A$4:$C$1500,3,FALSE),0)</f>
        <v>721.7</v>
      </c>
      <c r="M85" s="11">
        <f>_xlfn.IFNA(VLOOKUP(B85,MBI_Dostawcy_towarów!$A$4:$C$2000,2,FALSE),"N/A")</f>
        <v>80</v>
      </c>
      <c r="N85" s="11" t="str">
        <f>IF(VLOOKUP(B85,Towary_i_uslugi!$A$3:$T$1500,17,FALSE)=0,"!NO SUPPLIER",VLOOKUP(B85,Towary_i_uslugi!$A$3:$T$1500,17))</f>
        <v xml:space="preserve">TV Tarpia Vina - PRZYJĘCIE TOWARU </v>
      </c>
      <c r="O85" s="11" t="str">
        <f>IF(VLOOKUP(B85,Towary_i_uslugi!$A$4:$U$1200,21,FALSE)&gt;0,VLOOKUP(B85,Towary_i_uslugi!$A$4:$U$1200,21,FALSE),"")</f>
        <v/>
      </c>
      <c r="P85" s="11">
        <f t="shared" si="3"/>
        <v>0</v>
      </c>
      <c r="Q85" s="11">
        <f t="shared" si="4"/>
        <v>0</v>
      </c>
      <c r="R85" s="17">
        <f t="shared" si="5"/>
        <v>0</v>
      </c>
      <c r="S85" s="17">
        <f>VLOOKUP($B85,   MBI_LastBuy!$A$3:E$13199,3,FALSE)</f>
        <v>70</v>
      </c>
      <c r="T85" s="13">
        <f>VLOOKUP($B85,   MBI_LastBuy!$A$3:E$13199,2,FALSE)</f>
        <v>10.31</v>
      </c>
      <c r="U85" s="13" t="str">
        <f>VLOOKUP($B85,   MBI_LastBuy!$A$3:E$13199,5,FALSE)</f>
        <v>USD</v>
      </c>
      <c r="V85" s="15">
        <f>VLOOKUP($B85,   MBI_LastBuy!$A$3:E$13199,4,FALSE)</f>
        <v>44133</v>
      </c>
    </row>
    <row r="86" spans="1:22" x14ac:dyDescent="0.25">
      <c r="A86" s="11" t="s">
        <v>3559</v>
      </c>
      <c r="B86" s="11">
        <v>250900</v>
      </c>
      <c r="C86" s="11" t="str">
        <f>VLOOKUP(B86,Towary_i_uslugi!$A$4:$B$1500,2)</f>
        <v>(brak)</v>
      </c>
      <c r="D86" s="11" t="s">
        <v>2608</v>
      </c>
      <c r="E86" s="11">
        <f>VLOOKUP(B86,Towary_i_uslugi!$A$3:$T$1500,3,FALSE)</f>
        <v>5</v>
      </c>
      <c r="F86" s="11" t="str">
        <f>VLOOKUP(B86,Towary_i_uslugi!$A$3:$T$1500,20,FALSE)</f>
        <v>pvc bag</v>
      </c>
      <c r="G86" s="11">
        <f>VLOOKUP(B86,MBI_Dostawcy_towarów!$A$4:$C$1399,3,FALSE)</f>
        <v>5.0330000000000004</v>
      </c>
      <c r="H86" s="11">
        <v>0</v>
      </c>
      <c r="I86" s="11">
        <v>0</v>
      </c>
      <c r="J86" s="11">
        <v>60</v>
      </c>
      <c r="K86" s="11">
        <f>_xlfn.IFNA(VLOOKUP(B86,Towary_na_zamówieniach!$A$4:$C$1500,2,FALSE),0)</f>
        <v>60</v>
      </c>
      <c r="L86" s="11">
        <f>_xlfn.IFNA(VLOOKUP(B86,Towary_na_zamówieniach!$A$4:$C$1500,3,FALSE),0)</f>
        <v>773.4</v>
      </c>
      <c r="M86" s="11">
        <f>_xlfn.IFNA(VLOOKUP(B86,MBI_Dostawcy_towarów!$A$4:$C$2000,2,FALSE),"N/A")</f>
        <v>80</v>
      </c>
      <c r="N86" s="11" t="str">
        <f>IF(VLOOKUP(B86,Towary_i_uslugi!$A$3:$T$1500,17,FALSE)=0,"!NO SUPPLIER",VLOOKUP(B86,Towary_i_uslugi!$A$3:$T$1500,17))</f>
        <v xml:space="preserve">TV Tarpia Vina - PRZYJĘCIE TOWARU </v>
      </c>
      <c r="O86" s="11" t="str">
        <f>IF(VLOOKUP(B86,Towary_i_uslugi!$A$4:$U$1200,21,FALSE)&gt;0,VLOOKUP(B86,Towary_i_uslugi!$A$4:$U$1200,21,FALSE),"")</f>
        <v/>
      </c>
      <c r="P86" s="11">
        <f t="shared" si="3"/>
        <v>0</v>
      </c>
      <c r="Q86" s="11">
        <f t="shared" si="4"/>
        <v>0</v>
      </c>
      <c r="R86" s="17">
        <f t="shared" si="5"/>
        <v>0</v>
      </c>
      <c r="S86" s="17">
        <f>VLOOKUP($B86,   MBI_LastBuy!$A$3:E$13199,3,FALSE)</f>
        <v>60</v>
      </c>
      <c r="T86" s="13">
        <f>VLOOKUP($B86,   MBI_LastBuy!$A$3:E$13199,2,FALSE)</f>
        <v>12.89</v>
      </c>
      <c r="U86" s="13" t="str">
        <f>VLOOKUP($B86,   MBI_LastBuy!$A$3:E$13199,5,FALSE)</f>
        <v>USD</v>
      </c>
      <c r="V86" s="15">
        <f>VLOOKUP($B86,   MBI_LastBuy!$A$3:E$13199,4,FALSE)</f>
        <v>44133</v>
      </c>
    </row>
    <row r="87" spans="1:22" x14ac:dyDescent="0.25">
      <c r="A87" s="11" t="s">
        <v>3559</v>
      </c>
      <c r="B87" s="11">
        <v>250950</v>
      </c>
      <c r="C87" s="11" t="str">
        <f>VLOOKUP(B87,Towary_i_uslugi!$A$4:$B$1500,2)</f>
        <v>(brak)</v>
      </c>
      <c r="D87" s="11" t="s">
        <v>3612</v>
      </c>
      <c r="E87" s="11">
        <f>VLOOKUP(B87,Towary_i_uslugi!$A$3:$T$1500,3,FALSE)</f>
        <v>2</v>
      </c>
      <c r="F87" s="11" t="str">
        <f>VLOOKUP(B87,Towary_i_uslugi!$A$3:$T$1500,20,FALSE)</f>
        <v>pvc bag</v>
      </c>
      <c r="G87" s="11">
        <f>VLOOKUP(B87,MBI_Dostawcy_towarów!$A$4:$C$1399,3,FALSE)</f>
        <v>7.08</v>
      </c>
      <c r="H87" s="11">
        <v>41</v>
      </c>
      <c r="I87" s="11">
        <v>0</v>
      </c>
      <c r="J87" s="11">
        <v>50</v>
      </c>
      <c r="K87" s="11">
        <f>_xlfn.IFNA(VLOOKUP(B87,Towary_na_zamówieniach!$A$4:$C$1500,2,FALSE),0)</f>
        <v>0</v>
      </c>
      <c r="L87" s="11">
        <f>_xlfn.IFNA(VLOOKUP(B87,Towary_na_zamówieniach!$A$4:$C$1500,3,FALSE),0)</f>
        <v>0</v>
      </c>
      <c r="M87" s="11">
        <f>_xlfn.IFNA(VLOOKUP(B87,MBI_Dostawcy_towarów!$A$4:$C$2000,2,FALSE),"N/A")</f>
        <v>80</v>
      </c>
      <c r="N87" s="11" t="str">
        <f>IF(VLOOKUP(B87,Towary_i_uslugi!$A$3:$T$1500,17,FALSE)=0,"!NO SUPPLIER",VLOOKUP(B87,Towary_i_uslugi!$A$3:$T$1500,17))</f>
        <v xml:space="preserve">TV Tarpia Vina - PRZYJĘCIE TOWARU </v>
      </c>
      <c r="O87" s="11" t="str">
        <f>IF(VLOOKUP(B87,Towary_i_uslugi!$A$4:$U$1200,21,FALSE)&gt;0,VLOOKUP(B87,Towary_i_uslugi!$A$4:$U$1200,21,FALSE),"")</f>
        <v/>
      </c>
      <c r="P87" s="11">
        <f t="shared" si="3"/>
        <v>25</v>
      </c>
      <c r="Q87" s="11">
        <f t="shared" si="4"/>
        <v>50</v>
      </c>
      <c r="R87" s="17">
        <f t="shared" si="5"/>
        <v>667.5</v>
      </c>
      <c r="S87" s="17">
        <f>VLOOKUP($B87,   MBI_LastBuy!$A$3:E$13199,3,FALSE)</f>
        <v>120</v>
      </c>
      <c r="T87" s="13">
        <f>VLOOKUP($B87,   MBI_LastBuy!$A$3:E$13199,2,FALSE)</f>
        <v>13.35</v>
      </c>
      <c r="U87" s="13" t="str">
        <f>VLOOKUP($B87,   MBI_LastBuy!$A$3:E$13199,5,FALSE)</f>
        <v>USD</v>
      </c>
      <c r="V87" s="15">
        <f>VLOOKUP($B87,   MBI_LastBuy!$A$3:E$13199,4,FALSE)</f>
        <v>43966</v>
      </c>
    </row>
    <row r="88" spans="1:22" x14ac:dyDescent="0.25">
      <c r="A88" s="11" t="s">
        <v>3559</v>
      </c>
      <c r="B88" s="11">
        <v>250960</v>
      </c>
      <c r="C88" s="11" t="str">
        <f>VLOOKUP(B88,Towary_i_uslugi!$A$4:$B$1500,2)</f>
        <v>ostrzeżenie</v>
      </c>
      <c r="D88" s="11" t="s">
        <v>2609</v>
      </c>
      <c r="E88" s="11">
        <f>VLOOKUP(B88,Towary_i_uslugi!$A$3:$T$1500,3,FALSE)</f>
        <v>1</v>
      </c>
      <c r="F88" s="11" t="str">
        <f>VLOOKUP(B88,Towary_i_uslugi!$A$3:$T$1500,20,FALSE)</f>
        <v>pvc bag</v>
      </c>
      <c r="G88" s="11">
        <f>VLOOKUP(B88,MBI_Dostawcy_towarów!$A$4:$C$1399,3,FALSE)</f>
        <v>11.26</v>
      </c>
      <c r="H88" s="11">
        <v>0</v>
      </c>
      <c r="I88" s="11">
        <v>0</v>
      </c>
      <c r="J88" s="11">
        <v>5</v>
      </c>
      <c r="K88" s="11">
        <f>_xlfn.IFNA(VLOOKUP(B88,Towary_na_zamówieniach!$A$4:$C$1500,2,FALSE),0)</f>
        <v>0</v>
      </c>
      <c r="L88" s="11">
        <f>_xlfn.IFNA(VLOOKUP(B88,Towary_na_zamówieniach!$A$4:$C$1500,3,FALSE),0)</f>
        <v>0</v>
      </c>
      <c r="M88" s="11">
        <f>_xlfn.IFNA(VLOOKUP(B88,MBI_Dostawcy_towarów!$A$4:$C$2000,2,FALSE),"N/A")</f>
        <v>80</v>
      </c>
      <c r="N88" s="11" t="str">
        <f>IF(VLOOKUP(B88,Towary_i_uslugi!$A$3:$T$1500,17,FALSE)=0,"!NO SUPPLIER",VLOOKUP(B88,Towary_i_uslugi!$A$3:$T$1500,17))</f>
        <v xml:space="preserve">TV Tarpia Vina - PRZYJĘCIE TOWARU </v>
      </c>
      <c r="O88" s="11" t="str">
        <f>IF(VLOOKUP(B88,Towary_i_uslugi!$A$4:$U$1200,21,FALSE)&gt;0,VLOOKUP(B88,Towary_i_uslugi!$A$4:$U$1200,21,FALSE),"")</f>
        <v/>
      </c>
      <c r="P88" s="11">
        <f t="shared" si="3"/>
        <v>5</v>
      </c>
      <c r="Q88" s="11">
        <f t="shared" si="4"/>
        <v>5</v>
      </c>
      <c r="R88" s="17">
        <f t="shared" si="5"/>
        <v>564</v>
      </c>
      <c r="S88" s="17">
        <f>VLOOKUP($B88,   MBI_LastBuy!$A$3:E$13199,3,FALSE)</f>
        <v>5</v>
      </c>
      <c r="T88" s="13">
        <f>VLOOKUP($B88,   MBI_LastBuy!$A$3:E$13199,2,FALSE)</f>
        <v>112.8</v>
      </c>
      <c r="U88" s="13" t="str">
        <f>VLOOKUP($B88,   MBI_LastBuy!$A$3:E$13199,5,FALSE)</f>
        <v>PLN</v>
      </c>
      <c r="V88" s="15">
        <f>VLOOKUP($B88,   MBI_LastBuy!$A$3:E$13199,4,FALSE)</f>
        <v>43791</v>
      </c>
    </row>
    <row r="89" spans="1:22" x14ac:dyDescent="0.25">
      <c r="A89" s="11" t="s">
        <v>3559</v>
      </c>
      <c r="B89" s="11">
        <v>252340</v>
      </c>
      <c r="C89" s="11" t="str">
        <f>VLOOKUP(B89,Towary_i_uslugi!$A$4:$B$1500,2)</f>
        <v>(brak)</v>
      </c>
      <c r="D89" s="11" t="s">
        <v>3613</v>
      </c>
      <c r="E89" s="11">
        <f>VLOOKUP(B89,Towary_i_uslugi!$A$3:$T$1500,3,FALSE)</f>
        <v>10</v>
      </c>
      <c r="F89" s="11" t="str">
        <f>VLOOKUP(B89,Towary_i_uslugi!$A$3:$T$1500,20,FALSE)</f>
        <v>tarp bale</v>
      </c>
      <c r="G89" s="11">
        <f>VLOOKUP(B89,MBI_Dostawcy_towarów!$A$4:$C$1399,3,FALSE)</f>
        <v>1.6539999999999999</v>
      </c>
      <c r="H89" s="11">
        <v>82</v>
      </c>
      <c r="I89" s="11">
        <v>0</v>
      </c>
      <c r="J89" s="11">
        <v>100</v>
      </c>
      <c r="K89" s="11">
        <f>_xlfn.IFNA(VLOOKUP(B89,Towary_na_zamówieniach!$A$4:$C$1500,2,FALSE),0)</f>
        <v>100</v>
      </c>
      <c r="L89" s="11">
        <f>_xlfn.IFNA(VLOOKUP(B89,Towary_na_zamówieniach!$A$4:$C$1500,3,FALSE),0)</f>
        <v>301</v>
      </c>
      <c r="M89" s="11">
        <f>_xlfn.IFNA(VLOOKUP(B89,MBI_Dostawcy_towarów!$A$4:$C$2000,2,FALSE),"N/A")</f>
        <v>80</v>
      </c>
      <c r="N89" s="11" t="str">
        <f>IF(VLOOKUP(B89,Towary_i_uslugi!$A$3:$T$1500,17,FALSE)=0,"!NO SUPPLIER",VLOOKUP(B89,Towary_i_uslugi!$A$3:$T$1500,17))</f>
        <v xml:space="preserve">TV Tarpia Vina - PRZYJĘCIE TOWARU </v>
      </c>
      <c r="O89" s="11" t="str">
        <f>IF(VLOOKUP(B89,Towary_i_uslugi!$A$4:$U$1200,21,FALSE)&gt;0,VLOOKUP(B89,Towary_i_uslugi!$A$4:$U$1200,21,FALSE),"")</f>
        <v/>
      </c>
      <c r="P89" s="11">
        <f t="shared" si="3"/>
        <v>0</v>
      </c>
      <c r="Q89" s="11">
        <f t="shared" si="4"/>
        <v>0</v>
      </c>
      <c r="R89" s="17">
        <f t="shared" si="5"/>
        <v>0</v>
      </c>
      <c r="S89" s="17">
        <f>VLOOKUP($B89,   MBI_LastBuy!$A$3:E$13199,3,FALSE)</f>
        <v>100</v>
      </c>
      <c r="T89" s="13">
        <f>VLOOKUP($B89,   MBI_LastBuy!$A$3:E$13199,2,FALSE)</f>
        <v>3.01</v>
      </c>
      <c r="U89" s="13" t="str">
        <f>VLOOKUP($B89,   MBI_LastBuy!$A$3:E$13199,5,FALSE)</f>
        <v>USD</v>
      </c>
      <c r="V89" s="15">
        <f>VLOOKUP($B89,   MBI_LastBuy!$A$3:E$13199,4,FALSE)</f>
        <v>44133</v>
      </c>
    </row>
    <row r="90" spans="1:22" x14ac:dyDescent="0.25">
      <c r="A90" s="11" t="s">
        <v>3559</v>
      </c>
      <c r="B90" s="11">
        <v>252700</v>
      </c>
      <c r="C90" s="11" t="str">
        <f>VLOOKUP(B90,Towary_i_uslugi!$A$4:$B$1500,2)</f>
        <v>(brak)</v>
      </c>
      <c r="D90" s="11" t="s">
        <v>2775</v>
      </c>
      <c r="E90" s="11">
        <f>VLOOKUP(B90,Towary_i_uslugi!$A$3:$T$1500,3,FALSE)</f>
        <v>2</v>
      </c>
      <c r="F90" s="11" t="str">
        <f>VLOOKUP(B90,Towary_i_uslugi!$A$3:$T$1500,20,FALSE)</f>
        <v>tarp bale</v>
      </c>
      <c r="G90" s="11">
        <f>VLOOKUP(B90,MBI_Dostawcy_towarów!$A$4:$C$1399,3,FALSE)</f>
        <v>7.34</v>
      </c>
      <c r="H90" s="11">
        <v>18</v>
      </c>
      <c r="I90" s="11">
        <v>0</v>
      </c>
      <c r="J90" s="11">
        <v>20</v>
      </c>
      <c r="K90" s="11">
        <f>_xlfn.IFNA(VLOOKUP(B90,Towary_na_zamówieniach!$A$4:$C$1500,2,FALSE),0)</f>
        <v>20</v>
      </c>
      <c r="L90" s="11">
        <f>_xlfn.IFNA(VLOOKUP(B90,Towary_na_zamówieniach!$A$4:$C$1500,3,FALSE),0)</f>
        <v>301.39999999999998</v>
      </c>
      <c r="M90" s="11">
        <f>_xlfn.IFNA(VLOOKUP(B90,MBI_Dostawcy_towarów!$A$4:$C$2000,2,FALSE),"N/A")</f>
        <v>80</v>
      </c>
      <c r="N90" s="11" t="str">
        <f>IF(VLOOKUP(B90,Towary_i_uslugi!$A$3:$T$1500,17,FALSE)=0,"!NO SUPPLIER",VLOOKUP(B90,Towary_i_uslugi!$A$3:$T$1500,17))</f>
        <v xml:space="preserve">TV Tarpia Vina - PRZYJĘCIE TOWARU </v>
      </c>
      <c r="O90" s="11" t="str">
        <f>IF(VLOOKUP(B90,Towary_i_uslugi!$A$4:$U$1200,21,FALSE)&gt;0,VLOOKUP(B90,Towary_i_uslugi!$A$4:$U$1200,21,FALSE),"")</f>
        <v/>
      </c>
      <c r="P90" s="11">
        <f t="shared" si="3"/>
        <v>0</v>
      </c>
      <c r="Q90" s="11">
        <f t="shared" si="4"/>
        <v>0</v>
      </c>
      <c r="R90" s="17">
        <f t="shared" si="5"/>
        <v>0</v>
      </c>
      <c r="S90" s="17">
        <f>VLOOKUP($B90,   MBI_LastBuy!$A$3:E$13199,3,FALSE)</f>
        <v>20</v>
      </c>
      <c r="T90" s="13">
        <f>VLOOKUP($B90,   MBI_LastBuy!$A$3:E$13199,2,FALSE)</f>
        <v>15.07</v>
      </c>
      <c r="U90" s="13" t="str">
        <f>VLOOKUP($B90,   MBI_LastBuy!$A$3:E$13199,5,FALSE)</f>
        <v>USD</v>
      </c>
      <c r="V90" s="15">
        <f>VLOOKUP($B90,   MBI_LastBuy!$A$3:E$13199,4,FALSE)</f>
        <v>44133</v>
      </c>
    </row>
    <row r="91" spans="1:22" x14ac:dyDescent="0.25">
      <c r="A91" s="11" t="s">
        <v>3560</v>
      </c>
      <c r="B91" s="11">
        <v>256035</v>
      </c>
      <c r="C91" s="11" t="str">
        <f>VLOOKUP(B91,Towary_i_uslugi!$A$4:$B$1500,2)</f>
        <v>ręczna premia za sprzedaż - wylatuje z oferty</v>
      </c>
      <c r="D91" s="11" t="s">
        <v>2776</v>
      </c>
      <c r="E91" s="11">
        <f>VLOOKUP(B91,Towary_i_uslugi!$A$3:$T$1500,3,FALSE)</f>
        <v>20</v>
      </c>
      <c r="F91" s="11" t="str">
        <f>VLOOKUP(B91,Towary_i_uslugi!$A$3:$T$1500,20,FALSE)</f>
        <v>paper sleeve</v>
      </c>
      <c r="G91" s="11">
        <f>VLOOKUP(B91,MBI_Dostawcy_towarów!$A$4:$C$1399,3,FALSE)</f>
        <v>0.4</v>
      </c>
      <c r="H91" s="11">
        <v>41</v>
      </c>
      <c r="I91" s="11">
        <v>41</v>
      </c>
      <c r="J91" s="11">
        <v>100</v>
      </c>
      <c r="K91" s="11">
        <f>_xlfn.IFNA(VLOOKUP(B91,Towary_na_zamówieniach!$A$4:$C$1500,2,FALSE),0)</f>
        <v>200</v>
      </c>
      <c r="L91" s="11">
        <f>_xlfn.IFNA(VLOOKUP(B91,Towary_na_zamówieniach!$A$4:$C$1500,3,FALSE),0)</f>
        <v>450</v>
      </c>
      <c r="M91" s="11">
        <f>_xlfn.IFNA(VLOOKUP(B91,MBI_Dostawcy_towarów!$A$4:$C$2000,2,FALSE),"N/A")</f>
        <v>7</v>
      </c>
      <c r="N91" s="11" t="str">
        <f>IF(VLOOKUP(B91,Towary_i_uslugi!$A$3:$T$1500,17,FALSE)=0,"!NO SUPPLIER",VLOOKUP(B91,Towary_i_uslugi!$A$3:$T$1500,17))</f>
        <v>C2C Spółka z Ograniczoną Odpowiedzialnością</v>
      </c>
      <c r="O91" s="11" t="str">
        <f>IF(VLOOKUP(B91,Towary_i_uslugi!$A$4:$U$1200,21,FALSE)&gt;0,VLOOKUP(B91,Towary_i_uslugi!$A$4:$U$1200,21,FALSE),"")</f>
        <v/>
      </c>
      <c r="P91" s="11">
        <f t="shared" si="3"/>
        <v>0</v>
      </c>
      <c r="Q91" s="11">
        <f t="shared" si="4"/>
        <v>0</v>
      </c>
      <c r="R91" s="17" t="e">
        <f t="shared" si="5"/>
        <v>#N/A</v>
      </c>
      <c r="S91" s="17" t="e">
        <f>VLOOKUP($B91,   MBI_LastBuy!$A$3:E$13199,3,FALSE)</f>
        <v>#N/A</v>
      </c>
      <c r="T91" s="13" t="e">
        <f>VLOOKUP($B91,   MBI_LastBuy!$A$3:E$13199,2,FALSE)</f>
        <v>#N/A</v>
      </c>
      <c r="U91" s="13" t="e">
        <f>VLOOKUP($B91,   MBI_LastBuy!$A$3:E$13199,5,FALSE)</f>
        <v>#N/A</v>
      </c>
      <c r="V91" s="15" t="e">
        <f>VLOOKUP($B91,   MBI_LastBuy!$A$3:E$13199,4,FALSE)</f>
        <v>#N/A</v>
      </c>
    </row>
    <row r="92" spans="1:22" x14ac:dyDescent="0.25">
      <c r="A92" s="11" t="s">
        <v>3560</v>
      </c>
      <c r="B92" s="11">
        <v>256121</v>
      </c>
      <c r="C92" s="11" t="str">
        <f>VLOOKUP(B92,Towary_i_uslugi!$A$4:$B$1500,2)</f>
        <v>(brak)</v>
      </c>
      <c r="D92" s="11" t="s">
        <v>3614</v>
      </c>
      <c r="E92" s="11">
        <f>VLOOKUP(B92,Towary_i_uslugi!$A$3:$T$1500,3,FALSE)</f>
        <v>10</v>
      </c>
      <c r="F92" s="11" t="str">
        <f>VLOOKUP(B92,Towary_i_uslugi!$A$3:$T$1500,20,FALSE)</f>
        <v>paper sleeve</v>
      </c>
      <c r="G92" s="11">
        <f>VLOOKUP(B92,MBI_Dostawcy_towarów!$A$4:$C$1399,3,FALSE)</f>
        <v>0.87</v>
      </c>
      <c r="H92" s="11">
        <v>89</v>
      </c>
      <c r="I92" s="11">
        <v>76</v>
      </c>
      <c r="J92" s="11">
        <v>200</v>
      </c>
      <c r="K92" s="11">
        <f>_xlfn.IFNA(VLOOKUP(B92,Towary_na_zamówieniach!$A$4:$C$1500,2,FALSE),0)</f>
        <v>600</v>
      </c>
      <c r="L92" s="11">
        <f>_xlfn.IFNA(VLOOKUP(B92,Towary_na_zamówieniach!$A$4:$C$1500,3,FALSE),0)</f>
        <v>2340</v>
      </c>
      <c r="M92" s="11">
        <f>_xlfn.IFNA(VLOOKUP(B92,MBI_Dostawcy_towarów!$A$4:$C$2000,2,FALSE),"N/A")</f>
        <v>30</v>
      </c>
      <c r="N92" s="11" t="str">
        <f>IF(VLOOKUP(B92,Towary_i_uslugi!$A$3:$T$1500,17,FALSE)=0,"!NO SUPPLIER",VLOOKUP(B92,Towary_i_uslugi!$A$3:$T$1500,17))</f>
        <v>C2C Spółka z Ograniczoną Odpowiedzialnością</v>
      </c>
      <c r="O92" s="11" t="str">
        <f>IF(VLOOKUP(B92,Towary_i_uslugi!$A$4:$U$1200,21,FALSE)&gt;0,VLOOKUP(B92,Towary_i_uslugi!$A$4:$U$1200,21,FALSE),"")</f>
        <v/>
      </c>
      <c r="P92" s="11">
        <f t="shared" si="3"/>
        <v>0</v>
      </c>
      <c r="Q92" s="11">
        <f t="shared" si="4"/>
        <v>0</v>
      </c>
      <c r="R92" s="17">
        <f t="shared" si="5"/>
        <v>0</v>
      </c>
      <c r="S92" s="17">
        <f>VLOOKUP($B92,   MBI_LastBuy!$A$3:E$13199,3,FALSE)</f>
        <v>300</v>
      </c>
      <c r="T92" s="13">
        <f>VLOOKUP($B92,   MBI_LastBuy!$A$3:E$13199,2,FALSE)</f>
        <v>3.9</v>
      </c>
      <c r="U92" s="13" t="str">
        <f>VLOOKUP($B92,   MBI_LastBuy!$A$3:E$13199,5,FALSE)</f>
        <v>PLN</v>
      </c>
      <c r="V92" s="15">
        <f>VLOOKUP($B92,   MBI_LastBuy!$A$3:E$13199,4,FALSE)</f>
        <v>43544</v>
      </c>
    </row>
    <row r="93" spans="1:22" x14ac:dyDescent="0.25">
      <c r="A93" s="11" t="s">
        <v>3554</v>
      </c>
      <c r="B93" s="11">
        <v>262000</v>
      </c>
      <c r="C93" s="11" t="str">
        <f>VLOOKUP(B93,Towary_i_uslugi!$A$4:$B$1500,2)</f>
        <v>(brak)</v>
      </c>
      <c r="D93" s="11" t="s">
        <v>512</v>
      </c>
      <c r="E93" s="11">
        <f>VLOOKUP(B93,Towary_i_uslugi!$A$3:$T$1500,3,FALSE)</f>
        <v>40</v>
      </c>
      <c r="F93" s="11" t="str">
        <f>VLOOKUP(B93,Towary_i_uslugi!$A$3:$T$1500,20,FALSE)</f>
        <v>polybag header</v>
      </c>
      <c r="G93" s="11">
        <f>VLOOKUP(B93,MBI_Dostawcy_towarów!$A$4:$C$1399,3,FALSE)</f>
        <v>0.32500000000000001</v>
      </c>
      <c r="H93" s="11">
        <v>4</v>
      </c>
      <c r="I93" s="11">
        <v>3</v>
      </c>
      <c r="J93" s="11">
        <v>2500</v>
      </c>
      <c r="K93" s="11">
        <f>_xlfn.IFNA(VLOOKUP(B93,Towary_na_zamówieniach!$A$4:$C$1500,2,FALSE),0)</f>
        <v>3000</v>
      </c>
      <c r="L93" s="11">
        <f>_xlfn.IFNA(VLOOKUP(B93,Towary_na_zamówieniach!$A$4:$C$1500,3,FALSE),0)</f>
        <v>5070</v>
      </c>
      <c r="M93" s="11">
        <f>_xlfn.IFNA(VLOOKUP(B93,MBI_Dostawcy_towarów!$A$4:$C$2000,2,FALSE),"N/A")</f>
        <v>90</v>
      </c>
      <c r="N93" s="11" t="str">
        <f>IF(VLOOKUP(B93,Towary_i_uslugi!$A$3:$T$1500,17,FALSE)=0,"!NO SUPPLIER",VLOOKUP(B93,Towary_i_uslugi!$A$3:$T$1500,17))</f>
        <v>BW</v>
      </c>
      <c r="O93" s="11" t="str">
        <f>IF(VLOOKUP(B93,Towary_i_uslugi!$A$4:$U$1200,21,FALSE)&gt;0,VLOOKUP(B93,Towary_i_uslugi!$A$4:$U$1200,21,FALSE),"")</f>
        <v/>
      </c>
      <c r="P93" s="11">
        <f t="shared" si="3"/>
        <v>0</v>
      </c>
      <c r="Q93" s="11">
        <f t="shared" si="4"/>
        <v>0</v>
      </c>
      <c r="R93" s="17">
        <f t="shared" si="5"/>
        <v>0</v>
      </c>
      <c r="S93" s="17">
        <f>VLOOKUP($B93,   MBI_LastBuy!$A$3:E$13199,3,FALSE)</f>
        <v>3000</v>
      </c>
      <c r="T93" s="13">
        <f>VLOOKUP($B93,   MBI_LastBuy!$A$3:E$13199,2,FALSE)</f>
        <v>1.69</v>
      </c>
      <c r="U93" s="13" t="str">
        <f>VLOOKUP($B93,   MBI_LastBuy!$A$3:E$13199,5,FALSE)</f>
        <v>USD</v>
      </c>
      <c r="V93" s="15">
        <f>VLOOKUP($B93,   MBI_LastBuy!$A$3:E$13199,4,FALSE)</f>
        <v>44071</v>
      </c>
    </row>
    <row r="94" spans="1:22" x14ac:dyDescent="0.25">
      <c r="A94" s="11" t="s">
        <v>3554</v>
      </c>
      <c r="B94" s="11">
        <v>262002</v>
      </c>
      <c r="C94" s="11" t="str">
        <f>VLOOKUP(B94,Towary_i_uslugi!$A$4:$B$1500,2)</f>
        <v>nowość!!! więcej info dla klienta</v>
      </c>
      <c r="D94" s="11" t="s">
        <v>2777</v>
      </c>
      <c r="E94" s="11">
        <f>VLOOKUP(B94,Towary_i_uslugi!$A$3:$T$1500,3,FALSE)</f>
        <v>30</v>
      </c>
      <c r="F94" s="11" t="str">
        <f>VLOOKUP(B94,Towary_i_uslugi!$A$3:$T$1500,20,FALSE)</f>
        <v>polybag header</v>
      </c>
      <c r="G94" s="11">
        <f>VLOOKUP(B94,MBI_Dostawcy_towarów!$A$4:$C$1399,3,FALSE)</f>
        <v>0.67700000000000005</v>
      </c>
      <c r="H94" s="11">
        <v>18</v>
      </c>
      <c r="I94" s="11">
        <v>3</v>
      </c>
      <c r="J94" s="11">
        <v>350</v>
      </c>
      <c r="K94" s="11">
        <f>_xlfn.IFNA(VLOOKUP(B94,Towary_na_zamówieniach!$A$4:$C$1500,2,FALSE),0)</f>
        <v>300</v>
      </c>
      <c r="L94" s="11">
        <f>_xlfn.IFNA(VLOOKUP(B94,Towary_na_zamówieniach!$A$4:$C$1500,3,FALSE),0)</f>
        <v>1185</v>
      </c>
      <c r="M94" s="11">
        <f>_xlfn.IFNA(VLOOKUP(B94,MBI_Dostawcy_towarów!$A$4:$C$2000,2,FALSE),"N/A")</f>
        <v>90</v>
      </c>
      <c r="N94" s="11" t="str">
        <f>IF(VLOOKUP(B94,Towary_i_uslugi!$A$3:$T$1500,17,FALSE)=0,"!NO SUPPLIER",VLOOKUP(B94,Towary_i_uslugi!$A$3:$T$1500,17))</f>
        <v>BW</v>
      </c>
      <c r="O94" s="11" t="str">
        <f>IF(VLOOKUP(B94,Towary_i_uslugi!$A$4:$U$1200,21,FALSE)&gt;0,VLOOKUP(B94,Towary_i_uslugi!$A$4:$U$1200,21,FALSE),"")</f>
        <v/>
      </c>
      <c r="P94" s="11">
        <f t="shared" si="3"/>
        <v>12</v>
      </c>
      <c r="Q94" s="11">
        <f t="shared" si="4"/>
        <v>360</v>
      </c>
      <c r="R94" s="17">
        <f t="shared" si="5"/>
        <v>1422</v>
      </c>
      <c r="S94" s="17">
        <f>VLOOKUP($B94,   MBI_LastBuy!$A$3:E$13199,3,FALSE)</f>
        <v>300</v>
      </c>
      <c r="T94" s="13">
        <f>VLOOKUP($B94,   MBI_LastBuy!$A$3:E$13199,2,FALSE)</f>
        <v>3.95</v>
      </c>
      <c r="U94" s="13" t="str">
        <f>VLOOKUP($B94,   MBI_LastBuy!$A$3:E$13199,5,FALSE)</f>
        <v>USD</v>
      </c>
      <c r="V94" s="15">
        <f>VLOOKUP($B94,   MBI_LastBuy!$A$3:E$13199,4,FALSE)</f>
        <v>44071</v>
      </c>
    </row>
    <row r="95" spans="1:22" x14ac:dyDescent="0.25">
      <c r="A95" s="11" t="s">
        <v>3553</v>
      </c>
      <c r="B95" s="11">
        <v>300000</v>
      </c>
      <c r="C95" s="11" t="str">
        <f>VLOOKUP(B95,Towary_i_uslugi!$A$4:$B$1500,2)</f>
        <v>(brak)</v>
      </c>
      <c r="D95" s="11" t="s">
        <v>2610</v>
      </c>
      <c r="E95" s="11">
        <f>VLOOKUP(B95,Towary_i_uslugi!$A$3:$T$1500,3,FALSE)</f>
        <v>192</v>
      </c>
      <c r="F95" s="11" t="str">
        <f>VLOOKUP(B95,Towary_i_uslugi!$A$3:$T$1500,20,FALSE)</f>
        <v>slide blister card</v>
      </c>
      <c r="G95" s="11">
        <f>VLOOKUP(B95,MBI_Dostawcy_towarów!$A$4:$C$1399,3,FALSE)</f>
        <v>8.3000000000000004E-2</v>
      </c>
      <c r="H95" s="11">
        <v>241</v>
      </c>
      <c r="I95" s="11">
        <v>0</v>
      </c>
      <c r="J95" s="11">
        <v>1000</v>
      </c>
      <c r="K95" s="11">
        <f>_xlfn.IFNA(VLOOKUP(B95,Towary_na_zamówieniach!$A$4:$C$1500,2,FALSE),0)</f>
        <v>1152</v>
      </c>
      <c r="L95" s="11">
        <f>_xlfn.IFNA(VLOOKUP(B95,Towary_na_zamówieniach!$A$4:$C$1500,3,FALSE),0)</f>
        <v>518.4</v>
      </c>
      <c r="M95" s="11">
        <f>_xlfn.IFNA(VLOOKUP(B95,MBI_Dostawcy_towarów!$A$4:$C$2000,2,FALSE),"N/A")</f>
        <v>90</v>
      </c>
      <c r="N95" s="11" t="str">
        <f>IF(VLOOKUP(B95,Towary_i_uslugi!$A$3:$T$1500,17,FALSE)=0,"!NO SUPPLIER",VLOOKUP(B95,Towary_i_uslugi!$A$3:$T$1500,17))</f>
        <v>FX -MAPLE Frank Xu</v>
      </c>
      <c r="O95" s="11" t="str">
        <f>IF(VLOOKUP(B95,Towary_i_uslugi!$A$4:$U$1200,21,FALSE)&gt;0,VLOOKUP(B95,Towary_i_uslugi!$A$4:$U$1200,21,FALSE),"")</f>
        <v/>
      </c>
      <c r="P95" s="11">
        <f t="shared" si="3"/>
        <v>0</v>
      </c>
      <c r="Q95" s="11">
        <f t="shared" si="4"/>
        <v>0</v>
      </c>
      <c r="R95" s="17">
        <f t="shared" si="5"/>
        <v>0</v>
      </c>
      <c r="S95" s="17">
        <f>VLOOKUP($B95,   MBI_LastBuy!$A$3:E$13199,3,FALSE)</f>
        <v>1152</v>
      </c>
      <c r="T95" s="13">
        <f>VLOOKUP($B95,   MBI_LastBuy!$A$3:E$13199,2,FALSE)</f>
        <v>0.45</v>
      </c>
      <c r="U95" s="13" t="str">
        <f>VLOOKUP($B95,   MBI_LastBuy!$A$3:E$13199,5,FALSE)</f>
        <v>USD</v>
      </c>
      <c r="V95" s="15">
        <f>VLOOKUP($B95,   MBI_LastBuy!$A$3:E$13199,4,FALSE)</f>
        <v>44091</v>
      </c>
    </row>
    <row r="96" spans="1:22" x14ac:dyDescent="0.25">
      <c r="A96" s="11" t="s">
        <v>3553</v>
      </c>
      <c r="B96" s="11">
        <v>300013</v>
      </c>
      <c r="C96" s="11" t="str">
        <f>VLOOKUP(B96,Towary_i_uslugi!$A$4:$B$1500,2)</f>
        <v>(brak)</v>
      </c>
      <c r="D96" s="11" t="s">
        <v>2611</v>
      </c>
      <c r="E96" s="11">
        <f>VLOOKUP(B96,Towary_i_uslugi!$A$3:$T$1500,3,FALSE)</f>
        <v>248</v>
      </c>
      <c r="F96" s="11" t="str">
        <f>VLOOKUP(B96,Towary_i_uslugi!$A$3:$T$1500,20,FALSE)</f>
        <v>slide blister card</v>
      </c>
      <c r="G96" s="11">
        <f>VLOOKUP(B96,MBI_Dostawcy_towarów!$A$4:$C$1399,3,FALSE)</f>
        <v>4.8000000000000001E-2</v>
      </c>
      <c r="H96" s="11">
        <v>85</v>
      </c>
      <c r="I96" s="11">
        <v>124</v>
      </c>
      <c r="J96" s="11">
        <v>800</v>
      </c>
      <c r="K96" s="11">
        <f>_xlfn.IFNA(VLOOKUP(B96,Towary_na_zamówieniach!$A$4:$C$1500,2,FALSE),0)</f>
        <v>1344</v>
      </c>
      <c r="L96" s="11">
        <f>_xlfn.IFNA(VLOOKUP(B96,Towary_na_zamówieniach!$A$4:$C$1500,3,FALSE),0)</f>
        <v>430.08</v>
      </c>
      <c r="M96" s="11">
        <f>_xlfn.IFNA(VLOOKUP(B96,MBI_Dostawcy_towarów!$A$4:$C$2000,2,FALSE),"N/A")</f>
        <v>90</v>
      </c>
      <c r="N96" s="11" t="str">
        <f>IF(VLOOKUP(B96,Towary_i_uslugi!$A$3:$T$1500,17,FALSE)=0,"!NO SUPPLIER",VLOOKUP(B96,Towary_i_uslugi!$A$3:$T$1500,17))</f>
        <v>FX -MAPLE Frank Xu</v>
      </c>
      <c r="O96" s="11" t="str">
        <f>IF(VLOOKUP(B96,Towary_i_uslugi!$A$4:$U$1200,21,FALSE)&gt;0,VLOOKUP(B96,Towary_i_uslugi!$A$4:$U$1200,21,FALSE),"")</f>
        <v/>
      </c>
      <c r="P96" s="11">
        <f t="shared" si="3"/>
        <v>0</v>
      </c>
      <c r="Q96" s="11">
        <f t="shared" si="4"/>
        <v>0</v>
      </c>
      <c r="R96" s="17">
        <f t="shared" si="5"/>
        <v>0</v>
      </c>
      <c r="S96" s="17">
        <f>VLOOKUP($B96,   MBI_LastBuy!$A$3:E$13199,3,FALSE)</f>
        <v>1344</v>
      </c>
      <c r="T96" s="13">
        <f>VLOOKUP($B96,   MBI_LastBuy!$A$3:E$13199,2,FALSE)</f>
        <v>0.32</v>
      </c>
      <c r="U96" s="13" t="str">
        <f>VLOOKUP($B96,   MBI_LastBuy!$A$3:E$13199,5,FALSE)</f>
        <v>USD</v>
      </c>
      <c r="V96" s="15">
        <f>VLOOKUP($B96,   MBI_LastBuy!$A$3:E$13199,4,FALSE)</f>
        <v>44091</v>
      </c>
    </row>
    <row r="97" spans="1:22" x14ac:dyDescent="0.25">
      <c r="A97" s="11" t="s">
        <v>3553</v>
      </c>
      <c r="B97" s="11">
        <v>300070</v>
      </c>
      <c r="C97" s="11" t="str">
        <f>VLOOKUP(B97,Towary_i_uslugi!$A$4:$B$1500,2)</f>
        <v>(brak)</v>
      </c>
      <c r="D97" s="11" t="s">
        <v>2778</v>
      </c>
      <c r="E97" s="11">
        <f>VLOOKUP(B97,Towary_i_uslugi!$A$3:$T$1500,3,FALSE)</f>
        <v>96</v>
      </c>
      <c r="F97" s="11" t="str">
        <f>VLOOKUP(B97,Towary_i_uslugi!$A$3:$T$1500,20,FALSE)</f>
        <v>plastic header</v>
      </c>
      <c r="G97" s="11">
        <f>VLOOKUP(B97,MBI_Dostawcy_towarów!$A$4:$C$1399,3,FALSE)</f>
        <v>0.13500000000000001</v>
      </c>
      <c r="H97" s="11">
        <v>81</v>
      </c>
      <c r="I97" s="11">
        <v>0</v>
      </c>
      <c r="J97" s="11">
        <v>210</v>
      </c>
      <c r="K97" s="11">
        <f>_xlfn.IFNA(VLOOKUP(B97,Towary_na_zamówieniach!$A$4:$C$1500,2,FALSE),0)</f>
        <v>576</v>
      </c>
      <c r="L97" s="11">
        <f>_xlfn.IFNA(VLOOKUP(B97,Towary_na_zamówieniach!$A$4:$C$1500,3,FALSE),0)</f>
        <v>587.52</v>
      </c>
      <c r="M97" s="11">
        <f>_xlfn.IFNA(VLOOKUP(B97,MBI_Dostawcy_towarów!$A$4:$C$2000,2,FALSE),"N/A")</f>
        <v>90</v>
      </c>
      <c r="N97" s="11" t="str">
        <f>IF(VLOOKUP(B97,Towary_i_uslugi!$A$3:$T$1500,17,FALSE)=0,"!NO SUPPLIER",VLOOKUP(B97,Towary_i_uslugi!$A$3:$T$1500,17))</f>
        <v>FX -MAPLE Frank Xu</v>
      </c>
      <c r="O97" s="11" t="str">
        <f>IF(VLOOKUP(B97,Towary_i_uslugi!$A$4:$U$1200,21,FALSE)&gt;0,VLOOKUP(B97,Towary_i_uslugi!$A$4:$U$1200,21,FALSE),"")</f>
        <v/>
      </c>
      <c r="P97" s="11">
        <f t="shared" si="3"/>
        <v>0</v>
      </c>
      <c r="Q97" s="11">
        <f t="shared" si="4"/>
        <v>0</v>
      </c>
      <c r="R97" s="17">
        <f t="shared" si="5"/>
        <v>0</v>
      </c>
      <c r="S97" s="17">
        <f>VLOOKUP($B97,   MBI_LastBuy!$A$3:E$13199,3,FALSE)</f>
        <v>576</v>
      </c>
      <c r="T97" s="13">
        <f>VLOOKUP($B97,   MBI_LastBuy!$A$3:E$13199,2,FALSE)</f>
        <v>1.02</v>
      </c>
      <c r="U97" s="13" t="str">
        <f>VLOOKUP($B97,   MBI_LastBuy!$A$3:E$13199,5,FALSE)</f>
        <v>USD</v>
      </c>
      <c r="V97" s="15">
        <f>VLOOKUP($B97,   MBI_LastBuy!$A$3:E$13199,4,FALSE)</f>
        <v>44113</v>
      </c>
    </row>
    <row r="98" spans="1:22" x14ac:dyDescent="0.25">
      <c r="A98" s="11" t="s">
        <v>3553</v>
      </c>
      <c r="B98" s="11">
        <v>300110</v>
      </c>
      <c r="C98" s="11" t="str">
        <f>VLOOKUP(B98,Towary_i_uslugi!$A$4:$B$1500,2)</f>
        <v>(brak)</v>
      </c>
      <c r="D98" s="11" t="s">
        <v>3615</v>
      </c>
      <c r="E98" s="11">
        <f>VLOOKUP(B98,Towary_i_uslugi!$A$3:$T$1500,3,FALSE)</f>
        <v>36</v>
      </c>
      <c r="F98" s="11" t="str">
        <f>VLOOKUP(B98,Towary_i_uslugi!$A$3:$T$1500,20,FALSE)</f>
        <v>plastic header</v>
      </c>
      <c r="G98" s="11">
        <f>VLOOKUP(B98,MBI_Dostawcy_towarów!$A$4:$C$1399,3,FALSE)</f>
        <v>0.35099999999999998</v>
      </c>
      <c r="H98" s="11">
        <v>204</v>
      </c>
      <c r="I98" s="11">
        <v>1</v>
      </c>
      <c r="J98" s="11">
        <v>240</v>
      </c>
      <c r="K98" s="11">
        <f>_xlfn.IFNA(VLOOKUP(B98,Towary_na_zamówieniach!$A$4:$C$1500,2,FALSE),0)</f>
        <v>504</v>
      </c>
      <c r="L98" s="11">
        <f>_xlfn.IFNA(VLOOKUP(B98,Towary_na_zamówieniach!$A$4:$C$1500,3,FALSE),0)</f>
        <v>730.8</v>
      </c>
      <c r="M98" s="11">
        <f>_xlfn.IFNA(VLOOKUP(B98,MBI_Dostawcy_towarów!$A$4:$C$2000,2,FALSE),"N/A")</f>
        <v>0</v>
      </c>
      <c r="N98" s="11" t="str">
        <f>IF(VLOOKUP(B98,Towary_i_uslugi!$A$3:$T$1500,17,FALSE)=0,"!NO SUPPLIER",VLOOKUP(B98,Towary_i_uslugi!$A$3:$T$1500,17))</f>
        <v>FX -MAPLE Frank Xu</v>
      </c>
      <c r="O98" s="11" t="str">
        <f>IF(VLOOKUP(B98,Towary_i_uslugi!$A$4:$U$1200,21,FALSE)&gt;0,VLOOKUP(B98,Towary_i_uslugi!$A$4:$U$1200,21,FALSE),"")</f>
        <v/>
      </c>
      <c r="P98" s="11">
        <f t="shared" si="3"/>
        <v>0</v>
      </c>
      <c r="Q98" s="11">
        <f t="shared" si="4"/>
        <v>0</v>
      </c>
      <c r="R98" s="17">
        <f t="shared" si="5"/>
        <v>0</v>
      </c>
      <c r="S98" s="17">
        <f>VLOOKUP($B98,   MBI_LastBuy!$A$3:E$13199,3,FALSE)</f>
        <v>504</v>
      </c>
      <c r="T98" s="13">
        <f>VLOOKUP($B98,   MBI_LastBuy!$A$3:E$13199,2,FALSE)</f>
        <v>1.45</v>
      </c>
      <c r="U98" s="13" t="str">
        <f>VLOOKUP($B98,   MBI_LastBuy!$A$3:E$13199,5,FALSE)</f>
        <v>USD</v>
      </c>
      <c r="V98" s="15">
        <f>VLOOKUP($B98,   MBI_LastBuy!$A$3:E$13199,4,FALSE)</f>
        <v>44113</v>
      </c>
    </row>
    <row r="99" spans="1:22" x14ac:dyDescent="0.25">
      <c r="A99" s="11" t="s">
        <v>3553</v>
      </c>
      <c r="B99" s="11">
        <v>300130</v>
      </c>
      <c r="C99" s="11" t="str">
        <f>VLOOKUP(B99,Towary_i_uslugi!$A$4:$B$1500,2)</f>
        <v>(brak)</v>
      </c>
      <c r="D99" s="11" t="s">
        <v>3616</v>
      </c>
      <c r="E99" s="11">
        <f>VLOOKUP(B99,Towary_i_uslugi!$A$3:$T$1500,3,FALSE)</f>
        <v>24</v>
      </c>
      <c r="F99" s="11" t="str">
        <f>VLOOKUP(B99,Towary_i_uslugi!$A$3:$T$1500,20,FALSE)</f>
        <v>plastic header</v>
      </c>
      <c r="G99" s="11">
        <f>VLOOKUP(B99,MBI_Dostawcy_towarów!$A$4:$C$1399,3,FALSE)</f>
        <v>0.58799999999999997</v>
      </c>
      <c r="H99" s="11">
        <v>133</v>
      </c>
      <c r="I99" s="11">
        <v>0</v>
      </c>
      <c r="J99" s="11">
        <v>240</v>
      </c>
      <c r="K99" s="11">
        <f>_xlfn.IFNA(VLOOKUP(B99,Towary_na_zamówieniach!$A$4:$C$1500,2,FALSE),0)</f>
        <v>432</v>
      </c>
      <c r="L99" s="11">
        <f>_xlfn.IFNA(VLOOKUP(B99,Towary_na_zamówieniach!$A$4:$C$1500,3,FALSE),0)</f>
        <v>829.44</v>
      </c>
      <c r="M99" s="11">
        <f>_xlfn.IFNA(VLOOKUP(B99,MBI_Dostawcy_towarów!$A$4:$C$2000,2,FALSE),"N/A")</f>
        <v>90</v>
      </c>
      <c r="N99" s="11" t="str">
        <f>IF(VLOOKUP(B99,Towary_i_uslugi!$A$3:$T$1500,17,FALSE)=0,"!NO SUPPLIER",VLOOKUP(B99,Towary_i_uslugi!$A$3:$T$1500,17))</f>
        <v>FX -MAPLE Frank Xu</v>
      </c>
      <c r="O99" s="11" t="str">
        <f>IF(VLOOKUP(B99,Towary_i_uslugi!$A$4:$U$1200,21,FALSE)&gt;0,VLOOKUP(B99,Towary_i_uslugi!$A$4:$U$1200,21,FALSE),"")</f>
        <v/>
      </c>
      <c r="P99" s="11">
        <f t="shared" si="3"/>
        <v>0</v>
      </c>
      <c r="Q99" s="11">
        <f t="shared" si="4"/>
        <v>0</v>
      </c>
      <c r="R99" s="17">
        <f t="shared" si="5"/>
        <v>0</v>
      </c>
      <c r="S99" s="17">
        <f>VLOOKUP($B99,   MBI_LastBuy!$A$3:E$13199,3,FALSE)</f>
        <v>432</v>
      </c>
      <c r="T99" s="13">
        <f>VLOOKUP($B99,   MBI_LastBuy!$A$3:E$13199,2,FALSE)</f>
        <v>1.92</v>
      </c>
      <c r="U99" s="13" t="str">
        <f>VLOOKUP($B99,   MBI_LastBuy!$A$3:E$13199,5,FALSE)</f>
        <v>USD</v>
      </c>
      <c r="V99" s="15">
        <f>VLOOKUP($B99,   MBI_LastBuy!$A$3:E$13199,4,FALSE)</f>
        <v>44113</v>
      </c>
    </row>
    <row r="100" spans="1:22" x14ac:dyDescent="0.25">
      <c r="A100" s="11" t="s">
        <v>3553</v>
      </c>
      <c r="B100" s="11">
        <v>300380</v>
      </c>
      <c r="C100" s="11" t="str">
        <f>VLOOKUP(B100,Towary_i_uslugi!$A$4:$B$1500,2)</f>
        <v>(brak)</v>
      </c>
      <c r="D100" s="11" t="s">
        <v>3617</v>
      </c>
      <c r="E100" s="11">
        <f>VLOOKUP(B100,Towary_i_uslugi!$A$3:$T$1500,3,FALSE)</f>
        <v>48</v>
      </c>
      <c r="F100" s="11" t="str">
        <f>VLOOKUP(B100,Towary_i_uslugi!$A$3:$T$1500,20,FALSE)</f>
        <v>plastic header</v>
      </c>
      <c r="G100" s="11">
        <f>VLOOKUP(B100,MBI_Dostawcy_towarów!$A$4:$C$1399,3,FALSE)</f>
        <v>0.316</v>
      </c>
      <c r="H100" s="11">
        <v>236</v>
      </c>
      <c r="I100" s="11">
        <v>0</v>
      </c>
      <c r="J100" s="11">
        <v>350</v>
      </c>
      <c r="K100" s="11">
        <f>_xlfn.IFNA(VLOOKUP(B100,Towary_na_zamówieniach!$A$4:$C$1500,2,FALSE),0)</f>
        <v>576</v>
      </c>
      <c r="L100" s="11">
        <f>_xlfn.IFNA(VLOOKUP(B100,Towary_na_zamówieniach!$A$4:$C$1500,3,FALSE),0)</f>
        <v>766.08</v>
      </c>
      <c r="M100" s="11">
        <f>_xlfn.IFNA(VLOOKUP(B100,MBI_Dostawcy_towarów!$A$4:$C$2000,2,FALSE),"N/A")</f>
        <v>90</v>
      </c>
      <c r="N100" s="11" t="str">
        <f>IF(VLOOKUP(B100,Towary_i_uslugi!$A$3:$T$1500,17,FALSE)=0,"!NO SUPPLIER",VLOOKUP(B100,Towary_i_uslugi!$A$3:$T$1500,17))</f>
        <v>FX -MAPLE Frank Xu</v>
      </c>
      <c r="O100" s="11" t="str">
        <f>IF(VLOOKUP(B100,Towary_i_uslugi!$A$4:$U$1200,21,FALSE)&gt;0,VLOOKUP(B100,Towary_i_uslugi!$A$4:$U$1200,21,FALSE),"")</f>
        <v/>
      </c>
      <c r="P100" s="11">
        <f t="shared" si="3"/>
        <v>0</v>
      </c>
      <c r="Q100" s="11">
        <f t="shared" si="4"/>
        <v>0</v>
      </c>
      <c r="R100" s="17">
        <f t="shared" si="5"/>
        <v>0</v>
      </c>
      <c r="S100" s="17">
        <f>VLOOKUP($B100,   MBI_LastBuy!$A$3:E$13199,3,FALSE)</f>
        <v>576</v>
      </c>
      <c r="T100" s="13">
        <f>VLOOKUP($B100,   MBI_LastBuy!$A$3:E$13199,2,FALSE)</f>
        <v>1.33</v>
      </c>
      <c r="U100" s="13" t="str">
        <f>VLOOKUP($B100,   MBI_LastBuy!$A$3:E$13199,5,FALSE)</f>
        <v>USD</v>
      </c>
      <c r="V100" s="15">
        <f>VLOOKUP($B100,   MBI_LastBuy!$A$3:E$13199,4,FALSE)</f>
        <v>44131</v>
      </c>
    </row>
    <row r="101" spans="1:22" x14ac:dyDescent="0.25">
      <c r="A101" s="11" t="s">
        <v>3553</v>
      </c>
      <c r="B101" s="11">
        <v>300400</v>
      </c>
      <c r="C101" s="11" t="str">
        <f>VLOOKUP(B101,Towary_i_uslugi!$A$4:$B$1500,2)</f>
        <v>(brak)</v>
      </c>
      <c r="D101" s="11" t="s">
        <v>1581</v>
      </c>
      <c r="E101" s="11">
        <f>VLOOKUP(B101,Towary_i_uslugi!$A$3:$T$1500,3,FALSE)</f>
        <v>36</v>
      </c>
      <c r="F101" s="11" t="str">
        <f>VLOOKUP(B101,Towary_i_uslugi!$A$3:$T$1500,20,FALSE)</f>
        <v>plastic header</v>
      </c>
      <c r="G101" s="11">
        <f>VLOOKUP(B101,MBI_Dostawcy_towarów!$A$4:$C$1399,3,FALSE)</f>
        <v>0.54600000000000004</v>
      </c>
      <c r="H101" s="11">
        <v>132</v>
      </c>
      <c r="I101" s="11">
        <v>12</v>
      </c>
      <c r="J101" s="11">
        <v>420</v>
      </c>
      <c r="K101" s="11">
        <f>_xlfn.IFNA(VLOOKUP(B101,Towary_na_zamówieniach!$A$4:$C$1500,2,FALSE),0)</f>
        <v>432</v>
      </c>
      <c r="L101" s="11">
        <f>_xlfn.IFNA(VLOOKUP(B101,Towary_na_zamówieniach!$A$4:$C$1500,3,FALSE),0)</f>
        <v>799.2</v>
      </c>
      <c r="M101" s="11">
        <f>_xlfn.IFNA(VLOOKUP(B101,MBI_Dostawcy_towarów!$A$4:$C$2000,2,FALSE),"N/A")</f>
        <v>90</v>
      </c>
      <c r="N101" s="11" t="str">
        <f>IF(VLOOKUP(B101,Towary_i_uslugi!$A$3:$T$1500,17,FALSE)=0,"!NO SUPPLIER",VLOOKUP(B101,Towary_i_uslugi!$A$3:$T$1500,17))</f>
        <v>FX -MAPLE Frank Xu</v>
      </c>
      <c r="O101" s="11" t="str">
        <f>IF(VLOOKUP(B101,Towary_i_uslugi!$A$4:$U$1200,21,FALSE)&gt;0,VLOOKUP(B101,Towary_i_uslugi!$A$4:$U$1200,21,FALSE),"")</f>
        <v/>
      </c>
      <c r="P101" s="11">
        <f t="shared" si="3"/>
        <v>0</v>
      </c>
      <c r="Q101" s="11">
        <f t="shared" si="4"/>
        <v>0</v>
      </c>
      <c r="R101" s="17">
        <f t="shared" si="5"/>
        <v>0</v>
      </c>
      <c r="S101" s="17">
        <f>VLOOKUP($B101,   MBI_LastBuy!$A$3:E$13199,3,FALSE)</f>
        <v>432</v>
      </c>
      <c r="T101" s="13">
        <f>VLOOKUP($B101,   MBI_LastBuy!$A$3:E$13199,2,FALSE)</f>
        <v>1.85</v>
      </c>
      <c r="U101" s="13" t="str">
        <f>VLOOKUP($B101,   MBI_LastBuy!$A$3:E$13199,5,FALSE)</f>
        <v>USD</v>
      </c>
      <c r="V101" s="15">
        <f>VLOOKUP($B101,   MBI_LastBuy!$A$3:E$13199,4,FALSE)</f>
        <v>44062</v>
      </c>
    </row>
    <row r="102" spans="1:22" x14ac:dyDescent="0.25">
      <c r="A102" s="11" t="s">
        <v>3553</v>
      </c>
      <c r="B102" s="11">
        <v>300420</v>
      </c>
      <c r="C102" s="11" t="str">
        <f>VLOOKUP(B102,Towary_i_uslugi!$A$4:$B$1500,2)</f>
        <v>(brak)</v>
      </c>
      <c r="D102" s="11" t="s">
        <v>1582</v>
      </c>
      <c r="E102" s="11">
        <f>VLOOKUP(B102,Towary_i_uslugi!$A$3:$T$1500,3,FALSE)</f>
        <v>24</v>
      </c>
      <c r="F102" s="11" t="str">
        <f>VLOOKUP(B102,Towary_i_uslugi!$A$3:$T$1500,20,FALSE)</f>
        <v>plastic header</v>
      </c>
      <c r="G102" s="11">
        <f>VLOOKUP(B102,MBI_Dostawcy_towarów!$A$4:$C$1399,3,FALSE)</f>
        <v>0.80900000000000005</v>
      </c>
      <c r="H102" s="11">
        <v>78</v>
      </c>
      <c r="I102" s="11">
        <v>12</v>
      </c>
      <c r="J102" s="11">
        <v>260</v>
      </c>
      <c r="K102" s="11">
        <f>_xlfn.IFNA(VLOOKUP(B102,Towary_na_zamówieniach!$A$4:$C$1500,2,FALSE),0)</f>
        <v>288</v>
      </c>
      <c r="L102" s="11">
        <f>_xlfn.IFNA(VLOOKUP(B102,Towary_na_zamówieniach!$A$4:$C$1500,3,FALSE),0)</f>
        <v>676.8</v>
      </c>
      <c r="M102" s="11">
        <f>_xlfn.IFNA(VLOOKUP(B102,MBI_Dostawcy_towarów!$A$4:$C$2000,2,FALSE),"N/A")</f>
        <v>90</v>
      </c>
      <c r="N102" s="11" t="str">
        <f>IF(VLOOKUP(B102,Towary_i_uslugi!$A$3:$T$1500,17,FALSE)=0,"!NO SUPPLIER",VLOOKUP(B102,Towary_i_uslugi!$A$3:$T$1500,17))</f>
        <v>FX -MAPLE Frank Xu</v>
      </c>
      <c r="O102" s="11" t="str">
        <f>IF(VLOOKUP(B102,Towary_i_uslugi!$A$4:$U$1200,21,FALSE)&gt;0,VLOOKUP(B102,Towary_i_uslugi!$A$4:$U$1200,21,FALSE),"")</f>
        <v/>
      </c>
      <c r="P102" s="11">
        <f t="shared" si="3"/>
        <v>0</v>
      </c>
      <c r="Q102" s="11">
        <f t="shared" si="4"/>
        <v>0</v>
      </c>
      <c r="R102" s="17">
        <f t="shared" si="5"/>
        <v>0</v>
      </c>
      <c r="S102" s="17">
        <f>VLOOKUP($B102,   MBI_LastBuy!$A$3:E$13199,3,FALSE)</f>
        <v>288</v>
      </c>
      <c r="T102" s="13">
        <f>VLOOKUP($B102,   MBI_LastBuy!$A$3:E$13199,2,FALSE)</f>
        <v>2.35</v>
      </c>
      <c r="U102" s="13" t="str">
        <f>VLOOKUP($B102,   MBI_LastBuy!$A$3:E$13199,5,FALSE)</f>
        <v>USD</v>
      </c>
      <c r="V102" s="15">
        <f>VLOOKUP($B102,   MBI_LastBuy!$A$3:E$13199,4,FALSE)</f>
        <v>44062</v>
      </c>
    </row>
    <row r="103" spans="1:22" x14ac:dyDescent="0.25">
      <c r="A103" s="11" t="s">
        <v>3553</v>
      </c>
      <c r="B103" s="11">
        <v>300710</v>
      </c>
      <c r="C103" s="11" t="str">
        <f>VLOOKUP(B103,Towary_i_uslugi!$A$4:$B$1500,2)</f>
        <v>(brak)</v>
      </c>
      <c r="D103" s="11" t="s">
        <v>2779</v>
      </c>
      <c r="E103" s="11">
        <f>VLOOKUP(B103,Towary_i_uslugi!$A$3:$T$1500,3,FALSE)</f>
        <v>60</v>
      </c>
      <c r="F103" s="11" t="str">
        <f>VLOOKUP(B103,Towary_i_uslugi!$A$3:$T$1500,20,FALSE)</f>
        <v>white box+sticker</v>
      </c>
      <c r="G103" s="11">
        <f>VLOOKUP(B103,MBI_Dostawcy_towarów!$A$4:$C$1399,3,FALSE)</f>
        <v>0.39</v>
      </c>
      <c r="H103" s="11">
        <v>1</v>
      </c>
      <c r="I103" s="11">
        <v>0</v>
      </c>
      <c r="J103" s="11">
        <v>160</v>
      </c>
      <c r="K103" s="11">
        <f>_xlfn.IFNA(VLOOKUP(B103,Towary_na_zamówieniach!$A$4:$C$1500,2,FALSE),0)</f>
        <v>360</v>
      </c>
      <c r="L103" s="11">
        <f>_xlfn.IFNA(VLOOKUP(B103,Towary_na_zamówieniach!$A$4:$C$1500,3,FALSE),0)</f>
        <v>756</v>
      </c>
      <c r="M103" s="11">
        <f>_xlfn.IFNA(VLOOKUP(B103,MBI_Dostawcy_towarów!$A$4:$C$2000,2,FALSE),"N/A")</f>
        <v>90</v>
      </c>
      <c r="N103" s="11" t="str">
        <f>IF(VLOOKUP(B103,Towary_i_uslugi!$A$3:$T$1500,17,FALSE)=0,"!NO SUPPLIER",VLOOKUP(B103,Towary_i_uslugi!$A$3:$T$1500,17))</f>
        <v>FX -MAPLE Frank Xu</v>
      </c>
      <c r="O103" s="11" t="str">
        <f>IF(VLOOKUP(B103,Towary_i_uslugi!$A$4:$U$1200,21,FALSE)&gt;0,VLOOKUP(B103,Towary_i_uslugi!$A$4:$U$1200,21,FALSE),"")</f>
        <v/>
      </c>
      <c r="P103" s="11">
        <f t="shared" si="3"/>
        <v>0</v>
      </c>
      <c r="Q103" s="11">
        <f t="shared" si="4"/>
        <v>0</v>
      </c>
      <c r="R103" s="17">
        <f t="shared" si="5"/>
        <v>0</v>
      </c>
      <c r="S103" s="17">
        <f>VLOOKUP($B103,   MBI_LastBuy!$A$3:E$13199,3,FALSE)</f>
        <v>360</v>
      </c>
      <c r="T103" s="13">
        <f>VLOOKUP($B103,   MBI_LastBuy!$A$3:E$13199,2,FALSE)</f>
        <v>2.1</v>
      </c>
      <c r="U103" s="13" t="str">
        <f>VLOOKUP($B103,   MBI_LastBuy!$A$3:E$13199,5,FALSE)</f>
        <v>USD</v>
      </c>
      <c r="V103" s="15">
        <f>VLOOKUP($B103,   MBI_LastBuy!$A$3:E$13199,4,FALSE)</f>
        <v>44062</v>
      </c>
    </row>
    <row r="104" spans="1:22" x14ac:dyDescent="0.25">
      <c r="A104" s="11" t="s">
        <v>3553</v>
      </c>
      <c r="B104" s="11">
        <v>300712</v>
      </c>
      <c r="C104" s="11" t="str">
        <f>VLOOKUP(B104,Towary_i_uslugi!$A$4:$B$1500,2)</f>
        <v>(brak)</v>
      </c>
      <c r="D104" s="11" t="s">
        <v>2612</v>
      </c>
      <c r="E104" s="11">
        <f>VLOOKUP(B104,Towary_i_uslugi!$A$3:$T$1500,3,FALSE)</f>
        <v>36</v>
      </c>
      <c r="F104" s="11" t="str">
        <f>VLOOKUP(B104,Towary_i_uslugi!$A$3:$T$1500,20,FALSE)</f>
        <v>white box+sticker</v>
      </c>
      <c r="G104" s="11">
        <f>VLOOKUP(B104,MBI_Dostawcy_towarów!$A$4:$C$1399,3,FALSE)</f>
        <v>0.872</v>
      </c>
      <c r="H104" s="11">
        <v>98</v>
      </c>
      <c r="I104" s="11">
        <v>0</v>
      </c>
      <c r="J104" s="11">
        <v>150</v>
      </c>
      <c r="K104" s="11">
        <f>_xlfn.IFNA(VLOOKUP(B104,Towary_na_zamówieniach!$A$4:$C$1500,2,FALSE),0)</f>
        <v>252</v>
      </c>
      <c r="L104" s="11">
        <f>_xlfn.IFNA(VLOOKUP(B104,Towary_na_zamówieniach!$A$4:$C$1500,3,FALSE),0)</f>
        <v>819</v>
      </c>
      <c r="M104" s="11">
        <f>_xlfn.IFNA(VLOOKUP(B104,MBI_Dostawcy_towarów!$A$4:$C$2000,2,FALSE),"N/A")</f>
        <v>90</v>
      </c>
      <c r="N104" s="11" t="str">
        <f>IF(VLOOKUP(B104,Towary_i_uslugi!$A$3:$T$1500,17,FALSE)=0,"!NO SUPPLIER",VLOOKUP(B104,Towary_i_uslugi!$A$3:$T$1500,17))</f>
        <v>FX -MAPLE Frank Xu</v>
      </c>
      <c r="O104" s="11" t="str">
        <f>IF(VLOOKUP(B104,Towary_i_uslugi!$A$4:$U$1200,21,FALSE)&gt;0,VLOOKUP(B104,Towary_i_uslugi!$A$4:$U$1200,21,FALSE),"")</f>
        <v/>
      </c>
      <c r="P104" s="11">
        <f t="shared" si="3"/>
        <v>0</v>
      </c>
      <c r="Q104" s="11">
        <f t="shared" si="4"/>
        <v>0</v>
      </c>
      <c r="R104" s="17">
        <f t="shared" si="5"/>
        <v>0</v>
      </c>
      <c r="S104" s="17">
        <f>VLOOKUP($B104,   MBI_LastBuy!$A$3:E$13199,3,FALSE)</f>
        <v>252</v>
      </c>
      <c r="T104" s="13">
        <f>VLOOKUP($B104,   MBI_LastBuy!$A$3:E$13199,2,FALSE)</f>
        <v>3.25</v>
      </c>
      <c r="U104" s="13" t="str">
        <f>VLOOKUP($B104,   MBI_LastBuy!$A$3:E$13199,5,FALSE)</f>
        <v>USD</v>
      </c>
      <c r="V104" s="15">
        <f>VLOOKUP($B104,   MBI_LastBuy!$A$3:E$13199,4,FALSE)</f>
        <v>44131</v>
      </c>
    </row>
    <row r="105" spans="1:22" x14ac:dyDescent="0.25">
      <c r="A105" s="11" t="s">
        <v>3554</v>
      </c>
      <c r="B105" s="11">
        <v>310060</v>
      </c>
      <c r="C105" s="11" t="str">
        <f>VLOOKUP(B105,Towary_i_uslugi!$A$4:$B$1500,2)</f>
        <v>(brak)</v>
      </c>
      <c r="D105" s="11" t="s">
        <v>2780</v>
      </c>
      <c r="E105" s="11">
        <f>VLOOKUP(B105,Towary_i_uslugi!$A$3:$T$1500,3,FALSE)</f>
        <v>60</v>
      </c>
      <c r="F105" s="11" t="str">
        <f>VLOOKUP(B105,Towary_i_uslugi!$A$3:$T$1500,20,FALSE)</f>
        <v>pvc shrink</v>
      </c>
      <c r="G105" s="11">
        <f>VLOOKUP(B105,MBI_Dostawcy_towarów!$A$4:$C$1399,3,FALSE)</f>
        <v>0.25900000000000001</v>
      </c>
      <c r="H105" s="11">
        <v>50</v>
      </c>
      <c r="I105" s="11">
        <v>13</v>
      </c>
      <c r="J105" s="11">
        <v>320</v>
      </c>
      <c r="K105" s="11">
        <f>_xlfn.IFNA(VLOOKUP(B105,Towary_na_zamówieniach!$A$4:$C$1500,2,FALSE),0)</f>
        <v>360</v>
      </c>
      <c r="L105" s="11">
        <f>_xlfn.IFNA(VLOOKUP(B105,Towary_na_zamówieniach!$A$4:$C$1500,3,FALSE),0)</f>
        <v>324</v>
      </c>
      <c r="M105" s="11">
        <f>_xlfn.IFNA(VLOOKUP(B105,MBI_Dostawcy_towarów!$A$4:$C$2000,2,FALSE),"N/A")</f>
        <v>90</v>
      </c>
      <c r="N105" s="11" t="str">
        <f>IF(VLOOKUP(B105,Towary_i_uslugi!$A$3:$T$1500,17,FALSE)=0,"!NO SUPPLIER",VLOOKUP(B105,Towary_i_uslugi!$A$3:$T$1500,17))</f>
        <v>BW</v>
      </c>
      <c r="O105" s="11" t="str">
        <f>IF(VLOOKUP(B105,Towary_i_uslugi!$A$4:$U$1200,21,FALSE)&gt;0,VLOOKUP(B105,Towary_i_uslugi!$A$4:$U$1200,21,FALSE),"")</f>
        <v/>
      </c>
      <c r="P105" s="11">
        <f t="shared" si="3"/>
        <v>0</v>
      </c>
      <c r="Q105" s="11">
        <f t="shared" si="4"/>
        <v>0</v>
      </c>
      <c r="R105" s="17">
        <f t="shared" si="5"/>
        <v>0</v>
      </c>
      <c r="S105" s="17">
        <f>VLOOKUP($B105,   MBI_LastBuy!$A$3:E$13199,3,FALSE)</f>
        <v>360</v>
      </c>
      <c r="T105" s="13">
        <f>VLOOKUP($B105,   MBI_LastBuy!$A$3:E$13199,2,FALSE)</f>
        <v>0.9</v>
      </c>
      <c r="U105" s="13" t="str">
        <f>VLOOKUP($B105,   MBI_LastBuy!$A$3:E$13199,5,FALSE)</f>
        <v>USD</v>
      </c>
      <c r="V105" s="15">
        <f>VLOOKUP($B105,   MBI_LastBuy!$A$3:E$13199,4,FALSE)</f>
        <v>44071</v>
      </c>
    </row>
    <row r="106" spans="1:22" x14ac:dyDescent="0.25">
      <c r="A106" s="11" t="s">
        <v>3554</v>
      </c>
      <c r="B106" s="11">
        <v>310080</v>
      </c>
      <c r="C106" s="11" t="str">
        <f>VLOOKUP(B106,Towary_i_uslugi!$A$4:$B$1500,2)</f>
        <v>(brak)</v>
      </c>
      <c r="D106" s="11" t="s">
        <v>1583</v>
      </c>
      <c r="E106" s="11">
        <f>VLOOKUP(B106,Towary_i_uslugi!$A$3:$T$1500,3,FALSE)</f>
        <v>40</v>
      </c>
      <c r="F106" s="11" t="str">
        <f>VLOOKUP(B106,Towary_i_uslugi!$A$3:$T$1500,20,FALSE)</f>
        <v>pvc shrink</v>
      </c>
      <c r="G106" s="11">
        <f>VLOOKUP(B106,MBI_Dostawcy_towarów!$A$4:$C$1399,3,FALSE)</f>
        <v>0.42499999999999999</v>
      </c>
      <c r="H106" s="11">
        <v>50</v>
      </c>
      <c r="I106" s="11">
        <v>0</v>
      </c>
      <c r="J106" s="11">
        <v>270</v>
      </c>
      <c r="K106" s="11">
        <f>_xlfn.IFNA(VLOOKUP(B106,Towary_na_zamówieniach!$A$4:$C$1500,2,FALSE),0)</f>
        <v>240</v>
      </c>
      <c r="L106" s="11">
        <f>_xlfn.IFNA(VLOOKUP(B106,Towary_na_zamówieniach!$A$4:$C$1500,3,FALSE),0)</f>
        <v>352.8</v>
      </c>
      <c r="M106" s="11">
        <f>_xlfn.IFNA(VLOOKUP(B106,MBI_Dostawcy_towarów!$A$4:$C$2000,2,FALSE),"N/A")</f>
        <v>90</v>
      </c>
      <c r="N106" s="11" t="str">
        <f>IF(VLOOKUP(B106,Towary_i_uslugi!$A$3:$T$1500,17,FALSE)=0,"!NO SUPPLIER",VLOOKUP(B106,Towary_i_uslugi!$A$3:$T$1500,17))</f>
        <v>BW</v>
      </c>
      <c r="O106" s="11" t="str">
        <f>IF(VLOOKUP(B106,Towary_i_uslugi!$A$4:$U$1200,21,FALSE)&gt;0,VLOOKUP(B106,Towary_i_uslugi!$A$4:$U$1200,21,FALSE),"")</f>
        <v/>
      </c>
      <c r="P106" s="11">
        <f t="shared" si="3"/>
        <v>0</v>
      </c>
      <c r="Q106" s="11">
        <f t="shared" si="4"/>
        <v>0</v>
      </c>
      <c r="R106" s="17">
        <f t="shared" si="5"/>
        <v>0</v>
      </c>
      <c r="S106" s="17">
        <f>VLOOKUP($B106,   MBI_LastBuy!$A$3:E$13199,3,FALSE)</f>
        <v>240</v>
      </c>
      <c r="T106" s="13">
        <f>VLOOKUP($B106,   MBI_LastBuy!$A$3:E$13199,2,FALSE)</f>
        <v>1.47</v>
      </c>
      <c r="U106" s="13" t="str">
        <f>VLOOKUP($B106,   MBI_LastBuy!$A$3:E$13199,5,FALSE)</f>
        <v>USD</v>
      </c>
      <c r="V106" s="15">
        <f>VLOOKUP($B106,   MBI_LastBuy!$A$3:E$13199,4,FALSE)</f>
        <v>44071</v>
      </c>
    </row>
    <row r="107" spans="1:22" x14ac:dyDescent="0.25">
      <c r="A107" s="11" t="s">
        <v>3554</v>
      </c>
      <c r="B107" s="11">
        <v>310190</v>
      </c>
      <c r="C107" s="11" t="str">
        <f>VLOOKUP(B107,Towary_i_uslugi!$A$4:$B$1500,2)</f>
        <v>(brak)</v>
      </c>
      <c r="D107" s="11" t="s">
        <v>2397</v>
      </c>
      <c r="E107" s="11">
        <f>VLOOKUP(B107,Towary_i_uslugi!$A$3:$T$1500,3,FALSE)</f>
        <v>10</v>
      </c>
      <c r="F107" s="11" t="str">
        <f>VLOOKUP(B107,Towary_i_uslugi!$A$3:$T$1500,20,FALSE)</f>
        <v>plastic header</v>
      </c>
      <c r="G107" s="11">
        <f>VLOOKUP(B107,MBI_Dostawcy_towarów!$A$4:$C$1399,3,FALSE)</f>
        <v>1.008</v>
      </c>
      <c r="H107" s="11">
        <v>54</v>
      </c>
      <c r="I107" s="11">
        <v>0</v>
      </c>
      <c r="J107" s="11">
        <v>200</v>
      </c>
      <c r="K107" s="11">
        <f>_xlfn.IFNA(VLOOKUP(B107,Towary_na_zamówieniach!$A$4:$C$1500,2,FALSE),0)</f>
        <v>140</v>
      </c>
      <c r="L107" s="11">
        <f>_xlfn.IFNA(VLOOKUP(B107,Towary_na_zamówieniach!$A$4:$C$1500,3,FALSE),0)</f>
        <v>477.4</v>
      </c>
      <c r="M107" s="11">
        <f>_xlfn.IFNA(VLOOKUP(B107,MBI_Dostawcy_towarów!$A$4:$C$2000,2,FALSE),"N/A")</f>
        <v>90</v>
      </c>
      <c r="N107" s="11" t="str">
        <f>IF(VLOOKUP(B107,Towary_i_uslugi!$A$3:$T$1500,17,FALSE)=0,"!NO SUPPLIER",VLOOKUP(B107,Towary_i_uslugi!$A$3:$T$1500,17))</f>
        <v>BW</v>
      </c>
      <c r="O107" s="11" t="str">
        <f>IF(VLOOKUP(B107,Towary_i_uslugi!$A$4:$U$1200,21,FALSE)&gt;0,VLOOKUP(B107,Towary_i_uslugi!$A$4:$U$1200,21,FALSE),"")</f>
        <v/>
      </c>
      <c r="P107" s="11">
        <f t="shared" si="3"/>
        <v>20</v>
      </c>
      <c r="Q107" s="11">
        <f t="shared" si="4"/>
        <v>200</v>
      </c>
      <c r="R107" s="17">
        <f t="shared" si="5"/>
        <v>682</v>
      </c>
      <c r="S107" s="17">
        <f>VLOOKUP($B107,   MBI_LastBuy!$A$3:E$13199,3,FALSE)</f>
        <v>140</v>
      </c>
      <c r="T107" s="13">
        <f>VLOOKUP($B107,   MBI_LastBuy!$A$3:E$13199,2,FALSE)</f>
        <v>3.41</v>
      </c>
      <c r="U107" s="13" t="str">
        <f>VLOOKUP($B107,   MBI_LastBuy!$A$3:E$13199,5,FALSE)</f>
        <v>USD</v>
      </c>
      <c r="V107" s="15">
        <f>VLOOKUP($B107,   MBI_LastBuy!$A$3:E$13199,4,FALSE)</f>
        <v>44071</v>
      </c>
    </row>
    <row r="108" spans="1:22" x14ac:dyDescent="0.25">
      <c r="A108" s="11" t="s">
        <v>3554</v>
      </c>
      <c r="B108" s="11">
        <v>311180</v>
      </c>
      <c r="C108" s="11" t="str">
        <f>VLOOKUP(B108,Towary_i_uslugi!$A$4:$B$1500,2)</f>
        <v>(brak)</v>
      </c>
      <c r="D108" s="11" t="s">
        <v>1584</v>
      </c>
      <c r="E108" s="11">
        <f>VLOOKUP(B108,Towary_i_uslugi!$A$3:$T$1500,3,FALSE)</f>
        <v>20</v>
      </c>
      <c r="F108" s="11" t="str">
        <f>VLOOKUP(B108,Towary_i_uslugi!$A$3:$T$1500,20,FALSE)</f>
        <v>pvc shrink</v>
      </c>
      <c r="G108" s="11">
        <f>VLOOKUP(B108,MBI_Dostawcy_towarów!$A$4:$C$1399,3,FALSE)</f>
        <v>1.0529999999999999</v>
      </c>
      <c r="H108" s="11">
        <v>210</v>
      </c>
      <c r="I108" s="11">
        <v>0</v>
      </c>
      <c r="J108" s="11">
        <v>350</v>
      </c>
      <c r="K108" s="11">
        <f>_xlfn.IFNA(VLOOKUP(B108,Towary_na_zamówieniach!$A$4:$C$1500,2,FALSE),0)</f>
        <v>200</v>
      </c>
      <c r="L108" s="11">
        <f>_xlfn.IFNA(VLOOKUP(B108,Towary_na_zamówieniach!$A$4:$C$1500,3,FALSE),0)</f>
        <v>622</v>
      </c>
      <c r="M108" s="11">
        <f>_xlfn.IFNA(VLOOKUP(B108,MBI_Dostawcy_towarów!$A$4:$C$2000,2,FALSE),"N/A")</f>
        <v>90</v>
      </c>
      <c r="N108" s="11" t="str">
        <f>IF(VLOOKUP(B108,Towary_i_uslugi!$A$3:$T$1500,17,FALSE)=0,"!NO SUPPLIER",VLOOKUP(B108,Towary_i_uslugi!$A$3:$T$1500,17))</f>
        <v>BW</v>
      </c>
      <c r="O108" s="11" t="str">
        <f>IF(VLOOKUP(B108,Towary_i_uslugi!$A$4:$U$1200,21,FALSE)&gt;0,VLOOKUP(B108,Towary_i_uslugi!$A$4:$U$1200,21,FALSE),"")</f>
        <v/>
      </c>
      <c r="P108" s="11">
        <f t="shared" si="3"/>
        <v>0</v>
      </c>
      <c r="Q108" s="11">
        <f t="shared" si="4"/>
        <v>0</v>
      </c>
      <c r="R108" s="17">
        <f t="shared" si="5"/>
        <v>0</v>
      </c>
      <c r="S108" s="17">
        <f>VLOOKUP($B108,   MBI_LastBuy!$A$3:E$13199,3,FALSE)</f>
        <v>200</v>
      </c>
      <c r="T108" s="13">
        <f>VLOOKUP($B108,   MBI_LastBuy!$A$3:E$13199,2,FALSE)</f>
        <v>3.11</v>
      </c>
      <c r="U108" s="13" t="str">
        <f>VLOOKUP($B108,   MBI_LastBuy!$A$3:E$13199,5,FALSE)</f>
        <v>USD</v>
      </c>
      <c r="V108" s="15">
        <f>VLOOKUP($B108,   MBI_LastBuy!$A$3:E$13199,4,FALSE)</f>
        <v>44071</v>
      </c>
    </row>
    <row r="109" spans="1:22" x14ac:dyDescent="0.25">
      <c r="A109" s="11" t="s">
        <v>3554</v>
      </c>
      <c r="B109" s="11">
        <v>312060</v>
      </c>
      <c r="C109" s="11" t="str">
        <f>VLOOKUP(B109,Towary_i_uslugi!$A$4:$B$1500,2)</f>
        <v>(brak)</v>
      </c>
      <c r="D109" s="11" t="s">
        <v>1585</v>
      </c>
      <c r="E109" s="11">
        <f>VLOOKUP(B109,Towary_i_uslugi!$A$3:$T$1500,3,FALSE)</f>
        <v>32</v>
      </c>
      <c r="F109" s="11" t="str">
        <f>VLOOKUP(B109,Towary_i_uslugi!$A$3:$T$1500,20,FALSE)</f>
        <v>pvc shrink +sticker</v>
      </c>
      <c r="G109" s="11">
        <f>VLOOKUP(B109,MBI_Dostawcy_towarów!$A$4:$C$1399,3,FALSE)</f>
        <v>0.35099999999999998</v>
      </c>
      <c r="H109" s="11">
        <v>112</v>
      </c>
      <c r="I109" s="11">
        <v>1</v>
      </c>
      <c r="J109" s="11">
        <v>420</v>
      </c>
      <c r="K109" s="11">
        <f>_xlfn.IFNA(VLOOKUP(B109,Towary_na_zamówieniach!$A$4:$C$1500,2,FALSE),0)</f>
        <v>320</v>
      </c>
      <c r="L109" s="11">
        <f>_xlfn.IFNA(VLOOKUP(B109,Towary_na_zamówieniach!$A$4:$C$1500,3,FALSE),0)</f>
        <v>387.2</v>
      </c>
      <c r="M109" s="11">
        <f>_xlfn.IFNA(VLOOKUP(B109,MBI_Dostawcy_towarów!$A$4:$C$2000,2,FALSE),"N/A")</f>
        <v>90</v>
      </c>
      <c r="N109" s="11" t="str">
        <f>IF(VLOOKUP(B109,Towary_i_uslugi!$A$3:$T$1500,17,FALSE)=0,"!NO SUPPLIER",VLOOKUP(B109,Towary_i_uslugi!$A$3:$T$1500,17))</f>
        <v>BW</v>
      </c>
      <c r="O109" s="11" t="str">
        <f>IF(VLOOKUP(B109,Towary_i_uslugi!$A$4:$U$1200,21,FALSE)&gt;0,VLOOKUP(B109,Towary_i_uslugi!$A$4:$U$1200,21,FALSE),"")</f>
        <v/>
      </c>
      <c r="P109" s="11">
        <f t="shared" si="3"/>
        <v>0</v>
      </c>
      <c r="Q109" s="11">
        <f t="shared" si="4"/>
        <v>0</v>
      </c>
      <c r="R109" s="17">
        <f t="shared" si="5"/>
        <v>0</v>
      </c>
      <c r="S109" s="17">
        <f>VLOOKUP($B109,   MBI_LastBuy!$A$3:E$13199,3,FALSE)</f>
        <v>320</v>
      </c>
      <c r="T109" s="13">
        <f>VLOOKUP($B109,   MBI_LastBuy!$A$3:E$13199,2,FALSE)</f>
        <v>1.21</v>
      </c>
      <c r="U109" s="13" t="str">
        <f>VLOOKUP($B109,   MBI_LastBuy!$A$3:E$13199,5,FALSE)</f>
        <v>USD</v>
      </c>
      <c r="V109" s="15">
        <f>VLOOKUP($B109,   MBI_LastBuy!$A$3:E$13199,4,FALSE)</f>
        <v>44071</v>
      </c>
    </row>
    <row r="110" spans="1:22" x14ac:dyDescent="0.25">
      <c r="A110" s="11" t="s">
        <v>3554</v>
      </c>
      <c r="B110" s="11">
        <v>312180</v>
      </c>
      <c r="C110" s="11" t="str">
        <f>VLOOKUP(B110,Towary_i_uslugi!$A$4:$B$1500,2)</f>
        <v>(brak)</v>
      </c>
      <c r="D110" s="11" t="s">
        <v>20</v>
      </c>
      <c r="E110" s="11">
        <f>VLOOKUP(B110,Towary_i_uslugi!$A$3:$T$1500,3,FALSE)</f>
        <v>36</v>
      </c>
      <c r="F110" s="11" t="str">
        <f>VLOOKUP(B110,Towary_i_uslugi!$A$3:$T$1500,20,FALSE)</f>
        <v>pvc shrink +sticker</v>
      </c>
      <c r="G110" s="11">
        <f>VLOOKUP(B110,MBI_Dostawcy_towarów!$A$4:$C$1399,3,FALSE)</f>
        <v>0.48899999999999999</v>
      </c>
      <c r="H110" s="11">
        <v>123</v>
      </c>
      <c r="I110" s="11">
        <v>3</v>
      </c>
      <c r="J110" s="11">
        <v>450</v>
      </c>
      <c r="K110" s="11">
        <f>_xlfn.IFNA(VLOOKUP(B110,Towary_na_zamówieniach!$A$4:$C$1500,2,FALSE),0)</f>
        <v>576</v>
      </c>
      <c r="L110" s="11">
        <f>_xlfn.IFNA(VLOOKUP(B110,Towary_na_zamówieniach!$A$4:$C$1500,3,FALSE),0)</f>
        <v>921.6</v>
      </c>
      <c r="M110" s="11">
        <f>_xlfn.IFNA(VLOOKUP(B110,MBI_Dostawcy_towarów!$A$4:$C$2000,2,FALSE),"N/A")</f>
        <v>90</v>
      </c>
      <c r="N110" s="11" t="str">
        <f>IF(VLOOKUP(B110,Towary_i_uslugi!$A$3:$T$1500,17,FALSE)=0,"!NO SUPPLIER",VLOOKUP(B110,Towary_i_uslugi!$A$3:$T$1500,17))</f>
        <v>BW</v>
      </c>
      <c r="O110" s="11" t="str">
        <f>IF(VLOOKUP(B110,Towary_i_uslugi!$A$4:$U$1200,21,FALSE)&gt;0,VLOOKUP(B110,Towary_i_uslugi!$A$4:$U$1200,21,FALSE),"")</f>
        <v/>
      </c>
      <c r="P110" s="11">
        <f t="shared" si="3"/>
        <v>0</v>
      </c>
      <c r="Q110" s="11">
        <f t="shared" si="4"/>
        <v>0</v>
      </c>
      <c r="R110" s="17">
        <f t="shared" si="5"/>
        <v>0</v>
      </c>
      <c r="S110" s="17">
        <f>VLOOKUP($B110,   MBI_LastBuy!$A$3:E$13199,3,FALSE)</f>
        <v>576</v>
      </c>
      <c r="T110" s="13">
        <f>VLOOKUP($B110,   MBI_LastBuy!$A$3:E$13199,2,FALSE)</f>
        <v>1.6</v>
      </c>
      <c r="U110" s="13" t="str">
        <f>VLOOKUP($B110,   MBI_LastBuy!$A$3:E$13199,5,FALSE)</f>
        <v>USD</v>
      </c>
      <c r="V110" s="15">
        <f>VLOOKUP($B110,   MBI_LastBuy!$A$3:E$13199,4,FALSE)</f>
        <v>44071</v>
      </c>
    </row>
    <row r="111" spans="1:22" x14ac:dyDescent="0.25">
      <c r="A111" s="11" t="s">
        <v>3554</v>
      </c>
      <c r="B111" s="11">
        <v>312220</v>
      </c>
      <c r="C111" s="11" t="str">
        <f>VLOOKUP(B111,Towary_i_uslugi!$A$4:$B$1500,2)</f>
        <v>(brak)</v>
      </c>
      <c r="D111" s="11" t="s">
        <v>21</v>
      </c>
      <c r="E111" s="11">
        <f>VLOOKUP(B111,Towary_i_uslugi!$A$3:$T$1500,3,FALSE)</f>
        <v>20</v>
      </c>
      <c r="F111" s="11" t="str">
        <f>VLOOKUP(B111,Towary_i_uslugi!$A$3:$T$1500,20,FALSE)</f>
        <v>pvc shrink</v>
      </c>
      <c r="G111" s="11">
        <f>VLOOKUP(B111,MBI_Dostawcy_towarów!$A$4:$C$1399,3,FALSE)</f>
        <v>0.72</v>
      </c>
      <c r="H111" s="11">
        <v>189</v>
      </c>
      <c r="I111" s="11">
        <v>1</v>
      </c>
      <c r="J111" s="11">
        <v>300</v>
      </c>
      <c r="K111" s="11">
        <f>_xlfn.IFNA(VLOOKUP(B111,Towary_na_zamówieniach!$A$4:$C$1500,2,FALSE),0)</f>
        <v>180</v>
      </c>
      <c r="L111" s="11">
        <f>_xlfn.IFNA(VLOOKUP(B111,Towary_na_zamówieniach!$A$4:$C$1500,3,FALSE),0)</f>
        <v>435.6</v>
      </c>
      <c r="M111" s="11">
        <f>_xlfn.IFNA(VLOOKUP(B111,MBI_Dostawcy_towarów!$A$4:$C$2000,2,FALSE),"N/A")</f>
        <v>90</v>
      </c>
      <c r="N111" s="11" t="str">
        <f>IF(VLOOKUP(B111,Towary_i_uslugi!$A$3:$T$1500,17,FALSE)=0,"!NO SUPPLIER",VLOOKUP(B111,Towary_i_uslugi!$A$3:$T$1500,17))</f>
        <v>BW</v>
      </c>
      <c r="O111" s="11" t="str">
        <f>IF(VLOOKUP(B111,Towary_i_uslugi!$A$4:$U$1200,21,FALSE)&gt;0,VLOOKUP(B111,Towary_i_uslugi!$A$4:$U$1200,21,FALSE),"")</f>
        <v/>
      </c>
      <c r="P111" s="11">
        <f t="shared" si="3"/>
        <v>0</v>
      </c>
      <c r="Q111" s="11">
        <f t="shared" si="4"/>
        <v>0</v>
      </c>
      <c r="R111" s="17">
        <f t="shared" si="5"/>
        <v>0</v>
      </c>
      <c r="S111" s="17">
        <f>VLOOKUP($B111,   MBI_LastBuy!$A$3:E$13199,3,FALSE)</f>
        <v>180</v>
      </c>
      <c r="T111" s="13">
        <f>VLOOKUP($B111,   MBI_LastBuy!$A$3:E$13199,2,FALSE)</f>
        <v>2.42</v>
      </c>
      <c r="U111" s="13" t="str">
        <f>VLOOKUP($B111,   MBI_LastBuy!$A$3:E$13199,5,FALSE)</f>
        <v>USD</v>
      </c>
      <c r="V111" s="15">
        <f>VLOOKUP($B111,   MBI_LastBuy!$A$3:E$13199,4,FALSE)</f>
        <v>44071</v>
      </c>
    </row>
    <row r="112" spans="1:22" x14ac:dyDescent="0.25">
      <c r="A112" s="11" t="s">
        <v>3554</v>
      </c>
      <c r="B112" s="11">
        <v>312230</v>
      </c>
      <c r="C112" s="11" t="str">
        <f>VLOOKUP(B112,Towary_i_uslugi!$A$4:$B$1500,2)</f>
        <v>(brak)</v>
      </c>
      <c r="D112" s="11" t="s">
        <v>2613</v>
      </c>
      <c r="E112" s="11">
        <f>VLOOKUP(B112,Towary_i_uslugi!$A$3:$T$1500,3,FALSE)</f>
        <v>10</v>
      </c>
      <c r="F112" s="11" t="str">
        <f>VLOOKUP(B112,Towary_i_uslugi!$A$3:$T$1500,20,FALSE)</f>
        <v>plastic header</v>
      </c>
      <c r="G112" s="11">
        <f>VLOOKUP(B112,MBI_Dostawcy_towarów!$A$4:$C$1399,3,FALSE)</f>
        <v>1.1080000000000001</v>
      </c>
      <c r="H112" s="11">
        <v>66</v>
      </c>
      <c r="I112" s="11">
        <v>1</v>
      </c>
      <c r="J112" s="11">
        <v>260</v>
      </c>
      <c r="K112" s="11">
        <f>_xlfn.IFNA(VLOOKUP(B112,Towary_na_zamówieniach!$A$4:$C$1500,2,FALSE),0)</f>
        <v>200</v>
      </c>
      <c r="L112" s="11">
        <f>_xlfn.IFNA(VLOOKUP(B112,Towary_na_zamówieniach!$A$4:$C$1500,3,FALSE),0)</f>
        <v>911.4</v>
      </c>
      <c r="M112" s="11">
        <f>_xlfn.IFNA(VLOOKUP(B112,MBI_Dostawcy_towarów!$A$4:$C$2000,2,FALSE),"N/A")</f>
        <v>90</v>
      </c>
      <c r="N112" s="11" t="str">
        <f>IF(VLOOKUP(B112,Towary_i_uslugi!$A$3:$T$1500,17,FALSE)=0,"!NO SUPPLIER",VLOOKUP(B112,Towary_i_uslugi!$A$3:$T$1500,17))</f>
        <v>BW</v>
      </c>
      <c r="O112" s="11" t="str">
        <f>IF(VLOOKUP(B112,Towary_i_uslugi!$A$4:$U$1200,21,FALSE)&gt;0,VLOOKUP(B112,Towary_i_uslugi!$A$4:$U$1200,21,FALSE),"")</f>
        <v/>
      </c>
      <c r="P112" s="11">
        <f t="shared" si="3"/>
        <v>0</v>
      </c>
      <c r="Q112" s="11">
        <f t="shared" si="4"/>
        <v>0</v>
      </c>
      <c r="R112" s="17">
        <f t="shared" si="5"/>
        <v>0</v>
      </c>
      <c r="S112" s="17">
        <f>VLOOKUP($B112,   MBI_LastBuy!$A$3:E$13199,3,FALSE)</f>
        <v>200</v>
      </c>
      <c r="T112" s="13">
        <f>VLOOKUP($B112,   MBI_LastBuy!$A$3:E$13199,2,FALSE)</f>
        <v>4.5570000000000004</v>
      </c>
      <c r="U112" s="13" t="str">
        <f>VLOOKUP($B112,   MBI_LastBuy!$A$3:E$13199,5,FALSE)</f>
        <v>USD</v>
      </c>
      <c r="V112" s="15">
        <f>VLOOKUP($B112,   MBI_LastBuy!$A$3:E$13199,4,FALSE)</f>
        <v>44071</v>
      </c>
    </row>
    <row r="113" spans="1:22" x14ac:dyDescent="0.25">
      <c r="A113" s="11" t="s">
        <v>3554</v>
      </c>
      <c r="B113" s="11">
        <v>312261</v>
      </c>
      <c r="C113" s="11" t="str">
        <f>VLOOKUP(B113,Towary_i_uslugi!$A$4:$B$1500,2)</f>
        <v>(brak)</v>
      </c>
      <c r="D113" s="11" t="s">
        <v>3618</v>
      </c>
      <c r="E113" s="11">
        <f>VLOOKUP(B113,Towary_i_uslugi!$A$3:$T$1500,3,FALSE)</f>
        <v>50</v>
      </c>
      <c r="F113" s="11" t="str">
        <f>VLOOKUP(B113,Towary_i_uslugi!$A$3:$T$1500,20,FALSE)</f>
        <v>polybag + sticker</v>
      </c>
      <c r="G113" s="11">
        <f>VLOOKUP(B113,MBI_Dostawcy_towarów!$A$4:$C$1399,3,FALSE)</f>
        <v>0.215</v>
      </c>
      <c r="H113" s="11">
        <v>218</v>
      </c>
      <c r="I113" s="11">
        <v>20</v>
      </c>
      <c r="J113" s="11">
        <v>200</v>
      </c>
      <c r="K113" s="11">
        <f>_xlfn.IFNA(VLOOKUP(B113,Towary_na_zamówieniach!$A$4:$C$1500,2,FALSE),0)</f>
        <v>0</v>
      </c>
      <c r="L113" s="11">
        <f>_xlfn.IFNA(VLOOKUP(B113,Towary_na_zamówieniach!$A$4:$C$1500,3,FALSE),0)</f>
        <v>0</v>
      </c>
      <c r="M113" s="11">
        <f>_xlfn.IFNA(VLOOKUP(B113,MBI_Dostawcy_towarów!$A$4:$C$2000,2,FALSE),"N/A")</f>
        <v>0</v>
      </c>
      <c r="N113" s="11" t="str">
        <f>IF(VLOOKUP(B113,Towary_i_uslugi!$A$3:$T$1500,17,FALSE)=0,"!NO SUPPLIER",VLOOKUP(B113,Towary_i_uslugi!$A$3:$T$1500,17))</f>
        <v>BW</v>
      </c>
      <c r="O113" s="11" t="str">
        <f>IF(VLOOKUP(B113,Towary_i_uslugi!$A$4:$U$1200,21,FALSE)&gt;0,VLOOKUP(B113,Towary_i_uslugi!$A$4:$U$1200,21,FALSE),"")</f>
        <v/>
      </c>
      <c r="P113" s="11">
        <f t="shared" si="3"/>
        <v>4</v>
      </c>
      <c r="Q113" s="11">
        <f t="shared" si="4"/>
        <v>200</v>
      </c>
      <c r="R113" s="17">
        <f t="shared" si="5"/>
        <v>156</v>
      </c>
      <c r="S113" s="17">
        <f>VLOOKUP($B113,   MBI_LastBuy!$A$3:E$13199,3,FALSE)</f>
        <v>400</v>
      </c>
      <c r="T113" s="13">
        <f>VLOOKUP($B113,   MBI_LastBuy!$A$3:E$13199,2,FALSE)</f>
        <v>0.78</v>
      </c>
      <c r="U113" s="13" t="str">
        <f>VLOOKUP($B113,   MBI_LastBuy!$A$3:E$13199,5,FALSE)</f>
        <v>USD</v>
      </c>
      <c r="V113" s="15">
        <f>VLOOKUP($B113,   MBI_LastBuy!$A$3:E$13199,4,FALSE)</f>
        <v>44005</v>
      </c>
    </row>
    <row r="114" spans="1:22" x14ac:dyDescent="0.25">
      <c r="A114" s="11" t="s">
        <v>3554</v>
      </c>
      <c r="B114" s="11">
        <v>314020</v>
      </c>
      <c r="C114" s="11" t="str">
        <f>VLOOKUP(B114,Towary_i_uslugi!$A$4:$B$1500,2)</f>
        <v>(brak)</v>
      </c>
      <c r="D114" s="11" t="s">
        <v>2614</v>
      </c>
      <c r="E114" s="11">
        <f>VLOOKUP(B114,Towary_i_uslugi!$A$3:$T$1500,3,FALSE)</f>
        <v>120</v>
      </c>
      <c r="F114" s="11" t="str">
        <f>VLOOKUP(B114,Towary_i_uslugi!$A$3:$T$1500,20,FALSE)</f>
        <v>plastic hanger</v>
      </c>
      <c r="G114" s="11">
        <f>VLOOKUP(B114,MBI_Dostawcy_towarów!$A$4:$C$1399,3,FALSE)</f>
        <v>4.7E-2</v>
      </c>
      <c r="H114" s="11">
        <v>4</v>
      </c>
      <c r="I114" s="11">
        <v>0</v>
      </c>
      <c r="J114" s="11">
        <v>560</v>
      </c>
      <c r="K114" s="11">
        <f>_xlfn.IFNA(VLOOKUP(B114,Towary_na_zamówieniach!$A$4:$C$1500,2,FALSE),0)</f>
        <v>600</v>
      </c>
      <c r="L114" s="11">
        <f>_xlfn.IFNA(VLOOKUP(B114,Towary_na_zamówieniach!$A$4:$C$1500,3,FALSE),0)</f>
        <v>169.8</v>
      </c>
      <c r="M114" s="11">
        <f>_xlfn.IFNA(VLOOKUP(B114,MBI_Dostawcy_towarów!$A$4:$C$2000,2,FALSE),"N/A")</f>
        <v>90</v>
      </c>
      <c r="N114" s="11" t="str">
        <f>IF(VLOOKUP(B114,Towary_i_uslugi!$A$3:$T$1500,17,FALSE)=0,"!NO SUPPLIER",VLOOKUP(B114,Towary_i_uslugi!$A$3:$T$1500,17))</f>
        <v>BW</v>
      </c>
      <c r="O114" s="11" t="str">
        <f>IF(VLOOKUP(B114,Towary_i_uslugi!$A$4:$U$1200,21,FALSE)&gt;0,VLOOKUP(B114,Towary_i_uslugi!$A$4:$U$1200,21,FALSE),"")</f>
        <v/>
      </c>
      <c r="P114" s="11">
        <f t="shared" si="3"/>
        <v>0</v>
      </c>
      <c r="Q114" s="11">
        <f t="shared" si="4"/>
        <v>0</v>
      </c>
      <c r="R114" s="17">
        <f t="shared" si="5"/>
        <v>0</v>
      </c>
      <c r="S114" s="17">
        <f>VLOOKUP($B114,   MBI_LastBuy!$A$3:E$13199,3,FALSE)</f>
        <v>18</v>
      </c>
      <c r="T114" s="13">
        <f>VLOOKUP($B114,   MBI_LastBuy!$A$3:E$13199,2,FALSE)</f>
        <v>1.66</v>
      </c>
      <c r="U114" s="13" t="str">
        <f>VLOOKUP($B114,   MBI_LastBuy!$A$3:E$13199,5,FALSE)</f>
        <v>PLN</v>
      </c>
      <c r="V114" s="15">
        <f>VLOOKUP($B114,   MBI_LastBuy!$A$3:E$13199,4,FALSE)</f>
        <v>44102</v>
      </c>
    </row>
    <row r="115" spans="1:22" x14ac:dyDescent="0.25">
      <c r="A115" s="11" t="s">
        <v>3554</v>
      </c>
      <c r="B115" s="11">
        <v>314023</v>
      </c>
      <c r="C115" s="11" t="str">
        <f>VLOOKUP(B115,Towary_i_uslugi!$A$4:$B$1500,2)</f>
        <v>(brak)</v>
      </c>
      <c r="D115" s="11" t="s">
        <v>2781</v>
      </c>
      <c r="E115" s="11">
        <f>VLOOKUP(B115,Towary_i_uslugi!$A$3:$T$1500,3,FALSE)</f>
        <v>120</v>
      </c>
      <c r="F115" s="11" t="str">
        <f>VLOOKUP(B115,Towary_i_uslugi!$A$3:$T$1500,20,FALSE)</f>
        <v>plastic hanger</v>
      </c>
      <c r="G115" s="11">
        <f>VLOOKUP(B115,MBI_Dostawcy_towarów!$A$4:$C$1399,3,FALSE)</f>
        <v>0.08</v>
      </c>
      <c r="H115" s="11">
        <v>222</v>
      </c>
      <c r="I115" s="11">
        <v>0</v>
      </c>
      <c r="J115" s="11">
        <v>530</v>
      </c>
      <c r="K115" s="11">
        <f>_xlfn.IFNA(VLOOKUP(B115,Towary_na_zamówieniach!$A$4:$C$1500,2,FALSE),0)</f>
        <v>600</v>
      </c>
      <c r="L115" s="11">
        <f>_xlfn.IFNA(VLOOKUP(B115,Towary_na_zamówieniach!$A$4:$C$1500,3,FALSE),0)</f>
        <v>202.8</v>
      </c>
      <c r="M115" s="11">
        <f>_xlfn.IFNA(VLOOKUP(B115,MBI_Dostawcy_towarów!$A$4:$C$2000,2,FALSE),"N/A")</f>
        <v>90</v>
      </c>
      <c r="N115" s="11" t="str">
        <f>IF(VLOOKUP(B115,Towary_i_uslugi!$A$3:$T$1500,17,FALSE)=0,"!NO SUPPLIER",VLOOKUP(B115,Towary_i_uslugi!$A$3:$T$1500,17))</f>
        <v>BW</v>
      </c>
      <c r="O115" s="11" t="str">
        <f>IF(VLOOKUP(B115,Towary_i_uslugi!$A$4:$U$1200,21,FALSE)&gt;0,VLOOKUP(B115,Towary_i_uslugi!$A$4:$U$1200,21,FALSE),"")</f>
        <v/>
      </c>
      <c r="P115" s="11">
        <f t="shared" si="3"/>
        <v>0</v>
      </c>
      <c r="Q115" s="11">
        <f t="shared" si="4"/>
        <v>0</v>
      </c>
      <c r="R115" s="17">
        <f t="shared" si="5"/>
        <v>0</v>
      </c>
      <c r="S115" s="17">
        <f>VLOOKUP($B115,   MBI_LastBuy!$A$3:E$13199,3,FALSE)</f>
        <v>18</v>
      </c>
      <c r="T115" s="13">
        <f>VLOOKUP($B115,   MBI_LastBuy!$A$3:E$13199,2,FALSE)</f>
        <v>2</v>
      </c>
      <c r="U115" s="13" t="str">
        <f>VLOOKUP($B115,   MBI_LastBuy!$A$3:E$13199,5,FALSE)</f>
        <v>PLN</v>
      </c>
      <c r="V115" s="15">
        <f>VLOOKUP($B115,   MBI_LastBuy!$A$3:E$13199,4,FALSE)</f>
        <v>44102</v>
      </c>
    </row>
    <row r="116" spans="1:22" x14ac:dyDescent="0.25">
      <c r="A116" s="11" t="s">
        <v>3554</v>
      </c>
      <c r="B116" s="11">
        <v>314060</v>
      </c>
      <c r="C116" s="11" t="str">
        <f>VLOOKUP(B116,Towary_i_uslugi!$A$4:$B$1500,2)</f>
        <v>(brak)</v>
      </c>
      <c r="D116" s="11" t="s">
        <v>2782</v>
      </c>
      <c r="E116" s="11">
        <f>VLOOKUP(B116,Towary_i_uslugi!$A$3:$T$1500,3,FALSE)</f>
        <v>30</v>
      </c>
      <c r="F116" s="11" t="str">
        <f>VLOOKUP(B116,Towary_i_uslugi!$A$3:$T$1500,20,FALSE)</f>
        <v>re-inforced wallet</v>
      </c>
      <c r="G116" s="11">
        <f>VLOOKUP(B116,MBI_Dostawcy_towarów!$A$4:$C$1399,3,FALSE)</f>
        <v>0.98199999999999998</v>
      </c>
      <c r="H116" s="11">
        <v>82</v>
      </c>
      <c r="I116" s="11">
        <v>1</v>
      </c>
      <c r="J116" s="11">
        <v>100</v>
      </c>
      <c r="K116" s="11">
        <f>_xlfn.IFNA(VLOOKUP(B116,Towary_na_zamówieniach!$A$4:$C$1500,2,FALSE),0)</f>
        <v>0</v>
      </c>
      <c r="L116" s="11">
        <f>_xlfn.IFNA(VLOOKUP(B116,Towary_na_zamówieniach!$A$4:$C$1500,3,FALSE),0)</f>
        <v>0</v>
      </c>
      <c r="M116" s="11">
        <f>_xlfn.IFNA(VLOOKUP(B116,MBI_Dostawcy_towarów!$A$4:$C$2000,2,FALSE),"N/A")</f>
        <v>90</v>
      </c>
      <c r="N116" s="11" t="str">
        <f>IF(VLOOKUP(B116,Towary_i_uslugi!$A$3:$T$1500,17,FALSE)=0,"!NO SUPPLIER",VLOOKUP(B116,Towary_i_uslugi!$A$3:$T$1500,17))</f>
        <v>BW</v>
      </c>
      <c r="O116" s="11" t="str">
        <f>IF(VLOOKUP(B116,Towary_i_uslugi!$A$4:$U$1200,21,FALSE)&gt;0,VLOOKUP(B116,Towary_i_uslugi!$A$4:$U$1200,21,FALSE),"")</f>
        <v/>
      </c>
      <c r="P116" s="11">
        <f t="shared" si="3"/>
        <v>4</v>
      </c>
      <c r="Q116" s="11">
        <f t="shared" si="4"/>
        <v>120</v>
      </c>
      <c r="R116" s="17">
        <f t="shared" si="5"/>
        <v>433.2</v>
      </c>
      <c r="S116" s="17">
        <f>VLOOKUP($B116,   MBI_LastBuy!$A$3:E$13199,3,FALSE)</f>
        <v>240</v>
      </c>
      <c r="T116" s="13">
        <f>VLOOKUP($B116,   MBI_LastBuy!$A$3:E$13199,2,FALSE)</f>
        <v>3.61</v>
      </c>
      <c r="U116" s="13" t="str">
        <f>VLOOKUP($B116,   MBI_LastBuy!$A$3:E$13199,5,FALSE)</f>
        <v>USD</v>
      </c>
      <c r="V116" s="15">
        <f>VLOOKUP($B116,   MBI_LastBuy!$A$3:E$13199,4,FALSE)</f>
        <v>43717</v>
      </c>
    </row>
    <row r="117" spans="1:22" x14ac:dyDescent="0.25">
      <c r="A117" s="11" t="s">
        <v>3552</v>
      </c>
      <c r="B117" s="11">
        <v>320080</v>
      </c>
      <c r="C117" s="11" t="str">
        <f>VLOOKUP(B117,Towary_i_uslugi!$A$4:$B$1500,2)</f>
        <v>(brak)</v>
      </c>
      <c r="D117" s="11" t="s">
        <v>2422</v>
      </c>
      <c r="E117" s="11">
        <f>VLOOKUP(B117,Towary_i_uslugi!$A$3:$T$1500,3,FALSE)</f>
        <v>120</v>
      </c>
      <c r="F117" s="11" t="str">
        <f>VLOOKUP(B117,Towary_i_uslugi!$A$3:$T$1500,20,FALSE)</f>
        <v>skin card</v>
      </c>
      <c r="G117" s="11">
        <f>VLOOKUP(B117,MBI_Dostawcy_towarów!$A$4:$C$1399,3,FALSE)</f>
        <v>0.157</v>
      </c>
      <c r="H117" s="11">
        <v>1191</v>
      </c>
      <c r="I117" s="11">
        <v>120</v>
      </c>
      <c r="J117" s="11">
        <v>1900</v>
      </c>
      <c r="K117" s="11">
        <f>_xlfn.IFNA(VLOOKUP(B117,Towary_na_zamówieniach!$A$4:$C$1500,2,FALSE),0)</f>
        <v>1920</v>
      </c>
      <c r="L117" s="11">
        <f>_xlfn.IFNA(VLOOKUP(B117,Towary_na_zamówieniach!$A$4:$C$1500,3,FALSE),0)</f>
        <v>576</v>
      </c>
      <c r="M117" s="11">
        <f>_xlfn.IFNA(VLOOKUP(B117,MBI_Dostawcy_towarów!$A$4:$C$2000,2,FALSE),"N/A")</f>
        <v>90</v>
      </c>
      <c r="N117" s="11" t="str">
        <f>IF(VLOOKUP(B117,Towary_i_uslugi!$A$3:$T$1500,17,FALSE)=0,"!NO SUPPLIER",VLOOKUP(B117,Towary_i_uslugi!$A$3:$T$1500,17))</f>
        <v>XM</v>
      </c>
      <c r="O117" s="11" t="str">
        <f>IF(VLOOKUP(B117,Towary_i_uslugi!$A$4:$U$1200,21,FALSE)&gt;0,VLOOKUP(B117,Towary_i_uslugi!$A$4:$U$1200,21,FALSE),"")</f>
        <v/>
      </c>
      <c r="P117" s="11">
        <f t="shared" si="3"/>
        <v>0</v>
      </c>
      <c r="Q117" s="11">
        <f t="shared" si="4"/>
        <v>0</v>
      </c>
      <c r="R117" s="17">
        <f t="shared" si="5"/>
        <v>0</v>
      </c>
      <c r="S117" s="17">
        <f>VLOOKUP($B117,   MBI_LastBuy!$A$3:E$13199,3,FALSE)</f>
        <v>1920</v>
      </c>
      <c r="T117" s="13">
        <f>VLOOKUP($B117,   MBI_LastBuy!$A$3:E$13199,2,FALSE)</f>
        <v>0.3</v>
      </c>
      <c r="U117" s="13" t="str">
        <f>VLOOKUP($B117,   MBI_LastBuy!$A$3:E$13199,5,FALSE)</f>
        <v>USD</v>
      </c>
      <c r="V117" s="15">
        <f>VLOOKUP($B117,   MBI_LastBuy!$A$3:E$13199,4,FALSE)</f>
        <v>44097</v>
      </c>
    </row>
    <row r="118" spans="1:22" x14ac:dyDescent="0.25">
      <c r="A118" s="11" t="s">
        <v>3552</v>
      </c>
      <c r="B118" s="11">
        <v>321091</v>
      </c>
      <c r="C118" s="11" t="str">
        <f>VLOOKUP(B118,Towary_i_uslugi!$A$4:$B$1500,2)</f>
        <v>(brak)</v>
      </c>
      <c r="D118" s="11" t="s">
        <v>3619</v>
      </c>
      <c r="E118" s="11">
        <f>VLOOKUP(B118,Towary_i_uslugi!$A$3:$T$1500,3,FALSE)</f>
        <v>60</v>
      </c>
      <c r="F118" s="11" t="str">
        <f>VLOOKUP(B118,Towary_i_uslugi!$A$3:$T$1500,20,FALSE)</f>
        <v>slide blister card</v>
      </c>
      <c r="G118" s="11">
        <f>VLOOKUP(B118,MBI_Dostawcy_towarów!$A$4:$C$1399,3,FALSE)</f>
        <v>0.32800000000000001</v>
      </c>
      <c r="H118" s="11">
        <v>505</v>
      </c>
      <c r="I118" s="11">
        <v>210</v>
      </c>
      <c r="J118" s="11">
        <v>400</v>
      </c>
      <c r="K118" s="11">
        <f>_xlfn.IFNA(VLOOKUP(B118,Towary_na_zamówieniach!$A$4:$C$1500,2,FALSE),0)</f>
        <v>840</v>
      </c>
      <c r="L118" s="11">
        <f>_xlfn.IFNA(VLOOKUP(B118,Towary_na_zamówieniach!$A$4:$C$1500,3,FALSE),0)</f>
        <v>672</v>
      </c>
      <c r="M118" s="11">
        <f>_xlfn.IFNA(VLOOKUP(B118,MBI_Dostawcy_towarów!$A$4:$C$2000,2,FALSE),"N/A")</f>
        <v>90</v>
      </c>
      <c r="N118" s="11" t="str">
        <f>IF(VLOOKUP(B118,Towary_i_uslugi!$A$3:$T$1500,17,FALSE)=0,"!NO SUPPLIER",VLOOKUP(B118,Towary_i_uslugi!$A$3:$T$1500,17))</f>
        <v>XM</v>
      </c>
      <c r="O118" s="11" t="str">
        <f>IF(VLOOKUP(B118,Towary_i_uslugi!$A$4:$U$1200,21,FALSE)&gt;0,VLOOKUP(B118,Towary_i_uslugi!$A$4:$U$1200,21,FALSE),"")</f>
        <v/>
      </c>
      <c r="P118" s="11">
        <f t="shared" si="3"/>
        <v>0</v>
      </c>
      <c r="Q118" s="11">
        <f t="shared" si="4"/>
        <v>0</v>
      </c>
      <c r="R118" s="17">
        <f t="shared" si="5"/>
        <v>0</v>
      </c>
      <c r="S118" s="17">
        <f>VLOOKUP($B118,   MBI_LastBuy!$A$3:E$13199,3,FALSE)</f>
        <v>840</v>
      </c>
      <c r="T118" s="13">
        <f>VLOOKUP($B118,   MBI_LastBuy!$A$3:E$13199,2,FALSE)</f>
        <v>0.8</v>
      </c>
      <c r="U118" s="13" t="str">
        <f>VLOOKUP($B118,   MBI_LastBuy!$A$3:E$13199,5,FALSE)</f>
        <v>USD</v>
      </c>
      <c r="V118" s="15">
        <f>VLOOKUP($B118,   MBI_LastBuy!$A$3:E$13199,4,FALSE)</f>
        <v>44140</v>
      </c>
    </row>
    <row r="119" spans="1:22" x14ac:dyDescent="0.25">
      <c r="A119" s="11" t="s">
        <v>3552</v>
      </c>
      <c r="B119" s="11">
        <v>321092</v>
      </c>
      <c r="C119" s="11" t="str">
        <f>VLOOKUP(B119,Towary_i_uslugi!$A$4:$B$1500,2)</f>
        <v>(brak)</v>
      </c>
      <c r="D119" s="11" t="s">
        <v>2783</v>
      </c>
      <c r="E119" s="11">
        <f>VLOOKUP(B119,Towary_i_uslugi!$A$3:$T$1500,3,FALSE)</f>
        <v>72</v>
      </c>
      <c r="F119" s="11" t="str">
        <f>VLOOKUP(B119,Towary_i_uslugi!$A$3:$T$1500,20,FALSE)</f>
        <v>slide blister card</v>
      </c>
      <c r="G119" s="11">
        <f>VLOOKUP(B119,MBI_Dostawcy_towarów!$A$4:$C$1399,3,FALSE)</f>
        <v>0.249</v>
      </c>
      <c r="H119" s="11">
        <v>375</v>
      </c>
      <c r="I119" s="11">
        <v>0</v>
      </c>
      <c r="J119" s="11">
        <v>800</v>
      </c>
      <c r="K119" s="11">
        <f>_xlfn.IFNA(VLOOKUP(B119,Towary_na_zamówieniach!$A$4:$C$1500,2,FALSE),0)</f>
        <v>1440</v>
      </c>
      <c r="L119" s="11">
        <f>_xlfn.IFNA(VLOOKUP(B119,Towary_na_zamówieniach!$A$4:$C$1500,3,FALSE),0)</f>
        <v>979.2</v>
      </c>
      <c r="M119" s="11">
        <f>_xlfn.IFNA(VLOOKUP(B119,MBI_Dostawcy_towarów!$A$4:$C$2000,2,FALSE),"N/A")</f>
        <v>90</v>
      </c>
      <c r="N119" s="11" t="str">
        <f>IF(VLOOKUP(B119,Towary_i_uslugi!$A$3:$T$1500,17,FALSE)=0,"!NO SUPPLIER",VLOOKUP(B119,Towary_i_uslugi!$A$3:$T$1500,17))</f>
        <v>XM</v>
      </c>
      <c r="O119" s="11" t="str">
        <f>IF(VLOOKUP(B119,Towary_i_uslugi!$A$4:$U$1200,21,FALSE)&gt;0,VLOOKUP(B119,Towary_i_uslugi!$A$4:$U$1200,21,FALSE),"")</f>
        <v/>
      </c>
      <c r="P119" s="11">
        <f t="shared" si="3"/>
        <v>0</v>
      </c>
      <c r="Q119" s="11">
        <f t="shared" si="4"/>
        <v>0</v>
      </c>
      <c r="R119" s="17">
        <f t="shared" si="5"/>
        <v>0</v>
      </c>
      <c r="S119" s="17">
        <f>VLOOKUP($B119,   MBI_LastBuy!$A$3:E$13199,3,FALSE)</f>
        <v>1440</v>
      </c>
      <c r="T119" s="13">
        <f>VLOOKUP($B119,   MBI_LastBuy!$A$3:E$13199,2,FALSE)</f>
        <v>0.68</v>
      </c>
      <c r="U119" s="13" t="str">
        <f>VLOOKUP($B119,   MBI_LastBuy!$A$3:E$13199,5,FALSE)</f>
        <v>USD</v>
      </c>
      <c r="V119" s="15">
        <f>VLOOKUP($B119,   MBI_LastBuy!$A$3:E$13199,4,FALSE)</f>
        <v>44083</v>
      </c>
    </row>
    <row r="120" spans="1:22" x14ac:dyDescent="0.25">
      <c r="A120" s="11" t="s">
        <v>3552</v>
      </c>
      <c r="B120" s="11">
        <v>321192</v>
      </c>
      <c r="C120" s="11" t="str">
        <f>VLOOKUP(B120,Towary_i_uslugi!$A$4:$B$1500,2)</f>
        <v>(brak)</v>
      </c>
      <c r="D120" s="11" t="s">
        <v>2784</v>
      </c>
      <c r="E120" s="11">
        <f>VLOOKUP(B120,Towary_i_uslugi!$A$3:$T$1500,3,FALSE)</f>
        <v>72</v>
      </c>
      <c r="F120" s="11" t="str">
        <f>VLOOKUP(B120,Towary_i_uslugi!$A$3:$T$1500,20,FALSE)</f>
        <v>plastic foldable hanger</v>
      </c>
      <c r="G120" s="11">
        <f>VLOOKUP(B120,MBI_Dostawcy_towarów!$A$4:$C$1399,3,FALSE)</f>
        <v>0.24</v>
      </c>
      <c r="H120" s="11">
        <v>313</v>
      </c>
      <c r="I120" s="11">
        <v>1</v>
      </c>
      <c r="J120" s="11">
        <v>800</v>
      </c>
      <c r="K120" s="11">
        <f>_xlfn.IFNA(VLOOKUP(B120,Towary_na_zamówieniach!$A$4:$C$1500,2,FALSE),0)</f>
        <v>1440</v>
      </c>
      <c r="L120" s="11">
        <f>_xlfn.IFNA(VLOOKUP(B120,Towary_na_zamówieniach!$A$4:$C$1500,3,FALSE),0)</f>
        <v>907.2</v>
      </c>
      <c r="M120" s="11">
        <f>_xlfn.IFNA(VLOOKUP(B120,MBI_Dostawcy_towarów!$A$4:$C$2000,2,FALSE),"N/A")</f>
        <v>90</v>
      </c>
      <c r="N120" s="11" t="str">
        <f>IF(VLOOKUP(B120,Towary_i_uslugi!$A$3:$T$1500,17,FALSE)=0,"!NO SUPPLIER",VLOOKUP(B120,Towary_i_uslugi!$A$3:$T$1500,17))</f>
        <v>XM</v>
      </c>
      <c r="O120" s="11" t="str">
        <f>IF(VLOOKUP(B120,Towary_i_uslugi!$A$4:$U$1200,21,FALSE)&gt;0,VLOOKUP(B120,Towary_i_uslugi!$A$4:$U$1200,21,FALSE),"")</f>
        <v/>
      </c>
      <c r="P120" s="11">
        <f t="shared" si="3"/>
        <v>0</v>
      </c>
      <c r="Q120" s="11">
        <f t="shared" si="4"/>
        <v>0</v>
      </c>
      <c r="R120" s="17">
        <f t="shared" si="5"/>
        <v>0</v>
      </c>
      <c r="S120" s="17">
        <f>VLOOKUP($B120,   MBI_LastBuy!$A$3:E$13199,3,FALSE)</f>
        <v>1440</v>
      </c>
      <c r="T120" s="13">
        <f>VLOOKUP($B120,   MBI_LastBuy!$A$3:E$13199,2,FALSE)</f>
        <v>0.63</v>
      </c>
      <c r="U120" s="13" t="str">
        <f>VLOOKUP($B120,   MBI_LastBuy!$A$3:E$13199,5,FALSE)</f>
        <v>USD</v>
      </c>
      <c r="V120" s="15">
        <f>VLOOKUP($B120,   MBI_LastBuy!$A$3:E$13199,4,FALSE)</f>
        <v>44068</v>
      </c>
    </row>
    <row r="121" spans="1:22" x14ac:dyDescent="0.25">
      <c r="A121" s="11" t="s">
        <v>3553</v>
      </c>
      <c r="B121" s="11">
        <v>322219</v>
      </c>
      <c r="C121" s="11" t="str">
        <f>VLOOKUP(B121,Towary_i_uslugi!$A$4:$B$1500,2)</f>
        <v>(brak)</v>
      </c>
      <c r="D121" s="11" t="s">
        <v>1586</v>
      </c>
      <c r="E121" s="11">
        <f>VLOOKUP(B121,Towary_i_uslugi!$A$3:$T$1500,3,FALSE)</f>
        <v>20</v>
      </c>
      <c r="F121" s="11" t="str">
        <f>VLOOKUP(B121,Towary_i_uslugi!$A$3:$T$1500,20,FALSE)</f>
        <v>protection foil+ sticker</v>
      </c>
      <c r="G121" s="11">
        <f>VLOOKUP(B121,MBI_Dostawcy_towarów!$A$4:$C$1399,3,FALSE)</f>
        <v>0.81899999999999995</v>
      </c>
      <c r="H121" s="11">
        <v>1</v>
      </c>
      <c r="I121" s="11">
        <v>0</v>
      </c>
      <c r="J121" s="11">
        <v>220</v>
      </c>
      <c r="K121" s="11">
        <f>_xlfn.IFNA(VLOOKUP(B121,Towary_na_zamówieniach!$A$4:$C$1500,2,FALSE),0)</f>
        <v>300</v>
      </c>
      <c r="L121" s="11">
        <f>_xlfn.IFNA(VLOOKUP(B121,Towary_na_zamówieniach!$A$4:$C$1500,3,FALSE),0)</f>
        <v>1014</v>
      </c>
      <c r="M121" s="11">
        <f>_xlfn.IFNA(VLOOKUP(B121,MBI_Dostawcy_towarów!$A$4:$C$2000,2,FALSE),"N/A")</f>
        <v>0</v>
      </c>
      <c r="N121" s="11" t="str">
        <f>IF(VLOOKUP(B121,Towary_i_uslugi!$A$3:$T$1500,17,FALSE)=0,"!NO SUPPLIER",VLOOKUP(B121,Towary_i_uslugi!$A$3:$T$1500,17))</f>
        <v>FX -MAPLE Frank Xu</v>
      </c>
      <c r="O121" s="11" t="str">
        <f>IF(VLOOKUP(B121,Towary_i_uslugi!$A$4:$U$1200,21,FALSE)&gt;0,VLOOKUP(B121,Towary_i_uslugi!$A$4:$U$1200,21,FALSE),"")</f>
        <v/>
      </c>
      <c r="P121" s="11">
        <f t="shared" si="3"/>
        <v>0</v>
      </c>
      <c r="Q121" s="11">
        <f t="shared" si="4"/>
        <v>0</v>
      </c>
      <c r="R121" s="17">
        <f t="shared" si="5"/>
        <v>0</v>
      </c>
      <c r="S121" s="17">
        <f>VLOOKUP($B121,   MBI_LastBuy!$A$3:E$13199,3,FALSE)</f>
        <v>300</v>
      </c>
      <c r="T121" s="13">
        <f>VLOOKUP($B121,   MBI_LastBuy!$A$3:E$13199,2,FALSE)</f>
        <v>3.38</v>
      </c>
      <c r="U121" s="13" t="str">
        <f>VLOOKUP($B121,   MBI_LastBuy!$A$3:E$13199,5,FALSE)</f>
        <v>USD</v>
      </c>
      <c r="V121" s="15">
        <f>VLOOKUP($B121,   MBI_LastBuy!$A$3:E$13199,4,FALSE)</f>
        <v>44040</v>
      </c>
    </row>
    <row r="122" spans="1:22" x14ac:dyDescent="0.25">
      <c r="A122" s="11" t="s">
        <v>3553</v>
      </c>
      <c r="B122" s="11">
        <v>330140</v>
      </c>
      <c r="C122" s="11" t="str">
        <f>VLOOKUP(B122,Towary_i_uslugi!$A$4:$B$1500,2)</f>
        <v>(brak)</v>
      </c>
      <c r="D122" s="11" t="s">
        <v>2785</v>
      </c>
      <c r="E122" s="11">
        <f>VLOOKUP(B122,Towary_i_uslugi!$A$3:$T$1500,3,FALSE)</f>
        <v>60</v>
      </c>
      <c r="F122" s="11" t="str">
        <f>VLOOKUP(B122,Towary_i_uslugi!$A$3:$T$1500,20,FALSE)</f>
        <v>plastic header</v>
      </c>
      <c r="G122" s="11">
        <f>VLOOKUP(B122,MBI_Dostawcy_towarów!$A$4:$C$1399,3,FALSE)</f>
        <v>0.161</v>
      </c>
      <c r="H122" s="11">
        <v>121</v>
      </c>
      <c r="I122" s="11">
        <v>0</v>
      </c>
      <c r="J122" s="11">
        <v>290</v>
      </c>
      <c r="K122" s="11">
        <f>_xlfn.IFNA(VLOOKUP(B122,Towary_na_zamówieniach!$A$4:$C$1500,2,FALSE),0)</f>
        <v>960</v>
      </c>
      <c r="L122" s="11">
        <f>_xlfn.IFNA(VLOOKUP(B122,Towary_na_zamówieniach!$A$4:$C$1500,3,FALSE),0)</f>
        <v>902.4</v>
      </c>
      <c r="M122" s="11">
        <f>_xlfn.IFNA(VLOOKUP(B122,MBI_Dostawcy_towarów!$A$4:$C$2000,2,FALSE),"N/A")</f>
        <v>90</v>
      </c>
      <c r="N122" s="11" t="str">
        <f>IF(VLOOKUP(B122,Towary_i_uslugi!$A$3:$T$1500,17,FALSE)=0,"!NO SUPPLIER",VLOOKUP(B122,Towary_i_uslugi!$A$3:$T$1500,17))</f>
        <v>FX -MAPLE Frank Xu</v>
      </c>
      <c r="O122" s="11" t="str">
        <f>IF(VLOOKUP(B122,Towary_i_uslugi!$A$4:$U$1200,21,FALSE)&gt;0,VLOOKUP(B122,Towary_i_uslugi!$A$4:$U$1200,21,FALSE),"")</f>
        <v/>
      </c>
      <c r="P122" s="11">
        <f t="shared" si="3"/>
        <v>0</v>
      </c>
      <c r="Q122" s="11">
        <f t="shared" si="4"/>
        <v>0</v>
      </c>
      <c r="R122" s="17">
        <f t="shared" si="5"/>
        <v>0</v>
      </c>
      <c r="S122" s="17">
        <f>VLOOKUP($B122,   MBI_LastBuy!$A$3:E$13199,3,FALSE)</f>
        <v>960</v>
      </c>
      <c r="T122" s="13">
        <f>VLOOKUP($B122,   MBI_LastBuy!$A$3:E$13199,2,FALSE)</f>
        <v>0.94</v>
      </c>
      <c r="U122" s="13" t="str">
        <f>VLOOKUP($B122,   MBI_LastBuy!$A$3:E$13199,5,FALSE)</f>
        <v>USD</v>
      </c>
      <c r="V122" s="15">
        <f>VLOOKUP($B122,   MBI_LastBuy!$A$3:E$13199,4,FALSE)</f>
        <v>44035</v>
      </c>
    </row>
    <row r="123" spans="1:22" x14ac:dyDescent="0.25">
      <c r="A123" s="11" t="s">
        <v>3553</v>
      </c>
      <c r="B123" s="11">
        <v>333251</v>
      </c>
      <c r="C123" s="11" t="str">
        <f>VLOOKUP(B123,Towary_i_uslugi!$A$4:$B$1500,2)</f>
        <v>(brak)</v>
      </c>
      <c r="D123" s="11" t="s">
        <v>2786</v>
      </c>
      <c r="E123" s="11">
        <f>VLOOKUP(B123,Towary_i_uslugi!$A$3:$T$1500,3,FALSE)</f>
        <v>30</v>
      </c>
      <c r="F123" s="11" t="str">
        <f>VLOOKUP(B123,Towary_i_uslugi!$A$3:$T$1500,20,FALSE)</f>
        <v>sticker, pvc bag</v>
      </c>
      <c r="G123" s="11">
        <f>VLOOKUP(B123,MBI_Dostawcy_towarów!$A$4:$C$1399,3,FALSE)</f>
        <v>0.36399999999999999</v>
      </c>
      <c r="H123" s="11">
        <v>2</v>
      </c>
      <c r="I123" s="11">
        <v>1</v>
      </c>
      <c r="J123" s="11">
        <v>180</v>
      </c>
      <c r="K123" s="11">
        <f>_xlfn.IFNA(VLOOKUP(B123,Towary_na_zamówieniach!$A$4:$C$1500,2,FALSE),0)</f>
        <v>360</v>
      </c>
      <c r="L123" s="11">
        <f>_xlfn.IFNA(VLOOKUP(B123,Towary_na_zamówieniach!$A$4:$C$1500,3,FALSE),0)</f>
        <v>468</v>
      </c>
      <c r="M123" s="11">
        <f>_xlfn.IFNA(VLOOKUP(B123,MBI_Dostawcy_towarów!$A$4:$C$2000,2,FALSE),"N/A")</f>
        <v>90</v>
      </c>
      <c r="N123" s="11" t="str">
        <f>IF(VLOOKUP(B123,Towary_i_uslugi!$A$3:$T$1500,17,FALSE)=0,"!NO SUPPLIER",VLOOKUP(B123,Towary_i_uslugi!$A$3:$T$1500,17))</f>
        <v>FX -MAPLE Frank Xu</v>
      </c>
      <c r="O123" s="11" t="str">
        <f>IF(VLOOKUP(B123,Towary_i_uslugi!$A$4:$U$1200,21,FALSE)&gt;0,VLOOKUP(B123,Towary_i_uslugi!$A$4:$U$1200,21,FALSE),"")</f>
        <v/>
      </c>
      <c r="P123" s="11">
        <f t="shared" si="3"/>
        <v>0</v>
      </c>
      <c r="Q123" s="11">
        <f t="shared" si="4"/>
        <v>0</v>
      </c>
      <c r="R123" s="17">
        <f t="shared" si="5"/>
        <v>0</v>
      </c>
      <c r="S123" s="17">
        <f>VLOOKUP($B123,   MBI_LastBuy!$A$3:E$13199,3,FALSE)</f>
        <v>360</v>
      </c>
      <c r="T123" s="13">
        <f>VLOOKUP($B123,   MBI_LastBuy!$A$3:E$13199,2,FALSE)</f>
        <v>1.3</v>
      </c>
      <c r="U123" s="13" t="str">
        <f>VLOOKUP($B123,   MBI_LastBuy!$A$3:E$13199,5,FALSE)</f>
        <v>USD</v>
      </c>
      <c r="V123" s="15">
        <f>VLOOKUP($B123,   MBI_LastBuy!$A$3:E$13199,4,FALSE)</f>
        <v>44035</v>
      </c>
    </row>
    <row r="124" spans="1:22" x14ac:dyDescent="0.25">
      <c r="A124" s="11" t="s">
        <v>3557</v>
      </c>
      <c r="B124" s="11">
        <v>340008</v>
      </c>
      <c r="C124" s="11" t="str">
        <f>VLOOKUP(B124,Towary_i_uslugi!$A$4:$B$1500,2)</f>
        <v>nowość!!! więcej info dla klienta</v>
      </c>
      <c r="D124" s="11" t="s">
        <v>2787</v>
      </c>
      <c r="E124" s="11">
        <f>VLOOKUP(B124,Towary_i_uslugi!$A$3:$T$1500,3,FALSE)</f>
        <v>40</v>
      </c>
      <c r="F124" s="11" t="str">
        <f>VLOOKUP(B124,Towary_i_uslugi!$A$3:$T$1500,20,FALSE)</f>
        <v>blister card</v>
      </c>
      <c r="G124" s="11">
        <f>VLOOKUP(B124,MBI_Dostawcy_towarów!$A$4:$C$1399,3,FALSE)</f>
        <v>0.54</v>
      </c>
      <c r="H124" s="11">
        <v>200</v>
      </c>
      <c r="I124" s="11">
        <v>30</v>
      </c>
      <c r="J124" s="11">
        <v>450</v>
      </c>
      <c r="K124" s="11">
        <f>_xlfn.IFNA(VLOOKUP(B124,Towary_na_zamówieniach!$A$4:$C$1500,2,FALSE),0)</f>
        <v>0</v>
      </c>
      <c r="L124" s="11">
        <f>_xlfn.IFNA(VLOOKUP(B124,Towary_na_zamówieniach!$A$4:$C$1500,3,FALSE),0)</f>
        <v>0</v>
      </c>
      <c r="M124" s="11">
        <f>_xlfn.IFNA(VLOOKUP(B124,MBI_Dostawcy_towarów!$A$4:$C$2000,2,FALSE),"N/A")</f>
        <v>90</v>
      </c>
      <c r="N124" s="11" t="str">
        <f>IF(VLOOKUP(B124,Towary_i_uslugi!$A$3:$T$1500,17,FALSE)=0,"!NO SUPPLIER",VLOOKUP(B124,Towary_i_uslugi!$A$3:$T$1500,17))</f>
        <v xml:space="preserve">SK rozrachunki </v>
      </c>
      <c r="O124" s="11" t="str">
        <f>IF(VLOOKUP(B124,Towary_i_uslugi!$A$4:$U$1200,21,FALSE)&gt;0,VLOOKUP(B124,Towary_i_uslugi!$A$4:$U$1200,21,FALSE),"")</f>
        <v>*MBI*26.10.2020* first delivery</v>
      </c>
      <c r="P124" s="11">
        <f t="shared" si="3"/>
        <v>12</v>
      </c>
      <c r="Q124" s="11">
        <f t="shared" si="4"/>
        <v>480</v>
      </c>
      <c r="R124" s="17">
        <f t="shared" si="5"/>
        <v>1276.8000000000002</v>
      </c>
      <c r="S124" s="17">
        <f>VLOOKUP($B124,   MBI_LastBuy!$A$3:E$13199,3,FALSE)</f>
        <v>200</v>
      </c>
      <c r="T124" s="13">
        <f>VLOOKUP($B124,   MBI_LastBuy!$A$3:E$13199,2,FALSE)</f>
        <v>2.66</v>
      </c>
      <c r="U124" s="13" t="str">
        <f>VLOOKUP($B124,   MBI_LastBuy!$A$3:E$13199,5,FALSE)</f>
        <v>USD</v>
      </c>
      <c r="V124" s="15">
        <f>VLOOKUP($B124,   MBI_LastBuy!$A$3:E$13199,4,FALSE)</f>
        <v>44102</v>
      </c>
    </row>
    <row r="125" spans="1:22" x14ac:dyDescent="0.25">
      <c r="A125" s="11" t="s">
        <v>3557</v>
      </c>
      <c r="B125" s="11">
        <v>340010</v>
      </c>
      <c r="C125" s="11" t="str">
        <f>VLOOKUP(B125,Towary_i_uslugi!$A$4:$B$1500,2)</f>
        <v>nowość!!! więcej info dla klienta</v>
      </c>
      <c r="D125" s="11" t="s">
        <v>2788</v>
      </c>
      <c r="E125" s="11">
        <f>VLOOKUP(B125,Towary_i_uslugi!$A$3:$T$1500,3,FALSE)</f>
        <v>20</v>
      </c>
      <c r="F125" s="11" t="str">
        <f>VLOOKUP(B125,Towary_i_uslugi!$A$3:$T$1500,20,FALSE)</f>
        <v>BMC</v>
      </c>
      <c r="G125" s="11">
        <f>VLOOKUP(B125,MBI_Dostawcy_towarów!$A$4:$C$1399,3,FALSE)</f>
        <v>1</v>
      </c>
      <c r="H125" s="11">
        <v>0</v>
      </c>
      <c r="I125" s="11">
        <v>0</v>
      </c>
      <c r="J125" s="11">
        <v>75</v>
      </c>
      <c r="K125" s="11">
        <f>_xlfn.IFNA(VLOOKUP(B125,Towary_na_zamówieniach!$A$4:$C$1500,2,FALSE),0)</f>
        <v>0</v>
      </c>
      <c r="L125" s="11">
        <f>_xlfn.IFNA(VLOOKUP(B125,Towary_na_zamówieniach!$A$4:$C$1500,3,FALSE),0)</f>
        <v>0</v>
      </c>
      <c r="M125" s="11">
        <f>_xlfn.IFNA(VLOOKUP(B125,MBI_Dostawcy_towarów!$A$4:$C$2000,2,FALSE),"N/A")</f>
        <v>90</v>
      </c>
      <c r="N125" s="11" t="str">
        <f>IF(VLOOKUP(B125,Towary_i_uslugi!$A$3:$T$1500,17,FALSE)=0,"!NO SUPPLIER",VLOOKUP(B125,Towary_i_uslugi!$A$3:$T$1500,17))</f>
        <v xml:space="preserve">SK rozrachunki </v>
      </c>
      <c r="O125" s="11" t="str">
        <f>IF(VLOOKUP(B125,Towary_i_uslugi!$A$4:$U$1200,21,FALSE)&gt;0,VLOOKUP(B125,Towary_i_uslugi!$A$4:$U$1200,21,FALSE),"")</f>
        <v/>
      </c>
      <c r="P125" s="11">
        <f t="shared" si="3"/>
        <v>4</v>
      </c>
      <c r="Q125" s="11">
        <f t="shared" si="4"/>
        <v>80</v>
      </c>
      <c r="R125" s="17" t="e">
        <f t="shared" si="5"/>
        <v>#N/A</v>
      </c>
      <c r="S125" s="17" t="e">
        <f>VLOOKUP($B125,   MBI_LastBuy!$A$3:E$13199,3,FALSE)</f>
        <v>#N/A</v>
      </c>
      <c r="T125" s="13" t="e">
        <f>VLOOKUP($B125,   MBI_LastBuy!$A$3:E$13199,2,FALSE)</f>
        <v>#N/A</v>
      </c>
      <c r="U125" s="13" t="e">
        <f>VLOOKUP($B125,   MBI_LastBuy!$A$3:E$13199,5,FALSE)</f>
        <v>#N/A</v>
      </c>
      <c r="V125" s="15" t="e">
        <f>VLOOKUP($B125,   MBI_LastBuy!$A$3:E$13199,4,FALSE)</f>
        <v>#N/A</v>
      </c>
    </row>
    <row r="126" spans="1:22" x14ac:dyDescent="0.25">
      <c r="A126" s="11" t="s">
        <v>3557</v>
      </c>
      <c r="B126" s="11">
        <v>340011</v>
      </c>
      <c r="C126" s="11" t="str">
        <f>VLOOKUP(B126,Towary_i_uslugi!$A$4:$B$1500,2)</f>
        <v>nowość!!! więcej info dla klienta</v>
      </c>
      <c r="D126" s="11" t="s">
        <v>2789</v>
      </c>
      <c r="E126" s="11">
        <f>VLOOKUP(B126,Towary_i_uslugi!$A$3:$T$1500,3,FALSE)</f>
        <v>40</v>
      </c>
      <c r="F126" s="11" t="str">
        <f>VLOOKUP(B126,Towary_i_uslugi!$A$3:$T$1500,20,FALSE)</f>
        <v>blister card</v>
      </c>
      <c r="G126" s="11">
        <f>VLOOKUP(B126,MBI_Dostawcy_towarów!$A$4:$C$1399,3,FALSE)</f>
        <v>0.375</v>
      </c>
      <c r="H126" s="11">
        <v>0</v>
      </c>
      <c r="I126" s="11">
        <v>0</v>
      </c>
      <c r="J126" s="11">
        <v>150</v>
      </c>
      <c r="K126" s="11">
        <f>_xlfn.IFNA(VLOOKUP(B126,Towary_na_zamówieniach!$A$4:$C$1500,2,FALSE),0)</f>
        <v>0</v>
      </c>
      <c r="L126" s="11">
        <f>_xlfn.IFNA(VLOOKUP(B126,Towary_na_zamówieniach!$A$4:$C$1500,3,FALSE),0)</f>
        <v>0</v>
      </c>
      <c r="M126" s="11">
        <f>_xlfn.IFNA(VLOOKUP(B126,MBI_Dostawcy_towarów!$A$4:$C$2000,2,FALSE),"N/A")</f>
        <v>90</v>
      </c>
      <c r="N126" s="11" t="str">
        <f>IF(VLOOKUP(B126,Towary_i_uslugi!$A$3:$T$1500,17,FALSE)=0,"!NO SUPPLIER",VLOOKUP(B126,Towary_i_uslugi!$A$3:$T$1500,17))</f>
        <v xml:space="preserve">SK rozrachunki </v>
      </c>
      <c r="O126" s="11" t="str">
        <f>IF(VLOOKUP(B126,Towary_i_uslugi!$A$4:$U$1200,21,FALSE)&gt;0,VLOOKUP(B126,Towary_i_uslugi!$A$4:$U$1200,21,FALSE),"")</f>
        <v/>
      </c>
      <c r="P126" s="11">
        <f t="shared" si="3"/>
        <v>4</v>
      </c>
      <c r="Q126" s="11">
        <f t="shared" si="4"/>
        <v>160</v>
      </c>
      <c r="R126" s="17" t="e">
        <f t="shared" si="5"/>
        <v>#N/A</v>
      </c>
      <c r="S126" s="17" t="e">
        <f>VLOOKUP($B126,   MBI_LastBuy!$A$3:E$13199,3,FALSE)</f>
        <v>#N/A</v>
      </c>
      <c r="T126" s="13" t="e">
        <f>VLOOKUP($B126,   MBI_LastBuy!$A$3:E$13199,2,FALSE)</f>
        <v>#N/A</v>
      </c>
      <c r="U126" s="13" t="e">
        <f>VLOOKUP($B126,   MBI_LastBuy!$A$3:E$13199,5,FALSE)</f>
        <v>#N/A</v>
      </c>
      <c r="V126" s="15" t="e">
        <f>VLOOKUP($B126,   MBI_LastBuy!$A$3:E$13199,4,FALSE)</f>
        <v>#N/A</v>
      </c>
    </row>
    <row r="127" spans="1:22" x14ac:dyDescent="0.25">
      <c r="A127" s="11" t="s">
        <v>3557</v>
      </c>
      <c r="B127" s="11">
        <v>340012</v>
      </c>
      <c r="C127" s="11" t="str">
        <f>VLOOKUP(B127,Towary_i_uslugi!$A$4:$B$1500,2)</f>
        <v>nowość!!! więcej info dla klienta</v>
      </c>
      <c r="D127" s="11" t="s">
        <v>2790</v>
      </c>
      <c r="E127" s="11">
        <f>VLOOKUP(B127,Towary_i_uslugi!$A$3:$T$1500,3,FALSE)</f>
        <v>20</v>
      </c>
      <c r="F127" s="11" t="str">
        <f>VLOOKUP(B127,Towary_i_uslugi!$A$3:$T$1500,20,FALSE)</f>
        <v>slide blister</v>
      </c>
      <c r="G127" s="11">
        <f>VLOOKUP(B127,MBI_Dostawcy_towarów!$A$4:$C$1399,3,FALSE)</f>
        <v>0.61299999999999999</v>
      </c>
      <c r="H127" s="11">
        <v>0</v>
      </c>
      <c r="I127" s="11">
        <v>0</v>
      </c>
      <c r="J127" s="11">
        <v>120</v>
      </c>
      <c r="K127" s="11">
        <f>_xlfn.IFNA(VLOOKUP(B127,Towary_na_zamówieniach!$A$4:$C$1500,2,FALSE),0)</f>
        <v>0</v>
      </c>
      <c r="L127" s="11">
        <f>_xlfn.IFNA(VLOOKUP(B127,Towary_na_zamówieniach!$A$4:$C$1500,3,FALSE),0)</f>
        <v>0</v>
      </c>
      <c r="M127" s="11">
        <f>_xlfn.IFNA(VLOOKUP(B127,MBI_Dostawcy_towarów!$A$4:$C$2000,2,FALSE),"N/A")</f>
        <v>90</v>
      </c>
      <c r="N127" s="11" t="str">
        <f>IF(VLOOKUP(B127,Towary_i_uslugi!$A$3:$T$1500,17,FALSE)=0,"!NO SUPPLIER",VLOOKUP(B127,Towary_i_uslugi!$A$3:$T$1500,17))</f>
        <v xml:space="preserve">SK rozrachunki </v>
      </c>
      <c r="O127" s="11" t="str">
        <f>IF(VLOOKUP(B127,Towary_i_uslugi!$A$4:$U$1200,21,FALSE)&gt;0,VLOOKUP(B127,Towary_i_uslugi!$A$4:$U$1200,21,FALSE),"")</f>
        <v/>
      </c>
      <c r="P127" s="11">
        <f t="shared" si="3"/>
        <v>6</v>
      </c>
      <c r="Q127" s="11">
        <f t="shared" si="4"/>
        <v>120</v>
      </c>
      <c r="R127" s="17" t="e">
        <f t="shared" si="5"/>
        <v>#N/A</v>
      </c>
      <c r="S127" s="17" t="e">
        <f>VLOOKUP($B127,   MBI_LastBuy!$A$3:E$13199,3,FALSE)</f>
        <v>#N/A</v>
      </c>
      <c r="T127" s="13" t="e">
        <f>VLOOKUP($B127,   MBI_LastBuy!$A$3:E$13199,2,FALSE)</f>
        <v>#N/A</v>
      </c>
      <c r="U127" s="13" t="e">
        <f>VLOOKUP($B127,   MBI_LastBuy!$A$3:E$13199,5,FALSE)</f>
        <v>#N/A</v>
      </c>
      <c r="V127" s="15" t="e">
        <f>VLOOKUP($B127,   MBI_LastBuy!$A$3:E$13199,4,FALSE)</f>
        <v>#N/A</v>
      </c>
    </row>
    <row r="128" spans="1:22" x14ac:dyDescent="0.25">
      <c r="A128" s="11" t="s">
        <v>3558</v>
      </c>
      <c r="B128" s="11">
        <v>340042</v>
      </c>
      <c r="C128" s="11" t="str">
        <f>VLOOKUP(B128,Towary_i_uslugi!$A$4:$B$1500,2)</f>
        <v>(brak)</v>
      </c>
      <c r="D128" s="11" t="s">
        <v>1615</v>
      </c>
      <c r="E128" s="11">
        <f>VLOOKUP(B128,Towary_i_uslugi!$A$3:$T$1500,3,FALSE)</f>
        <v>60</v>
      </c>
      <c r="F128" s="11" t="str">
        <f>VLOOKUP(B128,Towary_i_uslugi!$A$3:$T$1500,20,FALSE)</f>
        <v>slide blister card</v>
      </c>
      <c r="G128" s="11">
        <f>VLOOKUP(B128,MBI_Dostawcy_towarów!$A$4:$C$1399,3,FALSE)</f>
        <v>0.28299999999999997</v>
      </c>
      <c r="H128" s="11">
        <v>1</v>
      </c>
      <c r="I128" s="11">
        <v>0</v>
      </c>
      <c r="J128" s="11">
        <v>450</v>
      </c>
      <c r="K128" s="11">
        <f>_xlfn.IFNA(VLOOKUP(B128,Towary_na_zamówieniach!$A$4:$C$1500,2,FALSE),0)</f>
        <v>0</v>
      </c>
      <c r="L128" s="11">
        <f>_xlfn.IFNA(VLOOKUP(B128,Towary_na_zamówieniach!$A$4:$C$1500,3,FALSE),0)</f>
        <v>0</v>
      </c>
      <c r="M128" s="11">
        <f>_xlfn.IFNA(VLOOKUP(B128,MBI_Dostawcy_towarów!$A$4:$C$2000,2,FALSE),"N/A")</f>
        <v>42</v>
      </c>
      <c r="N128" s="11" t="str">
        <f>IF(VLOOKUP(B128,Towary_i_uslugi!$A$3:$T$1500,17,FALSE)=0,"!NO SUPPLIER",VLOOKUP(B128,Towary_i_uslugi!$A$3:$T$1500,17))</f>
        <v>ZS</v>
      </c>
      <c r="O128" s="11" t="str">
        <f>IF(VLOOKUP(B128,Towary_i_uslugi!$A$4:$U$1200,21,FALSE)&gt;0,VLOOKUP(B128,Towary_i_uslugi!$A$4:$U$1200,21,FALSE),"")</f>
        <v/>
      </c>
      <c r="P128" s="11">
        <f t="shared" si="3"/>
        <v>8</v>
      </c>
      <c r="Q128" s="11">
        <f t="shared" si="4"/>
        <v>480</v>
      </c>
      <c r="R128" s="17">
        <f t="shared" si="5"/>
        <v>1670.4</v>
      </c>
      <c r="S128" s="17">
        <f>VLOOKUP($B128,   MBI_LastBuy!$A$3:E$13199,3,FALSE)</f>
        <v>780</v>
      </c>
      <c r="T128" s="13">
        <f>VLOOKUP($B128,   MBI_LastBuy!$A$3:E$13199,2,FALSE)</f>
        <v>3.48</v>
      </c>
      <c r="U128" s="13" t="str">
        <f>VLOOKUP($B128,   MBI_LastBuy!$A$3:E$13199,5,FALSE)</f>
        <v>PLN</v>
      </c>
      <c r="V128" s="15">
        <f>VLOOKUP($B128,   MBI_LastBuy!$A$3:E$13199,4,FALSE)</f>
        <v>43132</v>
      </c>
    </row>
    <row r="129" spans="1:22" x14ac:dyDescent="0.25">
      <c r="A129" s="11" t="s">
        <v>3553</v>
      </c>
      <c r="B129" s="11">
        <v>340170</v>
      </c>
      <c r="C129" s="11" t="str">
        <f>VLOOKUP(B129,Towary_i_uslugi!$A$4:$B$1500,2)</f>
        <v>(brak)</v>
      </c>
      <c r="D129" s="11" t="s">
        <v>2791</v>
      </c>
      <c r="E129" s="11">
        <f>VLOOKUP(B129,Towary_i_uslugi!$A$3:$T$1500,3,FALSE)</f>
        <v>24</v>
      </c>
      <c r="F129" s="11" t="str">
        <f>VLOOKUP(B129,Towary_i_uslugi!$A$3:$T$1500,20,FALSE)</f>
        <v>plastic case</v>
      </c>
      <c r="G129" s="11">
        <f>VLOOKUP(B129,MBI_Dostawcy_towarów!$A$4:$C$1399,3,FALSE)</f>
        <v>0.432</v>
      </c>
      <c r="H129" s="11">
        <v>4</v>
      </c>
      <c r="I129" s="11">
        <v>0</v>
      </c>
      <c r="J129" s="11">
        <v>320</v>
      </c>
      <c r="K129" s="11">
        <f>_xlfn.IFNA(VLOOKUP(B129,Towary_na_zamówieniach!$A$4:$C$1500,2,FALSE),0)</f>
        <v>432</v>
      </c>
      <c r="L129" s="11">
        <f>_xlfn.IFNA(VLOOKUP(B129,Towary_na_zamówieniach!$A$4:$C$1500,3,FALSE),0)</f>
        <v>626.4</v>
      </c>
      <c r="M129" s="11">
        <f>_xlfn.IFNA(VLOOKUP(B129,MBI_Dostawcy_towarów!$A$4:$C$2000,2,FALSE),"N/A")</f>
        <v>90</v>
      </c>
      <c r="N129" s="11" t="str">
        <f>IF(VLOOKUP(B129,Towary_i_uslugi!$A$3:$T$1500,17,FALSE)=0,"!NO SUPPLIER",VLOOKUP(B129,Towary_i_uslugi!$A$3:$T$1500,17))</f>
        <v>FX -MAPLE Frank Xu</v>
      </c>
      <c r="O129" s="11" t="str">
        <f>IF(VLOOKUP(B129,Towary_i_uslugi!$A$4:$U$1200,21,FALSE)&gt;0,VLOOKUP(B129,Towary_i_uslugi!$A$4:$U$1200,21,FALSE),"")</f>
        <v/>
      </c>
      <c r="P129" s="11">
        <f t="shared" si="3"/>
        <v>0</v>
      </c>
      <c r="Q129" s="11">
        <f t="shared" si="4"/>
        <v>0</v>
      </c>
      <c r="R129" s="17">
        <f t="shared" si="5"/>
        <v>0</v>
      </c>
      <c r="S129" s="17">
        <f>VLOOKUP($B129,   MBI_LastBuy!$A$3:E$13199,3,FALSE)</f>
        <v>432</v>
      </c>
      <c r="T129" s="13">
        <f>VLOOKUP($B129,   MBI_LastBuy!$A$3:E$13199,2,FALSE)</f>
        <v>1.45</v>
      </c>
      <c r="U129" s="13" t="str">
        <f>VLOOKUP($B129,   MBI_LastBuy!$A$3:E$13199,5,FALSE)</f>
        <v>USD</v>
      </c>
      <c r="V129" s="15">
        <f>VLOOKUP($B129,   MBI_LastBuy!$A$3:E$13199,4,FALSE)</f>
        <v>44062</v>
      </c>
    </row>
    <row r="130" spans="1:22" x14ac:dyDescent="0.25">
      <c r="A130" s="11" t="s">
        <v>3556</v>
      </c>
      <c r="B130" s="11">
        <v>340181</v>
      </c>
      <c r="C130" s="11" t="str">
        <f>VLOOKUP(B130,Towary_i_uslugi!$A$4:$B$1500,2)</f>
        <v>(brak)</v>
      </c>
      <c r="D130" s="11" t="s">
        <v>1587</v>
      </c>
      <c r="E130" s="11">
        <f>VLOOKUP(B130,Towary_i_uslugi!$A$3:$T$1500,3,FALSE)</f>
        <v>18</v>
      </c>
      <c r="F130" s="11" t="str">
        <f>VLOOKUP(B130,Towary_i_uslugi!$A$3:$T$1500,20,FALSE)</f>
        <v>pvc hanger + shrink</v>
      </c>
      <c r="G130" s="11">
        <f>VLOOKUP(B130,MBI_Dostawcy_towarów!$A$4:$C$1399,3,FALSE)</f>
        <v>1.5</v>
      </c>
      <c r="H130" s="11">
        <v>1</v>
      </c>
      <c r="I130" s="11">
        <v>0</v>
      </c>
      <c r="J130" s="11">
        <v>270</v>
      </c>
      <c r="K130" s="11">
        <f>_xlfn.IFNA(VLOOKUP(B130,Towary_na_zamówieniach!$A$4:$C$1500,2,FALSE),0)</f>
        <v>540</v>
      </c>
      <c r="L130" s="11">
        <f>_xlfn.IFNA(VLOOKUP(B130,Towary_na_zamówieniach!$A$4:$C$1500,3,FALSE),0)</f>
        <v>2700</v>
      </c>
      <c r="M130" s="11">
        <f>_xlfn.IFNA(VLOOKUP(B130,MBI_Dostawcy_towarów!$A$4:$C$2000,2,FALSE),"N/A")</f>
        <v>90</v>
      </c>
      <c r="N130" s="11" t="str">
        <f>IF(VLOOKUP(B130,Towary_i_uslugi!$A$3:$T$1500,17,FALSE)=0,"!NO SUPPLIER",VLOOKUP(B130,Towary_i_uslugi!$A$3:$T$1500,17))</f>
        <v xml:space="preserve">LF rozrachunki </v>
      </c>
      <c r="O130" s="11" t="str">
        <f>IF(VLOOKUP(B130,Towary_i_uslugi!$A$4:$U$1200,21,FALSE)&gt;0,VLOOKUP(B130,Towary_i_uslugi!$A$4:$U$1200,21,FALSE),"")</f>
        <v>MBI*21.9.2020* LF - first delivery</v>
      </c>
      <c r="P130" s="11">
        <f t="shared" si="3"/>
        <v>0</v>
      </c>
      <c r="Q130" s="11">
        <f t="shared" si="4"/>
        <v>0</v>
      </c>
      <c r="R130" s="17">
        <f t="shared" si="5"/>
        <v>0</v>
      </c>
      <c r="S130" s="17">
        <f>VLOOKUP($B130,   MBI_LastBuy!$A$3:E$13199,3,FALSE)</f>
        <v>540</v>
      </c>
      <c r="T130" s="13">
        <f>VLOOKUP($B130,   MBI_LastBuy!$A$3:E$13199,2,FALSE)</f>
        <v>5</v>
      </c>
      <c r="U130" s="13" t="str">
        <f>VLOOKUP($B130,   MBI_LastBuy!$A$3:E$13199,5,FALSE)</f>
        <v>USD</v>
      </c>
      <c r="V130" s="15">
        <f>VLOOKUP($B130,   MBI_LastBuy!$A$3:E$13199,4,FALSE)</f>
        <v>44095</v>
      </c>
    </row>
    <row r="131" spans="1:22" x14ac:dyDescent="0.25">
      <c r="A131" s="11" t="s">
        <v>3556</v>
      </c>
      <c r="B131" s="11">
        <v>340190</v>
      </c>
      <c r="C131" s="11" t="str">
        <f>VLOOKUP(B131,Towary_i_uslugi!$A$4:$B$1500,2)</f>
        <v>(brak)</v>
      </c>
      <c r="D131" s="11" t="s">
        <v>22</v>
      </c>
      <c r="E131" s="11">
        <f>VLOOKUP(B131,Towary_i_uslugi!$A$3:$T$1500,3,FALSE)</f>
        <v>10</v>
      </c>
      <c r="F131" s="11" t="str">
        <f>VLOOKUP(B131,Towary_i_uslugi!$A$3:$T$1500,20,FALSE)</f>
        <v>pvc hanger + shrink</v>
      </c>
      <c r="G131" s="11">
        <f>VLOOKUP(B131,MBI_Dostawcy_towarów!$A$4:$C$1399,3,FALSE)</f>
        <v>2.5499999999999998</v>
      </c>
      <c r="H131" s="11">
        <v>167</v>
      </c>
      <c r="I131" s="11">
        <v>10</v>
      </c>
      <c r="J131" s="11">
        <v>300</v>
      </c>
      <c r="K131" s="11">
        <f>_xlfn.IFNA(VLOOKUP(B131,Towary_na_zamówieniach!$A$4:$C$1500,2,FALSE),0)</f>
        <v>600</v>
      </c>
      <c r="L131" s="11">
        <f>_xlfn.IFNA(VLOOKUP(B131,Towary_na_zamówieniach!$A$4:$C$1500,3,FALSE),0)</f>
        <v>4312.8</v>
      </c>
      <c r="M131" s="11">
        <f>_xlfn.IFNA(VLOOKUP(B131,MBI_Dostawcy_towarów!$A$4:$C$2000,2,FALSE),"N/A")</f>
        <v>90</v>
      </c>
      <c r="N131" s="11" t="str">
        <f>IF(VLOOKUP(B131,Towary_i_uslugi!$A$3:$T$1500,17,FALSE)=0,"!NO SUPPLIER",VLOOKUP(B131,Towary_i_uslugi!$A$3:$T$1500,17))</f>
        <v xml:space="preserve">LF rozrachunki </v>
      </c>
      <c r="O131" s="11" t="str">
        <f>IF(VLOOKUP(B131,Towary_i_uslugi!$A$4:$U$1200,21,FALSE)&gt;0,VLOOKUP(B131,Towary_i_uslugi!$A$4:$U$1200,21,FALSE),"")</f>
        <v>WBA*09.10.2020*Make stronger shrink</v>
      </c>
      <c r="P131" s="11">
        <f t="shared" ref="P131:P194" si="6">IF(K131=0,ROUNDUP(J131/E131,0),IF((K131+H131-I131)/J131&lt;1,ROUNDUP(J131/E131,0),0))</f>
        <v>0</v>
      </c>
      <c r="Q131" s="11">
        <f t="shared" ref="Q131:Q194" si="7">P131*E131</f>
        <v>0</v>
      </c>
      <c r="R131" s="17">
        <f t="shared" ref="R131:R194" si="8">Q131*T131</f>
        <v>0</v>
      </c>
      <c r="S131" s="17">
        <f>VLOOKUP($B131,   MBI_LastBuy!$A$3:E$13199,3,FALSE)</f>
        <v>600</v>
      </c>
      <c r="T131" s="13">
        <f>VLOOKUP($B131,   MBI_LastBuy!$A$3:E$13199,2,FALSE)</f>
        <v>7.1879999999999997</v>
      </c>
      <c r="U131" s="13" t="str">
        <f>VLOOKUP($B131,   MBI_LastBuy!$A$3:E$13199,5,FALSE)</f>
        <v>USD</v>
      </c>
      <c r="V131" s="15">
        <f>VLOOKUP($B131,   MBI_LastBuy!$A$3:E$13199,4,FALSE)</f>
        <v>44095</v>
      </c>
    </row>
    <row r="132" spans="1:22" x14ac:dyDescent="0.25">
      <c r="A132" s="11" t="s">
        <v>3556</v>
      </c>
      <c r="B132" s="11">
        <v>340194</v>
      </c>
      <c r="C132" s="11" t="str">
        <f>VLOOKUP(B132,Towary_i_uslugi!$A$4:$B$1500,2)</f>
        <v>(brak)</v>
      </c>
      <c r="D132" s="11" t="s">
        <v>23</v>
      </c>
      <c r="E132" s="11">
        <f>VLOOKUP(B132,Towary_i_uslugi!$A$3:$T$1500,3,FALSE)</f>
        <v>10</v>
      </c>
      <c r="F132" s="11" t="str">
        <f>VLOOKUP(B132,Towary_i_uslugi!$A$3:$T$1500,20,FALSE)</f>
        <v>pvc hanger + shrink</v>
      </c>
      <c r="G132" s="11">
        <f>VLOOKUP(B132,MBI_Dostawcy_towarów!$A$4:$C$1399,3,FALSE)</f>
        <v>2.1160000000000001</v>
      </c>
      <c r="H132" s="11">
        <v>141</v>
      </c>
      <c r="I132" s="11">
        <v>0</v>
      </c>
      <c r="J132" s="11">
        <v>200</v>
      </c>
      <c r="K132" s="11">
        <f>_xlfn.IFNA(VLOOKUP(B132,Towary_na_zamówieniach!$A$4:$C$1500,2,FALSE),0)</f>
        <v>400</v>
      </c>
      <c r="L132" s="11">
        <f>_xlfn.IFNA(VLOOKUP(B132,Towary_na_zamówieniach!$A$4:$C$1500,3,FALSE),0)</f>
        <v>3031.2</v>
      </c>
      <c r="M132" s="11">
        <f>_xlfn.IFNA(VLOOKUP(B132,MBI_Dostawcy_towarów!$A$4:$C$2000,2,FALSE),"N/A")</f>
        <v>90</v>
      </c>
      <c r="N132" s="11" t="str">
        <f>IF(VLOOKUP(B132,Towary_i_uslugi!$A$3:$T$1500,17,FALSE)=0,"!NO SUPPLIER",VLOOKUP(B132,Towary_i_uslugi!$A$3:$T$1500,17))</f>
        <v xml:space="preserve">LF rozrachunki </v>
      </c>
      <c r="O132" s="11" t="str">
        <f>IF(VLOOKUP(B132,Towary_i_uslugi!$A$4:$U$1200,21,FALSE)&gt;0,VLOOKUP(B132,Towary_i_uslugi!$A$4:$U$1200,21,FALSE),"")</f>
        <v>MBI*21.9.2020* LF - first delivery</v>
      </c>
      <c r="P132" s="11">
        <f t="shared" si="6"/>
        <v>0</v>
      </c>
      <c r="Q132" s="11">
        <f t="shared" si="7"/>
        <v>0</v>
      </c>
      <c r="R132" s="17">
        <f t="shared" si="8"/>
        <v>0</v>
      </c>
      <c r="S132" s="17">
        <f>VLOOKUP($B132,   MBI_LastBuy!$A$3:E$13199,3,FALSE)</f>
        <v>400</v>
      </c>
      <c r="T132" s="13">
        <f>VLOOKUP($B132,   MBI_LastBuy!$A$3:E$13199,2,FALSE)</f>
        <v>7.5780000000000003</v>
      </c>
      <c r="U132" s="13" t="str">
        <f>VLOOKUP($B132,   MBI_LastBuy!$A$3:E$13199,5,FALSE)</f>
        <v>USD</v>
      </c>
      <c r="V132" s="15">
        <f>VLOOKUP($B132,   MBI_LastBuy!$A$3:E$13199,4,FALSE)</f>
        <v>44095</v>
      </c>
    </row>
    <row r="133" spans="1:22" x14ac:dyDescent="0.25">
      <c r="A133" s="11" t="s">
        <v>3552</v>
      </c>
      <c r="B133" s="11">
        <v>340211</v>
      </c>
      <c r="C133" s="11" t="str">
        <f>VLOOKUP(B133,Towary_i_uslugi!$A$4:$B$1500,2)</f>
        <v>(brak)</v>
      </c>
      <c r="D133" s="11" t="s">
        <v>2615</v>
      </c>
      <c r="E133" s="11">
        <f>VLOOKUP(B133,Towary_i_uslugi!$A$3:$T$1500,3,FALSE)</f>
        <v>2</v>
      </c>
      <c r="F133" s="11" t="str">
        <f>VLOOKUP(B133,Towary_i_uslugi!$A$3:$T$1500,20,FALSE)</f>
        <v>plastic case</v>
      </c>
      <c r="G133" s="11">
        <f>VLOOKUP(B133,MBI_Dostawcy_towarów!$A$4:$C$1399,3,FALSE)</f>
        <v>12.05</v>
      </c>
      <c r="H133" s="11">
        <v>17</v>
      </c>
      <c r="I133" s="11">
        <v>0</v>
      </c>
      <c r="J133" s="11">
        <v>50</v>
      </c>
      <c r="K133" s="11">
        <f>_xlfn.IFNA(VLOOKUP(B133,Towary_na_zamówieniach!$A$4:$C$1500,2,FALSE),0)</f>
        <v>40</v>
      </c>
      <c r="L133" s="11">
        <f>_xlfn.IFNA(VLOOKUP(B133,Towary_na_zamówieniach!$A$4:$C$1500,3,FALSE),0)</f>
        <v>1140</v>
      </c>
      <c r="M133" s="11">
        <f>_xlfn.IFNA(VLOOKUP(B133,MBI_Dostawcy_towarów!$A$4:$C$2000,2,FALSE),"N/A")</f>
        <v>90</v>
      </c>
      <c r="N133" s="11" t="str">
        <f>IF(VLOOKUP(B133,Towary_i_uslugi!$A$3:$T$1500,17,FALSE)=0,"!NO SUPPLIER",VLOOKUP(B133,Towary_i_uslugi!$A$3:$T$1500,17))</f>
        <v>XM</v>
      </c>
      <c r="O133" s="11" t="str">
        <f>IF(VLOOKUP(B133,Towary_i_uslugi!$A$4:$U$1200,21,FALSE)&gt;0,VLOOKUP(B133,Towary_i_uslugi!$A$4:$U$1200,21,FALSE),"")</f>
        <v/>
      </c>
      <c r="P133" s="11">
        <f t="shared" si="6"/>
        <v>0</v>
      </c>
      <c r="Q133" s="11">
        <f t="shared" si="7"/>
        <v>0</v>
      </c>
      <c r="R133" s="17">
        <f t="shared" si="8"/>
        <v>0</v>
      </c>
      <c r="S133" s="17">
        <f>VLOOKUP($B133,   MBI_LastBuy!$A$3:E$13199,3,FALSE)</f>
        <v>40</v>
      </c>
      <c r="T133" s="13">
        <f>VLOOKUP($B133,   MBI_LastBuy!$A$3:E$13199,2,FALSE)</f>
        <v>28.5</v>
      </c>
      <c r="U133" s="13" t="str">
        <f>VLOOKUP($B133,   MBI_LastBuy!$A$3:E$13199,5,FALSE)</f>
        <v>USD</v>
      </c>
      <c r="V133" s="15">
        <f>VLOOKUP($B133,   MBI_LastBuy!$A$3:E$13199,4,FALSE)</f>
        <v>44111</v>
      </c>
    </row>
    <row r="134" spans="1:22" x14ac:dyDescent="0.25">
      <c r="A134" s="11" t="s">
        <v>3556</v>
      </c>
      <c r="B134" s="11">
        <v>340212</v>
      </c>
      <c r="C134" s="11" t="str">
        <f>VLOOKUP(B134,Towary_i_uslugi!$A$4:$B$1500,2)</f>
        <v>(brak)</v>
      </c>
      <c r="D134" s="11" t="s">
        <v>2516</v>
      </c>
      <c r="E134" s="11">
        <f>VLOOKUP(B134,Towary_i_uslugi!$A$3:$T$1500,3,FALSE)</f>
        <v>2</v>
      </c>
      <c r="F134" s="11" t="str">
        <f>VLOOKUP(B134,Towary_i_uslugi!$A$3:$T$1500,20,FALSE)</f>
        <v>plastic case</v>
      </c>
      <c r="G134" s="11">
        <f>VLOOKUP(B134,MBI_Dostawcy_towarów!$A$4:$C$1399,3,FALSE)</f>
        <v>11.89</v>
      </c>
      <c r="H134" s="11">
        <v>14</v>
      </c>
      <c r="I134" s="11">
        <v>0</v>
      </c>
      <c r="J134" s="11">
        <v>50</v>
      </c>
      <c r="K134" s="11">
        <f>_xlfn.IFNA(VLOOKUP(B134,Towary_na_zamówieniach!$A$4:$C$1500,2,FALSE),0)</f>
        <v>0</v>
      </c>
      <c r="L134" s="11">
        <f>_xlfn.IFNA(VLOOKUP(B134,Towary_na_zamówieniach!$A$4:$C$1500,3,FALSE),0)</f>
        <v>0</v>
      </c>
      <c r="M134" s="11">
        <f>_xlfn.IFNA(VLOOKUP(B134,MBI_Dostawcy_towarów!$A$4:$C$2000,2,FALSE),"N/A")</f>
        <v>90</v>
      </c>
      <c r="N134" s="11" t="str">
        <f>IF(VLOOKUP(B134,Towary_i_uslugi!$A$3:$T$1500,17,FALSE)=0,"!NO SUPPLIER",VLOOKUP(B134,Towary_i_uslugi!$A$3:$T$1500,17))</f>
        <v xml:space="preserve">LF rozrachunki </v>
      </c>
      <c r="O134" s="11" t="str">
        <f>IF(VLOOKUP(B134,Towary_i_uslugi!$A$4:$U$1200,21,FALSE)&gt;0,VLOOKUP(B134,Towary_i_uslugi!$A$4:$U$1200,21,FALSE),"")</f>
        <v/>
      </c>
      <c r="P134" s="11">
        <f t="shared" si="6"/>
        <v>25</v>
      </c>
      <c r="Q134" s="11">
        <f t="shared" si="7"/>
        <v>50</v>
      </c>
      <c r="R134" s="17">
        <f t="shared" si="8"/>
        <v>1650</v>
      </c>
      <c r="S134" s="17">
        <f>VLOOKUP($B134,   MBI_LastBuy!$A$3:E$13199,3,FALSE)</f>
        <v>40</v>
      </c>
      <c r="T134" s="13">
        <f>VLOOKUP($B134,   MBI_LastBuy!$A$3:E$13199,2,FALSE)</f>
        <v>33</v>
      </c>
      <c r="U134" s="13" t="str">
        <f>VLOOKUP($B134,   MBI_LastBuy!$A$3:E$13199,5,FALSE)</f>
        <v>USD</v>
      </c>
      <c r="V134" s="15">
        <f>VLOOKUP($B134,   MBI_LastBuy!$A$3:E$13199,4,FALSE)</f>
        <v>44060</v>
      </c>
    </row>
    <row r="135" spans="1:22" x14ac:dyDescent="0.25">
      <c r="A135" s="11" t="s">
        <v>3556</v>
      </c>
      <c r="B135" s="11">
        <v>340262</v>
      </c>
      <c r="C135" s="11" t="str">
        <f>VLOOKUP(B135,Towary_i_uslugi!$A$4:$B$1500,2)</f>
        <v>(brak)</v>
      </c>
      <c r="D135" s="11" t="s">
        <v>1621</v>
      </c>
      <c r="E135" s="11">
        <f>VLOOKUP(B135,Towary_i_uslugi!$A$3:$T$1500,3,FALSE)</f>
        <v>4</v>
      </c>
      <c r="F135" s="11" t="str">
        <f>VLOOKUP(B135,Towary_i_uslugi!$A$3:$T$1500,20,FALSE)</f>
        <v>plastic case</v>
      </c>
      <c r="G135" s="11">
        <f>VLOOKUP(B135,MBI_Dostawcy_towarów!$A$4:$C$1399,3,FALSE)</f>
        <v>4.2050000000000001</v>
      </c>
      <c r="H135" s="11">
        <v>1</v>
      </c>
      <c r="I135" s="11">
        <v>0</v>
      </c>
      <c r="J135" s="11">
        <v>150</v>
      </c>
      <c r="K135" s="11">
        <f>_xlfn.IFNA(VLOOKUP(B135,Towary_na_zamówieniach!$A$4:$C$1500,2,FALSE),0)</f>
        <v>300</v>
      </c>
      <c r="L135" s="11">
        <f>_xlfn.IFNA(VLOOKUP(B135,Towary_na_zamówieniach!$A$4:$C$1500,3,FALSE),0)</f>
        <v>3843.9</v>
      </c>
      <c r="M135" s="11">
        <f>_xlfn.IFNA(VLOOKUP(B135,MBI_Dostawcy_towarów!$A$4:$C$2000,2,FALSE),"N/A")</f>
        <v>49</v>
      </c>
      <c r="N135" s="11" t="str">
        <f>IF(VLOOKUP(B135,Towary_i_uslugi!$A$3:$T$1500,17,FALSE)=0,"!NO SUPPLIER",VLOOKUP(B135,Towary_i_uslugi!$A$3:$T$1500,17))</f>
        <v xml:space="preserve">LF rozrachunki </v>
      </c>
      <c r="O135" s="11" t="str">
        <f>IF(VLOOKUP(B135,Towary_i_uslugi!$A$4:$U$1200,21,FALSE)&gt;0,VLOOKUP(B135,Towary_i_uslugi!$A$4:$U$1200,21,FALSE),"")</f>
        <v>MBI*21.9.2020* LF - first delivery</v>
      </c>
      <c r="P135" s="11">
        <f t="shared" si="6"/>
        <v>0</v>
      </c>
      <c r="Q135" s="11">
        <f t="shared" si="7"/>
        <v>0</v>
      </c>
      <c r="R135" s="17">
        <f t="shared" si="8"/>
        <v>0</v>
      </c>
      <c r="S135" s="17">
        <f>VLOOKUP($B135,   MBI_LastBuy!$A$3:E$13199,3,FALSE)</f>
        <v>300</v>
      </c>
      <c r="T135" s="13">
        <f>VLOOKUP($B135,   MBI_LastBuy!$A$3:E$13199,2,FALSE)</f>
        <v>12.813000000000001</v>
      </c>
      <c r="U135" s="13" t="str">
        <f>VLOOKUP($B135,   MBI_LastBuy!$A$3:E$13199,5,FALSE)</f>
        <v>USD</v>
      </c>
      <c r="V135" s="15">
        <f>VLOOKUP($B135,   MBI_LastBuy!$A$3:E$13199,4,FALSE)</f>
        <v>44095</v>
      </c>
    </row>
    <row r="136" spans="1:22" x14ac:dyDescent="0.25">
      <c r="A136" s="11" t="s">
        <v>3830</v>
      </c>
      <c r="B136" s="11">
        <v>340270</v>
      </c>
      <c r="C136" s="11" t="str">
        <f>VLOOKUP(B136,Towary_i_uslugi!$A$4:$B$1500,2)</f>
        <v>(brak)</v>
      </c>
      <c r="D136" s="11" t="s">
        <v>2792</v>
      </c>
      <c r="E136" s="11">
        <f>VLOOKUP(B136,Towary_i_uslugi!$A$3:$T$1500,3,FALSE)</f>
        <v>12</v>
      </c>
      <c r="F136" s="11" t="str">
        <f>VLOOKUP(B136,Towary_i_uslugi!$A$3:$T$1500,20,FALSE)</f>
        <v>pvc hanger+shrink foil</v>
      </c>
      <c r="G136" s="11" t="e">
        <f>VLOOKUP(B136,MBI_Dostawcy_towarów!$A$4:$C$1399,3,FALSE)</f>
        <v>#N/A</v>
      </c>
      <c r="H136" s="11">
        <v>0</v>
      </c>
      <c r="I136" s="11">
        <v>0</v>
      </c>
      <c r="J136" s="11">
        <v>160</v>
      </c>
      <c r="K136" s="11">
        <f>_xlfn.IFNA(VLOOKUP(B136,Towary_na_zamówieniach!$A$4:$C$1500,2,FALSE),0)</f>
        <v>320</v>
      </c>
      <c r="L136" s="11">
        <f>_xlfn.IFNA(VLOOKUP(B136,Towary_na_zamówieniach!$A$4:$C$1500,3,FALSE),0)</f>
        <v>1600</v>
      </c>
      <c r="M136" s="11" t="str">
        <f>_xlfn.IFNA(VLOOKUP(B136,MBI_Dostawcy_towarów!$A$4:$C$2000,2,FALSE),"N/A")</f>
        <v>N/A</v>
      </c>
      <c r="N136" s="11" t="str">
        <f>IF(VLOOKUP(B136,Towary_i_uslugi!$A$3:$T$1500,17,FALSE)=0,"!NO SUPPLIER",VLOOKUP(B136,Towary_i_uslugi!$A$3:$T$1500,17))</f>
        <v>!NO SUPPLIER</v>
      </c>
      <c r="O136" s="11" t="str">
        <f>IF(VLOOKUP(B136,Towary_i_uslugi!$A$4:$U$1200,21,FALSE)&gt;0,VLOOKUP(B136,Towary_i_uslugi!$A$4:$U$1200,21,FALSE),"")</f>
        <v>MBI*21.9.2020* LF - first delivery</v>
      </c>
      <c r="P136" s="11">
        <f t="shared" si="6"/>
        <v>0</v>
      </c>
      <c r="Q136" s="11">
        <f t="shared" si="7"/>
        <v>0</v>
      </c>
      <c r="R136" s="17">
        <f t="shared" si="8"/>
        <v>0</v>
      </c>
      <c r="S136" s="17">
        <f>VLOOKUP($B136,   MBI_LastBuy!$A$3:E$13199,3,FALSE)</f>
        <v>320</v>
      </c>
      <c r="T136" s="13">
        <f>VLOOKUP($B136,   MBI_LastBuy!$A$3:E$13199,2,FALSE)</f>
        <v>5</v>
      </c>
      <c r="U136" s="13" t="str">
        <f>VLOOKUP($B136,   MBI_LastBuy!$A$3:E$13199,5,FALSE)</f>
        <v>USD</v>
      </c>
      <c r="V136" s="15">
        <f>VLOOKUP($B136,   MBI_LastBuy!$A$3:E$13199,4,FALSE)</f>
        <v>44095</v>
      </c>
    </row>
    <row r="137" spans="1:22" x14ac:dyDescent="0.25">
      <c r="A137" s="11" t="s">
        <v>3830</v>
      </c>
      <c r="B137" s="11">
        <v>340272</v>
      </c>
      <c r="C137" s="11" t="str">
        <f>VLOOKUP(B137,Towary_i_uslugi!$A$4:$B$1500,2)</f>
        <v>(brak)</v>
      </c>
      <c r="D137" s="11" t="s">
        <v>24</v>
      </c>
      <c r="E137" s="11">
        <f>VLOOKUP(B137,Towary_i_uslugi!$A$3:$T$1500,3,FALSE)</f>
        <v>40</v>
      </c>
      <c r="F137" s="11" t="str">
        <f>VLOOKUP(B137,Towary_i_uslugi!$A$3:$T$1500,20,FALSE)</f>
        <v>plastic header</v>
      </c>
      <c r="G137" s="11" t="e">
        <f>VLOOKUP(B137,MBI_Dostawcy_towarów!$A$4:$C$1399,3,FALSE)</f>
        <v>#N/A</v>
      </c>
      <c r="H137" s="11">
        <v>1</v>
      </c>
      <c r="I137" s="11">
        <v>0</v>
      </c>
      <c r="J137" s="11">
        <v>160</v>
      </c>
      <c r="K137" s="11">
        <f>_xlfn.IFNA(VLOOKUP(B137,Towary_na_zamówieniach!$A$4:$C$1500,2,FALSE),0)</f>
        <v>0</v>
      </c>
      <c r="L137" s="11">
        <f>_xlfn.IFNA(VLOOKUP(B137,Towary_na_zamówieniach!$A$4:$C$1500,3,FALSE),0)</f>
        <v>0</v>
      </c>
      <c r="M137" s="11" t="str">
        <f>_xlfn.IFNA(VLOOKUP(B137,MBI_Dostawcy_towarów!$A$4:$C$2000,2,FALSE),"N/A")</f>
        <v>N/A</v>
      </c>
      <c r="N137" s="11" t="str">
        <f>IF(VLOOKUP(B137,Towary_i_uslugi!$A$3:$T$1500,17,FALSE)=0,"!NO SUPPLIER",VLOOKUP(B137,Towary_i_uslugi!$A$3:$T$1500,17))</f>
        <v>!NO SUPPLIER</v>
      </c>
      <c r="O137" s="11" t="str">
        <f>IF(VLOOKUP(B137,Towary_i_uslugi!$A$4:$U$1200,21,FALSE)&gt;0,VLOOKUP(B137,Towary_i_uslugi!$A$4:$U$1200,21,FALSE),"")</f>
        <v/>
      </c>
      <c r="P137" s="11">
        <f t="shared" si="6"/>
        <v>4</v>
      </c>
      <c r="Q137" s="11">
        <f t="shared" si="7"/>
        <v>160</v>
      </c>
      <c r="R137" s="17">
        <f t="shared" si="8"/>
        <v>1968</v>
      </c>
      <c r="S137" s="17">
        <f>VLOOKUP($B137,   MBI_LastBuy!$A$3:E$13199,3,FALSE)</f>
        <v>320</v>
      </c>
      <c r="T137" s="13">
        <f>VLOOKUP($B137,   MBI_LastBuy!$A$3:E$13199,2,FALSE)</f>
        <v>12.3</v>
      </c>
      <c r="U137" s="13" t="str">
        <f>VLOOKUP($B137,   MBI_LastBuy!$A$3:E$13199,5,FALSE)</f>
        <v>PLN</v>
      </c>
      <c r="V137" s="15">
        <f>VLOOKUP($B137,   MBI_LastBuy!$A$3:E$13199,4,FALSE)</f>
        <v>43132</v>
      </c>
    </row>
    <row r="138" spans="1:22" x14ac:dyDescent="0.25">
      <c r="A138" s="11" t="s">
        <v>3556</v>
      </c>
      <c r="B138" s="11">
        <v>340290</v>
      </c>
      <c r="C138" s="11" t="str">
        <f>VLOOKUP(B138,Towary_i_uslugi!$A$4:$B$1500,2)</f>
        <v>(brak)</v>
      </c>
      <c r="D138" s="11" t="s">
        <v>25</v>
      </c>
      <c r="E138" s="11">
        <f>VLOOKUP(B138,Towary_i_uslugi!$A$3:$T$1500,3,FALSE)</f>
        <v>20</v>
      </c>
      <c r="F138" s="11" t="str">
        <f>VLOOKUP(B138,Towary_i_uslugi!$A$3:$T$1500,20,FALSE)</f>
        <v>plastic case</v>
      </c>
      <c r="G138" s="11">
        <f>VLOOKUP(B138,MBI_Dostawcy_towarów!$A$4:$C$1399,3,FALSE)</f>
        <v>0.94199999999999995</v>
      </c>
      <c r="H138" s="11">
        <v>1</v>
      </c>
      <c r="I138" s="11">
        <v>0</v>
      </c>
      <c r="J138" s="11">
        <v>100</v>
      </c>
      <c r="K138" s="11">
        <f>_xlfn.IFNA(VLOOKUP(B138,Towary_na_zamówieniach!$A$4:$C$1500,2,FALSE),0)</f>
        <v>200</v>
      </c>
      <c r="L138" s="11">
        <f>_xlfn.IFNA(VLOOKUP(B138,Towary_na_zamówieniach!$A$4:$C$1500,3,FALSE),0)</f>
        <v>1153.2</v>
      </c>
      <c r="M138" s="11">
        <f>_xlfn.IFNA(VLOOKUP(B138,MBI_Dostawcy_towarów!$A$4:$C$2000,2,FALSE),"N/A")</f>
        <v>49</v>
      </c>
      <c r="N138" s="11" t="str">
        <f>IF(VLOOKUP(B138,Towary_i_uslugi!$A$3:$T$1500,17,FALSE)=0,"!NO SUPPLIER",VLOOKUP(B138,Towary_i_uslugi!$A$3:$T$1500,17))</f>
        <v xml:space="preserve">LF rozrachunki </v>
      </c>
      <c r="O138" s="11" t="str">
        <f>IF(VLOOKUP(B138,Towary_i_uslugi!$A$4:$U$1200,21,FALSE)&gt;0,VLOOKUP(B138,Towary_i_uslugi!$A$4:$U$1200,21,FALSE),"")</f>
        <v>MBI*21.9.2020* LF - first delivery</v>
      </c>
      <c r="P138" s="11">
        <f t="shared" si="6"/>
        <v>0</v>
      </c>
      <c r="Q138" s="11">
        <f t="shared" si="7"/>
        <v>0</v>
      </c>
      <c r="R138" s="17">
        <f t="shared" si="8"/>
        <v>0</v>
      </c>
      <c r="S138" s="17">
        <f>VLOOKUP($B138,   MBI_LastBuy!$A$3:E$13199,3,FALSE)</f>
        <v>200</v>
      </c>
      <c r="T138" s="13">
        <f>VLOOKUP($B138,   MBI_LastBuy!$A$3:E$13199,2,FALSE)</f>
        <v>5.766</v>
      </c>
      <c r="U138" s="13" t="str">
        <f>VLOOKUP($B138,   MBI_LastBuy!$A$3:E$13199,5,FALSE)</f>
        <v>USD</v>
      </c>
      <c r="V138" s="15">
        <f>VLOOKUP($B138,   MBI_LastBuy!$A$3:E$13199,4,FALSE)</f>
        <v>44095</v>
      </c>
    </row>
    <row r="139" spans="1:22" x14ac:dyDescent="0.25">
      <c r="A139" s="11" t="s">
        <v>3557</v>
      </c>
      <c r="B139" s="11">
        <v>340499</v>
      </c>
      <c r="C139" s="11" t="str">
        <f>VLOOKUP(B139,Towary_i_uslugi!$A$4:$B$1500,2)</f>
        <v>(brak)</v>
      </c>
      <c r="D139" s="11" t="s">
        <v>2678</v>
      </c>
      <c r="E139" s="11">
        <f>VLOOKUP(B139,Towary_i_uslugi!$A$3:$T$1500,3,FALSE)</f>
        <v>20</v>
      </c>
      <c r="F139" s="11" t="str">
        <f>VLOOKUP(B139,Towary_i_uslugi!$A$3:$T$1500,20,FALSE)</f>
        <v>BMC + sticker</v>
      </c>
      <c r="G139" s="11">
        <f>VLOOKUP(B139,MBI_Dostawcy_towarów!$A$4:$C$1399,3,FALSE)</f>
        <v>0.74099999999999999</v>
      </c>
      <c r="H139" s="11">
        <v>56</v>
      </c>
      <c r="I139" s="11">
        <v>0</v>
      </c>
      <c r="J139" s="11">
        <v>80</v>
      </c>
      <c r="K139" s="11">
        <f>_xlfn.IFNA(VLOOKUP(B139,Towary_na_zamówieniach!$A$4:$C$1500,2,FALSE),0)</f>
        <v>0</v>
      </c>
      <c r="L139" s="11">
        <f>_xlfn.IFNA(VLOOKUP(B139,Towary_na_zamówieniach!$A$4:$C$1500,3,FALSE),0)</f>
        <v>0</v>
      </c>
      <c r="M139" s="11">
        <f>_xlfn.IFNA(VLOOKUP(B139,MBI_Dostawcy_towarów!$A$4:$C$2000,2,FALSE),"N/A")</f>
        <v>90</v>
      </c>
      <c r="N139" s="11" t="str">
        <f>IF(VLOOKUP(B139,Towary_i_uslugi!$A$3:$T$1500,17,FALSE)=0,"!NO SUPPLIER",VLOOKUP(B139,Towary_i_uslugi!$A$3:$T$1500,17))</f>
        <v xml:space="preserve">SK rozrachunki </v>
      </c>
      <c r="O139" s="11" t="str">
        <f>IF(VLOOKUP(B139,Towary_i_uslugi!$A$4:$U$1200,21,FALSE)&gt;0,VLOOKUP(B139,Towary_i_uslugi!$A$4:$U$1200,21,FALSE),"")</f>
        <v/>
      </c>
      <c r="P139" s="11">
        <f t="shared" si="6"/>
        <v>4</v>
      </c>
      <c r="Q139" s="11">
        <f t="shared" si="7"/>
        <v>80</v>
      </c>
      <c r="R139" s="17">
        <f t="shared" si="8"/>
        <v>222.39999999999998</v>
      </c>
      <c r="S139" s="17">
        <f>VLOOKUP($B139,   MBI_LastBuy!$A$3:E$13199,3,FALSE)</f>
        <v>160</v>
      </c>
      <c r="T139" s="13">
        <f>VLOOKUP($B139,   MBI_LastBuy!$A$3:E$13199,2,FALSE)</f>
        <v>2.78</v>
      </c>
      <c r="U139" s="13" t="str">
        <f>VLOOKUP($B139,   MBI_LastBuy!$A$3:E$13199,5,FALSE)</f>
        <v>USD</v>
      </c>
      <c r="V139" s="15">
        <f>VLOOKUP($B139,   MBI_LastBuy!$A$3:E$13199,4,FALSE)</f>
        <v>43686</v>
      </c>
    </row>
    <row r="140" spans="1:22" x14ac:dyDescent="0.25">
      <c r="A140" s="11" t="s">
        <v>3556</v>
      </c>
      <c r="B140" s="11">
        <v>340932</v>
      </c>
      <c r="C140" s="11" t="str">
        <f>VLOOKUP(B140,Towary_i_uslugi!$A$4:$B$1500,2)</f>
        <v>(brak)</v>
      </c>
      <c r="D140" s="11" t="s">
        <v>2616</v>
      </c>
      <c r="E140" s="11">
        <f>VLOOKUP(B140,Towary_i_uslugi!$A$3:$T$1500,3,FALSE)</f>
        <v>4</v>
      </c>
      <c r="F140" s="11" t="str">
        <f>VLOOKUP(B140,Towary_i_uslugi!$A$3:$T$1500,20,FALSE)</f>
        <v>plastic case</v>
      </c>
      <c r="G140" s="11">
        <f>VLOOKUP(B140,MBI_Dostawcy_towarów!$A$4:$C$1399,3,FALSE)</f>
        <v>5.74</v>
      </c>
      <c r="H140" s="11">
        <v>1</v>
      </c>
      <c r="I140" s="11">
        <v>0</v>
      </c>
      <c r="J140" s="11">
        <v>100</v>
      </c>
      <c r="K140" s="11">
        <f>_xlfn.IFNA(VLOOKUP(B140,Towary_na_zamówieniach!$A$4:$C$1500,2,FALSE),0)</f>
        <v>200</v>
      </c>
      <c r="L140" s="11">
        <f>_xlfn.IFNA(VLOOKUP(B140,Towary_na_zamówieniach!$A$4:$C$1500,3,FALSE),0)</f>
        <v>3718.8</v>
      </c>
      <c r="M140" s="11">
        <f>_xlfn.IFNA(VLOOKUP(B140,MBI_Dostawcy_towarów!$A$4:$C$2000,2,FALSE),"N/A")</f>
        <v>7</v>
      </c>
      <c r="N140" s="11" t="str">
        <f>IF(VLOOKUP(B140,Towary_i_uslugi!$A$3:$T$1500,17,FALSE)=0,"!NO SUPPLIER",VLOOKUP(B140,Towary_i_uslugi!$A$3:$T$1500,17))</f>
        <v xml:space="preserve">LF rozrachunki </v>
      </c>
      <c r="O140" s="11" t="str">
        <f>IF(VLOOKUP(B140,Towary_i_uslugi!$A$4:$U$1200,21,FALSE)&gt;0,VLOOKUP(B140,Towary_i_uslugi!$A$4:$U$1200,21,FALSE),"")</f>
        <v>MBI*21.9.2020* LF - first delivery</v>
      </c>
      <c r="P140" s="11">
        <f t="shared" si="6"/>
        <v>0</v>
      </c>
      <c r="Q140" s="11">
        <f t="shared" si="7"/>
        <v>0</v>
      </c>
      <c r="R140" s="17">
        <f t="shared" si="8"/>
        <v>0</v>
      </c>
      <c r="S140" s="17">
        <f>VLOOKUP($B140,   MBI_LastBuy!$A$3:E$13199,3,FALSE)</f>
        <v>200</v>
      </c>
      <c r="T140" s="13">
        <f>VLOOKUP($B140,   MBI_LastBuy!$A$3:E$13199,2,FALSE)</f>
        <v>18.594000000000001</v>
      </c>
      <c r="U140" s="13" t="str">
        <f>VLOOKUP($B140,   MBI_LastBuy!$A$3:E$13199,5,FALSE)</f>
        <v>USD</v>
      </c>
      <c r="V140" s="15">
        <f>VLOOKUP($B140,   MBI_LastBuy!$A$3:E$13199,4,FALSE)</f>
        <v>44095</v>
      </c>
    </row>
    <row r="141" spans="1:22" x14ac:dyDescent="0.25">
      <c r="A141" s="11" t="s">
        <v>3556</v>
      </c>
      <c r="B141" s="11">
        <v>341082</v>
      </c>
      <c r="C141" s="11" t="str">
        <f>VLOOKUP(B141,Towary_i_uslugi!$A$4:$B$1500,2)</f>
        <v>(brak)</v>
      </c>
      <c r="D141" s="11" t="s">
        <v>2793</v>
      </c>
      <c r="E141" s="11">
        <f>VLOOKUP(B141,Towary_i_uslugi!$A$3:$T$1500,3,FALSE)</f>
        <v>4</v>
      </c>
      <c r="F141" s="11" t="str">
        <f>VLOOKUP(B141,Towary_i_uslugi!$A$3:$T$1500,20,FALSE)</f>
        <v>plastic case</v>
      </c>
      <c r="G141" s="11">
        <f>VLOOKUP(B141,MBI_Dostawcy_towarów!$A$4:$C$1399,3,FALSE)</f>
        <v>7.11</v>
      </c>
      <c r="H141" s="11">
        <v>1</v>
      </c>
      <c r="I141" s="11">
        <v>0</v>
      </c>
      <c r="J141" s="11">
        <v>160</v>
      </c>
      <c r="K141" s="11">
        <f>_xlfn.IFNA(VLOOKUP(B141,Towary_na_zamówieniach!$A$4:$C$1500,2,FALSE),0)</f>
        <v>320</v>
      </c>
      <c r="L141" s="11">
        <f>_xlfn.IFNA(VLOOKUP(B141,Towary_na_zamówieniach!$A$4:$C$1500,3,FALSE),0)</f>
        <v>6049.92</v>
      </c>
      <c r="M141" s="11">
        <f>_xlfn.IFNA(VLOOKUP(B141,MBI_Dostawcy_towarów!$A$4:$C$2000,2,FALSE),"N/A")</f>
        <v>7</v>
      </c>
      <c r="N141" s="11" t="str">
        <f>IF(VLOOKUP(B141,Towary_i_uslugi!$A$3:$T$1500,17,FALSE)=0,"!NO SUPPLIER",VLOOKUP(B141,Towary_i_uslugi!$A$3:$T$1500,17))</f>
        <v xml:space="preserve">LF rozrachunki </v>
      </c>
      <c r="O141" s="11" t="str">
        <f>IF(VLOOKUP(B141,Towary_i_uslugi!$A$4:$U$1200,21,FALSE)&gt;0,VLOOKUP(B141,Towary_i_uslugi!$A$4:$U$1200,21,FALSE),"")</f>
        <v>MBI*21.9.2020* LF - first delivery</v>
      </c>
      <c r="P141" s="11">
        <f t="shared" si="6"/>
        <v>0</v>
      </c>
      <c r="Q141" s="11">
        <f t="shared" si="7"/>
        <v>0</v>
      </c>
      <c r="R141" s="17">
        <f t="shared" si="8"/>
        <v>0</v>
      </c>
      <c r="S141" s="17">
        <f>VLOOKUP($B141,   MBI_LastBuy!$A$3:E$13199,3,FALSE)</f>
        <v>80</v>
      </c>
      <c r="T141" s="13">
        <f>VLOOKUP($B141,   MBI_LastBuy!$A$3:E$13199,2,FALSE)</f>
        <v>75.61</v>
      </c>
      <c r="U141" s="13" t="str">
        <f>VLOOKUP($B141,   MBI_LastBuy!$A$3:E$13199,5,FALSE)</f>
        <v>PLN</v>
      </c>
      <c r="V141" s="15">
        <f>VLOOKUP($B141,   MBI_LastBuy!$A$3:E$13199,4,FALSE)</f>
        <v>44103</v>
      </c>
    </row>
    <row r="142" spans="1:22" x14ac:dyDescent="0.25">
      <c r="A142" s="11" t="s">
        <v>3558</v>
      </c>
      <c r="B142" s="11">
        <v>341504</v>
      </c>
      <c r="C142" s="11" t="str">
        <f>VLOOKUP(B142,Towary_i_uslugi!$A$4:$B$1500,2)</f>
        <v>ręczna premia za sprzedaż - wylatuje z oferty</v>
      </c>
      <c r="D142" s="11" t="s">
        <v>26</v>
      </c>
      <c r="E142" s="11">
        <f>VLOOKUP(B142,Towary_i_uslugi!$A$3:$T$1500,3,FALSE)</f>
        <v>2</v>
      </c>
      <c r="F142" s="11" t="str">
        <f>VLOOKUP(B142,Towary_i_uslugi!$A$3:$T$1500,20,FALSE)</f>
        <v>plastic case</v>
      </c>
      <c r="G142" s="11">
        <f>VLOOKUP(B142,MBI_Dostawcy_towarów!$A$4:$C$1399,3,FALSE)</f>
        <v>8.9499999999999993</v>
      </c>
      <c r="H142" s="11">
        <v>1</v>
      </c>
      <c r="I142" s="11">
        <v>0</v>
      </c>
      <c r="J142" s="11">
        <v>18</v>
      </c>
      <c r="K142" s="11">
        <f>_xlfn.IFNA(VLOOKUP(B142,Towary_na_zamówieniach!$A$4:$C$1500,2,FALSE),0)</f>
        <v>0</v>
      </c>
      <c r="L142" s="11">
        <f>_xlfn.IFNA(VLOOKUP(B142,Towary_na_zamówieniach!$A$4:$C$1500,3,FALSE),0)</f>
        <v>0</v>
      </c>
      <c r="M142" s="11">
        <f>_xlfn.IFNA(VLOOKUP(B142,MBI_Dostawcy_towarów!$A$4:$C$2000,2,FALSE),"N/A")</f>
        <v>42</v>
      </c>
      <c r="N142" s="11" t="str">
        <f>IF(VLOOKUP(B142,Towary_i_uslugi!$A$3:$T$1500,17,FALSE)=0,"!NO SUPPLIER",VLOOKUP(B142,Towary_i_uslugi!$A$3:$T$1500,17))</f>
        <v>ZS</v>
      </c>
      <c r="O142" s="11" t="str">
        <f>IF(VLOOKUP(B142,Towary_i_uslugi!$A$4:$U$1200,21,FALSE)&gt;0,VLOOKUP(B142,Towary_i_uslugi!$A$4:$U$1200,21,FALSE),"")</f>
        <v/>
      </c>
      <c r="P142" s="11">
        <f t="shared" si="6"/>
        <v>9</v>
      </c>
      <c r="Q142" s="11">
        <f t="shared" si="7"/>
        <v>18</v>
      </c>
      <c r="R142" s="17">
        <f t="shared" si="8"/>
        <v>924.10199999999998</v>
      </c>
      <c r="S142" s="17">
        <f>VLOOKUP($B142,   MBI_LastBuy!$A$3:E$13199,3,FALSE)</f>
        <v>100</v>
      </c>
      <c r="T142" s="13">
        <f>VLOOKUP($B142,   MBI_LastBuy!$A$3:E$13199,2,FALSE)</f>
        <v>51.338999999999999</v>
      </c>
      <c r="U142" s="13" t="str">
        <f>VLOOKUP($B142,   MBI_LastBuy!$A$3:E$13199,5,FALSE)</f>
        <v>EUR</v>
      </c>
      <c r="V142" s="15">
        <f>VLOOKUP($B142,   MBI_LastBuy!$A$3:E$13199,4,FALSE)</f>
        <v>42676</v>
      </c>
    </row>
    <row r="143" spans="1:22" x14ac:dyDescent="0.25">
      <c r="A143" s="11" t="s">
        <v>3556</v>
      </c>
      <c r="B143" s="11">
        <v>341710</v>
      </c>
      <c r="C143" s="11" t="str">
        <f>VLOOKUP(B143,Towary_i_uslugi!$A$4:$B$1500,2)</f>
        <v>(brak)</v>
      </c>
      <c r="D143" s="11" t="s">
        <v>2794</v>
      </c>
      <c r="E143" s="11">
        <f>VLOOKUP(B143,Towary_i_uslugi!$A$3:$T$1500,3,FALSE)</f>
        <v>2</v>
      </c>
      <c r="F143" s="11" t="str">
        <f>VLOOKUP(B143,Towary_i_uslugi!$A$3:$T$1500,20,FALSE)</f>
        <v>plastic case</v>
      </c>
      <c r="G143" s="11">
        <f>VLOOKUP(B143,MBI_Dostawcy_towarów!$A$4:$C$1399,3,FALSE)</f>
        <v>9.5579999999999998</v>
      </c>
      <c r="H143" s="11">
        <v>0</v>
      </c>
      <c r="I143" s="11">
        <v>0</v>
      </c>
      <c r="J143" s="11">
        <v>25</v>
      </c>
      <c r="K143" s="11">
        <f>_xlfn.IFNA(VLOOKUP(B143,Towary_na_zamówieniach!$A$4:$C$1500,2,FALSE),0)</f>
        <v>200</v>
      </c>
      <c r="L143" s="11">
        <f>_xlfn.IFNA(VLOOKUP(B143,Towary_na_zamówieniach!$A$4:$C$1500,3,FALSE),0)</f>
        <v>7472</v>
      </c>
      <c r="M143" s="11">
        <f>_xlfn.IFNA(VLOOKUP(B143,MBI_Dostawcy_towarów!$A$4:$C$2000,2,FALSE),"N/A")</f>
        <v>90</v>
      </c>
      <c r="N143" s="11" t="str">
        <f>IF(VLOOKUP(B143,Towary_i_uslugi!$A$3:$T$1500,17,FALSE)=0,"!NO SUPPLIER",VLOOKUP(B143,Towary_i_uslugi!$A$3:$T$1500,17))</f>
        <v xml:space="preserve">LF rozrachunki </v>
      </c>
      <c r="O143" s="11" t="str">
        <f>IF(VLOOKUP(B143,Towary_i_uslugi!$A$4:$U$1200,21,FALSE)&gt;0,VLOOKUP(B143,Towary_i_uslugi!$A$4:$U$1200,21,FALSE),"")</f>
        <v>MBI*21.9.2020* LF - first delivery</v>
      </c>
      <c r="P143" s="11">
        <f t="shared" si="6"/>
        <v>0</v>
      </c>
      <c r="Q143" s="11">
        <f t="shared" si="7"/>
        <v>0</v>
      </c>
      <c r="R143" s="17">
        <f t="shared" si="8"/>
        <v>0</v>
      </c>
      <c r="S143" s="17">
        <f>VLOOKUP($B143,   MBI_LastBuy!$A$3:E$13199,3,FALSE)</f>
        <v>200</v>
      </c>
      <c r="T143" s="13">
        <f>VLOOKUP($B143,   MBI_LastBuy!$A$3:E$13199,2,FALSE)</f>
        <v>37.36</v>
      </c>
      <c r="U143" s="13" t="str">
        <f>VLOOKUP($B143,   MBI_LastBuy!$A$3:E$13199,5,FALSE)</f>
        <v>USD</v>
      </c>
      <c r="V143" s="15">
        <f>VLOOKUP($B143,   MBI_LastBuy!$A$3:E$13199,4,FALSE)</f>
        <v>44095</v>
      </c>
    </row>
    <row r="144" spans="1:22" x14ac:dyDescent="0.25">
      <c r="A144" s="11" t="s">
        <v>3557</v>
      </c>
      <c r="B144" s="11">
        <v>350007</v>
      </c>
      <c r="C144" s="11" t="str">
        <f>VLOOKUP(B144,Towary_i_uslugi!$A$4:$B$1500,2)</f>
        <v>(brak)</v>
      </c>
      <c r="D144" s="11" t="s">
        <v>2795</v>
      </c>
      <c r="E144" s="11">
        <f>VLOOKUP(B144,Towary_i_uslugi!$A$3:$T$1500,3,FALSE)</f>
        <v>10</v>
      </c>
      <c r="F144" s="11" t="str">
        <f>VLOOKUP(B144,Towary_i_uslugi!$A$3:$T$1500,20,FALSE)</f>
        <v>BMC + shrink foil + leaflet</v>
      </c>
      <c r="G144" s="11">
        <f>VLOOKUP(B144,MBI_Dostawcy_towarów!$A$4:$C$1399,3,FALSE)</f>
        <v>1.3580000000000001</v>
      </c>
      <c r="H144" s="11">
        <v>45</v>
      </c>
      <c r="I144" s="11">
        <v>15</v>
      </c>
      <c r="J144" s="11">
        <v>40</v>
      </c>
      <c r="K144" s="11">
        <f>_xlfn.IFNA(VLOOKUP(B144,Towary_na_zamówieniach!$A$4:$C$1500,2,FALSE),0)</f>
        <v>0</v>
      </c>
      <c r="L144" s="11">
        <f>_xlfn.IFNA(VLOOKUP(B144,Towary_na_zamówieniach!$A$4:$C$1500,3,FALSE),0)</f>
        <v>0</v>
      </c>
      <c r="M144" s="11">
        <f>_xlfn.IFNA(VLOOKUP(B144,MBI_Dostawcy_towarów!$A$4:$C$2000,2,FALSE),"N/A")</f>
        <v>90</v>
      </c>
      <c r="N144" s="11" t="str">
        <f>IF(VLOOKUP(B144,Towary_i_uslugi!$A$3:$T$1500,17,FALSE)=0,"!NO SUPPLIER",VLOOKUP(B144,Towary_i_uslugi!$A$3:$T$1500,17))</f>
        <v xml:space="preserve">SK rozrachunki </v>
      </c>
      <c r="O144" s="11" t="str">
        <f>IF(VLOOKUP(B144,Towary_i_uslugi!$A$4:$U$1200,21,FALSE)&gt;0,VLOOKUP(B144,Towary_i_uslugi!$A$4:$U$1200,21,FALSE),"")</f>
        <v/>
      </c>
      <c r="P144" s="11">
        <f t="shared" si="6"/>
        <v>4</v>
      </c>
      <c r="Q144" s="11">
        <f t="shared" si="7"/>
        <v>40</v>
      </c>
      <c r="R144" s="17">
        <f t="shared" si="8"/>
        <v>369.6</v>
      </c>
      <c r="S144" s="17">
        <f>VLOOKUP($B144,   MBI_LastBuy!$A$3:E$13199,3,FALSE)</f>
        <v>50</v>
      </c>
      <c r="T144" s="13">
        <f>VLOOKUP($B144,   MBI_LastBuy!$A$3:E$13199,2,FALSE)</f>
        <v>9.24</v>
      </c>
      <c r="U144" s="13" t="str">
        <f>VLOOKUP($B144,   MBI_LastBuy!$A$3:E$13199,5,FALSE)</f>
        <v>USD</v>
      </c>
      <c r="V144" s="15">
        <f>VLOOKUP($B144,   MBI_LastBuy!$A$3:E$13199,4,FALSE)</f>
        <v>44102</v>
      </c>
    </row>
    <row r="145" spans="1:22" x14ac:dyDescent="0.25">
      <c r="A145" s="11" t="s">
        <v>3552</v>
      </c>
      <c r="B145" s="11">
        <v>350012</v>
      </c>
      <c r="C145" s="11" t="str">
        <f>VLOOKUP(B145,Towary_i_uslugi!$A$4:$B$1500,2)</f>
        <v>(brak)</v>
      </c>
      <c r="D145" s="11" t="s">
        <v>2517</v>
      </c>
      <c r="E145" s="11">
        <f>VLOOKUP(B145,Towary_i_uslugi!$A$3:$T$1500,3,FALSE)</f>
        <v>10</v>
      </c>
      <c r="F145" s="11" t="str">
        <f>VLOOKUP(B145,Towary_i_uslugi!$A$3:$T$1500,20,FALSE)</f>
        <v>BMC + shrink foil + leaflet</v>
      </c>
      <c r="G145" s="11">
        <f>VLOOKUP(B145,MBI_Dostawcy_towarów!$A$4:$C$1399,3,FALSE)</f>
        <v>1.6879999999999999</v>
      </c>
      <c r="H145" s="11">
        <v>1</v>
      </c>
      <c r="I145" s="11">
        <v>0</v>
      </c>
      <c r="J145" s="11">
        <v>240</v>
      </c>
      <c r="K145" s="11">
        <f>_xlfn.IFNA(VLOOKUP(B145,Towary_na_zamówieniach!$A$4:$C$1500,2,FALSE),0)</f>
        <v>480</v>
      </c>
      <c r="L145" s="11">
        <f>_xlfn.IFNA(VLOOKUP(B145,Towary_na_zamówieniach!$A$4:$C$1500,3,FALSE),0)</f>
        <v>2431.1999999999998</v>
      </c>
      <c r="M145" s="11">
        <f>_xlfn.IFNA(VLOOKUP(B145,MBI_Dostawcy_towarów!$A$4:$C$2000,2,FALSE),"N/A")</f>
        <v>90</v>
      </c>
      <c r="N145" s="11" t="str">
        <f>IF(VLOOKUP(B145,Towary_i_uslugi!$A$3:$T$1500,17,FALSE)=0,"!NO SUPPLIER",VLOOKUP(B145,Towary_i_uslugi!$A$3:$T$1500,17))</f>
        <v>XM</v>
      </c>
      <c r="O145" s="11" t="str">
        <f>IF(VLOOKUP(B145,Towary_i_uslugi!$A$4:$U$1200,21,FALSE)&gt;0,VLOOKUP(B145,Towary_i_uslugi!$A$4:$U$1200,21,FALSE),"")</f>
        <v/>
      </c>
      <c r="P145" s="11">
        <f t="shared" si="6"/>
        <v>0</v>
      </c>
      <c r="Q145" s="11">
        <f t="shared" si="7"/>
        <v>0</v>
      </c>
      <c r="R145" s="17">
        <f t="shared" si="8"/>
        <v>0</v>
      </c>
      <c r="S145" s="17">
        <f>VLOOKUP($B145,   MBI_LastBuy!$A$3:E$13199,3,FALSE)</f>
        <v>240</v>
      </c>
      <c r="T145" s="13">
        <f>VLOOKUP($B145,   MBI_LastBuy!$A$3:E$13199,2,FALSE)</f>
        <v>5.13</v>
      </c>
      <c r="U145" s="13" t="str">
        <f>VLOOKUP($B145,   MBI_LastBuy!$A$3:E$13199,5,FALSE)</f>
        <v>USD</v>
      </c>
      <c r="V145" s="15">
        <f>VLOOKUP($B145,   MBI_LastBuy!$A$3:E$13199,4,FALSE)</f>
        <v>44140</v>
      </c>
    </row>
    <row r="146" spans="1:22" x14ac:dyDescent="0.25">
      <c r="A146" s="11" t="s">
        <v>3553</v>
      </c>
      <c r="B146" s="11">
        <v>350019</v>
      </c>
      <c r="C146" s="11" t="str">
        <f>VLOOKUP(B146,Towary_i_uslugi!$A$4:$B$1500,2)</f>
        <v>(brak)</v>
      </c>
      <c r="D146" s="11" t="s">
        <v>2796</v>
      </c>
      <c r="E146" s="11">
        <f>VLOOKUP(B146,Towary_i_uslugi!$A$3:$T$1500,3,FALSE)</f>
        <v>10</v>
      </c>
      <c r="F146" s="11" t="str">
        <f>VLOOKUP(B146,Towary_i_uslugi!$A$3:$T$1500,20,FALSE)</f>
        <v>color box</v>
      </c>
      <c r="G146" s="11">
        <f>VLOOKUP(B146,MBI_Dostawcy_towarów!$A$4:$C$1399,3,FALSE)</f>
        <v>2.2040000000000002</v>
      </c>
      <c r="H146" s="11">
        <v>64</v>
      </c>
      <c r="I146" s="11">
        <v>10</v>
      </c>
      <c r="J146" s="11">
        <v>150</v>
      </c>
      <c r="K146" s="11">
        <f>_xlfn.IFNA(VLOOKUP(B146,Towary_na_zamówieniach!$A$4:$C$1500,2,FALSE),0)</f>
        <v>200</v>
      </c>
      <c r="L146" s="11">
        <f>_xlfn.IFNA(VLOOKUP(B146,Towary_na_zamówieniach!$A$4:$C$1500,3,FALSE),0)</f>
        <v>1270</v>
      </c>
      <c r="M146" s="11">
        <f>_xlfn.IFNA(VLOOKUP(B146,MBI_Dostawcy_towarów!$A$4:$C$2000,2,FALSE),"N/A")</f>
        <v>90</v>
      </c>
      <c r="N146" s="11" t="str">
        <f>IF(VLOOKUP(B146,Towary_i_uslugi!$A$3:$T$1500,17,FALSE)=0,"!NO SUPPLIER",VLOOKUP(B146,Towary_i_uslugi!$A$3:$T$1500,17))</f>
        <v>FX -MAPLE Frank Xu</v>
      </c>
      <c r="O146" s="11" t="str">
        <f>IF(VLOOKUP(B146,Towary_i_uslugi!$A$4:$U$1200,21,FALSE)&gt;0,VLOOKUP(B146,Towary_i_uslugi!$A$4:$U$1200,21,FALSE),"")</f>
        <v/>
      </c>
      <c r="P146" s="11">
        <f t="shared" si="6"/>
        <v>0</v>
      </c>
      <c r="Q146" s="11">
        <f t="shared" si="7"/>
        <v>0</v>
      </c>
      <c r="R146" s="17">
        <f t="shared" si="8"/>
        <v>0</v>
      </c>
      <c r="S146" s="17">
        <f>VLOOKUP($B146,   MBI_LastBuy!$A$3:E$13199,3,FALSE)</f>
        <v>200</v>
      </c>
      <c r="T146" s="13">
        <f>VLOOKUP($B146,   MBI_LastBuy!$A$3:E$13199,2,FALSE)</f>
        <v>6.35</v>
      </c>
      <c r="U146" s="13" t="str">
        <f>VLOOKUP($B146,   MBI_LastBuy!$A$3:E$13199,5,FALSE)</f>
        <v>USD</v>
      </c>
      <c r="V146" s="15">
        <f>VLOOKUP($B146,   MBI_LastBuy!$A$3:E$13199,4,FALSE)</f>
        <v>44083</v>
      </c>
    </row>
    <row r="147" spans="1:22" x14ac:dyDescent="0.25">
      <c r="A147" s="11" t="s">
        <v>3553</v>
      </c>
      <c r="B147" s="11">
        <v>350029</v>
      </c>
      <c r="C147" s="11" t="str">
        <f>VLOOKUP(B147,Towary_i_uslugi!$A$4:$B$1500,2)</f>
        <v>(brak)</v>
      </c>
      <c r="D147" s="11" t="s">
        <v>3620</v>
      </c>
      <c r="E147" s="11">
        <f>VLOOKUP(B147,Towary_i_uslugi!$A$3:$T$1500,3,FALSE)</f>
        <v>5</v>
      </c>
      <c r="F147" s="11" t="str">
        <f>VLOOKUP(B147,Towary_i_uslugi!$A$3:$T$1500,20,FALSE)</f>
        <v>BMC + shrink foil + leaflet</v>
      </c>
      <c r="G147" s="11">
        <f>VLOOKUP(B147,MBI_Dostawcy_towarów!$A$4:$C$1399,3,FALSE)</f>
        <v>3.3959999999999999</v>
      </c>
      <c r="H147" s="11">
        <v>14</v>
      </c>
      <c r="I147" s="11">
        <v>0</v>
      </c>
      <c r="J147" s="11">
        <v>25</v>
      </c>
      <c r="K147" s="11">
        <f>_xlfn.IFNA(VLOOKUP(B147,Towary_na_zamówieniach!$A$4:$C$1500,2,FALSE),0)</f>
        <v>50</v>
      </c>
      <c r="L147" s="11">
        <f>_xlfn.IFNA(VLOOKUP(B147,Towary_na_zamówieniach!$A$4:$C$1500,3,FALSE),0)</f>
        <v>1160</v>
      </c>
      <c r="M147" s="11">
        <f>_xlfn.IFNA(VLOOKUP(B147,MBI_Dostawcy_towarów!$A$4:$C$2000,2,FALSE),"N/A")</f>
        <v>90</v>
      </c>
      <c r="N147" s="11" t="str">
        <f>IF(VLOOKUP(B147,Towary_i_uslugi!$A$3:$T$1500,17,FALSE)=0,"!NO SUPPLIER",VLOOKUP(B147,Towary_i_uslugi!$A$3:$T$1500,17))</f>
        <v>FX -MAPLE Frank Xu</v>
      </c>
      <c r="O147" s="11" t="str">
        <f>IF(VLOOKUP(B147,Towary_i_uslugi!$A$4:$U$1200,21,FALSE)&gt;0,VLOOKUP(B147,Towary_i_uslugi!$A$4:$U$1200,21,FALSE),"")</f>
        <v/>
      </c>
      <c r="P147" s="11">
        <f t="shared" si="6"/>
        <v>0</v>
      </c>
      <c r="Q147" s="11">
        <f t="shared" si="7"/>
        <v>0</v>
      </c>
      <c r="R147" s="17">
        <f t="shared" si="8"/>
        <v>0</v>
      </c>
      <c r="S147" s="17">
        <f>VLOOKUP($B147,   MBI_LastBuy!$A$3:E$13199,3,FALSE)</f>
        <v>50</v>
      </c>
      <c r="T147" s="13">
        <f>VLOOKUP($B147,   MBI_LastBuy!$A$3:E$13199,2,FALSE)</f>
        <v>23.2</v>
      </c>
      <c r="U147" s="13" t="str">
        <f>VLOOKUP($B147,   MBI_LastBuy!$A$3:E$13199,5,FALSE)</f>
        <v>USD</v>
      </c>
      <c r="V147" s="15">
        <f>VLOOKUP($B147,   MBI_LastBuy!$A$3:E$13199,4,FALSE)</f>
        <v>44131</v>
      </c>
    </row>
    <row r="148" spans="1:22" x14ac:dyDescent="0.25">
      <c r="A148" s="11" t="s">
        <v>3553</v>
      </c>
      <c r="B148" s="11">
        <v>350055</v>
      </c>
      <c r="C148" s="11" t="str">
        <f>VLOOKUP(B148,Towary_i_uslugi!$A$4:$B$1500,2)</f>
        <v>(brak)</v>
      </c>
      <c r="D148" s="11" t="s">
        <v>2518</v>
      </c>
      <c r="E148" s="11">
        <f>VLOOKUP(B148,Towary_i_uslugi!$A$3:$T$1500,3,FALSE)</f>
        <v>10</v>
      </c>
      <c r="F148" s="11" t="str">
        <f>VLOOKUP(B148,Towary_i_uslugi!$A$3:$T$1500,20,FALSE)</f>
        <v>BMC + sticker</v>
      </c>
      <c r="G148" s="11">
        <f>VLOOKUP(B148,MBI_Dostawcy_towarów!$A$4:$C$1399,3,FALSE)</f>
        <v>1.4</v>
      </c>
      <c r="H148" s="11">
        <v>1</v>
      </c>
      <c r="I148" s="11">
        <v>0</v>
      </c>
      <c r="J148" s="11">
        <v>40</v>
      </c>
      <c r="K148" s="11">
        <f>_xlfn.IFNA(VLOOKUP(B148,Towary_na_zamówieniach!$A$4:$C$1500,2,FALSE),0)</f>
        <v>120</v>
      </c>
      <c r="L148" s="11">
        <f>_xlfn.IFNA(VLOOKUP(B148,Towary_na_zamówieniach!$A$4:$C$1500,3,FALSE),0)</f>
        <v>936</v>
      </c>
      <c r="M148" s="11">
        <f>_xlfn.IFNA(VLOOKUP(B148,MBI_Dostawcy_towarów!$A$4:$C$2000,2,FALSE),"N/A")</f>
        <v>0</v>
      </c>
      <c r="N148" s="11" t="str">
        <f>IF(VLOOKUP(B148,Towary_i_uslugi!$A$3:$T$1500,17,FALSE)=0,"!NO SUPPLIER",VLOOKUP(B148,Towary_i_uslugi!$A$3:$T$1500,17))</f>
        <v>FX -MAPLE Frank Xu</v>
      </c>
      <c r="O148" s="11" t="str">
        <f>IF(VLOOKUP(B148,Towary_i_uslugi!$A$4:$U$1200,21,FALSE)&gt;0,VLOOKUP(B148,Towary_i_uslugi!$A$4:$U$1200,21,FALSE),"")</f>
        <v/>
      </c>
      <c r="P148" s="11">
        <f t="shared" si="6"/>
        <v>0</v>
      </c>
      <c r="Q148" s="11">
        <f t="shared" si="7"/>
        <v>0</v>
      </c>
      <c r="R148" s="17">
        <f t="shared" si="8"/>
        <v>0</v>
      </c>
      <c r="S148" s="17">
        <f>VLOOKUP($B148,   MBI_LastBuy!$A$3:E$13199,3,FALSE)</f>
        <v>120</v>
      </c>
      <c r="T148" s="13">
        <f>VLOOKUP($B148,   MBI_LastBuy!$A$3:E$13199,2,FALSE)</f>
        <v>7.8</v>
      </c>
      <c r="U148" s="13" t="str">
        <f>VLOOKUP($B148,   MBI_LastBuy!$A$3:E$13199,5,FALSE)</f>
        <v>USD</v>
      </c>
      <c r="V148" s="15">
        <f>VLOOKUP($B148,   MBI_LastBuy!$A$3:E$13199,4,FALSE)</f>
        <v>44062</v>
      </c>
    </row>
    <row r="149" spans="1:22" x14ac:dyDescent="0.25">
      <c r="A149" s="11" t="s">
        <v>3553</v>
      </c>
      <c r="B149" s="11">
        <v>350067</v>
      </c>
      <c r="C149" s="11" t="str">
        <f>VLOOKUP(B149,Towary_i_uslugi!$A$4:$B$1500,2)</f>
        <v>(brak)</v>
      </c>
      <c r="D149" s="11" t="s">
        <v>2797</v>
      </c>
      <c r="E149" s="11">
        <f>VLOOKUP(B149,Towary_i_uslugi!$A$3:$T$1500,3,FALSE)</f>
        <v>10</v>
      </c>
      <c r="F149" s="11" t="str">
        <f>VLOOKUP(B149,Towary_i_uslugi!$A$3:$T$1500,20,FALSE)</f>
        <v>white box + sticker</v>
      </c>
      <c r="G149" s="11">
        <f>VLOOKUP(B149,MBI_Dostawcy_towarów!$A$4:$C$1399,3,FALSE)</f>
        <v>1.206</v>
      </c>
      <c r="H149" s="11">
        <v>25</v>
      </c>
      <c r="I149" s="11">
        <v>0</v>
      </c>
      <c r="J149" s="11">
        <v>50</v>
      </c>
      <c r="K149" s="11">
        <f>_xlfn.IFNA(VLOOKUP(B149,Towary_na_zamówieniach!$A$4:$C$1500,2,FALSE),0)</f>
        <v>150</v>
      </c>
      <c r="L149" s="11">
        <f>_xlfn.IFNA(VLOOKUP(B149,Towary_na_zamówieniach!$A$4:$C$1500,3,FALSE),0)</f>
        <v>1230</v>
      </c>
      <c r="M149" s="11">
        <f>_xlfn.IFNA(VLOOKUP(B149,MBI_Dostawcy_towarów!$A$4:$C$2000,2,FALSE),"N/A")</f>
        <v>0</v>
      </c>
      <c r="N149" s="11" t="str">
        <f>IF(VLOOKUP(B149,Towary_i_uslugi!$A$3:$T$1500,17,FALSE)=0,"!NO SUPPLIER",VLOOKUP(B149,Towary_i_uslugi!$A$3:$T$1500,17))</f>
        <v>FX -MAPLE Frank Xu</v>
      </c>
      <c r="O149" s="11" t="str">
        <f>IF(VLOOKUP(B149,Towary_i_uslugi!$A$4:$U$1200,21,FALSE)&gt;0,VLOOKUP(B149,Towary_i_uslugi!$A$4:$U$1200,21,FALSE),"")</f>
        <v/>
      </c>
      <c r="P149" s="11">
        <f t="shared" si="6"/>
        <v>0</v>
      </c>
      <c r="Q149" s="11">
        <f t="shared" si="7"/>
        <v>0</v>
      </c>
      <c r="R149" s="17">
        <f t="shared" si="8"/>
        <v>0</v>
      </c>
      <c r="S149" s="17">
        <f>VLOOKUP($B149,   MBI_LastBuy!$A$3:E$13199,3,FALSE)</f>
        <v>150</v>
      </c>
      <c r="T149" s="13">
        <f>VLOOKUP($B149,   MBI_LastBuy!$A$3:E$13199,2,FALSE)</f>
        <v>8.1999999999999993</v>
      </c>
      <c r="U149" s="13" t="str">
        <f>VLOOKUP($B149,   MBI_LastBuy!$A$3:E$13199,5,FALSE)</f>
        <v>USD</v>
      </c>
      <c r="V149" s="15">
        <f>VLOOKUP($B149,   MBI_LastBuy!$A$3:E$13199,4,FALSE)</f>
        <v>44028</v>
      </c>
    </row>
    <row r="150" spans="1:22" x14ac:dyDescent="0.25">
      <c r="A150" s="11" t="s">
        <v>3552</v>
      </c>
      <c r="B150" s="11">
        <v>350131</v>
      </c>
      <c r="C150" s="11" t="str">
        <f>VLOOKUP(B150,Towary_i_uslugi!$A$4:$B$1500,2)</f>
        <v>(brak)</v>
      </c>
      <c r="D150" s="11" t="s">
        <v>2798</v>
      </c>
      <c r="E150" s="11">
        <f>VLOOKUP(B150,Towary_i_uslugi!$A$3:$T$1500,3,FALSE)</f>
        <v>10</v>
      </c>
      <c r="F150" s="11" t="str">
        <f>VLOOKUP(B150,Towary_i_uslugi!$A$3:$T$1500,20,FALSE)</f>
        <v>metal box + shrink foil + leaflet</v>
      </c>
      <c r="G150" s="11">
        <f>VLOOKUP(B150,MBI_Dostawcy_towarów!$A$4:$C$1399,3,FALSE)</f>
        <v>2.1</v>
      </c>
      <c r="H150" s="11">
        <v>6</v>
      </c>
      <c r="I150" s="11">
        <v>5</v>
      </c>
      <c r="J150" s="11">
        <v>30</v>
      </c>
      <c r="K150" s="11">
        <f>_xlfn.IFNA(VLOOKUP(B150,Towary_na_zamówieniach!$A$4:$C$1500,2,FALSE),0)</f>
        <v>100</v>
      </c>
      <c r="L150" s="11">
        <f>_xlfn.IFNA(VLOOKUP(B150,Towary_na_zamówieniach!$A$4:$C$1500,3,FALSE),0)</f>
        <v>2000</v>
      </c>
      <c r="M150" s="11">
        <f>_xlfn.IFNA(VLOOKUP(B150,MBI_Dostawcy_towarów!$A$4:$C$2000,2,FALSE),"N/A")</f>
        <v>90</v>
      </c>
      <c r="N150" s="11" t="str">
        <f>IF(VLOOKUP(B150,Towary_i_uslugi!$A$3:$T$1500,17,FALSE)=0,"!NO SUPPLIER",VLOOKUP(B150,Towary_i_uslugi!$A$3:$T$1500,17))</f>
        <v>XM</v>
      </c>
      <c r="O150" s="11" t="str">
        <f>IF(VLOOKUP(B150,Towary_i_uslugi!$A$4:$U$1200,21,FALSE)&gt;0,VLOOKUP(B150,Towary_i_uslugi!$A$4:$U$1200,21,FALSE),"")</f>
        <v/>
      </c>
      <c r="P150" s="11">
        <f t="shared" si="6"/>
        <v>0</v>
      </c>
      <c r="Q150" s="11">
        <f t="shared" si="7"/>
        <v>0</v>
      </c>
      <c r="R150" s="17">
        <f t="shared" si="8"/>
        <v>0</v>
      </c>
      <c r="S150" s="17">
        <f>VLOOKUP($B150,   MBI_LastBuy!$A$3:E$13199,3,FALSE)</f>
        <v>100</v>
      </c>
      <c r="T150" s="13">
        <f>VLOOKUP($B150,   MBI_LastBuy!$A$3:E$13199,2,FALSE)</f>
        <v>20</v>
      </c>
      <c r="U150" s="13" t="str">
        <f>VLOOKUP($B150,   MBI_LastBuy!$A$3:E$13199,5,FALSE)</f>
        <v>USD</v>
      </c>
      <c r="V150" s="15">
        <f>VLOOKUP($B150,   MBI_LastBuy!$A$3:E$13199,4,FALSE)</f>
        <v>44117</v>
      </c>
    </row>
    <row r="151" spans="1:22" x14ac:dyDescent="0.25">
      <c r="A151" s="11" t="s">
        <v>3553</v>
      </c>
      <c r="B151" s="11">
        <v>350300</v>
      </c>
      <c r="C151" s="11" t="str">
        <f>VLOOKUP(B151,Towary_i_uslugi!$A$4:$B$1500,2)</f>
        <v>(brak)</v>
      </c>
      <c r="D151" s="11" t="s">
        <v>3621</v>
      </c>
      <c r="E151" s="11">
        <f>VLOOKUP(B151,Towary_i_uslugi!$A$3:$T$1500,3,FALSE)</f>
        <v>10</v>
      </c>
      <c r="F151" s="11" t="str">
        <f>VLOOKUP(B151,Towary_i_uslugi!$A$3:$T$1500,20,FALSE)</f>
        <v>carton box + sticker</v>
      </c>
      <c r="G151" s="11">
        <f>VLOOKUP(B151,MBI_Dostawcy_towarów!$A$4:$C$1399,3,FALSE)</f>
        <v>1.52</v>
      </c>
      <c r="H151" s="11">
        <v>125</v>
      </c>
      <c r="I151" s="11">
        <v>51</v>
      </c>
      <c r="J151" s="11">
        <v>120</v>
      </c>
      <c r="K151" s="11">
        <f>_xlfn.IFNA(VLOOKUP(B151,Towary_na_zamówieniach!$A$4:$C$1500,2,FALSE),0)</f>
        <v>120</v>
      </c>
      <c r="L151" s="11">
        <f>_xlfn.IFNA(VLOOKUP(B151,Towary_na_zamówieniach!$A$4:$C$1500,3,FALSE),0)</f>
        <v>1194</v>
      </c>
      <c r="M151" s="11">
        <f>_xlfn.IFNA(VLOOKUP(B151,MBI_Dostawcy_towarów!$A$4:$C$2000,2,FALSE),"N/A")</f>
        <v>0</v>
      </c>
      <c r="N151" s="11" t="str">
        <f>IF(VLOOKUP(B151,Towary_i_uslugi!$A$3:$T$1500,17,FALSE)=0,"!NO SUPPLIER",VLOOKUP(B151,Towary_i_uslugi!$A$3:$T$1500,17))</f>
        <v>FX -MAPLE Frank Xu</v>
      </c>
      <c r="O151" s="11" t="str">
        <f>IF(VLOOKUP(B151,Towary_i_uslugi!$A$4:$U$1200,21,FALSE)&gt;0,VLOOKUP(B151,Towary_i_uslugi!$A$4:$U$1200,21,FALSE),"")</f>
        <v/>
      </c>
      <c r="P151" s="11">
        <f t="shared" si="6"/>
        <v>0</v>
      </c>
      <c r="Q151" s="11">
        <f t="shared" si="7"/>
        <v>0</v>
      </c>
      <c r="R151" s="17">
        <f t="shared" si="8"/>
        <v>0</v>
      </c>
      <c r="S151" s="17">
        <f>VLOOKUP($B151,   MBI_LastBuy!$A$3:E$13199,3,FALSE)</f>
        <v>120</v>
      </c>
      <c r="T151" s="13">
        <f>VLOOKUP($B151,   MBI_LastBuy!$A$3:E$13199,2,FALSE)</f>
        <v>9.9499999999999993</v>
      </c>
      <c r="U151" s="13" t="str">
        <f>VLOOKUP($B151,   MBI_LastBuy!$A$3:E$13199,5,FALSE)</f>
        <v>USD</v>
      </c>
      <c r="V151" s="15">
        <f>VLOOKUP($B151,   MBI_LastBuy!$A$3:E$13199,4,FALSE)</f>
        <v>44113</v>
      </c>
    </row>
    <row r="152" spans="1:22" x14ac:dyDescent="0.25">
      <c r="A152" s="11" t="s">
        <v>3557</v>
      </c>
      <c r="B152" s="11">
        <v>350421</v>
      </c>
      <c r="C152" s="11" t="str">
        <f>VLOOKUP(B152,Towary_i_uslugi!$A$4:$B$1500,2)</f>
        <v>nowość!!! więcej info dla klienta</v>
      </c>
      <c r="D152" s="11" t="s">
        <v>2799</v>
      </c>
      <c r="E152" s="11">
        <f>VLOOKUP(B152,Towary_i_uslugi!$A$3:$T$1500,3,FALSE)</f>
        <v>10</v>
      </c>
      <c r="F152" s="11" t="str">
        <f>VLOOKUP(B152,Towary_i_uslugi!$A$3:$T$1500,20,FALSE)</f>
        <v>BMC + shrink foil + leaflet</v>
      </c>
      <c r="G152" s="11">
        <f>VLOOKUP(B152,MBI_Dostawcy_towarów!$A$4:$C$1399,3,FALSE)</f>
        <v>2.6880000000000002</v>
      </c>
      <c r="H152" s="11">
        <v>1</v>
      </c>
      <c r="I152" s="11">
        <v>0</v>
      </c>
      <c r="J152" s="11">
        <v>240</v>
      </c>
      <c r="K152" s="11">
        <f>_xlfn.IFNA(VLOOKUP(B152,Towary_na_zamówieniach!$A$4:$C$1500,2,FALSE),0)</f>
        <v>0</v>
      </c>
      <c r="L152" s="11">
        <f>_xlfn.IFNA(VLOOKUP(B152,Towary_na_zamówieniach!$A$4:$C$1500,3,FALSE),0)</f>
        <v>0</v>
      </c>
      <c r="M152" s="11">
        <f>_xlfn.IFNA(VLOOKUP(B152,MBI_Dostawcy_towarów!$A$4:$C$2000,2,FALSE),"N/A")</f>
        <v>90</v>
      </c>
      <c r="N152" s="11" t="str">
        <f>IF(VLOOKUP(B152,Towary_i_uslugi!$A$3:$T$1500,17,FALSE)=0,"!NO SUPPLIER",VLOOKUP(B152,Towary_i_uslugi!$A$3:$T$1500,17))</f>
        <v xml:space="preserve">SK rozrachunki </v>
      </c>
      <c r="O152" s="11" t="str">
        <f>IF(VLOOKUP(B152,Towary_i_uslugi!$A$4:$U$1200,21,FALSE)&gt;0,VLOOKUP(B152,Towary_i_uslugi!$A$4:$U$1200,21,FALSE),"")</f>
        <v/>
      </c>
      <c r="P152" s="11">
        <f t="shared" si="6"/>
        <v>24</v>
      </c>
      <c r="Q152" s="11">
        <f t="shared" si="7"/>
        <v>240</v>
      </c>
      <c r="R152" s="17">
        <f t="shared" si="8"/>
        <v>1747.2</v>
      </c>
      <c r="S152" s="17">
        <f>VLOOKUP($B152,   MBI_LastBuy!$A$3:E$13199,3,FALSE)</f>
        <v>300</v>
      </c>
      <c r="T152" s="13">
        <f>VLOOKUP($B152,   MBI_LastBuy!$A$3:E$13199,2,FALSE)</f>
        <v>7.28</v>
      </c>
      <c r="U152" s="13" t="str">
        <f>VLOOKUP($B152,   MBI_LastBuy!$A$3:E$13199,5,FALSE)</f>
        <v>USD</v>
      </c>
      <c r="V152" s="15">
        <f>VLOOKUP($B152,   MBI_LastBuy!$A$3:E$13199,4,FALSE)</f>
        <v>43686</v>
      </c>
    </row>
    <row r="153" spans="1:22" x14ac:dyDescent="0.25">
      <c r="A153" s="11" t="s">
        <v>3557</v>
      </c>
      <c r="B153" s="11">
        <v>350435</v>
      </c>
      <c r="C153" s="11" t="str">
        <f>VLOOKUP(B153,Towary_i_uslugi!$A$4:$B$1500,2)</f>
        <v>(brak)</v>
      </c>
      <c r="D153" s="11" t="s">
        <v>2617</v>
      </c>
      <c r="E153" s="11">
        <f>VLOOKUP(B153,Towary_i_uslugi!$A$3:$T$1500,3,FALSE)</f>
        <v>5</v>
      </c>
      <c r="F153" s="11" t="str">
        <f>VLOOKUP(B153,Towary_i_uslugi!$A$3:$T$1500,20,FALSE)</f>
        <v>BMC + shrink foil + leaflet</v>
      </c>
      <c r="G153" s="11">
        <f>VLOOKUP(B153,MBI_Dostawcy_towarów!$A$4:$C$1399,3,FALSE)</f>
        <v>4.4000000000000004</v>
      </c>
      <c r="H153" s="11">
        <v>20</v>
      </c>
      <c r="I153" s="11">
        <v>0</v>
      </c>
      <c r="J153" s="11">
        <v>30</v>
      </c>
      <c r="K153" s="11">
        <f>_xlfn.IFNA(VLOOKUP(B153,Towary_na_zamówieniach!$A$4:$C$1500,2,FALSE),0)</f>
        <v>0</v>
      </c>
      <c r="L153" s="11">
        <f>_xlfn.IFNA(VLOOKUP(B153,Towary_na_zamówieniach!$A$4:$C$1500,3,FALSE),0)</f>
        <v>0</v>
      </c>
      <c r="M153" s="11">
        <f>_xlfn.IFNA(VLOOKUP(B153,MBI_Dostawcy_towarów!$A$4:$C$2000,2,FALSE),"N/A")</f>
        <v>90</v>
      </c>
      <c r="N153" s="11" t="str">
        <f>IF(VLOOKUP(B153,Towary_i_uslugi!$A$3:$T$1500,17,FALSE)=0,"!NO SUPPLIER",VLOOKUP(B153,Towary_i_uslugi!$A$3:$T$1500,17))</f>
        <v xml:space="preserve">SK rozrachunki </v>
      </c>
      <c r="O153" s="11" t="str">
        <f>IF(VLOOKUP(B153,Towary_i_uslugi!$A$4:$U$1200,21,FALSE)&gt;0,VLOOKUP(B153,Towary_i_uslugi!$A$4:$U$1200,21,FALSE),"")</f>
        <v/>
      </c>
      <c r="P153" s="11">
        <f t="shared" si="6"/>
        <v>6</v>
      </c>
      <c r="Q153" s="11">
        <f t="shared" si="7"/>
        <v>30</v>
      </c>
      <c r="R153" s="17">
        <f t="shared" si="8"/>
        <v>3074.1</v>
      </c>
      <c r="S153" s="17">
        <f>VLOOKUP($B153,   MBI_LastBuy!$A$3:E$13199,3,FALSE)</f>
        <v>1</v>
      </c>
      <c r="T153" s="13">
        <f>VLOOKUP($B153,   MBI_LastBuy!$A$3:E$13199,2,FALSE)</f>
        <v>102.47</v>
      </c>
      <c r="U153" s="13" t="str">
        <f>VLOOKUP($B153,   MBI_LastBuy!$A$3:E$13199,5,FALSE)</f>
        <v>PLN</v>
      </c>
      <c r="V153" s="15">
        <f>VLOOKUP($B153,   MBI_LastBuy!$A$3:E$13199,4,FALSE)</f>
        <v>44119</v>
      </c>
    </row>
    <row r="154" spans="1:22" x14ac:dyDescent="0.25">
      <c r="A154" s="11" t="s">
        <v>3557</v>
      </c>
      <c r="B154" s="11">
        <v>350440</v>
      </c>
      <c r="C154" s="11" t="str">
        <f>VLOOKUP(B154,Towary_i_uslugi!$A$4:$B$1500,2)</f>
        <v>nowość!!! więcej info dla klienta</v>
      </c>
      <c r="D154" s="11" t="s">
        <v>2800</v>
      </c>
      <c r="E154" s="11">
        <f>VLOOKUP(B154,Towary_i_uslugi!$A$3:$T$1500,3,FALSE)</f>
        <v>10</v>
      </c>
      <c r="F154" s="11" t="str">
        <f>VLOOKUP(B154,Towary_i_uslugi!$A$3:$T$1500,20,FALSE)</f>
        <v>BMC</v>
      </c>
      <c r="G154" s="11">
        <f>VLOOKUP(B154,MBI_Dostawcy_towarów!$A$4:$C$1399,3,FALSE)</f>
        <v>0.75</v>
      </c>
      <c r="H154" s="11">
        <v>0</v>
      </c>
      <c r="I154" s="11">
        <v>0</v>
      </c>
      <c r="J154" s="11">
        <v>30</v>
      </c>
      <c r="K154" s="11">
        <f>_xlfn.IFNA(VLOOKUP(B154,Towary_na_zamówieniach!$A$4:$C$1500,2,FALSE),0)</f>
        <v>0</v>
      </c>
      <c r="L154" s="11">
        <f>_xlfn.IFNA(VLOOKUP(B154,Towary_na_zamówieniach!$A$4:$C$1500,3,FALSE),0)</f>
        <v>0</v>
      </c>
      <c r="M154" s="11">
        <f>_xlfn.IFNA(VLOOKUP(B154,MBI_Dostawcy_towarów!$A$4:$C$2000,2,FALSE),"N/A")</f>
        <v>90</v>
      </c>
      <c r="N154" s="11" t="str">
        <f>IF(VLOOKUP(B154,Towary_i_uslugi!$A$3:$T$1500,17,FALSE)=0,"!NO SUPPLIER",VLOOKUP(B154,Towary_i_uslugi!$A$3:$T$1500,17))</f>
        <v xml:space="preserve">SK rozrachunki </v>
      </c>
      <c r="O154" s="11" t="str">
        <f>IF(VLOOKUP(B154,Towary_i_uslugi!$A$4:$U$1200,21,FALSE)&gt;0,VLOOKUP(B154,Towary_i_uslugi!$A$4:$U$1200,21,FALSE),"")</f>
        <v/>
      </c>
      <c r="P154" s="11">
        <f t="shared" si="6"/>
        <v>3</v>
      </c>
      <c r="Q154" s="11">
        <f t="shared" si="7"/>
        <v>30</v>
      </c>
      <c r="R154" s="17" t="e">
        <f t="shared" si="8"/>
        <v>#N/A</v>
      </c>
      <c r="S154" s="17" t="e">
        <f>VLOOKUP($B154,   MBI_LastBuy!$A$3:E$13199,3,FALSE)</f>
        <v>#N/A</v>
      </c>
      <c r="T154" s="13" t="e">
        <f>VLOOKUP($B154,   MBI_LastBuy!$A$3:E$13199,2,FALSE)</f>
        <v>#N/A</v>
      </c>
      <c r="U154" s="13" t="e">
        <f>VLOOKUP($B154,   MBI_LastBuy!$A$3:E$13199,5,FALSE)</f>
        <v>#N/A</v>
      </c>
      <c r="V154" s="15" t="e">
        <f>VLOOKUP($B154,   MBI_LastBuy!$A$3:E$13199,4,FALSE)</f>
        <v>#N/A</v>
      </c>
    </row>
    <row r="155" spans="1:22" x14ac:dyDescent="0.25">
      <c r="A155" s="11" t="s">
        <v>3557</v>
      </c>
      <c r="B155" s="11">
        <v>350441</v>
      </c>
      <c r="C155" s="11" t="str">
        <f>VLOOKUP(B155,Towary_i_uslugi!$A$4:$B$1500,2)</f>
        <v>nowość!!! więcej info dla klienta</v>
      </c>
      <c r="D155" s="11" t="s">
        <v>2801</v>
      </c>
      <c r="E155" s="11">
        <f>VLOOKUP(B155,Towary_i_uslugi!$A$3:$T$1500,3,FALSE)</f>
        <v>8</v>
      </c>
      <c r="F155" s="11" t="str">
        <f>VLOOKUP(B155,Towary_i_uslugi!$A$3:$T$1500,20,FALSE)</f>
        <v>BMC</v>
      </c>
      <c r="G155" s="11">
        <f>VLOOKUP(B155,MBI_Dostawcy_towarów!$A$4:$C$1399,3,FALSE)</f>
        <v>1.08</v>
      </c>
      <c r="H155" s="11">
        <v>39</v>
      </c>
      <c r="I155" s="11">
        <v>40</v>
      </c>
      <c r="J155" s="11">
        <v>20</v>
      </c>
      <c r="K155" s="11">
        <f>_xlfn.IFNA(VLOOKUP(B155,Towary_na_zamówieniach!$A$4:$C$1500,2,FALSE),0)</f>
        <v>0</v>
      </c>
      <c r="L155" s="11">
        <f>_xlfn.IFNA(VLOOKUP(B155,Towary_na_zamówieniach!$A$4:$C$1500,3,FALSE),0)</f>
        <v>0</v>
      </c>
      <c r="M155" s="11">
        <f>_xlfn.IFNA(VLOOKUP(B155,MBI_Dostawcy_towarów!$A$4:$C$2000,2,FALSE),"N/A")</f>
        <v>90</v>
      </c>
      <c r="N155" s="11" t="str">
        <f>IF(VLOOKUP(B155,Towary_i_uslugi!$A$3:$T$1500,17,FALSE)=0,"!NO SUPPLIER",VLOOKUP(B155,Towary_i_uslugi!$A$3:$T$1500,17))</f>
        <v xml:space="preserve">SK rozrachunki </v>
      </c>
      <c r="O155" s="11" t="str">
        <f>IF(VLOOKUP(B155,Towary_i_uslugi!$A$4:$U$1200,21,FALSE)&gt;0,VLOOKUP(B155,Towary_i_uslugi!$A$4:$U$1200,21,FALSE),"")</f>
        <v>*MBI*26.10.2020* first delivery</v>
      </c>
      <c r="P155" s="11">
        <f t="shared" si="6"/>
        <v>3</v>
      </c>
      <c r="Q155" s="11">
        <f t="shared" si="7"/>
        <v>24</v>
      </c>
      <c r="R155" s="17">
        <f t="shared" si="8"/>
        <v>279.12</v>
      </c>
      <c r="S155" s="17">
        <f>VLOOKUP($B155,   MBI_LastBuy!$A$3:E$13199,3,FALSE)</f>
        <v>40</v>
      </c>
      <c r="T155" s="13">
        <f>VLOOKUP($B155,   MBI_LastBuy!$A$3:E$13199,2,FALSE)</f>
        <v>11.63</v>
      </c>
      <c r="U155" s="13" t="str">
        <f>VLOOKUP($B155,   MBI_LastBuy!$A$3:E$13199,5,FALSE)</f>
        <v>USD</v>
      </c>
      <c r="V155" s="15">
        <f>VLOOKUP($B155,   MBI_LastBuy!$A$3:E$13199,4,FALSE)</f>
        <v>44102</v>
      </c>
    </row>
    <row r="156" spans="1:22" x14ac:dyDescent="0.25">
      <c r="A156" s="11" t="s">
        <v>3557</v>
      </c>
      <c r="B156" s="11">
        <v>350515</v>
      </c>
      <c r="C156" s="11" t="str">
        <f>VLOOKUP(B156,Towary_i_uslugi!$A$4:$B$1500,2)</f>
        <v>(brak)</v>
      </c>
      <c r="D156" s="11" t="s">
        <v>2802</v>
      </c>
      <c r="E156" s="11">
        <f>VLOOKUP(B156,Towary_i_uslugi!$A$3:$T$1500,3,FALSE)</f>
        <v>2</v>
      </c>
      <c r="F156" s="11" t="str">
        <f>VLOOKUP(B156,Towary_i_uslugi!$A$3:$T$1500,20,FALSE)</f>
        <v>BMC + shrink foil + leaflet</v>
      </c>
      <c r="G156" s="11">
        <f>VLOOKUP(B156,MBI_Dostawcy_towarów!$A$4:$C$1399,3,FALSE)</f>
        <v>8.34</v>
      </c>
      <c r="H156" s="11">
        <v>1</v>
      </c>
      <c r="I156" s="11">
        <v>0</v>
      </c>
      <c r="J156" s="11">
        <v>15</v>
      </c>
      <c r="K156" s="11">
        <f>_xlfn.IFNA(VLOOKUP(B156,Towary_na_zamówieniach!$A$4:$C$1500,2,FALSE),0)</f>
        <v>0</v>
      </c>
      <c r="L156" s="11">
        <f>_xlfn.IFNA(VLOOKUP(B156,Towary_na_zamówieniach!$A$4:$C$1500,3,FALSE),0)</f>
        <v>0</v>
      </c>
      <c r="M156" s="11">
        <f>_xlfn.IFNA(VLOOKUP(B156,MBI_Dostawcy_towarów!$A$4:$C$2000,2,FALSE),"N/A")</f>
        <v>90</v>
      </c>
      <c r="N156" s="11" t="str">
        <f>IF(VLOOKUP(B156,Towary_i_uslugi!$A$3:$T$1500,17,FALSE)=0,"!NO SUPPLIER",VLOOKUP(B156,Towary_i_uslugi!$A$3:$T$1500,17))</f>
        <v xml:space="preserve">SK rozrachunki </v>
      </c>
      <c r="O156" s="11" t="str">
        <f>IF(VLOOKUP(B156,Towary_i_uslugi!$A$4:$U$1200,21,FALSE)&gt;0,VLOOKUP(B156,Towary_i_uslugi!$A$4:$U$1200,21,FALSE),"")</f>
        <v/>
      </c>
      <c r="P156" s="11">
        <f t="shared" si="6"/>
        <v>8</v>
      </c>
      <c r="Q156" s="11">
        <f t="shared" si="7"/>
        <v>16</v>
      </c>
      <c r="R156" s="17">
        <f t="shared" si="8"/>
        <v>965.44</v>
      </c>
      <c r="S156" s="17">
        <f>VLOOKUP($B156,   MBI_LastBuy!$A$3:E$13199,3,FALSE)</f>
        <v>4</v>
      </c>
      <c r="T156" s="13">
        <f>VLOOKUP($B156,   MBI_LastBuy!$A$3:E$13199,2,FALSE)</f>
        <v>60.34</v>
      </c>
      <c r="U156" s="13" t="str">
        <f>VLOOKUP($B156,   MBI_LastBuy!$A$3:E$13199,5,FALSE)</f>
        <v>EUR</v>
      </c>
      <c r="V156" s="15">
        <f>VLOOKUP($B156,   MBI_LastBuy!$A$3:E$13199,4,FALSE)</f>
        <v>43986</v>
      </c>
    </row>
    <row r="157" spans="1:22" x14ac:dyDescent="0.25">
      <c r="A157" s="11" t="s">
        <v>3557</v>
      </c>
      <c r="B157" s="11">
        <v>350517</v>
      </c>
      <c r="C157" s="11" t="str">
        <f>VLOOKUP(B157,Towary_i_uslugi!$A$4:$B$1500,2)</f>
        <v>(brak)</v>
      </c>
      <c r="D157" s="11" t="s">
        <v>2803</v>
      </c>
      <c r="E157" s="11">
        <f>VLOOKUP(B157,Towary_i_uslugi!$A$3:$T$1500,3,FALSE)</f>
        <v>10</v>
      </c>
      <c r="F157" s="11" t="str">
        <f>VLOOKUP(B157,Towary_i_uslugi!$A$3:$T$1500,20,FALSE)</f>
        <v>BMC + shrink foil + leaflet</v>
      </c>
      <c r="G157" s="11">
        <f>VLOOKUP(B157,MBI_Dostawcy_towarów!$A$4:$C$1399,3,FALSE)</f>
        <v>4.3419999999999996</v>
      </c>
      <c r="H157" s="11">
        <v>9</v>
      </c>
      <c r="I157" s="11">
        <v>0</v>
      </c>
      <c r="J157" s="11">
        <v>15</v>
      </c>
      <c r="K157" s="11">
        <f>_xlfn.IFNA(VLOOKUP(B157,Towary_na_zamówieniach!$A$4:$C$1500,2,FALSE),0)</f>
        <v>0</v>
      </c>
      <c r="L157" s="11">
        <f>_xlfn.IFNA(VLOOKUP(B157,Towary_na_zamówieniach!$A$4:$C$1500,3,FALSE),0)</f>
        <v>0</v>
      </c>
      <c r="M157" s="11">
        <f>_xlfn.IFNA(VLOOKUP(B157,MBI_Dostawcy_towarów!$A$4:$C$2000,2,FALSE),"N/A")</f>
        <v>90</v>
      </c>
      <c r="N157" s="11" t="str">
        <f>IF(VLOOKUP(B157,Towary_i_uslugi!$A$3:$T$1500,17,FALSE)=0,"!NO SUPPLIER",VLOOKUP(B157,Towary_i_uslugi!$A$3:$T$1500,17))</f>
        <v xml:space="preserve">SK rozrachunki </v>
      </c>
      <c r="O157" s="11" t="str">
        <f>IF(VLOOKUP(B157,Towary_i_uslugi!$A$4:$U$1200,21,FALSE)&gt;0,VLOOKUP(B157,Towary_i_uslugi!$A$4:$U$1200,21,FALSE),"")</f>
        <v/>
      </c>
      <c r="P157" s="11">
        <f t="shared" si="6"/>
        <v>2</v>
      </c>
      <c r="Q157" s="11">
        <f t="shared" si="7"/>
        <v>20</v>
      </c>
      <c r="R157" s="17">
        <f t="shared" si="8"/>
        <v>248.4</v>
      </c>
      <c r="S157" s="17">
        <f>VLOOKUP($B157,   MBI_LastBuy!$A$3:E$13199,3,FALSE)</f>
        <v>30</v>
      </c>
      <c r="T157" s="13">
        <f>VLOOKUP($B157,   MBI_LastBuy!$A$3:E$13199,2,FALSE)</f>
        <v>12.42</v>
      </c>
      <c r="U157" s="13" t="str">
        <f>VLOOKUP($B157,   MBI_LastBuy!$A$3:E$13199,5,FALSE)</f>
        <v>USD</v>
      </c>
      <c r="V157" s="15">
        <f>VLOOKUP($B157,   MBI_LastBuy!$A$3:E$13199,4,FALSE)</f>
        <v>43686</v>
      </c>
    </row>
    <row r="158" spans="1:22" x14ac:dyDescent="0.25">
      <c r="A158" s="11" t="s">
        <v>3557</v>
      </c>
      <c r="B158" s="11">
        <v>350520</v>
      </c>
      <c r="C158" s="11" t="str">
        <f>VLOOKUP(B158,Towary_i_uslugi!$A$4:$B$1500,2)</f>
        <v>(brak)</v>
      </c>
      <c r="D158" s="11" t="s">
        <v>2804</v>
      </c>
      <c r="E158" s="11">
        <f>VLOOKUP(B158,Towary_i_uslugi!$A$3:$T$1500,3,FALSE)</f>
        <v>5</v>
      </c>
      <c r="F158" s="11" t="str">
        <f>VLOOKUP(B158,Towary_i_uslugi!$A$3:$T$1500,20,FALSE)</f>
        <v>BMC + sticker</v>
      </c>
      <c r="G158" s="11">
        <f>VLOOKUP(B158,MBI_Dostawcy_towarów!$A$4:$C$1399,3,FALSE)</f>
        <v>2.0920000000000001</v>
      </c>
      <c r="H158" s="11">
        <v>7</v>
      </c>
      <c r="I158" s="11">
        <v>0</v>
      </c>
      <c r="J158" s="11">
        <v>15</v>
      </c>
      <c r="K158" s="11">
        <f>_xlfn.IFNA(VLOOKUP(B158,Towary_na_zamówieniach!$A$4:$C$1500,2,FALSE),0)</f>
        <v>0</v>
      </c>
      <c r="L158" s="11">
        <f>_xlfn.IFNA(VLOOKUP(B158,Towary_na_zamówieniach!$A$4:$C$1500,3,FALSE),0)</f>
        <v>0</v>
      </c>
      <c r="M158" s="11">
        <f>_xlfn.IFNA(VLOOKUP(B158,MBI_Dostawcy_towarów!$A$4:$C$2000,2,FALSE),"N/A")</f>
        <v>90</v>
      </c>
      <c r="N158" s="11" t="str">
        <f>IF(VLOOKUP(B158,Towary_i_uslugi!$A$3:$T$1500,17,FALSE)=0,"!NO SUPPLIER",VLOOKUP(B158,Towary_i_uslugi!$A$3:$T$1500,17))</f>
        <v xml:space="preserve">SK rozrachunki </v>
      </c>
      <c r="O158" s="11" t="str">
        <f>IF(VLOOKUP(B158,Towary_i_uslugi!$A$4:$U$1200,21,FALSE)&gt;0,VLOOKUP(B158,Towary_i_uslugi!$A$4:$U$1200,21,FALSE),"")</f>
        <v/>
      </c>
      <c r="P158" s="11">
        <f t="shared" si="6"/>
        <v>3</v>
      </c>
      <c r="Q158" s="11">
        <f t="shared" si="7"/>
        <v>15</v>
      </c>
      <c r="R158" s="17">
        <f t="shared" si="8"/>
        <v>215.85000000000002</v>
      </c>
      <c r="S158" s="17">
        <f>VLOOKUP($B158,   MBI_LastBuy!$A$3:E$13199,3,FALSE)</f>
        <v>30</v>
      </c>
      <c r="T158" s="13">
        <f>VLOOKUP($B158,   MBI_LastBuy!$A$3:E$13199,2,FALSE)</f>
        <v>14.39</v>
      </c>
      <c r="U158" s="13" t="str">
        <f>VLOOKUP($B158,   MBI_LastBuy!$A$3:E$13199,5,FALSE)</f>
        <v>USD</v>
      </c>
      <c r="V158" s="15">
        <f>VLOOKUP($B158,   MBI_LastBuy!$A$3:E$13199,4,FALSE)</f>
        <v>43686</v>
      </c>
    </row>
    <row r="159" spans="1:22" x14ac:dyDescent="0.25">
      <c r="A159" s="11" t="s">
        <v>3557</v>
      </c>
      <c r="B159" s="11">
        <v>350539</v>
      </c>
      <c r="C159" s="11" t="str">
        <f>VLOOKUP(B159,Towary_i_uslugi!$A$4:$B$1500,2)</f>
        <v>nowość!!! więcej info dla klienta</v>
      </c>
      <c r="D159" s="11" t="s">
        <v>2805</v>
      </c>
      <c r="E159" s="11">
        <f>VLOOKUP(B159,Towary_i_uslugi!$A$3:$T$1500,3,FALSE)</f>
        <v>4</v>
      </c>
      <c r="F159" s="11" t="str">
        <f>VLOOKUP(B159,Towary_i_uslugi!$A$3:$T$1500,20,FALSE)</f>
        <v>BMC + shrink foil + leaflet</v>
      </c>
      <c r="G159" s="11">
        <f>VLOOKUP(B159,MBI_Dostawcy_towarów!$A$4:$C$1399,3,FALSE)</f>
        <v>3.56</v>
      </c>
      <c r="H159" s="11">
        <v>0</v>
      </c>
      <c r="I159" s="11">
        <v>0</v>
      </c>
      <c r="J159" s="11">
        <v>25</v>
      </c>
      <c r="K159" s="11">
        <f>_xlfn.IFNA(VLOOKUP(B159,Towary_na_zamówieniach!$A$4:$C$1500,2,FALSE),0)</f>
        <v>0</v>
      </c>
      <c r="L159" s="11">
        <f>_xlfn.IFNA(VLOOKUP(B159,Towary_na_zamówieniach!$A$4:$C$1500,3,FALSE),0)</f>
        <v>0</v>
      </c>
      <c r="M159" s="11">
        <f>_xlfn.IFNA(VLOOKUP(B159,MBI_Dostawcy_towarów!$A$4:$C$2000,2,FALSE),"N/A")</f>
        <v>90</v>
      </c>
      <c r="N159" s="11" t="str">
        <f>IF(VLOOKUP(B159,Towary_i_uslugi!$A$3:$T$1500,17,FALSE)=0,"!NO SUPPLIER",VLOOKUP(B159,Towary_i_uslugi!$A$3:$T$1500,17))</f>
        <v xml:space="preserve">SK rozrachunki </v>
      </c>
      <c r="O159" s="11" t="str">
        <f>IF(VLOOKUP(B159,Towary_i_uslugi!$A$4:$U$1200,21,FALSE)&gt;0,VLOOKUP(B159,Towary_i_uslugi!$A$4:$U$1200,21,FALSE),"")</f>
        <v/>
      </c>
      <c r="P159" s="11">
        <f t="shared" si="6"/>
        <v>7</v>
      </c>
      <c r="Q159" s="11">
        <f t="shared" si="7"/>
        <v>28</v>
      </c>
      <c r="R159" s="17">
        <f t="shared" si="8"/>
        <v>635.04</v>
      </c>
      <c r="S159" s="17">
        <f>VLOOKUP($B159,   MBI_LastBuy!$A$3:E$13199,3,FALSE)</f>
        <v>32</v>
      </c>
      <c r="T159" s="13">
        <f>VLOOKUP($B159,   MBI_LastBuy!$A$3:E$13199,2,FALSE)</f>
        <v>22.68</v>
      </c>
      <c r="U159" s="13" t="str">
        <f>VLOOKUP($B159,   MBI_LastBuy!$A$3:E$13199,5,FALSE)</f>
        <v>USD</v>
      </c>
      <c r="V159" s="15">
        <f>VLOOKUP($B159,   MBI_LastBuy!$A$3:E$13199,4,FALSE)</f>
        <v>43686</v>
      </c>
    </row>
    <row r="160" spans="1:22" x14ac:dyDescent="0.25">
      <c r="A160" s="11" t="s">
        <v>3557</v>
      </c>
      <c r="B160" s="11">
        <v>350550</v>
      </c>
      <c r="C160" s="11" t="str">
        <f>VLOOKUP(B160,Towary_i_uslugi!$A$4:$B$1500,2)</f>
        <v>(brak)</v>
      </c>
      <c r="D160" s="11" t="s">
        <v>2618</v>
      </c>
      <c r="E160" s="11">
        <f>VLOOKUP(B160,Towary_i_uslugi!$A$3:$T$1500,3,FALSE)</f>
        <v>4</v>
      </c>
      <c r="F160" s="11" t="str">
        <f>VLOOKUP(B160,Towary_i_uslugi!$A$3:$T$1500,20,FALSE)</f>
        <v>BMC + shrink foil + leaflet</v>
      </c>
      <c r="G160" s="11">
        <f>VLOOKUP(B160,MBI_Dostawcy_towarów!$A$4:$C$1399,3,FALSE)</f>
        <v>5.085</v>
      </c>
      <c r="H160" s="11">
        <v>13</v>
      </c>
      <c r="I160" s="11">
        <v>0</v>
      </c>
      <c r="J160" s="11">
        <v>25</v>
      </c>
      <c r="K160" s="11">
        <f>_xlfn.IFNA(VLOOKUP(B160,Towary_na_zamówieniach!$A$4:$C$1500,2,FALSE),0)</f>
        <v>0</v>
      </c>
      <c r="L160" s="11">
        <f>_xlfn.IFNA(VLOOKUP(B160,Towary_na_zamówieniach!$A$4:$C$1500,3,FALSE),0)</f>
        <v>0</v>
      </c>
      <c r="M160" s="11">
        <f>_xlfn.IFNA(VLOOKUP(B160,MBI_Dostawcy_towarów!$A$4:$C$2000,2,FALSE),"N/A")</f>
        <v>90</v>
      </c>
      <c r="N160" s="11" t="str">
        <f>IF(VLOOKUP(B160,Towary_i_uslugi!$A$3:$T$1500,17,FALSE)=0,"!NO SUPPLIER",VLOOKUP(B160,Towary_i_uslugi!$A$3:$T$1500,17))</f>
        <v xml:space="preserve">SK rozrachunki </v>
      </c>
      <c r="O160" s="11" t="str">
        <f>IF(VLOOKUP(B160,Towary_i_uslugi!$A$4:$U$1200,21,FALSE)&gt;0,VLOOKUP(B160,Towary_i_uslugi!$A$4:$U$1200,21,FALSE),"")</f>
        <v/>
      </c>
      <c r="P160" s="11">
        <f t="shared" si="6"/>
        <v>7</v>
      </c>
      <c r="Q160" s="11">
        <f t="shared" si="7"/>
        <v>28</v>
      </c>
      <c r="R160" s="17">
        <f t="shared" si="8"/>
        <v>1315.1599999999999</v>
      </c>
      <c r="S160" s="17">
        <f>VLOOKUP($B160,   MBI_LastBuy!$A$3:E$13199,3,FALSE)</f>
        <v>32</v>
      </c>
      <c r="T160" s="13">
        <f>VLOOKUP($B160,   MBI_LastBuy!$A$3:E$13199,2,FALSE)</f>
        <v>46.97</v>
      </c>
      <c r="U160" s="13" t="str">
        <f>VLOOKUP($B160,   MBI_LastBuy!$A$3:E$13199,5,FALSE)</f>
        <v>USD</v>
      </c>
      <c r="V160" s="15">
        <f>VLOOKUP($B160,   MBI_LastBuy!$A$3:E$13199,4,FALSE)</f>
        <v>43686</v>
      </c>
    </row>
    <row r="161" spans="1:22" x14ac:dyDescent="0.25">
      <c r="A161" s="11" t="s">
        <v>3557</v>
      </c>
      <c r="B161" s="11">
        <v>350624</v>
      </c>
      <c r="C161" s="11" t="str">
        <f>VLOOKUP(B161,Towary_i_uslugi!$A$4:$B$1500,2)</f>
        <v>nowość!!! więcej info dla klienta</v>
      </c>
      <c r="D161" s="11" t="s">
        <v>2806</v>
      </c>
      <c r="E161" s="11">
        <f>VLOOKUP(B161,Towary_i_uslugi!$A$3:$T$1500,3,FALSE)</f>
        <v>5</v>
      </c>
      <c r="F161" s="11" t="str">
        <f>VLOOKUP(B161,Towary_i_uslugi!$A$3:$T$1500,20,FALSE)</f>
        <v>BMC + shrink foil + leaflet</v>
      </c>
      <c r="G161" s="11">
        <f>VLOOKUP(B161,MBI_Dostawcy_towarów!$A$4:$C$1399,3,FALSE)</f>
        <v>5.53</v>
      </c>
      <c r="H161" s="11">
        <v>1</v>
      </c>
      <c r="I161" s="11">
        <v>0</v>
      </c>
      <c r="J161" s="11">
        <v>30</v>
      </c>
      <c r="K161" s="11">
        <f>_xlfn.IFNA(VLOOKUP(B161,Towary_na_zamówieniach!$A$4:$C$1500,2,FALSE),0)</f>
        <v>0</v>
      </c>
      <c r="L161" s="11">
        <f>_xlfn.IFNA(VLOOKUP(B161,Towary_na_zamówieniach!$A$4:$C$1500,3,FALSE),0)</f>
        <v>0</v>
      </c>
      <c r="M161" s="11">
        <f>_xlfn.IFNA(VLOOKUP(B161,MBI_Dostawcy_towarów!$A$4:$C$2000,2,FALSE),"N/A")</f>
        <v>90</v>
      </c>
      <c r="N161" s="11" t="str">
        <f>IF(VLOOKUP(B161,Towary_i_uslugi!$A$3:$T$1500,17,FALSE)=0,"!NO SUPPLIER",VLOOKUP(B161,Towary_i_uslugi!$A$3:$T$1500,17))</f>
        <v xml:space="preserve">SK rozrachunki </v>
      </c>
      <c r="O161" s="11" t="str">
        <f>IF(VLOOKUP(B161,Towary_i_uslugi!$A$4:$U$1200,21,FALSE)&gt;0,VLOOKUP(B161,Towary_i_uslugi!$A$4:$U$1200,21,FALSE),"")</f>
        <v/>
      </c>
      <c r="P161" s="11">
        <f t="shared" si="6"/>
        <v>6</v>
      </c>
      <c r="Q161" s="11">
        <f t="shared" si="7"/>
        <v>30</v>
      </c>
      <c r="R161" s="17">
        <f t="shared" si="8"/>
        <v>456</v>
      </c>
      <c r="S161" s="17">
        <f>VLOOKUP($B161,   MBI_LastBuy!$A$3:E$13199,3,FALSE)</f>
        <v>30</v>
      </c>
      <c r="T161" s="13">
        <f>VLOOKUP($B161,   MBI_LastBuy!$A$3:E$13199,2,FALSE)</f>
        <v>15.2</v>
      </c>
      <c r="U161" s="13" t="str">
        <f>VLOOKUP($B161,   MBI_LastBuy!$A$3:E$13199,5,FALSE)</f>
        <v>USD</v>
      </c>
      <c r="V161" s="15">
        <f>VLOOKUP($B161,   MBI_LastBuy!$A$3:E$13199,4,FALSE)</f>
        <v>43686</v>
      </c>
    </row>
    <row r="162" spans="1:22" x14ac:dyDescent="0.25">
      <c r="A162" s="11" t="s">
        <v>3557</v>
      </c>
      <c r="B162" s="11">
        <v>350802</v>
      </c>
      <c r="C162" s="11" t="str">
        <f>VLOOKUP(B162,Towary_i_uslugi!$A$4:$B$1500,2)</f>
        <v>nowość!!! więcej info dla klienta</v>
      </c>
      <c r="D162" s="11" t="s">
        <v>2807</v>
      </c>
      <c r="E162" s="11">
        <f>VLOOKUP(B162,Towary_i_uslugi!$A$3:$T$1500,3,FALSE)</f>
        <v>20</v>
      </c>
      <c r="F162" s="11" t="str">
        <f>VLOOKUP(B162,Towary_i_uslugi!$A$3:$T$1500,20,FALSE)</f>
        <v>pvc box + sticker</v>
      </c>
      <c r="G162" s="11">
        <f>VLOOKUP(B162,MBI_Dostawcy_towarów!$A$4:$C$1399,3,FALSE)</f>
        <v>0.65</v>
      </c>
      <c r="H162" s="11">
        <v>0</v>
      </c>
      <c r="I162" s="11">
        <v>0</v>
      </c>
      <c r="J162" s="11">
        <v>25</v>
      </c>
      <c r="K162" s="11">
        <f>_xlfn.IFNA(VLOOKUP(B162,Towary_na_zamówieniach!$A$4:$C$1500,2,FALSE),0)</f>
        <v>0</v>
      </c>
      <c r="L162" s="11">
        <f>_xlfn.IFNA(VLOOKUP(B162,Towary_na_zamówieniach!$A$4:$C$1500,3,FALSE),0)</f>
        <v>0</v>
      </c>
      <c r="M162" s="11">
        <f>_xlfn.IFNA(VLOOKUP(B162,MBI_Dostawcy_towarów!$A$4:$C$2000,2,FALSE),"N/A")</f>
        <v>90</v>
      </c>
      <c r="N162" s="11" t="str">
        <f>IF(VLOOKUP(B162,Towary_i_uslugi!$A$3:$T$1500,17,FALSE)=0,"!NO SUPPLIER",VLOOKUP(B162,Towary_i_uslugi!$A$3:$T$1500,17))</f>
        <v xml:space="preserve">SK rozrachunki </v>
      </c>
      <c r="O162" s="11" t="str">
        <f>IF(VLOOKUP(B162,Towary_i_uslugi!$A$4:$U$1200,21,FALSE)&gt;0,VLOOKUP(B162,Towary_i_uslugi!$A$4:$U$1200,21,FALSE),"")</f>
        <v/>
      </c>
      <c r="P162" s="11">
        <f t="shared" si="6"/>
        <v>2</v>
      </c>
      <c r="Q162" s="11">
        <f t="shared" si="7"/>
        <v>40</v>
      </c>
      <c r="R162" s="17" t="e">
        <f t="shared" si="8"/>
        <v>#N/A</v>
      </c>
      <c r="S162" s="17" t="e">
        <f>VLOOKUP($B162,   MBI_LastBuy!$A$3:E$13199,3,FALSE)</f>
        <v>#N/A</v>
      </c>
      <c r="T162" s="13" t="e">
        <f>VLOOKUP($B162,   MBI_LastBuy!$A$3:E$13199,2,FALSE)</f>
        <v>#N/A</v>
      </c>
      <c r="U162" s="13" t="e">
        <f>VLOOKUP($B162,   MBI_LastBuy!$A$3:E$13199,5,FALSE)</f>
        <v>#N/A</v>
      </c>
      <c r="V162" s="15" t="e">
        <f>VLOOKUP($B162,   MBI_LastBuy!$A$3:E$13199,4,FALSE)</f>
        <v>#N/A</v>
      </c>
    </row>
    <row r="163" spans="1:22" x14ac:dyDescent="0.25">
      <c r="A163" s="11" t="s">
        <v>3557</v>
      </c>
      <c r="B163" s="11">
        <v>350809</v>
      </c>
      <c r="C163" s="11" t="str">
        <f>VLOOKUP(B163,Towary_i_uslugi!$A$4:$B$1500,2)</f>
        <v>nowość!!! więcej info dla klienta</v>
      </c>
      <c r="D163" s="11" t="s">
        <v>2808</v>
      </c>
      <c r="E163" s="11">
        <f>VLOOKUP(B163,Towary_i_uslugi!$A$3:$T$1500,3,FALSE)</f>
        <v>10</v>
      </c>
      <c r="F163" s="11" t="str">
        <f>VLOOKUP(B163,Towary_i_uslugi!$A$3:$T$1500,20,FALSE)</f>
        <v>BMC</v>
      </c>
      <c r="G163" s="11">
        <f>VLOOKUP(B163,MBI_Dostawcy_towarów!$A$4:$C$1399,3,FALSE)</f>
        <v>1.7</v>
      </c>
      <c r="H163" s="11">
        <v>0</v>
      </c>
      <c r="I163" s="11">
        <v>0</v>
      </c>
      <c r="J163" s="11">
        <v>12</v>
      </c>
      <c r="K163" s="11">
        <f>_xlfn.IFNA(VLOOKUP(B163,Towary_na_zamówieniach!$A$4:$C$1500,2,FALSE),0)</f>
        <v>0</v>
      </c>
      <c r="L163" s="11">
        <f>_xlfn.IFNA(VLOOKUP(B163,Towary_na_zamówieniach!$A$4:$C$1500,3,FALSE),0)</f>
        <v>0</v>
      </c>
      <c r="M163" s="11">
        <f>_xlfn.IFNA(VLOOKUP(B163,MBI_Dostawcy_towarów!$A$4:$C$2000,2,FALSE),"N/A")</f>
        <v>90</v>
      </c>
      <c r="N163" s="11" t="str">
        <f>IF(VLOOKUP(B163,Towary_i_uslugi!$A$3:$T$1500,17,FALSE)=0,"!NO SUPPLIER",VLOOKUP(B163,Towary_i_uslugi!$A$3:$T$1500,17))</f>
        <v xml:space="preserve">SK rozrachunki </v>
      </c>
      <c r="O163" s="11" t="str">
        <f>IF(VLOOKUP(B163,Towary_i_uslugi!$A$4:$U$1200,21,FALSE)&gt;0,VLOOKUP(B163,Towary_i_uslugi!$A$4:$U$1200,21,FALSE),"")</f>
        <v/>
      </c>
      <c r="P163" s="11">
        <f t="shared" si="6"/>
        <v>2</v>
      </c>
      <c r="Q163" s="11">
        <f t="shared" si="7"/>
        <v>20</v>
      </c>
      <c r="R163" s="17" t="e">
        <f t="shared" si="8"/>
        <v>#N/A</v>
      </c>
      <c r="S163" s="17" t="e">
        <f>VLOOKUP($B163,   MBI_LastBuy!$A$3:E$13199,3,FALSE)</f>
        <v>#N/A</v>
      </c>
      <c r="T163" s="13" t="e">
        <f>VLOOKUP($B163,   MBI_LastBuy!$A$3:E$13199,2,FALSE)</f>
        <v>#N/A</v>
      </c>
      <c r="U163" s="13" t="e">
        <f>VLOOKUP($B163,   MBI_LastBuy!$A$3:E$13199,5,FALSE)</f>
        <v>#N/A</v>
      </c>
      <c r="V163" s="15" t="e">
        <f>VLOOKUP($B163,   MBI_LastBuy!$A$3:E$13199,4,FALSE)</f>
        <v>#N/A</v>
      </c>
    </row>
    <row r="164" spans="1:22" x14ac:dyDescent="0.25">
      <c r="A164" s="11" t="s">
        <v>3553</v>
      </c>
      <c r="B164" s="11">
        <v>350823</v>
      </c>
      <c r="C164" s="11" t="str">
        <f>VLOOKUP(B164,Towary_i_uslugi!$A$4:$B$1500,2)</f>
        <v>(brak)</v>
      </c>
      <c r="D164" s="11" t="s">
        <v>1637</v>
      </c>
      <c r="E164" s="11">
        <f>VLOOKUP(B164,Towary_i_uslugi!$A$3:$T$1500,3,FALSE)</f>
        <v>60</v>
      </c>
      <c r="F164" s="11" t="str">
        <f>VLOOKUP(B164,Towary_i_uslugi!$A$3:$T$1500,20,FALSE)</f>
        <v>double blister+sticker</v>
      </c>
      <c r="G164" s="11">
        <f>VLOOKUP(B164,MBI_Dostawcy_towarów!$A$4:$C$1399,3,FALSE)</f>
        <v>0.317</v>
      </c>
      <c r="H164" s="11">
        <v>36</v>
      </c>
      <c r="I164" s="11">
        <v>35</v>
      </c>
      <c r="J164" s="11">
        <v>100</v>
      </c>
      <c r="K164" s="11">
        <f>_xlfn.IFNA(VLOOKUP(B164,Towary_na_zamówieniach!$A$4:$C$1500,2,FALSE),0)</f>
        <v>200</v>
      </c>
      <c r="L164" s="11">
        <f>_xlfn.IFNA(VLOOKUP(B164,Towary_na_zamówieniach!$A$4:$C$1500,3,FALSE),0)</f>
        <v>998</v>
      </c>
      <c r="M164" s="11">
        <f>_xlfn.IFNA(VLOOKUP(B164,MBI_Dostawcy_towarów!$A$4:$C$2000,2,FALSE),"N/A")</f>
        <v>90</v>
      </c>
      <c r="N164" s="11" t="str">
        <f>IF(VLOOKUP(B164,Towary_i_uslugi!$A$3:$T$1500,17,FALSE)=0,"!NO SUPPLIER",VLOOKUP(B164,Towary_i_uslugi!$A$3:$T$1500,17))</f>
        <v>FX -MAPLE Frank Xu</v>
      </c>
      <c r="O164" s="11" t="str">
        <f>IF(VLOOKUP(B164,Towary_i_uslugi!$A$4:$U$1200,21,FALSE)&gt;0,VLOOKUP(B164,Towary_i_uslugi!$A$4:$U$1200,21,FALSE),"")</f>
        <v>MBI*30.06.2020* FX first delivery - ok?</v>
      </c>
      <c r="P164" s="11">
        <f t="shared" si="6"/>
        <v>0</v>
      </c>
      <c r="Q164" s="11">
        <f t="shared" si="7"/>
        <v>0</v>
      </c>
      <c r="R164" s="17">
        <f t="shared" si="8"/>
        <v>0</v>
      </c>
      <c r="S164" s="17">
        <f>VLOOKUP($B164,   MBI_LastBuy!$A$3:E$13199,3,FALSE)</f>
        <v>200</v>
      </c>
      <c r="T164" s="13">
        <f>VLOOKUP($B164,   MBI_LastBuy!$A$3:E$13199,2,FALSE)</f>
        <v>4.99</v>
      </c>
      <c r="U164" s="13" t="str">
        <f>VLOOKUP($B164,   MBI_LastBuy!$A$3:E$13199,5,FALSE)</f>
        <v>USD</v>
      </c>
      <c r="V164" s="15">
        <f>VLOOKUP($B164,   MBI_LastBuy!$A$3:E$13199,4,FALSE)</f>
        <v>44098</v>
      </c>
    </row>
    <row r="165" spans="1:22" x14ac:dyDescent="0.25">
      <c r="A165" s="11" t="s">
        <v>3557</v>
      </c>
      <c r="B165" s="11">
        <v>350910</v>
      </c>
      <c r="C165" s="11" t="str">
        <f>VLOOKUP(B165,Towary_i_uslugi!$A$4:$B$1500,2)</f>
        <v>(brak)</v>
      </c>
      <c r="D165" s="11" t="s">
        <v>2809</v>
      </c>
      <c r="E165" s="11">
        <f>VLOOKUP(B165,Towary_i_uslugi!$A$3:$T$1500,3,FALSE)</f>
        <v>48</v>
      </c>
      <c r="F165" s="11" t="str">
        <f>VLOOKUP(B165,Towary_i_uslugi!$A$3:$T$1500,20,FALSE)</f>
        <v>slide card</v>
      </c>
      <c r="G165" s="11">
        <f>VLOOKUP(B165,MBI_Dostawcy_towarów!$A$4:$C$1399,3,FALSE)</f>
        <v>0.21199999999999999</v>
      </c>
      <c r="H165" s="11">
        <v>15</v>
      </c>
      <c r="I165" s="11">
        <v>14</v>
      </c>
      <c r="J165" s="11">
        <v>72</v>
      </c>
      <c r="K165" s="11">
        <f>_xlfn.IFNA(VLOOKUP(B165,Towary_na_zamówieniach!$A$4:$C$1500,2,FALSE),0)</f>
        <v>0</v>
      </c>
      <c r="L165" s="11">
        <f>_xlfn.IFNA(VLOOKUP(B165,Towary_na_zamówieniach!$A$4:$C$1500,3,FALSE),0)</f>
        <v>0</v>
      </c>
      <c r="M165" s="11">
        <f>_xlfn.IFNA(VLOOKUP(B165,MBI_Dostawcy_towarów!$A$4:$C$2000,2,FALSE),"N/A")</f>
        <v>90</v>
      </c>
      <c r="N165" s="11" t="str">
        <f>IF(VLOOKUP(B165,Towary_i_uslugi!$A$3:$T$1500,17,FALSE)=0,"!NO SUPPLIER",VLOOKUP(B165,Towary_i_uslugi!$A$3:$T$1500,17))</f>
        <v xml:space="preserve">SK rozrachunki </v>
      </c>
      <c r="O165" s="11" t="str">
        <f>IF(VLOOKUP(B165,Towary_i_uslugi!$A$4:$U$1200,21,FALSE)&gt;0,VLOOKUP(B165,Towary_i_uslugi!$A$4:$U$1200,21,FALSE),"")</f>
        <v/>
      </c>
      <c r="P165" s="11">
        <f t="shared" si="6"/>
        <v>2</v>
      </c>
      <c r="Q165" s="11">
        <f t="shared" si="7"/>
        <v>96</v>
      </c>
      <c r="R165" s="17">
        <f t="shared" si="8"/>
        <v>149.76</v>
      </c>
      <c r="S165" s="17">
        <f>VLOOKUP($B165,   MBI_LastBuy!$A$3:E$13199,3,FALSE)</f>
        <v>144</v>
      </c>
      <c r="T165" s="13">
        <f>VLOOKUP($B165,   MBI_LastBuy!$A$3:E$13199,2,FALSE)</f>
        <v>1.56</v>
      </c>
      <c r="U165" s="13" t="str">
        <f>VLOOKUP($B165,   MBI_LastBuy!$A$3:E$13199,5,FALSE)</f>
        <v>USD</v>
      </c>
      <c r="V165" s="15">
        <f>VLOOKUP($B165,   MBI_LastBuy!$A$3:E$13199,4,FALSE)</f>
        <v>43686</v>
      </c>
    </row>
    <row r="166" spans="1:22" x14ac:dyDescent="0.25">
      <c r="A166" s="11" t="s">
        <v>3553</v>
      </c>
      <c r="B166" s="11">
        <v>401145</v>
      </c>
      <c r="C166" s="11" t="str">
        <f>VLOOKUP(B166,Towary_i_uslugi!$A$4:$B$1500,2)</f>
        <v>(brak)</v>
      </c>
      <c r="D166" s="11" t="s">
        <v>2810</v>
      </c>
      <c r="E166" s="11">
        <f>VLOOKUP(B166,Towary_i_uslugi!$A$3:$T$1500,3,FALSE)</f>
        <v>80</v>
      </c>
      <c r="F166" s="11" t="str">
        <f>VLOOKUP(B166,Towary_i_uslugi!$A$3:$T$1500,20,FALSE)</f>
        <v>plastic box + sticker on back side</v>
      </c>
      <c r="G166" s="11">
        <f>VLOOKUP(B166,MBI_Dostawcy_towarów!$A$4:$C$1399,3,FALSE)</f>
        <v>0.124</v>
      </c>
      <c r="H166" s="11">
        <v>38</v>
      </c>
      <c r="I166" s="11">
        <v>1</v>
      </c>
      <c r="J166" s="11">
        <v>480</v>
      </c>
      <c r="K166" s="11">
        <f>_xlfn.IFNA(VLOOKUP(B166,Towary_na_zamówieniach!$A$4:$C$1500,2,FALSE),0)</f>
        <v>960</v>
      </c>
      <c r="L166" s="11">
        <f>_xlfn.IFNA(VLOOKUP(B166,Towary_na_zamówieniach!$A$4:$C$1500,3,FALSE),0)</f>
        <v>854.4</v>
      </c>
      <c r="M166" s="11">
        <f>_xlfn.IFNA(VLOOKUP(B166,MBI_Dostawcy_towarów!$A$4:$C$2000,2,FALSE),"N/A")</f>
        <v>90</v>
      </c>
      <c r="N166" s="11" t="str">
        <f>IF(VLOOKUP(B166,Towary_i_uslugi!$A$3:$T$1500,17,FALSE)=0,"!NO SUPPLIER",VLOOKUP(B166,Towary_i_uslugi!$A$3:$T$1500,17))</f>
        <v>FX -MAPLE Frank Xu</v>
      </c>
      <c r="O166" s="11" t="str">
        <f>IF(VLOOKUP(B166,Towary_i_uslugi!$A$4:$U$1200,21,FALSE)&gt;0,VLOOKUP(B166,Towary_i_uslugi!$A$4:$U$1200,21,FALSE),"")</f>
        <v/>
      </c>
      <c r="P166" s="11">
        <f t="shared" si="6"/>
        <v>0</v>
      </c>
      <c r="Q166" s="11">
        <f t="shared" si="7"/>
        <v>0</v>
      </c>
      <c r="R166" s="17">
        <f t="shared" si="8"/>
        <v>0</v>
      </c>
      <c r="S166" s="17">
        <f>VLOOKUP($B166,   MBI_LastBuy!$A$3:E$13199,3,FALSE)</f>
        <v>960</v>
      </c>
      <c r="T166" s="13">
        <f>VLOOKUP($B166,   MBI_LastBuy!$A$3:E$13199,2,FALSE)</f>
        <v>0.89</v>
      </c>
      <c r="U166" s="13" t="str">
        <f>VLOOKUP($B166,   MBI_LastBuy!$A$3:E$13199,5,FALSE)</f>
        <v>USD</v>
      </c>
      <c r="V166" s="15">
        <f>VLOOKUP($B166,   MBI_LastBuy!$A$3:E$13199,4,FALSE)</f>
        <v>44028</v>
      </c>
    </row>
    <row r="167" spans="1:22" x14ac:dyDescent="0.25">
      <c r="A167" s="11" t="s">
        <v>3556</v>
      </c>
      <c r="B167" s="11">
        <v>402270</v>
      </c>
      <c r="C167" s="11" t="str">
        <f>VLOOKUP(B167,Towary_i_uslugi!$A$4:$B$1500,2)</f>
        <v>(brak)</v>
      </c>
      <c r="D167" s="11" t="s">
        <v>2619</v>
      </c>
      <c r="E167" s="11">
        <f>VLOOKUP(B167,Towary_i_uslugi!$A$3:$T$1500,3,FALSE)</f>
        <v>5</v>
      </c>
      <c r="F167" s="11" t="str">
        <f>VLOOKUP(B167,Towary_i_uslugi!$A$3:$T$1500,20,FALSE)</f>
        <v>metal box+sticker</v>
      </c>
      <c r="G167" s="11">
        <f>VLOOKUP(B167,MBI_Dostawcy_towarów!$A$4:$C$1399,3,FALSE)</f>
        <v>3.68</v>
      </c>
      <c r="H167" s="11">
        <v>1</v>
      </c>
      <c r="I167" s="11">
        <v>0</v>
      </c>
      <c r="J167" s="11">
        <v>45</v>
      </c>
      <c r="K167" s="11">
        <f>_xlfn.IFNA(VLOOKUP(B167,Towary_na_zamówieniach!$A$4:$C$1500,2,FALSE),0)</f>
        <v>45</v>
      </c>
      <c r="L167" s="11">
        <f>_xlfn.IFNA(VLOOKUP(B167,Towary_na_zamówieniach!$A$4:$C$1500,3,FALSE),0)</f>
        <v>964.31</v>
      </c>
      <c r="M167" s="11">
        <f>_xlfn.IFNA(VLOOKUP(B167,MBI_Dostawcy_towarów!$A$4:$C$2000,2,FALSE),"N/A")</f>
        <v>90</v>
      </c>
      <c r="N167" s="11" t="str">
        <f>IF(VLOOKUP(B167,Towary_i_uslugi!$A$3:$T$1500,17,FALSE)=0,"!NO SUPPLIER",VLOOKUP(B167,Towary_i_uslugi!$A$3:$T$1500,17))</f>
        <v xml:space="preserve">LF rozrachunki </v>
      </c>
      <c r="O167" s="11" t="str">
        <f>IF(VLOOKUP(B167,Towary_i_uslugi!$A$4:$U$1200,21,FALSE)&gt;0,VLOOKUP(B167,Towary_i_uslugi!$A$4:$U$1200,21,FALSE),"")</f>
        <v>MBI*21.9.2020* LF - first delivery</v>
      </c>
      <c r="P167" s="11">
        <f t="shared" si="6"/>
        <v>0</v>
      </c>
      <c r="Q167" s="11">
        <f t="shared" si="7"/>
        <v>0</v>
      </c>
      <c r="R167" s="17">
        <f t="shared" si="8"/>
        <v>0</v>
      </c>
      <c r="S167" s="17">
        <f>VLOOKUP($B167,   MBI_LastBuy!$A$3:E$13199,3,FALSE)</f>
        <v>45</v>
      </c>
      <c r="T167" s="13">
        <f>VLOOKUP($B167,   MBI_LastBuy!$A$3:E$13199,2,FALSE)</f>
        <v>21.428999999999998</v>
      </c>
      <c r="U167" s="13" t="str">
        <f>VLOOKUP($B167,   MBI_LastBuy!$A$3:E$13199,5,FALSE)</f>
        <v>USD</v>
      </c>
      <c r="V167" s="15">
        <f>VLOOKUP($B167,   MBI_LastBuy!$A$3:E$13199,4,FALSE)</f>
        <v>44095</v>
      </c>
    </row>
    <row r="168" spans="1:22" x14ac:dyDescent="0.25">
      <c r="A168" s="11" t="s">
        <v>3553</v>
      </c>
      <c r="B168" s="11">
        <v>403005</v>
      </c>
      <c r="C168" s="11" t="str">
        <f>VLOOKUP(B168,Towary_i_uslugi!$A$4:$B$1500,2)</f>
        <v>(brak)</v>
      </c>
      <c r="D168" s="11" t="s">
        <v>2620</v>
      </c>
      <c r="E168" s="11">
        <f>VLOOKUP(B168,Towary_i_uslugi!$A$3:$T$1500,3,FALSE)</f>
        <v>100</v>
      </c>
      <c r="F168" s="11" t="str">
        <f>VLOOKUP(B168,Towary_i_uslugi!$A$3:$T$1500,20,FALSE)</f>
        <v>slide blister</v>
      </c>
      <c r="G168" s="11">
        <f>VLOOKUP(B168,MBI_Dostawcy_towarów!$A$4:$C$1399,3,FALSE)</f>
        <v>0.1</v>
      </c>
      <c r="H168" s="11">
        <v>1</v>
      </c>
      <c r="I168" s="11">
        <v>0</v>
      </c>
      <c r="J168" s="11">
        <v>100</v>
      </c>
      <c r="K168" s="11">
        <f>_xlfn.IFNA(VLOOKUP(B168,Towary_na_zamówieniach!$A$4:$C$1500,2,FALSE),0)</f>
        <v>300</v>
      </c>
      <c r="L168" s="11">
        <f>_xlfn.IFNA(VLOOKUP(B168,Towary_na_zamówieniach!$A$4:$C$1500,3,FALSE),0)</f>
        <v>288</v>
      </c>
      <c r="M168" s="11">
        <f>_xlfn.IFNA(VLOOKUP(B168,MBI_Dostawcy_towarów!$A$4:$C$2000,2,FALSE),"N/A")</f>
        <v>90</v>
      </c>
      <c r="N168" s="11" t="str">
        <f>IF(VLOOKUP(B168,Towary_i_uslugi!$A$3:$T$1500,17,FALSE)=0,"!NO SUPPLIER",VLOOKUP(B168,Towary_i_uslugi!$A$3:$T$1500,17))</f>
        <v>FX -MAPLE Frank Xu</v>
      </c>
      <c r="O168" s="11" t="str">
        <f>IF(VLOOKUP(B168,Towary_i_uslugi!$A$4:$U$1200,21,FALSE)&gt;0,VLOOKUP(B168,Towary_i_uslugi!$A$4:$U$1200,21,FALSE),"")</f>
        <v/>
      </c>
      <c r="P168" s="11">
        <f t="shared" si="6"/>
        <v>0</v>
      </c>
      <c r="Q168" s="11">
        <f t="shared" si="7"/>
        <v>0</v>
      </c>
      <c r="R168" s="17">
        <f t="shared" si="8"/>
        <v>0</v>
      </c>
      <c r="S168" s="17">
        <f>VLOOKUP($B168,   MBI_LastBuy!$A$3:E$13199,3,FALSE)</f>
        <v>300</v>
      </c>
      <c r="T168" s="13">
        <f>VLOOKUP($B168,   MBI_LastBuy!$A$3:E$13199,2,FALSE)</f>
        <v>0.96</v>
      </c>
      <c r="U168" s="13" t="str">
        <f>VLOOKUP($B168,   MBI_LastBuy!$A$3:E$13199,5,FALSE)</f>
        <v>USD</v>
      </c>
      <c r="V168" s="15">
        <f>VLOOKUP($B168,   MBI_LastBuy!$A$3:E$13199,4,FALSE)</f>
        <v>43865</v>
      </c>
    </row>
    <row r="169" spans="1:22" x14ac:dyDescent="0.25">
      <c r="A169" s="11" t="s">
        <v>3556</v>
      </c>
      <c r="B169" s="11">
        <v>410091</v>
      </c>
      <c r="C169" s="11" t="str">
        <f>VLOOKUP(B169,Towary_i_uslugi!$A$4:$B$1500,2)</f>
        <v>nowość!!! więcej info dla klienta</v>
      </c>
      <c r="D169" s="11" t="s">
        <v>2811</v>
      </c>
      <c r="E169" s="11">
        <f>VLOOKUP(B169,Towary_i_uslugi!$A$3:$T$1500,3,FALSE)</f>
        <v>100</v>
      </c>
      <c r="F169" s="11" t="str">
        <f>VLOOKUP(B169,Towary_i_uslugi!$A$3:$T$1500,20,FALSE)</f>
        <v>plastic box</v>
      </c>
      <c r="G169" s="11">
        <f>VLOOKUP(B169,MBI_Dostawcy_towarów!$A$4:$C$1399,3,FALSE)</f>
        <v>0.375</v>
      </c>
      <c r="H169" s="11">
        <v>0</v>
      </c>
      <c r="I169" s="11">
        <v>0</v>
      </c>
      <c r="J169" s="11">
        <v>24</v>
      </c>
      <c r="K169" s="11">
        <f>_xlfn.IFNA(VLOOKUP(B169,Towary_na_zamówieniach!$A$4:$C$1500,2,FALSE),0)</f>
        <v>320</v>
      </c>
      <c r="L169" s="11">
        <f>_xlfn.IFNA(VLOOKUP(B169,Towary_na_zamówieniach!$A$4:$C$1500,3,FALSE),0)</f>
        <v>380.8</v>
      </c>
      <c r="M169" s="11">
        <f>_xlfn.IFNA(VLOOKUP(B169,MBI_Dostawcy_towarów!$A$4:$C$2000,2,FALSE),"N/A")</f>
        <v>90</v>
      </c>
      <c r="N169" s="11" t="str">
        <f>IF(VLOOKUP(B169,Towary_i_uslugi!$A$3:$T$1500,17,FALSE)=0,"!NO SUPPLIER",VLOOKUP(B169,Towary_i_uslugi!$A$3:$T$1500,17))</f>
        <v xml:space="preserve">LF rozrachunki </v>
      </c>
      <c r="O169" s="11" t="str">
        <f>IF(VLOOKUP(B169,Towary_i_uslugi!$A$4:$U$1200,21,FALSE)&gt;0,VLOOKUP(B169,Towary_i_uslugi!$A$4:$U$1200,21,FALSE),"")</f>
        <v/>
      </c>
      <c r="P169" s="11">
        <f t="shared" si="6"/>
        <v>0</v>
      </c>
      <c r="Q169" s="11">
        <f t="shared" si="7"/>
        <v>0</v>
      </c>
      <c r="R169" s="17">
        <f t="shared" si="8"/>
        <v>0</v>
      </c>
      <c r="S169" s="17">
        <f>VLOOKUP($B169,   MBI_LastBuy!$A$3:E$13199,3,FALSE)</f>
        <v>320</v>
      </c>
      <c r="T169" s="13">
        <f>VLOOKUP($B169,   MBI_LastBuy!$A$3:E$13199,2,FALSE)</f>
        <v>1.19</v>
      </c>
      <c r="U169" s="13" t="str">
        <f>VLOOKUP($B169,   MBI_LastBuy!$A$3:E$13199,5,FALSE)</f>
        <v>USD</v>
      </c>
      <c r="V169" s="15">
        <f>VLOOKUP($B169,   MBI_LastBuy!$A$3:E$13199,4,FALSE)</f>
        <v>44070</v>
      </c>
    </row>
    <row r="170" spans="1:22" x14ac:dyDescent="0.25">
      <c r="A170" s="11" t="s">
        <v>3556</v>
      </c>
      <c r="B170" s="11">
        <v>410320</v>
      </c>
      <c r="C170" s="11" t="str">
        <f>VLOOKUP(B170,Towary_i_uslugi!$A$4:$B$1500,2)</f>
        <v>(brak)</v>
      </c>
      <c r="D170" s="11" t="s">
        <v>3622</v>
      </c>
      <c r="E170" s="11">
        <f>VLOOKUP(B170,Towary_i_uslugi!$A$3:$T$1500,3,FALSE)</f>
        <v>8</v>
      </c>
      <c r="F170" s="11" t="str">
        <f>VLOOKUP(B170,Towary_i_uslugi!$A$3:$T$1500,20,FALSE)</f>
        <v>plastic case</v>
      </c>
      <c r="G170" s="11">
        <f>VLOOKUP(B170,MBI_Dostawcy_towarów!$A$4:$C$1399,3,FALSE)</f>
        <v>2.4750000000000001</v>
      </c>
      <c r="H170" s="11">
        <v>45</v>
      </c>
      <c r="I170" s="11">
        <v>1</v>
      </c>
      <c r="J170" s="11">
        <v>60</v>
      </c>
      <c r="K170" s="11">
        <f>_xlfn.IFNA(VLOOKUP(B170,Towary_na_zamówieniach!$A$4:$C$1500,2,FALSE),0)</f>
        <v>120</v>
      </c>
      <c r="L170" s="11">
        <f>_xlfn.IFNA(VLOOKUP(B170,Towary_na_zamówieniach!$A$4:$C$1500,3,FALSE),0)</f>
        <v>923.76</v>
      </c>
      <c r="M170" s="11">
        <f>_xlfn.IFNA(VLOOKUP(B170,MBI_Dostawcy_towarów!$A$4:$C$2000,2,FALSE),"N/A")</f>
        <v>90</v>
      </c>
      <c r="N170" s="11" t="str">
        <f>IF(VLOOKUP(B170,Towary_i_uslugi!$A$3:$T$1500,17,FALSE)=0,"!NO SUPPLIER",VLOOKUP(B170,Towary_i_uslugi!$A$3:$T$1500,17))</f>
        <v xml:space="preserve">LF rozrachunki </v>
      </c>
      <c r="O170" s="11" t="str">
        <f>IF(VLOOKUP(B170,Towary_i_uslugi!$A$4:$U$1200,21,FALSE)&gt;0,VLOOKUP(B170,Towary_i_uslugi!$A$4:$U$1200,21,FALSE),"")</f>
        <v/>
      </c>
      <c r="P170" s="11">
        <f t="shared" si="6"/>
        <v>0</v>
      </c>
      <c r="Q170" s="11">
        <f t="shared" si="7"/>
        <v>0</v>
      </c>
      <c r="R170" s="17">
        <f t="shared" si="8"/>
        <v>0</v>
      </c>
      <c r="S170" s="17">
        <f>VLOOKUP($B170,   MBI_LastBuy!$A$3:E$13199,3,FALSE)</f>
        <v>120</v>
      </c>
      <c r="T170" s="13">
        <f>VLOOKUP($B170,   MBI_LastBuy!$A$3:E$13199,2,FALSE)</f>
        <v>7.6980000000000004</v>
      </c>
      <c r="U170" s="13" t="str">
        <f>VLOOKUP($B170,   MBI_LastBuy!$A$3:E$13199,5,FALSE)</f>
        <v>USD</v>
      </c>
      <c r="V170" s="15">
        <f>VLOOKUP($B170,   MBI_LastBuy!$A$3:E$13199,4,FALSE)</f>
        <v>44070</v>
      </c>
    </row>
    <row r="171" spans="1:22" x14ac:dyDescent="0.25">
      <c r="A171" s="11" t="s">
        <v>3556</v>
      </c>
      <c r="B171" s="11">
        <v>410340</v>
      </c>
      <c r="C171" s="11" t="str">
        <f>VLOOKUP(B171,Towary_i_uslugi!$A$4:$B$1500,2)</f>
        <v>(brak)</v>
      </c>
      <c r="D171" s="11" t="s">
        <v>27</v>
      </c>
      <c r="E171" s="11">
        <f>VLOOKUP(B171,Towary_i_uslugi!$A$3:$T$1500,3,FALSE)</f>
        <v>40</v>
      </c>
      <c r="F171" s="11" t="str">
        <f>VLOOKUP(B171,Towary_i_uslugi!$A$3:$T$1500,20,FALSE)</f>
        <v>plastic box</v>
      </c>
      <c r="G171" s="11">
        <f>VLOOKUP(B171,MBI_Dostawcy_towarów!$A$4:$C$1399,3,FALSE)</f>
        <v>0.30499999999999999</v>
      </c>
      <c r="H171" s="11">
        <v>7</v>
      </c>
      <c r="I171" s="11">
        <v>1</v>
      </c>
      <c r="J171" s="11">
        <v>270</v>
      </c>
      <c r="K171" s="11">
        <f>_xlfn.IFNA(VLOOKUP(B171,Towary_na_zamówieniach!$A$4:$C$1500,2,FALSE),0)</f>
        <v>520</v>
      </c>
      <c r="L171" s="11">
        <f>_xlfn.IFNA(VLOOKUP(B171,Towary_na_zamówieniach!$A$4:$C$1500,3,FALSE),0)</f>
        <v>748.28</v>
      </c>
      <c r="M171" s="11">
        <f>_xlfn.IFNA(VLOOKUP(B171,MBI_Dostawcy_towarów!$A$4:$C$2000,2,FALSE),"N/A")</f>
        <v>90</v>
      </c>
      <c r="N171" s="11" t="str">
        <f>IF(VLOOKUP(B171,Towary_i_uslugi!$A$3:$T$1500,17,FALSE)=0,"!NO SUPPLIER",VLOOKUP(B171,Towary_i_uslugi!$A$3:$T$1500,17))</f>
        <v xml:space="preserve">LF rozrachunki </v>
      </c>
      <c r="O171" s="11" t="str">
        <f>IF(VLOOKUP(B171,Towary_i_uslugi!$A$4:$U$1200,21,FALSE)&gt;0,VLOOKUP(B171,Towary_i_uslugi!$A$4:$U$1200,21,FALSE),"")</f>
        <v/>
      </c>
      <c r="P171" s="11">
        <f t="shared" si="6"/>
        <v>0</v>
      </c>
      <c r="Q171" s="11">
        <f t="shared" si="7"/>
        <v>0</v>
      </c>
      <c r="R171" s="17">
        <f t="shared" si="8"/>
        <v>0</v>
      </c>
      <c r="S171" s="17">
        <f>VLOOKUP($B171,   MBI_LastBuy!$A$3:E$13199,3,FALSE)</f>
        <v>240</v>
      </c>
      <c r="T171" s="13">
        <f>VLOOKUP($B171,   MBI_LastBuy!$A$3:E$13199,2,FALSE)</f>
        <v>1.397</v>
      </c>
      <c r="U171" s="13" t="str">
        <f>VLOOKUP($B171,   MBI_LastBuy!$A$3:E$13199,5,FALSE)</f>
        <v>USD</v>
      </c>
      <c r="V171" s="15">
        <f>VLOOKUP($B171,   MBI_LastBuy!$A$3:E$13199,4,FALSE)</f>
        <v>44140</v>
      </c>
    </row>
    <row r="172" spans="1:22" x14ac:dyDescent="0.25">
      <c r="A172" s="11" t="s">
        <v>3553</v>
      </c>
      <c r="B172" s="11">
        <v>410520</v>
      </c>
      <c r="C172" s="11" t="str">
        <f>VLOOKUP(B172,Towary_i_uslugi!$A$4:$B$1500,2)</f>
        <v>(brak)</v>
      </c>
      <c r="D172" s="11" t="s">
        <v>1639</v>
      </c>
      <c r="E172" s="11">
        <f>VLOOKUP(B172,Towary_i_uslugi!$A$3:$T$1500,3,FALSE)</f>
        <v>12</v>
      </c>
      <c r="F172" s="11" t="str">
        <f>VLOOKUP(B172,Towary_i_uslugi!$A$3:$T$1500,20,FALSE)</f>
        <v>neutral box+sticker</v>
      </c>
      <c r="G172" s="11">
        <f>VLOOKUP(B172,MBI_Dostawcy_towarów!$A$4:$C$1399,3,FALSE)</f>
        <v>1.4850000000000001</v>
      </c>
      <c r="H172" s="11">
        <v>111</v>
      </c>
      <c r="I172" s="11">
        <v>0</v>
      </c>
      <c r="J172" s="11">
        <v>170</v>
      </c>
      <c r="K172" s="11">
        <f>_xlfn.IFNA(VLOOKUP(B172,Towary_na_zamówieniach!$A$4:$C$1500,2,FALSE),0)</f>
        <v>288</v>
      </c>
      <c r="L172" s="11">
        <f>_xlfn.IFNA(VLOOKUP(B172,Towary_na_zamówieniach!$A$4:$C$1500,3,FALSE),0)</f>
        <v>1656</v>
      </c>
      <c r="M172" s="11">
        <f>_xlfn.IFNA(VLOOKUP(B172,MBI_Dostawcy_towarów!$A$4:$C$2000,2,FALSE),"N/A")</f>
        <v>90</v>
      </c>
      <c r="N172" s="11" t="str">
        <f>IF(VLOOKUP(B172,Towary_i_uslugi!$A$3:$T$1500,17,FALSE)=0,"!NO SUPPLIER",VLOOKUP(B172,Towary_i_uslugi!$A$3:$T$1500,17))</f>
        <v>FX -MAPLE Frank Xu</v>
      </c>
      <c r="O172" s="11" t="str">
        <f>IF(VLOOKUP(B172,Towary_i_uslugi!$A$4:$U$1200,21,FALSE)&gt;0,VLOOKUP(B172,Towary_i_uslugi!$A$4:$U$1200,21,FALSE),"")</f>
        <v/>
      </c>
      <c r="P172" s="11">
        <f t="shared" si="6"/>
        <v>0</v>
      </c>
      <c r="Q172" s="11">
        <f t="shared" si="7"/>
        <v>0</v>
      </c>
      <c r="R172" s="17">
        <f t="shared" si="8"/>
        <v>0</v>
      </c>
      <c r="S172" s="17">
        <f>VLOOKUP($B172,   MBI_LastBuy!$A$3:E$13199,3,FALSE)</f>
        <v>288</v>
      </c>
      <c r="T172" s="13">
        <f>VLOOKUP($B172,   MBI_LastBuy!$A$3:E$13199,2,FALSE)</f>
        <v>5.75</v>
      </c>
      <c r="U172" s="13" t="str">
        <f>VLOOKUP($B172,   MBI_LastBuy!$A$3:E$13199,5,FALSE)</f>
        <v>USD</v>
      </c>
      <c r="V172" s="15">
        <f>VLOOKUP($B172,   MBI_LastBuy!$A$3:E$13199,4,FALSE)</f>
        <v>44091</v>
      </c>
    </row>
    <row r="173" spans="1:22" x14ac:dyDescent="0.25">
      <c r="A173" s="11" t="s">
        <v>3553</v>
      </c>
      <c r="B173" s="11">
        <v>410525</v>
      </c>
      <c r="C173" s="11" t="str">
        <f>VLOOKUP(B173,Towary_i_uslugi!$A$4:$B$1500,2)</f>
        <v>(brak)</v>
      </c>
      <c r="D173" s="11" t="s">
        <v>3623</v>
      </c>
      <c r="E173" s="11">
        <f>VLOOKUP(B173,Towary_i_uslugi!$A$3:$T$1500,3,FALSE)</f>
        <v>30</v>
      </c>
      <c r="F173" s="11" t="str">
        <f>VLOOKUP(B173,Towary_i_uslugi!$A$3:$T$1500,20,FALSE)</f>
        <v>PVC tube</v>
      </c>
      <c r="G173" s="11">
        <f>VLOOKUP(B173,MBI_Dostawcy_towarów!$A$4:$C$1399,3,FALSE)</f>
        <v>0.70599999999999996</v>
      </c>
      <c r="H173" s="11">
        <v>119</v>
      </c>
      <c r="I173" s="11">
        <v>0</v>
      </c>
      <c r="J173" s="11">
        <v>120</v>
      </c>
      <c r="K173" s="11">
        <f>_xlfn.IFNA(VLOOKUP(B173,Towary_na_zamówieniach!$A$4:$C$1500,2,FALSE),0)</f>
        <v>300</v>
      </c>
      <c r="L173" s="11">
        <f>_xlfn.IFNA(VLOOKUP(B173,Towary_na_zamówieniach!$A$4:$C$1500,3,FALSE),0)</f>
        <v>810</v>
      </c>
      <c r="M173" s="11">
        <f>_xlfn.IFNA(VLOOKUP(B173,MBI_Dostawcy_towarów!$A$4:$C$2000,2,FALSE),"N/A")</f>
        <v>90</v>
      </c>
      <c r="N173" s="11" t="str">
        <f>IF(VLOOKUP(B173,Towary_i_uslugi!$A$3:$T$1500,17,FALSE)=0,"!NO SUPPLIER",VLOOKUP(B173,Towary_i_uslugi!$A$3:$T$1500,17))</f>
        <v>FX -MAPLE Frank Xu</v>
      </c>
      <c r="O173" s="11" t="str">
        <f>IF(VLOOKUP(B173,Towary_i_uslugi!$A$4:$U$1200,21,FALSE)&gt;0,VLOOKUP(B173,Towary_i_uslugi!$A$4:$U$1200,21,FALSE),"")</f>
        <v/>
      </c>
      <c r="P173" s="11">
        <f t="shared" si="6"/>
        <v>0</v>
      </c>
      <c r="Q173" s="11">
        <f t="shared" si="7"/>
        <v>0</v>
      </c>
      <c r="R173" s="17">
        <f t="shared" si="8"/>
        <v>0</v>
      </c>
      <c r="S173" s="17">
        <f>VLOOKUP($B173,   MBI_LastBuy!$A$3:E$13199,3,FALSE)</f>
        <v>300</v>
      </c>
      <c r="T173" s="13">
        <f>VLOOKUP($B173,   MBI_LastBuy!$A$3:E$13199,2,FALSE)</f>
        <v>2.7</v>
      </c>
      <c r="U173" s="13" t="str">
        <f>VLOOKUP($B173,   MBI_LastBuy!$A$3:E$13199,5,FALSE)</f>
        <v>USD</v>
      </c>
      <c r="V173" s="15">
        <f>VLOOKUP($B173,   MBI_LastBuy!$A$3:E$13199,4,FALSE)</f>
        <v>44141</v>
      </c>
    </row>
    <row r="174" spans="1:22" x14ac:dyDescent="0.25">
      <c r="A174" s="11" t="s">
        <v>3553</v>
      </c>
      <c r="B174" s="11">
        <v>410526</v>
      </c>
      <c r="C174" s="11" t="str">
        <f>VLOOKUP(B174,Towary_i_uslugi!$A$4:$B$1500,2)</f>
        <v>(brak)</v>
      </c>
      <c r="D174" s="11" t="s">
        <v>2812</v>
      </c>
      <c r="E174" s="11">
        <f>VLOOKUP(B174,Towary_i_uslugi!$A$3:$T$1500,3,FALSE)</f>
        <v>50</v>
      </c>
      <c r="F174" s="11" t="str">
        <f>VLOOKUP(B174,Towary_i_uslugi!$A$3:$T$1500,20,FALSE)</f>
        <v>PVC tube</v>
      </c>
      <c r="G174" s="11">
        <f>VLOOKUP(B174,MBI_Dostawcy_towarów!$A$4:$C$1399,3,FALSE)</f>
        <v>0.54200000000000004</v>
      </c>
      <c r="H174" s="11">
        <v>41</v>
      </c>
      <c r="I174" s="11">
        <v>0</v>
      </c>
      <c r="J174" s="11">
        <v>140</v>
      </c>
      <c r="K174" s="11">
        <f>_xlfn.IFNA(VLOOKUP(B174,Towary_na_zamówieniach!$A$4:$C$1500,2,FALSE),0)</f>
        <v>400</v>
      </c>
      <c r="L174" s="11">
        <f>_xlfn.IFNA(VLOOKUP(B174,Towary_na_zamówieniach!$A$4:$C$1500,3,FALSE),0)</f>
        <v>792</v>
      </c>
      <c r="M174" s="11">
        <f>_xlfn.IFNA(VLOOKUP(B174,MBI_Dostawcy_towarów!$A$4:$C$2000,2,FALSE),"N/A")</f>
        <v>90</v>
      </c>
      <c r="N174" s="11" t="str">
        <f>IF(VLOOKUP(B174,Towary_i_uslugi!$A$3:$T$1500,17,FALSE)=0,"!NO SUPPLIER",VLOOKUP(B174,Towary_i_uslugi!$A$3:$T$1500,17))</f>
        <v>FX -MAPLE Frank Xu</v>
      </c>
      <c r="O174" s="11" t="str">
        <f>IF(VLOOKUP(B174,Towary_i_uslugi!$A$4:$U$1200,21,FALSE)&gt;0,VLOOKUP(B174,Towary_i_uslugi!$A$4:$U$1200,21,FALSE),"")</f>
        <v/>
      </c>
      <c r="P174" s="11">
        <f t="shared" si="6"/>
        <v>0</v>
      </c>
      <c r="Q174" s="11">
        <f t="shared" si="7"/>
        <v>0</v>
      </c>
      <c r="R174" s="17">
        <f t="shared" si="8"/>
        <v>0</v>
      </c>
      <c r="S174" s="17">
        <f>VLOOKUP($B174,   MBI_LastBuy!$A$3:E$13199,3,FALSE)</f>
        <v>400</v>
      </c>
      <c r="T174" s="13">
        <f>VLOOKUP($B174,   MBI_LastBuy!$A$3:E$13199,2,FALSE)</f>
        <v>1.98</v>
      </c>
      <c r="U174" s="13" t="str">
        <f>VLOOKUP($B174,   MBI_LastBuy!$A$3:E$13199,5,FALSE)</f>
        <v>USD</v>
      </c>
      <c r="V174" s="15">
        <f>VLOOKUP($B174,   MBI_LastBuy!$A$3:E$13199,4,FALSE)</f>
        <v>44020</v>
      </c>
    </row>
    <row r="175" spans="1:22" x14ac:dyDescent="0.25">
      <c r="A175" s="11" t="s">
        <v>3552</v>
      </c>
      <c r="B175" s="11">
        <v>410540</v>
      </c>
      <c r="C175" s="11" t="str">
        <f>VLOOKUP(B175,Towary_i_uslugi!$A$4:$B$1500,2)</f>
        <v>(brak)</v>
      </c>
      <c r="D175" s="11" t="s">
        <v>2621</v>
      </c>
      <c r="E175" s="11">
        <f>VLOOKUP(B175,Towary_i_uslugi!$A$3:$T$1500,3,FALSE)</f>
        <v>24</v>
      </c>
      <c r="F175" s="11" t="str">
        <f>VLOOKUP(B175,Towary_i_uslugi!$A$3:$T$1500,20,FALSE)</f>
        <v>pvc pouch</v>
      </c>
      <c r="G175" s="11">
        <f>VLOOKUP(B175,MBI_Dostawcy_towarów!$A$4:$C$1399,3,FALSE)</f>
        <v>0.94899999999999995</v>
      </c>
      <c r="H175" s="11">
        <v>30</v>
      </c>
      <c r="I175" s="11">
        <v>505</v>
      </c>
      <c r="J175" s="11">
        <v>600</v>
      </c>
      <c r="K175" s="11">
        <f>_xlfn.IFNA(VLOOKUP(B175,Towary_na_zamówieniach!$A$4:$C$1500,2,FALSE),0)</f>
        <v>720</v>
      </c>
      <c r="L175" s="11">
        <f>_xlfn.IFNA(VLOOKUP(B175,Towary_na_zamówieniach!$A$4:$C$1500,3,FALSE),0)</f>
        <v>2188.8000000000002</v>
      </c>
      <c r="M175" s="11">
        <f>_xlfn.IFNA(VLOOKUP(B175,MBI_Dostawcy_towarów!$A$4:$C$2000,2,FALSE),"N/A")</f>
        <v>90</v>
      </c>
      <c r="N175" s="11" t="str">
        <f>IF(VLOOKUP(B175,Towary_i_uslugi!$A$3:$T$1500,17,FALSE)=0,"!NO SUPPLIER",VLOOKUP(B175,Towary_i_uslugi!$A$3:$T$1500,17))</f>
        <v>XM - PRZYJĘCIE TOWARU !!!</v>
      </c>
      <c r="O175" s="11" t="str">
        <f>IF(VLOOKUP(B175,Towary_i_uslugi!$A$4:$U$1200,21,FALSE)&gt;0,VLOOKUP(B175,Towary_i_uslugi!$A$4:$U$1200,21,FALSE),"")</f>
        <v/>
      </c>
      <c r="P175" s="11">
        <f t="shared" si="6"/>
        <v>25</v>
      </c>
      <c r="Q175" s="11">
        <f t="shared" si="7"/>
        <v>600</v>
      </c>
      <c r="R175" s="17">
        <f t="shared" si="8"/>
        <v>1824</v>
      </c>
      <c r="S175" s="17">
        <f>VLOOKUP($B175,   MBI_LastBuy!$A$3:E$13199,3,FALSE)</f>
        <v>720</v>
      </c>
      <c r="T175" s="13">
        <f>VLOOKUP($B175,   MBI_LastBuy!$A$3:E$13199,2,FALSE)</f>
        <v>3.04</v>
      </c>
      <c r="U175" s="13" t="str">
        <f>VLOOKUP($B175,   MBI_LastBuy!$A$3:E$13199,5,FALSE)</f>
        <v>USD</v>
      </c>
      <c r="V175" s="15">
        <f>VLOOKUP($B175,   MBI_LastBuy!$A$3:E$13199,4,FALSE)</f>
        <v>44117</v>
      </c>
    </row>
    <row r="176" spans="1:22" x14ac:dyDescent="0.25">
      <c r="A176" s="11" t="s">
        <v>3552</v>
      </c>
      <c r="B176" s="11">
        <v>410631</v>
      </c>
      <c r="C176" s="11" t="str">
        <f>VLOOKUP(B176,Towary_i_uslugi!$A$4:$B$1500,2)</f>
        <v>(brak)</v>
      </c>
      <c r="D176" s="11" t="s">
        <v>2813</v>
      </c>
      <c r="E176" s="11">
        <f>VLOOKUP(B176,Towary_i_uslugi!$A$3:$T$1500,3,FALSE)</f>
        <v>96</v>
      </c>
      <c r="F176" s="11" t="str">
        <f>VLOOKUP(B176,Towary_i_uslugi!$A$3:$T$1500,20,FALSE)</f>
        <v>plastic header</v>
      </c>
      <c r="G176" s="11">
        <f>VLOOKUP(B176,MBI_Dostawcy_towarów!$A$4:$C$1399,3,FALSE)</f>
        <v>0.251</v>
      </c>
      <c r="H176" s="11">
        <v>209</v>
      </c>
      <c r="I176" s="11">
        <v>0</v>
      </c>
      <c r="J176" s="11">
        <v>500</v>
      </c>
      <c r="K176" s="11">
        <f>_xlfn.IFNA(VLOOKUP(B176,Towary_na_zamówieniach!$A$4:$C$1500,2,FALSE),0)</f>
        <v>960</v>
      </c>
      <c r="L176" s="11">
        <f>_xlfn.IFNA(VLOOKUP(B176,Towary_na_zamówieniach!$A$4:$C$1500,3,FALSE),0)</f>
        <v>516.48</v>
      </c>
      <c r="M176" s="11">
        <f>_xlfn.IFNA(VLOOKUP(B176,MBI_Dostawcy_towarów!$A$4:$C$2000,2,FALSE),"N/A")</f>
        <v>90</v>
      </c>
      <c r="N176" s="11" t="str">
        <f>IF(VLOOKUP(B176,Towary_i_uslugi!$A$3:$T$1500,17,FALSE)=0,"!NO SUPPLIER",VLOOKUP(B176,Towary_i_uslugi!$A$3:$T$1500,17))</f>
        <v>XM</v>
      </c>
      <c r="O176" s="11" t="str">
        <f>IF(VLOOKUP(B176,Towary_i_uslugi!$A$4:$U$1200,21,FALSE)&gt;0,VLOOKUP(B176,Towary_i_uslugi!$A$4:$U$1200,21,FALSE),"")</f>
        <v/>
      </c>
      <c r="P176" s="11">
        <f t="shared" si="6"/>
        <v>0</v>
      </c>
      <c r="Q176" s="11">
        <f t="shared" si="7"/>
        <v>0</v>
      </c>
      <c r="R176" s="17">
        <f t="shared" si="8"/>
        <v>0</v>
      </c>
      <c r="S176" s="17">
        <f>VLOOKUP($B176,   MBI_LastBuy!$A$3:E$13199,3,FALSE)</f>
        <v>960</v>
      </c>
      <c r="T176" s="13">
        <f>VLOOKUP($B176,   MBI_LastBuy!$A$3:E$13199,2,FALSE)</f>
        <v>0.53800000000000003</v>
      </c>
      <c r="U176" s="13" t="str">
        <f>VLOOKUP($B176,   MBI_LastBuy!$A$3:E$13199,5,FALSE)</f>
        <v>USD</v>
      </c>
      <c r="V176" s="15">
        <f>VLOOKUP($B176,   MBI_LastBuy!$A$3:E$13199,4,FALSE)</f>
        <v>44083</v>
      </c>
    </row>
    <row r="177" spans="1:22" x14ac:dyDescent="0.25">
      <c r="A177" s="11" t="s">
        <v>3556</v>
      </c>
      <c r="B177" s="11">
        <v>410633</v>
      </c>
      <c r="C177" s="11" t="str">
        <f>VLOOKUP(B177,Towary_i_uslugi!$A$4:$B$1500,2)</f>
        <v>(brak)</v>
      </c>
      <c r="D177" s="11" t="s">
        <v>3624</v>
      </c>
      <c r="E177" s="11">
        <f>VLOOKUP(B177,Towary_i_uslugi!$A$3:$T$1500,3,FALSE)</f>
        <v>96</v>
      </c>
      <c r="F177" s="11" t="str">
        <f>VLOOKUP(B177,Towary_i_uslugi!$A$3:$T$1500,20,FALSE)</f>
        <v>plastic header</v>
      </c>
      <c r="G177" s="11">
        <f>VLOOKUP(B177,MBI_Dostawcy_towarów!$A$4:$C$1399,3,FALSE)</f>
        <v>0.26600000000000001</v>
      </c>
      <c r="H177" s="11">
        <v>699</v>
      </c>
      <c r="I177" s="11">
        <v>1</v>
      </c>
      <c r="J177" s="11">
        <v>950</v>
      </c>
      <c r="K177" s="11">
        <f>_xlfn.IFNA(VLOOKUP(B177,Towary_na_zamówieniach!$A$4:$C$1500,2,FALSE),0)</f>
        <v>768</v>
      </c>
      <c r="L177" s="11">
        <f>_xlfn.IFNA(VLOOKUP(B177,Towary_na_zamówieniach!$A$4:$C$1500,3,FALSE),0)</f>
        <v>434.69</v>
      </c>
      <c r="M177" s="11">
        <f>_xlfn.IFNA(VLOOKUP(B177,MBI_Dostawcy_towarów!$A$4:$C$2000,2,FALSE),"N/A")</f>
        <v>90</v>
      </c>
      <c r="N177" s="11" t="str">
        <f>IF(VLOOKUP(B177,Towary_i_uslugi!$A$3:$T$1500,17,FALSE)=0,"!NO SUPPLIER",VLOOKUP(B177,Towary_i_uslugi!$A$3:$T$1500,17))</f>
        <v xml:space="preserve">LF rozrachunki </v>
      </c>
      <c r="O177" s="11" t="str">
        <f>IF(VLOOKUP(B177,Towary_i_uslugi!$A$4:$U$1200,21,FALSE)&gt;0,VLOOKUP(B177,Towary_i_uslugi!$A$4:$U$1200,21,FALSE),"")</f>
        <v/>
      </c>
      <c r="P177" s="11">
        <f t="shared" si="6"/>
        <v>0</v>
      </c>
      <c r="Q177" s="11">
        <f t="shared" si="7"/>
        <v>0</v>
      </c>
      <c r="R177" s="17">
        <f t="shared" si="8"/>
        <v>0</v>
      </c>
      <c r="S177" s="17">
        <f>VLOOKUP($B177,   MBI_LastBuy!$A$3:E$13199,3,FALSE)</f>
        <v>768</v>
      </c>
      <c r="T177" s="13">
        <f>VLOOKUP($B177,   MBI_LastBuy!$A$3:E$13199,2,FALSE)</f>
        <v>0.56599999999999995</v>
      </c>
      <c r="U177" s="13" t="str">
        <f>VLOOKUP($B177,   MBI_LastBuy!$A$3:E$13199,5,FALSE)</f>
        <v>USD</v>
      </c>
      <c r="V177" s="15">
        <f>VLOOKUP($B177,   MBI_LastBuy!$A$3:E$13199,4,FALSE)</f>
        <v>44140</v>
      </c>
    </row>
    <row r="178" spans="1:22" x14ac:dyDescent="0.25">
      <c r="A178" s="11" t="s">
        <v>3556</v>
      </c>
      <c r="B178" s="11">
        <v>410770</v>
      </c>
      <c r="C178" s="11" t="str">
        <f>VLOOKUP(B178,Towary_i_uslugi!$A$4:$B$1500,2)</f>
        <v>(brak)</v>
      </c>
      <c r="D178" s="11" t="s">
        <v>2814</v>
      </c>
      <c r="E178" s="11">
        <f>VLOOKUP(B178,Towary_i_uslugi!$A$3:$T$1500,3,FALSE)</f>
        <v>50</v>
      </c>
      <c r="F178" s="11" t="str">
        <f>VLOOKUP(B178,Towary_i_uslugi!$A$3:$T$1500,20,FALSE)</f>
        <v>plastic tube box + sticker</v>
      </c>
      <c r="G178" s="11">
        <f>VLOOKUP(B178,MBI_Dostawcy_towarów!$A$4:$C$1399,3,FALSE)</f>
        <v>0.56399999999999995</v>
      </c>
      <c r="H178" s="11">
        <v>1</v>
      </c>
      <c r="I178" s="11">
        <v>0</v>
      </c>
      <c r="J178" s="11">
        <v>150</v>
      </c>
      <c r="K178" s="11">
        <f>_xlfn.IFNA(VLOOKUP(B178,Towary_na_zamówieniach!$A$4:$C$1500,2,FALSE),0)</f>
        <v>250</v>
      </c>
      <c r="L178" s="11">
        <f>_xlfn.IFNA(VLOOKUP(B178,Towary_na_zamówieniach!$A$4:$C$1500,3,FALSE),0)</f>
        <v>1050</v>
      </c>
      <c r="M178" s="11">
        <f>_xlfn.IFNA(VLOOKUP(B178,MBI_Dostawcy_towarów!$A$4:$C$2000,2,FALSE),"N/A")</f>
        <v>90</v>
      </c>
      <c r="N178" s="11" t="str">
        <f>IF(VLOOKUP(B178,Towary_i_uslugi!$A$3:$T$1500,17,FALSE)=0,"!NO SUPPLIER",VLOOKUP(B178,Towary_i_uslugi!$A$3:$T$1500,17))</f>
        <v xml:space="preserve">LF rozrachunki </v>
      </c>
      <c r="O178" s="11" t="str">
        <f>IF(VLOOKUP(B178,Towary_i_uslugi!$A$4:$U$1200,21,FALSE)&gt;0,VLOOKUP(B178,Towary_i_uslugi!$A$4:$U$1200,21,FALSE),"")</f>
        <v>MBA*17.1.20* Please print product code and number of pieces on outerbox</v>
      </c>
      <c r="P178" s="11">
        <f t="shared" si="6"/>
        <v>0</v>
      </c>
      <c r="Q178" s="11">
        <f t="shared" si="7"/>
        <v>0</v>
      </c>
      <c r="R178" s="17">
        <f t="shared" si="8"/>
        <v>0</v>
      </c>
      <c r="S178" s="17">
        <f>VLOOKUP($B178,   MBI_LastBuy!$A$3:E$13199,3,FALSE)</f>
        <v>250</v>
      </c>
      <c r="T178" s="13">
        <f>VLOOKUP($B178,   MBI_LastBuy!$A$3:E$13199,2,FALSE)</f>
        <v>4.2</v>
      </c>
      <c r="U178" s="13" t="str">
        <f>VLOOKUP($B178,   MBI_LastBuy!$A$3:E$13199,5,FALSE)</f>
        <v>USD</v>
      </c>
      <c r="V178" s="15">
        <f>VLOOKUP($B178,   MBI_LastBuy!$A$3:E$13199,4,FALSE)</f>
        <v>44117</v>
      </c>
    </row>
    <row r="179" spans="1:22" x14ac:dyDescent="0.25">
      <c r="A179" s="11" t="s">
        <v>3552</v>
      </c>
      <c r="B179" s="11">
        <v>410874</v>
      </c>
      <c r="C179" s="11" t="str">
        <f>VLOOKUP(B179,Towary_i_uslugi!$A$4:$B$1500,2)</f>
        <v>nowość!!! więcej info dla klienta</v>
      </c>
      <c r="D179" s="11" t="s">
        <v>3625</v>
      </c>
      <c r="E179" s="11">
        <f>VLOOKUP(B179,Towary_i_uslugi!$A$3:$T$1500,3,FALSE)</f>
        <v>36</v>
      </c>
      <c r="F179" s="11" t="str">
        <f>VLOOKUP(B179,Towary_i_uslugi!$A$3:$T$1500,20,FALSE)</f>
        <v>double blister card</v>
      </c>
      <c r="G179" s="11">
        <f>VLOOKUP(B179,MBI_Dostawcy_towarów!$A$4:$C$1399,3,FALSE)</f>
        <v>0.4</v>
      </c>
      <c r="H179" s="11">
        <v>0</v>
      </c>
      <c r="I179" s="11">
        <v>0</v>
      </c>
      <c r="J179" s="11">
        <v>400</v>
      </c>
      <c r="K179" s="11">
        <f>_xlfn.IFNA(VLOOKUP(B179,Towary_na_zamówieniach!$A$4:$C$1500,2,FALSE),0)</f>
        <v>1080</v>
      </c>
      <c r="L179" s="11">
        <f>_xlfn.IFNA(VLOOKUP(B179,Towary_na_zamówieniach!$A$4:$C$1500,3,FALSE),0)</f>
        <v>2138.4</v>
      </c>
      <c r="M179" s="11">
        <f>_xlfn.IFNA(VLOOKUP(B179,MBI_Dostawcy_towarów!$A$4:$C$2000,2,FALSE),"N/A")</f>
        <v>90</v>
      </c>
      <c r="N179" s="11" t="str">
        <f>IF(VLOOKUP(B179,Towary_i_uslugi!$A$3:$T$1500,17,FALSE)=0,"!NO SUPPLIER",VLOOKUP(B179,Towary_i_uslugi!$A$3:$T$1500,17))</f>
        <v>XM - PRZYJĘCIE TOWARU !!!</v>
      </c>
      <c r="O179" s="11" t="str">
        <f>IF(VLOOKUP(B179,Towary_i_uslugi!$A$4:$U$1200,21,FALSE)&gt;0,VLOOKUP(B179,Towary_i_uslugi!$A$4:$U$1200,21,FALSE),"")</f>
        <v>PFA*26.10*new</v>
      </c>
      <c r="P179" s="11">
        <f t="shared" si="6"/>
        <v>0</v>
      </c>
      <c r="Q179" s="11">
        <f t="shared" si="7"/>
        <v>0</v>
      </c>
      <c r="R179" s="17">
        <f t="shared" si="8"/>
        <v>0</v>
      </c>
      <c r="S179" s="17">
        <f>VLOOKUP($B179,   MBI_LastBuy!$A$3:E$13199,3,FALSE)</f>
        <v>1080</v>
      </c>
      <c r="T179" s="13">
        <f>VLOOKUP($B179,   MBI_LastBuy!$A$3:E$13199,2,FALSE)</f>
        <v>1.98</v>
      </c>
      <c r="U179" s="13" t="str">
        <f>VLOOKUP($B179,   MBI_LastBuy!$A$3:E$13199,5,FALSE)</f>
        <v>USD</v>
      </c>
      <c r="V179" s="15">
        <f>VLOOKUP($B179,   MBI_LastBuy!$A$3:E$13199,4,FALSE)</f>
        <v>44133</v>
      </c>
    </row>
    <row r="180" spans="1:22" x14ac:dyDescent="0.25">
      <c r="A180" s="11" t="s">
        <v>3552</v>
      </c>
      <c r="B180" s="11">
        <v>420090</v>
      </c>
      <c r="C180" s="11" t="str">
        <f>VLOOKUP(B180,Towary_i_uslugi!$A$4:$B$1500,2)</f>
        <v>(brak)</v>
      </c>
      <c r="D180" s="11" t="s">
        <v>3626</v>
      </c>
      <c r="E180" s="11">
        <f>VLOOKUP(B180,Towary_i_uslugi!$A$3:$T$1500,3,FALSE)</f>
        <v>100</v>
      </c>
      <c r="F180" s="11" t="str">
        <f>VLOOKUP(B180,Towary_i_uslugi!$A$3:$T$1500,20,FALSE)</f>
        <v>plastic box</v>
      </c>
      <c r="G180" s="11">
        <f>VLOOKUP(B180,MBI_Dostawcy_towarów!$A$4:$C$1399,3,FALSE)</f>
        <v>0.21199999999999999</v>
      </c>
      <c r="H180" s="11">
        <v>260</v>
      </c>
      <c r="I180" s="11">
        <v>10</v>
      </c>
      <c r="J180" s="11">
        <v>350</v>
      </c>
      <c r="K180" s="11">
        <f>_xlfn.IFNA(VLOOKUP(B180,Towary_na_zamówieniach!$A$4:$C$1500,2,FALSE),0)</f>
        <v>800</v>
      </c>
      <c r="L180" s="11">
        <f>_xlfn.IFNA(VLOOKUP(B180,Towary_na_zamówieniach!$A$4:$C$1500,3,FALSE),0)</f>
        <v>488</v>
      </c>
      <c r="M180" s="11">
        <f>_xlfn.IFNA(VLOOKUP(B180,MBI_Dostawcy_towarów!$A$4:$C$2000,2,FALSE),"N/A")</f>
        <v>90</v>
      </c>
      <c r="N180" s="11" t="str">
        <f>IF(VLOOKUP(B180,Towary_i_uslugi!$A$3:$T$1500,17,FALSE)=0,"!NO SUPPLIER",VLOOKUP(B180,Towary_i_uslugi!$A$3:$T$1500,17))</f>
        <v>XM</v>
      </c>
      <c r="O180" s="11" t="str">
        <f>IF(VLOOKUP(B180,Towary_i_uslugi!$A$4:$U$1200,21,FALSE)&gt;0,VLOOKUP(B180,Towary_i_uslugi!$A$4:$U$1200,21,FALSE),"")</f>
        <v/>
      </c>
      <c r="P180" s="11">
        <f t="shared" si="6"/>
        <v>0</v>
      </c>
      <c r="Q180" s="11">
        <f t="shared" si="7"/>
        <v>0</v>
      </c>
      <c r="R180" s="17">
        <f t="shared" si="8"/>
        <v>0</v>
      </c>
      <c r="S180" s="17">
        <f>VLOOKUP($B180,   MBI_LastBuy!$A$3:E$13199,3,FALSE)</f>
        <v>800</v>
      </c>
      <c r="T180" s="13">
        <f>VLOOKUP($B180,   MBI_LastBuy!$A$3:E$13199,2,FALSE)</f>
        <v>0.61</v>
      </c>
      <c r="U180" s="13" t="str">
        <f>VLOOKUP($B180,   MBI_LastBuy!$A$3:E$13199,5,FALSE)</f>
        <v>USD</v>
      </c>
      <c r="V180" s="15">
        <f>VLOOKUP($B180,   MBI_LastBuy!$A$3:E$13199,4,FALSE)</f>
        <v>44111</v>
      </c>
    </row>
    <row r="181" spans="1:22" x14ac:dyDescent="0.25">
      <c r="A181" s="11" t="s">
        <v>3556</v>
      </c>
      <c r="B181" s="11">
        <v>420105</v>
      </c>
      <c r="C181" s="11" t="str">
        <f>VLOOKUP(B181,Towary_i_uslugi!$A$4:$B$1500,2)</f>
        <v>(brak)</v>
      </c>
      <c r="D181" s="11" t="s">
        <v>3627</v>
      </c>
      <c r="E181" s="11">
        <f>VLOOKUP(B181,Towary_i_uslugi!$A$3:$T$1500,3,FALSE)</f>
        <v>80</v>
      </c>
      <c r="F181" s="11" t="str">
        <f>VLOOKUP(B181,Towary_i_uslugi!$A$3:$T$1500,20,FALSE)</f>
        <v>slide blister</v>
      </c>
      <c r="G181" s="11">
        <f>VLOOKUP(B181,MBI_Dostawcy_towarów!$A$4:$C$1399,3,FALSE)</f>
        <v>0.13500000000000001</v>
      </c>
      <c r="H181" s="11">
        <v>11</v>
      </c>
      <c r="I181" s="11">
        <v>0</v>
      </c>
      <c r="J181" s="11">
        <v>100</v>
      </c>
      <c r="K181" s="11">
        <f>_xlfn.IFNA(VLOOKUP(B181,Towary_na_zamówieniach!$A$4:$C$1500,2,FALSE),0)</f>
        <v>800</v>
      </c>
      <c r="L181" s="11">
        <f>_xlfn.IFNA(VLOOKUP(B181,Towary_na_zamówieniach!$A$4:$C$1500,3,FALSE),0)</f>
        <v>520</v>
      </c>
      <c r="M181" s="11">
        <f>_xlfn.IFNA(VLOOKUP(B181,MBI_Dostawcy_towarów!$A$4:$C$2000,2,FALSE),"N/A")</f>
        <v>90</v>
      </c>
      <c r="N181" s="11" t="str">
        <f>IF(VLOOKUP(B181,Towary_i_uslugi!$A$3:$T$1500,17,FALSE)=0,"!NO SUPPLIER",VLOOKUP(B181,Towary_i_uslugi!$A$3:$T$1500,17))</f>
        <v xml:space="preserve">LF rozrachunki </v>
      </c>
      <c r="O181" s="11" t="str">
        <f>IF(VLOOKUP(B181,Towary_i_uslugi!$A$4:$U$1200,21,FALSE)&gt;0,VLOOKUP(B181,Towary_i_uslugi!$A$4:$U$1200,21,FALSE),"")</f>
        <v>MBI*4.9.2020* LF different packing</v>
      </c>
      <c r="P181" s="11">
        <f t="shared" si="6"/>
        <v>0</v>
      </c>
      <c r="Q181" s="11">
        <f t="shared" si="7"/>
        <v>0</v>
      </c>
      <c r="R181" s="17">
        <f t="shared" si="8"/>
        <v>0</v>
      </c>
      <c r="S181" s="17">
        <f>VLOOKUP($B181,   MBI_LastBuy!$A$3:E$13199,3,FALSE)</f>
        <v>800</v>
      </c>
      <c r="T181" s="13">
        <f>VLOOKUP($B181,   MBI_LastBuy!$A$3:E$13199,2,FALSE)</f>
        <v>0.65</v>
      </c>
      <c r="U181" s="13" t="str">
        <f>VLOOKUP($B181,   MBI_LastBuy!$A$3:E$13199,5,FALSE)</f>
        <v>USD</v>
      </c>
      <c r="V181" s="15">
        <f>VLOOKUP($B181,   MBI_LastBuy!$A$3:E$13199,4,FALSE)</f>
        <v>44070</v>
      </c>
    </row>
    <row r="182" spans="1:22" x14ac:dyDescent="0.25">
      <c r="A182" s="11" t="s">
        <v>3556</v>
      </c>
      <c r="B182" s="11">
        <v>420113</v>
      </c>
      <c r="C182" s="11" t="str">
        <f>VLOOKUP(B182,Towary_i_uslugi!$A$4:$B$1500,2)</f>
        <v>(brak)</v>
      </c>
      <c r="D182" s="11" t="s">
        <v>1588</v>
      </c>
      <c r="E182" s="11">
        <f>VLOOKUP(B182,Towary_i_uslugi!$A$3:$T$1500,3,FALSE)</f>
        <v>48</v>
      </c>
      <c r="F182" s="11" t="str">
        <f>VLOOKUP(B182,Towary_i_uslugi!$A$3:$T$1500,20,FALSE)</f>
        <v>slide blister</v>
      </c>
      <c r="G182" s="11">
        <f>VLOOKUP(B182,MBI_Dostawcy_towarów!$A$4:$C$1399,3,FALSE)</f>
        <v>0.19800000000000001</v>
      </c>
      <c r="H182" s="11">
        <v>1</v>
      </c>
      <c r="I182" s="11">
        <v>0</v>
      </c>
      <c r="J182" s="11">
        <v>100</v>
      </c>
      <c r="K182" s="11">
        <f>_xlfn.IFNA(VLOOKUP(B182,Towary_na_zamówieniach!$A$4:$C$1500,2,FALSE),0)</f>
        <v>720</v>
      </c>
      <c r="L182" s="11">
        <f>_xlfn.IFNA(VLOOKUP(B182,Towary_na_zamówieniach!$A$4:$C$1500,3,FALSE),0)</f>
        <v>1080</v>
      </c>
      <c r="M182" s="11">
        <f>_xlfn.IFNA(VLOOKUP(B182,MBI_Dostawcy_towarów!$A$4:$C$2000,2,FALSE),"N/A")</f>
        <v>90</v>
      </c>
      <c r="N182" s="11" t="str">
        <f>IF(VLOOKUP(B182,Towary_i_uslugi!$A$3:$T$1500,17,FALSE)=0,"!NO SUPPLIER",VLOOKUP(B182,Towary_i_uslugi!$A$3:$T$1500,17))</f>
        <v xml:space="preserve">LF rozrachunki </v>
      </c>
      <c r="O182" s="11" t="str">
        <f>IF(VLOOKUP(B182,Towary_i_uslugi!$A$4:$U$1200,21,FALSE)&gt;0,VLOOKUP(B182,Towary_i_uslugi!$A$4:$U$1200,21,FALSE),"")</f>
        <v>MBA07.11.19*Pobrać na wzorcownię</v>
      </c>
      <c r="P182" s="11">
        <f t="shared" si="6"/>
        <v>0</v>
      </c>
      <c r="Q182" s="11">
        <f t="shared" si="7"/>
        <v>0</v>
      </c>
      <c r="R182" s="17">
        <f t="shared" si="8"/>
        <v>0</v>
      </c>
      <c r="S182" s="17">
        <f>VLOOKUP($B182,   MBI_LastBuy!$A$3:E$13199,3,FALSE)</f>
        <v>720</v>
      </c>
      <c r="T182" s="13">
        <f>VLOOKUP($B182,   MBI_LastBuy!$A$3:E$13199,2,FALSE)</f>
        <v>1.5</v>
      </c>
      <c r="U182" s="13" t="str">
        <f>VLOOKUP($B182,   MBI_LastBuy!$A$3:E$13199,5,FALSE)</f>
        <v>USD</v>
      </c>
      <c r="V182" s="15">
        <f>VLOOKUP($B182,   MBI_LastBuy!$A$3:E$13199,4,FALSE)</f>
        <v>44020</v>
      </c>
    </row>
    <row r="183" spans="1:22" x14ac:dyDescent="0.25">
      <c r="A183" s="11" t="s">
        <v>3552</v>
      </c>
      <c r="B183" s="11">
        <v>430030</v>
      </c>
      <c r="C183" s="11" t="str">
        <f>VLOOKUP(B183,Towary_i_uslugi!$A$4:$B$1500,2)</f>
        <v>(brak)</v>
      </c>
      <c r="D183" s="11" t="s">
        <v>3628</v>
      </c>
      <c r="E183" s="11">
        <f>VLOOKUP(B183,Towary_i_uslugi!$A$3:$T$1500,3,FALSE)</f>
        <v>60</v>
      </c>
      <c r="F183" s="11" t="str">
        <f>VLOOKUP(B183,Towary_i_uslugi!$A$3:$T$1500,20,FALSE)</f>
        <v>pvc pouch</v>
      </c>
      <c r="G183" s="11">
        <f>VLOOKUP(B183,MBI_Dostawcy_towarów!$A$4:$C$1399,3,FALSE)</f>
        <v>0.35499999999999998</v>
      </c>
      <c r="H183" s="11">
        <v>864</v>
      </c>
      <c r="I183" s="11">
        <v>30</v>
      </c>
      <c r="J183" s="11">
        <v>1200</v>
      </c>
      <c r="K183" s="11">
        <f>_xlfn.IFNA(VLOOKUP(B183,Towary_na_zamówieniach!$A$4:$C$1500,2,FALSE),0)</f>
        <v>1200</v>
      </c>
      <c r="L183" s="11">
        <f>_xlfn.IFNA(VLOOKUP(B183,Towary_na_zamówieniach!$A$4:$C$1500,3,FALSE),0)</f>
        <v>1224</v>
      </c>
      <c r="M183" s="11">
        <f>_xlfn.IFNA(VLOOKUP(B183,MBI_Dostawcy_towarów!$A$4:$C$2000,2,FALSE),"N/A")</f>
        <v>90</v>
      </c>
      <c r="N183" s="11" t="str">
        <f>IF(VLOOKUP(B183,Towary_i_uslugi!$A$3:$T$1500,17,FALSE)=0,"!NO SUPPLIER",VLOOKUP(B183,Towary_i_uslugi!$A$3:$T$1500,17))</f>
        <v>XM</v>
      </c>
      <c r="O183" s="11" t="str">
        <f>IF(VLOOKUP(B183,Towary_i_uslugi!$A$4:$U$1200,21,FALSE)&gt;0,VLOOKUP(B183,Towary_i_uslugi!$A$4:$U$1200,21,FALSE),"")</f>
        <v/>
      </c>
      <c r="P183" s="11">
        <f t="shared" si="6"/>
        <v>0</v>
      </c>
      <c r="Q183" s="11">
        <f t="shared" si="7"/>
        <v>0</v>
      </c>
      <c r="R183" s="17">
        <f t="shared" si="8"/>
        <v>0</v>
      </c>
      <c r="S183" s="17">
        <f>VLOOKUP($B183,   MBI_LastBuy!$A$3:E$13199,3,FALSE)</f>
        <v>1200</v>
      </c>
      <c r="T183" s="13">
        <f>VLOOKUP($B183,   MBI_LastBuy!$A$3:E$13199,2,FALSE)</f>
        <v>1.02</v>
      </c>
      <c r="U183" s="13" t="str">
        <f>VLOOKUP($B183,   MBI_LastBuy!$A$3:E$13199,5,FALSE)</f>
        <v>USD</v>
      </c>
      <c r="V183" s="15">
        <f>VLOOKUP($B183,   MBI_LastBuy!$A$3:E$13199,4,FALSE)</f>
        <v>44111</v>
      </c>
    </row>
    <row r="184" spans="1:22" x14ac:dyDescent="0.25">
      <c r="A184" s="11" t="s">
        <v>3552</v>
      </c>
      <c r="B184" s="11">
        <v>430070</v>
      </c>
      <c r="C184" s="11" t="str">
        <f>VLOOKUP(B184,Towary_i_uslugi!$A$4:$B$1500,2)</f>
        <v>(brak)</v>
      </c>
      <c r="D184" s="11" t="s">
        <v>28</v>
      </c>
      <c r="E184" s="11">
        <f>VLOOKUP(B184,Towary_i_uslugi!$A$3:$T$1500,3,FALSE)</f>
        <v>40</v>
      </c>
      <c r="F184" s="11" t="str">
        <f>VLOOKUP(B184,Towary_i_uslugi!$A$3:$T$1500,20,FALSE)</f>
        <v>pvc pouch</v>
      </c>
      <c r="G184" s="11">
        <f>VLOOKUP(B184,MBI_Dostawcy_towarów!$A$4:$C$1399,3,FALSE)</f>
        <v>0.501</v>
      </c>
      <c r="H184" s="11">
        <v>138</v>
      </c>
      <c r="I184" s="11">
        <v>560</v>
      </c>
      <c r="J184" s="11">
        <v>2600</v>
      </c>
      <c r="K184" s="11">
        <f>_xlfn.IFNA(VLOOKUP(B184,Towary_na_zamówieniach!$A$4:$C$1500,2,FALSE),0)</f>
        <v>3200</v>
      </c>
      <c r="L184" s="11">
        <f>_xlfn.IFNA(VLOOKUP(B184,Towary_na_zamówieniach!$A$4:$C$1500,3,FALSE),0)</f>
        <v>5704</v>
      </c>
      <c r="M184" s="11">
        <f>_xlfn.IFNA(VLOOKUP(B184,MBI_Dostawcy_towarów!$A$4:$C$2000,2,FALSE),"N/A")</f>
        <v>90</v>
      </c>
      <c r="N184" s="11" t="str">
        <f>IF(VLOOKUP(B184,Towary_i_uslugi!$A$3:$T$1500,17,FALSE)=0,"!NO SUPPLIER",VLOOKUP(B184,Towary_i_uslugi!$A$3:$T$1500,17))</f>
        <v>XM</v>
      </c>
      <c r="O184" s="11" t="str">
        <f>IF(VLOOKUP(B184,Towary_i_uslugi!$A$4:$U$1200,21,FALSE)&gt;0,VLOOKUP(B184,Towary_i_uslugi!$A$4:$U$1200,21,FALSE),"")</f>
        <v/>
      </c>
      <c r="P184" s="11">
        <f t="shared" si="6"/>
        <v>0</v>
      </c>
      <c r="Q184" s="11">
        <f t="shared" si="7"/>
        <v>0</v>
      </c>
      <c r="R184" s="17">
        <f t="shared" si="8"/>
        <v>0</v>
      </c>
      <c r="S184" s="17">
        <f>VLOOKUP($B184,   MBI_LastBuy!$A$3:E$13199,3,FALSE)</f>
        <v>600</v>
      </c>
      <c r="T184" s="13">
        <f>VLOOKUP($B184,   MBI_LastBuy!$A$3:E$13199,2,FALSE)</f>
        <v>1.75</v>
      </c>
      <c r="U184" s="13" t="str">
        <f>VLOOKUP($B184,   MBI_LastBuy!$A$3:E$13199,5,FALSE)</f>
        <v>USD</v>
      </c>
      <c r="V184" s="15">
        <f>VLOOKUP($B184,   MBI_LastBuy!$A$3:E$13199,4,FALSE)</f>
        <v>44117</v>
      </c>
    </row>
    <row r="185" spans="1:22" x14ac:dyDescent="0.25">
      <c r="A185" s="11" t="s">
        <v>3556</v>
      </c>
      <c r="B185" s="11">
        <v>440060</v>
      </c>
      <c r="C185" s="11" t="str">
        <f>VLOOKUP(B185,Towary_i_uslugi!$A$4:$B$1500,2)</f>
        <v>(brak)</v>
      </c>
      <c r="D185" s="11" t="s">
        <v>3629</v>
      </c>
      <c r="E185" s="11">
        <f>VLOOKUP(B185,Towary_i_uslugi!$A$3:$T$1500,3,FALSE)</f>
        <v>80</v>
      </c>
      <c r="F185" s="11" t="str">
        <f>VLOOKUP(B185,Towary_i_uslugi!$A$3:$T$1500,20,FALSE)</f>
        <v>PVC wallet</v>
      </c>
      <c r="G185" s="11">
        <f>VLOOKUP(B185,MBI_Dostawcy_towarów!$A$4:$C$1399,3,FALSE)</f>
        <v>0.248</v>
      </c>
      <c r="H185" s="11">
        <v>1004</v>
      </c>
      <c r="I185" s="11">
        <v>0</v>
      </c>
      <c r="J185" s="11">
        <v>1200</v>
      </c>
      <c r="K185" s="11">
        <f>_xlfn.IFNA(VLOOKUP(B185,Towary_na_zamówieniach!$A$4:$C$1500,2,FALSE),0)</f>
        <v>1280</v>
      </c>
      <c r="L185" s="11">
        <f>_xlfn.IFNA(VLOOKUP(B185,Towary_na_zamówieniach!$A$4:$C$1500,3,FALSE),0)</f>
        <v>1320.96</v>
      </c>
      <c r="M185" s="11">
        <f>_xlfn.IFNA(VLOOKUP(B185,MBI_Dostawcy_towarów!$A$4:$C$2000,2,FALSE),"N/A")</f>
        <v>90</v>
      </c>
      <c r="N185" s="11" t="str">
        <f>IF(VLOOKUP(B185,Towary_i_uslugi!$A$3:$T$1500,17,FALSE)=0,"!NO SUPPLIER",VLOOKUP(B185,Towary_i_uslugi!$A$3:$T$1500,17))</f>
        <v xml:space="preserve">LF rozrachunki </v>
      </c>
      <c r="O185" s="11" t="str">
        <f>IF(VLOOKUP(B185,Towary_i_uslugi!$A$4:$U$1200,21,FALSE)&gt;0,VLOOKUP(B185,Towary_i_uslugi!$A$4:$U$1200,21,FALSE),"")</f>
        <v/>
      </c>
      <c r="P185" s="11">
        <f t="shared" si="6"/>
        <v>0</v>
      </c>
      <c r="Q185" s="11">
        <f t="shared" si="7"/>
        <v>0</v>
      </c>
      <c r="R185" s="17">
        <f t="shared" si="8"/>
        <v>0</v>
      </c>
      <c r="S185" s="17">
        <f>VLOOKUP($B185,   MBI_LastBuy!$A$3:E$13199,3,FALSE)</f>
        <v>1280</v>
      </c>
      <c r="T185" s="13">
        <f>VLOOKUP($B185,   MBI_LastBuy!$A$3:E$13199,2,FALSE)</f>
        <v>1.032</v>
      </c>
      <c r="U185" s="13" t="str">
        <f>VLOOKUP($B185,   MBI_LastBuy!$A$3:E$13199,5,FALSE)</f>
        <v>USD</v>
      </c>
      <c r="V185" s="15">
        <f>VLOOKUP($B185,   MBI_LastBuy!$A$3:E$13199,4,FALSE)</f>
        <v>44140</v>
      </c>
    </row>
    <row r="186" spans="1:22" x14ac:dyDescent="0.25">
      <c r="A186" s="11" t="s">
        <v>3556</v>
      </c>
      <c r="B186" s="11">
        <v>440063</v>
      </c>
      <c r="C186" s="11" t="str">
        <f>VLOOKUP(B186,Towary_i_uslugi!$A$4:$B$1500,2)</f>
        <v>(brak)</v>
      </c>
      <c r="D186" s="11" t="s">
        <v>2815</v>
      </c>
      <c r="E186" s="11">
        <f>VLOOKUP(B186,Towary_i_uslugi!$A$3:$T$1500,3,FALSE)</f>
        <v>1</v>
      </c>
      <c r="F186" s="11" t="str">
        <f>VLOOKUP(B186,Towary_i_uslugi!$A$3:$T$1500,20,FALSE)</f>
        <v>wooden box</v>
      </c>
      <c r="G186" s="11">
        <f>VLOOKUP(B186,MBI_Dostawcy_towarów!$A$4:$C$1399,3,FALSE)</f>
        <v>0.76800000000000002</v>
      </c>
      <c r="H186" s="11">
        <v>1</v>
      </c>
      <c r="I186" s="11">
        <v>0</v>
      </c>
      <c r="J186" s="11">
        <v>50</v>
      </c>
      <c r="K186" s="11">
        <f>_xlfn.IFNA(VLOOKUP(B186,Towary_na_zamówieniach!$A$4:$C$1500,2,FALSE),0)</f>
        <v>550</v>
      </c>
      <c r="L186" s="11">
        <f>_xlfn.IFNA(VLOOKUP(B186,Towary_na_zamówieniach!$A$4:$C$1500,3,FALSE),0)</f>
        <v>2827.6</v>
      </c>
      <c r="M186" s="11">
        <f>_xlfn.IFNA(VLOOKUP(B186,MBI_Dostawcy_towarów!$A$4:$C$2000,2,FALSE),"N/A")</f>
        <v>90</v>
      </c>
      <c r="N186" s="11" t="str">
        <f>IF(VLOOKUP(B186,Towary_i_uslugi!$A$3:$T$1500,17,FALSE)=0,"!NO SUPPLIER",VLOOKUP(B186,Towary_i_uslugi!$A$3:$T$1500,17))</f>
        <v xml:space="preserve">LF rozrachunki </v>
      </c>
      <c r="O186" s="11" t="str">
        <f>IF(VLOOKUP(B186,Towary_i_uslugi!$A$4:$U$1200,21,FALSE)&gt;0,VLOOKUP(B186,Towary_i_uslugi!$A$4:$U$1200,21,FALSE),"")</f>
        <v/>
      </c>
      <c r="P186" s="11">
        <f t="shared" si="6"/>
        <v>0</v>
      </c>
      <c r="Q186" s="11">
        <f t="shared" si="7"/>
        <v>0</v>
      </c>
      <c r="R186" s="17">
        <f t="shared" si="8"/>
        <v>0</v>
      </c>
      <c r="S186" s="17">
        <f>VLOOKUP($B186,   MBI_LastBuy!$A$3:E$13199,3,FALSE)</f>
        <v>400</v>
      </c>
      <c r="T186" s="13">
        <f>VLOOKUP($B186,   MBI_LastBuy!$A$3:E$13199,2,FALSE)</f>
        <v>4.444</v>
      </c>
      <c r="U186" s="13" t="str">
        <f>VLOOKUP($B186,   MBI_LastBuy!$A$3:E$13199,5,FALSE)</f>
        <v>USD</v>
      </c>
      <c r="V186" s="15">
        <f>VLOOKUP($B186,   MBI_LastBuy!$A$3:E$13199,4,FALSE)</f>
        <v>44070</v>
      </c>
    </row>
    <row r="187" spans="1:22" x14ac:dyDescent="0.25">
      <c r="A187" s="11" t="s">
        <v>3555</v>
      </c>
      <c r="B187" s="11">
        <v>440150</v>
      </c>
      <c r="C187" s="11" t="str">
        <f>VLOOKUP(B187,Towary_i_uslugi!$A$4:$B$1500,2)</f>
        <v>(brak)</v>
      </c>
      <c r="D187" s="11" t="s">
        <v>2622</v>
      </c>
      <c r="E187" s="11">
        <f>VLOOKUP(B187,Towary_i_uslugi!$A$3:$T$1500,3,FALSE)</f>
        <v>20</v>
      </c>
      <c r="F187" s="11" t="str">
        <f>VLOOKUP(B187,Towary_i_uslugi!$A$3:$T$1500,20,FALSE)</f>
        <v>wooden case</v>
      </c>
      <c r="G187" s="11">
        <f>VLOOKUP(B187,MBI_Dostawcy_towarów!$A$4:$C$1399,3,FALSE)</f>
        <v>0.6</v>
      </c>
      <c r="H187" s="11">
        <v>117</v>
      </c>
      <c r="I187" s="11">
        <v>0</v>
      </c>
      <c r="J187" s="11">
        <v>250</v>
      </c>
      <c r="K187" s="11">
        <f>_xlfn.IFNA(VLOOKUP(B187,Towary_na_zamówieniach!$A$4:$C$1500,2,FALSE),0)</f>
        <v>321</v>
      </c>
      <c r="L187" s="11">
        <f>_xlfn.IFNA(VLOOKUP(B187,Towary_na_zamówieniach!$A$4:$C$1500,3,FALSE),0)</f>
        <v>1100.8</v>
      </c>
      <c r="M187" s="11">
        <f>_xlfn.IFNA(VLOOKUP(B187,MBI_Dostawcy_towarów!$A$4:$C$2000,2,FALSE),"N/A")</f>
        <v>90</v>
      </c>
      <c r="N187" s="11" t="str">
        <f>IF(VLOOKUP(B187,Towary_i_uslugi!$A$3:$T$1500,17,FALSE)=0,"!NO SUPPLIER",VLOOKUP(B187,Towary_i_uslugi!$A$3:$T$1500,17))</f>
        <v xml:space="preserve">HQ - Canada </v>
      </c>
      <c r="O187" s="11" t="str">
        <f>IF(VLOOKUP(B187,Towary_i_uslugi!$A$4:$U$1200,21,FALSE)&gt;0,VLOOKUP(B187,Towary_i_uslugi!$A$4:$U$1200,21,FALSE),"")</f>
        <v/>
      </c>
      <c r="P187" s="11">
        <f t="shared" si="6"/>
        <v>0</v>
      </c>
      <c r="Q187" s="11">
        <f t="shared" si="7"/>
        <v>0</v>
      </c>
      <c r="R187" s="17">
        <f t="shared" si="8"/>
        <v>0</v>
      </c>
      <c r="S187" s="17">
        <f>VLOOKUP($B187,   MBI_LastBuy!$A$3:E$13199,3,FALSE)</f>
        <v>320</v>
      </c>
      <c r="T187" s="13">
        <f>VLOOKUP($B187,   MBI_LastBuy!$A$3:E$13199,2,FALSE)</f>
        <v>3.44</v>
      </c>
      <c r="U187" s="13" t="str">
        <f>VLOOKUP($B187,   MBI_LastBuy!$A$3:E$13199,5,FALSE)</f>
        <v>USD</v>
      </c>
      <c r="V187" s="15">
        <f>VLOOKUP($B187,   MBI_LastBuy!$A$3:E$13199,4,FALSE)</f>
        <v>44035</v>
      </c>
    </row>
    <row r="188" spans="1:22" x14ac:dyDescent="0.25">
      <c r="A188" s="11" t="s">
        <v>3553</v>
      </c>
      <c r="B188" s="11">
        <v>440320</v>
      </c>
      <c r="C188" s="11" t="str">
        <f>VLOOKUP(B188,Towary_i_uslugi!$A$4:$B$1500,2)</f>
        <v>(brak)</v>
      </c>
      <c r="D188" s="11" t="s">
        <v>3630</v>
      </c>
      <c r="E188" s="11">
        <f>VLOOKUP(B188,Towary_i_uslugi!$A$3:$T$1500,3,FALSE)</f>
        <v>20</v>
      </c>
      <c r="F188" s="11" t="str">
        <f>VLOOKUP(B188,Towary_i_uslugi!$A$3:$T$1500,20,FALSE)</f>
        <v>wooden case</v>
      </c>
      <c r="G188" s="11">
        <f>VLOOKUP(B188,MBI_Dostawcy_towarów!$A$4:$C$1399,3,FALSE)</f>
        <v>0.53900000000000003</v>
      </c>
      <c r="H188" s="11">
        <v>15</v>
      </c>
      <c r="I188" s="11">
        <v>0</v>
      </c>
      <c r="J188" s="11">
        <v>30</v>
      </c>
      <c r="K188" s="11">
        <f>_xlfn.IFNA(VLOOKUP(B188,Towary_na_zamówieniach!$A$4:$C$1500,2,FALSE),0)</f>
        <v>200</v>
      </c>
      <c r="L188" s="11">
        <f>_xlfn.IFNA(VLOOKUP(B188,Towary_na_zamówieniach!$A$4:$C$1500,3,FALSE),0)</f>
        <v>1260</v>
      </c>
      <c r="M188" s="11">
        <f>_xlfn.IFNA(VLOOKUP(B188,MBI_Dostawcy_towarów!$A$4:$C$2000,2,FALSE),"N/A")</f>
        <v>90</v>
      </c>
      <c r="N188" s="11" t="str">
        <f>IF(VLOOKUP(B188,Towary_i_uslugi!$A$3:$T$1500,17,FALSE)=0,"!NO SUPPLIER",VLOOKUP(B188,Towary_i_uslugi!$A$3:$T$1500,17))</f>
        <v>FX -MAPLE Frank Xu</v>
      </c>
      <c r="O188" s="11" t="str">
        <f>IF(VLOOKUP(B188,Towary_i_uslugi!$A$4:$U$1200,21,FALSE)&gt;0,VLOOKUP(B188,Towary_i_uslugi!$A$4:$U$1200,21,FALSE),"")</f>
        <v/>
      </c>
      <c r="P188" s="11">
        <f t="shared" si="6"/>
        <v>0</v>
      </c>
      <c r="Q188" s="11">
        <f t="shared" si="7"/>
        <v>0</v>
      </c>
      <c r="R188" s="17">
        <f t="shared" si="8"/>
        <v>0</v>
      </c>
      <c r="S188" s="17">
        <f>VLOOKUP($B188,   MBI_LastBuy!$A$3:E$13199,3,FALSE)</f>
        <v>200</v>
      </c>
      <c r="T188" s="13">
        <f>VLOOKUP($B188,   MBI_LastBuy!$A$3:E$13199,2,FALSE)</f>
        <v>6.3</v>
      </c>
      <c r="U188" s="13" t="str">
        <f>VLOOKUP($B188,   MBI_LastBuy!$A$3:E$13199,5,FALSE)</f>
        <v>USD</v>
      </c>
      <c r="V188" s="15">
        <f>VLOOKUP($B188,   MBI_LastBuy!$A$3:E$13199,4,FALSE)</f>
        <v>44131</v>
      </c>
    </row>
    <row r="189" spans="1:22" x14ac:dyDescent="0.25">
      <c r="A189" s="11" t="s">
        <v>3555</v>
      </c>
      <c r="B189" s="11">
        <v>440322</v>
      </c>
      <c r="C189" s="11" t="str">
        <f>VLOOKUP(B189,Towary_i_uslugi!$A$4:$B$1500,2)</f>
        <v>(brak)</v>
      </c>
      <c r="D189" s="11" t="s">
        <v>2679</v>
      </c>
      <c r="E189" s="11">
        <f>VLOOKUP(B189,Towary_i_uslugi!$A$3:$T$1500,3,FALSE)</f>
        <v>20</v>
      </c>
      <c r="F189" s="11" t="str">
        <f>VLOOKUP(B189,Towary_i_uslugi!$A$3:$T$1500,20,FALSE)</f>
        <v>shrink foil + sticker</v>
      </c>
      <c r="G189" s="11">
        <f>VLOOKUP(B189,MBI_Dostawcy_towarów!$A$4:$C$1399,3,FALSE)</f>
        <v>0.71199999999999997</v>
      </c>
      <c r="H189" s="11">
        <v>1</v>
      </c>
      <c r="I189" s="11">
        <v>0</v>
      </c>
      <c r="J189" s="11">
        <v>40</v>
      </c>
      <c r="K189" s="11">
        <f>_xlfn.IFNA(VLOOKUP(B189,Towary_na_zamówieniach!$A$4:$C$1500,2,FALSE),0)</f>
        <v>160</v>
      </c>
      <c r="L189" s="11">
        <f>_xlfn.IFNA(VLOOKUP(B189,Towary_na_zamówieniach!$A$4:$C$1500,3,FALSE),0)</f>
        <v>1376</v>
      </c>
      <c r="M189" s="11">
        <f>_xlfn.IFNA(VLOOKUP(B189,MBI_Dostawcy_towarów!$A$4:$C$2000,2,FALSE),"N/A")</f>
        <v>90</v>
      </c>
      <c r="N189" s="11" t="str">
        <f>IF(VLOOKUP(B189,Towary_i_uslugi!$A$3:$T$1500,17,FALSE)=0,"!NO SUPPLIER",VLOOKUP(B189,Towary_i_uslugi!$A$3:$T$1500,17))</f>
        <v xml:space="preserve">HQ - Canada </v>
      </c>
      <c r="O189" s="11" t="str">
        <f>IF(VLOOKUP(B189,Towary_i_uslugi!$A$4:$U$1200,21,FALSE)&gt;0,VLOOKUP(B189,Towary_i_uslugi!$A$4:$U$1200,21,FALSE),"")</f>
        <v/>
      </c>
      <c r="P189" s="11">
        <f t="shared" si="6"/>
        <v>0</v>
      </c>
      <c r="Q189" s="11">
        <f t="shared" si="7"/>
        <v>0</v>
      </c>
      <c r="R189" s="17">
        <f t="shared" si="8"/>
        <v>0</v>
      </c>
      <c r="S189" s="17">
        <f>VLOOKUP($B189,   MBI_LastBuy!$A$3:E$13199,3,FALSE)</f>
        <v>160</v>
      </c>
      <c r="T189" s="13">
        <f>VLOOKUP($B189,   MBI_LastBuy!$A$3:E$13199,2,FALSE)</f>
        <v>8.6</v>
      </c>
      <c r="U189" s="13" t="str">
        <f>VLOOKUP($B189,   MBI_LastBuy!$A$3:E$13199,5,FALSE)</f>
        <v>USD</v>
      </c>
      <c r="V189" s="15">
        <f>VLOOKUP($B189,   MBI_LastBuy!$A$3:E$13199,4,FALSE)</f>
        <v>43889</v>
      </c>
    </row>
    <row r="190" spans="1:22" x14ac:dyDescent="0.25">
      <c r="A190" s="11" t="s">
        <v>3555</v>
      </c>
      <c r="B190" s="11">
        <v>440352</v>
      </c>
      <c r="C190" s="11" t="str">
        <f>VLOOKUP(B190,Towary_i_uslugi!$A$4:$B$1500,2)</f>
        <v>(brak)</v>
      </c>
      <c r="D190" s="11" t="s">
        <v>29</v>
      </c>
      <c r="E190" s="11">
        <f>VLOOKUP(B190,Towary_i_uslugi!$A$3:$T$1500,3,FALSE)</f>
        <v>5</v>
      </c>
      <c r="F190" s="11" t="str">
        <f>VLOOKUP(B190,Towary_i_uslugi!$A$3:$T$1500,20,FALSE)</f>
        <v>shrink foil + sticker</v>
      </c>
      <c r="G190" s="11">
        <f>VLOOKUP(B190,MBI_Dostawcy_towarów!$A$4:$C$1399,3,FALSE)</f>
        <v>3.1</v>
      </c>
      <c r="H190" s="11">
        <v>1</v>
      </c>
      <c r="I190" s="11">
        <v>0</v>
      </c>
      <c r="J190" s="11">
        <v>30</v>
      </c>
      <c r="K190" s="11">
        <f>_xlfn.IFNA(VLOOKUP(B190,Towary_na_zamówieniach!$A$4:$C$1500,2,FALSE),0)</f>
        <v>30</v>
      </c>
      <c r="L190" s="11">
        <f>_xlfn.IFNA(VLOOKUP(B190,Towary_na_zamówieniach!$A$4:$C$1500,3,FALSE),0)</f>
        <v>1310.4000000000001</v>
      </c>
      <c r="M190" s="11">
        <f>_xlfn.IFNA(VLOOKUP(B190,MBI_Dostawcy_towarów!$A$4:$C$2000,2,FALSE),"N/A")</f>
        <v>90</v>
      </c>
      <c r="N190" s="11" t="str">
        <f>IF(VLOOKUP(B190,Towary_i_uslugi!$A$3:$T$1500,17,FALSE)=0,"!NO SUPPLIER",VLOOKUP(B190,Towary_i_uslugi!$A$3:$T$1500,17))</f>
        <v xml:space="preserve">HQ - Canada </v>
      </c>
      <c r="O190" s="11" t="str">
        <f>IF(VLOOKUP(B190,Towary_i_uslugi!$A$4:$U$1200,21,FALSE)&gt;0,VLOOKUP(B190,Towary_i_uslugi!$A$4:$U$1200,21,FALSE),"")</f>
        <v/>
      </c>
      <c r="P190" s="11">
        <f t="shared" si="6"/>
        <v>0</v>
      </c>
      <c r="Q190" s="11">
        <f t="shared" si="7"/>
        <v>0</v>
      </c>
      <c r="R190" s="17">
        <f t="shared" si="8"/>
        <v>0</v>
      </c>
      <c r="S190" s="17">
        <f>VLOOKUP($B190,   MBI_LastBuy!$A$3:E$13199,3,FALSE)</f>
        <v>30</v>
      </c>
      <c r="T190" s="13">
        <f>VLOOKUP($B190,   MBI_LastBuy!$A$3:E$13199,2,FALSE)</f>
        <v>43.68</v>
      </c>
      <c r="U190" s="13" t="str">
        <f>VLOOKUP($B190,   MBI_LastBuy!$A$3:E$13199,5,FALSE)</f>
        <v>USD</v>
      </c>
      <c r="V190" s="15">
        <f>VLOOKUP($B190,   MBI_LastBuy!$A$3:E$13199,4,FALSE)</f>
        <v>43753</v>
      </c>
    </row>
    <row r="191" spans="1:22" x14ac:dyDescent="0.25">
      <c r="A191" s="11" t="s">
        <v>3552</v>
      </c>
      <c r="B191" s="11">
        <v>450180</v>
      </c>
      <c r="C191" s="11" t="str">
        <f>VLOOKUP(B191,Towary_i_uslugi!$A$4:$B$1500,2)</f>
        <v>(brak)</v>
      </c>
      <c r="D191" s="11" t="s">
        <v>2816</v>
      </c>
      <c r="E191" s="11">
        <f>VLOOKUP(B191,Towary_i_uslugi!$A$3:$T$1500,3,FALSE)</f>
        <v>40</v>
      </c>
      <c r="F191" s="11" t="str">
        <f>VLOOKUP(B191,Towary_i_uslugi!$A$3:$T$1500,20,FALSE)</f>
        <v>slide blister card</v>
      </c>
      <c r="G191" s="11">
        <f>VLOOKUP(B191,MBI_Dostawcy_towarów!$A$4:$C$1399,3,FALSE)</f>
        <v>0.4</v>
      </c>
      <c r="H191" s="11">
        <v>105</v>
      </c>
      <c r="I191" s="11">
        <v>0</v>
      </c>
      <c r="J191" s="11">
        <v>250</v>
      </c>
      <c r="K191" s="11">
        <f>_xlfn.IFNA(VLOOKUP(B191,Towary_na_zamówieniach!$A$4:$C$1500,2,FALSE),0)</f>
        <v>480</v>
      </c>
      <c r="L191" s="11">
        <f>_xlfn.IFNA(VLOOKUP(B191,Towary_na_zamówieniach!$A$4:$C$1500,3,FALSE),0)</f>
        <v>614.4</v>
      </c>
      <c r="M191" s="11">
        <f>_xlfn.IFNA(VLOOKUP(B191,MBI_Dostawcy_towarów!$A$4:$C$2000,2,FALSE),"N/A")</f>
        <v>90</v>
      </c>
      <c r="N191" s="11" t="str">
        <f>IF(VLOOKUP(B191,Towary_i_uslugi!$A$3:$T$1500,17,FALSE)=0,"!NO SUPPLIER",VLOOKUP(B191,Towary_i_uslugi!$A$3:$T$1500,17))</f>
        <v>XM</v>
      </c>
      <c r="O191" s="11" t="str">
        <f>IF(VLOOKUP(B191,Towary_i_uslugi!$A$4:$U$1200,21,FALSE)&gt;0,VLOOKUP(B191,Towary_i_uslugi!$A$4:$U$1200,21,FALSE),"")</f>
        <v/>
      </c>
      <c r="P191" s="11">
        <f t="shared" si="6"/>
        <v>0</v>
      </c>
      <c r="Q191" s="11">
        <f t="shared" si="7"/>
        <v>0</v>
      </c>
      <c r="R191" s="17">
        <f t="shared" si="8"/>
        <v>0</v>
      </c>
      <c r="S191" s="17">
        <f>VLOOKUP($B191,   MBI_LastBuy!$A$3:E$13199,3,FALSE)</f>
        <v>480</v>
      </c>
      <c r="T191" s="13">
        <f>VLOOKUP($B191,   MBI_LastBuy!$A$3:E$13199,2,FALSE)</f>
        <v>1.28</v>
      </c>
      <c r="U191" s="13" t="str">
        <f>VLOOKUP($B191,   MBI_LastBuy!$A$3:E$13199,5,FALSE)</f>
        <v>USD</v>
      </c>
      <c r="V191" s="15">
        <f>VLOOKUP($B191,   MBI_LastBuy!$A$3:E$13199,4,FALSE)</f>
        <v>44068</v>
      </c>
    </row>
    <row r="192" spans="1:22" x14ac:dyDescent="0.25">
      <c r="A192" s="11" t="s">
        <v>3554</v>
      </c>
      <c r="B192" s="11">
        <v>500750</v>
      </c>
      <c r="C192" s="11" t="str">
        <f>VLOOKUP(B192,Towary_i_uslugi!$A$4:$B$1500,2)</f>
        <v>(brak)</v>
      </c>
      <c r="D192" s="11" t="s">
        <v>3631</v>
      </c>
      <c r="E192" s="11">
        <f>VLOOKUP(B192,Towary_i_uslugi!$A$3:$T$1500,3,FALSE)</f>
        <v>4</v>
      </c>
      <c r="F192" s="11" t="str">
        <f>VLOOKUP(B192,Towary_i_uslugi!$A$3:$T$1500,20,FALSE)</f>
        <v>photo color box</v>
      </c>
      <c r="G192" s="11">
        <f>VLOOKUP(B192,MBI_Dostawcy_towarów!$A$4:$C$1399,3,FALSE)</f>
        <v>4.46</v>
      </c>
      <c r="H192" s="11">
        <v>1</v>
      </c>
      <c r="I192" s="11">
        <v>0</v>
      </c>
      <c r="J192" s="11">
        <v>20</v>
      </c>
      <c r="K192" s="11">
        <f>_xlfn.IFNA(VLOOKUP(B192,Towary_na_zamówieniach!$A$4:$C$1500,2,FALSE),0)</f>
        <v>40</v>
      </c>
      <c r="L192" s="11">
        <f>_xlfn.IFNA(VLOOKUP(B192,Towary_na_zamówieniach!$A$4:$C$1500,3,FALSE),0)</f>
        <v>372</v>
      </c>
      <c r="M192" s="11">
        <f>_xlfn.IFNA(VLOOKUP(B192,MBI_Dostawcy_towarów!$A$4:$C$2000,2,FALSE),"N/A")</f>
        <v>90</v>
      </c>
      <c r="N192" s="11" t="str">
        <f>IF(VLOOKUP(B192,Towary_i_uslugi!$A$3:$T$1500,17,FALSE)=0,"!NO SUPPLIER",VLOOKUP(B192,Towary_i_uslugi!$A$3:$T$1500,17))</f>
        <v>BW</v>
      </c>
      <c r="O192" s="11" t="str">
        <f>IF(VLOOKUP(B192,Towary_i_uslugi!$A$4:$U$1200,21,FALSE)&gt;0,VLOOKUP(B192,Towary_i_uslugi!$A$4:$U$1200,21,FALSE),"")</f>
        <v/>
      </c>
      <c r="P192" s="11">
        <f t="shared" si="6"/>
        <v>0</v>
      </c>
      <c r="Q192" s="11">
        <f t="shared" si="7"/>
        <v>0</v>
      </c>
      <c r="R192" s="17">
        <f t="shared" si="8"/>
        <v>0</v>
      </c>
      <c r="S192" s="17">
        <f>VLOOKUP($B192,   MBI_LastBuy!$A$3:E$13199,3,FALSE)</f>
        <v>40</v>
      </c>
      <c r="T192" s="13">
        <f>VLOOKUP($B192,   MBI_LastBuy!$A$3:E$13199,2,FALSE)</f>
        <v>9.3000000000000007</v>
      </c>
      <c r="U192" s="13" t="str">
        <f>VLOOKUP($B192,   MBI_LastBuy!$A$3:E$13199,5,FALSE)</f>
        <v>USD</v>
      </c>
      <c r="V192" s="15">
        <f>VLOOKUP($B192,   MBI_LastBuy!$A$3:E$13199,4,FALSE)</f>
        <v>44071</v>
      </c>
    </row>
    <row r="193" spans="1:22" x14ac:dyDescent="0.25">
      <c r="A193" s="11" t="s">
        <v>3554</v>
      </c>
      <c r="B193" s="11">
        <v>501000</v>
      </c>
      <c r="C193" s="11" t="str">
        <f>VLOOKUP(B193,Towary_i_uslugi!$A$4:$B$1500,2)</f>
        <v>(brak)</v>
      </c>
      <c r="D193" s="11" t="s">
        <v>30</v>
      </c>
      <c r="E193" s="11">
        <f>VLOOKUP(B193,Towary_i_uslugi!$A$3:$T$1500,3,FALSE)</f>
        <v>2</v>
      </c>
      <c r="F193" s="11" t="str">
        <f>VLOOKUP(B193,Towary_i_uslugi!$A$3:$T$1500,20,FALSE)</f>
        <v>photo color box</v>
      </c>
      <c r="G193" s="11">
        <f>VLOOKUP(B193,MBI_Dostawcy_towarów!$A$4:$C$1399,3,FALSE)</f>
        <v>5.24</v>
      </c>
      <c r="H193" s="11">
        <v>13</v>
      </c>
      <c r="I193" s="11">
        <v>1</v>
      </c>
      <c r="J193" s="11">
        <v>50</v>
      </c>
      <c r="K193" s="11">
        <f>_xlfn.IFNA(VLOOKUP(B193,Towary_na_zamówieniach!$A$4:$C$1500,2,FALSE),0)</f>
        <v>40</v>
      </c>
      <c r="L193" s="11">
        <f>_xlfn.IFNA(VLOOKUP(B193,Towary_na_zamówieniach!$A$4:$C$1500,3,FALSE),0)</f>
        <v>432.8</v>
      </c>
      <c r="M193" s="11">
        <f>_xlfn.IFNA(VLOOKUP(B193,MBI_Dostawcy_towarów!$A$4:$C$2000,2,FALSE),"N/A")</f>
        <v>90</v>
      </c>
      <c r="N193" s="11" t="str">
        <f>IF(VLOOKUP(B193,Towary_i_uslugi!$A$3:$T$1500,17,FALSE)=0,"!NO SUPPLIER",VLOOKUP(B193,Towary_i_uslugi!$A$3:$T$1500,17))</f>
        <v>BW</v>
      </c>
      <c r="O193" s="11" t="str">
        <f>IF(VLOOKUP(B193,Towary_i_uslugi!$A$4:$U$1200,21,FALSE)&gt;0,VLOOKUP(B193,Towary_i_uslugi!$A$4:$U$1200,21,FALSE),"")</f>
        <v/>
      </c>
      <c r="P193" s="11">
        <f t="shared" si="6"/>
        <v>0</v>
      </c>
      <c r="Q193" s="11">
        <f t="shared" si="7"/>
        <v>0</v>
      </c>
      <c r="R193" s="17">
        <f t="shared" si="8"/>
        <v>0</v>
      </c>
      <c r="S193" s="17">
        <f>VLOOKUP($B193,   MBI_LastBuy!$A$3:E$13199,3,FALSE)</f>
        <v>40</v>
      </c>
      <c r="T193" s="13">
        <f>VLOOKUP($B193,   MBI_LastBuy!$A$3:E$13199,2,FALSE)</f>
        <v>10.82</v>
      </c>
      <c r="U193" s="13" t="str">
        <f>VLOOKUP($B193,   MBI_LastBuy!$A$3:E$13199,5,FALSE)</f>
        <v>USD</v>
      </c>
      <c r="V193" s="15">
        <f>VLOOKUP($B193,   MBI_LastBuy!$A$3:E$13199,4,FALSE)</f>
        <v>44071</v>
      </c>
    </row>
    <row r="194" spans="1:22" x14ac:dyDescent="0.25">
      <c r="A194" s="11" t="s">
        <v>3554</v>
      </c>
      <c r="B194" s="11">
        <v>501250</v>
      </c>
      <c r="C194" s="11" t="str">
        <f>VLOOKUP(B194,Towary_i_uslugi!$A$4:$B$1500,2)</f>
        <v>(brak)</v>
      </c>
      <c r="D194" s="11" t="s">
        <v>31</v>
      </c>
      <c r="E194" s="11">
        <f>VLOOKUP(B194,Towary_i_uslugi!$A$3:$T$1500,3,FALSE)</f>
        <v>2</v>
      </c>
      <c r="F194" s="11" t="str">
        <f>VLOOKUP(B194,Towary_i_uslugi!$A$3:$T$1500,20,FALSE)</f>
        <v>photo color box</v>
      </c>
      <c r="G194" s="11">
        <f>VLOOKUP(B194,MBI_Dostawcy_towarów!$A$4:$C$1399,3,FALSE)</f>
        <v>6.48</v>
      </c>
      <c r="H194" s="11">
        <v>1</v>
      </c>
      <c r="I194" s="11">
        <v>0</v>
      </c>
      <c r="J194" s="11">
        <v>70</v>
      </c>
      <c r="K194" s="11">
        <f>_xlfn.IFNA(VLOOKUP(B194,Towary_na_zamówieniach!$A$4:$C$1500,2,FALSE),0)</f>
        <v>72</v>
      </c>
      <c r="L194" s="11">
        <f>_xlfn.IFNA(VLOOKUP(B194,Towary_na_zamówieniach!$A$4:$C$1500,3,FALSE),0)</f>
        <v>858.96</v>
      </c>
      <c r="M194" s="11">
        <f>_xlfn.IFNA(VLOOKUP(B194,MBI_Dostawcy_towarów!$A$4:$C$2000,2,FALSE),"N/A")</f>
        <v>90</v>
      </c>
      <c r="N194" s="11" t="str">
        <f>IF(VLOOKUP(B194,Towary_i_uslugi!$A$3:$T$1500,17,FALSE)=0,"!NO SUPPLIER",VLOOKUP(B194,Towary_i_uslugi!$A$3:$T$1500,17))</f>
        <v>BW</v>
      </c>
      <c r="O194" s="11" t="str">
        <f>IF(VLOOKUP(B194,Towary_i_uslugi!$A$4:$U$1200,21,FALSE)&gt;0,VLOOKUP(B194,Towary_i_uslugi!$A$4:$U$1200,21,FALSE),"")</f>
        <v/>
      </c>
      <c r="P194" s="11">
        <f t="shared" si="6"/>
        <v>0</v>
      </c>
      <c r="Q194" s="11">
        <f t="shared" si="7"/>
        <v>0</v>
      </c>
      <c r="R194" s="17">
        <f t="shared" si="8"/>
        <v>0</v>
      </c>
      <c r="S194" s="17">
        <f>VLOOKUP($B194,   MBI_LastBuy!$A$3:E$13199,3,FALSE)</f>
        <v>72</v>
      </c>
      <c r="T194" s="13">
        <f>VLOOKUP($B194,   MBI_LastBuy!$A$3:E$13199,2,FALSE)</f>
        <v>11.93</v>
      </c>
      <c r="U194" s="13" t="str">
        <f>VLOOKUP($B194,   MBI_LastBuy!$A$3:E$13199,5,FALSE)</f>
        <v>USD</v>
      </c>
      <c r="V194" s="15">
        <f>VLOOKUP($B194,   MBI_LastBuy!$A$3:E$13199,4,FALSE)</f>
        <v>44071</v>
      </c>
    </row>
    <row r="195" spans="1:22" x14ac:dyDescent="0.25">
      <c r="A195" s="11" t="s">
        <v>3554</v>
      </c>
      <c r="B195" s="11">
        <v>501500</v>
      </c>
      <c r="C195" s="11" t="str">
        <f>VLOOKUP(B195,Towary_i_uslugi!$A$4:$B$1500,2)</f>
        <v>(brak)</v>
      </c>
      <c r="D195" s="11" t="s">
        <v>32</v>
      </c>
      <c r="E195" s="11">
        <f>VLOOKUP(B195,Towary_i_uslugi!$A$3:$T$1500,3,FALSE)</f>
        <v>2</v>
      </c>
      <c r="F195" s="11" t="str">
        <f>VLOOKUP(B195,Towary_i_uslugi!$A$3:$T$1500,20,FALSE)</f>
        <v>photo color box</v>
      </c>
      <c r="G195" s="11">
        <f>VLOOKUP(B195,MBI_Dostawcy_towarów!$A$4:$C$1399,3,FALSE)</f>
        <v>12.53</v>
      </c>
      <c r="H195" s="11">
        <v>1</v>
      </c>
      <c r="I195" s="11">
        <v>0</v>
      </c>
      <c r="J195" s="11">
        <v>40</v>
      </c>
      <c r="K195" s="11">
        <f>_xlfn.IFNA(VLOOKUP(B195,Towary_na_zamówieniach!$A$4:$C$1500,2,FALSE),0)</f>
        <v>40</v>
      </c>
      <c r="L195" s="11">
        <f>_xlfn.IFNA(VLOOKUP(B195,Towary_na_zamówieniach!$A$4:$C$1500,3,FALSE),0)</f>
        <v>666.4</v>
      </c>
      <c r="M195" s="11">
        <f>_xlfn.IFNA(VLOOKUP(B195,MBI_Dostawcy_towarów!$A$4:$C$2000,2,FALSE),"N/A")</f>
        <v>90</v>
      </c>
      <c r="N195" s="11" t="str">
        <f>IF(VLOOKUP(B195,Towary_i_uslugi!$A$3:$T$1500,17,FALSE)=0,"!NO SUPPLIER",VLOOKUP(B195,Towary_i_uslugi!$A$3:$T$1500,17))</f>
        <v>BW</v>
      </c>
      <c r="O195" s="11" t="str">
        <f>IF(VLOOKUP(B195,Towary_i_uslugi!$A$4:$U$1200,21,FALSE)&gt;0,VLOOKUP(B195,Towary_i_uslugi!$A$4:$U$1200,21,FALSE),"")</f>
        <v/>
      </c>
      <c r="P195" s="11">
        <f t="shared" ref="P195:P258" si="9">IF(K195=0,ROUNDUP(J195/E195,0),IF((K195+H195-I195)/J195&lt;1,ROUNDUP(J195/E195,0),0))</f>
        <v>0</v>
      </c>
      <c r="Q195" s="11">
        <f t="shared" ref="Q195:Q258" si="10">P195*E195</f>
        <v>0</v>
      </c>
      <c r="R195" s="17">
        <f t="shared" ref="R195:R258" si="11">Q195*T195</f>
        <v>0</v>
      </c>
      <c r="S195" s="17">
        <f>VLOOKUP($B195,   MBI_LastBuy!$A$3:E$13199,3,FALSE)</f>
        <v>40</v>
      </c>
      <c r="T195" s="13">
        <f>VLOOKUP($B195,   MBI_LastBuy!$A$3:E$13199,2,FALSE)</f>
        <v>16.66</v>
      </c>
      <c r="U195" s="13" t="str">
        <f>VLOOKUP($B195,   MBI_LastBuy!$A$3:E$13199,5,FALSE)</f>
        <v>USD</v>
      </c>
      <c r="V195" s="15">
        <f>VLOOKUP($B195,   MBI_LastBuy!$A$3:E$13199,4,FALSE)</f>
        <v>44071</v>
      </c>
    </row>
    <row r="196" spans="1:22" x14ac:dyDescent="0.25">
      <c r="A196" s="11" t="s">
        <v>3554</v>
      </c>
      <c r="B196" s="11">
        <v>511000</v>
      </c>
      <c r="C196" s="11" t="str">
        <f>VLOOKUP(B196,Towary_i_uslugi!$A$4:$B$1500,2)</f>
        <v>(brak)</v>
      </c>
      <c r="D196" s="11" t="s">
        <v>2817</v>
      </c>
      <c r="E196" s="11">
        <f>VLOOKUP(B196,Towary_i_uslugi!$A$3:$T$1500,3,FALSE)</f>
        <v>2</v>
      </c>
      <c r="F196" s="11" t="str">
        <f>VLOOKUP(B196,Towary_i_uslugi!$A$3:$T$1500,20,FALSE)</f>
        <v>photo color box</v>
      </c>
      <c r="G196" s="11">
        <f>VLOOKUP(B196,MBI_Dostawcy_towarów!$A$4:$C$1399,3,FALSE)</f>
        <v>5.79</v>
      </c>
      <c r="H196" s="11">
        <v>25</v>
      </c>
      <c r="I196" s="11">
        <v>0</v>
      </c>
      <c r="J196" s="11">
        <v>30</v>
      </c>
      <c r="K196" s="11">
        <f>_xlfn.IFNA(VLOOKUP(B196,Towary_na_zamówieniach!$A$4:$C$1500,2,FALSE),0)</f>
        <v>30</v>
      </c>
      <c r="L196" s="11">
        <f>_xlfn.IFNA(VLOOKUP(B196,Towary_na_zamówieniach!$A$4:$C$1500,3,FALSE),0)</f>
        <v>343.5</v>
      </c>
      <c r="M196" s="11">
        <f>_xlfn.IFNA(VLOOKUP(B196,MBI_Dostawcy_towarów!$A$4:$C$2000,2,FALSE),"N/A")</f>
        <v>90</v>
      </c>
      <c r="N196" s="11" t="str">
        <f>IF(VLOOKUP(B196,Towary_i_uslugi!$A$3:$T$1500,17,FALSE)=0,"!NO SUPPLIER",VLOOKUP(B196,Towary_i_uslugi!$A$3:$T$1500,17))</f>
        <v>BW</v>
      </c>
      <c r="O196" s="11" t="str">
        <f>IF(VLOOKUP(B196,Towary_i_uslugi!$A$4:$U$1200,21,FALSE)&gt;0,VLOOKUP(B196,Towary_i_uslugi!$A$4:$U$1200,21,FALSE),"")</f>
        <v/>
      </c>
      <c r="P196" s="11">
        <f t="shared" si="9"/>
        <v>0</v>
      </c>
      <c r="Q196" s="11">
        <f t="shared" si="10"/>
        <v>0</v>
      </c>
      <c r="R196" s="17">
        <f t="shared" si="11"/>
        <v>0</v>
      </c>
      <c r="S196" s="17">
        <f>VLOOKUP($B196,   MBI_LastBuy!$A$3:E$13199,3,FALSE)</f>
        <v>30</v>
      </c>
      <c r="T196" s="13">
        <f>VLOOKUP($B196,   MBI_LastBuy!$A$3:E$13199,2,FALSE)</f>
        <v>11.45</v>
      </c>
      <c r="U196" s="13" t="str">
        <f>VLOOKUP($B196,   MBI_LastBuy!$A$3:E$13199,5,FALSE)</f>
        <v>USD</v>
      </c>
      <c r="V196" s="15">
        <f>VLOOKUP($B196,   MBI_LastBuy!$A$3:E$13199,4,FALSE)</f>
        <v>44071</v>
      </c>
    </row>
    <row r="197" spans="1:22" x14ac:dyDescent="0.25">
      <c r="A197" s="11" t="s">
        <v>3554</v>
      </c>
      <c r="B197" s="11">
        <v>511250</v>
      </c>
      <c r="C197" s="11" t="str">
        <f>VLOOKUP(B197,Towary_i_uslugi!$A$4:$B$1500,2)</f>
        <v>(brak)</v>
      </c>
      <c r="D197" s="11" t="s">
        <v>2623</v>
      </c>
      <c r="E197" s="11">
        <f>VLOOKUP(B197,Towary_i_uslugi!$A$3:$T$1500,3,FALSE)</f>
        <v>2</v>
      </c>
      <c r="F197" s="11" t="str">
        <f>VLOOKUP(B197,Towary_i_uslugi!$A$3:$T$1500,20,FALSE)</f>
        <v>photo color box</v>
      </c>
      <c r="G197" s="11">
        <f>VLOOKUP(B197,MBI_Dostawcy_towarów!$A$4:$C$1399,3,FALSE)</f>
        <v>7.58</v>
      </c>
      <c r="H197" s="11">
        <v>1</v>
      </c>
      <c r="I197" s="11">
        <v>0</v>
      </c>
      <c r="J197" s="11">
        <v>40</v>
      </c>
      <c r="K197" s="11">
        <f>_xlfn.IFNA(VLOOKUP(B197,Towary_na_zamówieniach!$A$4:$C$1500,2,FALSE),0)</f>
        <v>40</v>
      </c>
      <c r="L197" s="11">
        <f>_xlfn.IFNA(VLOOKUP(B197,Towary_na_zamówieniach!$A$4:$C$1500,3,FALSE),0)</f>
        <v>556.4</v>
      </c>
      <c r="M197" s="11">
        <f>_xlfn.IFNA(VLOOKUP(B197,MBI_Dostawcy_towarów!$A$4:$C$2000,2,FALSE),"N/A")</f>
        <v>90</v>
      </c>
      <c r="N197" s="11" t="str">
        <f>IF(VLOOKUP(B197,Towary_i_uslugi!$A$3:$T$1500,17,FALSE)=0,"!NO SUPPLIER",VLOOKUP(B197,Towary_i_uslugi!$A$3:$T$1500,17))</f>
        <v>BW</v>
      </c>
      <c r="O197" s="11" t="str">
        <f>IF(VLOOKUP(B197,Towary_i_uslugi!$A$4:$U$1200,21,FALSE)&gt;0,VLOOKUP(B197,Towary_i_uslugi!$A$4:$U$1200,21,FALSE),"")</f>
        <v/>
      </c>
      <c r="P197" s="11">
        <f t="shared" si="9"/>
        <v>0</v>
      </c>
      <c r="Q197" s="11">
        <f t="shared" si="10"/>
        <v>0</v>
      </c>
      <c r="R197" s="17">
        <f t="shared" si="11"/>
        <v>0</v>
      </c>
      <c r="S197" s="17">
        <f>VLOOKUP($B197,   MBI_LastBuy!$A$3:E$13199,3,FALSE)</f>
        <v>40</v>
      </c>
      <c r="T197" s="13">
        <f>VLOOKUP($B197,   MBI_LastBuy!$A$3:E$13199,2,FALSE)</f>
        <v>13.91</v>
      </c>
      <c r="U197" s="13" t="str">
        <f>VLOOKUP($B197,   MBI_LastBuy!$A$3:E$13199,5,FALSE)</f>
        <v>USD</v>
      </c>
      <c r="V197" s="15">
        <f>VLOOKUP($B197,   MBI_LastBuy!$A$3:E$13199,4,FALSE)</f>
        <v>44071</v>
      </c>
    </row>
    <row r="198" spans="1:22" x14ac:dyDescent="0.25">
      <c r="A198" s="11" t="s">
        <v>3554</v>
      </c>
      <c r="B198" s="11">
        <v>511500</v>
      </c>
      <c r="C198" s="11" t="str">
        <f>VLOOKUP(B198,Towary_i_uslugi!$A$4:$B$1500,2)</f>
        <v>(brak)</v>
      </c>
      <c r="D198" s="11" t="s">
        <v>33</v>
      </c>
      <c r="E198" s="11">
        <f>VLOOKUP(B198,Towary_i_uslugi!$A$3:$T$1500,3,FALSE)</f>
        <v>2</v>
      </c>
      <c r="F198" s="11" t="str">
        <f>VLOOKUP(B198,Towary_i_uslugi!$A$3:$T$1500,20,FALSE)</f>
        <v>photo color box</v>
      </c>
      <c r="G198" s="11">
        <f>VLOOKUP(B198,MBI_Dostawcy_towarów!$A$4:$C$1399,3,FALSE)</f>
        <v>13.58</v>
      </c>
      <c r="H198" s="11">
        <v>1</v>
      </c>
      <c r="I198" s="11">
        <v>0</v>
      </c>
      <c r="J198" s="11">
        <v>25</v>
      </c>
      <c r="K198" s="11">
        <f>_xlfn.IFNA(VLOOKUP(B198,Towary_na_zamówieniach!$A$4:$C$1500,2,FALSE),0)</f>
        <v>28</v>
      </c>
      <c r="L198" s="11">
        <f>_xlfn.IFNA(VLOOKUP(B198,Towary_na_zamówieniach!$A$4:$C$1500,3,FALSE),0)</f>
        <v>540.4</v>
      </c>
      <c r="M198" s="11">
        <f>_xlfn.IFNA(VLOOKUP(B198,MBI_Dostawcy_towarów!$A$4:$C$2000,2,FALSE),"N/A")</f>
        <v>90</v>
      </c>
      <c r="N198" s="11" t="str">
        <f>IF(VLOOKUP(B198,Towary_i_uslugi!$A$3:$T$1500,17,FALSE)=0,"!NO SUPPLIER",VLOOKUP(B198,Towary_i_uslugi!$A$3:$T$1500,17))</f>
        <v>BW</v>
      </c>
      <c r="O198" s="11" t="str">
        <f>IF(VLOOKUP(B198,Towary_i_uslugi!$A$4:$U$1200,21,FALSE)&gt;0,VLOOKUP(B198,Towary_i_uslugi!$A$4:$U$1200,21,FALSE),"")</f>
        <v/>
      </c>
      <c r="P198" s="11">
        <f t="shared" si="9"/>
        <v>0</v>
      </c>
      <c r="Q198" s="11">
        <f t="shared" si="10"/>
        <v>0</v>
      </c>
      <c r="R198" s="17">
        <f t="shared" si="11"/>
        <v>0</v>
      </c>
      <c r="S198" s="17">
        <f>VLOOKUP($B198,   MBI_LastBuy!$A$3:E$13199,3,FALSE)</f>
        <v>28</v>
      </c>
      <c r="T198" s="13">
        <f>VLOOKUP($B198,   MBI_LastBuy!$A$3:E$13199,2,FALSE)</f>
        <v>19.3</v>
      </c>
      <c r="U198" s="13" t="str">
        <f>VLOOKUP($B198,   MBI_LastBuy!$A$3:E$13199,5,FALSE)</f>
        <v>USD</v>
      </c>
      <c r="V198" s="15">
        <f>VLOOKUP($B198,   MBI_LastBuy!$A$3:E$13199,4,FALSE)</f>
        <v>44071</v>
      </c>
    </row>
    <row r="199" spans="1:22" x14ac:dyDescent="0.25">
      <c r="A199" s="11" t="s">
        <v>3554</v>
      </c>
      <c r="B199" s="11">
        <v>520400</v>
      </c>
      <c r="C199" s="11" t="str">
        <f>VLOOKUP(B199,Towary_i_uslugi!$A$4:$B$1500,2)</f>
        <v>(brak)</v>
      </c>
      <c r="D199" s="11" t="s">
        <v>1589</v>
      </c>
      <c r="E199" s="11">
        <f>VLOOKUP(B199,Towary_i_uslugi!$A$3:$T$1500,3,FALSE)</f>
        <v>32</v>
      </c>
      <c r="F199" s="11" t="str">
        <f>VLOOKUP(B199,Towary_i_uslugi!$A$3:$T$1500,20,FALSE)</f>
        <v>photo color box</v>
      </c>
      <c r="G199" s="11">
        <f>VLOOKUP(B199,MBI_Dostawcy_towarów!$A$4:$C$1399,3,FALSE)</f>
        <v>0.46800000000000003</v>
      </c>
      <c r="H199" s="11">
        <v>166</v>
      </c>
      <c r="I199" s="11">
        <v>0</v>
      </c>
      <c r="J199" s="11">
        <v>260</v>
      </c>
      <c r="K199" s="11">
        <f>_xlfn.IFNA(VLOOKUP(B199,Towary_na_zamówieniach!$A$4:$C$1500,2,FALSE),0)</f>
        <v>0</v>
      </c>
      <c r="L199" s="11">
        <f>_xlfn.IFNA(VLOOKUP(B199,Towary_na_zamówieniach!$A$4:$C$1500,3,FALSE),0)</f>
        <v>0</v>
      </c>
      <c r="M199" s="11">
        <f>_xlfn.IFNA(VLOOKUP(B199,MBI_Dostawcy_towarów!$A$4:$C$2000,2,FALSE),"N/A")</f>
        <v>90</v>
      </c>
      <c r="N199" s="11" t="str">
        <f>IF(VLOOKUP(B199,Towary_i_uslugi!$A$3:$T$1500,17,FALSE)=0,"!NO SUPPLIER",VLOOKUP(B199,Towary_i_uslugi!$A$3:$T$1500,17))</f>
        <v>BW</v>
      </c>
      <c r="O199" s="11" t="str">
        <f>IF(VLOOKUP(B199,Towary_i_uslugi!$A$4:$U$1200,21,FALSE)&gt;0,VLOOKUP(B199,Towary_i_uslugi!$A$4:$U$1200,21,FALSE),"")</f>
        <v/>
      </c>
      <c r="P199" s="11">
        <f t="shared" si="9"/>
        <v>9</v>
      </c>
      <c r="Q199" s="11">
        <f t="shared" si="10"/>
        <v>288</v>
      </c>
      <c r="R199" s="17">
        <f t="shared" si="11"/>
        <v>383.04</v>
      </c>
      <c r="S199" s="17">
        <f>VLOOKUP($B199,   MBI_LastBuy!$A$3:E$13199,3,FALSE)</f>
        <v>224</v>
      </c>
      <c r="T199" s="13">
        <f>VLOOKUP($B199,   MBI_LastBuy!$A$3:E$13199,2,FALSE)</f>
        <v>1.33</v>
      </c>
      <c r="U199" s="13" t="str">
        <f>VLOOKUP($B199,   MBI_LastBuy!$A$3:E$13199,5,FALSE)</f>
        <v>USD</v>
      </c>
      <c r="V199" s="15">
        <f>VLOOKUP($B199,   MBI_LastBuy!$A$3:E$13199,4,FALSE)</f>
        <v>44005</v>
      </c>
    </row>
    <row r="200" spans="1:22" x14ac:dyDescent="0.25">
      <c r="A200" s="11" t="s">
        <v>3554</v>
      </c>
      <c r="B200" s="11">
        <v>520450</v>
      </c>
      <c r="C200" s="11" t="str">
        <f>VLOOKUP(B200,Towary_i_uslugi!$A$4:$B$1500,2)</f>
        <v>(brak)</v>
      </c>
      <c r="D200" s="11" t="s">
        <v>3632</v>
      </c>
      <c r="E200" s="11">
        <f>VLOOKUP(B200,Towary_i_uslugi!$A$3:$T$1500,3,FALSE)</f>
        <v>20</v>
      </c>
      <c r="F200" s="11" t="str">
        <f>VLOOKUP(B200,Towary_i_uslugi!$A$3:$T$1500,20,FALSE)</f>
        <v>photo color box</v>
      </c>
      <c r="G200" s="11">
        <f>VLOOKUP(B200,MBI_Dostawcy_towarów!$A$4:$C$1399,3,FALSE)</f>
        <v>0.69299999999999995</v>
      </c>
      <c r="H200" s="11">
        <v>173</v>
      </c>
      <c r="I200" s="11">
        <v>0</v>
      </c>
      <c r="J200" s="11">
        <v>190</v>
      </c>
      <c r="K200" s="11">
        <f>_xlfn.IFNA(VLOOKUP(B200,Towary_na_zamówieniach!$A$4:$C$1500,2,FALSE),0)</f>
        <v>0</v>
      </c>
      <c r="L200" s="11">
        <f>_xlfn.IFNA(VLOOKUP(B200,Towary_na_zamówieniach!$A$4:$C$1500,3,FALSE),0)</f>
        <v>0</v>
      </c>
      <c r="M200" s="11">
        <f>_xlfn.IFNA(VLOOKUP(B200,MBI_Dostawcy_towarów!$A$4:$C$2000,2,FALSE),"N/A")</f>
        <v>90</v>
      </c>
      <c r="N200" s="11" t="str">
        <f>IF(VLOOKUP(B200,Towary_i_uslugi!$A$3:$T$1500,17,FALSE)=0,"!NO SUPPLIER",VLOOKUP(B200,Towary_i_uslugi!$A$3:$T$1500,17))</f>
        <v>BW</v>
      </c>
      <c r="O200" s="11" t="str">
        <f>IF(VLOOKUP(B200,Towary_i_uslugi!$A$4:$U$1200,21,FALSE)&gt;0,VLOOKUP(B200,Towary_i_uslugi!$A$4:$U$1200,21,FALSE),"")</f>
        <v/>
      </c>
      <c r="P200" s="11">
        <f t="shared" si="9"/>
        <v>10</v>
      </c>
      <c r="Q200" s="11">
        <f t="shared" si="10"/>
        <v>200</v>
      </c>
      <c r="R200" s="17">
        <f t="shared" si="11"/>
        <v>304</v>
      </c>
      <c r="S200" s="17">
        <f>VLOOKUP($B200,   MBI_LastBuy!$A$3:E$13199,3,FALSE)</f>
        <v>180</v>
      </c>
      <c r="T200" s="13">
        <f>VLOOKUP($B200,   MBI_LastBuy!$A$3:E$13199,2,FALSE)</f>
        <v>1.52</v>
      </c>
      <c r="U200" s="13" t="str">
        <f>VLOOKUP($B200,   MBI_LastBuy!$A$3:E$13199,5,FALSE)</f>
        <v>USD</v>
      </c>
      <c r="V200" s="15">
        <f>VLOOKUP($B200,   MBI_LastBuy!$A$3:E$13199,4,FALSE)</f>
        <v>44005</v>
      </c>
    </row>
    <row r="201" spans="1:22" x14ac:dyDescent="0.25">
      <c r="A201" s="11" t="s">
        <v>3555</v>
      </c>
      <c r="B201" s="11">
        <v>520800</v>
      </c>
      <c r="C201" s="11" t="str">
        <f>VLOOKUP(B201,Towary_i_uslugi!$A$4:$B$1500,2)</f>
        <v>(brak)</v>
      </c>
      <c r="D201" s="11" t="s">
        <v>2680</v>
      </c>
      <c r="E201" s="11">
        <f>VLOOKUP(B201,Towary_i_uslugi!$A$3:$T$1500,3,FALSE)</f>
        <v>10</v>
      </c>
      <c r="F201" s="11" t="str">
        <f>VLOOKUP(B201,Towary_i_uslugi!$A$3:$T$1500,20,FALSE)</f>
        <v>photo color box</v>
      </c>
      <c r="G201" s="11">
        <f>VLOOKUP(B201,MBI_Dostawcy_towarów!$A$4:$C$1399,3,FALSE)</f>
        <v>1.4339999999999999</v>
      </c>
      <c r="H201" s="11">
        <v>1</v>
      </c>
      <c r="I201" s="11">
        <v>0</v>
      </c>
      <c r="J201" s="11">
        <v>130</v>
      </c>
      <c r="K201" s="11">
        <f>_xlfn.IFNA(VLOOKUP(B201,Towary_na_zamówieniach!$A$4:$C$1500,2,FALSE),0)</f>
        <v>161</v>
      </c>
      <c r="L201" s="11">
        <f>_xlfn.IFNA(VLOOKUP(B201,Towary_na_zamówieniach!$A$4:$C$1500,3,FALSE),0)</f>
        <v>648</v>
      </c>
      <c r="M201" s="11">
        <f>_xlfn.IFNA(VLOOKUP(B201,MBI_Dostawcy_towarów!$A$4:$C$2000,2,FALSE),"N/A")</f>
        <v>90</v>
      </c>
      <c r="N201" s="11" t="str">
        <f>IF(VLOOKUP(B201,Towary_i_uslugi!$A$3:$T$1500,17,FALSE)=0,"!NO SUPPLIER",VLOOKUP(B201,Towary_i_uslugi!$A$3:$T$1500,17))</f>
        <v xml:space="preserve">HQ - Canada </v>
      </c>
      <c r="O201" s="11" t="str">
        <f>IF(VLOOKUP(B201,Towary_i_uslugi!$A$4:$U$1200,21,FALSE)&gt;0,VLOOKUP(B201,Towary_i_uslugi!$A$4:$U$1200,21,FALSE),"")</f>
        <v/>
      </c>
      <c r="P201" s="11">
        <f t="shared" si="9"/>
        <v>0</v>
      </c>
      <c r="Q201" s="11">
        <f t="shared" si="10"/>
        <v>0</v>
      </c>
      <c r="R201" s="17">
        <f t="shared" si="11"/>
        <v>0</v>
      </c>
      <c r="S201" s="17">
        <f>VLOOKUP($B201,   MBI_LastBuy!$A$3:E$13199,3,FALSE)</f>
        <v>160</v>
      </c>
      <c r="T201" s="13">
        <f>VLOOKUP($B201,   MBI_LastBuy!$A$3:E$13199,2,FALSE)</f>
        <v>4.05</v>
      </c>
      <c r="U201" s="13" t="str">
        <f>VLOOKUP($B201,   MBI_LastBuy!$A$3:E$13199,5,FALSE)</f>
        <v>USD</v>
      </c>
      <c r="V201" s="15">
        <f>VLOOKUP($B201,   MBI_LastBuy!$A$3:E$13199,4,FALSE)</f>
        <v>44074</v>
      </c>
    </row>
    <row r="202" spans="1:22" x14ac:dyDescent="0.25">
      <c r="A202" s="11" t="s">
        <v>3555</v>
      </c>
      <c r="B202" s="11">
        <v>531400</v>
      </c>
      <c r="C202" s="11" t="str">
        <f>VLOOKUP(B202,Towary_i_uslugi!$A$4:$B$1500,2)</f>
        <v>(brak)</v>
      </c>
      <c r="D202" s="11" t="s">
        <v>2818</v>
      </c>
      <c r="E202" s="11">
        <f>VLOOKUP(B202,Towary_i_uslugi!$A$3:$T$1500,3,FALSE)</f>
        <v>60</v>
      </c>
      <c r="F202" s="11" t="str">
        <f>VLOOKUP(B202,Towary_i_uslugi!$A$3:$T$1500,20,FALSE)</f>
        <v>carton sleeve</v>
      </c>
      <c r="G202" s="11">
        <f>VLOOKUP(B202,MBI_Dostawcy_towarów!$A$4:$C$1399,3,FALSE)</f>
        <v>0.23699999999999999</v>
      </c>
      <c r="H202" s="11">
        <v>1</v>
      </c>
      <c r="I202" s="11">
        <v>0</v>
      </c>
      <c r="J202" s="11">
        <v>480</v>
      </c>
      <c r="K202" s="11">
        <f>_xlfn.IFNA(VLOOKUP(B202,Towary_na_zamówieniach!$A$4:$C$1500,2,FALSE),0)</f>
        <v>960</v>
      </c>
      <c r="L202" s="11">
        <f>_xlfn.IFNA(VLOOKUP(B202,Towary_na_zamówieniach!$A$4:$C$1500,3,FALSE),0)</f>
        <v>681.6</v>
      </c>
      <c r="M202" s="11">
        <f>_xlfn.IFNA(VLOOKUP(B202,MBI_Dostawcy_towarów!$A$4:$C$2000,2,FALSE),"N/A")</f>
        <v>90</v>
      </c>
      <c r="N202" s="11" t="str">
        <f>IF(VLOOKUP(B202,Towary_i_uslugi!$A$3:$T$1500,17,FALSE)=0,"!NO SUPPLIER",VLOOKUP(B202,Towary_i_uslugi!$A$3:$T$1500,17))</f>
        <v xml:space="preserve">HQ - Canada </v>
      </c>
      <c r="O202" s="11" t="str">
        <f>IF(VLOOKUP(B202,Towary_i_uslugi!$A$4:$U$1200,21,FALSE)&gt;0,VLOOKUP(B202,Towary_i_uslugi!$A$4:$U$1200,21,FALSE),"")</f>
        <v/>
      </c>
      <c r="P202" s="11">
        <f t="shared" si="9"/>
        <v>0</v>
      </c>
      <c r="Q202" s="11">
        <f t="shared" si="10"/>
        <v>0</v>
      </c>
      <c r="R202" s="17">
        <f t="shared" si="11"/>
        <v>0</v>
      </c>
      <c r="S202" s="17">
        <f>VLOOKUP($B202,   MBI_LastBuy!$A$3:E$13199,3,FALSE)</f>
        <v>960</v>
      </c>
      <c r="T202" s="13">
        <f>VLOOKUP($B202,   MBI_LastBuy!$A$3:E$13199,2,FALSE)</f>
        <v>0.71</v>
      </c>
      <c r="U202" s="13" t="str">
        <f>VLOOKUP($B202,   MBI_LastBuy!$A$3:E$13199,5,FALSE)</f>
        <v>USD</v>
      </c>
      <c r="V202" s="15">
        <f>VLOOKUP($B202,   MBI_LastBuy!$A$3:E$13199,4,FALSE)</f>
        <v>44025</v>
      </c>
    </row>
    <row r="203" spans="1:22" x14ac:dyDescent="0.25">
      <c r="A203" s="11" t="s">
        <v>3555</v>
      </c>
      <c r="B203" s="11">
        <v>531450</v>
      </c>
      <c r="C203" s="11" t="str">
        <f>VLOOKUP(B203,Towary_i_uslugi!$A$4:$B$1500,2)</f>
        <v>(brak)</v>
      </c>
      <c r="D203" s="11" t="s">
        <v>2819</v>
      </c>
      <c r="E203" s="11">
        <f>VLOOKUP(B203,Towary_i_uslugi!$A$3:$T$1500,3,FALSE)</f>
        <v>60</v>
      </c>
      <c r="F203" s="11" t="str">
        <f>VLOOKUP(B203,Towary_i_uslugi!$A$3:$T$1500,20,FALSE)</f>
        <v>carton sleeve</v>
      </c>
      <c r="G203" s="11">
        <f>VLOOKUP(B203,MBI_Dostawcy_towarów!$A$4:$C$1399,3,FALSE)</f>
        <v>0.26700000000000002</v>
      </c>
      <c r="H203" s="11">
        <v>1</v>
      </c>
      <c r="I203" s="11">
        <v>0</v>
      </c>
      <c r="J203" s="11">
        <v>460</v>
      </c>
      <c r="K203" s="11">
        <f>_xlfn.IFNA(VLOOKUP(B203,Towary_na_zamówieniach!$A$4:$C$1500,2,FALSE),0)</f>
        <v>960</v>
      </c>
      <c r="L203" s="11">
        <f>_xlfn.IFNA(VLOOKUP(B203,Towary_na_zamówieniach!$A$4:$C$1500,3,FALSE),0)</f>
        <v>768</v>
      </c>
      <c r="M203" s="11">
        <f>_xlfn.IFNA(VLOOKUP(B203,MBI_Dostawcy_towarów!$A$4:$C$2000,2,FALSE),"N/A")</f>
        <v>90</v>
      </c>
      <c r="N203" s="11" t="str">
        <f>IF(VLOOKUP(B203,Towary_i_uslugi!$A$3:$T$1500,17,FALSE)=0,"!NO SUPPLIER",VLOOKUP(B203,Towary_i_uslugi!$A$3:$T$1500,17))</f>
        <v xml:space="preserve">HQ - Canada </v>
      </c>
      <c r="O203" s="11" t="str">
        <f>IF(VLOOKUP(B203,Towary_i_uslugi!$A$4:$U$1200,21,FALSE)&gt;0,VLOOKUP(B203,Towary_i_uslugi!$A$4:$U$1200,21,FALSE),"")</f>
        <v/>
      </c>
      <c r="P203" s="11">
        <f t="shared" si="9"/>
        <v>0</v>
      </c>
      <c r="Q203" s="11">
        <f t="shared" si="10"/>
        <v>0</v>
      </c>
      <c r="R203" s="17">
        <f t="shared" si="11"/>
        <v>0</v>
      </c>
      <c r="S203" s="17">
        <f>VLOOKUP($B203,   MBI_LastBuy!$A$3:E$13199,3,FALSE)</f>
        <v>960</v>
      </c>
      <c r="T203" s="13">
        <f>VLOOKUP($B203,   MBI_LastBuy!$A$3:E$13199,2,FALSE)</f>
        <v>0.8</v>
      </c>
      <c r="U203" s="13" t="str">
        <f>VLOOKUP($B203,   MBI_LastBuy!$A$3:E$13199,5,FALSE)</f>
        <v>USD</v>
      </c>
      <c r="V203" s="15">
        <f>VLOOKUP($B203,   MBI_LastBuy!$A$3:E$13199,4,FALSE)</f>
        <v>44035</v>
      </c>
    </row>
    <row r="204" spans="1:22" x14ac:dyDescent="0.25">
      <c r="A204" s="11" t="s">
        <v>3555</v>
      </c>
      <c r="B204" s="11">
        <v>531500</v>
      </c>
      <c r="C204" s="11" t="str">
        <f>VLOOKUP(B204,Towary_i_uslugi!$A$4:$B$1500,2)</f>
        <v>(brak)</v>
      </c>
      <c r="D204" s="11" t="s">
        <v>2624</v>
      </c>
      <c r="E204" s="11">
        <f>VLOOKUP(B204,Towary_i_uslugi!$A$3:$T$1500,3,FALSE)</f>
        <v>60</v>
      </c>
      <c r="F204" s="11" t="str">
        <f>VLOOKUP(B204,Towary_i_uslugi!$A$3:$T$1500,20,FALSE)</f>
        <v>carton sleeve</v>
      </c>
      <c r="G204" s="11">
        <f>VLOOKUP(B204,MBI_Dostawcy_towarów!$A$4:$C$1399,3,FALSE)</f>
        <v>0.26700000000000002</v>
      </c>
      <c r="H204" s="11">
        <v>2</v>
      </c>
      <c r="I204" s="11">
        <v>1</v>
      </c>
      <c r="J204" s="11">
        <v>240</v>
      </c>
      <c r="K204" s="11">
        <f>_xlfn.IFNA(VLOOKUP(B204,Towary_na_zamówieniach!$A$4:$C$1500,2,FALSE),0)</f>
        <v>961</v>
      </c>
      <c r="L204" s="11">
        <f>_xlfn.IFNA(VLOOKUP(B204,Towary_na_zamówieniach!$A$4:$C$1500,3,FALSE),0)</f>
        <v>757.44</v>
      </c>
      <c r="M204" s="11">
        <f>_xlfn.IFNA(VLOOKUP(B204,MBI_Dostawcy_towarów!$A$4:$C$2000,2,FALSE),"N/A")</f>
        <v>90</v>
      </c>
      <c r="N204" s="11" t="str">
        <f>IF(VLOOKUP(B204,Towary_i_uslugi!$A$3:$T$1500,17,FALSE)=0,"!NO SUPPLIER",VLOOKUP(B204,Towary_i_uslugi!$A$3:$T$1500,17))</f>
        <v xml:space="preserve">HQ - Canada </v>
      </c>
      <c r="O204" s="11" t="str">
        <f>IF(VLOOKUP(B204,Towary_i_uslugi!$A$4:$U$1200,21,FALSE)&gt;0,VLOOKUP(B204,Towary_i_uslugi!$A$4:$U$1200,21,FALSE),"")</f>
        <v/>
      </c>
      <c r="P204" s="11">
        <f t="shared" si="9"/>
        <v>0</v>
      </c>
      <c r="Q204" s="11">
        <f t="shared" si="10"/>
        <v>0</v>
      </c>
      <c r="R204" s="17">
        <f t="shared" si="11"/>
        <v>0</v>
      </c>
      <c r="S204" s="17">
        <f>VLOOKUP($B204,   MBI_LastBuy!$A$3:E$13199,3,FALSE)</f>
        <v>960</v>
      </c>
      <c r="T204" s="13">
        <f>VLOOKUP($B204,   MBI_LastBuy!$A$3:E$13199,2,FALSE)</f>
        <v>0.78900000000000003</v>
      </c>
      <c r="U204" s="13" t="str">
        <f>VLOOKUP($B204,   MBI_LastBuy!$A$3:E$13199,5,FALSE)</f>
        <v>USD</v>
      </c>
      <c r="V204" s="15">
        <f>VLOOKUP($B204,   MBI_LastBuy!$A$3:E$13199,4,FALSE)</f>
        <v>43816</v>
      </c>
    </row>
    <row r="205" spans="1:22" x14ac:dyDescent="0.25">
      <c r="A205" s="11" t="s">
        <v>3555</v>
      </c>
      <c r="B205" s="11">
        <v>531520</v>
      </c>
      <c r="C205" s="11" t="str">
        <f>VLOOKUP(B205,Towary_i_uslugi!$A$4:$B$1500,2)</f>
        <v>(brak)</v>
      </c>
      <c r="D205" s="11" t="s">
        <v>2820</v>
      </c>
      <c r="E205" s="11">
        <f>VLOOKUP(B205,Towary_i_uslugi!$A$3:$T$1500,3,FALSE)</f>
        <v>24</v>
      </c>
      <c r="F205" s="11" t="str">
        <f>VLOOKUP(B205,Towary_i_uslugi!$A$3:$T$1500,20,FALSE)</f>
        <v>pvc bag, PVC teeth protector</v>
      </c>
      <c r="G205" s="11">
        <f>VLOOKUP(B205,MBI_Dostawcy_towarów!$A$4:$C$1399,3,FALSE)</f>
        <v>0.28699999999999998</v>
      </c>
      <c r="H205" s="11">
        <v>12</v>
      </c>
      <c r="I205" s="11">
        <v>5</v>
      </c>
      <c r="J205" s="11">
        <v>1000</v>
      </c>
      <c r="K205" s="11">
        <f>_xlfn.IFNA(VLOOKUP(B205,Towary_na_zamówieniach!$A$4:$C$1500,2,FALSE),0)</f>
        <v>1009</v>
      </c>
      <c r="L205" s="11">
        <f>_xlfn.IFNA(VLOOKUP(B205,Towary_na_zamówieniach!$A$4:$C$1500,3,FALSE),0)</f>
        <v>971.71</v>
      </c>
      <c r="M205" s="11">
        <f>_xlfn.IFNA(VLOOKUP(B205,MBI_Dostawcy_towarów!$A$4:$C$2000,2,FALSE),"N/A")</f>
        <v>90</v>
      </c>
      <c r="N205" s="11" t="str">
        <f>IF(VLOOKUP(B205,Towary_i_uslugi!$A$3:$T$1500,17,FALSE)=0,"!NO SUPPLIER",VLOOKUP(B205,Towary_i_uslugi!$A$3:$T$1500,17))</f>
        <v xml:space="preserve">HQ - Canada </v>
      </c>
      <c r="O205" s="11" t="str">
        <f>IF(VLOOKUP(B205,Towary_i_uslugi!$A$4:$U$1200,21,FALSE)&gt;0,VLOOKUP(B205,Towary_i_uslugi!$A$4:$U$1200,21,FALSE),"")</f>
        <v/>
      </c>
      <c r="P205" s="11">
        <f t="shared" si="9"/>
        <v>0</v>
      </c>
      <c r="Q205" s="11">
        <f t="shared" si="10"/>
        <v>0</v>
      </c>
      <c r="R205" s="17">
        <f t="shared" si="11"/>
        <v>0</v>
      </c>
      <c r="S205" s="17">
        <f>VLOOKUP($B205,   MBI_LastBuy!$A$3:E$13199,3,FALSE)</f>
        <v>1008</v>
      </c>
      <c r="T205" s="13">
        <f>VLOOKUP($B205,   MBI_LastBuy!$A$3:E$13199,2,FALSE)</f>
        <v>0.96399999999999997</v>
      </c>
      <c r="U205" s="13" t="str">
        <f>VLOOKUP($B205,   MBI_LastBuy!$A$3:E$13199,5,FALSE)</f>
        <v>USD</v>
      </c>
      <c r="V205" s="15">
        <f>VLOOKUP($B205,   MBI_LastBuy!$A$3:E$13199,4,FALSE)</f>
        <v>43985</v>
      </c>
    </row>
    <row r="206" spans="1:22" x14ac:dyDescent="0.25">
      <c r="A206" s="11" t="s">
        <v>3555</v>
      </c>
      <c r="B206" s="11">
        <v>531530</v>
      </c>
      <c r="C206" s="11" t="str">
        <f>VLOOKUP(B206,Towary_i_uslugi!$A$4:$B$1500,2)</f>
        <v>(brak)</v>
      </c>
      <c r="D206" s="11" t="s">
        <v>2519</v>
      </c>
      <c r="E206" s="11">
        <f>VLOOKUP(B206,Towary_i_uslugi!$A$3:$T$1500,3,FALSE)</f>
        <v>24</v>
      </c>
      <c r="F206" s="11" t="str">
        <f>VLOOKUP(B206,Towary_i_uslugi!$A$3:$T$1500,20,FALSE)</f>
        <v>pvc bag, PVC teeth protector</v>
      </c>
      <c r="G206" s="11">
        <f>VLOOKUP(B206,MBI_Dostawcy_towarów!$A$4:$C$1399,3,FALSE)</f>
        <v>0.311</v>
      </c>
      <c r="H206" s="11">
        <v>2</v>
      </c>
      <c r="I206" s="11">
        <v>1</v>
      </c>
      <c r="J206" s="11">
        <v>1100</v>
      </c>
      <c r="K206" s="11">
        <f>_xlfn.IFNA(VLOOKUP(B206,Towary_na_zamówieniach!$A$4:$C$1500,2,FALSE),0)</f>
        <v>2209</v>
      </c>
      <c r="L206" s="11">
        <f>_xlfn.IFNA(VLOOKUP(B206,Towary_na_zamówieniach!$A$4:$C$1500,3,FALSE),0)</f>
        <v>2272.04</v>
      </c>
      <c r="M206" s="11">
        <f>_xlfn.IFNA(VLOOKUP(B206,MBI_Dostawcy_towarów!$A$4:$C$2000,2,FALSE),"N/A")</f>
        <v>90</v>
      </c>
      <c r="N206" s="11" t="str">
        <f>IF(VLOOKUP(B206,Towary_i_uslugi!$A$3:$T$1500,17,FALSE)=0,"!NO SUPPLIER",VLOOKUP(B206,Towary_i_uslugi!$A$3:$T$1500,17))</f>
        <v xml:space="preserve">HQ - Canada </v>
      </c>
      <c r="O206" s="11" t="str">
        <f>IF(VLOOKUP(B206,Towary_i_uslugi!$A$4:$U$1200,21,FALSE)&gt;0,VLOOKUP(B206,Towary_i_uslugi!$A$4:$U$1200,21,FALSE),"")</f>
        <v/>
      </c>
      <c r="P206" s="11">
        <f t="shared" si="9"/>
        <v>0</v>
      </c>
      <c r="Q206" s="11">
        <f t="shared" si="10"/>
        <v>0</v>
      </c>
      <c r="R206" s="17">
        <f t="shared" si="11"/>
        <v>0</v>
      </c>
      <c r="S206" s="17">
        <f>VLOOKUP($B206,   MBI_LastBuy!$A$3:E$13199,3,FALSE)</f>
        <v>1104</v>
      </c>
      <c r="T206" s="13">
        <f>VLOOKUP($B206,   MBI_LastBuy!$A$3:E$13199,2,FALSE)</f>
        <v>1.0289999999999999</v>
      </c>
      <c r="U206" s="13" t="str">
        <f>VLOOKUP($B206,   MBI_LastBuy!$A$3:E$13199,5,FALSE)</f>
        <v>USD</v>
      </c>
      <c r="V206" s="15">
        <f>VLOOKUP($B206,   MBI_LastBuy!$A$3:E$13199,4,FALSE)</f>
        <v>44095</v>
      </c>
    </row>
    <row r="207" spans="1:22" x14ac:dyDescent="0.25">
      <c r="A207" s="11" t="s">
        <v>3555</v>
      </c>
      <c r="B207" s="11">
        <v>531540</v>
      </c>
      <c r="C207" s="11" t="str">
        <f>VLOOKUP(B207,Towary_i_uslugi!$A$4:$B$1500,2)</f>
        <v>(brak)</v>
      </c>
      <c r="D207" s="11" t="s">
        <v>2821</v>
      </c>
      <c r="E207" s="11">
        <f>VLOOKUP(B207,Towary_i_uslugi!$A$3:$T$1500,3,FALSE)</f>
        <v>24</v>
      </c>
      <c r="F207" s="11" t="str">
        <f>VLOOKUP(B207,Towary_i_uslugi!$A$3:$T$1500,20,FALSE)</f>
        <v>pvc bag, PVC teeth protector</v>
      </c>
      <c r="G207" s="11">
        <f>VLOOKUP(B207,MBI_Dostawcy_towarów!$A$4:$C$1399,3,FALSE)</f>
        <v>0.33800000000000002</v>
      </c>
      <c r="H207" s="11">
        <v>268</v>
      </c>
      <c r="I207" s="11">
        <v>6</v>
      </c>
      <c r="J207" s="11">
        <v>680</v>
      </c>
      <c r="K207" s="11">
        <f>_xlfn.IFNA(VLOOKUP(B207,Towary_na_zamówieniach!$A$4:$C$1500,2,FALSE),0)</f>
        <v>672</v>
      </c>
      <c r="L207" s="11">
        <f>_xlfn.IFNA(VLOOKUP(B207,Towary_na_zamówieniach!$A$4:$C$1500,3,FALSE),0)</f>
        <v>741.89</v>
      </c>
      <c r="M207" s="11">
        <f>_xlfn.IFNA(VLOOKUP(B207,MBI_Dostawcy_towarów!$A$4:$C$2000,2,FALSE),"N/A")</f>
        <v>90</v>
      </c>
      <c r="N207" s="11" t="str">
        <f>IF(VLOOKUP(B207,Towary_i_uslugi!$A$3:$T$1500,17,FALSE)=0,"!NO SUPPLIER",VLOOKUP(B207,Towary_i_uslugi!$A$3:$T$1500,17))</f>
        <v xml:space="preserve">HQ - Canada </v>
      </c>
      <c r="O207" s="11" t="str">
        <f>IF(VLOOKUP(B207,Towary_i_uslugi!$A$4:$U$1200,21,FALSE)&gt;0,VLOOKUP(B207,Towary_i_uslugi!$A$4:$U$1200,21,FALSE),"")</f>
        <v/>
      </c>
      <c r="P207" s="11">
        <f t="shared" si="9"/>
        <v>0</v>
      </c>
      <c r="Q207" s="11">
        <f t="shared" si="10"/>
        <v>0</v>
      </c>
      <c r="R207" s="17">
        <f t="shared" si="11"/>
        <v>0</v>
      </c>
      <c r="S207" s="17">
        <f>VLOOKUP($B207,   MBI_LastBuy!$A$3:E$13199,3,FALSE)</f>
        <v>672</v>
      </c>
      <c r="T207" s="13">
        <f>VLOOKUP($B207,   MBI_LastBuy!$A$3:E$13199,2,FALSE)</f>
        <v>1.1040000000000001</v>
      </c>
      <c r="U207" s="13" t="str">
        <f>VLOOKUP($B207,   MBI_LastBuy!$A$3:E$13199,5,FALSE)</f>
        <v>USD</v>
      </c>
      <c r="V207" s="15">
        <f>VLOOKUP($B207,   MBI_LastBuy!$A$3:E$13199,4,FALSE)</f>
        <v>44074</v>
      </c>
    </row>
    <row r="208" spans="1:22" x14ac:dyDescent="0.25">
      <c r="A208" s="11" t="s">
        <v>3555</v>
      </c>
      <c r="B208" s="11">
        <v>531550</v>
      </c>
      <c r="C208" s="11" t="str">
        <f>VLOOKUP(B208,Towary_i_uslugi!$A$4:$B$1500,2)</f>
        <v>(brak)</v>
      </c>
      <c r="D208" s="11" t="s">
        <v>2681</v>
      </c>
      <c r="E208" s="11">
        <f>VLOOKUP(B208,Towary_i_uslugi!$A$3:$T$1500,3,FALSE)</f>
        <v>24</v>
      </c>
      <c r="F208" s="11" t="str">
        <f>VLOOKUP(B208,Towary_i_uslugi!$A$3:$T$1500,20,FALSE)</f>
        <v>pvc bag, PVC teeth protector</v>
      </c>
      <c r="G208" s="11">
        <f>VLOOKUP(B208,MBI_Dostawcy_towarów!$A$4:$C$1399,3,FALSE)</f>
        <v>0.36399999999999999</v>
      </c>
      <c r="H208" s="11">
        <v>1</v>
      </c>
      <c r="I208" s="11">
        <v>0</v>
      </c>
      <c r="J208" s="11">
        <v>240</v>
      </c>
      <c r="K208" s="11">
        <f>_xlfn.IFNA(VLOOKUP(B208,Towary_na_zamówieniach!$A$4:$C$1500,2,FALSE),0)</f>
        <v>481</v>
      </c>
      <c r="L208" s="11">
        <f>_xlfn.IFNA(VLOOKUP(B208,Towary_na_zamówieniach!$A$4:$C$1500,3,FALSE),0)</f>
        <v>598.08000000000004</v>
      </c>
      <c r="M208" s="11">
        <f>_xlfn.IFNA(VLOOKUP(B208,MBI_Dostawcy_towarów!$A$4:$C$2000,2,FALSE),"N/A")</f>
        <v>90</v>
      </c>
      <c r="N208" s="11" t="str">
        <f>IF(VLOOKUP(B208,Towary_i_uslugi!$A$3:$T$1500,17,FALSE)=0,"!NO SUPPLIER",VLOOKUP(B208,Towary_i_uslugi!$A$3:$T$1500,17))</f>
        <v xml:space="preserve">HQ - Canada </v>
      </c>
      <c r="O208" s="11" t="str">
        <f>IF(VLOOKUP(B208,Towary_i_uslugi!$A$4:$U$1200,21,FALSE)&gt;0,VLOOKUP(B208,Towary_i_uslugi!$A$4:$U$1200,21,FALSE),"")</f>
        <v/>
      </c>
      <c r="P208" s="11">
        <f t="shared" si="9"/>
        <v>0</v>
      </c>
      <c r="Q208" s="11">
        <f t="shared" si="10"/>
        <v>0</v>
      </c>
      <c r="R208" s="17">
        <f t="shared" si="11"/>
        <v>0</v>
      </c>
      <c r="S208" s="17">
        <f>VLOOKUP($B208,   MBI_LastBuy!$A$3:E$13199,3,FALSE)</f>
        <v>480</v>
      </c>
      <c r="T208" s="13">
        <f>VLOOKUP($B208,   MBI_LastBuy!$A$3:E$13199,2,FALSE)</f>
        <v>1.246</v>
      </c>
      <c r="U208" s="13" t="str">
        <f>VLOOKUP($B208,   MBI_LastBuy!$A$3:E$13199,5,FALSE)</f>
        <v>USD</v>
      </c>
      <c r="V208" s="15">
        <f>VLOOKUP($B208,   MBI_LastBuy!$A$3:E$13199,4,FALSE)</f>
        <v>43926</v>
      </c>
    </row>
    <row r="209" spans="1:22" x14ac:dyDescent="0.25">
      <c r="A209" s="11" t="s">
        <v>3553</v>
      </c>
      <c r="B209" s="11">
        <v>543010</v>
      </c>
      <c r="C209" s="11" t="str">
        <f>VLOOKUP(B209,Towary_i_uslugi!$A$4:$B$1500,2)</f>
        <v>(brak)</v>
      </c>
      <c r="D209" s="11" t="s">
        <v>2682</v>
      </c>
      <c r="E209" s="11">
        <f>VLOOKUP(B209,Towary_i_uslugi!$A$3:$T$1500,3,FALSE)</f>
        <v>72</v>
      </c>
      <c r="F209" s="11" t="str">
        <f>VLOOKUP(B209,Towary_i_uslugi!$A$3:$T$1500,20,FALSE)</f>
        <v>d/b 'try-it'</v>
      </c>
      <c r="G209" s="11">
        <f>VLOOKUP(B209,MBI_Dostawcy_towarów!$A$4:$C$1399,3,FALSE)</f>
        <v>0.16400000000000001</v>
      </c>
      <c r="H209" s="11">
        <v>161</v>
      </c>
      <c r="I209" s="11">
        <v>73</v>
      </c>
      <c r="J209" s="11">
        <v>720</v>
      </c>
      <c r="K209" s="11">
        <f>_xlfn.IFNA(VLOOKUP(B209,Towary_na_zamówieniach!$A$4:$C$1500,2,FALSE),0)</f>
        <v>1008</v>
      </c>
      <c r="L209" s="11">
        <f>_xlfn.IFNA(VLOOKUP(B209,Towary_na_zamówieniach!$A$4:$C$1500,3,FALSE),0)</f>
        <v>1159.2</v>
      </c>
      <c r="M209" s="11">
        <f>_xlfn.IFNA(VLOOKUP(B209,MBI_Dostawcy_towarów!$A$4:$C$2000,2,FALSE),"N/A")</f>
        <v>90</v>
      </c>
      <c r="N209" s="11" t="str">
        <f>IF(VLOOKUP(B209,Towary_i_uslugi!$A$3:$T$1500,17,FALSE)=0,"!NO SUPPLIER",VLOOKUP(B209,Towary_i_uslugi!$A$3:$T$1500,17))</f>
        <v>FX -MAPLE Frank Xu</v>
      </c>
      <c r="O209" s="11" t="str">
        <f>IF(VLOOKUP(B209,Towary_i_uslugi!$A$4:$U$1200,21,FALSE)&gt;0,VLOOKUP(B209,Towary_i_uslugi!$A$4:$U$1200,21,FALSE),"")</f>
        <v/>
      </c>
      <c r="P209" s="11">
        <f t="shared" si="9"/>
        <v>0</v>
      </c>
      <c r="Q209" s="11">
        <f t="shared" si="10"/>
        <v>0</v>
      </c>
      <c r="R209" s="17">
        <f t="shared" si="11"/>
        <v>0</v>
      </c>
      <c r="S209" s="17">
        <f>VLOOKUP($B209,   MBI_LastBuy!$A$3:E$13199,3,FALSE)</f>
        <v>1008</v>
      </c>
      <c r="T209" s="13">
        <f>VLOOKUP($B209,   MBI_LastBuy!$A$3:E$13199,2,FALSE)</f>
        <v>1.1499999999999999</v>
      </c>
      <c r="U209" s="13" t="str">
        <f>VLOOKUP($B209,   MBI_LastBuy!$A$3:E$13199,5,FALSE)</f>
        <v>USD</v>
      </c>
      <c r="V209" s="15">
        <f>VLOOKUP($B209,   MBI_LastBuy!$A$3:E$13199,4,FALSE)</f>
        <v>44091</v>
      </c>
    </row>
    <row r="210" spans="1:22" x14ac:dyDescent="0.25">
      <c r="A210" s="11" t="s">
        <v>3558</v>
      </c>
      <c r="B210" s="11">
        <v>552500</v>
      </c>
      <c r="C210" s="11" t="str">
        <f>VLOOKUP(B210,Towary_i_uslugi!$A$4:$B$1500,2)</f>
        <v>(brak)</v>
      </c>
      <c r="D210" s="11" t="s">
        <v>2683</v>
      </c>
      <c r="E210" s="11">
        <f>VLOOKUP(B210,Towary_i_uslugi!$A$3:$T$1500,3,FALSE)</f>
        <v>256</v>
      </c>
      <c r="F210" s="11" t="str">
        <f>VLOOKUP(B210,Towary_i_uslugi!$A$3:$T$1500,20,FALSE)</f>
        <v>pvc bag</v>
      </c>
      <c r="G210" s="11">
        <f>VLOOKUP(B210,MBI_Dostawcy_towarów!$A$4:$C$1399,3,FALSE)</f>
        <v>0.125</v>
      </c>
      <c r="H210" s="11">
        <v>1</v>
      </c>
      <c r="I210" s="11">
        <v>0</v>
      </c>
      <c r="J210" s="11">
        <v>580</v>
      </c>
      <c r="K210" s="11">
        <f>_xlfn.IFNA(VLOOKUP(B210,Towary_na_zamówieniach!$A$4:$C$1500,2,FALSE),0)</f>
        <v>0</v>
      </c>
      <c r="L210" s="11">
        <f>_xlfn.IFNA(VLOOKUP(B210,Towary_na_zamówieniach!$A$4:$C$1500,3,FALSE),0)</f>
        <v>0</v>
      </c>
      <c r="M210" s="11">
        <f>_xlfn.IFNA(VLOOKUP(B210,MBI_Dostawcy_towarów!$A$4:$C$2000,2,FALSE),"N/A")</f>
        <v>90</v>
      </c>
      <c r="N210" s="11" t="str">
        <f>IF(VLOOKUP(B210,Towary_i_uslugi!$A$3:$T$1500,17,FALSE)=0,"!NO SUPPLIER",VLOOKUP(B210,Towary_i_uslugi!$A$3:$T$1500,17))</f>
        <v>ZS</v>
      </c>
      <c r="O210" s="11" t="str">
        <f>IF(VLOOKUP(B210,Towary_i_uslugi!$A$4:$U$1200,21,FALSE)&gt;0,VLOOKUP(B210,Towary_i_uslugi!$A$4:$U$1200,21,FALSE),"")</f>
        <v/>
      </c>
      <c r="P210" s="11">
        <f t="shared" si="9"/>
        <v>3</v>
      </c>
      <c r="Q210" s="11">
        <f t="shared" si="10"/>
        <v>768</v>
      </c>
      <c r="R210" s="17">
        <f t="shared" si="11"/>
        <v>158.208</v>
      </c>
      <c r="S210" s="17">
        <f>VLOOKUP($B210,   MBI_LastBuy!$A$3:E$13199,3,FALSE)</f>
        <v>2560</v>
      </c>
      <c r="T210" s="13">
        <f>VLOOKUP($B210,   MBI_LastBuy!$A$3:E$13199,2,FALSE)</f>
        <v>0.20599999999999999</v>
      </c>
      <c r="U210" s="13" t="str">
        <f>VLOOKUP($B210,   MBI_LastBuy!$A$3:E$13199,5,FALSE)</f>
        <v>USD</v>
      </c>
      <c r="V210" s="15">
        <f>VLOOKUP($B210,   MBI_LastBuy!$A$3:E$13199,4,FALSE)</f>
        <v>43340</v>
      </c>
    </row>
    <row r="211" spans="1:22" x14ac:dyDescent="0.25">
      <c r="A211" s="11" t="s">
        <v>3554</v>
      </c>
      <c r="B211" s="11">
        <v>553000</v>
      </c>
      <c r="C211" s="11" t="str">
        <f>VLOOKUP(B211,Towary_i_uslugi!$A$4:$B$1500,2)</f>
        <v>(brak)</v>
      </c>
      <c r="D211" s="11" t="s">
        <v>2520</v>
      </c>
      <c r="E211" s="11">
        <f>VLOOKUP(B211,Towary_i_uslugi!$A$3:$T$1500,3,FALSE)</f>
        <v>48</v>
      </c>
      <c r="F211" s="11" t="str">
        <f>VLOOKUP(B211,Towary_i_uslugi!$A$3:$T$1500,20,FALSE)</f>
        <v>carton sleeve</v>
      </c>
      <c r="G211" s="11">
        <f>VLOOKUP(B211,MBI_Dostawcy_towarów!$A$4:$C$1399,3,FALSE)</f>
        <v>0.54300000000000004</v>
      </c>
      <c r="H211" s="11">
        <v>3</v>
      </c>
      <c r="I211" s="11">
        <v>2</v>
      </c>
      <c r="J211" s="11">
        <v>1000</v>
      </c>
      <c r="K211" s="11">
        <f>_xlfn.IFNA(VLOOKUP(B211,Towary_na_zamówieniach!$A$4:$C$1500,2,FALSE),0)</f>
        <v>960</v>
      </c>
      <c r="L211" s="11">
        <f>_xlfn.IFNA(VLOOKUP(B211,Towary_na_zamówieniach!$A$4:$C$1500,3,FALSE),0)</f>
        <v>720</v>
      </c>
      <c r="M211" s="11">
        <f>_xlfn.IFNA(VLOOKUP(B211,MBI_Dostawcy_towarów!$A$4:$C$2000,2,FALSE),"N/A")</f>
        <v>90</v>
      </c>
      <c r="N211" s="11" t="str">
        <f>IF(VLOOKUP(B211,Towary_i_uslugi!$A$3:$T$1500,17,FALSE)=0,"!NO SUPPLIER",VLOOKUP(B211,Towary_i_uslugi!$A$3:$T$1500,17))</f>
        <v>BW</v>
      </c>
      <c r="O211" s="11" t="str">
        <f>IF(VLOOKUP(B211,Towary_i_uslugi!$A$4:$U$1200,21,FALSE)&gt;0,VLOOKUP(B211,Towary_i_uslugi!$A$4:$U$1200,21,FALSE),"")</f>
        <v/>
      </c>
      <c r="P211" s="11">
        <f t="shared" si="9"/>
        <v>21</v>
      </c>
      <c r="Q211" s="11">
        <f t="shared" si="10"/>
        <v>1008</v>
      </c>
      <c r="R211" s="17">
        <f t="shared" si="11"/>
        <v>756</v>
      </c>
      <c r="S211" s="17">
        <f>VLOOKUP($B211,   MBI_LastBuy!$A$3:E$13199,3,FALSE)</f>
        <v>960</v>
      </c>
      <c r="T211" s="13">
        <f>VLOOKUP($B211,   MBI_LastBuy!$A$3:E$13199,2,FALSE)</f>
        <v>0.75</v>
      </c>
      <c r="U211" s="13" t="str">
        <f>VLOOKUP($B211,   MBI_LastBuy!$A$3:E$13199,5,FALSE)</f>
        <v>USD</v>
      </c>
      <c r="V211" s="15">
        <f>VLOOKUP($B211,   MBI_LastBuy!$A$3:E$13199,4,FALSE)</f>
        <v>44071</v>
      </c>
    </row>
    <row r="212" spans="1:22" x14ac:dyDescent="0.25">
      <c r="A212" s="11" t="s">
        <v>3552</v>
      </c>
      <c r="B212" s="11">
        <v>553500</v>
      </c>
      <c r="C212" s="11" t="str">
        <f>VLOOKUP(B212,Towary_i_uslugi!$A$4:$B$1500,2)</f>
        <v>(brak)</v>
      </c>
      <c r="D212" s="11" t="s">
        <v>2822</v>
      </c>
      <c r="E212" s="11">
        <f>VLOOKUP(B212,Towary_i_uslugi!$A$3:$T$1500,3,FALSE)</f>
        <v>60</v>
      </c>
      <c r="F212" s="11" t="str">
        <f>VLOOKUP(B212,Towary_i_uslugi!$A$3:$T$1500,20,FALSE)</f>
        <v>carton sleeve</v>
      </c>
      <c r="G212" s="11">
        <f>VLOOKUP(B212,MBI_Dostawcy_towarów!$A$4:$C$1399,3,FALSE)</f>
        <v>0.35199999999999998</v>
      </c>
      <c r="H212" s="11">
        <v>962</v>
      </c>
      <c r="I212" s="11">
        <v>21</v>
      </c>
      <c r="J212" s="11">
        <v>1300</v>
      </c>
      <c r="K212" s="11">
        <f>_xlfn.IFNA(VLOOKUP(B212,Towary_na_zamówieniach!$A$4:$C$1500,2,FALSE),0)</f>
        <v>1320</v>
      </c>
      <c r="L212" s="11">
        <f>_xlfn.IFNA(VLOOKUP(B212,Towary_na_zamówieniach!$A$4:$C$1500,3,FALSE),0)</f>
        <v>1214.4000000000001</v>
      </c>
      <c r="M212" s="11">
        <f>_xlfn.IFNA(VLOOKUP(B212,MBI_Dostawcy_towarów!$A$4:$C$2000,2,FALSE),"N/A")</f>
        <v>90</v>
      </c>
      <c r="N212" s="11" t="str">
        <f>IF(VLOOKUP(B212,Towary_i_uslugi!$A$3:$T$1500,17,FALSE)=0,"!NO SUPPLIER",VLOOKUP(B212,Towary_i_uslugi!$A$3:$T$1500,17))</f>
        <v>XM</v>
      </c>
      <c r="O212" s="11" t="str">
        <f>IF(VLOOKUP(B212,Towary_i_uslugi!$A$4:$U$1200,21,FALSE)&gt;0,VLOOKUP(B212,Towary_i_uslugi!$A$4:$U$1200,21,FALSE),"")</f>
        <v/>
      </c>
      <c r="P212" s="11">
        <f t="shared" si="9"/>
        <v>0</v>
      </c>
      <c r="Q212" s="11">
        <f t="shared" si="10"/>
        <v>0</v>
      </c>
      <c r="R212" s="17">
        <f t="shared" si="11"/>
        <v>0</v>
      </c>
      <c r="S212" s="17">
        <f>VLOOKUP($B212,   MBI_LastBuy!$A$3:E$13199,3,FALSE)</f>
        <v>1320</v>
      </c>
      <c r="T212" s="13">
        <f>VLOOKUP($B212,   MBI_LastBuy!$A$3:E$13199,2,FALSE)</f>
        <v>0.92</v>
      </c>
      <c r="U212" s="13" t="str">
        <f>VLOOKUP($B212,   MBI_LastBuy!$A$3:E$13199,5,FALSE)</f>
        <v>USD</v>
      </c>
      <c r="V212" s="15">
        <f>VLOOKUP($B212,   MBI_LastBuy!$A$3:E$13199,4,FALSE)</f>
        <v>44083</v>
      </c>
    </row>
    <row r="213" spans="1:22" x14ac:dyDescent="0.25">
      <c r="A213" s="11" t="s">
        <v>3552</v>
      </c>
      <c r="B213" s="11">
        <v>554000</v>
      </c>
      <c r="C213" s="11" t="str">
        <f>VLOOKUP(B213,Towary_i_uslugi!$A$4:$B$1500,2)</f>
        <v>ostrzeżenie</v>
      </c>
      <c r="D213" s="11" t="s">
        <v>2823</v>
      </c>
      <c r="E213" s="11">
        <f>VLOOKUP(B213,Towary_i_uslugi!$A$3:$T$1500,3,FALSE)</f>
        <v>60</v>
      </c>
      <c r="F213" s="11" t="str">
        <f>VLOOKUP(B213,Towary_i_uslugi!$A$3:$T$1500,20,FALSE)</f>
        <v>pvc bag</v>
      </c>
      <c r="G213" s="11">
        <f>VLOOKUP(B213,MBI_Dostawcy_towarów!$A$4:$C$1399,3,FALSE)</f>
        <v>0.20300000000000001</v>
      </c>
      <c r="H213" s="11">
        <v>226</v>
      </c>
      <c r="I213" s="11">
        <v>21</v>
      </c>
      <c r="J213" s="11">
        <v>800</v>
      </c>
      <c r="K213" s="11">
        <f>_xlfn.IFNA(VLOOKUP(B213,Towary_na_zamówieniach!$A$4:$C$1500,2,FALSE),0)</f>
        <v>1200</v>
      </c>
      <c r="L213" s="11">
        <f>_xlfn.IFNA(VLOOKUP(B213,Towary_na_zamówieniach!$A$4:$C$1500,3,FALSE),0)</f>
        <v>624</v>
      </c>
      <c r="M213" s="11">
        <f>_xlfn.IFNA(VLOOKUP(B213,MBI_Dostawcy_towarów!$A$4:$C$2000,2,FALSE),"N/A")</f>
        <v>90</v>
      </c>
      <c r="N213" s="11" t="str">
        <f>IF(VLOOKUP(B213,Towary_i_uslugi!$A$3:$T$1500,17,FALSE)=0,"!NO SUPPLIER",VLOOKUP(B213,Towary_i_uslugi!$A$3:$T$1500,17))</f>
        <v>XM</v>
      </c>
      <c r="O213" s="11" t="str">
        <f>IF(VLOOKUP(B213,Towary_i_uslugi!$A$4:$U$1200,21,FALSE)&gt;0,VLOOKUP(B213,Towary_i_uslugi!$A$4:$U$1200,21,FALSE),"")</f>
        <v/>
      </c>
      <c r="P213" s="11">
        <f t="shared" si="9"/>
        <v>0</v>
      </c>
      <c r="Q213" s="11">
        <f t="shared" si="10"/>
        <v>0</v>
      </c>
      <c r="R213" s="17">
        <f t="shared" si="11"/>
        <v>0</v>
      </c>
      <c r="S213" s="17">
        <f>VLOOKUP($B213,   MBI_LastBuy!$A$3:E$13199,3,FALSE)</f>
        <v>1200</v>
      </c>
      <c r="T213" s="13">
        <f>VLOOKUP($B213,   MBI_LastBuy!$A$3:E$13199,2,FALSE)</f>
        <v>0.52</v>
      </c>
      <c r="U213" s="13" t="str">
        <f>VLOOKUP($B213,   MBI_LastBuy!$A$3:E$13199,5,FALSE)</f>
        <v>USD</v>
      </c>
      <c r="V213" s="15">
        <f>VLOOKUP($B213,   MBI_LastBuy!$A$3:E$13199,4,FALSE)</f>
        <v>44040</v>
      </c>
    </row>
    <row r="214" spans="1:22" x14ac:dyDescent="0.25">
      <c r="A214" s="11" t="s">
        <v>3555</v>
      </c>
      <c r="B214" s="11">
        <v>563102</v>
      </c>
      <c r="C214" s="11" t="str">
        <f>VLOOKUP(B214,Towary_i_uslugi!$A$4:$B$1500,2)</f>
        <v>(brak)</v>
      </c>
      <c r="D214" s="11" t="s">
        <v>2824</v>
      </c>
      <c r="E214" s="11">
        <f>VLOOKUP(B214,Towary_i_uslugi!$A$3:$T$1500,3,FALSE)</f>
        <v>144</v>
      </c>
      <c r="F214" s="11" t="str">
        <f>VLOOKUP(B214,Towary_i_uslugi!$A$3:$T$1500,20,FALSE)</f>
        <v>skin card</v>
      </c>
      <c r="G214" s="11">
        <f>VLOOKUP(B214,MBI_Dostawcy_towarów!$A$4:$C$1399,3,FALSE)</f>
        <v>6.0999999999999999E-2</v>
      </c>
      <c r="H214" s="11">
        <v>79</v>
      </c>
      <c r="I214" s="11">
        <v>25</v>
      </c>
      <c r="J214" s="11">
        <v>400</v>
      </c>
      <c r="K214" s="11">
        <f>_xlfn.IFNA(VLOOKUP(B214,Towary_na_zamówieniach!$A$4:$C$1500,2,FALSE),0)</f>
        <v>721</v>
      </c>
      <c r="L214" s="11">
        <f>_xlfn.IFNA(VLOOKUP(B214,Towary_na_zamówieniach!$A$4:$C$1500,3,FALSE),0)</f>
        <v>731.52</v>
      </c>
      <c r="M214" s="11">
        <f>_xlfn.IFNA(VLOOKUP(B214,MBI_Dostawcy_towarów!$A$4:$C$2000,2,FALSE),"N/A")</f>
        <v>90</v>
      </c>
      <c r="N214" s="11" t="str">
        <f>IF(VLOOKUP(B214,Towary_i_uslugi!$A$3:$T$1500,17,FALSE)=0,"!NO SUPPLIER",VLOOKUP(B214,Towary_i_uslugi!$A$3:$T$1500,17))</f>
        <v xml:space="preserve">HQ - Canada </v>
      </c>
      <c r="O214" s="11" t="str">
        <f>IF(VLOOKUP(B214,Towary_i_uslugi!$A$4:$U$1200,21,FALSE)&gt;0,VLOOKUP(B214,Towary_i_uslugi!$A$4:$U$1200,21,FALSE),"")</f>
        <v/>
      </c>
      <c r="P214" s="11">
        <f t="shared" si="9"/>
        <v>0</v>
      </c>
      <c r="Q214" s="11">
        <f t="shared" si="10"/>
        <v>0</v>
      </c>
      <c r="R214" s="17">
        <f t="shared" si="11"/>
        <v>0</v>
      </c>
      <c r="S214" s="17">
        <f>VLOOKUP($B214,   MBI_LastBuy!$A$3:E$13199,3,FALSE)</f>
        <v>720</v>
      </c>
      <c r="T214" s="13">
        <f>VLOOKUP($B214,   MBI_LastBuy!$A$3:E$13199,2,FALSE)</f>
        <v>1.016</v>
      </c>
      <c r="U214" s="13" t="str">
        <f>VLOOKUP($B214,   MBI_LastBuy!$A$3:E$13199,5,FALSE)</f>
        <v>USD</v>
      </c>
      <c r="V214" s="15">
        <f>VLOOKUP($B214,   MBI_LastBuy!$A$3:E$13199,4,FALSE)</f>
        <v>43985</v>
      </c>
    </row>
    <row r="215" spans="1:22" x14ac:dyDescent="0.25">
      <c r="A215" s="11" t="s">
        <v>3555</v>
      </c>
      <c r="B215" s="11">
        <v>580010</v>
      </c>
      <c r="C215" s="11" t="str">
        <f>VLOOKUP(B215,Towary_i_uslugi!$A$4:$B$1500,2)</f>
        <v>(brak)</v>
      </c>
      <c r="D215" s="11" t="s">
        <v>2825</v>
      </c>
      <c r="E215" s="11">
        <f>VLOOKUP(B215,Towary_i_uslugi!$A$3:$T$1500,3,FALSE)</f>
        <v>80</v>
      </c>
      <c r="F215" s="11" t="str">
        <f>VLOOKUP(B215,Towary_i_uslugi!$A$3:$T$1500,20,FALSE)</f>
        <v>double blister</v>
      </c>
      <c r="G215" s="11">
        <f>VLOOKUP(B215,MBI_Dostawcy_towarów!$A$4:$C$1399,3,FALSE)</f>
        <v>0.13100000000000001</v>
      </c>
      <c r="H215" s="11">
        <v>935</v>
      </c>
      <c r="I215" s="11">
        <v>10</v>
      </c>
      <c r="J215" s="11">
        <v>1800</v>
      </c>
      <c r="K215" s="11">
        <f>_xlfn.IFNA(VLOOKUP(B215,Towary_na_zamówieniach!$A$4:$C$1500,2,FALSE),0)</f>
        <v>1921</v>
      </c>
      <c r="L215" s="11">
        <f>_xlfn.IFNA(VLOOKUP(B215,Towary_na_zamówieniach!$A$4:$C$1500,3,FALSE),0)</f>
        <v>1211.52</v>
      </c>
      <c r="M215" s="11">
        <f>_xlfn.IFNA(VLOOKUP(B215,MBI_Dostawcy_towarów!$A$4:$C$2000,2,FALSE),"N/A")</f>
        <v>90</v>
      </c>
      <c r="N215" s="11" t="str">
        <f>IF(VLOOKUP(B215,Towary_i_uslugi!$A$3:$T$1500,17,FALSE)=0,"!NO SUPPLIER",VLOOKUP(B215,Towary_i_uslugi!$A$3:$T$1500,17))</f>
        <v xml:space="preserve">HQ - Canada </v>
      </c>
      <c r="O215" s="11" t="str">
        <f>IF(VLOOKUP(B215,Towary_i_uslugi!$A$4:$U$1200,21,FALSE)&gt;0,VLOOKUP(B215,Towary_i_uslugi!$A$4:$U$1200,21,FALSE),"")</f>
        <v/>
      </c>
      <c r="P215" s="11">
        <f t="shared" si="9"/>
        <v>0</v>
      </c>
      <c r="Q215" s="11">
        <f t="shared" si="10"/>
        <v>0</v>
      </c>
      <c r="R215" s="17">
        <f t="shared" si="11"/>
        <v>0</v>
      </c>
      <c r="S215" s="17">
        <f>VLOOKUP($B215,   MBI_LastBuy!$A$3:E$13199,3,FALSE)</f>
        <v>1920</v>
      </c>
      <c r="T215" s="13">
        <f>VLOOKUP($B215,   MBI_LastBuy!$A$3:E$13199,2,FALSE)</f>
        <v>0.63100000000000001</v>
      </c>
      <c r="U215" s="13" t="str">
        <f>VLOOKUP($B215,   MBI_LastBuy!$A$3:E$13199,5,FALSE)</f>
        <v>USD</v>
      </c>
      <c r="V215" s="15">
        <f>VLOOKUP($B215,   MBI_LastBuy!$A$3:E$13199,4,FALSE)</f>
        <v>44025</v>
      </c>
    </row>
    <row r="216" spans="1:22" x14ac:dyDescent="0.25">
      <c r="A216" s="11" t="s">
        <v>3555</v>
      </c>
      <c r="B216" s="11">
        <v>580020</v>
      </c>
      <c r="C216" s="11" t="str">
        <f>VLOOKUP(B216,Towary_i_uslugi!$A$4:$B$1500,2)</f>
        <v>(brak)</v>
      </c>
      <c r="D216" s="11" t="s">
        <v>2826</v>
      </c>
      <c r="E216" s="11">
        <f>VLOOKUP(B216,Towary_i_uslugi!$A$3:$T$1500,3,FALSE)</f>
        <v>60</v>
      </c>
      <c r="F216" s="11" t="str">
        <f>VLOOKUP(B216,Towary_i_uslugi!$A$3:$T$1500,20,FALSE)</f>
        <v>double blister</v>
      </c>
      <c r="G216" s="11">
        <f>VLOOKUP(B216,MBI_Dostawcy_towarów!$A$4:$C$1399,3,FALSE)</f>
        <v>0.217</v>
      </c>
      <c r="H216" s="11">
        <v>1</v>
      </c>
      <c r="I216" s="11">
        <v>0</v>
      </c>
      <c r="J216" s="11">
        <v>1450</v>
      </c>
      <c r="K216" s="11">
        <f>_xlfn.IFNA(VLOOKUP(B216,Towary_na_zamówieniach!$A$4:$C$1500,2,FALSE),0)</f>
        <v>1501</v>
      </c>
      <c r="L216" s="11">
        <f>_xlfn.IFNA(VLOOKUP(B216,Towary_na_zamówieniach!$A$4:$C$1500,3,FALSE),0)</f>
        <v>1146</v>
      </c>
      <c r="M216" s="11">
        <f>_xlfn.IFNA(VLOOKUP(B216,MBI_Dostawcy_towarów!$A$4:$C$2000,2,FALSE),"N/A")</f>
        <v>90</v>
      </c>
      <c r="N216" s="11" t="str">
        <f>IF(VLOOKUP(B216,Towary_i_uslugi!$A$3:$T$1500,17,FALSE)=0,"!NO SUPPLIER",VLOOKUP(B216,Towary_i_uslugi!$A$3:$T$1500,17))</f>
        <v xml:space="preserve">HQ - Canada </v>
      </c>
      <c r="O216" s="11" t="str">
        <f>IF(VLOOKUP(B216,Towary_i_uslugi!$A$4:$U$1200,21,FALSE)&gt;0,VLOOKUP(B216,Towary_i_uslugi!$A$4:$U$1200,21,FALSE),"")</f>
        <v/>
      </c>
      <c r="P216" s="11">
        <f t="shared" si="9"/>
        <v>0</v>
      </c>
      <c r="Q216" s="11">
        <f t="shared" si="10"/>
        <v>0</v>
      </c>
      <c r="R216" s="17">
        <f t="shared" si="11"/>
        <v>0</v>
      </c>
      <c r="S216" s="17">
        <f>VLOOKUP($B216,   MBI_LastBuy!$A$3:E$13199,3,FALSE)</f>
        <v>1500</v>
      </c>
      <c r="T216" s="13">
        <f>VLOOKUP($B216,   MBI_LastBuy!$A$3:E$13199,2,FALSE)</f>
        <v>0.76400000000000001</v>
      </c>
      <c r="U216" s="13" t="str">
        <f>VLOOKUP($B216,   MBI_LastBuy!$A$3:E$13199,5,FALSE)</f>
        <v>USD</v>
      </c>
      <c r="V216" s="15">
        <f>VLOOKUP($B216,   MBI_LastBuy!$A$3:E$13199,4,FALSE)</f>
        <v>43966</v>
      </c>
    </row>
    <row r="217" spans="1:22" x14ac:dyDescent="0.25">
      <c r="A217" s="11" t="s">
        <v>3555</v>
      </c>
      <c r="B217" s="11">
        <v>588040</v>
      </c>
      <c r="C217" s="11" t="str">
        <f>VLOOKUP(B217,Towary_i_uslugi!$A$4:$B$1500,2)</f>
        <v>(brak)</v>
      </c>
      <c r="D217" s="11" t="s">
        <v>1640</v>
      </c>
      <c r="E217" s="11">
        <f>VLOOKUP(B217,Towary_i_uslugi!$A$3:$T$1500,3,FALSE)</f>
        <v>24</v>
      </c>
      <c r="F217" s="11" t="str">
        <f>VLOOKUP(B217,Towary_i_uslugi!$A$3:$T$1500,20,FALSE)</f>
        <v>double blister</v>
      </c>
      <c r="G217" s="11">
        <f>VLOOKUP(B217,MBI_Dostawcy_towarów!$A$4:$C$1399,3,FALSE)</f>
        <v>0.35799999999999998</v>
      </c>
      <c r="H217" s="11">
        <v>434</v>
      </c>
      <c r="I217" s="11">
        <v>24</v>
      </c>
      <c r="J217" s="11">
        <v>950</v>
      </c>
      <c r="K217" s="11">
        <f>_xlfn.IFNA(VLOOKUP(B217,Towary_na_zamówieniach!$A$4:$C$1500,2,FALSE),0)</f>
        <v>961</v>
      </c>
      <c r="L217" s="11">
        <f>_xlfn.IFNA(VLOOKUP(B217,Towary_na_zamówieniach!$A$4:$C$1500,3,FALSE),0)</f>
        <v>1395.84</v>
      </c>
      <c r="M217" s="11">
        <f>_xlfn.IFNA(VLOOKUP(B217,MBI_Dostawcy_towarów!$A$4:$C$2000,2,FALSE),"N/A")</f>
        <v>90</v>
      </c>
      <c r="N217" s="11" t="str">
        <f>IF(VLOOKUP(B217,Towary_i_uslugi!$A$3:$T$1500,17,FALSE)=0,"!NO SUPPLIER",VLOOKUP(B217,Towary_i_uslugi!$A$3:$T$1500,17))</f>
        <v xml:space="preserve">HQ - Canada </v>
      </c>
      <c r="O217" s="11" t="str">
        <f>IF(VLOOKUP(B217,Towary_i_uslugi!$A$4:$U$1200,21,FALSE)&gt;0,VLOOKUP(B217,Towary_i_uslugi!$A$4:$U$1200,21,FALSE),"")</f>
        <v/>
      </c>
      <c r="P217" s="11">
        <f t="shared" si="9"/>
        <v>0</v>
      </c>
      <c r="Q217" s="11">
        <f t="shared" si="10"/>
        <v>0</v>
      </c>
      <c r="R217" s="17">
        <f t="shared" si="11"/>
        <v>0</v>
      </c>
      <c r="S217" s="17">
        <f>VLOOKUP($B217,   MBI_LastBuy!$A$3:E$13199,3,FALSE)</f>
        <v>960</v>
      </c>
      <c r="T217" s="13">
        <f>VLOOKUP($B217,   MBI_LastBuy!$A$3:E$13199,2,FALSE)</f>
        <v>1.454</v>
      </c>
      <c r="U217" s="13" t="str">
        <f>VLOOKUP($B217,   MBI_LastBuy!$A$3:E$13199,5,FALSE)</f>
        <v>USD</v>
      </c>
      <c r="V217" s="15">
        <f>VLOOKUP($B217,   MBI_LastBuy!$A$3:E$13199,4,FALSE)</f>
        <v>44095</v>
      </c>
    </row>
    <row r="218" spans="1:22" x14ac:dyDescent="0.25">
      <c r="A218" s="11" t="s">
        <v>3556</v>
      </c>
      <c r="B218" s="11">
        <v>588110</v>
      </c>
      <c r="C218" s="11" t="str">
        <f>VLOOKUP(B218,Towary_i_uslugi!$A$4:$B$1500,2)</f>
        <v>(brak)</v>
      </c>
      <c r="D218" s="11" t="s">
        <v>2625</v>
      </c>
      <c r="E218" s="11">
        <f>VLOOKUP(B218,Towary_i_uslugi!$A$3:$T$1500,3,FALSE)</f>
        <v>20</v>
      </c>
      <c r="F218" s="11" t="str">
        <f>VLOOKUP(B218,Towary_i_uslugi!$A$3:$T$1500,20,FALSE)</f>
        <v>plastic case</v>
      </c>
      <c r="G218" s="11">
        <f>VLOOKUP(B218,MBI_Dostawcy_towarów!$A$4:$C$1399,3,FALSE)</f>
        <v>0.55000000000000004</v>
      </c>
      <c r="H218" s="11">
        <v>353</v>
      </c>
      <c r="I218" s="11">
        <v>20</v>
      </c>
      <c r="J218" s="11">
        <v>530</v>
      </c>
      <c r="K218" s="11">
        <f>_xlfn.IFNA(VLOOKUP(B218,Towary_na_zamówieniach!$A$4:$C$1500,2,FALSE),0)</f>
        <v>1141</v>
      </c>
      <c r="L218" s="11">
        <f>_xlfn.IFNA(VLOOKUP(B218,Towary_na_zamówieniach!$A$4:$C$1500,3,FALSE),0)</f>
        <v>1855.8</v>
      </c>
      <c r="M218" s="11">
        <f>_xlfn.IFNA(VLOOKUP(B218,MBI_Dostawcy_towarów!$A$4:$C$2000,2,FALSE),"N/A")</f>
        <v>90</v>
      </c>
      <c r="N218" s="11" t="str">
        <f>IF(VLOOKUP(B218,Towary_i_uslugi!$A$3:$T$1500,17,FALSE)=0,"!NO SUPPLIER",VLOOKUP(B218,Towary_i_uslugi!$A$3:$T$1500,17))</f>
        <v xml:space="preserve">LF rozrachunki </v>
      </c>
      <c r="O218" s="11" t="str">
        <f>IF(VLOOKUP(B218,Towary_i_uslugi!$A$4:$U$1200,21,FALSE)&gt;0,VLOOKUP(B218,Towary_i_uslugi!$A$4:$U$1200,21,FALSE),"")</f>
        <v/>
      </c>
      <c r="P218" s="11">
        <f t="shared" si="9"/>
        <v>0</v>
      </c>
      <c r="Q218" s="11">
        <f t="shared" si="10"/>
        <v>0</v>
      </c>
      <c r="R218" s="17">
        <f t="shared" si="11"/>
        <v>0</v>
      </c>
      <c r="S218" s="17">
        <f>VLOOKUP($B218,   MBI_LastBuy!$A$3:E$13199,3,FALSE)</f>
        <v>600</v>
      </c>
      <c r="T218" s="13">
        <f>VLOOKUP($B218,   MBI_LastBuy!$A$3:E$13199,2,FALSE)</f>
        <v>1.5</v>
      </c>
      <c r="U218" s="13" t="str">
        <f>VLOOKUP($B218,   MBI_LastBuy!$A$3:E$13199,5,FALSE)</f>
        <v>USD</v>
      </c>
      <c r="V218" s="15">
        <f>VLOOKUP($B218,   MBI_LastBuy!$A$3:E$13199,4,FALSE)</f>
        <v>44070</v>
      </c>
    </row>
    <row r="219" spans="1:22" x14ac:dyDescent="0.25">
      <c r="A219" s="11" t="s">
        <v>3555</v>
      </c>
      <c r="B219" s="11">
        <v>595000</v>
      </c>
      <c r="C219" s="11" t="str">
        <f>VLOOKUP(B219,Towary_i_uslugi!$A$4:$B$1500,2)</f>
        <v>(brak)</v>
      </c>
      <c r="D219" s="11" t="s">
        <v>1590</v>
      </c>
      <c r="E219" s="11">
        <f>VLOOKUP(B219,Towary_i_uslugi!$A$3:$T$1500,3,FALSE)</f>
        <v>40</v>
      </c>
      <c r="F219" s="11" t="str">
        <f>VLOOKUP(B219,Towary_i_uslugi!$A$3:$T$1500,20,FALSE)</f>
        <v>pvc shrink</v>
      </c>
      <c r="G219" s="11">
        <f>VLOOKUP(B219,MBI_Dostawcy_towarów!$A$4:$C$1399,3,FALSE)</f>
        <v>0.43</v>
      </c>
      <c r="H219" s="11">
        <v>1</v>
      </c>
      <c r="I219" s="11">
        <v>0</v>
      </c>
      <c r="J219" s="11">
        <v>700</v>
      </c>
      <c r="K219" s="11">
        <f>_xlfn.IFNA(VLOOKUP(B219,Towary_na_zamówieniach!$A$4:$C$1500,2,FALSE),0)</f>
        <v>721</v>
      </c>
      <c r="L219" s="11">
        <f>_xlfn.IFNA(VLOOKUP(B219,Towary_na_zamówieniach!$A$4:$C$1500,3,FALSE),0)</f>
        <v>1202.4000000000001</v>
      </c>
      <c r="M219" s="11">
        <f>_xlfn.IFNA(VLOOKUP(B219,MBI_Dostawcy_towarów!$A$4:$C$2000,2,FALSE),"N/A")</f>
        <v>90</v>
      </c>
      <c r="N219" s="11" t="str">
        <f>IF(VLOOKUP(B219,Towary_i_uslugi!$A$3:$T$1500,17,FALSE)=0,"!NO SUPPLIER",VLOOKUP(B219,Towary_i_uslugi!$A$3:$T$1500,17))</f>
        <v xml:space="preserve">HQ - Canada </v>
      </c>
      <c r="O219" s="11" t="str">
        <f>IF(VLOOKUP(B219,Towary_i_uslugi!$A$4:$U$1200,21,FALSE)&gt;0,VLOOKUP(B219,Towary_i_uslugi!$A$4:$U$1200,21,FALSE),"")</f>
        <v/>
      </c>
      <c r="P219" s="11">
        <f t="shared" si="9"/>
        <v>0</v>
      </c>
      <c r="Q219" s="11">
        <f t="shared" si="10"/>
        <v>0</v>
      </c>
      <c r="R219" s="17">
        <f t="shared" si="11"/>
        <v>0</v>
      </c>
      <c r="S219" s="17">
        <f>VLOOKUP($B219,   MBI_LastBuy!$A$3:E$13199,3,FALSE)</f>
        <v>720</v>
      </c>
      <c r="T219" s="13">
        <f>VLOOKUP($B219,   MBI_LastBuy!$A$3:E$13199,2,FALSE)</f>
        <v>1.67</v>
      </c>
      <c r="U219" s="13" t="str">
        <f>VLOOKUP($B219,   MBI_LastBuy!$A$3:E$13199,5,FALSE)</f>
        <v>USD</v>
      </c>
      <c r="V219" s="15">
        <f>VLOOKUP($B219,   MBI_LastBuy!$A$3:E$13199,4,FALSE)</f>
        <v>44041</v>
      </c>
    </row>
    <row r="220" spans="1:22" x14ac:dyDescent="0.25">
      <c r="A220" s="11" t="s">
        <v>3555</v>
      </c>
      <c r="B220" s="11">
        <v>595050</v>
      </c>
      <c r="C220" s="11" t="str">
        <f>VLOOKUP(B220,Towary_i_uslugi!$A$4:$B$1500,2)</f>
        <v>(brak)</v>
      </c>
      <c r="D220" s="11" t="s">
        <v>3633</v>
      </c>
      <c r="E220" s="11">
        <f>VLOOKUP(B220,Towary_i_uslugi!$A$3:$T$1500,3,FALSE)</f>
        <v>36</v>
      </c>
      <c r="F220" s="11" t="str">
        <f>VLOOKUP(B220,Towary_i_uslugi!$A$3:$T$1500,20,FALSE)</f>
        <v>pvc shrink</v>
      </c>
      <c r="G220" s="11">
        <f>VLOOKUP(B220,MBI_Dostawcy_towarów!$A$4:$C$1399,3,FALSE)</f>
        <v>0.3</v>
      </c>
      <c r="H220" s="11">
        <v>527</v>
      </c>
      <c r="I220" s="11">
        <v>324</v>
      </c>
      <c r="J220" s="11">
        <v>540</v>
      </c>
      <c r="K220" s="11">
        <f>_xlfn.IFNA(VLOOKUP(B220,Towary_na_zamówieniach!$A$4:$C$1500,2,FALSE),0)</f>
        <v>720</v>
      </c>
      <c r="L220" s="11">
        <f>_xlfn.IFNA(VLOOKUP(B220,Towary_na_zamówieniach!$A$4:$C$1500,3,FALSE),0)</f>
        <v>655.92</v>
      </c>
      <c r="M220" s="11">
        <f>_xlfn.IFNA(VLOOKUP(B220,MBI_Dostawcy_towarów!$A$4:$C$2000,2,FALSE),"N/A")</f>
        <v>90</v>
      </c>
      <c r="N220" s="11" t="str">
        <f>IF(VLOOKUP(B220,Towary_i_uslugi!$A$3:$T$1500,17,FALSE)=0,"!NO SUPPLIER",VLOOKUP(B220,Towary_i_uslugi!$A$3:$T$1500,17))</f>
        <v xml:space="preserve">HQ - Canada </v>
      </c>
      <c r="O220" s="11" t="str">
        <f>IF(VLOOKUP(B220,Towary_i_uslugi!$A$4:$U$1200,21,FALSE)&gt;0,VLOOKUP(B220,Towary_i_uslugi!$A$4:$U$1200,21,FALSE),"")</f>
        <v/>
      </c>
      <c r="P220" s="11">
        <f t="shared" si="9"/>
        <v>0</v>
      </c>
      <c r="Q220" s="11">
        <f t="shared" si="10"/>
        <v>0</v>
      </c>
      <c r="R220" s="17">
        <f t="shared" si="11"/>
        <v>0</v>
      </c>
      <c r="S220" s="17">
        <f>VLOOKUP($B220,   MBI_LastBuy!$A$3:E$13199,3,FALSE)</f>
        <v>720</v>
      </c>
      <c r="T220" s="13">
        <f>VLOOKUP($B220,   MBI_LastBuy!$A$3:E$13199,2,FALSE)</f>
        <v>0.91100000000000003</v>
      </c>
      <c r="U220" s="13" t="str">
        <f>VLOOKUP($B220,   MBI_LastBuy!$A$3:E$13199,5,FALSE)</f>
        <v>USD</v>
      </c>
      <c r="V220" s="15">
        <f>VLOOKUP($B220,   MBI_LastBuy!$A$3:E$13199,4,FALSE)</f>
        <v>44095</v>
      </c>
    </row>
    <row r="221" spans="1:22" x14ac:dyDescent="0.25">
      <c r="A221" s="11" t="s">
        <v>3552</v>
      </c>
      <c r="B221" s="11">
        <v>595500</v>
      </c>
      <c r="C221" s="11" t="str">
        <f>VLOOKUP(B221,Towary_i_uslugi!$A$4:$B$1500,2)</f>
        <v>(brak)</v>
      </c>
      <c r="D221" s="11" t="s">
        <v>2827</v>
      </c>
      <c r="E221" s="11">
        <f>VLOOKUP(B221,Towary_i_uslugi!$A$3:$T$1500,3,FALSE)</f>
        <v>1</v>
      </c>
      <c r="F221" s="11" t="str">
        <f>VLOOKUP(B221,Towary_i_uslugi!$A$3:$T$1500,20,FALSE)</f>
        <v>photo color box</v>
      </c>
      <c r="G221" s="11">
        <f>VLOOKUP(B221,MBI_Dostawcy_towarów!$A$4:$C$1399,3,FALSE)</f>
        <v>3.3</v>
      </c>
      <c r="H221" s="11">
        <v>1</v>
      </c>
      <c r="I221" s="11">
        <v>0</v>
      </c>
      <c r="J221" s="11">
        <v>90</v>
      </c>
      <c r="K221" s="11">
        <f>_xlfn.IFNA(VLOOKUP(B221,Towary_na_zamówieniach!$A$4:$C$1500,2,FALSE),0)</f>
        <v>120</v>
      </c>
      <c r="L221" s="11">
        <f>_xlfn.IFNA(VLOOKUP(B221,Towary_na_zamówieniach!$A$4:$C$1500,3,FALSE),0)</f>
        <v>1302</v>
      </c>
      <c r="M221" s="11">
        <f>_xlfn.IFNA(VLOOKUP(B221,MBI_Dostawcy_towarów!$A$4:$C$2000,2,FALSE),"N/A")</f>
        <v>90</v>
      </c>
      <c r="N221" s="11" t="str">
        <f>IF(VLOOKUP(B221,Towary_i_uslugi!$A$3:$T$1500,17,FALSE)=0,"!NO SUPPLIER",VLOOKUP(B221,Towary_i_uslugi!$A$3:$T$1500,17))</f>
        <v>XM</v>
      </c>
      <c r="O221" s="11" t="str">
        <f>IF(VLOOKUP(B221,Towary_i_uslugi!$A$4:$U$1200,21,FALSE)&gt;0,VLOOKUP(B221,Towary_i_uslugi!$A$4:$U$1200,21,FALSE),"")</f>
        <v/>
      </c>
      <c r="P221" s="11">
        <f t="shared" si="9"/>
        <v>0</v>
      </c>
      <c r="Q221" s="11">
        <f t="shared" si="10"/>
        <v>0</v>
      </c>
      <c r="R221" s="17">
        <f t="shared" si="11"/>
        <v>0</v>
      </c>
      <c r="S221" s="17">
        <f>VLOOKUP($B221,   MBI_LastBuy!$A$3:E$13199,3,FALSE)</f>
        <v>120</v>
      </c>
      <c r="T221" s="13">
        <f>VLOOKUP($B221,   MBI_LastBuy!$A$3:E$13199,2,FALSE)</f>
        <v>10.85</v>
      </c>
      <c r="U221" s="13" t="str">
        <f>VLOOKUP($B221,   MBI_LastBuy!$A$3:E$13199,5,FALSE)</f>
        <v>USD</v>
      </c>
      <c r="V221" s="15">
        <f>VLOOKUP($B221,   MBI_LastBuy!$A$3:E$13199,4,FALSE)</f>
        <v>44117</v>
      </c>
    </row>
    <row r="222" spans="1:22" x14ac:dyDescent="0.25">
      <c r="A222" s="11" t="s">
        <v>3824</v>
      </c>
      <c r="B222" s="11">
        <v>597015</v>
      </c>
      <c r="C222" s="11" t="str">
        <f>VLOOKUP(B222,Towary_i_uslugi!$A$4:$B$1500,2)</f>
        <v>nowość!!! więcej info dla klienta</v>
      </c>
      <c r="D222" s="11" t="s">
        <v>3634</v>
      </c>
      <c r="E222" s="11">
        <f>VLOOKUP(B222,Towary_i_uslugi!$A$3:$T$1500,3,FALSE)</f>
        <v>0</v>
      </c>
      <c r="F222" s="11" t="str">
        <f>VLOOKUP(B222,Towary_i_uslugi!$A$3:$T$1500,20,FALSE)</f>
        <v>carton box+ sicker</v>
      </c>
      <c r="G222" s="11">
        <f>VLOOKUP(B222,MBI_Dostawcy_towarów!$A$4:$C$1399,3,FALSE)</f>
        <v>8.6999999999999993</v>
      </c>
      <c r="H222" s="11">
        <v>0</v>
      </c>
      <c r="I222" s="11">
        <v>0</v>
      </c>
      <c r="J222" s="11">
        <v>100</v>
      </c>
      <c r="K222" s="11">
        <f>_xlfn.IFNA(VLOOKUP(B222,Towary_na_zamówieniach!$A$4:$C$1500,2,FALSE),0)</f>
        <v>0</v>
      </c>
      <c r="L222" s="11">
        <f>_xlfn.IFNA(VLOOKUP(B222,Towary_na_zamówieniach!$A$4:$C$1500,3,FALSE),0)</f>
        <v>0</v>
      </c>
      <c r="M222" s="11">
        <f>_xlfn.IFNA(VLOOKUP(B222,MBI_Dostawcy_towarów!$A$4:$C$2000,2,FALSE),"N/A")</f>
        <v>100</v>
      </c>
      <c r="N222" s="11" t="str">
        <f>IF(VLOOKUP(B222,Towary_i_uslugi!$A$3:$T$1500,17,FALSE)=0,"!NO SUPPLIER",VLOOKUP(B222,Towary_i_uslugi!$A$3:$T$1500,17))</f>
        <v>OR OUTREACH</v>
      </c>
      <c r="O222" s="11" t="str">
        <f>IF(VLOOKUP(B222,Towary_i_uslugi!$A$4:$U$1200,21,FALSE)&gt;0,VLOOKUP(B222,Towary_i_uslugi!$A$4:$U$1200,21,FALSE),"")</f>
        <v/>
      </c>
      <c r="P222" s="11" t="e">
        <f t="shared" si="9"/>
        <v>#DIV/0!</v>
      </c>
      <c r="Q222" s="11" t="e">
        <f t="shared" si="10"/>
        <v>#DIV/0!</v>
      </c>
      <c r="R222" s="17" t="e">
        <f t="shared" si="11"/>
        <v>#DIV/0!</v>
      </c>
      <c r="S222" s="17" t="e">
        <f>VLOOKUP($B222,   MBI_LastBuy!$A$3:E$13199,3,FALSE)</f>
        <v>#N/A</v>
      </c>
      <c r="T222" s="13" t="e">
        <f>VLOOKUP($B222,   MBI_LastBuy!$A$3:E$13199,2,FALSE)</f>
        <v>#N/A</v>
      </c>
      <c r="U222" s="13" t="e">
        <f>VLOOKUP($B222,   MBI_LastBuy!$A$3:E$13199,5,FALSE)</f>
        <v>#N/A</v>
      </c>
      <c r="V222" s="15" t="e">
        <f>VLOOKUP($B222,   MBI_LastBuy!$A$3:E$13199,4,FALSE)</f>
        <v>#N/A</v>
      </c>
    </row>
    <row r="223" spans="1:22" x14ac:dyDescent="0.25">
      <c r="A223" s="11" t="s">
        <v>3824</v>
      </c>
      <c r="B223" s="11">
        <v>597040</v>
      </c>
      <c r="C223" s="11" t="str">
        <f>VLOOKUP(B223,Towary_i_uslugi!$A$4:$B$1500,2)</f>
        <v>nowość!!! więcej info dla klienta</v>
      </c>
      <c r="D223" s="11" t="s">
        <v>3635</v>
      </c>
      <c r="E223" s="11">
        <f>VLOOKUP(B223,Towary_i_uslugi!$A$3:$T$1500,3,FALSE)</f>
        <v>0</v>
      </c>
      <c r="F223" s="11" t="str">
        <f>VLOOKUP(B223,Towary_i_uslugi!$A$3:$T$1500,20,FALSE)</f>
        <v>carton box+ sicker</v>
      </c>
      <c r="G223" s="11">
        <f>VLOOKUP(B223,MBI_Dostawcy_towarów!$A$4:$C$1399,3,FALSE)</f>
        <v>20.2</v>
      </c>
      <c r="H223" s="11">
        <v>0</v>
      </c>
      <c r="I223" s="11">
        <v>0</v>
      </c>
      <c r="J223" s="11">
        <v>100</v>
      </c>
      <c r="K223" s="11">
        <f>_xlfn.IFNA(VLOOKUP(B223,Towary_na_zamówieniach!$A$4:$C$1500,2,FALSE),0)</f>
        <v>0</v>
      </c>
      <c r="L223" s="11">
        <f>_xlfn.IFNA(VLOOKUP(B223,Towary_na_zamówieniach!$A$4:$C$1500,3,FALSE),0)</f>
        <v>0</v>
      </c>
      <c r="M223" s="11">
        <f>_xlfn.IFNA(VLOOKUP(B223,MBI_Dostawcy_towarów!$A$4:$C$2000,2,FALSE),"N/A")</f>
        <v>100</v>
      </c>
      <c r="N223" s="11" t="str">
        <f>IF(VLOOKUP(B223,Towary_i_uslugi!$A$3:$T$1500,17,FALSE)=0,"!NO SUPPLIER",VLOOKUP(B223,Towary_i_uslugi!$A$3:$T$1500,17))</f>
        <v>OR OUTREACH</v>
      </c>
      <c r="O223" s="11" t="str">
        <f>IF(VLOOKUP(B223,Towary_i_uslugi!$A$4:$U$1200,21,FALSE)&gt;0,VLOOKUP(B223,Towary_i_uslugi!$A$4:$U$1200,21,FALSE),"")</f>
        <v/>
      </c>
      <c r="P223" s="11" t="e">
        <f t="shared" si="9"/>
        <v>#DIV/0!</v>
      </c>
      <c r="Q223" s="11" t="e">
        <f t="shared" si="10"/>
        <v>#DIV/0!</v>
      </c>
      <c r="R223" s="17" t="e">
        <f t="shared" si="11"/>
        <v>#DIV/0!</v>
      </c>
      <c r="S223" s="17" t="e">
        <f>VLOOKUP($B223,   MBI_LastBuy!$A$3:E$13199,3,FALSE)</f>
        <v>#N/A</v>
      </c>
      <c r="T223" s="13" t="e">
        <f>VLOOKUP($B223,   MBI_LastBuy!$A$3:E$13199,2,FALSE)</f>
        <v>#N/A</v>
      </c>
      <c r="U223" s="13" t="e">
        <f>VLOOKUP($B223,   MBI_LastBuy!$A$3:E$13199,5,FALSE)</f>
        <v>#N/A</v>
      </c>
      <c r="V223" s="15" t="e">
        <f>VLOOKUP($B223,   MBI_LastBuy!$A$3:E$13199,4,FALSE)</f>
        <v>#N/A</v>
      </c>
    </row>
    <row r="224" spans="1:22" x14ac:dyDescent="0.25">
      <c r="A224" s="11" t="s">
        <v>3553</v>
      </c>
      <c r="B224" s="11">
        <v>598130</v>
      </c>
      <c r="C224" s="11" t="str">
        <f>VLOOKUP(B224,Towary_i_uslugi!$A$4:$B$1500,2)</f>
        <v>(brak)</v>
      </c>
      <c r="D224" s="11" t="s">
        <v>2415</v>
      </c>
      <c r="E224" s="11">
        <f>VLOOKUP(B224,Towary_i_uslugi!$A$3:$T$1500,3,FALSE)</f>
        <v>36</v>
      </c>
      <c r="F224" s="11" t="str">
        <f>VLOOKUP(B224,Towary_i_uslugi!$A$3:$T$1500,20,FALSE)</f>
        <v>double blister</v>
      </c>
      <c r="G224" s="11">
        <f>VLOOKUP(B224,MBI_Dostawcy_towarów!$A$4:$C$1399,3,FALSE)</f>
        <v>0.222</v>
      </c>
      <c r="H224" s="11">
        <v>200</v>
      </c>
      <c r="I224" s="11">
        <v>73</v>
      </c>
      <c r="J224" s="11">
        <v>360</v>
      </c>
      <c r="K224" s="11">
        <f>_xlfn.IFNA(VLOOKUP(B224,Towary_na_zamówieniach!$A$4:$C$1500,2,FALSE),0)</f>
        <v>432</v>
      </c>
      <c r="L224" s="11">
        <f>_xlfn.IFNA(VLOOKUP(B224,Towary_na_zamówieniach!$A$4:$C$1500,3,FALSE),0)</f>
        <v>397.44</v>
      </c>
      <c r="M224" s="11">
        <f>_xlfn.IFNA(VLOOKUP(B224,MBI_Dostawcy_towarów!$A$4:$C$2000,2,FALSE),"N/A")</f>
        <v>90</v>
      </c>
      <c r="N224" s="11" t="str">
        <f>IF(VLOOKUP(B224,Towary_i_uslugi!$A$3:$T$1500,17,FALSE)=0,"!NO SUPPLIER",VLOOKUP(B224,Towary_i_uslugi!$A$3:$T$1500,17))</f>
        <v>FX -MAPLE PRZYJĘCIE TOWARU !!!</v>
      </c>
      <c r="O224" s="11" t="str">
        <f>IF(VLOOKUP(B224,Towary_i_uslugi!$A$4:$U$1200,21,FALSE)&gt;0,VLOOKUP(B224,Towary_i_uslugi!$A$4:$U$1200,21,FALSE),"")</f>
        <v/>
      </c>
      <c r="P224" s="11">
        <f t="shared" si="9"/>
        <v>0</v>
      </c>
      <c r="Q224" s="11">
        <f t="shared" si="10"/>
        <v>0</v>
      </c>
      <c r="R224" s="17">
        <f t="shared" si="11"/>
        <v>0</v>
      </c>
      <c r="S224" s="17">
        <f>VLOOKUP($B224,   MBI_LastBuy!$A$3:E$13199,3,FALSE)</f>
        <v>432</v>
      </c>
      <c r="T224" s="13">
        <f>VLOOKUP($B224,   MBI_LastBuy!$A$3:E$13199,2,FALSE)</f>
        <v>0.92</v>
      </c>
      <c r="U224" s="13" t="str">
        <f>VLOOKUP($B224,   MBI_LastBuy!$A$3:E$13199,5,FALSE)</f>
        <v>USD</v>
      </c>
      <c r="V224" s="15">
        <f>VLOOKUP($B224,   MBI_LastBuy!$A$3:E$13199,4,FALSE)</f>
        <v>44095</v>
      </c>
    </row>
    <row r="225" spans="1:22" x14ac:dyDescent="0.25">
      <c r="A225" s="11" t="s">
        <v>3553</v>
      </c>
      <c r="B225" s="11">
        <v>598140</v>
      </c>
      <c r="C225" s="11" t="str">
        <f>VLOOKUP(B225,Towary_i_uslugi!$A$4:$B$1500,2)</f>
        <v>(brak)</v>
      </c>
      <c r="D225" s="11" t="s">
        <v>2828</v>
      </c>
      <c r="E225" s="11">
        <f>VLOOKUP(B225,Towary_i_uslugi!$A$3:$T$1500,3,FALSE)</f>
        <v>48</v>
      </c>
      <c r="F225" s="11" t="str">
        <f>VLOOKUP(B225,Towary_i_uslugi!$A$3:$T$1500,20,FALSE)</f>
        <v>double blister</v>
      </c>
      <c r="G225" s="11">
        <f>VLOOKUP(B225,MBI_Dostawcy_towarów!$A$4:$C$1399,3,FALSE)</f>
        <v>0.32300000000000001</v>
      </c>
      <c r="H225" s="11">
        <v>1</v>
      </c>
      <c r="I225" s="11">
        <v>0</v>
      </c>
      <c r="J225" s="11">
        <v>320</v>
      </c>
      <c r="K225" s="11">
        <f>_xlfn.IFNA(VLOOKUP(B225,Towary_na_zamówieniach!$A$4:$C$1500,2,FALSE),0)</f>
        <v>960</v>
      </c>
      <c r="L225" s="11">
        <f>_xlfn.IFNA(VLOOKUP(B225,Towary_na_zamówieniach!$A$4:$C$1500,3,FALSE),0)</f>
        <v>844.8</v>
      </c>
      <c r="M225" s="11">
        <f>_xlfn.IFNA(VLOOKUP(B225,MBI_Dostawcy_towarów!$A$4:$C$2000,2,FALSE),"N/A")</f>
        <v>90</v>
      </c>
      <c r="N225" s="11" t="str">
        <f>IF(VLOOKUP(B225,Towary_i_uslugi!$A$3:$T$1500,17,FALSE)=0,"!NO SUPPLIER",VLOOKUP(B225,Towary_i_uslugi!$A$3:$T$1500,17))</f>
        <v>FX -MAPLE Frank Xu</v>
      </c>
      <c r="O225" s="11" t="str">
        <f>IF(VLOOKUP(B225,Towary_i_uslugi!$A$4:$U$1200,21,FALSE)&gt;0,VLOOKUP(B225,Towary_i_uslugi!$A$4:$U$1200,21,FALSE),"")</f>
        <v/>
      </c>
      <c r="P225" s="11">
        <f t="shared" si="9"/>
        <v>0</v>
      </c>
      <c r="Q225" s="11">
        <f t="shared" si="10"/>
        <v>0</v>
      </c>
      <c r="R225" s="17">
        <f t="shared" si="11"/>
        <v>0</v>
      </c>
      <c r="S225" s="17">
        <f>VLOOKUP($B225,   MBI_LastBuy!$A$3:E$13199,3,FALSE)</f>
        <v>960</v>
      </c>
      <c r="T225" s="13">
        <f>VLOOKUP($B225,   MBI_LastBuy!$A$3:E$13199,2,FALSE)</f>
        <v>0.88</v>
      </c>
      <c r="U225" s="13" t="str">
        <f>VLOOKUP($B225,   MBI_LastBuy!$A$3:E$13199,5,FALSE)</f>
        <v>USD</v>
      </c>
      <c r="V225" s="15">
        <f>VLOOKUP($B225,   MBI_LastBuy!$A$3:E$13199,4,FALSE)</f>
        <v>44091</v>
      </c>
    </row>
    <row r="226" spans="1:22" x14ac:dyDescent="0.25">
      <c r="A226" s="11" t="s">
        <v>3553</v>
      </c>
      <c r="B226" s="11">
        <v>598240</v>
      </c>
      <c r="C226" s="11" t="str">
        <f>VLOOKUP(B226,Towary_i_uslugi!$A$4:$B$1500,2)</f>
        <v>(brak)</v>
      </c>
      <c r="D226" s="11" t="s">
        <v>2626</v>
      </c>
      <c r="E226" s="11">
        <f>VLOOKUP(B226,Towary_i_uslugi!$A$3:$T$1500,3,FALSE)</f>
        <v>60</v>
      </c>
      <c r="F226" s="11" t="str">
        <f>VLOOKUP(B226,Towary_i_uslugi!$A$3:$T$1500,20,FALSE)</f>
        <v>skin card</v>
      </c>
      <c r="G226" s="11">
        <f>VLOOKUP(B226,MBI_Dostawcy_towarów!$A$4:$C$1399,3,FALSE)</f>
        <v>7.0000000000000007E-2</v>
      </c>
      <c r="H226" s="11">
        <v>611</v>
      </c>
      <c r="I226" s="11">
        <v>60</v>
      </c>
      <c r="J226" s="11">
        <v>1500</v>
      </c>
      <c r="K226" s="11">
        <f>_xlfn.IFNA(VLOOKUP(B226,Towary_na_zamówieniach!$A$4:$C$1500,2,FALSE),0)</f>
        <v>1800</v>
      </c>
      <c r="L226" s="11">
        <f>_xlfn.IFNA(VLOOKUP(B226,Towary_na_zamówieniach!$A$4:$C$1500,3,FALSE),0)</f>
        <v>1062</v>
      </c>
      <c r="M226" s="11">
        <f>_xlfn.IFNA(VLOOKUP(B226,MBI_Dostawcy_towarów!$A$4:$C$2000,2,FALSE),"N/A")</f>
        <v>90</v>
      </c>
      <c r="N226" s="11" t="str">
        <f>IF(VLOOKUP(B226,Towary_i_uslugi!$A$3:$T$1500,17,FALSE)=0,"!NO SUPPLIER",VLOOKUP(B226,Towary_i_uslugi!$A$3:$T$1500,17))</f>
        <v>FX -MAPLE Frank Xu</v>
      </c>
      <c r="O226" s="11" t="str">
        <f>IF(VLOOKUP(B226,Towary_i_uslugi!$A$4:$U$1200,21,FALSE)&gt;0,VLOOKUP(B226,Towary_i_uslugi!$A$4:$U$1200,21,FALSE),"")</f>
        <v>*MBI*24.9.2020* new packing slide card</v>
      </c>
      <c r="P226" s="11">
        <f t="shared" si="9"/>
        <v>0</v>
      </c>
      <c r="Q226" s="11">
        <f t="shared" si="10"/>
        <v>0</v>
      </c>
      <c r="R226" s="17">
        <f t="shared" si="11"/>
        <v>0</v>
      </c>
      <c r="S226" s="17">
        <f>VLOOKUP($B226,   MBI_LastBuy!$A$3:E$13199,3,FALSE)</f>
        <v>1800</v>
      </c>
      <c r="T226" s="13">
        <f>VLOOKUP($B226,   MBI_LastBuy!$A$3:E$13199,2,FALSE)</f>
        <v>0.59</v>
      </c>
      <c r="U226" s="13" t="str">
        <f>VLOOKUP($B226,   MBI_LastBuy!$A$3:E$13199,5,FALSE)</f>
        <v>USD</v>
      </c>
      <c r="V226" s="15">
        <f>VLOOKUP($B226,   MBI_LastBuy!$A$3:E$13199,4,FALSE)</f>
        <v>44098</v>
      </c>
    </row>
    <row r="227" spans="1:22" x14ac:dyDescent="0.25">
      <c r="A227" s="11" t="s">
        <v>3555</v>
      </c>
      <c r="B227" s="11">
        <v>598262</v>
      </c>
      <c r="C227" s="11" t="str">
        <f>VLOOKUP(B227,Towary_i_uslugi!$A$4:$B$1500,2)</f>
        <v>(brak)</v>
      </c>
      <c r="D227" s="11" t="s">
        <v>3636</v>
      </c>
      <c r="E227" s="11">
        <f>VLOOKUP(B227,Towary_i_uslugi!$A$3:$T$1500,3,FALSE)</f>
        <v>144</v>
      </c>
      <c r="F227" s="11" t="str">
        <f>VLOOKUP(B227,Towary_i_uslugi!$A$3:$T$1500,20,FALSE)</f>
        <v>PVC re-open bag w/header</v>
      </c>
      <c r="G227" s="11">
        <f>VLOOKUP(B227,MBI_Dostawcy_towarów!$A$4:$C$1399,3,FALSE)</f>
        <v>3.5000000000000003E-2</v>
      </c>
      <c r="H227" s="11">
        <v>709</v>
      </c>
      <c r="I227" s="11">
        <v>72</v>
      </c>
      <c r="J227" s="11">
        <v>1300</v>
      </c>
      <c r="K227" s="11">
        <f>_xlfn.IFNA(VLOOKUP(B227,Towary_na_zamówieniach!$A$4:$C$1500,2,FALSE),0)</f>
        <v>1440</v>
      </c>
      <c r="L227" s="11">
        <f>_xlfn.IFNA(VLOOKUP(B227,Towary_na_zamówieniach!$A$4:$C$1500,3,FALSE),0)</f>
        <v>424.8</v>
      </c>
      <c r="M227" s="11">
        <f>_xlfn.IFNA(VLOOKUP(B227,MBI_Dostawcy_towarów!$A$4:$C$2000,2,FALSE),"N/A")</f>
        <v>90</v>
      </c>
      <c r="N227" s="11" t="str">
        <f>IF(VLOOKUP(B227,Towary_i_uslugi!$A$3:$T$1500,17,FALSE)=0,"!NO SUPPLIER",VLOOKUP(B227,Towary_i_uslugi!$A$3:$T$1500,17))</f>
        <v xml:space="preserve">HQ - Canada </v>
      </c>
      <c r="O227" s="11" t="str">
        <f>IF(VLOOKUP(B227,Towary_i_uslugi!$A$4:$U$1200,21,FALSE)&gt;0,VLOOKUP(B227,Towary_i_uslugi!$A$4:$U$1200,21,FALSE),"")</f>
        <v/>
      </c>
      <c r="P227" s="11">
        <f t="shared" si="9"/>
        <v>0</v>
      </c>
      <c r="Q227" s="11">
        <f t="shared" si="10"/>
        <v>0</v>
      </c>
      <c r="R227" s="17">
        <f t="shared" si="11"/>
        <v>0</v>
      </c>
      <c r="S227" s="17">
        <f>VLOOKUP($B227,   MBI_LastBuy!$A$3:E$13199,3,FALSE)</f>
        <v>1440</v>
      </c>
      <c r="T227" s="13">
        <f>VLOOKUP($B227,   MBI_LastBuy!$A$3:E$13199,2,FALSE)</f>
        <v>0.29499999999999998</v>
      </c>
      <c r="U227" s="13" t="str">
        <f>VLOOKUP($B227,   MBI_LastBuy!$A$3:E$13199,5,FALSE)</f>
        <v>USD</v>
      </c>
      <c r="V227" s="15">
        <f>VLOOKUP($B227,   MBI_LastBuy!$A$3:E$13199,4,FALSE)</f>
        <v>44113</v>
      </c>
    </row>
    <row r="228" spans="1:22" x14ac:dyDescent="0.25">
      <c r="A228" s="11" t="s">
        <v>3555</v>
      </c>
      <c r="B228" s="11">
        <v>598272</v>
      </c>
      <c r="C228" s="11" t="str">
        <f>VLOOKUP(B228,Towary_i_uslugi!$A$4:$B$1500,2)</f>
        <v>(brak)</v>
      </c>
      <c r="D228" s="11" t="s">
        <v>3637</v>
      </c>
      <c r="E228" s="11">
        <f>VLOOKUP(B228,Towary_i_uslugi!$A$3:$T$1500,3,FALSE)</f>
        <v>144</v>
      </c>
      <c r="F228" s="11" t="str">
        <f>VLOOKUP(B228,Towary_i_uslugi!$A$3:$T$1500,20,FALSE)</f>
        <v>PVC re-open bag w/header</v>
      </c>
      <c r="G228" s="11">
        <f>VLOOKUP(B228,MBI_Dostawcy_towarów!$A$4:$C$1399,3,FALSE)</f>
        <v>2.8000000000000001E-2</v>
      </c>
      <c r="H228" s="11">
        <v>646</v>
      </c>
      <c r="I228" s="11">
        <v>72</v>
      </c>
      <c r="J228" s="11">
        <v>1000</v>
      </c>
      <c r="K228" s="11">
        <f>_xlfn.IFNA(VLOOKUP(B228,Towary_na_zamówieniach!$A$4:$C$1500,2,FALSE),0)</f>
        <v>1152</v>
      </c>
      <c r="L228" s="11">
        <f>_xlfn.IFNA(VLOOKUP(B228,Towary_na_zamówieniach!$A$4:$C$1500,3,FALSE),0)</f>
        <v>339.84</v>
      </c>
      <c r="M228" s="11">
        <f>_xlfn.IFNA(VLOOKUP(B228,MBI_Dostawcy_towarów!$A$4:$C$2000,2,FALSE),"N/A")</f>
        <v>90</v>
      </c>
      <c r="N228" s="11" t="str">
        <f>IF(VLOOKUP(B228,Towary_i_uslugi!$A$3:$T$1500,17,FALSE)=0,"!NO SUPPLIER",VLOOKUP(B228,Towary_i_uslugi!$A$3:$T$1500,17))</f>
        <v xml:space="preserve">HQ - Canada </v>
      </c>
      <c r="O228" s="11" t="str">
        <f>IF(VLOOKUP(B228,Towary_i_uslugi!$A$4:$U$1200,21,FALSE)&gt;0,VLOOKUP(B228,Towary_i_uslugi!$A$4:$U$1200,21,FALSE),"")</f>
        <v/>
      </c>
      <c r="P228" s="11">
        <f t="shared" si="9"/>
        <v>0</v>
      </c>
      <c r="Q228" s="11">
        <f t="shared" si="10"/>
        <v>0</v>
      </c>
      <c r="R228" s="17">
        <f t="shared" si="11"/>
        <v>0</v>
      </c>
      <c r="S228" s="17">
        <f>VLOOKUP($B228,   MBI_LastBuy!$A$3:E$13199,3,FALSE)</f>
        <v>1152</v>
      </c>
      <c r="T228" s="13">
        <f>VLOOKUP($B228,   MBI_LastBuy!$A$3:E$13199,2,FALSE)</f>
        <v>0.29499999999999998</v>
      </c>
      <c r="U228" s="13" t="str">
        <f>VLOOKUP($B228,   MBI_LastBuy!$A$3:E$13199,5,FALSE)</f>
        <v>USD</v>
      </c>
      <c r="V228" s="15">
        <f>VLOOKUP($B228,   MBI_LastBuy!$A$3:E$13199,4,FALSE)</f>
        <v>44113</v>
      </c>
    </row>
    <row r="229" spans="1:22" x14ac:dyDescent="0.25">
      <c r="A229" s="11" t="s">
        <v>3555</v>
      </c>
      <c r="B229" s="11">
        <v>598274</v>
      </c>
      <c r="C229" s="11" t="str">
        <f>VLOOKUP(B229,Towary_i_uslugi!$A$4:$B$1500,2)</f>
        <v>(brak)</v>
      </c>
      <c r="D229" s="11" t="s">
        <v>3638</v>
      </c>
      <c r="E229" s="11">
        <f>VLOOKUP(B229,Towary_i_uslugi!$A$3:$T$1500,3,FALSE)</f>
        <v>144</v>
      </c>
      <c r="F229" s="11" t="str">
        <f>VLOOKUP(B229,Towary_i_uslugi!$A$3:$T$1500,20,FALSE)</f>
        <v>PVC re-open bag w/header</v>
      </c>
      <c r="G229" s="11">
        <f>VLOOKUP(B229,MBI_Dostawcy_towarów!$A$4:$C$1399,3,FALSE)</f>
        <v>3.1E-2</v>
      </c>
      <c r="H229" s="11">
        <v>775</v>
      </c>
      <c r="I229" s="11">
        <v>72</v>
      </c>
      <c r="J229" s="11">
        <v>1152</v>
      </c>
      <c r="K229" s="11">
        <f>_xlfn.IFNA(VLOOKUP(B229,Towary_na_zamówieniach!$A$4:$C$1500,2,FALSE),0)</f>
        <v>1440</v>
      </c>
      <c r="L229" s="11">
        <f>_xlfn.IFNA(VLOOKUP(B229,Towary_na_zamówieniach!$A$4:$C$1500,3,FALSE),0)</f>
        <v>424.8</v>
      </c>
      <c r="M229" s="11">
        <f>_xlfn.IFNA(VLOOKUP(B229,MBI_Dostawcy_towarów!$A$4:$C$2000,2,FALSE),"N/A")</f>
        <v>90</v>
      </c>
      <c r="N229" s="11" t="str">
        <f>IF(VLOOKUP(B229,Towary_i_uslugi!$A$3:$T$1500,17,FALSE)=0,"!NO SUPPLIER",VLOOKUP(B229,Towary_i_uslugi!$A$3:$T$1500,17))</f>
        <v xml:space="preserve">HQ - Canada </v>
      </c>
      <c r="O229" s="11" t="str">
        <f>IF(VLOOKUP(B229,Towary_i_uslugi!$A$4:$U$1200,21,FALSE)&gt;0,VLOOKUP(B229,Towary_i_uslugi!$A$4:$U$1200,21,FALSE),"")</f>
        <v/>
      </c>
      <c r="P229" s="11">
        <f t="shared" si="9"/>
        <v>0</v>
      </c>
      <c r="Q229" s="11">
        <f t="shared" si="10"/>
        <v>0</v>
      </c>
      <c r="R229" s="17">
        <f t="shared" si="11"/>
        <v>0</v>
      </c>
      <c r="S229" s="17">
        <f>VLOOKUP($B229,   MBI_LastBuy!$A$3:E$13199,3,FALSE)</f>
        <v>1440</v>
      </c>
      <c r="T229" s="13">
        <f>VLOOKUP($B229,   MBI_LastBuy!$A$3:E$13199,2,FALSE)</f>
        <v>0.29499999999999998</v>
      </c>
      <c r="U229" s="13" t="str">
        <f>VLOOKUP($B229,   MBI_LastBuy!$A$3:E$13199,5,FALSE)</f>
        <v>USD</v>
      </c>
      <c r="V229" s="15">
        <f>VLOOKUP($B229,   MBI_LastBuy!$A$3:E$13199,4,FALSE)</f>
        <v>44113</v>
      </c>
    </row>
    <row r="230" spans="1:22" x14ac:dyDescent="0.25">
      <c r="A230" s="11" t="s">
        <v>3555</v>
      </c>
      <c r="B230" s="11">
        <v>598281</v>
      </c>
      <c r="C230" s="11" t="str">
        <f>VLOOKUP(B230,Towary_i_uslugi!$A$4:$B$1500,2)</f>
        <v>(brak)</v>
      </c>
      <c r="D230" s="11" t="s">
        <v>3639</v>
      </c>
      <c r="E230" s="11">
        <f>VLOOKUP(B230,Towary_i_uslugi!$A$3:$T$1500,3,FALSE)</f>
        <v>72</v>
      </c>
      <c r="F230" s="11" t="str">
        <f>VLOOKUP(B230,Towary_i_uslugi!$A$3:$T$1500,20,FALSE)</f>
        <v>skin card</v>
      </c>
      <c r="G230" s="11">
        <f>VLOOKUP(B230,MBI_Dostawcy_towarów!$A$4:$C$1399,3,FALSE)</f>
        <v>7.5999999999999998E-2</v>
      </c>
      <c r="H230" s="11">
        <v>142</v>
      </c>
      <c r="I230" s="11">
        <v>84</v>
      </c>
      <c r="J230" s="11">
        <v>360</v>
      </c>
      <c r="K230" s="11">
        <f>_xlfn.IFNA(VLOOKUP(B230,Towary_na_zamówieniach!$A$4:$C$1500,2,FALSE),0)</f>
        <v>432</v>
      </c>
      <c r="L230" s="11">
        <f>_xlfn.IFNA(VLOOKUP(B230,Towary_na_zamówieniach!$A$4:$C$1500,3,FALSE),0)</f>
        <v>192.67</v>
      </c>
      <c r="M230" s="11">
        <f>_xlfn.IFNA(VLOOKUP(B230,MBI_Dostawcy_towarów!$A$4:$C$2000,2,FALSE),"N/A")</f>
        <v>90</v>
      </c>
      <c r="N230" s="11" t="str">
        <f>IF(VLOOKUP(B230,Towary_i_uslugi!$A$3:$T$1500,17,FALSE)=0,"!NO SUPPLIER",VLOOKUP(B230,Towary_i_uslugi!$A$3:$T$1500,17))</f>
        <v xml:space="preserve">HQ - Canada </v>
      </c>
      <c r="O230" s="11" t="str">
        <f>IF(VLOOKUP(B230,Towary_i_uslugi!$A$4:$U$1200,21,FALSE)&gt;0,VLOOKUP(B230,Towary_i_uslugi!$A$4:$U$1200,21,FALSE),"")</f>
        <v/>
      </c>
      <c r="P230" s="11">
        <f t="shared" si="9"/>
        <v>0</v>
      </c>
      <c r="Q230" s="11">
        <f t="shared" si="10"/>
        <v>0</v>
      </c>
      <c r="R230" s="17">
        <f t="shared" si="11"/>
        <v>0</v>
      </c>
      <c r="S230" s="17">
        <f>VLOOKUP($B230,   MBI_LastBuy!$A$3:E$13199,3,FALSE)</f>
        <v>432</v>
      </c>
      <c r="T230" s="13">
        <f>VLOOKUP($B230,   MBI_LastBuy!$A$3:E$13199,2,FALSE)</f>
        <v>0.44600000000000001</v>
      </c>
      <c r="U230" s="13" t="str">
        <f>VLOOKUP($B230,   MBI_LastBuy!$A$3:E$13199,5,FALSE)</f>
        <v>USD</v>
      </c>
      <c r="V230" s="15">
        <f>VLOOKUP($B230,   MBI_LastBuy!$A$3:E$13199,4,FALSE)</f>
        <v>44113</v>
      </c>
    </row>
    <row r="231" spans="1:22" x14ac:dyDescent="0.25">
      <c r="A231" s="11" t="s">
        <v>3555</v>
      </c>
      <c r="B231" s="11">
        <v>598282</v>
      </c>
      <c r="C231" s="11" t="str">
        <f>VLOOKUP(B231,Towary_i_uslugi!$A$4:$B$1500,2)</f>
        <v>(brak)</v>
      </c>
      <c r="D231" s="11" t="s">
        <v>2829</v>
      </c>
      <c r="E231" s="11">
        <f>VLOOKUP(B231,Towary_i_uslugi!$A$3:$T$1500,3,FALSE)</f>
        <v>72</v>
      </c>
      <c r="F231" s="11" t="str">
        <f>VLOOKUP(B231,Towary_i_uslugi!$A$3:$T$1500,20,FALSE)</f>
        <v>skin card</v>
      </c>
      <c r="G231" s="11">
        <f>VLOOKUP(B231,MBI_Dostawcy_towarów!$A$4:$C$1399,3,FALSE)</f>
        <v>7.0000000000000007E-2</v>
      </c>
      <c r="H231" s="11">
        <v>1</v>
      </c>
      <c r="I231" s="11">
        <v>0</v>
      </c>
      <c r="J231" s="11">
        <v>400</v>
      </c>
      <c r="K231" s="11">
        <f>_xlfn.IFNA(VLOOKUP(B231,Towary_na_zamówieniach!$A$4:$C$1500,2,FALSE),0)</f>
        <v>432</v>
      </c>
      <c r="L231" s="11">
        <f>_xlfn.IFNA(VLOOKUP(B231,Towary_na_zamówieniach!$A$4:$C$1500,3,FALSE),0)</f>
        <v>192.67</v>
      </c>
      <c r="M231" s="11">
        <f>_xlfn.IFNA(VLOOKUP(B231,MBI_Dostawcy_towarów!$A$4:$C$2000,2,FALSE),"N/A")</f>
        <v>90</v>
      </c>
      <c r="N231" s="11" t="str">
        <f>IF(VLOOKUP(B231,Towary_i_uslugi!$A$3:$T$1500,17,FALSE)=0,"!NO SUPPLIER",VLOOKUP(B231,Towary_i_uslugi!$A$3:$T$1500,17))</f>
        <v xml:space="preserve">HQ - Canada </v>
      </c>
      <c r="O231" s="11" t="str">
        <f>IF(VLOOKUP(B231,Towary_i_uslugi!$A$4:$U$1200,21,FALSE)&gt;0,VLOOKUP(B231,Towary_i_uslugi!$A$4:$U$1200,21,FALSE),"")</f>
        <v/>
      </c>
      <c r="P231" s="11">
        <f t="shared" si="9"/>
        <v>0</v>
      </c>
      <c r="Q231" s="11">
        <f t="shared" si="10"/>
        <v>0</v>
      </c>
      <c r="R231" s="17">
        <f t="shared" si="11"/>
        <v>0</v>
      </c>
      <c r="S231" s="17">
        <f>VLOOKUP($B231,   MBI_LastBuy!$A$3:E$13199,3,FALSE)</f>
        <v>432</v>
      </c>
      <c r="T231" s="13">
        <f>VLOOKUP($B231,   MBI_LastBuy!$A$3:E$13199,2,FALSE)</f>
        <v>0.44600000000000001</v>
      </c>
      <c r="U231" s="13" t="str">
        <f>VLOOKUP($B231,   MBI_LastBuy!$A$3:E$13199,5,FALSE)</f>
        <v>USD</v>
      </c>
      <c r="V231" s="15">
        <f>VLOOKUP($B231,   MBI_LastBuy!$A$3:E$13199,4,FALSE)</f>
        <v>44095</v>
      </c>
    </row>
    <row r="232" spans="1:22" x14ac:dyDescent="0.25">
      <c r="A232" s="11" t="s">
        <v>3552</v>
      </c>
      <c r="B232" s="11">
        <v>600030</v>
      </c>
      <c r="C232" s="11" t="str">
        <f>VLOOKUP(B232,Towary_i_uslugi!$A$4:$B$1500,2)</f>
        <v>(brak)</v>
      </c>
      <c r="D232" s="11" t="s">
        <v>2830</v>
      </c>
      <c r="E232" s="11">
        <f>VLOOKUP(B232,Towary_i_uslugi!$A$3:$T$1500,3,FALSE)</f>
        <v>120</v>
      </c>
      <c r="F232" s="11" t="str">
        <f>VLOOKUP(B232,Towary_i_uslugi!$A$3:$T$1500,20,FALSE)</f>
        <v>skin card</v>
      </c>
      <c r="G232" s="11">
        <f>VLOOKUP(B232,MBI_Dostawcy_towarów!$A$4:$C$1399,3,FALSE)</f>
        <v>7.8E-2</v>
      </c>
      <c r="H232" s="11">
        <v>1</v>
      </c>
      <c r="I232" s="11">
        <v>0</v>
      </c>
      <c r="J232" s="11">
        <v>360</v>
      </c>
      <c r="K232" s="11">
        <f>_xlfn.IFNA(VLOOKUP(B232,Towary_na_zamówieniach!$A$4:$C$1500,2,FALSE),0)</f>
        <v>1920</v>
      </c>
      <c r="L232" s="11">
        <f>_xlfn.IFNA(VLOOKUP(B232,Towary_na_zamówieniach!$A$4:$C$1500,3,FALSE),0)</f>
        <v>614.4</v>
      </c>
      <c r="M232" s="11">
        <f>_xlfn.IFNA(VLOOKUP(B232,MBI_Dostawcy_towarów!$A$4:$C$2000,2,FALSE),"N/A")</f>
        <v>90</v>
      </c>
      <c r="N232" s="11" t="str">
        <f>IF(VLOOKUP(B232,Towary_i_uslugi!$A$3:$T$1500,17,FALSE)=0,"!NO SUPPLIER",VLOOKUP(B232,Towary_i_uslugi!$A$3:$T$1500,17))</f>
        <v>XM - PRZYJĘCIE TOWARU !!!</v>
      </c>
      <c r="O232" s="11" t="str">
        <f>IF(VLOOKUP(B232,Towary_i_uslugi!$A$4:$U$1200,21,FALSE)&gt;0,VLOOKUP(B232,Towary_i_uslugi!$A$4:$U$1200,21,FALSE),"")</f>
        <v/>
      </c>
      <c r="P232" s="11">
        <f t="shared" si="9"/>
        <v>0</v>
      </c>
      <c r="Q232" s="11">
        <f t="shared" si="10"/>
        <v>0</v>
      </c>
      <c r="R232" s="17">
        <f t="shared" si="11"/>
        <v>0</v>
      </c>
      <c r="S232" s="17">
        <f>VLOOKUP($B232,   MBI_LastBuy!$A$3:E$13199,3,FALSE)</f>
        <v>1920</v>
      </c>
      <c r="T232" s="13">
        <f>VLOOKUP($B232,   MBI_LastBuy!$A$3:E$13199,2,FALSE)</f>
        <v>0.32</v>
      </c>
      <c r="U232" s="13" t="str">
        <f>VLOOKUP($B232,   MBI_LastBuy!$A$3:E$13199,5,FALSE)</f>
        <v>USD</v>
      </c>
      <c r="V232" s="15">
        <f>VLOOKUP($B232,   MBI_LastBuy!$A$3:E$13199,4,FALSE)</f>
        <v>44068</v>
      </c>
    </row>
    <row r="233" spans="1:22" x14ac:dyDescent="0.25">
      <c r="A233" s="11" t="s">
        <v>3552</v>
      </c>
      <c r="B233" s="11">
        <v>600031</v>
      </c>
      <c r="C233" s="11" t="str">
        <f>VLOOKUP(B233,Towary_i_uslugi!$A$4:$B$1500,2)</f>
        <v>nowość!!! więcej info dla klienta</v>
      </c>
      <c r="D233" s="11" t="s">
        <v>2831</v>
      </c>
      <c r="E233" s="11">
        <f>VLOOKUP(B233,Towary_i_uslugi!$A$3:$T$1500,3,FALSE)</f>
        <v>120</v>
      </c>
      <c r="F233" s="11" t="str">
        <f>VLOOKUP(B233,Towary_i_uslugi!$A$3:$T$1500,20,FALSE)</f>
        <v>skin card</v>
      </c>
      <c r="G233" s="11">
        <f>VLOOKUP(B233,MBI_Dostawcy_towarów!$A$4:$C$1399,3,FALSE)</f>
        <v>7.8E-2</v>
      </c>
      <c r="H233" s="11">
        <v>0</v>
      </c>
      <c r="I233" s="11">
        <v>0</v>
      </c>
      <c r="J233" s="11">
        <v>360</v>
      </c>
      <c r="K233" s="11">
        <f>_xlfn.IFNA(VLOOKUP(B233,Towary_na_zamówieniach!$A$4:$C$1500,2,FALSE),0)</f>
        <v>600</v>
      </c>
      <c r="L233" s="11">
        <f>_xlfn.IFNA(VLOOKUP(B233,Towary_na_zamówieniach!$A$4:$C$1500,3,FALSE),0)</f>
        <v>288</v>
      </c>
      <c r="M233" s="11">
        <f>_xlfn.IFNA(VLOOKUP(B233,MBI_Dostawcy_towarów!$A$4:$C$2000,2,FALSE),"N/A")</f>
        <v>90</v>
      </c>
      <c r="N233" s="11" t="str">
        <f>IF(VLOOKUP(B233,Towary_i_uslugi!$A$3:$T$1500,17,FALSE)=0,"!NO SUPPLIER",VLOOKUP(B233,Towary_i_uslugi!$A$3:$T$1500,17))</f>
        <v>XM - PRZYJĘCIE TOWARU !!!</v>
      </c>
      <c r="O233" s="11" t="str">
        <f>IF(VLOOKUP(B233,Towary_i_uslugi!$A$4:$U$1200,21,FALSE)&gt;0,VLOOKUP(B233,Towary_i_uslugi!$A$4:$U$1200,21,FALSE),"")</f>
        <v/>
      </c>
      <c r="P233" s="11">
        <f t="shared" si="9"/>
        <v>0</v>
      </c>
      <c r="Q233" s="11">
        <f t="shared" si="10"/>
        <v>0</v>
      </c>
      <c r="R233" s="17">
        <f t="shared" si="11"/>
        <v>0</v>
      </c>
      <c r="S233" s="17">
        <f>VLOOKUP($B233,   MBI_LastBuy!$A$3:E$13199,3,FALSE)</f>
        <v>600</v>
      </c>
      <c r="T233" s="13">
        <f>VLOOKUP($B233,   MBI_LastBuy!$A$3:E$13199,2,FALSE)</f>
        <v>0.48</v>
      </c>
      <c r="U233" s="13" t="str">
        <f>VLOOKUP($B233,   MBI_LastBuy!$A$3:E$13199,5,FALSE)</f>
        <v>USD</v>
      </c>
      <c r="V233" s="15">
        <f>VLOOKUP($B233,   MBI_LastBuy!$A$3:E$13199,4,FALSE)</f>
        <v>44068</v>
      </c>
    </row>
    <row r="234" spans="1:22" x14ac:dyDescent="0.25">
      <c r="A234" s="11" t="s">
        <v>3552</v>
      </c>
      <c r="B234" s="11">
        <v>600032</v>
      </c>
      <c r="C234" s="11" t="str">
        <f>VLOOKUP(B234,Towary_i_uslugi!$A$4:$B$1500,2)</f>
        <v>(brak)</v>
      </c>
      <c r="D234" s="11" t="s">
        <v>2832</v>
      </c>
      <c r="E234" s="11">
        <f>VLOOKUP(B234,Towary_i_uslugi!$A$3:$T$1500,3,FALSE)</f>
        <v>100</v>
      </c>
      <c r="F234" s="11" t="str">
        <f>VLOOKUP(B234,Towary_i_uslugi!$A$3:$T$1500,20,FALSE)</f>
        <v>polybag</v>
      </c>
      <c r="G234" s="11">
        <f>VLOOKUP(B234,MBI_Dostawcy_towarów!$A$4:$C$1399,3,FALSE)</f>
        <v>0.24199999999999999</v>
      </c>
      <c r="H234" s="11">
        <v>1</v>
      </c>
      <c r="I234" s="11">
        <v>0</v>
      </c>
      <c r="J234" s="11">
        <v>240</v>
      </c>
      <c r="K234" s="11">
        <f>_xlfn.IFNA(VLOOKUP(B234,Towary_na_zamówieniach!$A$4:$C$1500,2,FALSE),0)</f>
        <v>2420</v>
      </c>
      <c r="L234" s="11">
        <f>_xlfn.IFNA(VLOOKUP(B234,Towary_na_zamówieniach!$A$4:$C$1500,3,FALSE),0)</f>
        <v>2332</v>
      </c>
      <c r="M234" s="11">
        <f>_xlfn.IFNA(VLOOKUP(B234,MBI_Dostawcy_towarów!$A$4:$C$2000,2,FALSE),"N/A")</f>
        <v>90</v>
      </c>
      <c r="N234" s="11" t="str">
        <f>IF(VLOOKUP(B234,Towary_i_uslugi!$A$3:$T$1500,17,FALSE)=0,"!NO SUPPLIER",VLOOKUP(B234,Towary_i_uslugi!$A$3:$T$1500,17))</f>
        <v>XM - PRZYJĘCIE TOWARU !!!</v>
      </c>
      <c r="O234" s="11" t="str">
        <f>IF(VLOOKUP(B234,Towary_i_uslugi!$A$4:$U$1200,21,FALSE)&gt;0,VLOOKUP(B234,Towary_i_uslugi!$A$4:$U$1200,21,FALSE),"")</f>
        <v/>
      </c>
      <c r="P234" s="11">
        <f t="shared" si="9"/>
        <v>0</v>
      </c>
      <c r="Q234" s="11">
        <f t="shared" si="10"/>
        <v>0</v>
      </c>
      <c r="R234" s="17">
        <f t="shared" si="11"/>
        <v>0</v>
      </c>
      <c r="S234" s="17">
        <f>VLOOKUP($B234,   MBI_LastBuy!$A$3:E$13199,3,FALSE)</f>
        <v>1920</v>
      </c>
      <c r="T234" s="13">
        <f>VLOOKUP($B234,   MBI_LastBuy!$A$3:E$13199,2,FALSE)</f>
        <v>0.85</v>
      </c>
      <c r="U234" s="13" t="str">
        <f>VLOOKUP($B234,   MBI_LastBuy!$A$3:E$13199,5,FALSE)</f>
        <v>USD</v>
      </c>
      <c r="V234" s="15">
        <f>VLOOKUP($B234,   MBI_LastBuy!$A$3:E$13199,4,FALSE)</f>
        <v>44068</v>
      </c>
    </row>
    <row r="235" spans="1:22" x14ac:dyDescent="0.25">
      <c r="A235" s="11" t="s">
        <v>3552</v>
      </c>
      <c r="B235" s="11">
        <v>600110</v>
      </c>
      <c r="C235" s="11" t="str">
        <f>VLOOKUP(B235,Towary_i_uslugi!$A$4:$B$1500,2)</f>
        <v>(brak)</v>
      </c>
      <c r="D235" s="11" t="s">
        <v>3640</v>
      </c>
      <c r="E235" s="11">
        <f>VLOOKUP(B235,Towary_i_uslugi!$A$3:$T$1500,3,FALSE)</f>
        <v>240</v>
      </c>
      <c r="F235" s="11" t="str">
        <f>VLOOKUP(B235,Towary_i_uslugi!$A$3:$T$1500,20,FALSE)</f>
        <v>carton box+sticker</v>
      </c>
      <c r="G235" s="11">
        <f>VLOOKUP(B235,MBI_Dostawcy_towarów!$A$4:$C$1399,3,FALSE)</f>
        <v>0.106</v>
      </c>
      <c r="H235" s="11">
        <v>395</v>
      </c>
      <c r="I235" s="11">
        <v>36</v>
      </c>
      <c r="J235" s="11">
        <v>420</v>
      </c>
      <c r="K235" s="11">
        <f>_xlfn.IFNA(VLOOKUP(B235,Towary_na_zamówieniach!$A$4:$C$1500,2,FALSE),0)</f>
        <v>1200</v>
      </c>
      <c r="L235" s="11">
        <f>_xlfn.IFNA(VLOOKUP(B235,Towary_na_zamówieniach!$A$4:$C$1500,3,FALSE),0)</f>
        <v>900</v>
      </c>
      <c r="M235" s="11">
        <f>_xlfn.IFNA(VLOOKUP(B235,MBI_Dostawcy_towarów!$A$4:$C$2000,2,FALSE),"N/A")</f>
        <v>90</v>
      </c>
      <c r="N235" s="11" t="str">
        <f>IF(VLOOKUP(B235,Towary_i_uslugi!$A$3:$T$1500,17,FALSE)=0,"!NO SUPPLIER",VLOOKUP(B235,Towary_i_uslugi!$A$3:$T$1500,17))</f>
        <v>XM</v>
      </c>
      <c r="O235" s="11" t="str">
        <f>IF(VLOOKUP(B235,Towary_i_uslugi!$A$4:$U$1200,21,FALSE)&gt;0,VLOOKUP(B235,Towary_i_uslugi!$A$4:$U$1200,21,FALSE),"")</f>
        <v/>
      </c>
      <c r="P235" s="11">
        <f t="shared" si="9"/>
        <v>0</v>
      </c>
      <c r="Q235" s="11">
        <f t="shared" si="10"/>
        <v>0</v>
      </c>
      <c r="R235" s="17">
        <f t="shared" si="11"/>
        <v>0</v>
      </c>
      <c r="S235" s="17">
        <f>VLOOKUP($B235,   MBI_LastBuy!$A$3:E$13199,3,FALSE)</f>
        <v>1200</v>
      </c>
      <c r="T235" s="13">
        <f>VLOOKUP($B235,   MBI_LastBuy!$A$3:E$13199,2,FALSE)</f>
        <v>0.75</v>
      </c>
      <c r="U235" s="13" t="str">
        <f>VLOOKUP($B235,   MBI_LastBuy!$A$3:E$13199,5,FALSE)</f>
        <v>USD</v>
      </c>
      <c r="V235" s="15">
        <f>VLOOKUP($B235,   MBI_LastBuy!$A$3:E$13199,4,FALSE)</f>
        <v>44125</v>
      </c>
    </row>
    <row r="236" spans="1:22" x14ac:dyDescent="0.25">
      <c r="A236" s="11" t="s">
        <v>3552</v>
      </c>
      <c r="B236" s="11">
        <v>600401</v>
      </c>
      <c r="C236" s="11" t="str">
        <f>VLOOKUP(B236,Towary_i_uslugi!$A$4:$B$1500,2)</f>
        <v>(brak)</v>
      </c>
      <c r="D236" s="11" t="s">
        <v>2684</v>
      </c>
      <c r="E236" s="11">
        <f>VLOOKUP(B236,Towary_i_uslugi!$A$3:$T$1500,3,FALSE)</f>
        <v>120</v>
      </c>
      <c r="F236" s="11" t="str">
        <f>VLOOKUP(B236,Towary_i_uslugi!$A$3:$T$1500,20,FALSE)</f>
        <v>blister card</v>
      </c>
      <c r="G236" s="11">
        <f>VLOOKUP(B236,MBI_Dostawcy_towarów!$A$4:$C$1399,3,FALSE)</f>
        <v>0.11899999999999999</v>
      </c>
      <c r="H236" s="11">
        <v>228</v>
      </c>
      <c r="I236" s="11">
        <v>0</v>
      </c>
      <c r="J236" s="11">
        <v>700</v>
      </c>
      <c r="K236" s="11">
        <f>_xlfn.IFNA(VLOOKUP(B236,Towary_na_zamówieniach!$A$4:$C$1500,2,FALSE),0)</f>
        <v>1200</v>
      </c>
      <c r="L236" s="11">
        <f>_xlfn.IFNA(VLOOKUP(B236,Towary_na_zamówieniach!$A$4:$C$1500,3,FALSE),0)</f>
        <v>1176</v>
      </c>
      <c r="M236" s="11">
        <f>_xlfn.IFNA(VLOOKUP(B236,MBI_Dostawcy_towarów!$A$4:$C$2000,2,FALSE),"N/A")</f>
        <v>90</v>
      </c>
      <c r="N236" s="11" t="str">
        <f>IF(VLOOKUP(B236,Towary_i_uslugi!$A$3:$T$1500,17,FALSE)=0,"!NO SUPPLIER",VLOOKUP(B236,Towary_i_uslugi!$A$3:$T$1500,17))</f>
        <v>XM</v>
      </c>
      <c r="O236" s="11" t="str">
        <f>IF(VLOOKUP(B236,Towary_i_uslugi!$A$4:$U$1200,21,FALSE)&gt;0,VLOOKUP(B236,Towary_i_uslugi!$A$4:$U$1200,21,FALSE),"")</f>
        <v>MBA*30-06-2020*Please print product code and number of pcs on outerbox</v>
      </c>
      <c r="P236" s="11">
        <f t="shared" si="9"/>
        <v>0</v>
      </c>
      <c r="Q236" s="11">
        <f t="shared" si="10"/>
        <v>0</v>
      </c>
      <c r="R236" s="17">
        <f t="shared" si="11"/>
        <v>0</v>
      </c>
      <c r="S236" s="17">
        <f>VLOOKUP($B236,   MBI_LastBuy!$A$3:E$13199,3,FALSE)</f>
        <v>1200</v>
      </c>
      <c r="T236" s="13">
        <f>VLOOKUP($B236,   MBI_LastBuy!$A$3:E$13199,2,FALSE)</f>
        <v>0.98</v>
      </c>
      <c r="U236" s="13" t="str">
        <f>VLOOKUP($B236,   MBI_LastBuy!$A$3:E$13199,5,FALSE)</f>
        <v>USD</v>
      </c>
      <c r="V236" s="15">
        <f>VLOOKUP($B236,   MBI_LastBuy!$A$3:E$13199,4,FALSE)</f>
        <v>44117</v>
      </c>
    </row>
    <row r="237" spans="1:22" x14ac:dyDescent="0.25">
      <c r="A237" s="11" t="s">
        <v>3552</v>
      </c>
      <c r="B237" s="11">
        <v>610182</v>
      </c>
      <c r="C237" s="11" t="str">
        <f>VLOOKUP(B237,Towary_i_uslugi!$A$4:$B$1500,2)</f>
        <v>(brak)</v>
      </c>
      <c r="D237" s="11" t="s">
        <v>2459</v>
      </c>
      <c r="E237" s="11">
        <f>VLOOKUP(B237,Towary_i_uslugi!$A$3:$T$1500,3,FALSE)</f>
        <v>240</v>
      </c>
      <c r="F237" s="11" t="str">
        <f>VLOOKUP(B237,Towary_i_uslugi!$A$3:$T$1500,20,FALSE)</f>
        <v>plastic box</v>
      </c>
      <c r="G237" s="11">
        <f>VLOOKUP(B237,MBI_Dostawcy_towarów!$A$4:$C$1399,3,FALSE)</f>
        <v>6.0999999999999999E-2</v>
      </c>
      <c r="H237" s="11">
        <v>12</v>
      </c>
      <c r="I237" s="11">
        <v>5533</v>
      </c>
      <c r="J237" s="11">
        <v>25000</v>
      </c>
      <c r="K237" s="11">
        <f>_xlfn.IFNA(VLOOKUP(B237,Towary_na_zamówieniach!$A$4:$C$1500,2,FALSE),0)</f>
        <v>36480</v>
      </c>
      <c r="L237" s="11">
        <f>_xlfn.IFNA(VLOOKUP(B237,Towary_na_zamówieniach!$A$4:$C$1500,3,FALSE),0)</f>
        <v>4519.68</v>
      </c>
      <c r="M237" s="11">
        <f>_xlfn.IFNA(VLOOKUP(B237,MBI_Dostawcy_towarów!$A$4:$C$2000,2,FALSE),"N/A")</f>
        <v>90</v>
      </c>
      <c r="N237" s="11" t="str">
        <f>IF(VLOOKUP(B237,Towary_i_uslugi!$A$3:$T$1500,17,FALSE)=0,"!NO SUPPLIER",VLOOKUP(B237,Towary_i_uslugi!$A$3:$T$1500,17))</f>
        <v>XM</v>
      </c>
      <c r="O237" s="11" t="str">
        <f>IF(VLOOKUP(B237,Towary_i_uslugi!$A$4:$U$1200,21,FALSE)&gt;0,VLOOKUP(B237,Towary_i_uslugi!$A$4:$U$1200,21,FALSE),"")</f>
        <v/>
      </c>
      <c r="P237" s="11">
        <f t="shared" si="9"/>
        <v>0</v>
      </c>
      <c r="Q237" s="11">
        <f t="shared" si="10"/>
        <v>0</v>
      </c>
      <c r="R237" s="17">
        <f t="shared" si="11"/>
        <v>0</v>
      </c>
      <c r="S237" s="17">
        <f>VLOOKUP($B237,   MBI_LastBuy!$A$3:E$13199,3,FALSE)</f>
        <v>19200</v>
      </c>
      <c r="T237" s="13">
        <f>VLOOKUP($B237,   MBI_LastBuy!$A$3:E$13199,2,FALSE)</f>
        <v>0.122</v>
      </c>
      <c r="U237" s="13" t="str">
        <f>VLOOKUP($B237,   MBI_LastBuy!$A$3:E$13199,5,FALSE)</f>
        <v>USD</v>
      </c>
      <c r="V237" s="15">
        <f>VLOOKUP($B237,   MBI_LastBuy!$A$3:E$13199,4,FALSE)</f>
        <v>44117</v>
      </c>
    </row>
    <row r="238" spans="1:22" x14ac:dyDescent="0.25">
      <c r="A238" s="11" t="s">
        <v>3552</v>
      </c>
      <c r="B238" s="11">
        <v>611180</v>
      </c>
      <c r="C238" s="11" t="str">
        <f>VLOOKUP(B238,Towary_i_uslugi!$A$4:$B$1500,2)</f>
        <v>(brak)</v>
      </c>
      <c r="D238" s="11" t="s">
        <v>3641</v>
      </c>
      <c r="E238" s="11">
        <f>VLOOKUP(B238,Towary_i_uslugi!$A$3:$T$1500,3,FALSE)</f>
        <v>480</v>
      </c>
      <c r="F238" s="11" t="str">
        <f>VLOOKUP(B238,Towary_i_uslugi!$A$3:$T$1500,20,FALSE)</f>
        <v>polybag header</v>
      </c>
      <c r="G238" s="11">
        <f>VLOOKUP(B238,MBI_Dostawcy_towarów!$A$4:$C$1399,3,FALSE)</f>
        <v>3.7999999999999999E-2</v>
      </c>
      <c r="H238" s="11">
        <v>3249</v>
      </c>
      <c r="I238" s="11">
        <v>1</v>
      </c>
      <c r="J238" s="11">
        <v>5000</v>
      </c>
      <c r="K238" s="11">
        <f>_xlfn.IFNA(VLOOKUP(B238,Towary_na_zamówieniach!$A$4:$C$1500,2,FALSE),0)</f>
        <v>7680</v>
      </c>
      <c r="L238" s="11">
        <f>_xlfn.IFNA(VLOOKUP(B238,Towary_na_zamówieniach!$A$4:$C$1500,3,FALSE),0)</f>
        <v>960</v>
      </c>
      <c r="M238" s="11">
        <f>_xlfn.IFNA(VLOOKUP(B238,MBI_Dostawcy_towarów!$A$4:$C$2000,2,FALSE),"N/A")</f>
        <v>90</v>
      </c>
      <c r="N238" s="11" t="str">
        <f>IF(VLOOKUP(B238,Towary_i_uslugi!$A$3:$T$1500,17,FALSE)=0,"!NO SUPPLIER",VLOOKUP(B238,Towary_i_uslugi!$A$3:$T$1500,17))</f>
        <v>XM</v>
      </c>
      <c r="O238" s="11" t="str">
        <f>IF(VLOOKUP(B238,Towary_i_uslugi!$A$4:$U$1200,21,FALSE)&gt;0,VLOOKUP(B238,Towary_i_uslugi!$A$4:$U$1200,21,FALSE),"")</f>
        <v/>
      </c>
      <c r="P238" s="11">
        <f t="shared" si="9"/>
        <v>0</v>
      </c>
      <c r="Q238" s="11">
        <f t="shared" si="10"/>
        <v>0</v>
      </c>
      <c r="R238" s="17">
        <f t="shared" si="11"/>
        <v>0</v>
      </c>
      <c r="S238" s="17">
        <f>VLOOKUP($B238,   MBI_LastBuy!$A$3:E$13199,3,FALSE)</f>
        <v>7680</v>
      </c>
      <c r="T238" s="13">
        <f>VLOOKUP($B238,   MBI_LastBuy!$A$3:E$13199,2,FALSE)</f>
        <v>0.125</v>
      </c>
      <c r="U238" s="13" t="str">
        <f>VLOOKUP($B238,   MBI_LastBuy!$A$3:E$13199,5,FALSE)</f>
        <v>USD</v>
      </c>
      <c r="V238" s="15">
        <f>VLOOKUP($B238,   MBI_LastBuy!$A$3:E$13199,4,FALSE)</f>
        <v>44111</v>
      </c>
    </row>
    <row r="239" spans="1:22" x14ac:dyDescent="0.25">
      <c r="A239" s="11" t="s">
        <v>3552</v>
      </c>
      <c r="B239" s="11">
        <v>611182</v>
      </c>
      <c r="C239" s="11" t="str">
        <f>VLOOKUP(B239,Towary_i_uslugi!$A$4:$B$1500,2)</f>
        <v>(brak)</v>
      </c>
      <c r="D239" s="11" t="s">
        <v>3642</v>
      </c>
      <c r="E239" s="11">
        <f>VLOOKUP(B239,Towary_i_uslugi!$A$3:$T$1500,3,FALSE)</f>
        <v>288</v>
      </c>
      <c r="F239" s="11" t="str">
        <f>VLOOKUP(B239,Towary_i_uslugi!$A$3:$T$1500,20,FALSE)</f>
        <v>polybag header</v>
      </c>
      <c r="G239" s="11">
        <f>VLOOKUP(B239,MBI_Dostawcy_towarów!$A$4:$C$1399,3,FALSE)</f>
        <v>0.09</v>
      </c>
      <c r="H239" s="11">
        <v>3473</v>
      </c>
      <c r="I239" s="11">
        <v>2</v>
      </c>
      <c r="J239" s="11">
        <v>4200</v>
      </c>
      <c r="K239" s="11">
        <f>_xlfn.IFNA(VLOOKUP(B239,Towary_na_zamówieniach!$A$4:$C$1500,2,FALSE),0)</f>
        <v>4320</v>
      </c>
      <c r="L239" s="11">
        <f>_xlfn.IFNA(VLOOKUP(B239,Towary_na_zamówieniach!$A$4:$C$1500,3,FALSE),0)</f>
        <v>1771.2</v>
      </c>
      <c r="M239" s="11">
        <f>_xlfn.IFNA(VLOOKUP(B239,MBI_Dostawcy_towarów!$A$4:$C$2000,2,FALSE),"N/A")</f>
        <v>90</v>
      </c>
      <c r="N239" s="11" t="str">
        <f>IF(VLOOKUP(B239,Towary_i_uslugi!$A$3:$T$1500,17,FALSE)=0,"!NO SUPPLIER",VLOOKUP(B239,Towary_i_uslugi!$A$3:$T$1500,17))</f>
        <v>XM</v>
      </c>
      <c r="O239" s="11" t="str">
        <f>IF(VLOOKUP(B239,Towary_i_uslugi!$A$4:$U$1200,21,FALSE)&gt;0,VLOOKUP(B239,Towary_i_uslugi!$A$4:$U$1200,21,FALSE),"")</f>
        <v/>
      </c>
      <c r="P239" s="11">
        <f t="shared" si="9"/>
        <v>0</v>
      </c>
      <c r="Q239" s="11">
        <f t="shared" si="10"/>
        <v>0</v>
      </c>
      <c r="R239" s="17">
        <f t="shared" si="11"/>
        <v>0</v>
      </c>
      <c r="S239" s="17">
        <f>VLOOKUP($B239,   MBI_LastBuy!$A$3:E$13199,3,FALSE)</f>
        <v>4320</v>
      </c>
      <c r="T239" s="13">
        <f>VLOOKUP($B239,   MBI_LastBuy!$A$3:E$13199,2,FALSE)</f>
        <v>0.41</v>
      </c>
      <c r="U239" s="13" t="str">
        <f>VLOOKUP($B239,   MBI_LastBuy!$A$3:E$13199,5,FALSE)</f>
        <v>USD</v>
      </c>
      <c r="V239" s="15">
        <f>VLOOKUP($B239,   MBI_LastBuy!$A$3:E$13199,4,FALSE)</f>
        <v>44111</v>
      </c>
    </row>
    <row r="240" spans="1:22" x14ac:dyDescent="0.25">
      <c r="A240" s="11" t="s">
        <v>3552</v>
      </c>
      <c r="B240" s="11">
        <v>611191</v>
      </c>
      <c r="C240" s="11" t="str">
        <f>VLOOKUP(B240,Towary_i_uslugi!$A$4:$B$1500,2)</f>
        <v>(brak)</v>
      </c>
      <c r="D240" s="11" t="s">
        <v>2833</v>
      </c>
      <c r="E240" s="11">
        <f>VLOOKUP(B240,Towary_i_uslugi!$A$3:$T$1500,3,FALSE)</f>
        <v>200</v>
      </c>
      <c r="F240" s="11" t="str">
        <f>VLOOKUP(B240,Towary_i_uslugi!$A$3:$T$1500,20,FALSE)</f>
        <v>polybag header</v>
      </c>
      <c r="G240" s="11">
        <f>VLOOKUP(B240,MBI_Dostawcy_towarów!$A$4:$C$1399,3,FALSE)</f>
        <v>5.8999999999999997E-2</v>
      </c>
      <c r="H240" s="11">
        <v>4483</v>
      </c>
      <c r="I240" s="11">
        <v>552</v>
      </c>
      <c r="J240" s="11">
        <v>6000</v>
      </c>
      <c r="K240" s="11">
        <f>_xlfn.IFNA(VLOOKUP(B240,Towary_na_zamówieniach!$A$4:$C$1500,2,FALSE),0)</f>
        <v>6000</v>
      </c>
      <c r="L240" s="11">
        <f>_xlfn.IFNA(VLOOKUP(B240,Towary_na_zamówieniach!$A$4:$C$1500,3,FALSE),0)</f>
        <v>1290</v>
      </c>
      <c r="M240" s="11">
        <f>_xlfn.IFNA(VLOOKUP(B240,MBI_Dostawcy_towarów!$A$4:$C$2000,2,FALSE),"N/A")</f>
        <v>90</v>
      </c>
      <c r="N240" s="11" t="str">
        <f>IF(VLOOKUP(B240,Towary_i_uslugi!$A$3:$T$1500,17,FALSE)=0,"!NO SUPPLIER",VLOOKUP(B240,Towary_i_uslugi!$A$3:$T$1500,17))</f>
        <v>XM</v>
      </c>
      <c r="O240" s="11" t="str">
        <f>IF(VLOOKUP(B240,Towary_i_uslugi!$A$4:$U$1200,21,FALSE)&gt;0,VLOOKUP(B240,Towary_i_uslugi!$A$4:$U$1200,21,FALSE),"")</f>
        <v/>
      </c>
      <c r="P240" s="11">
        <f t="shared" si="9"/>
        <v>0</v>
      </c>
      <c r="Q240" s="11">
        <f t="shared" si="10"/>
        <v>0</v>
      </c>
      <c r="R240" s="17">
        <f t="shared" si="11"/>
        <v>0</v>
      </c>
      <c r="S240" s="17">
        <f>VLOOKUP($B240,   MBI_LastBuy!$A$3:E$13199,3,FALSE)</f>
        <v>6000</v>
      </c>
      <c r="T240" s="13">
        <f>VLOOKUP($B240,   MBI_LastBuy!$A$3:E$13199,2,FALSE)</f>
        <v>0.215</v>
      </c>
      <c r="U240" s="13" t="str">
        <f>VLOOKUP($B240,   MBI_LastBuy!$A$3:E$13199,5,FALSE)</f>
        <v>USD</v>
      </c>
      <c r="V240" s="15">
        <f>VLOOKUP($B240,   MBI_LastBuy!$A$3:E$13199,4,FALSE)</f>
        <v>44097</v>
      </c>
    </row>
    <row r="241" spans="1:22" x14ac:dyDescent="0.25">
      <c r="A241" s="11" t="s">
        <v>3553</v>
      </c>
      <c r="B241" s="11">
        <v>620040</v>
      </c>
      <c r="C241" s="11" t="str">
        <f>VLOOKUP(B241,Towary_i_uslugi!$A$4:$B$1500,2)</f>
        <v>(brak)</v>
      </c>
      <c r="D241" s="11" t="s">
        <v>1591</v>
      </c>
      <c r="E241" s="11">
        <f>VLOOKUP(B241,Towary_i_uslugi!$A$3:$T$1500,3,FALSE)</f>
        <v>40</v>
      </c>
      <c r="F241" s="11" t="str">
        <f>VLOOKUP(B241,Towary_i_uslugi!$A$3:$T$1500,20,FALSE)</f>
        <v>pvc pouch</v>
      </c>
      <c r="G241" s="11">
        <f>VLOOKUP(B241,MBI_Dostawcy_towarów!$A$4:$C$1399,3,FALSE)</f>
        <v>0.46700000000000003</v>
      </c>
      <c r="H241" s="11">
        <v>292</v>
      </c>
      <c r="I241" s="11">
        <v>0</v>
      </c>
      <c r="J241" s="11">
        <v>1000</v>
      </c>
      <c r="K241" s="11">
        <f>_xlfn.IFNA(VLOOKUP(B241,Towary_na_zamówieniach!$A$4:$C$1500,2,FALSE),0)</f>
        <v>1000</v>
      </c>
      <c r="L241" s="11">
        <f>_xlfn.IFNA(VLOOKUP(B241,Towary_na_zamówieniach!$A$4:$C$1500,3,FALSE),0)</f>
        <v>1550</v>
      </c>
      <c r="M241" s="11">
        <f>_xlfn.IFNA(VLOOKUP(B241,MBI_Dostawcy_towarów!$A$4:$C$2000,2,FALSE),"N/A")</f>
        <v>90</v>
      </c>
      <c r="N241" s="11" t="str">
        <f>IF(VLOOKUP(B241,Towary_i_uslugi!$A$3:$T$1500,17,FALSE)=0,"!NO SUPPLIER",VLOOKUP(B241,Towary_i_uslugi!$A$3:$T$1500,17))</f>
        <v>FX -MAPLE Frank Xu</v>
      </c>
      <c r="O241" s="11" t="str">
        <f>IF(VLOOKUP(B241,Towary_i_uslugi!$A$4:$U$1200,21,FALSE)&gt;0,VLOOKUP(B241,Towary_i_uslugi!$A$4:$U$1200,21,FALSE),"")</f>
        <v/>
      </c>
      <c r="P241" s="11">
        <f t="shared" si="9"/>
        <v>0</v>
      </c>
      <c r="Q241" s="11">
        <f t="shared" si="10"/>
        <v>0</v>
      </c>
      <c r="R241" s="17">
        <f t="shared" si="11"/>
        <v>0</v>
      </c>
      <c r="S241" s="17">
        <f>VLOOKUP($B241,   MBI_LastBuy!$A$3:E$13199,3,FALSE)</f>
        <v>1000</v>
      </c>
      <c r="T241" s="13">
        <f>VLOOKUP($B241,   MBI_LastBuy!$A$3:E$13199,2,FALSE)</f>
        <v>1.55</v>
      </c>
      <c r="U241" s="13" t="str">
        <f>VLOOKUP($B241,   MBI_LastBuy!$A$3:E$13199,5,FALSE)</f>
        <v>USD</v>
      </c>
      <c r="V241" s="15">
        <f>VLOOKUP($B241,   MBI_LastBuy!$A$3:E$13199,4,FALSE)</f>
        <v>43992</v>
      </c>
    </row>
    <row r="242" spans="1:22" x14ac:dyDescent="0.25">
      <c r="A242" s="11" t="s">
        <v>3553</v>
      </c>
      <c r="B242" s="11">
        <v>620050</v>
      </c>
      <c r="C242" s="11" t="str">
        <f>VLOOKUP(B242,Towary_i_uslugi!$A$4:$B$1500,2)</f>
        <v>(brak)</v>
      </c>
      <c r="D242" s="11" t="s">
        <v>2834</v>
      </c>
      <c r="E242" s="11">
        <f>VLOOKUP(B242,Towary_i_uslugi!$A$3:$T$1500,3,FALSE)</f>
        <v>40</v>
      </c>
      <c r="F242" s="11" t="str">
        <f>VLOOKUP(B242,Towary_i_uslugi!$A$3:$T$1500,20,FALSE)</f>
        <v>double blister</v>
      </c>
      <c r="G242" s="11">
        <f>VLOOKUP(B242,MBI_Dostawcy_towarów!$A$4:$C$1399,3,FALSE)</f>
        <v>0.53800000000000003</v>
      </c>
      <c r="H242" s="11">
        <v>1</v>
      </c>
      <c r="I242" s="11">
        <v>0</v>
      </c>
      <c r="J242" s="11">
        <v>350</v>
      </c>
      <c r="K242" s="11">
        <f>_xlfn.IFNA(VLOOKUP(B242,Towary_na_zamówieniach!$A$4:$C$1500,2,FALSE),0)</f>
        <v>640</v>
      </c>
      <c r="L242" s="11">
        <f>_xlfn.IFNA(VLOOKUP(B242,Towary_na_zamówieniach!$A$4:$C$1500,3,FALSE),0)</f>
        <v>1292.8</v>
      </c>
      <c r="M242" s="11">
        <f>_xlfn.IFNA(VLOOKUP(B242,MBI_Dostawcy_towarów!$A$4:$C$2000,2,FALSE),"N/A")</f>
        <v>90</v>
      </c>
      <c r="N242" s="11" t="str">
        <f>IF(VLOOKUP(B242,Towary_i_uslugi!$A$3:$T$1500,17,FALSE)=0,"!NO SUPPLIER",VLOOKUP(B242,Towary_i_uslugi!$A$3:$T$1500,17))</f>
        <v>FX -MAPLE Frank Xu</v>
      </c>
      <c r="O242" s="11" t="str">
        <f>IF(VLOOKUP(B242,Towary_i_uslugi!$A$4:$U$1200,21,FALSE)&gt;0,VLOOKUP(B242,Towary_i_uslugi!$A$4:$U$1200,21,FALSE),"")</f>
        <v/>
      </c>
      <c r="P242" s="11">
        <f t="shared" si="9"/>
        <v>0</v>
      </c>
      <c r="Q242" s="11">
        <f t="shared" si="10"/>
        <v>0</v>
      </c>
      <c r="R242" s="17">
        <f t="shared" si="11"/>
        <v>0</v>
      </c>
      <c r="S242" s="17">
        <f>VLOOKUP($B242,   MBI_LastBuy!$A$3:E$13199,3,FALSE)</f>
        <v>640</v>
      </c>
      <c r="T242" s="13">
        <f>VLOOKUP($B242,   MBI_LastBuy!$A$3:E$13199,2,FALSE)</f>
        <v>2.02</v>
      </c>
      <c r="U242" s="13" t="str">
        <f>VLOOKUP($B242,   MBI_LastBuy!$A$3:E$13199,5,FALSE)</f>
        <v>USD</v>
      </c>
      <c r="V242" s="15">
        <f>VLOOKUP($B242,   MBI_LastBuy!$A$3:E$13199,4,FALSE)</f>
        <v>43957</v>
      </c>
    </row>
    <row r="243" spans="1:22" x14ac:dyDescent="0.25">
      <c r="A243" s="11" t="s">
        <v>3553</v>
      </c>
      <c r="B243" s="11">
        <v>620169</v>
      </c>
      <c r="C243" s="11" t="str">
        <f>VLOOKUP(B243,Towary_i_uslugi!$A$4:$B$1500,2)</f>
        <v>(brak)</v>
      </c>
      <c r="D243" s="11" t="s">
        <v>2835</v>
      </c>
      <c r="E243" s="11">
        <f>VLOOKUP(B243,Towary_i_uslugi!$A$3:$T$1500,3,FALSE)</f>
        <v>50</v>
      </c>
      <c r="F243" s="11" t="str">
        <f>VLOOKUP(B243,Towary_i_uslugi!$A$3:$T$1500,20,FALSE)</f>
        <v>PVC box + sticker</v>
      </c>
      <c r="G243" s="11">
        <f>VLOOKUP(B243,MBI_Dostawcy_towarów!$A$4:$C$1399,3,FALSE)</f>
        <v>0.32</v>
      </c>
      <c r="H243" s="11">
        <v>62</v>
      </c>
      <c r="I243" s="11">
        <v>4</v>
      </c>
      <c r="J243" s="11">
        <v>140</v>
      </c>
      <c r="K243" s="11">
        <f>_xlfn.IFNA(VLOOKUP(B243,Towary_na_zamówieniach!$A$4:$C$1500,2,FALSE),0)</f>
        <v>500</v>
      </c>
      <c r="L243" s="11">
        <f>_xlfn.IFNA(VLOOKUP(B243,Towary_na_zamówieniach!$A$4:$C$1500,3,FALSE),0)</f>
        <v>780</v>
      </c>
      <c r="M243" s="11">
        <f>_xlfn.IFNA(VLOOKUP(B243,MBI_Dostawcy_towarów!$A$4:$C$2000,2,FALSE),"N/A")</f>
        <v>90</v>
      </c>
      <c r="N243" s="11" t="str">
        <f>IF(VLOOKUP(B243,Towary_i_uslugi!$A$3:$T$1500,17,FALSE)=0,"!NO SUPPLIER",VLOOKUP(B243,Towary_i_uslugi!$A$3:$T$1500,17))</f>
        <v>FX -MAPLE Frank Xu</v>
      </c>
      <c r="O243" s="11" t="str">
        <f>IF(VLOOKUP(B243,Towary_i_uslugi!$A$4:$U$1200,21,FALSE)&gt;0,VLOOKUP(B243,Towary_i_uslugi!$A$4:$U$1200,21,FALSE),"")</f>
        <v/>
      </c>
      <c r="P243" s="11">
        <f t="shared" si="9"/>
        <v>0</v>
      </c>
      <c r="Q243" s="11">
        <f t="shared" si="10"/>
        <v>0</v>
      </c>
      <c r="R243" s="17">
        <f t="shared" si="11"/>
        <v>0</v>
      </c>
      <c r="S243" s="17">
        <f>VLOOKUP($B243,   MBI_LastBuy!$A$3:E$13199,3,FALSE)</f>
        <v>500</v>
      </c>
      <c r="T243" s="13">
        <f>VLOOKUP($B243,   MBI_LastBuy!$A$3:E$13199,2,FALSE)</f>
        <v>1.56</v>
      </c>
      <c r="U243" s="13" t="str">
        <f>VLOOKUP($B243,   MBI_LastBuy!$A$3:E$13199,5,FALSE)</f>
        <v>USD</v>
      </c>
      <c r="V243" s="15">
        <f>VLOOKUP($B243,   MBI_LastBuy!$A$3:E$13199,4,FALSE)</f>
        <v>44098</v>
      </c>
    </row>
    <row r="244" spans="1:22" x14ac:dyDescent="0.25">
      <c r="A244" s="11" t="s">
        <v>3553</v>
      </c>
      <c r="B244" s="11">
        <v>620174</v>
      </c>
      <c r="C244" s="11" t="str">
        <f>VLOOKUP(B244,Towary_i_uslugi!$A$4:$B$1500,2)</f>
        <v>(brak)</v>
      </c>
      <c r="D244" s="11" t="s">
        <v>2685</v>
      </c>
      <c r="E244" s="11">
        <f>VLOOKUP(B244,Towary_i_uslugi!$A$3:$T$1500,3,FALSE)</f>
        <v>60</v>
      </c>
      <c r="F244" s="11" t="str">
        <f>VLOOKUP(B244,Towary_i_uslugi!$A$3:$T$1500,20,FALSE)</f>
        <v>double blister</v>
      </c>
      <c r="G244" s="11">
        <f>VLOOKUP(B244,MBI_Dostawcy_towarów!$A$4:$C$1399,3,FALSE)</f>
        <v>0.13</v>
      </c>
      <c r="H244" s="11">
        <v>1</v>
      </c>
      <c r="I244" s="11">
        <v>0</v>
      </c>
      <c r="J244" s="11">
        <v>420</v>
      </c>
      <c r="K244" s="11">
        <f>_xlfn.IFNA(VLOOKUP(B244,Towary_na_zamówieniach!$A$4:$C$1500,2,FALSE),0)</f>
        <v>840</v>
      </c>
      <c r="L244" s="11">
        <f>_xlfn.IFNA(VLOOKUP(B244,Towary_na_zamówieniach!$A$4:$C$1500,3,FALSE),0)</f>
        <v>1050</v>
      </c>
      <c r="M244" s="11">
        <f>_xlfn.IFNA(VLOOKUP(B244,MBI_Dostawcy_towarów!$A$4:$C$2000,2,FALSE),"N/A")</f>
        <v>90</v>
      </c>
      <c r="N244" s="11" t="str">
        <f>IF(VLOOKUP(B244,Towary_i_uslugi!$A$3:$T$1500,17,FALSE)=0,"!NO SUPPLIER",VLOOKUP(B244,Towary_i_uslugi!$A$3:$T$1500,17))</f>
        <v>FX -MAPLE Frank Xu</v>
      </c>
      <c r="O244" s="11" t="str">
        <f>IF(VLOOKUP(B244,Towary_i_uslugi!$A$4:$U$1200,21,FALSE)&gt;0,VLOOKUP(B244,Towary_i_uslugi!$A$4:$U$1200,21,FALSE),"")</f>
        <v/>
      </c>
      <c r="P244" s="11">
        <f t="shared" si="9"/>
        <v>0</v>
      </c>
      <c r="Q244" s="11">
        <f t="shared" si="10"/>
        <v>0</v>
      </c>
      <c r="R244" s="17">
        <f t="shared" si="11"/>
        <v>0</v>
      </c>
      <c r="S244" s="17">
        <f>VLOOKUP($B244,   MBI_LastBuy!$A$3:E$13199,3,FALSE)</f>
        <v>420</v>
      </c>
      <c r="T244" s="13">
        <f>VLOOKUP($B244,   MBI_LastBuy!$A$3:E$13199,2,FALSE)</f>
        <v>1.25</v>
      </c>
      <c r="U244" s="13" t="str">
        <f>VLOOKUP($B244,   MBI_LastBuy!$A$3:E$13199,5,FALSE)</f>
        <v>USD</v>
      </c>
      <c r="V244" s="15">
        <f>VLOOKUP($B244,   MBI_LastBuy!$A$3:E$13199,4,FALSE)</f>
        <v>44141</v>
      </c>
    </row>
    <row r="245" spans="1:22" x14ac:dyDescent="0.25">
      <c r="A245" s="11" t="s">
        <v>3552</v>
      </c>
      <c r="B245" s="11">
        <v>621100</v>
      </c>
      <c r="C245" s="11" t="str">
        <f>VLOOKUP(B245,Towary_i_uslugi!$A$4:$B$1500,2)</f>
        <v>(brak)</v>
      </c>
      <c r="D245" s="11" t="s">
        <v>1592</v>
      </c>
      <c r="E245" s="11">
        <f>VLOOKUP(B245,Towary_i_uslugi!$A$3:$T$1500,3,FALSE)</f>
        <v>30</v>
      </c>
      <c r="F245" s="11" t="str">
        <f>VLOOKUP(B245,Towary_i_uslugi!$A$3:$T$1500,20,FALSE)</f>
        <v>photo color box</v>
      </c>
      <c r="G245" s="11">
        <f>VLOOKUP(B245,MBI_Dostawcy_towarów!$A$4:$C$1399,3,FALSE)</f>
        <v>0.56899999999999995</v>
      </c>
      <c r="H245" s="11">
        <v>49</v>
      </c>
      <c r="I245" s="11">
        <v>0</v>
      </c>
      <c r="J245" s="11">
        <v>420</v>
      </c>
      <c r="K245" s="11">
        <f>_xlfn.IFNA(VLOOKUP(B245,Towary_na_zamówieniach!$A$4:$C$1500,2,FALSE),0)</f>
        <v>420</v>
      </c>
      <c r="L245" s="11">
        <f>_xlfn.IFNA(VLOOKUP(B245,Towary_na_zamówieniach!$A$4:$C$1500,3,FALSE),0)</f>
        <v>861</v>
      </c>
      <c r="M245" s="11">
        <f>_xlfn.IFNA(VLOOKUP(B245,MBI_Dostawcy_towarów!$A$4:$C$2000,2,FALSE),"N/A")</f>
        <v>90</v>
      </c>
      <c r="N245" s="11" t="str">
        <f>IF(VLOOKUP(B245,Towary_i_uslugi!$A$3:$T$1500,17,FALSE)=0,"!NO SUPPLIER",VLOOKUP(B245,Towary_i_uslugi!$A$3:$T$1500,17))</f>
        <v>XM</v>
      </c>
      <c r="O245" s="11" t="str">
        <f>IF(VLOOKUP(B245,Towary_i_uslugi!$A$4:$U$1200,21,FALSE)&gt;0,VLOOKUP(B245,Towary_i_uslugi!$A$4:$U$1200,21,FALSE),"")</f>
        <v/>
      </c>
      <c r="P245" s="11">
        <f t="shared" si="9"/>
        <v>0</v>
      </c>
      <c r="Q245" s="11">
        <f t="shared" si="10"/>
        <v>0</v>
      </c>
      <c r="R245" s="17">
        <f t="shared" si="11"/>
        <v>0</v>
      </c>
      <c r="S245" s="17">
        <f>VLOOKUP($B245,   MBI_LastBuy!$A$3:E$13199,3,FALSE)</f>
        <v>420</v>
      </c>
      <c r="T245" s="13">
        <f>VLOOKUP($B245,   MBI_LastBuy!$A$3:E$13199,2,FALSE)</f>
        <v>2.0499999999999998</v>
      </c>
      <c r="U245" s="13" t="str">
        <f>VLOOKUP($B245,   MBI_LastBuy!$A$3:E$13199,5,FALSE)</f>
        <v>USD</v>
      </c>
      <c r="V245" s="15">
        <f>VLOOKUP($B245,   MBI_LastBuy!$A$3:E$13199,4,FALSE)</f>
        <v>44097</v>
      </c>
    </row>
    <row r="246" spans="1:22" x14ac:dyDescent="0.25">
      <c r="A246" s="11" t="s">
        <v>3554</v>
      </c>
      <c r="B246" s="11">
        <v>622250</v>
      </c>
      <c r="C246" s="11" t="str">
        <f>VLOOKUP(B246,Towary_i_uslugi!$A$4:$B$1500,2)</f>
        <v>(brak)</v>
      </c>
      <c r="D246" s="11" t="s">
        <v>2836</v>
      </c>
      <c r="E246" s="11">
        <f>VLOOKUP(B246,Towary_i_uslugi!$A$3:$T$1500,3,FALSE)</f>
        <v>24</v>
      </c>
      <c r="F246" s="11" t="str">
        <f>VLOOKUP(B246,Towary_i_uslugi!$A$3:$T$1500,20,FALSE)</f>
        <v>pvc bag / sticker</v>
      </c>
      <c r="G246" s="11">
        <f>VLOOKUP(B246,MBI_Dostawcy_towarów!$A$4:$C$1399,3,FALSE)</f>
        <v>0.41299999999999998</v>
      </c>
      <c r="H246" s="11">
        <v>1</v>
      </c>
      <c r="I246" s="11">
        <v>0</v>
      </c>
      <c r="J246" s="11">
        <v>480</v>
      </c>
      <c r="K246" s="11">
        <f>_xlfn.IFNA(VLOOKUP(B246,Towary_na_zamówieniach!$A$4:$C$1500,2,FALSE),0)</f>
        <v>480</v>
      </c>
      <c r="L246" s="11">
        <f>_xlfn.IFNA(VLOOKUP(B246,Towary_na_zamówieniach!$A$4:$C$1500,3,FALSE),0)</f>
        <v>254.4</v>
      </c>
      <c r="M246" s="11">
        <f>_xlfn.IFNA(VLOOKUP(B246,MBI_Dostawcy_towarów!$A$4:$C$2000,2,FALSE),"N/A")</f>
        <v>90</v>
      </c>
      <c r="N246" s="11" t="str">
        <f>IF(VLOOKUP(B246,Towary_i_uslugi!$A$3:$T$1500,17,FALSE)=0,"!NO SUPPLIER",VLOOKUP(B246,Towary_i_uslugi!$A$3:$T$1500,17))</f>
        <v>BW</v>
      </c>
      <c r="O246" s="11" t="str">
        <f>IF(VLOOKUP(B246,Towary_i_uslugi!$A$4:$U$1200,21,FALSE)&gt;0,VLOOKUP(B246,Towary_i_uslugi!$A$4:$U$1200,21,FALSE),"")</f>
        <v/>
      </c>
      <c r="P246" s="11">
        <f t="shared" si="9"/>
        <v>0</v>
      </c>
      <c r="Q246" s="11">
        <f t="shared" si="10"/>
        <v>0</v>
      </c>
      <c r="R246" s="17">
        <f t="shared" si="11"/>
        <v>0</v>
      </c>
      <c r="S246" s="17">
        <f>VLOOKUP($B246,   MBI_LastBuy!$A$3:E$13199,3,FALSE)</f>
        <v>480</v>
      </c>
      <c r="T246" s="13">
        <f>VLOOKUP($B246,   MBI_LastBuy!$A$3:E$13199,2,FALSE)</f>
        <v>0.53</v>
      </c>
      <c r="U246" s="13" t="str">
        <f>VLOOKUP($B246,   MBI_LastBuy!$A$3:E$13199,5,FALSE)</f>
        <v>USD</v>
      </c>
      <c r="V246" s="15">
        <f>VLOOKUP($B246,   MBI_LastBuy!$A$3:E$13199,4,FALSE)</f>
        <v>44071</v>
      </c>
    </row>
    <row r="247" spans="1:22" x14ac:dyDescent="0.25">
      <c r="A247" s="11" t="s">
        <v>3554</v>
      </c>
      <c r="B247" s="11">
        <v>622300</v>
      </c>
      <c r="C247" s="11" t="str">
        <f>VLOOKUP(B247,Towary_i_uslugi!$A$4:$B$1500,2)</f>
        <v>(brak)</v>
      </c>
      <c r="D247" s="11" t="s">
        <v>2837</v>
      </c>
      <c r="E247" s="11">
        <f>VLOOKUP(B247,Towary_i_uslugi!$A$3:$T$1500,3,FALSE)</f>
        <v>24</v>
      </c>
      <c r="F247" s="11" t="str">
        <f>VLOOKUP(B247,Towary_i_uslugi!$A$3:$T$1500,20,FALSE)</f>
        <v>pvc bag / sticker</v>
      </c>
      <c r="G247" s="11">
        <f>VLOOKUP(B247,MBI_Dostawcy_towarów!$A$4:$C$1399,3,FALSE)</f>
        <v>0.47899999999999998</v>
      </c>
      <c r="H247" s="11">
        <v>494</v>
      </c>
      <c r="I247" s="11">
        <v>0</v>
      </c>
      <c r="J247" s="11">
        <v>800</v>
      </c>
      <c r="K247" s="11">
        <f>_xlfn.IFNA(VLOOKUP(B247,Towary_na_zamówieniach!$A$4:$C$1500,2,FALSE),0)</f>
        <v>0</v>
      </c>
      <c r="L247" s="11">
        <f>_xlfn.IFNA(VLOOKUP(B247,Towary_na_zamówieniach!$A$4:$C$1500,3,FALSE),0)</f>
        <v>0</v>
      </c>
      <c r="M247" s="11">
        <f>_xlfn.IFNA(VLOOKUP(B247,MBI_Dostawcy_towarów!$A$4:$C$2000,2,FALSE),"N/A")</f>
        <v>90</v>
      </c>
      <c r="N247" s="11" t="str">
        <f>IF(VLOOKUP(B247,Towary_i_uslugi!$A$3:$T$1500,17,FALSE)=0,"!NO SUPPLIER",VLOOKUP(B247,Towary_i_uslugi!$A$3:$T$1500,17))</f>
        <v>BW</v>
      </c>
      <c r="O247" s="11" t="str">
        <f>IF(VLOOKUP(B247,Towary_i_uslugi!$A$4:$U$1200,21,FALSE)&gt;0,VLOOKUP(B247,Towary_i_uslugi!$A$4:$U$1200,21,FALSE),"")</f>
        <v/>
      </c>
      <c r="P247" s="11">
        <f t="shared" si="9"/>
        <v>34</v>
      </c>
      <c r="Q247" s="11">
        <f t="shared" si="10"/>
        <v>816</v>
      </c>
      <c r="R247" s="17">
        <f t="shared" si="11"/>
        <v>554.88</v>
      </c>
      <c r="S247" s="17">
        <f>VLOOKUP($B247,   MBI_LastBuy!$A$3:E$13199,3,FALSE)</f>
        <v>912</v>
      </c>
      <c r="T247" s="13">
        <f>VLOOKUP($B247,   MBI_LastBuy!$A$3:E$13199,2,FALSE)</f>
        <v>0.68</v>
      </c>
      <c r="U247" s="13" t="str">
        <f>VLOOKUP($B247,   MBI_LastBuy!$A$3:E$13199,5,FALSE)</f>
        <v>USD</v>
      </c>
      <c r="V247" s="15">
        <f>VLOOKUP($B247,   MBI_LastBuy!$A$3:E$13199,4,FALSE)</f>
        <v>43717</v>
      </c>
    </row>
    <row r="248" spans="1:22" x14ac:dyDescent="0.25">
      <c r="A248" s="11" t="s">
        <v>3554</v>
      </c>
      <c r="B248" s="11">
        <v>622400</v>
      </c>
      <c r="C248" s="11" t="str">
        <f>VLOOKUP(B248,Towary_i_uslugi!$A$4:$B$1500,2)</f>
        <v>(brak)</v>
      </c>
      <c r="D248" s="11" t="s">
        <v>1622</v>
      </c>
      <c r="E248" s="11">
        <f>VLOOKUP(B248,Towary_i_uslugi!$A$3:$T$1500,3,FALSE)</f>
        <v>24</v>
      </c>
      <c r="F248" s="11" t="str">
        <f>VLOOKUP(B248,Towary_i_uslugi!$A$3:$T$1500,20,FALSE)</f>
        <v>pvc bag</v>
      </c>
      <c r="G248" s="11">
        <f>VLOOKUP(B248,MBI_Dostawcy_towarów!$A$4:$C$1399,3,FALSE)</f>
        <v>0.68</v>
      </c>
      <c r="H248" s="11">
        <v>169</v>
      </c>
      <c r="I248" s="11">
        <v>0</v>
      </c>
      <c r="J248" s="11">
        <v>1500</v>
      </c>
      <c r="K248" s="11">
        <f>_xlfn.IFNA(VLOOKUP(B248,Towary_na_zamówieniach!$A$4:$C$1500,2,FALSE),0)</f>
        <v>1152</v>
      </c>
      <c r="L248" s="11">
        <f>_xlfn.IFNA(VLOOKUP(B248,Towary_na_zamówieniach!$A$4:$C$1500,3,FALSE),0)</f>
        <v>1002.24</v>
      </c>
      <c r="M248" s="11">
        <f>_xlfn.IFNA(VLOOKUP(B248,MBI_Dostawcy_towarów!$A$4:$C$2000,2,FALSE),"N/A")</f>
        <v>90</v>
      </c>
      <c r="N248" s="11" t="str">
        <f>IF(VLOOKUP(B248,Towary_i_uslugi!$A$3:$T$1500,17,FALSE)=0,"!NO SUPPLIER",VLOOKUP(B248,Towary_i_uslugi!$A$3:$T$1500,17))</f>
        <v>BW</v>
      </c>
      <c r="O248" s="11" t="str">
        <f>IF(VLOOKUP(B248,Towary_i_uslugi!$A$4:$U$1200,21,FALSE)&gt;0,VLOOKUP(B248,Towary_i_uslugi!$A$4:$U$1200,21,FALSE),"")</f>
        <v/>
      </c>
      <c r="P248" s="11">
        <f t="shared" si="9"/>
        <v>63</v>
      </c>
      <c r="Q248" s="11">
        <f t="shared" si="10"/>
        <v>1512</v>
      </c>
      <c r="R248" s="17">
        <f t="shared" si="11"/>
        <v>1315.44</v>
      </c>
      <c r="S248" s="17">
        <f>VLOOKUP($B248,   MBI_LastBuy!$A$3:E$13199,3,FALSE)</f>
        <v>1152</v>
      </c>
      <c r="T248" s="13">
        <f>VLOOKUP($B248,   MBI_LastBuy!$A$3:E$13199,2,FALSE)</f>
        <v>0.87</v>
      </c>
      <c r="U248" s="13" t="str">
        <f>VLOOKUP($B248,   MBI_LastBuy!$A$3:E$13199,5,FALSE)</f>
        <v>USD</v>
      </c>
      <c r="V248" s="15">
        <f>VLOOKUP($B248,   MBI_LastBuy!$A$3:E$13199,4,FALSE)</f>
        <v>44071</v>
      </c>
    </row>
    <row r="249" spans="1:22" x14ac:dyDescent="0.25">
      <c r="A249" s="11" t="s">
        <v>3554</v>
      </c>
      <c r="B249" s="11">
        <v>622410</v>
      </c>
      <c r="C249" s="11" t="str">
        <f>VLOOKUP(B249,Towary_i_uslugi!$A$4:$B$1500,2)</f>
        <v>(brak)</v>
      </c>
      <c r="D249" s="11" t="s">
        <v>2838</v>
      </c>
      <c r="E249" s="11">
        <f>VLOOKUP(B249,Towary_i_uslugi!$A$3:$T$1500,3,FALSE)</f>
        <v>24</v>
      </c>
      <c r="F249" s="11" t="str">
        <f>VLOOKUP(B249,Towary_i_uslugi!$A$3:$T$1500,20,FALSE)</f>
        <v>pvc bag</v>
      </c>
      <c r="G249" s="11">
        <f>VLOOKUP(B249,MBI_Dostawcy_towarów!$A$4:$C$1399,3,FALSE)</f>
        <v>0.66300000000000003</v>
      </c>
      <c r="H249" s="11">
        <v>34</v>
      </c>
      <c r="I249" s="11">
        <v>0</v>
      </c>
      <c r="J249" s="11">
        <v>200</v>
      </c>
      <c r="K249" s="11">
        <f>_xlfn.IFNA(VLOOKUP(B249,Towary_na_zamówieniach!$A$4:$C$1500,2,FALSE),0)</f>
        <v>288</v>
      </c>
      <c r="L249" s="11">
        <f>_xlfn.IFNA(VLOOKUP(B249,Towary_na_zamówieniach!$A$4:$C$1500,3,FALSE),0)</f>
        <v>250.56</v>
      </c>
      <c r="M249" s="11">
        <f>_xlfn.IFNA(VLOOKUP(B249,MBI_Dostawcy_towarów!$A$4:$C$2000,2,FALSE),"N/A")</f>
        <v>90</v>
      </c>
      <c r="N249" s="11" t="str">
        <f>IF(VLOOKUP(B249,Towary_i_uslugi!$A$3:$T$1500,17,FALSE)=0,"!NO SUPPLIER",VLOOKUP(B249,Towary_i_uslugi!$A$3:$T$1500,17))</f>
        <v>BW</v>
      </c>
      <c r="O249" s="11" t="str">
        <f>IF(VLOOKUP(B249,Towary_i_uslugi!$A$4:$U$1200,21,FALSE)&gt;0,VLOOKUP(B249,Towary_i_uslugi!$A$4:$U$1200,21,FALSE),"")</f>
        <v/>
      </c>
      <c r="P249" s="11">
        <f t="shared" si="9"/>
        <v>0</v>
      </c>
      <c r="Q249" s="11">
        <f t="shared" si="10"/>
        <v>0</v>
      </c>
      <c r="R249" s="17">
        <f t="shared" si="11"/>
        <v>0</v>
      </c>
      <c r="S249" s="17">
        <f>VLOOKUP($B249,   MBI_LastBuy!$A$3:E$13199,3,FALSE)</f>
        <v>288</v>
      </c>
      <c r="T249" s="13">
        <f>VLOOKUP($B249,   MBI_LastBuy!$A$3:E$13199,2,FALSE)</f>
        <v>0.87</v>
      </c>
      <c r="U249" s="13" t="str">
        <f>VLOOKUP($B249,   MBI_LastBuy!$A$3:E$13199,5,FALSE)</f>
        <v>USD</v>
      </c>
      <c r="V249" s="15">
        <f>VLOOKUP($B249,   MBI_LastBuy!$A$3:E$13199,4,FALSE)</f>
        <v>44071</v>
      </c>
    </row>
    <row r="250" spans="1:22" x14ac:dyDescent="0.25">
      <c r="A250" s="11" t="s">
        <v>3554</v>
      </c>
      <c r="B250" s="11">
        <v>622600</v>
      </c>
      <c r="C250" s="11" t="str">
        <f>VLOOKUP(B250,Towary_i_uslugi!$A$4:$B$1500,2)</f>
        <v>(brak)</v>
      </c>
      <c r="D250" s="11" t="s">
        <v>34</v>
      </c>
      <c r="E250" s="11">
        <f>VLOOKUP(B250,Towary_i_uslugi!$A$3:$T$1500,3,FALSE)</f>
        <v>20</v>
      </c>
      <c r="F250" s="11" t="str">
        <f>VLOOKUP(B250,Towary_i_uslugi!$A$3:$T$1500,20,FALSE)</f>
        <v>pvc bag</v>
      </c>
      <c r="G250" s="11">
        <f>VLOOKUP(B250,MBI_Dostawcy_towarów!$A$4:$C$1399,3,FALSE)</f>
        <v>0.5</v>
      </c>
      <c r="H250" s="11">
        <v>1</v>
      </c>
      <c r="I250" s="11">
        <v>0</v>
      </c>
      <c r="J250" s="11">
        <v>840</v>
      </c>
      <c r="K250" s="11">
        <f>_xlfn.IFNA(VLOOKUP(B250,Towary_na_zamówieniach!$A$4:$C$1500,2,FALSE),0)</f>
        <v>0</v>
      </c>
      <c r="L250" s="11">
        <f>_xlfn.IFNA(VLOOKUP(B250,Towary_na_zamówieniach!$A$4:$C$1500,3,FALSE),0)</f>
        <v>0</v>
      </c>
      <c r="M250" s="11">
        <f>_xlfn.IFNA(VLOOKUP(B250,MBI_Dostawcy_towarów!$A$4:$C$2000,2,FALSE),"N/A")</f>
        <v>90</v>
      </c>
      <c r="N250" s="11" t="str">
        <f>IF(VLOOKUP(B250,Towary_i_uslugi!$A$3:$T$1500,17,FALSE)=0,"!NO SUPPLIER",VLOOKUP(B250,Towary_i_uslugi!$A$3:$T$1500,17))</f>
        <v>BW</v>
      </c>
      <c r="O250" s="11" t="str">
        <f>IF(VLOOKUP(B250,Towary_i_uslugi!$A$4:$U$1200,21,FALSE)&gt;0,VLOOKUP(B250,Towary_i_uslugi!$A$4:$U$1200,21,FALSE),"")</f>
        <v/>
      </c>
      <c r="P250" s="11">
        <f t="shared" si="9"/>
        <v>42</v>
      </c>
      <c r="Q250" s="11">
        <f t="shared" si="10"/>
        <v>840</v>
      </c>
      <c r="R250" s="17">
        <f t="shared" si="11"/>
        <v>756</v>
      </c>
      <c r="S250" s="17">
        <f>VLOOKUP($B250,   MBI_LastBuy!$A$3:E$13199,3,FALSE)</f>
        <v>120</v>
      </c>
      <c r="T250" s="13">
        <f>VLOOKUP($B250,   MBI_LastBuy!$A$3:E$13199,2,FALSE)</f>
        <v>0.9</v>
      </c>
      <c r="U250" s="13" t="str">
        <f>VLOOKUP($B250,   MBI_LastBuy!$A$3:E$13199,5,FALSE)</f>
        <v>USD</v>
      </c>
      <c r="V250" s="15">
        <f>VLOOKUP($B250,   MBI_LastBuy!$A$3:E$13199,4,FALSE)</f>
        <v>44005</v>
      </c>
    </row>
    <row r="251" spans="1:22" x14ac:dyDescent="0.25">
      <c r="A251" s="11" t="s">
        <v>3554</v>
      </c>
      <c r="B251" s="11">
        <v>622624</v>
      </c>
      <c r="C251" s="11" t="str">
        <f>VLOOKUP(B251,Towary_i_uslugi!$A$4:$B$1500,2)</f>
        <v>(brak)</v>
      </c>
      <c r="D251" s="11" t="s">
        <v>35</v>
      </c>
      <c r="E251" s="11">
        <f>VLOOKUP(B251,Towary_i_uslugi!$A$3:$T$1500,3,FALSE)</f>
        <v>20</v>
      </c>
      <c r="F251" s="11" t="str">
        <f>VLOOKUP(B251,Towary_i_uslugi!$A$3:$T$1500,20,FALSE)</f>
        <v>pvc bag</v>
      </c>
      <c r="G251" s="11">
        <f>VLOOKUP(B251,MBI_Dostawcy_towarów!$A$4:$C$1399,3,FALSE)</f>
        <v>0.56299999999999994</v>
      </c>
      <c r="H251" s="11">
        <v>128</v>
      </c>
      <c r="I251" s="11">
        <v>0</v>
      </c>
      <c r="J251" s="11">
        <v>420</v>
      </c>
      <c r="K251" s="11">
        <f>_xlfn.IFNA(VLOOKUP(B251,Towary_na_zamówieniach!$A$4:$C$1500,2,FALSE),0)</f>
        <v>400</v>
      </c>
      <c r="L251" s="11">
        <f>_xlfn.IFNA(VLOOKUP(B251,Towary_na_zamówieniach!$A$4:$C$1500,3,FALSE),0)</f>
        <v>440</v>
      </c>
      <c r="M251" s="11">
        <f>_xlfn.IFNA(VLOOKUP(B251,MBI_Dostawcy_towarów!$A$4:$C$2000,2,FALSE),"N/A")</f>
        <v>90</v>
      </c>
      <c r="N251" s="11" t="str">
        <f>IF(VLOOKUP(B251,Towary_i_uslugi!$A$3:$T$1500,17,FALSE)=0,"!NO SUPPLIER",VLOOKUP(B251,Towary_i_uslugi!$A$3:$T$1500,17))</f>
        <v>BW</v>
      </c>
      <c r="O251" s="11" t="str">
        <f>IF(VLOOKUP(B251,Towary_i_uslugi!$A$4:$U$1200,21,FALSE)&gt;0,VLOOKUP(B251,Towary_i_uslugi!$A$4:$U$1200,21,FALSE),"")</f>
        <v/>
      </c>
      <c r="P251" s="11">
        <f t="shared" si="9"/>
        <v>0</v>
      </c>
      <c r="Q251" s="11">
        <f t="shared" si="10"/>
        <v>0</v>
      </c>
      <c r="R251" s="17">
        <f t="shared" si="11"/>
        <v>0</v>
      </c>
      <c r="S251" s="17">
        <f>VLOOKUP($B251,   MBI_LastBuy!$A$3:E$13199,3,FALSE)</f>
        <v>400</v>
      </c>
      <c r="T251" s="13">
        <f>VLOOKUP($B251,   MBI_LastBuy!$A$3:E$13199,2,FALSE)</f>
        <v>1.1000000000000001</v>
      </c>
      <c r="U251" s="13" t="str">
        <f>VLOOKUP($B251,   MBI_LastBuy!$A$3:E$13199,5,FALSE)</f>
        <v>USD</v>
      </c>
      <c r="V251" s="15">
        <f>VLOOKUP($B251,   MBI_LastBuy!$A$3:E$13199,4,FALSE)</f>
        <v>44071</v>
      </c>
    </row>
    <row r="252" spans="1:22" x14ac:dyDescent="0.25">
      <c r="A252" s="11" t="s">
        <v>3553</v>
      </c>
      <c r="B252" s="11">
        <v>623012</v>
      </c>
      <c r="C252" s="11" t="str">
        <f>VLOOKUP(B252,Towary_i_uslugi!$A$4:$B$1500,2)</f>
        <v>(brak)</v>
      </c>
      <c r="D252" s="11" t="s">
        <v>2839</v>
      </c>
      <c r="E252" s="11">
        <f>VLOOKUP(B252,Towary_i_uslugi!$A$3:$T$1500,3,FALSE)</f>
        <v>60</v>
      </c>
      <c r="F252" s="11" t="str">
        <f>VLOOKUP(B252,Towary_i_uslugi!$A$3:$T$1500,20,FALSE)</f>
        <v>slide blister card</v>
      </c>
      <c r="G252" s="11">
        <f>VLOOKUP(B252,MBI_Dostawcy_towarów!$A$4:$C$1399,3,FALSE)</f>
        <v>0.246</v>
      </c>
      <c r="H252" s="11">
        <v>2</v>
      </c>
      <c r="I252" s="11">
        <v>1</v>
      </c>
      <c r="J252" s="11">
        <v>220</v>
      </c>
      <c r="K252" s="11">
        <f>_xlfn.IFNA(VLOOKUP(B252,Towary_na_zamówieniach!$A$4:$C$1500,2,FALSE),0)</f>
        <v>420</v>
      </c>
      <c r="L252" s="11">
        <f>_xlfn.IFNA(VLOOKUP(B252,Towary_na_zamówieniach!$A$4:$C$1500,3,FALSE),0)</f>
        <v>474.6</v>
      </c>
      <c r="M252" s="11">
        <f>_xlfn.IFNA(VLOOKUP(B252,MBI_Dostawcy_towarów!$A$4:$C$2000,2,FALSE),"N/A")</f>
        <v>90</v>
      </c>
      <c r="N252" s="11" t="str">
        <f>IF(VLOOKUP(B252,Towary_i_uslugi!$A$3:$T$1500,17,FALSE)=0,"!NO SUPPLIER",VLOOKUP(B252,Towary_i_uslugi!$A$3:$T$1500,17))</f>
        <v>FX -MAPLE Frank Xu</v>
      </c>
      <c r="O252" s="11" t="str">
        <f>IF(VLOOKUP(B252,Towary_i_uslugi!$A$4:$U$1200,21,FALSE)&gt;0,VLOOKUP(B252,Towary_i_uslugi!$A$4:$U$1200,21,FALSE),"")</f>
        <v/>
      </c>
      <c r="P252" s="11">
        <f t="shared" si="9"/>
        <v>0</v>
      </c>
      <c r="Q252" s="11">
        <f t="shared" si="10"/>
        <v>0</v>
      </c>
      <c r="R252" s="17">
        <f t="shared" si="11"/>
        <v>0</v>
      </c>
      <c r="S252" s="17">
        <f>VLOOKUP($B252,   MBI_LastBuy!$A$3:E$13199,3,FALSE)</f>
        <v>420</v>
      </c>
      <c r="T252" s="13">
        <f>VLOOKUP($B252,   MBI_LastBuy!$A$3:E$13199,2,FALSE)</f>
        <v>1.1299999999999999</v>
      </c>
      <c r="U252" s="13" t="str">
        <f>VLOOKUP($B252,   MBI_LastBuy!$A$3:E$13199,5,FALSE)</f>
        <v>USD</v>
      </c>
      <c r="V252" s="15">
        <f>VLOOKUP($B252,   MBI_LastBuy!$A$3:E$13199,4,FALSE)</f>
        <v>44028</v>
      </c>
    </row>
    <row r="253" spans="1:22" x14ac:dyDescent="0.25">
      <c r="A253" s="11" t="s">
        <v>3552</v>
      </c>
      <c r="B253" s="11">
        <v>623071</v>
      </c>
      <c r="C253" s="11" t="str">
        <f>VLOOKUP(B253,Towary_i_uslugi!$A$4:$B$1500,2)</f>
        <v>(brak)</v>
      </c>
      <c r="D253" s="11" t="s">
        <v>2840</v>
      </c>
      <c r="E253" s="11">
        <f>VLOOKUP(B253,Towary_i_uslugi!$A$3:$T$1500,3,FALSE)</f>
        <v>4</v>
      </c>
      <c r="F253" s="11" t="str">
        <f>VLOOKUP(B253,Towary_i_uslugi!$A$3:$T$1500,20,FALSE)</f>
        <v>plastic case + shrink+sticker</v>
      </c>
      <c r="G253" s="11">
        <f>VLOOKUP(B253,MBI_Dostawcy_towarów!$A$4:$C$1399,3,FALSE)</f>
        <v>4.79</v>
      </c>
      <c r="H253" s="11">
        <v>1</v>
      </c>
      <c r="I253" s="11">
        <v>0</v>
      </c>
      <c r="J253" s="11">
        <v>32</v>
      </c>
      <c r="K253" s="11">
        <f>_xlfn.IFNA(VLOOKUP(B253,Towary_na_zamówieniach!$A$4:$C$1500,2,FALSE),0)</f>
        <v>64</v>
      </c>
      <c r="L253" s="11">
        <f>_xlfn.IFNA(VLOOKUP(B253,Towary_na_zamówieniach!$A$4:$C$1500,3,FALSE),0)</f>
        <v>758.4</v>
      </c>
      <c r="M253" s="11">
        <f>_xlfn.IFNA(VLOOKUP(B253,MBI_Dostawcy_towarów!$A$4:$C$2000,2,FALSE),"N/A")</f>
        <v>90</v>
      </c>
      <c r="N253" s="11" t="str">
        <f>IF(VLOOKUP(B253,Towary_i_uslugi!$A$3:$T$1500,17,FALSE)=0,"!NO SUPPLIER",VLOOKUP(B253,Towary_i_uslugi!$A$3:$T$1500,17))</f>
        <v>XM</v>
      </c>
      <c r="O253" s="11" t="str">
        <f>IF(VLOOKUP(B253,Towary_i_uslugi!$A$4:$U$1200,21,FALSE)&gt;0,VLOOKUP(B253,Towary_i_uslugi!$A$4:$U$1200,21,FALSE),"")</f>
        <v/>
      </c>
      <c r="P253" s="11">
        <f t="shared" si="9"/>
        <v>0</v>
      </c>
      <c r="Q253" s="11">
        <f t="shared" si="10"/>
        <v>0</v>
      </c>
      <c r="R253" s="17">
        <f t="shared" si="11"/>
        <v>0</v>
      </c>
      <c r="S253" s="17">
        <f>VLOOKUP($B253,   MBI_LastBuy!$A$3:E$13199,3,FALSE)</f>
        <v>64</v>
      </c>
      <c r="T253" s="13">
        <f>VLOOKUP($B253,   MBI_LastBuy!$A$3:E$13199,2,FALSE)</f>
        <v>11.85</v>
      </c>
      <c r="U253" s="13" t="str">
        <f>VLOOKUP($B253,   MBI_LastBuy!$A$3:E$13199,5,FALSE)</f>
        <v>USD</v>
      </c>
      <c r="V253" s="15">
        <f>VLOOKUP($B253,   MBI_LastBuy!$A$3:E$13199,4,FALSE)</f>
        <v>44117</v>
      </c>
    </row>
    <row r="254" spans="1:22" x14ac:dyDescent="0.25">
      <c r="A254" s="11" t="s">
        <v>3552</v>
      </c>
      <c r="B254" s="11">
        <v>623090</v>
      </c>
      <c r="C254" s="11" t="str">
        <f>VLOOKUP(B254,Towary_i_uslugi!$A$4:$B$1500,2)</f>
        <v>(brak)</v>
      </c>
      <c r="D254" s="11" t="s">
        <v>2460</v>
      </c>
      <c r="E254" s="11">
        <f>VLOOKUP(B254,Towary_i_uslugi!$A$3:$T$1500,3,FALSE)</f>
        <v>4</v>
      </c>
      <c r="F254" s="11" t="str">
        <f>VLOOKUP(B254,Towary_i_uslugi!$A$3:$T$1500,20,FALSE)</f>
        <v>plastic case</v>
      </c>
      <c r="G254" s="11">
        <f>VLOOKUP(B254,MBI_Dostawcy_towarów!$A$4:$C$1399,3,FALSE)</f>
        <v>6</v>
      </c>
      <c r="H254" s="11">
        <v>2</v>
      </c>
      <c r="I254" s="11">
        <v>1</v>
      </c>
      <c r="J254" s="11">
        <v>140</v>
      </c>
      <c r="K254" s="11">
        <f>_xlfn.IFNA(VLOOKUP(B254,Towary_na_zamówieniach!$A$4:$C$1500,2,FALSE),0)</f>
        <v>308</v>
      </c>
      <c r="L254" s="11">
        <f>_xlfn.IFNA(VLOOKUP(B254,Towary_na_zamówieniach!$A$4:$C$1500,3,FALSE),0)</f>
        <v>4477.2</v>
      </c>
      <c r="M254" s="11">
        <f>_xlfn.IFNA(VLOOKUP(B254,MBI_Dostawcy_towarów!$A$4:$C$2000,2,FALSE),"N/A")</f>
        <v>90</v>
      </c>
      <c r="N254" s="11" t="str">
        <f>IF(VLOOKUP(B254,Towary_i_uslugi!$A$3:$T$1500,17,FALSE)=0,"!NO SUPPLIER",VLOOKUP(B254,Towary_i_uslugi!$A$3:$T$1500,17))</f>
        <v>XM</v>
      </c>
      <c r="O254" s="11" t="str">
        <f>IF(VLOOKUP(B254,Towary_i_uslugi!$A$4:$U$1200,21,FALSE)&gt;0,VLOOKUP(B254,Towary_i_uslugi!$A$4:$U$1200,21,FALSE),"")</f>
        <v/>
      </c>
      <c r="P254" s="11">
        <f t="shared" si="9"/>
        <v>0</v>
      </c>
      <c r="Q254" s="11">
        <f t="shared" si="10"/>
        <v>0</v>
      </c>
      <c r="R254" s="17">
        <f t="shared" si="11"/>
        <v>0</v>
      </c>
      <c r="S254" s="17">
        <f>VLOOKUP($B254,   MBI_LastBuy!$A$3:E$13199,3,FALSE)</f>
        <v>168</v>
      </c>
      <c r="T254" s="13">
        <f>VLOOKUP($B254,   MBI_LastBuy!$A$3:E$13199,2,FALSE)</f>
        <v>15</v>
      </c>
      <c r="U254" s="13" t="str">
        <f>VLOOKUP($B254,   MBI_LastBuy!$A$3:E$13199,5,FALSE)</f>
        <v>USD</v>
      </c>
      <c r="V254" s="15">
        <f>VLOOKUP($B254,   MBI_LastBuy!$A$3:E$13199,4,FALSE)</f>
        <v>44140</v>
      </c>
    </row>
    <row r="255" spans="1:22" x14ac:dyDescent="0.25">
      <c r="A255" s="11" t="s">
        <v>3555</v>
      </c>
      <c r="B255" s="11">
        <v>624241</v>
      </c>
      <c r="C255" s="11" t="str">
        <f>VLOOKUP(B255,Towary_i_uslugi!$A$4:$B$1500,2)</f>
        <v>(brak)</v>
      </c>
      <c r="D255" s="11" t="s">
        <v>36</v>
      </c>
      <c r="E255" s="11">
        <f>VLOOKUP(B255,Towary_i_uslugi!$A$3:$T$1500,3,FALSE)</f>
        <v>16</v>
      </c>
      <c r="F255" s="11" t="str">
        <f>VLOOKUP(B255,Towary_i_uslugi!$A$3:$T$1500,20,FALSE)</f>
        <v>metal case</v>
      </c>
      <c r="G255" s="11">
        <f>VLOOKUP(B255,MBI_Dostawcy_towarów!$A$4:$C$1399,3,FALSE)</f>
        <v>1.0249999999999999</v>
      </c>
      <c r="H255" s="11">
        <v>1</v>
      </c>
      <c r="I255" s="11">
        <v>0</v>
      </c>
      <c r="J255" s="11">
        <v>160</v>
      </c>
      <c r="K255" s="11">
        <f>_xlfn.IFNA(VLOOKUP(B255,Towary_na_zamówieniach!$A$4:$C$1500,2,FALSE),0)</f>
        <v>160</v>
      </c>
      <c r="L255" s="11">
        <f>_xlfn.IFNA(VLOOKUP(B255,Towary_na_zamówieniach!$A$4:$C$1500,3,FALSE),0)</f>
        <v>1376</v>
      </c>
      <c r="M255" s="11">
        <f>_xlfn.IFNA(VLOOKUP(B255,MBI_Dostawcy_towarów!$A$4:$C$2000,2,FALSE),"N/A")</f>
        <v>90</v>
      </c>
      <c r="N255" s="11" t="str">
        <f>IF(VLOOKUP(B255,Towary_i_uslugi!$A$3:$T$1500,17,FALSE)=0,"!NO SUPPLIER",VLOOKUP(B255,Towary_i_uslugi!$A$3:$T$1500,17))</f>
        <v xml:space="preserve">HQ - Canada </v>
      </c>
      <c r="O255" s="11" t="str">
        <f>IF(VLOOKUP(B255,Towary_i_uslugi!$A$4:$U$1200,21,FALSE)&gt;0,VLOOKUP(B255,Towary_i_uslugi!$A$4:$U$1200,21,FALSE),"")</f>
        <v>PFA*28.11.19*zmiana we wzorcowni</v>
      </c>
      <c r="P255" s="11">
        <f t="shared" si="9"/>
        <v>0</v>
      </c>
      <c r="Q255" s="11">
        <f t="shared" si="10"/>
        <v>0</v>
      </c>
      <c r="R255" s="17">
        <f t="shared" si="11"/>
        <v>0</v>
      </c>
      <c r="S255" s="17">
        <f>VLOOKUP($B255,   MBI_LastBuy!$A$3:E$13199,3,FALSE)</f>
        <v>160</v>
      </c>
      <c r="T255" s="13">
        <f>VLOOKUP($B255,   MBI_LastBuy!$A$3:E$13199,2,FALSE)</f>
        <v>8.6</v>
      </c>
      <c r="U255" s="13" t="str">
        <f>VLOOKUP($B255,   MBI_LastBuy!$A$3:E$13199,5,FALSE)</f>
        <v>USD</v>
      </c>
      <c r="V255" s="15">
        <f>VLOOKUP($B255,   MBI_LastBuy!$A$3:E$13199,4,FALSE)</f>
        <v>44035</v>
      </c>
    </row>
    <row r="256" spans="1:22" x14ac:dyDescent="0.25">
      <c r="A256" s="11" t="s">
        <v>3553</v>
      </c>
      <c r="B256" s="11">
        <v>624400</v>
      </c>
      <c r="C256" s="11" t="str">
        <f>VLOOKUP(B256,Towary_i_uslugi!$A$4:$B$1500,2)</f>
        <v>(brak)</v>
      </c>
      <c r="D256" s="11" t="s">
        <v>3643</v>
      </c>
      <c r="E256" s="11">
        <f>VLOOKUP(B256,Towary_i_uslugi!$A$3:$T$1500,3,FALSE)</f>
        <v>20</v>
      </c>
      <c r="F256" s="11" t="str">
        <f>VLOOKUP(B256,Towary_i_uslugi!$A$3:$T$1500,20,FALSE)</f>
        <v>photo color box</v>
      </c>
      <c r="G256" s="11">
        <f>VLOOKUP(B256,MBI_Dostawcy_towarów!$A$4:$C$1399,3,FALSE)</f>
        <v>1.04</v>
      </c>
      <c r="H256" s="11">
        <v>217</v>
      </c>
      <c r="I256" s="11">
        <v>0</v>
      </c>
      <c r="J256" s="11">
        <v>220</v>
      </c>
      <c r="K256" s="11">
        <f>_xlfn.IFNA(VLOOKUP(B256,Towary_na_zamówieniach!$A$4:$C$1500,2,FALSE),0)</f>
        <v>0</v>
      </c>
      <c r="L256" s="11">
        <f>_xlfn.IFNA(VLOOKUP(B256,Towary_na_zamówieniach!$A$4:$C$1500,3,FALSE),0)</f>
        <v>0</v>
      </c>
      <c r="M256" s="11">
        <f>_xlfn.IFNA(VLOOKUP(B256,MBI_Dostawcy_towarów!$A$4:$C$2000,2,FALSE),"N/A")</f>
        <v>90</v>
      </c>
      <c r="N256" s="11" t="str">
        <f>IF(VLOOKUP(B256,Towary_i_uslugi!$A$3:$T$1500,17,FALSE)=0,"!NO SUPPLIER",VLOOKUP(B256,Towary_i_uslugi!$A$3:$T$1500,17))</f>
        <v>FX -MAPLE Frank Xu</v>
      </c>
      <c r="O256" s="11" t="str">
        <f>IF(VLOOKUP(B256,Towary_i_uslugi!$A$4:$U$1200,21,FALSE)&gt;0,VLOOKUP(B256,Towary_i_uslugi!$A$4:$U$1200,21,FALSE),"")</f>
        <v/>
      </c>
      <c r="P256" s="11">
        <f t="shared" si="9"/>
        <v>11</v>
      </c>
      <c r="Q256" s="11">
        <f t="shared" si="10"/>
        <v>220</v>
      </c>
      <c r="R256" s="17">
        <f t="shared" si="11"/>
        <v>1243</v>
      </c>
      <c r="S256" s="17">
        <f>VLOOKUP($B256,   MBI_LastBuy!$A$3:E$13199,3,FALSE)</f>
        <v>300</v>
      </c>
      <c r="T256" s="13">
        <f>VLOOKUP($B256,   MBI_LastBuy!$A$3:E$13199,2,FALSE)</f>
        <v>5.65</v>
      </c>
      <c r="U256" s="13" t="str">
        <f>VLOOKUP($B256,   MBI_LastBuy!$A$3:E$13199,5,FALSE)</f>
        <v>USD</v>
      </c>
      <c r="V256" s="15">
        <f>VLOOKUP($B256,   MBI_LastBuy!$A$3:E$13199,4,FALSE)</f>
        <v>43972</v>
      </c>
    </row>
    <row r="257" spans="1:22" x14ac:dyDescent="0.25">
      <c r="A257" s="11" t="s">
        <v>3555</v>
      </c>
      <c r="B257" s="11">
        <v>624600</v>
      </c>
      <c r="C257" s="11" t="str">
        <f>VLOOKUP(B257,Towary_i_uslugi!$A$4:$B$1500,2)</f>
        <v>(brak)</v>
      </c>
      <c r="D257" s="11" t="s">
        <v>37</v>
      </c>
      <c r="E257" s="11">
        <f>VLOOKUP(B257,Towary_i_uslugi!$A$3:$T$1500,3,FALSE)</f>
        <v>10</v>
      </c>
      <c r="F257" s="11" t="str">
        <f>VLOOKUP(B257,Towary_i_uslugi!$A$3:$T$1500,20,FALSE)</f>
        <v>sticker+ shrink foil</v>
      </c>
      <c r="G257" s="11">
        <f>VLOOKUP(B257,MBI_Dostawcy_towarów!$A$4:$C$1399,3,FALSE)</f>
        <v>2.14</v>
      </c>
      <c r="H257" s="11">
        <v>3</v>
      </c>
      <c r="I257" s="11">
        <v>0</v>
      </c>
      <c r="J257" s="11">
        <v>200</v>
      </c>
      <c r="K257" s="11">
        <f>_xlfn.IFNA(VLOOKUP(B257,Towary_na_zamówieniach!$A$4:$C$1500,2,FALSE),0)</f>
        <v>241</v>
      </c>
      <c r="L257" s="11">
        <f>_xlfn.IFNA(VLOOKUP(B257,Towary_na_zamówieniach!$A$4:$C$1500,3,FALSE),0)</f>
        <v>4046.4</v>
      </c>
      <c r="M257" s="11">
        <f>_xlfn.IFNA(VLOOKUP(B257,MBI_Dostawcy_towarów!$A$4:$C$2000,2,FALSE),"N/A")</f>
        <v>90</v>
      </c>
      <c r="N257" s="11" t="str">
        <f>IF(VLOOKUP(B257,Towary_i_uslugi!$A$3:$T$1500,17,FALSE)=0,"!NO SUPPLIER",VLOOKUP(B257,Towary_i_uslugi!$A$3:$T$1500,17))</f>
        <v xml:space="preserve">HQ - Canada </v>
      </c>
      <c r="O257" s="11" t="str">
        <f>IF(VLOOKUP(B257,Towary_i_uslugi!$A$4:$U$1200,21,FALSE)&gt;0,VLOOKUP(B257,Towary_i_uslugi!$A$4:$U$1200,21,FALSE),"")</f>
        <v/>
      </c>
      <c r="P257" s="11">
        <f t="shared" si="9"/>
        <v>0</v>
      </c>
      <c r="Q257" s="11">
        <f t="shared" si="10"/>
        <v>0</v>
      </c>
      <c r="R257" s="17">
        <f t="shared" si="11"/>
        <v>0</v>
      </c>
      <c r="S257" s="17">
        <f>VLOOKUP($B257,   MBI_LastBuy!$A$3:E$13199,3,FALSE)</f>
        <v>240</v>
      </c>
      <c r="T257" s="13">
        <f>VLOOKUP($B257,   MBI_LastBuy!$A$3:E$13199,2,FALSE)</f>
        <v>16.86</v>
      </c>
      <c r="U257" s="13" t="str">
        <f>VLOOKUP($B257,   MBI_LastBuy!$A$3:E$13199,5,FALSE)</f>
        <v>USD</v>
      </c>
      <c r="V257" s="15">
        <f>VLOOKUP($B257,   MBI_LastBuy!$A$3:E$13199,4,FALSE)</f>
        <v>43985</v>
      </c>
    </row>
    <row r="258" spans="1:22" x14ac:dyDescent="0.25">
      <c r="A258" s="11" t="s">
        <v>3569</v>
      </c>
      <c r="B258" s="11">
        <v>625121</v>
      </c>
      <c r="C258" s="11" t="str">
        <f>VLOOKUP(B258,Towary_i_uslugi!$A$4:$B$1500,2)</f>
        <v>(brak)</v>
      </c>
      <c r="D258" s="11" t="s">
        <v>3644</v>
      </c>
      <c r="E258" s="11">
        <f>VLOOKUP(B258,Towary_i_uslugi!$A$3:$T$1500,3,FALSE)</f>
        <v>240</v>
      </c>
      <c r="F258" s="11" t="str">
        <f>VLOOKUP(B258,Towary_i_uslugi!$A$3:$T$1500,20,FALSE)</f>
        <v>carton header</v>
      </c>
      <c r="G258" s="11">
        <f>VLOOKUP(B258,MBI_Dostawcy_towarów!$A$4:$C$1399,3,FALSE)</f>
        <v>0.13800000000000001</v>
      </c>
      <c r="H258" s="11">
        <v>1</v>
      </c>
      <c r="I258" s="11">
        <v>0</v>
      </c>
      <c r="J258" s="11">
        <v>240</v>
      </c>
      <c r="K258" s="11">
        <f>_xlfn.IFNA(VLOOKUP(B258,Towary_na_zamówieniach!$A$4:$C$1500,2,FALSE),0)</f>
        <v>0</v>
      </c>
      <c r="L258" s="11">
        <f>_xlfn.IFNA(VLOOKUP(B258,Towary_na_zamówieniach!$A$4:$C$1500,3,FALSE),0)</f>
        <v>0</v>
      </c>
      <c r="M258" s="11">
        <f>_xlfn.IFNA(VLOOKUP(B258,MBI_Dostawcy_towarów!$A$4:$C$2000,2,FALSE),"N/A")</f>
        <v>5</v>
      </c>
      <c r="N258" s="11" t="str">
        <f>IF(VLOOKUP(B258,Towary_i_uslugi!$A$3:$T$1500,17,FALSE)=0,"!NO SUPPLIER",VLOOKUP(B258,Towary_i_uslugi!$A$3:$T$1500,17))</f>
        <v>ANGERMAN</v>
      </c>
      <c r="O258" s="11" t="str">
        <f>IF(VLOOKUP(B258,Towary_i_uslugi!$A$4:$U$1200,21,FALSE)&gt;0,VLOOKUP(B258,Towary_i_uslugi!$A$4:$U$1200,21,FALSE),"")</f>
        <v/>
      </c>
      <c r="P258" s="11">
        <f t="shared" si="9"/>
        <v>1</v>
      </c>
      <c r="Q258" s="11">
        <f t="shared" si="10"/>
        <v>240</v>
      </c>
      <c r="R258" s="17">
        <f t="shared" si="11"/>
        <v>1032</v>
      </c>
      <c r="S258" s="17">
        <f>VLOOKUP($B258,   MBI_LastBuy!$A$3:E$13199,3,FALSE)</f>
        <v>360</v>
      </c>
      <c r="T258" s="13">
        <f>VLOOKUP($B258,   MBI_LastBuy!$A$3:E$13199,2,FALSE)</f>
        <v>4.3</v>
      </c>
      <c r="U258" s="13" t="str">
        <f>VLOOKUP($B258,   MBI_LastBuy!$A$3:E$13199,5,FALSE)</f>
        <v>PLN</v>
      </c>
      <c r="V258" s="15">
        <f>VLOOKUP($B258,   MBI_LastBuy!$A$3:E$13199,4,FALSE)</f>
        <v>43621</v>
      </c>
    </row>
    <row r="259" spans="1:22" x14ac:dyDescent="0.25">
      <c r="A259" s="11" t="s">
        <v>3553</v>
      </c>
      <c r="B259" s="11">
        <v>626905</v>
      </c>
      <c r="C259" s="11" t="str">
        <f>VLOOKUP(B259,Towary_i_uslugi!$A$4:$B$1500,2)</f>
        <v>(brak)</v>
      </c>
      <c r="D259" s="11" t="s">
        <v>2398</v>
      </c>
      <c r="E259" s="11">
        <f>VLOOKUP(B259,Towary_i_uslugi!$A$3:$T$1500,3,FALSE)</f>
        <v>50</v>
      </c>
      <c r="F259" s="11" t="str">
        <f>VLOOKUP(B259,Towary_i_uslugi!$A$3:$T$1500,20,FALSE)</f>
        <v>PVC bag w/header</v>
      </c>
      <c r="G259" s="11">
        <f>VLOOKUP(B259,MBI_Dostawcy_towarów!$A$4:$C$1399,3,FALSE)</f>
        <v>0.27500000000000002</v>
      </c>
      <c r="H259" s="11">
        <v>115</v>
      </c>
      <c r="I259" s="11">
        <v>50</v>
      </c>
      <c r="J259" s="11">
        <v>450</v>
      </c>
      <c r="K259" s="11">
        <f>_xlfn.IFNA(VLOOKUP(B259,Towary_na_zamówieniach!$A$4:$C$1500,2,FALSE),0)</f>
        <v>500</v>
      </c>
      <c r="L259" s="11">
        <f>_xlfn.IFNA(VLOOKUP(B259,Towary_na_zamówieniach!$A$4:$C$1500,3,FALSE),0)</f>
        <v>675</v>
      </c>
      <c r="M259" s="11">
        <f>_xlfn.IFNA(VLOOKUP(B259,MBI_Dostawcy_towarów!$A$4:$C$2000,2,FALSE),"N/A")</f>
        <v>90</v>
      </c>
      <c r="N259" s="11" t="str">
        <f>IF(VLOOKUP(B259,Towary_i_uslugi!$A$3:$T$1500,17,FALSE)=0,"!NO SUPPLIER",VLOOKUP(B259,Towary_i_uslugi!$A$3:$T$1500,17))</f>
        <v>FX -MAPLE Frank Xu</v>
      </c>
      <c r="O259" s="11" t="str">
        <f>IF(VLOOKUP(B259,Towary_i_uslugi!$A$4:$U$1200,21,FALSE)&gt;0,VLOOKUP(B259,Towary_i_uslugi!$A$4:$U$1200,21,FALSE),"")</f>
        <v/>
      </c>
      <c r="P259" s="11">
        <f t="shared" ref="P259:P322" si="12">IF(K259=0,ROUNDUP(J259/E259,0),IF((K259+H259-I259)/J259&lt;1,ROUNDUP(J259/E259,0),0))</f>
        <v>0</v>
      </c>
      <c r="Q259" s="11">
        <f t="shared" ref="Q259:Q322" si="13">P259*E259</f>
        <v>0</v>
      </c>
      <c r="R259" s="17">
        <f t="shared" ref="R259:R322" si="14">Q259*T259</f>
        <v>0</v>
      </c>
      <c r="S259" s="17">
        <f>VLOOKUP($B259,   MBI_LastBuy!$A$3:E$13199,3,FALSE)</f>
        <v>500</v>
      </c>
      <c r="T259" s="13">
        <f>VLOOKUP($B259,   MBI_LastBuy!$A$3:E$13199,2,FALSE)</f>
        <v>1.35</v>
      </c>
      <c r="U259" s="13" t="str">
        <f>VLOOKUP($B259,   MBI_LastBuy!$A$3:E$13199,5,FALSE)</f>
        <v>USD</v>
      </c>
      <c r="V259" s="15">
        <f>VLOOKUP($B259,   MBI_LastBuy!$A$3:E$13199,4,FALSE)</f>
        <v>44083</v>
      </c>
    </row>
    <row r="260" spans="1:22" x14ac:dyDescent="0.25">
      <c r="A260" s="11" t="s">
        <v>3555</v>
      </c>
      <c r="B260" s="11">
        <v>627031</v>
      </c>
      <c r="C260" s="11" t="str">
        <f>VLOOKUP(B260,Towary_i_uslugi!$A$4:$B$1500,2)</f>
        <v>(brak)</v>
      </c>
      <c r="D260" s="11" t="s">
        <v>2627</v>
      </c>
      <c r="E260" s="11">
        <f>VLOOKUP(B260,Towary_i_uslugi!$A$3:$T$1500,3,FALSE)</f>
        <v>100</v>
      </c>
      <c r="F260" s="11" t="str">
        <f>VLOOKUP(B260,Towary_i_uslugi!$A$3:$T$1500,20,FALSE)</f>
        <v>sticker</v>
      </c>
      <c r="G260" s="11">
        <f>VLOOKUP(B260,MBI_Dostawcy_towarów!$A$4:$C$1399,3,FALSE)</f>
        <v>8.5999999999999993E-2</v>
      </c>
      <c r="H260" s="11">
        <v>223</v>
      </c>
      <c r="I260" s="11">
        <v>20</v>
      </c>
      <c r="J260" s="11">
        <v>800</v>
      </c>
      <c r="K260" s="11">
        <f>_xlfn.IFNA(VLOOKUP(B260,Towary_na_zamówieniach!$A$4:$C$1500,2,FALSE),0)</f>
        <v>1200</v>
      </c>
      <c r="L260" s="11">
        <f>_xlfn.IFNA(VLOOKUP(B260,Towary_na_zamówieniach!$A$4:$C$1500,3,FALSE),0)</f>
        <v>790.8</v>
      </c>
      <c r="M260" s="11">
        <f>_xlfn.IFNA(VLOOKUP(B260,MBI_Dostawcy_towarów!$A$4:$C$2000,2,FALSE),"N/A")</f>
        <v>90</v>
      </c>
      <c r="N260" s="11" t="str">
        <f>IF(VLOOKUP(B260,Towary_i_uslugi!$A$3:$T$1500,17,FALSE)=0,"!NO SUPPLIER",VLOOKUP(B260,Towary_i_uslugi!$A$3:$T$1500,17))</f>
        <v>HQ - Canada - PRZYJĘCIE TOWARU</v>
      </c>
      <c r="O260" s="11" t="str">
        <f>IF(VLOOKUP(B260,Towary_i_uslugi!$A$4:$U$1200,21,FALSE)&gt;0,VLOOKUP(B260,Towary_i_uslugi!$A$4:$U$1200,21,FALSE),"")</f>
        <v/>
      </c>
      <c r="P260" s="11">
        <f t="shared" si="12"/>
        <v>0</v>
      </c>
      <c r="Q260" s="11">
        <f t="shared" si="13"/>
        <v>0</v>
      </c>
      <c r="R260" s="17">
        <f t="shared" si="14"/>
        <v>0</v>
      </c>
      <c r="S260" s="17">
        <f>VLOOKUP($B260,   MBI_LastBuy!$A$3:E$13199,3,FALSE)</f>
        <v>1200</v>
      </c>
      <c r="T260" s="13">
        <f>VLOOKUP($B260,   MBI_LastBuy!$A$3:E$13199,2,FALSE)</f>
        <v>0.65900000000000003</v>
      </c>
      <c r="U260" s="13" t="str">
        <f>VLOOKUP($B260,   MBI_LastBuy!$A$3:E$13199,5,FALSE)</f>
        <v>USD</v>
      </c>
      <c r="V260" s="15">
        <f>VLOOKUP($B260,   MBI_LastBuy!$A$3:E$13199,4,FALSE)</f>
        <v>44070</v>
      </c>
    </row>
    <row r="261" spans="1:22" x14ac:dyDescent="0.25">
      <c r="A261" s="11" t="s">
        <v>3552</v>
      </c>
      <c r="B261" s="11">
        <v>627200</v>
      </c>
      <c r="C261" s="11" t="str">
        <f>VLOOKUP(B261,Towary_i_uslugi!$A$4:$B$1500,2)</f>
        <v>(brak)</v>
      </c>
      <c r="D261" s="11" t="s">
        <v>3645</v>
      </c>
      <c r="E261" s="11">
        <f>VLOOKUP(B261,Towary_i_uslugi!$A$3:$T$1500,3,FALSE)</f>
        <v>100</v>
      </c>
      <c r="F261" s="11" t="str">
        <f>VLOOKUP(B261,Towary_i_uslugi!$A$3:$T$1500,20,FALSE)</f>
        <v>pvc shrink</v>
      </c>
      <c r="G261" s="11">
        <f>VLOOKUP(B261,MBI_Dostawcy_towarów!$A$4:$C$1399,3,FALSE)</f>
        <v>0.1</v>
      </c>
      <c r="H261" s="11">
        <v>711</v>
      </c>
      <c r="I261" s="11">
        <v>221</v>
      </c>
      <c r="J261" s="11">
        <v>1000</v>
      </c>
      <c r="K261" s="11">
        <f>_xlfn.IFNA(VLOOKUP(B261,Towary_na_zamówieniach!$A$4:$C$1500,2,FALSE),0)</f>
        <v>0</v>
      </c>
      <c r="L261" s="11">
        <f>_xlfn.IFNA(VLOOKUP(B261,Towary_na_zamówieniach!$A$4:$C$1500,3,FALSE),0)</f>
        <v>0</v>
      </c>
      <c r="M261" s="11">
        <f>_xlfn.IFNA(VLOOKUP(B261,MBI_Dostawcy_towarów!$A$4:$C$2000,2,FALSE),"N/A")</f>
        <v>90</v>
      </c>
      <c r="N261" s="11" t="str">
        <f>IF(VLOOKUP(B261,Towary_i_uslugi!$A$3:$T$1500,17,FALSE)=0,"!NO SUPPLIER",VLOOKUP(B261,Towary_i_uslugi!$A$3:$T$1500,17))</f>
        <v>XM</v>
      </c>
      <c r="O261" s="11" t="str">
        <f>IF(VLOOKUP(B261,Towary_i_uslugi!$A$4:$U$1200,21,FALSE)&gt;0,VLOOKUP(B261,Towary_i_uslugi!$A$4:$U$1200,21,FALSE),"")</f>
        <v/>
      </c>
      <c r="P261" s="11">
        <f t="shared" si="12"/>
        <v>10</v>
      </c>
      <c r="Q261" s="11">
        <f t="shared" si="13"/>
        <v>1000</v>
      </c>
      <c r="R261" s="17">
        <f t="shared" si="14"/>
        <v>280</v>
      </c>
      <c r="S261" s="17">
        <f>VLOOKUP($B261,   MBI_LastBuy!$A$3:E$13199,3,FALSE)</f>
        <v>2400</v>
      </c>
      <c r="T261" s="13">
        <f>VLOOKUP($B261,   MBI_LastBuy!$A$3:E$13199,2,FALSE)</f>
        <v>0.28000000000000003</v>
      </c>
      <c r="U261" s="13" t="str">
        <f>VLOOKUP($B261,   MBI_LastBuy!$A$3:E$13199,5,FALSE)</f>
        <v>USD</v>
      </c>
      <c r="V261" s="15">
        <f>VLOOKUP($B261,   MBI_LastBuy!$A$3:E$13199,4,FALSE)</f>
        <v>43427</v>
      </c>
    </row>
    <row r="262" spans="1:22" x14ac:dyDescent="0.25">
      <c r="A262" s="11" t="s">
        <v>3561</v>
      </c>
      <c r="B262" s="11">
        <v>627531</v>
      </c>
      <c r="C262" s="11" t="str">
        <f>VLOOKUP(B262,Towary_i_uslugi!$A$4:$B$1500,2)</f>
        <v>(brak)</v>
      </c>
      <c r="D262" s="11" t="s">
        <v>3646</v>
      </c>
      <c r="E262" s="11">
        <f>VLOOKUP(B262,Towary_i_uslugi!$A$3:$T$1500,3,FALSE)</f>
        <v>36</v>
      </c>
      <c r="F262" s="11" t="str">
        <f>VLOOKUP(B262,Towary_i_uslugi!$A$3:$T$1500,20,FALSE)</f>
        <v>sticker - bulk packing</v>
      </c>
      <c r="G262" s="11">
        <f>VLOOKUP(B262,MBI_Dostawcy_towarów!$A$4:$C$1399,3,FALSE)</f>
        <v>0.115</v>
      </c>
      <c r="H262" s="11">
        <v>0</v>
      </c>
      <c r="I262" s="11">
        <v>0</v>
      </c>
      <c r="J262" s="11">
        <v>180</v>
      </c>
      <c r="K262" s="11">
        <f>_xlfn.IFNA(VLOOKUP(B262,Towary_na_zamówieniach!$A$4:$C$1500,2,FALSE),0)</f>
        <v>0</v>
      </c>
      <c r="L262" s="11">
        <f>_xlfn.IFNA(VLOOKUP(B262,Towary_na_zamówieniach!$A$4:$C$1500,3,FALSE),0)</f>
        <v>0</v>
      </c>
      <c r="M262" s="11">
        <f>_xlfn.IFNA(VLOOKUP(B262,MBI_Dostawcy_towarów!$A$4:$C$2000,2,FALSE),"N/A")</f>
        <v>7</v>
      </c>
      <c r="N262" s="11" t="str">
        <f>IF(VLOOKUP(B262,Towary_i_uslugi!$A$3:$T$1500,17,FALSE)=0,"!NO SUPPLIER",VLOOKUP(B262,Towary_i_uslugi!$A$3:$T$1500,17))</f>
        <v>SABA Sp. z o.o.</v>
      </c>
      <c r="O262" s="11" t="str">
        <f>IF(VLOOKUP(B262,Towary_i_uslugi!$A$4:$U$1200,21,FALSE)&gt;0,VLOOKUP(B262,Towary_i_uslugi!$A$4:$U$1200,21,FALSE),"")</f>
        <v/>
      </c>
      <c r="P262" s="11">
        <f t="shared" si="12"/>
        <v>5</v>
      </c>
      <c r="Q262" s="11">
        <f t="shared" si="13"/>
        <v>180</v>
      </c>
      <c r="R262" s="17" t="e">
        <f t="shared" si="14"/>
        <v>#N/A</v>
      </c>
      <c r="S262" s="17" t="e">
        <f>VLOOKUP($B262,   MBI_LastBuy!$A$3:E$13199,3,FALSE)</f>
        <v>#N/A</v>
      </c>
      <c r="T262" s="13" t="e">
        <f>VLOOKUP($B262,   MBI_LastBuy!$A$3:E$13199,2,FALSE)</f>
        <v>#N/A</v>
      </c>
      <c r="U262" s="13" t="e">
        <f>VLOOKUP($B262,   MBI_LastBuy!$A$3:E$13199,5,FALSE)</f>
        <v>#N/A</v>
      </c>
      <c r="V262" s="15" t="e">
        <f>VLOOKUP($B262,   MBI_LastBuy!$A$3:E$13199,4,FALSE)</f>
        <v>#N/A</v>
      </c>
    </row>
    <row r="263" spans="1:22" x14ac:dyDescent="0.25">
      <c r="A263" s="11" t="s">
        <v>3552</v>
      </c>
      <c r="B263" s="11">
        <v>628350</v>
      </c>
      <c r="C263" s="11" t="str">
        <f>VLOOKUP(B263,Towary_i_uslugi!$A$4:$B$1500,2)</f>
        <v>(brak)</v>
      </c>
      <c r="D263" s="11" t="s">
        <v>1593</v>
      </c>
      <c r="E263" s="11">
        <f>VLOOKUP(B263,Towary_i_uslugi!$A$3:$T$1500,3,FALSE)</f>
        <v>40</v>
      </c>
      <c r="F263" s="11" t="str">
        <f>VLOOKUP(B263,Towary_i_uslugi!$A$3:$T$1500,20,FALSE)</f>
        <v>carton hanger</v>
      </c>
      <c r="G263" s="11">
        <f>VLOOKUP(B263,MBI_Dostawcy_towarów!$A$4:$C$1399,3,FALSE)</f>
        <v>0.29299999999999998</v>
      </c>
      <c r="H263" s="11">
        <v>1</v>
      </c>
      <c r="I263" s="11">
        <v>0</v>
      </c>
      <c r="J263" s="11">
        <v>4000</v>
      </c>
      <c r="K263" s="11">
        <f>_xlfn.IFNA(VLOOKUP(B263,Towary_na_zamówieniach!$A$4:$C$1500,2,FALSE),0)</f>
        <v>6720</v>
      </c>
      <c r="L263" s="11">
        <f>_xlfn.IFNA(VLOOKUP(B263,Towary_na_zamówieniach!$A$4:$C$1500,3,FALSE),0)</f>
        <v>4433.76</v>
      </c>
      <c r="M263" s="11">
        <f>_xlfn.IFNA(VLOOKUP(B263,MBI_Dostawcy_towarów!$A$4:$C$2000,2,FALSE),"N/A")</f>
        <v>90</v>
      </c>
      <c r="N263" s="11" t="str">
        <f>IF(VLOOKUP(B263,Towary_i_uslugi!$A$3:$T$1500,17,FALSE)=0,"!NO SUPPLIER",VLOOKUP(B263,Towary_i_uslugi!$A$3:$T$1500,17))</f>
        <v>XM</v>
      </c>
      <c r="O263" s="11" t="str">
        <f>IF(VLOOKUP(B263,Towary_i_uslugi!$A$4:$U$1200,21,FALSE)&gt;0,VLOOKUP(B263,Towary_i_uslugi!$A$4:$U$1200,21,FALSE),"")</f>
        <v/>
      </c>
      <c r="P263" s="11">
        <f t="shared" si="12"/>
        <v>0</v>
      </c>
      <c r="Q263" s="11">
        <f t="shared" si="13"/>
        <v>0</v>
      </c>
      <c r="R263" s="17">
        <f t="shared" si="14"/>
        <v>0</v>
      </c>
      <c r="S263" s="17">
        <f>VLOOKUP($B263,   MBI_LastBuy!$A$3:E$13199,3,FALSE)</f>
        <v>2400</v>
      </c>
      <c r="T263" s="13">
        <f>VLOOKUP($B263,   MBI_LastBuy!$A$3:E$13199,2,FALSE)</f>
        <v>0.66500000000000004</v>
      </c>
      <c r="U263" s="13" t="str">
        <f>VLOOKUP($B263,   MBI_LastBuy!$A$3:E$13199,5,FALSE)</f>
        <v>USD</v>
      </c>
      <c r="V263" s="15">
        <f>VLOOKUP($B263,   MBI_LastBuy!$A$3:E$13199,4,FALSE)</f>
        <v>44140</v>
      </c>
    </row>
    <row r="264" spans="1:22" x14ac:dyDescent="0.25">
      <c r="A264" s="11" t="s">
        <v>3552</v>
      </c>
      <c r="B264" s="11">
        <v>628365</v>
      </c>
      <c r="C264" s="11" t="str">
        <f>VLOOKUP(B264,Towary_i_uslugi!$A$4:$B$1500,2)</f>
        <v>(brak)</v>
      </c>
      <c r="D264" s="11" t="s">
        <v>2686</v>
      </c>
      <c r="E264" s="11">
        <f>VLOOKUP(B264,Towary_i_uslugi!$A$3:$T$1500,3,FALSE)</f>
        <v>20</v>
      </c>
      <c r="F264" s="11" t="str">
        <f>VLOOKUP(B264,Towary_i_uslugi!$A$3:$T$1500,20,FALSE)</f>
        <v>carton hanger</v>
      </c>
      <c r="G264" s="11">
        <f>VLOOKUP(B264,MBI_Dostawcy_towarów!$A$4:$C$1399,3,FALSE)</f>
        <v>0.60899999999999999</v>
      </c>
      <c r="H264" s="11">
        <v>2</v>
      </c>
      <c r="I264" s="11">
        <v>1</v>
      </c>
      <c r="J264" s="11">
        <v>700</v>
      </c>
      <c r="K264" s="11">
        <f>_xlfn.IFNA(VLOOKUP(B264,Towary_na_zamówieniach!$A$4:$C$1500,2,FALSE),0)</f>
        <v>1040</v>
      </c>
      <c r="L264" s="11">
        <f>_xlfn.IFNA(VLOOKUP(B264,Towary_na_zamówieniach!$A$4:$C$1500,3,FALSE),0)</f>
        <v>1612</v>
      </c>
      <c r="M264" s="11">
        <f>_xlfn.IFNA(VLOOKUP(B264,MBI_Dostawcy_towarów!$A$4:$C$2000,2,FALSE),"N/A")</f>
        <v>7</v>
      </c>
      <c r="N264" s="11" t="str">
        <f>IF(VLOOKUP(B264,Towary_i_uslugi!$A$3:$T$1500,17,FALSE)=0,"!NO SUPPLIER",VLOOKUP(B264,Towary_i_uslugi!$A$3:$T$1500,17))</f>
        <v>XM</v>
      </c>
      <c r="O264" s="11" t="str">
        <f>IF(VLOOKUP(B264,Towary_i_uslugi!$A$4:$U$1200,21,FALSE)&gt;0,VLOOKUP(B264,Towary_i_uslugi!$A$4:$U$1200,21,FALSE),"")</f>
        <v/>
      </c>
      <c r="P264" s="11">
        <f t="shared" si="12"/>
        <v>0</v>
      </c>
      <c r="Q264" s="11">
        <f t="shared" si="13"/>
        <v>0</v>
      </c>
      <c r="R264" s="17">
        <f t="shared" si="14"/>
        <v>0</v>
      </c>
      <c r="S264" s="17">
        <f>VLOOKUP($B264,   MBI_LastBuy!$A$3:E$13199,3,FALSE)</f>
        <v>640</v>
      </c>
      <c r="T264" s="13">
        <f>VLOOKUP($B264,   MBI_LastBuy!$A$3:E$13199,2,FALSE)</f>
        <v>1.55</v>
      </c>
      <c r="U264" s="13" t="str">
        <f>VLOOKUP($B264,   MBI_LastBuy!$A$3:E$13199,5,FALSE)</f>
        <v>USD</v>
      </c>
      <c r="V264" s="15">
        <f>VLOOKUP($B264,   MBI_LastBuy!$A$3:E$13199,4,FALSE)</f>
        <v>44125</v>
      </c>
    </row>
    <row r="265" spans="1:22" x14ac:dyDescent="0.25">
      <c r="A265" s="11" t="s">
        <v>3552</v>
      </c>
      <c r="B265" s="11">
        <v>628401</v>
      </c>
      <c r="C265" s="11" t="str">
        <f>VLOOKUP(B265,Towary_i_uslugi!$A$4:$B$1500,2)</f>
        <v>(brak)</v>
      </c>
      <c r="D265" s="11" t="s">
        <v>3647</v>
      </c>
      <c r="E265" s="11">
        <f>VLOOKUP(B265,Towary_i_uslugi!$A$3:$T$1500,3,FALSE)</f>
        <v>20</v>
      </c>
      <c r="F265" s="11" t="str">
        <f>VLOOKUP(B265,Towary_i_uslugi!$A$3:$T$1500,20,FALSE)</f>
        <v>carton hanger</v>
      </c>
      <c r="G265" s="11">
        <f>VLOOKUP(B265,MBI_Dostawcy_towarów!$A$4:$C$1399,3,FALSE)</f>
        <v>1.0549999999999999</v>
      </c>
      <c r="H265" s="11">
        <v>1033</v>
      </c>
      <c r="I265" s="11">
        <v>80</v>
      </c>
      <c r="J265" s="11">
        <v>1200</v>
      </c>
      <c r="K265" s="11">
        <f>_xlfn.IFNA(VLOOKUP(B265,Towary_na_zamówieniach!$A$4:$C$1500,2,FALSE),0)</f>
        <v>1200</v>
      </c>
      <c r="L265" s="11">
        <f>_xlfn.IFNA(VLOOKUP(B265,Towary_na_zamówieniach!$A$4:$C$1500,3,FALSE),0)</f>
        <v>2304</v>
      </c>
      <c r="M265" s="11">
        <f>_xlfn.IFNA(VLOOKUP(B265,MBI_Dostawcy_towarów!$A$4:$C$2000,2,FALSE),"N/A")</f>
        <v>90</v>
      </c>
      <c r="N265" s="11" t="str">
        <f>IF(VLOOKUP(B265,Towary_i_uslugi!$A$3:$T$1500,17,FALSE)=0,"!NO SUPPLIER",VLOOKUP(B265,Towary_i_uslugi!$A$3:$T$1500,17))</f>
        <v>XM</v>
      </c>
      <c r="O265" s="11" t="str">
        <f>IF(VLOOKUP(B265,Towary_i_uslugi!$A$4:$U$1200,21,FALSE)&gt;0,VLOOKUP(B265,Towary_i_uslugi!$A$4:$U$1200,21,FALSE),"")</f>
        <v/>
      </c>
      <c r="P265" s="11">
        <f t="shared" si="12"/>
        <v>0</v>
      </c>
      <c r="Q265" s="11">
        <f t="shared" si="13"/>
        <v>0</v>
      </c>
      <c r="R265" s="17">
        <f t="shared" si="14"/>
        <v>0</v>
      </c>
      <c r="S265" s="17">
        <f>VLOOKUP($B265,   MBI_LastBuy!$A$3:E$13199,3,FALSE)</f>
        <v>1200</v>
      </c>
      <c r="T265" s="13">
        <f>VLOOKUP($B265,   MBI_LastBuy!$A$3:E$13199,2,FALSE)</f>
        <v>1.92</v>
      </c>
      <c r="U265" s="13" t="str">
        <f>VLOOKUP($B265,   MBI_LastBuy!$A$3:E$13199,5,FALSE)</f>
        <v>USD</v>
      </c>
      <c r="V265" s="15">
        <f>VLOOKUP($B265,   MBI_LastBuy!$A$3:E$13199,4,FALSE)</f>
        <v>44133</v>
      </c>
    </row>
    <row r="266" spans="1:22" x14ac:dyDescent="0.25">
      <c r="A266" s="11" t="s">
        <v>3552</v>
      </c>
      <c r="B266" s="11">
        <v>628407</v>
      </c>
      <c r="C266" s="11" t="str">
        <f>VLOOKUP(B266,Towary_i_uslugi!$A$4:$B$1500,2)</f>
        <v>(brak)</v>
      </c>
      <c r="D266" s="11" t="s">
        <v>2841</v>
      </c>
      <c r="E266" s="11">
        <f>VLOOKUP(B266,Towary_i_uslugi!$A$3:$T$1500,3,FALSE)</f>
        <v>10</v>
      </c>
      <c r="F266" s="11" t="str">
        <f>VLOOKUP(B266,Towary_i_uslugi!$A$3:$T$1500,20,FALSE)</f>
        <v>carton hanger</v>
      </c>
      <c r="G266" s="11">
        <f>VLOOKUP(B266,MBI_Dostawcy_towarów!$A$4:$C$1399,3,FALSE)</f>
        <v>1.6080000000000001</v>
      </c>
      <c r="H266" s="11">
        <v>212</v>
      </c>
      <c r="I266" s="11">
        <v>10</v>
      </c>
      <c r="J266" s="11">
        <v>520</v>
      </c>
      <c r="K266" s="11">
        <f>_xlfn.IFNA(VLOOKUP(B266,Towary_na_zamówieniach!$A$4:$C$1500,2,FALSE),0)</f>
        <v>800</v>
      </c>
      <c r="L266" s="11">
        <f>_xlfn.IFNA(VLOOKUP(B266,Towary_na_zamówieniach!$A$4:$C$1500,3,FALSE),0)</f>
        <v>2200</v>
      </c>
      <c r="M266" s="11">
        <f>_xlfn.IFNA(VLOOKUP(B266,MBI_Dostawcy_towarów!$A$4:$C$2000,2,FALSE),"N/A")</f>
        <v>90</v>
      </c>
      <c r="N266" s="11" t="str">
        <f>IF(VLOOKUP(B266,Towary_i_uslugi!$A$3:$T$1500,17,FALSE)=0,"!NO SUPPLIER",VLOOKUP(B266,Towary_i_uslugi!$A$3:$T$1500,17))</f>
        <v>XM</v>
      </c>
      <c r="O266" s="11" t="str">
        <f>IF(VLOOKUP(B266,Towary_i_uslugi!$A$4:$U$1200,21,FALSE)&gt;0,VLOOKUP(B266,Towary_i_uslugi!$A$4:$U$1200,21,FALSE),"")</f>
        <v/>
      </c>
      <c r="P266" s="11">
        <f t="shared" si="12"/>
        <v>0</v>
      </c>
      <c r="Q266" s="11">
        <f t="shared" si="13"/>
        <v>0</v>
      </c>
      <c r="R266" s="17">
        <f t="shared" si="14"/>
        <v>0</v>
      </c>
      <c r="S266" s="17">
        <f>VLOOKUP($B266,   MBI_LastBuy!$A$3:E$13199,3,FALSE)</f>
        <v>800</v>
      </c>
      <c r="T266" s="13">
        <f>VLOOKUP($B266,   MBI_LastBuy!$A$3:E$13199,2,FALSE)</f>
        <v>2.75</v>
      </c>
      <c r="U266" s="13" t="str">
        <f>VLOOKUP($B266,   MBI_LastBuy!$A$3:E$13199,5,FALSE)</f>
        <v>USD</v>
      </c>
      <c r="V266" s="15">
        <f>VLOOKUP($B266,   MBI_LastBuy!$A$3:E$13199,4,FALSE)</f>
        <v>44083</v>
      </c>
    </row>
    <row r="267" spans="1:22" x14ac:dyDescent="0.25">
      <c r="A267" s="11" t="s">
        <v>3552</v>
      </c>
      <c r="B267" s="11">
        <v>628600</v>
      </c>
      <c r="C267" s="11" t="str">
        <f>VLOOKUP(B267,Towary_i_uslugi!$A$4:$B$1500,2)</f>
        <v>(brak)</v>
      </c>
      <c r="D267" s="11" t="s">
        <v>2423</v>
      </c>
      <c r="E267" s="11">
        <f>VLOOKUP(B267,Towary_i_uslugi!$A$3:$T$1500,3,FALSE)</f>
        <v>10</v>
      </c>
      <c r="F267" s="11" t="str">
        <f>VLOOKUP(B267,Towary_i_uslugi!$A$3:$T$1500,20,FALSE)</f>
        <v>carton hanger</v>
      </c>
      <c r="G267" s="11">
        <f>VLOOKUP(B267,MBI_Dostawcy_towarów!$A$4:$C$1399,3,FALSE)</f>
        <v>2.028</v>
      </c>
      <c r="H267" s="11">
        <v>346</v>
      </c>
      <c r="I267" s="11">
        <v>0</v>
      </c>
      <c r="J267" s="11">
        <v>900</v>
      </c>
      <c r="K267" s="11">
        <f>_xlfn.IFNA(VLOOKUP(B267,Towary_na_zamówieniach!$A$4:$C$1500,2,FALSE),0)</f>
        <v>900</v>
      </c>
      <c r="L267" s="11">
        <f>_xlfn.IFNA(VLOOKUP(B267,Towary_na_zamówieniach!$A$4:$C$1500,3,FALSE),0)</f>
        <v>2952</v>
      </c>
      <c r="M267" s="11">
        <f>_xlfn.IFNA(VLOOKUP(B267,MBI_Dostawcy_towarów!$A$4:$C$2000,2,FALSE),"N/A")</f>
        <v>90</v>
      </c>
      <c r="N267" s="11" t="str">
        <f>IF(VLOOKUP(B267,Towary_i_uslugi!$A$3:$T$1500,17,FALSE)=0,"!NO SUPPLIER",VLOOKUP(B267,Towary_i_uslugi!$A$3:$T$1500,17))</f>
        <v>XM</v>
      </c>
      <c r="O267" s="11" t="str">
        <f>IF(VLOOKUP(B267,Towary_i_uslugi!$A$4:$U$1200,21,FALSE)&gt;0,VLOOKUP(B267,Towary_i_uslugi!$A$4:$U$1200,21,FALSE),"")</f>
        <v/>
      </c>
      <c r="P267" s="11">
        <f t="shared" si="12"/>
        <v>0</v>
      </c>
      <c r="Q267" s="11">
        <f t="shared" si="13"/>
        <v>0</v>
      </c>
      <c r="R267" s="17">
        <f t="shared" si="14"/>
        <v>0</v>
      </c>
      <c r="S267" s="17">
        <f>VLOOKUP($B267,   MBI_LastBuy!$A$3:E$13199,3,FALSE)</f>
        <v>900</v>
      </c>
      <c r="T267" s="13">
        <f>VLOOKUP($B267,   MBI_LastBuy!$A$3:E$13199,2,FALSE)</f>
        <v>3.28</v>
      </c>
      <c r="U267" s="13" t="str">
        <f>VLOOKUP($B267,   MBI_LastBuy!$A$3:E$13199,5,FALSE)</f>
        <v>USD</v>
      </c>
      <c r="V267" s="15">
        <f>VLOOKUP($B267,   MBI_LastBuy!$A$3:E$13199,4,FALSE)</f>
        <v>44068</v>
      </c>
    </row>
    <row r="268" spans="1:22" x14ac:dyDescent="0.25">
      <c r="A268" s="11" t="s">
        <v>3555</v>
      </c>
      <c r="B268" s="11">
        <v>632011</v>
      </c>
      <c r="C268" s="11" t="str">
        <f>VLOOKUP(B268,Towary_i_uslugi!$A$4:$B$1500,2)</f>
        <v>(brak)</v>
      </c>
      <c r="D268" s="11" t="s">
        <v>2687</v>
      </c>
      <c r="E268" s="11">
        <f>VLOOKUP(B268,Towary_i_uslugi!$A$3:$T$1500,3,FALSE)</f>
        <v>72</v>
      </c>
      <c r="F268" s="11" t="str">
        <f>VLOOKUP(B268,Towary_i_uslugi!$A$3:$T$1500,20,FALSE)</f>
        <v>'try-it' carton hanger</v>
      </c>
      <c r="G268" s="11">
        <f>VLOOKUP(B268,MBI_Dostawcy_towarów!$A$4:$C$1399,3,FALSE)</f>
        <v>8.3000000000000004E-2</v>
      </c>
      <c r="H268" s="11">
        <v>1</v>
      </c>
      <c r="I268" s="11">
        <v>0</v>
      </c>
      <c r="J268" s="11">
        <v>280</v>
      </c>
      <c r="K268" s="11">
        <f>_xlfn.IFNA(VLOOKUP(B268,Towary_na_zamówieniach!$A$4:$C$1500,2,FALSE),0)</f>
        <v>577</v>
      </c>
      <c r="L268" s="11">
        <f>_xlfn.IFNA(VLOOKUP(B268,Towary_na_zamówieniach!$A$4:$C$1500,3,FALSE),0)</f>
        <v>486.72</v>
      </c>
      <c r="M268" s="11">
        <f>_xlfn.IFNA(VLOOKUP(B268,MBI_Dostawcy_towarów!$A$4:$C$2000,2,FALSE),"N/A")</f>
        <v>90</v>
      </c>
      <c r="N268" s="11" t="str">
        <f>IF(VLOOKUP(B268,Towary_i_uslugi!$A$3:$T$1500,17,FALSE)=0,"!NO SUPPLIER",VLOOKUP(B268,Towary_i_uslugi!$A$3:$T$1500,17))</f>
        <v xml:space="preserve">HQ - Canada </v>
      </c>
      <c r="O268" s="11" t="str">
        <f>IF(VLOOKUP(B268,Towary_i_uslugi!$A$4:$U$1200,21,FALSE)&gt;0,VLOOKUP(B268,Towary_i_uslugi!$A$4:$U$1200,21,FALSE),"")</f>
        <v/>
      </c>
      <c r="P268" s="11">
        <f t="shared" si="12"/>
        <v>0</v>
      </c>
      <c r="Q268" s="11">
        <f t="shared" si="13"/>
        <v>0</v>
      </c>
      <c r="R268" s="17">
        <f t="shared" si="14"/>
        <v>0</v>
      </c>
      <c r="S268" s="17">
        <f>VLOOKUP($B268,   MBI_LastBuy!$A$3:E$13199,3,FALSE)</f>
        <v>576</v>
      </c>
      <c r="T268" s="13">
        <f>VLOOKUP($B268,   MBI_LastBuy!$A$3:E$13199,2,FALSE)</f>
        <v>0.84499999999999997</v>
      </c>
      <c r="U268" s="13" t="str">
        <f>VLOOKUP($B268,   MBI_LastBuy!$A$3:E$13199,5,FALSE)</f>
        <v>USD</v>
      </c>
      <c r="V268" s="15">
        <f>VLOOKUP($B268,   MBI_LastBuy!$A$3:E$13199,4,FALSE)</f>
        <v>43895</v>
      </c>
    </row>
    <row r="269" spans="1:22" x14ac:dyDescent="0.25">
      <c r="A269" s="11" t="s">
        <v>3555</v>
      </c>
      <c r="B269" s="11">
        <v>632021</v>
      </c>
      <c r="C269" s="11" t="str">
        <f>VLOOKUP(B269,Towary_i_uslugi!$A$4:$B$1500,2)</f>
        <v>(brak)</v>
      </c>
      <c r="D269" s="11" t="s">
        <v>2628</v>
      </c>
      <c r="E269" s="11">
        <f>VLOOKUP(B269,Towary_i_uslugi!$A$3:$T$1500,3,FALSE)</f>
        <v>108</v>
      </c>
      <c r="F269" s="11" t="str">
        <f>VLOOKUP(B269,Towary_i_uslugi!$A$3:$T$1500,20,FALSE)</f>
        <v>blister card</v>
      </c>
      <c r="G269" s="11">
        <f>VLOOKUP(B269,MBI_Dostawcy_towarów!$A$4:$C$1399,3,FALSE)</f>
        <v>0.16700000000000001</v>
      </c>
      <c r="H269" s="11">
        <v>3</v>
      </c>
      <c r="I269" s="11">
        <v>2</v>
      </c>
      <c r="J269" s="11">
        <v>640</v>
      </c>
      <c r="K269" s="11">
        <f>_xlfn.IFNA(VLOOKUP(B269,Towary_na_zamówieniach!$A$4:$C$1500,2,FALSE),0)</f>
        <v>1081</v>
      </c>
      <c r="L269" s="11">
        <f>_xlfn.IFNA(VLOOKUP(B269,Towary_na_zamówieniach!$A$4:$C$1500,3,FALSE),0)</f>
        <v>1036.8</v>
      </c>
      <c r="M269" s="11">
        <f>_xlfn.IFNA(VLOOKUP(B269,MBI_Dostawcy_towarów!$A$4:$C$2000,2,FALSE),"N/A")</f>
        <v>90</v>
      </c>
      <c r="N269" s="11" t="str">
        <f>IF(VLOOKUP(B269,Towary_i_uslugi!$A$3:$T$1500,17,FALSE)=0,"!NO SUPPLIER",VLOOKUP(B269,Towary_i_uslugi!$A$3:$T$1500,17))</f>
        <v xml:space="preserve">HQ - Canada </v>
      </c>
      <c r="O269" s="11" t="str">
        <f>IF(VLOOKUP(B269,Towary_i_uslugi!$A$4:$U$1200,21,FALSE)&gt;0,VLOOKUP(B269,Towary_i_uslugi!$A$4:$U$1200,21,FALSE),"")</f>
        <v/>
      </c>
      <c r="P269" s="11">
        <f t="shared" si="12"/>
        <v>0</v>
      </c>
      <c r="Q269" s="11">
        <f t="shared" si="13"/>
        <v>0</v>
      </c>
      <c r="R269" s="17">
        <f t="shared" si="14"/>
        <v>0</v>
      </c>
      <c r="S269" s="17">
        <f>VLOOKUP($B269,   MBI_LastBuy!$A$3:E$13199,3,FALSE)</f>
        <v>1080</v>
      </c>
      <c r="T269" s="13">
        <f>VLOOKUP($B269,   MBI_LastBuy!$A$3:E$13199,2,FALSE)</f>
        <v>0.96</v>
      </c>
      <c r="U269" s="13" t="str">
        <f>VLOOKUP($B269,   MBI_LastBuy!$A$3:E$13199,5,FALSE)</f>
        <v>USD</v>
      </c>
      <c r="V269" s="15">
        <f>VLOOKUP($B269,   MBI_LastBuy!$A$3:E$13199,4,FALSE)</f>
        <v>43871</v>
      </c>
    </row>
    <row r="270" spans="1:22" x14ac:dyDescent="0.25">
      <c r="A270" s="11" t="s">
        <v>3555</v>
      </c>
      <c r="B270" s="11">
        <v>632030</v>
      </c>
      <c r="C270" s="11" t="str">
        <f>VLOOKUP(B270,Towary_i_uslugi!$A$4:$B$1500,2)</f>
        <v>(brak)</v>
      </c>
      <c r="D270" s="11" t="s">
        <v>2461</v>
      </c>
      <c r="E270" s="11">
        <f>VLOOKUP(B270,Towary_i_uslugi!$A$3:$T$1500,3,FALSE)</f>
        <v>120</v>
      </c>
      <c r="F270" s="11" t="str">
        <f>VLOOKUP(B270,Towary_i_uslugi!$A$3:$T$1500,20,FALSE)</f>
        <v>slide blister card</v>
      </c>
      <c r="G270" s="11">
        <f>VLOOKUP(B270,MBI_Dostawcy_towarów!$A$4:$C$1399,3,FALSE)</f>
        <v>0.23599999999999999</v>
      </c>
      <c r="H270" s="11">
        <v>351</v>
      </c>
      <c r="I270" s="11">
        <v>11</v>
      </c>
      <c r="J270" s="11">
        <v>460</v>
      </c>
      <c r="K270" s="11">
        <f>_xlfn.IFNA(VLOOKUP(B270,Towary_na_zamówieniach!$A$4:$C$1500,2,FALSE),0)</f>
        <v>720</v>
      </c>
      <c r="L270" s="11">
        <f>_xlfn.IFNA(VLOOKUP(B270,Towary_na_zamówieniach!$A$4:$C$1500,3,FALSE),0)</f>
        <v>1245.5999999999999</v>
      </c>
      <c r="M270" s="11">
        <f>_xlfn.IFNA(VLOOKUP(B270,MBI_Dostawcy_towarów!$A$4:$C$2000,2,FALSE),"N/A")</f>
        <v>90</v>
      </c>
      <c r="N270" s="11" t="str">
        <f>IF(VLOOKUP(B270,Towary_i_uslugi!$A$3:$T$1500,17,FALSE)=0,"!NO SUPPLIER",VLOOKUP(B270,Towary_i_uslugi!$A$3:$T$1500,17))</f>
        <v xml:space="preserve">HQ - Canada </v>
      </c>
      <c r="O270" s="11" t="str">
        <f>IF(VLOOKUP(B270,Towary_i_uslugi!$A$4:$U$1200,21,FALSE)&gt;0,VLOOKUP(B270,Towary_i_uslugi!$A$4:$U$1200,21,FALSE),"")</f>
        <v>MBA*16-07-20*Please print correct number of pieces on outerbox</v>
      </c>
      <c r="P270" s="11">
        <f t="shared" si="12"/>
        <v>0</v>
      </c>
      <c r="Q270" s="11">
        <f t="shared" si="13"/>
        <v>0</v>
      </c>
      <c r="R270" s="17">
        <f t="shared" si="14"/>
        <v>0</v>
      </c>
      <c r="S270" s="17">
        <f>VLOOKUP($B270,   MBI_LastBuy!$A$3:E$13199,3,FALSE)</f>
        <v>720</v>
      </c>
      <c r="T270" s="13">
        <f>VLOOKUP($B270,   MBI_LastBuy!$A$3:E$13199,2,FALSE)</f>
        <v>1.73</v>
      </c>
      <c r="U270" s="13" t="str">
        <f>VLOOKUP($B270,   MBI_LastBuy!$A$3:E$13199,5,FALSE)</f>
        <v>USD</v>
      </c>
      <c r="V270" s="15">
        <f>VLOOKUP($B270,   MBI_LastBuy!$A$3:E$13199,4,FALSE)</f>
        <v>44095</v>
      </c>
    </row>
    <row r="271" spans="1:22" x14ac:dyDescent="0.25">
      <c r="A271" s="11" t="s">
        <v>3553</v>
      </c>
      <c r="B271" s="11">
        <v>633228</v>
      </c>
      <c r="C271" s="11" t="str">
        <f>VLOOKUP(B271,Towary_i_uslugi!$A$4:$B$1500,2)</f>
        <v>(brak)</v>
      </c>
      <c r="D271" s="11" t="s">
        <v>2688</v>
      </c>
      <c r="E271" s="11">
        <f>VLOOKUP(B271,Towary_i_uslugi!$A$3:$T$1500,3,FALSE)</f>
        <v>96</v>
      </c>
      <c r="F271" s="11" t="str">
        <f>VLOOKUP(B271,Towary_i_uslugi!$A$3:$T$1500,20,FALSE)</f>
        <v>blister card</v>
      </c>
      <c r="G271" s="11">
        <f>VLOOKUP(B271,MBI_Dostawcy_towarów!$A$4:$C$1399,3,FALSE)</f>
        <v>0.17</v>
      </c>
      <c r="H271" s="11">
        <v>2</v>
      </c>
      <c r="I271" s="11">
        <v>1</v>
      </c>
      <c r="J271" s="11">
        <v>100</v>
      </c>
      <c r="K271" s="11">
        <f>_xlfn.IFNA(VLOOKUP(B271,Towary_na_zamówieniach!$A$4:$C$1500,2,FALSE),0)</f>
        <v>288</v>
      </c>
      <c r="L271" s="11">
        <f>_xlfn.IFNA(VLOOKUP(B271,Towary_na_zamówieniach!$A$4:$C$1500,3,FALSE),0)</f>
        <v>662.4</v>
      </c>
      <c r="M271" s="11">
        <f>_xlfn.IFNA(VLOOKUP(B271,MBI_Dostawcy_towarów!$A$4:$C$2000,2,FALSE),"N/A")</f>
        <v>90</v>
      </c>
      <c r="N271" s="11" t="str">
        <f>IF(VLOOKUP(B271,Towary_i_uslugi!$A$3:$T$1500,17,FALSE)=0,"!NO SUPPLIER",VLOOKUP(B271,Towary_i_uslugi!$A$3:$T$1500,17))</f>
        <v>FX -MAPLE Frank Xu</v>
      </c>
      <c r="O271" s="11" t="str">
        <f>IF(VLOOKUP(B271,Towary_i_uslugi!$A$4:$U$1200,21,FALSE)&gt;0,VLOOKUP(B271,Towary_i_uslugi!$A$4:$U$1200,21,FALSE),"")</f>
        <v/>
      </c>
      <c r="P271" s="11">
        <f t="shared" si="12"/>
        <v>0</v>
      </c>
      <c r="Q271" s="11">
        <f t="shared" si="13"/>
        <v>0</v>
      </c>
      <c r="R271" s="17">
        <f t="shared" si="14"/>
        <v>0</v>
      </c>
      <c r="S271" s="17">
        <f>VLOOKUP($B271,   MBI_LastBuy!$A$3:E$13199,3,FALSE)</f>
        <v>288</v>
      </c>
      <c r="T271" s="13">
        <f>VLOOKUP($B271,   MBI_LastBuy!$A$3:E$13199,2,FALSE)</f>
        <v>2.2999999999999998</v>
      </c>
      <c r="U271" s="13" t="str">
        <f>VLOOKUP($B271,   MBI_LastBuy!$A$3:E$13199,5,FALSE)</f>
        <v>USD</v>
      </c>
      <c r="V271" s="15">
        <f>VLOOKUP($B271,   MBI_LastBuy!$A$3:E$13199,4,FALSE)</f>
        <v>44035</v>
      </c>
    </row>
    <row r="272" spans="1:22" x14ac:dyDescent="0.25">
      <c r="A272" s="11" t="s">
        <v>3553</v>
      </c>
      <c r="B272" s="11">
        <v>633230</v>
      </c>
      <c r="C272" s="11" t="str">
        <f>VLOOKUP(B272,Towary_i_uslugi!$A$4:$B$1500,2)</f>
        <v>(brak)</v>
      </c>
      <c r="D272" s="11" t="s">
        <v>2688</v>
      </c>
      <c r="E272" s="11">
        <f>VLOOKUP(B272,Towary_i_uslugi!$A$3:$T$1500,3,FALSE)</f>
        <v>96</v>
      </c>
      <c r="F272" s="11" t="str">
        <f>VLOOKUP(B272,Towary_i_uslugi!$A$3:$T$1500,20,FALSE)</f>
        <v>blister card</v>
      </c>
      <c r="G272" s="11">
        <f>VLOOKUP(B272,MBI_Dostawcy_towarów!$A$4:$C$1399,3,FALSE)</f>
        <v>0.22700000000000001</v>
      </c>
      <c r="H272" s="11">
        <v>6</v>
      </c>
      <c r="I272" s="11">
        <v>5</v>
      </c>
      <c r="J272" s="11">
        <v>80</v>
      </c>
      <c r="K272" s="11">
        <f>_xlfn.IFNA(VLOOKUP(B272,Towary_na_zamówieniach!$A$4:$C$1500,2,FALSE),0)</f>
        <v>288</v>
      </c>
      <c r="L272" s="11">
        <f>_xlfn.IFNA(VLOOKUP(B272,Towary_na_zamówieniach!$A$4:$C$1500,3,FALSE),0)</f>
        <v>748.8</v>
      </c>
      <c r="M272" s="11">
        <f>_xlfn.IFNA(VLOOKUP(B272,MBI_Dostawcy_towarów!$A$4:$C$2000,2,FALSE),"N/A")</f>
        <v>90</v>
      </c>
      <c r="N272" s="11" t="str">
        <f>IF(VLOOKUP(B272,Towary_i_uslugi!$A$3:$T$1500,17,FALSE)=0,"!NO SUPPLIER",VLOOKUP(B272,Towary_i_uslugi!$A$3:$T$1500,17))</f>
        <v>FX -MAPLE Frank Xu</v>
      </c>
      <c r="O272" s="11" t="str">
        <f>IF(VLOOKUP(B272,Towary_i_uslugi!$A$4:$U$1200,21,FALSE)&gt;0,VLOOKUP(B272,Towary_i_uslugi!$A$4:$U$1200,21,FALSE),"")</f>
        <v/>
      </c>
      <c r="P272" s="11">
        <f t="shared" si="12"/>
        <v>0</v>
      </c>
      <c r="Q272" s="11">
        <f t="shared" si="13"/>
        <v>0</v>
      </c>
      <c r="R272" s="17">
        <f t="shared" si="14"/>
        <v>0</v>
      </c>
      <c r="S272" s="17">
        <f>VLOOKUP($B272,   MBI_LastBuy!$A$3:E$13199,3,FALSE)</f>
        <v>288</v>
      </c>
      <c r="T272" s="13">
        <f>VLOOKUP($B272,   MBI_LastBuy!$A$3:E$13199,2,FALSE)</f>
        <v>2.6</v>
      </c>
      <c r="U272" s="13" t="str">
        <f>VLOOKUP($B272,   MBI_LastBuy!$A$3:E$13199,5,FALSE)</f>
        <v>USD</v>
      </c>
      <c r="V272" s="15">
        <f>VLOOKUP($B272,   MBI_LastBuy!$A$3:E$13199,4,FALSE)</f>
        <v>44035</v>
      </c>
    </row>
    <row r="273" spans="1:22" x14ac:dyDescent="0.25">
      <c r="A273" s="11" t="s">
        <v>3552</v>
      </c>
      <c r="B273" s="11">
        <v>634190</v>
      </c>
      <c r="C273" s="11" t="str">
        <f>VLOOKUP(B273,Towary_i_uslugi!$A$4:$B$1500,2)</f>
        <v>(brak)</v>
      </c>
      <c r="D273" s="11" t="s">
        <v>3648</v>
      </c>
      <c r="E273" s="11">
        <f>VLOOKUP(B273,Towary_i_uslugi!$A$3:$T$1500,3,FALSE)</f>
        <v>20</v>
      </c>
      <c r="F273" s="11" t="str">
        <f>VLOOKUP(B273,Towary_i_uslugi!$A$3:$T$1500,20,FALSE)</f>
        <v>sticker+neutral carton w/sticker</v>
      </c>
      <c r="G273" s="11">
        <f>VLOOKUP(B273,MBI_Dostawcy_towarów!$A$4:$C$1399,3,FALSE)</f>
        <v>1.6</v>
      </c>
      <c r="H273" s="11">
        <v>221</v>
      </c>
      <c r="I273" s="11">
        <v>32</v>
      </c>
      <c r="J273" s="11">
        <v>240</v>
      </c>
      <c r="K273" s="11">
        <f>_xlfn.IFNA(VLOOKUP(B273,Towary_na_zamówieniach!$A$4:$C$1500,2,FALSE),0)</f>
        <v>400</v>
      </c>
      <c r="L273" s="11">
        <f>_xlfn.IFNA(VLOOKUP(B273,Towary_na_zamówieniach!$A$4:$C$1500,3,FALSE),0)</f>
        <v>1452</v>
      </c>
      <c r="M273" s="11">
        <f>_xlfn.IFNA(VLOOKUP(B273,MBI_Dostawcy_towarów!$A$4:$C$2000,2,FALSE),"N/A")</f>
        <v>90</v>
      </c>
      <c r="N273" s="11" t="str">
        <f>IF(VLOOKUP(B273,Towary_i_uslugi!$A$3:$T$1500,17,FALSE)=0,"!NO SUPPLIER",VLOOKUP(B273,Towary_i_uslugi!$A$3:$T$1500,17))</f>
        <v>XM</v>
      </c>
      <c r="O273" s="11" t="str">
        <f>IF(VLOOKUP(B273,Towary_i_uslugi!$A$4:$U$1200,21,FALSE)&gt;0,VLOOKUP(B273,Towary_i_uslugi!$A$4:$U$1200,21,FALSE),"")</f>
        <v/>
      </c>
      <c r="P273" s="11">
        <f t="shared" si="12"/>
        <v>0</v>
      </c>
      <c r="Q273" s="11">
        <f t="shared" si="13"/>
        <v>0</v>
      </c>
      <c r="R273" s="17">
        <f t="shared" si="14"/>
        <v>0</v>
      </c>
      <c r="S273" s="17">
        <f>VLOOKUP($B273,   MBI_LastBuy!$A$3:E$13199,3,FALSE)</f>
        <v>400</v>
      </c>
      <c r="T273" s="13">
        <f>VLOOKUP($B273,   MBI_LastBuy!$A$3:E$13199,2,FALSE)</f>
        <v>3.63</v>
      </c>
      <c r="U273" s="13" t="str">
        <f>VLOOKUP($B273,   MBI_LastBuy!$A$3:E$13199,5,FALSE)</f>
        <v>USD</v>
      </c>
      <c r="V273" s="15">
        <f>VLOOKUP($B273,   MBI_LastBuy!$A$3:E$13199,4,FALSE)</f>
        <v>44074</v>
      </c>
    </row>
    <row r="274" spans="1:22" x14ac:dyDescent="0.25">
      <c r="A274" s="11" t="s">
        <v>3552</v>
      </c>
      <c r="B274" s="11">
        <v>634250</v>
      </c>
      <c r="C274" s="11" t="str">
        <f>VLOOKUP(B274,Towary_i_uslugi!$A$4:$B$1500,2)</f>
        <v>(brak)</v>
      </c>
      <c r="D274" s="11" t="s">
        <v>2842</v>
      </c>
      <c r="E274" s="11">
        <f>VLOOKUP(B274,Towary_i_uslugi!$A$3:$T$1500,3,FALSE)</f>
        <v>10</v>
      </c>
      <c r="F274" s="11" t="str">
        <f>VLOOKUP(B274,Towary_i_uslugi!$A$3:$T$1500,20,FALSE)</f>
        <v>sticker+neutral carton w/sticker</v>
      </c>
      <c r="G274" s="11">
        <f>VLOOKUP(B274,MBI_Dostawcy_towarów!$A$4:$C$1399,3,FALSE)</f>
        <v>2.38</v>
      </c>
      <c r="H274" s="11">
        <v>1</v>
      </c>
      <c r="I274" s="11">
        <v>0</v>
      </c>
      <c r="J274" s="11">
        <v>160</v>
      </c>
      <c r="K274" s="11">
        <f>_xlfn.IFNA(VLOOKUP(B274,Towary_na_zamówieniach!$A$4:$C$1500,2,FALSE),0)</f>
        <v>200</v>
      </c>
      <c r="L274" s="11">
        <f>_xlfn.IFNA(VLOOKUP(B274,Towary_na_zamówieniach!$A$4:$C$1500,3,FALSE),0)</f>
        <v>1000</v>
      </c>
      <c r="M274" s="11">
        <f>_xlfn.IFNA(VLOOKUP(B274,MBI_Dostawcy_towarów!$A$4:$C$2000,2,FALSE),"N/A")</f>
        <v>90</v>
      </c>
      <c r="N274" s="11" t="str">
        <f>IF(VLOOKUP(B274,Towary_i_uslugi!$A$3:$T$1500,17,FALSE)=0,"!NO SUPPLIER",VLOOKUP(B274,Towary_i_uslugi!$A$3:$T$1500,17))</f>
        <v>XM</v>
      </c>
      <c r="O274" s="11" t="str">
        <f>IF(VLOOKUP(B274,Towary_i_uslugi!$A$4:$U$1200,21,FALSE)&gt;0,VLOOKUP(B274,Towary_i_uslugi!$A$4:$U$1200,21,FALSE),"")</f>
        <v/>
      </c>
      <c r="P274" s="11">
        <f t="shared" si="12"/>
        <v>0</v>
      </c>
      <c r="Q274" s="11">
        <f t="shared" si="13"/>
        <v>0</v>
      </c>
      <c r="R274" s="17">
        <f t="shared" si="14"/>
        <v>0</v>
      </c>
      <c r="S274" s="17">
        <f>VLOOKUP($B274,   MBI_LastBuy!$A$3:E$13199,3,FALSE)</f>
        <v>200</v>
      </c>
      <c r="T274" s="13">
        <f>VLOOKUP($B274,   MBI_LastBuy!$A$3:E$13199,2,FALSE)</f>
        <v>5</v>
      </c>
      <c r="U274" s="13" t="str">
        <f>VLOOKUP($B274,   MBI_LastBuy!$A$3:E$13199,5,FALSE)</f>
        <v>USD</v>
      </c>
      <c r="V274" s="15">
        <f>VLOOKUP($B274,   MBI_LastBuy!$A$3:E$13199,4,FALSE)</f>
        <v>44068</v>
      </c>
    </row>
    <row r="275" spans="1:22" x14ac:dyDescent="0.25">
      <c r="A275" s="11" t="s">
        <v>3552</v>
      </c>
      <c r="B275" s="11">
        <v>634310</v>
      </c>
      <c r="C275" s="11" t="str">
        <f>VLOOKUP(B275,Towary_i_uslugi!$A$4:$B$1500,2)</f>
        <v>(brak)</v>
      </c>
      <c r="D275" s="11" t="s">
        <v>2689</v>
      </c>
      <c r="E275" s="11">
        <f>VLOOKUP(B275,Towary_i_uslugi!$A$3:$T$1500,3,FALSE)</f>
        <v>5</v>
      </c>
      <c r="F275" s="11" t="str">
        <f>VLOOKUP(B275,Towary_i_uslugi!$A$3:$T$1500,20,FALSE)</f>
        <v>sticker+neutral carton w/sticker</v>
      </c>
      <c r="G275" s="11">
        <f>VLOOKUP(B275,MBI_Dostawcy_towarów!$A$4:$C$1399,3,FALSE)</f>
        <v>3.7839999999999998</v>
      </c>
      <c r="H275" s="11">
        <v>3</v>
      </c>
      <c r="I275" s="11">
        <v>5</v>
      </c>
      <c r="J275" s="11">
        <v>120</v>
      </c>
      <c r="K275" s="11">
        <f>_xlfn.IFNA(VLOOKUP(B275,Towary_na_zamówieniach!$A$4:$C$1500,2,FALSE),0)</f>
        <v>525</v>
      </c>
      <c r="L275" s="11">
        <f>_xlfn.IFNA(VLOOKUP(B275,Towary_na_zamówieniach!$A$4:$C$1500,3,FALSE),0)</f>
        <v>3675</v>
      </c>
      <c r="M275" s="11">
        <f>_xlfn.IFNA(VLOOKUP(B275,MBI_Dostawcy_towarów!$A$4:$C$2000,2,FALSE),"N/A")</f>
        <v>90</v>
      </c>
      <c r="N275" s="11" t="str">
        <f>IF(VLOOKUP(B275,Towary_i_uslugi!$A$3:$T$1500,17,FALSE)=0,"!NO SUPPLIER",VLOOKUP(B275,Towary_i_uslugi!$A$3:$T$1500,17))</f>
        <v>XM</v>
      </c>
      <c r="O275" s="11" t="str">
        <f>IF(VLOOKUP(B275,Towary_i_uslugi!$A$4:$U$1200,21,FALSE)&gt;0,VLOOKUP(B275,Towary_i_uslugi!$A$4:$U$1200,21,FALSE),"")</f>
        <v/>
      </c>
      <c r="P275" s="11">
        <f t="shared" si="12"/>
        <v>0</v>
      </c>
      <c r="Q275" s="11">
        <f t="shared" si="13"/>
        <v>0</v>
      </c>
      <c r="R275" s="17">
        <f t="shared" si="14"/>
        <v>0</v>
      </c>
      <c r="S275" s="17">
        <f>VLOOKUP($B275,   MBI_LastBuy!$A$3:E$13199,3,FALSE)</f>
        <v>225</v>
      </c>
      <c r="T275" s="13">
        <f>VLOOKUP($B275,   MBI_LastBuy!$A$3:E$13199,2,FALSE)</f>
        <v>7</v>
      </c>
      <c r="U275" s="13" t="str">
        <f>VLOOKUP($B275,   MBI_LastBuy!$A$3:E$13199,5,FALSE)</f>
        <v>USD</v>
      </c>
      <c r="V275" s="15">
        <f>VLOOKUP($B275,   MBI_LastBuy!$A$3:E$13199,4,FALSE)</f>
        <v>44111</v>
      </c>
    </row>
    <row r="276" spans="1:22" x14ac:dyDescent="0.25">
      <c r="A276" s="11" t="s">
        <v>3552</v>
      </c>
      <c r="B276" s="11">
        <v>635030</v>
      </c>
      <c r="C276" s="11" t="str">
        <f>VLOOKUP(B276,Towary_i_uslugi!$A$4:$B$1500,2)</f>
        <v>(brak)</v>
      </c>
      <c r="D276" s="11" t="s">
        <v>2843</v>
      </c>
      <c r="E276" s="11">
        <f>VLOOKUP(B276,Towary_i_uslugi!$A$3:$T$1500,3,FALSE)</f>
        <v>20</v>
      </c>
      <c r="F276" s="11" t="str">
        <f>VLOOKUP(B276,Towary_i_uslugi!$A$3:$T$1500,20,FALSE)</f>
        <v>pvc wallet</v>
      </c>
      <c r="G276" s="11">
        <f>VLOOKUP(B276,MBI_Dostawcy_towarów!$A$4:$C$1399,3,FALSE)</f>
        <v>1.056</v>
      </c>
      <c r="H276" s="11">
        <v>206</v>
      </c>
      <c r="I276" s="11">
        <v>3</v>
      </c>
      <c r="J276" s="11">
        <v>250</v>
      </c>
      <c r="K276" s="11">
        <f>_xlfn.IFNA(VLOOKUP(B276,Towary_na_zamówieniach!$A$4:$C$1500,2,FALSE),0)</f>
        <v>360</v>
      </c>
      <c r="L276" s="11">
        <f>_xlfn.IFNA(VLOOKUP(B276,Towary_na_zamówieniach!$A$4:$C$1500,3,FALSE),0)</f>
        <v>1422</v>
      </c>
      <c r="M276" s="11">
        <f>_xlfn.IFNA(VLOOKUP(B276,MBI_Dostawcy_towarów!$A$4:$C$2000,2,FALSE),"N/A")</f>
        <v>90</v>
      </c>
      <c r="N276" s="11" t="str">
        <f>IF(VLOOKUP(B276,Towary_i_uslugi!$A$3:$T$1500,17,FALSE)=0,"!NO SUPPLIER",VLOOKUP(B276,Towary_i_uslugi!$A$3:$T$1500,17))</f>
        <v>XM</v>
      </c>
      <c r="O276" s="11" t="str">
        <f>IF(VLOOKUP(B276,Towary_i_uslugi!$A$4:$U$1200,21,FALSE)&gt;0,VLOOKUP(B276,Towary_i_uslugi!$A$4:$U$1200,21,FALSE),"")</f>
        <v>MBA4.12.19*Please make our packing from artwork</v>
      </c>
      <c r="P276" s="11">
        <f t="shared" si="12"/>
        <v>0</v>
      </c>
      <c r="Q276" s="11">
        <f t="shared" si="13"/>
        <v>0</v>
      </c>
      <c r="R276" s="17">
        <f t="shared" si="14"/>
        <v>0</v>
      </c>
      <c r="S276" s="17">
        <f>VLOOKUP($B276,   MBI_LastBuy!$A$3:E$13199,3,FALSE)</f>
        <v>360</v>
      </c>
      <c r="T276" s="13">
        <f>VLOOKUP($B276,   MBI_LastBuy!$A$3:E$13199,2,FALSE)</f>
        <v>3.95</v>
      </c>
      <c r="U276" s="13" t="str">
        <f>VLOOKUP($B276,   MBI_LastBuy!$A$3:E$13199,5,FALSE)</f>
        <v>USD</v>
      </c>
      <c r="V276" s="15">
        <f>VLOOKUP($B276,   MBI_LastBuy!$A$3:E$13199,4,FALSE)</f>
        <v>44028</v>
      </c>
    </row>
    <row r="277" spans="1:22" x14ac:dyDescent="0.25">
      <c r="A277" s="11" t="s">
        <v>3552</v>
      </c>
      <c r="B277" s="11">
        <v>635034</v>
      </c>
      <c r="C277" s="11" t="str">
        <f>VLOOKUP(B277,Towary_i_uslugi!$A$4:$B$1500,2)</f>
        <v>(brak)</v>
      </c>
      <c r="D277" s="11" t="s">
        <v>3649</v>
      </c>
      <c r="E277" s="11">
        <f>VLOOKUP(B277,Towary_i_uslugi!$A$3:$T$1500,3,FALSE)</f>
        <v>60</v>
      </c>
      <c r="F277" s="11" t="str">
        <f>VLOOKUP(B277,Towary_i_uslugi!$A$3:$T$1500,20,FALSE)</f>
        <v>pvc shrink</v>
      </c>
      <c r="G277" s="11">
        <f>VLOOKUP(B277,MBI_Dostawcy_towarów!$A$4:$C$1399,3,FALSE)</f>
        <v>0.32700000000000001</v>
      </c>
      <c r="H277" s="11">
        <v>306</v>
      </c>
      <c r="I277" s="11">
        <v>3</v>
      </c>
      <c r="J277" s="11">
        <v>480</v>
      </c>
      <c r="K277" s="11">
        <f>_xlfn.IFNA(VLOOKUP(B277,Towary_na_zamówieniach!$A$4:$C$1500,2,FALSE),0)</f>
        <v>600</v>
      </c>
      <c r="L277" s="11">
        <f>_xlfn.IFNA(VLOOKUP(B277,Towary_na_zamówieniach!$A$4:$C$1500,3,FALSE),0)</f>
        <v>780</v>
      </c>
      <c r="M277" s="11">
        <f>_xlfn.IFNA(VLOOKUP(B277,MBI_Dostawcy_towarów!$A$4:$C$2000,2,FALSE),"N/A")</f>
        <v>90</v>
      </c>
      <c r="N277" s="11" t="str">
        <f>IF(VLOOKUP(B277,Towary_i_uslugi!$A$3:$T$1500,17,FALSE)=0,"!NO SUPPLIER",VLOOKUP(B277,Towary_i_uslugi!$A$3:$T$1500,17))</f>
        <v>XM</v>
      </c>
      <c r="O277" s="11" t="str">
        <f>IF(VLOOKUP(B277,Towary_i_uslugi!$A$4:$U$1200,21,FALSE)&gt;0,VLOOKUP(B277,Towary_i_uslugi!$A$4:$U$1200,21,FALSE),"")</f>
        <v>WBA23.07.20*Snips are too high; barcode is not available</v>
      </c>
      <c r="P277" s="11">
        <f t="shared" si="12"/>
        <v>0</v>
      </c>
      <c r="Q277" s="11">
        <f t="shared" si="13"/>
        <v>0</v>
      </c>
      <c r="R277" s="17">
        <f t="shared" si="14"/>
        <v>0</v>
      </c>
      <c r="S277" s="17">
        <f>VLOOKUP($B277,   MBI_LastBuy!$A$3:E$13199,3,FALSE)</f>
        <v>600</v>
      </c>
      <c r="T277" s="13">
        <f>VLOOKUP($B277,   MBI_LastBuy!$A$3:E$13199,2,FALSE)</f>
        <v>1.3</v>
      </c>
      <c r="U277" s="13" t="str">
        <f>VLOOKUP($B277,   MBI_LastBuy!$A$3:E$13199,5,FALSE)</f>
        <v>USD</v>
      </c>
      <c r="V277" s="15">
        <f>VLOOKUP($B277,   MBI_LastBuy!$A$3:E$13199,4,FALSE)</f>
        <v>44111</v>
      </c>
    </row>
    <row r="278" spans="1:22" x14ac:dyDescent="0.25">
      <c r="A278" s="11" t="s">
        <v>3555</v>
      </c>
      <c r="B278" s="11">
        <v>635040</v>
      </c>
      <c r="C278" s="11" t="str">
        <f>VLOOKUP(B278,Towary_i_uslugi!$A$4:$B$1500,2)</f>
        <v>(brak)</v>
      </c>
      <c r="D278" s="11" t="s">
        <v>2844</v>
      </c>
      <c r="E278" s="11">
        <f>VLOOKUP(B278,Towary_i_uslugi!$A$3:$T$1500,3,FALSE)</f>
        <v>20</v>
      </c>
      <c r="F278" s="11" t="str">
        <f>VLOOKUP(B278,Towary_i_uslugi!$A$3:$T$1500,20,FALSE)</f>
        <v>blister card</v>
      </c>
      <c r="G278" s="11">
        <f>VLOOKUP(B278,MBI_Dostawcy_towarów!$A$4:$C$1399,3,FALSE)</f>
        <v>0.53300000000000003</v>
      </c>
      <c r="H278" s="11">
        <v>24</v>
      </c>
      <c r="I278" s="11">
        <v>0</v>
      </c>
      <c r="J278" s="11">
        <v>30</v>
      </c>
      <c r="K278" s="11">
        <f>_xlfn.IFNA(VLOOKUP(B278,Towary_na_zamówieniach!$A$4:$C$1500,2,FALSE),0)</f>
        <v>81</v>
      </c>
      <c r="L278" s="11">
        <f>_xlfn.IFNA(VLOOKUP(B278,Towary_na_zamówieniach!$A$4:$C$1500,3,FALSE),0)</f>
        <v>728</v>
      </c>
      <c r="M278" s="11">
        <f>_xlfn.IFNA(VLOOKUP(B278,MBI_Dostawcy_towarów!$A$4:$C$2000,2,FALSE),"N/A")</f>
        <v>90</v>
      </c>
      <c r="N278" s="11" t="str">
        <f>IF(VLOOKUP(B278,Towary_i_uslugi!$A$3:$T$1500,17,FALSE)=0,"!NO SUPPLIER",VLOOKUP(B278,Towary_i_uslugi!$A$3:$T$1500,17))</f>
        <v xml:space="preserve">HQ - Canada </v>
      </c>
      <c r="O278" s="11" t="str">
        <f>IF(VLOOKUP(B278,Towary_i_uslugi!$A$4:$U$1200,21,FALSE)&gt;0,VLOOKUP(B278,Towary_i_uslugi!$A$4:$U$1200,21,FALSE),"")</f>
        <v/>
      </c>
      <c r="P278" s="11">
        <f t="shared" si="12"/>
        <v>0</v>
      </c>
      <c r="Q278" s="11">
        <f t="shared" si="13"/>
        <v>0</v>
      </c>
      <c r="R278" s="17">
        <f t="shared" si="14"/>
        <v>0</v>
      </c>
      <c r="S278" s="17">
        <f>VLOOKUP($B278,   MBI_LastBuy!$A$3:E$13199,3,FALSE)</f>
        <v>80</v>
      </c>
      <c r="T278" s="13">
        <f>VLOOKUP($B278,   MBI_LastBuy!$A$3:E$13199,2,FALSE)</f>
        <v>9.1</v>
      </c>
      <c r="U278" s="13" t="str">
        <f>VLOOKUP($B278,   MBI_LastBuy!$A$3:E$13199,5,FALSE)</f>
        <v>USD</v>
      </c>
      <c r="V278" s="15">
        <f>VLOOKUP($B278,   MBI_LastBuy!$A$3:E$13199,4,FALSE)</f>
        <v>44095</v>
      </c>
    </row>
    <row r="279" spans="1:22" x14ac:dyDescent="0.25">
      <c r="A279" s="11" t="s">
        <v>3552</v>
      </c>
      <c r="B279" s="11">
        <v>642310</v>
      </c>
      <c r="C279" s="11" t="str">
        <f>VLOOKUP(B279,Towary_i_uslugi!$A$4:$B$1500,2)</f>
        <v>(brak)</v>
      </c>
      <c r="D279" s="11" t="s">
        <v>1594</v>
      </c>
      <c r="E279" s="11">
        <f>VLOOKUP(B279,Towary_i_uslugi!$A$3:$T$1500,3,FALSE)</f>
        <v>60</v>
      </c>
      <c r="F279" s="11" t="str">
        <f>VLOOKUP(B279,Towary_i_uslugi!$A$3:$T$1500,20,FALSE)</f>
        <v>double blister</v>
      </c>
      <c r="G279" s="11">
        <f>VLOOKUP(B279,MBI_Dostawcy_towarów!$A$4:$C$1399,3,FALSE)</f>
        <v>0.26400000000000001</v>
      </c>
      <c r="H279" s="11">
        <v>927</v>
      </c>
      <c r="I279" s="11">
        <v>81</v>
      </c>
      <c r="J279" s="11">
        <v>2000</v>
      </c>
      <c r="K279" s="11">
        <f>_xlfn.IFNA(VLOOKUP(B279,Towary_na_zamówieniach!$A$4:$C$1500,2,FALSE),0)</f>
        <v>3360</v>
      </c>
      <c r="L279" s="11">
        <f>_xlfn.IFNA(VLOOKUP(B279,Towary_na_zamówieniach!$A$4:$C$1500,3,FALSE),0)</f>
        <v>2899.68</v>
      </c>
      <c r="M279" s="11">
        <f>_xlfn.IFNA(VLOOKUP(B279,MBI_Dostawcy_towarów!$A$4:$C$2000,2,FALSE),"N/A")</f>
        <v>90</v>
      </c>
      <c r="N279" s="11" t="str">
        <f>IF(VLOOKUP(B279,Towary_i_uslugi!$A$3:$T$1500,17,FALSE)=0,"!NO SUPPLIER",VLOOKUP(B279,Towary_i_uslugi!$A$3:$T$1500,17))</f>
        <v>XM - PRZYJĘCIE TOWARU !!!</v>
      </c>
      <c r="O279" s="11" t="str">
        <f>IF(VLOOKUP(B279,Towary_i_uslugi!$A$4:$U$1200,21,FALSE)&gt;0,VLOOKUP(B279,Towary_i_uslugi!$A$4:$U$1200,21,FALSE),"")</f>
        <v/>
      </c>
      <c r="P279" s="11">
        <f t="shared" si="12"/>
        <v>0</v>
      </c>
      <c r="Q279" s="11">
        <f t="shared" si="13"/>
        <v>0</v>
      </c>
      <c r="R279" s="17">
        <f t="shared" si="14"/>
        <v>0</v>
      </c>
      <c r="S279" s="17">
        <f>VLOOKUP($B279,   MBI_LastBuy!$A$3:E$13199,3,FALSE)</f>
        <v>1920</v>
      </c>
      <c r="T279" s="13">
        <f>VLOOKUP($B279,   MBI_LastBuy!$A$3:E$13199,2,FALSE)</f>
        <v>0.86299999999999999</v>
      </c>
      <c r="U279" s="13" t="str">
        <f>VLOOKUP($B279,   MBI_LastBuy!$A$3:E$13199,5,FALSE)</f>
        <v>USD</v>
      </c>
      <c r="V279" s="15">
        <f>VLOOKUP($B279,   MBI_LastBuy!$A$3:E$13199,4,FALSE)</f>
        <v>44140</v>
      </c>
    </row>
    <row r="280" spans="1:22" x14ac:dyDescent="0.25">
      <c r="A280" s="11" t="s">
        <v>3553</v>
      </c>
      <c r="B280" s="11">
        <v>643400</v>
      </c>
      <c r="C280" s="11" t="str">
        <f>VLOOKUP(B280,Towary_i_uslugi!$A$4:$B$1500,2)</f>
        <v>(brak)</v>
      </c>
      <c r="D280" s="11" t="s">
        <v>3650</v>
      </c>
      <c r="E280" s="11">
        <f>VLOOKUP(B280,Towary_i_uslugi!$A$3:$T$1500,3,FALSE)</f>
        <v>8</v>
      </c>
      <c r="F280" s="11" t="str">
        <f>VLOOKUP(B280,Towary_i_uslugi!$A$3:$T$1500,20,FALSE)</f>
        <v>photo color box</v>
      </c>
      <c r="G280" s="11">
        <f>VLOOKUP(B280,MBI_Dostawcy_towarów!$A$4:$C$1399,3,FALSE)</f>
        <v>1.74</v>
      </c>
      <c r="H280" s="11">
        <v>57</v>
      </c>
      <c r="I280" s="11">
        <v>0</v>
      </c>
      <c r="J280" s="11">
        <v>80</v>
      </c>
      <c r="K280" s="11">
        <f>_xlfn.IFNA(VLOOKUP(B280,Towary_na_zamówieniach!$A$4:$C$1500,2,FALSE),0)</f>
        <v>120</v>
      </c>
      <c r="L280" s="11">
        <f>_xlfn.IFNA(VLOOKUP(B280,Towary_na_zamówieniach!$A$4:$C$1500,3,FALSE),0)</f>
        <v>936</v>
      </c>
      <c r="M280" s="11">
        <f>_xlfn.IFNA(VLOOKUP(B280,MBI_Dostawcy_towarów!$A$4:$C$2000,2,FALSE),"N/A")</f>
        <v>90</v>
      </c>
      <c r="N280" s="11" t="str">
        <f>IF(VLOOKUP(B280,Towary_i_uslugi!$A$3:$T$1500,17,FALSE)=0,"!NO SUPPLIER",VLOOKUP(B280,Towary_i_uslugi!$A$3:$T$1500,17))</f>
        <v>FX -MAPLE Frank Xu</v>
      </c>
      <c r="O280" s="11" t="str">
        <f>IF(VLOOKUP(B280,Towary_i_uslugi!$A$4:$U$1200,21,FALSE)&gt;0,VLOOKUP(B280,Towary_i_uslugi!$A$4:$U$1200,21,FALSE),"")</f>
        <v/>
      </c>
      <c r="P280" s="11">
        <f t="shared" si="12"/>
        <v>0</v>
      </c>
      <c r="Q280" s="11">
        <f t="shared" si="13"/>
        <v>0</v>
      </c>
      <c r="R280" s="17">
        <f t="shared" si="14"/>
        <v>0</v>
      </c>
      <c r="S280" s="17">
        <f>VLOOKUP($B280,   MBI_LastBuy!$A$3:E$13199,3,FALSE)</f>
        <v>120</v>
      </c>
      <c r="T280" s="13">
        <f>VLOOKUP($B280,   MBI_LastBuy!$A$3:E$13199,2,FALSE)</f>
        <v>7.8</v>
      </c>
      <c r="U280" s="13" t="str">
        <f>VLOOKUP($B280,   MBI_LastBuy!$A$3:E$13199,5,FALSE)</f>
        <v>USD</v>
      </c>
      <c r="V280" s="15">
        <f>VLOOKUP($B280,   MBI_LastBuy!$A$3:E$13199,4,FALSE)</f>
        <v>44141</v>
      </c>
    </row>
    <row r="281" spans="1:22" x14ac:dyDescent="0.25">
      <c r="A281" s="11" t="s">
        <v>3553</v>
      </c>
      <c r="B281" s="11">
        <v>645000</v>
      </c>
      <c r="C281" s="11" t="str">
        <f>VLOOKUP(B281,Towary_i_uslugi!$A$4:$B$1500,2)</f>
        <v>(brak)</v>
      </c>
      <c r="D281" s="11" t="s">
        <v>1616</v>
      </c>
      <c r="E281" s="11">
        <f>VLOOKUP(B281,Towary_i_uslugi!$A$3:$T$1500,3,FALSE)</f>
        <v>120</v>
      </c>
      <c r="F281" s="11" t="str">
        <f>VLOOKUP(B281,Towary_i_uslugi!$A$3:$T$1500,20,FALSE)</f>
        <v>polybag header</v>
      </c>
      <c r="G281" s="11">
        <f>VLOOKUP(B281,MBI_Dostawcy_towarów!$A$4:$C$1399,3,FALSE)</f>
        <v>0.16500000000000001</v>
      </c>
      <c r="H281" s="11">
        <v>0</v>
      </c>
      <c r="I281" s="11">
        <v>0</v>
      </c>
      <c r="J281" s="11">
        <v>680</v>
      </c>
      <c r="K281" s="11">
        <f>_xlfn.IFNA(VLOOKUP(B281,Towary_na_zamówieniach!$A$4:$C$1500,2,FALSE),0)</f>
        <v>1200</v>
      </c>
      <c r="L281" s="11">
        <f>_xlfn.IFNA(VLOOKUP(B281,Towary_na_zamówieniach!$A$4:$C$1500,3,FALSE),0)</f>
        <v>492</v>
      </c>
      <c r="M281" s="11">
        <f>_xlfn.IFNA(VLOOKUP(B281,MBI_Dostawcy_towarów!$A$4:$C$2000,2,FALSE),"N/A")</f>
        <v>90</v>
      </c>
      <c r="N281" s="11" t="str">
        <f>IF(VLOOKUP(B281,Towary_i_uslugi!$A$3:$T$1500,17,FALSE)=0,"!NO SUPPLIER",VLOOKUP(B281,Towary_i_uslugi!$A$3:$T$1500,17))</f>
        <v>FX -MAPLE Frank Xu</v>
      </c>
      <c r="O281" s="11" t="str">
        <f>IF(VLOOKUP(B281,Towary_i_uslugi!$A$4:$U$1200,21,FALSE)&gt;0,VLOOKUP(B281,Towary_i_uslugi!$A$4:$U$1200,21,FALSE),"")</f>
        <v/>
      </c>
      <c r="P281" s="11">
        <f t="shared" si="12"/>
        <v>0</v>
      </c>
      <c r="Q281" s="11">
        <f t="shared" si="13"/>
        <v>0</v>
      </c>
      <c r="R281" s="17">
        <f t="shared" si="14"/>
        <v>0</v>
      </c>
      <c r="S281" s="17">
        <f>VLOOKUP($B281,   MBI_LastBuy!$A$3:E$13199,3,FALSE)</f>
        <v>1200</v>
      </c>
      <c r="T281" s="13">
        <f>VLOOKUP($B281,   MBI_LastBuy!$A$3:E$13199,2,FALSE)</f>
        <v>0.41</v>
      </c>
      <c r="U281" s="13" t="str">
        <f>VLOOKUP($B281,   MBI_LastBuy!$A$3:E$13199,5,FALSE)</f>
        <v>USD</v>
      </c>
      <c r="V281" s="15">
        <f>VLOOKUP($B281,   MBI_LastBuy!$A$3:E$13199,4,FALSE)</f>
        <v>44035</v>
      </c>
    </row>
    <row r="282" spans="1:22" x14ac:dyDescent="0.25">
      <c r="A282" s="11" t="s">
        <v>3552</v>
      </c>
      <c r="B282" s="11">
        <v>651105</v>
      </c>
      <c r="C282" s="11" t="str">
        <f>VLOOKUP(B282,Towary_i_uslugi!$A$4:$B$1500,2)</f>
        <v>(brak)</v>
      </c>
      <c r="D282" s="11" t="s">
        <v>2845</v>
      </c>
      <c r="E282" s="11">
        <f>VLOOKUP(B282,Towary_i_uslugi!$A$3:$T$1500,3,FALSE)</f>
        <v>40</v>
      </c>
      <c r="F282" s="11" t="str">
        <f>VLOOKUP(B282,Towary_i_uslugi!$A$3:$T$1500,20,FALSE)</f>
        <v>pvc bag + sticker</v>
      </c>
      <c r="G282" s="11">
        <f>VLOOKUP(B282,MBI_Dostawcy_towarów!$A$4:$C$1399,3,FALSE)</f>
        <v>0.32900000000000001</v>
      </c>
      <c r="H282" s="11">
        <v>770</v>
      </c>
      <c r="I282" s="11">
        <v>1</v>
      </c>
      <c r="J282" s="11">
        <v>1100</v>
      </c>
      <c r="K282" s="11">
        <f>_xlfn.IFNA(VLOOKUP(B282,Towary_na_zamówieniach!$A$4:$C$1500,2,FALSE),0)</f>
        <v>1440</v>
      </c>
      <c r="L282" s="11">
        <f>_xlfn.IFNA(VLOOKUP(B282,Towary_na_zamówieniach!$A$4:$C$1500,3,FALSE),0)</f>
        <v>1123.2</v>
      </c>
      <c r="M282" s="11">
        <f>_xlfn.IFNA(VLOOKUP(B282,MBI_Dostawcy_towarów!$A$4:$C$2000,2,FALSE),"N/A")</f>
        <v>90</v>
      </c>
      <c r="N282" s="11" t="str">
        <f>IF(VLOOKUP(B282,Towary_i_uslugi!$A$3:$T$1500,17,FALSE)=0,"!NO SUPPLIER",VLOOKUP(B282,Towary_i_uslugi!$A$3:$T$1500,17))</f>
        <v>XM</v>
      </c>
      <c r="O282" s="11" t="str">
        <f>IF(VLOOKUP(B282,Towary_i_uslugi!$A$4:$U$1200,21,FALSE)&gt;0,VLOOKUP(B282,Towary_i_uslugi!$A$4:$U$1200,21,FALSE),"")</f>
        <v/>
      </c>
      <c r="P282" s="11">
        <f t="shared" si="12"/>
        <v>0</v>
      </c>
      <c r="Q282" s="11">
        <f t="shared" si="13"/>
        <v>0</v>
      </c>
      <c r="R282" s="17">
        <f t="shared" si="14"/>
        <v>0</v>
      </c>
      <c r="S282" s="17">
        <f>VLOOKUP($B282,   MBI_LastBuy!$A$3:E$13199,3,FALSE)</f>
        <v>1440</v>
      </c>
      <c r="T282" s="13">
        <f>VLOOKUP($B282,   MBI_LastBuy!$A$3:E$13199,2,FALSE)</f>
        <v>0.78</v>
      </c>
      <c r="U282" s="13" t="str">
        <f>VLOOKUP($B282,   MBI_LastBuy!$A$3:E$13199,5,FALSE)</f>
        <v>USD</v>
      </c>
      <c r="V282" s="15">
        <f>VLOOKUP($B282,   MBI_LastBuy!$A$3:E$13199,4,FALSE)</f>
        <v>44068</v>
      </c>
    </row>
    <row r="283" spans="1:22" x14ac:dyDescent="0.25">
      <c r="A283" s="11" t="s">
        <v>3552</v>
      </c>
      <c r="B283" s="11">
        <v>651200</v>
      </c>
      <c r="C283" s="11" t="str">
        <f>VLOOKUP(B283,Towary_i_uslugi!$A$4:$B$1500,2)</f>
        <v>(brak)</v>
      </c>
      <c r="D283" s="11" t="s">
        <v>2846</v>
      </c>
      <c r="E283" s="11">
        <f>VLOOKUP(B283,Towary_i_uslugi!$A$3:$T$1500,3,FALSE)</f>
        <v>40</v>
      </c>
      <c r="F283" s="11" t="str">
        <f>VLOOKUP(B283,Towary_i_uslugi!$A$3:$T$1500,20,FALSE)</f>
        <v>sticker + protection pvc bag</v>
      </c>
      <c r="G283" s="11">
        <f>VLOOKUP(B283,MBI_Dostawcy_towarów!$A$4:$C$1399,3,FALSE)</f>
        <v>0.39100000000000001</v>
      </c>
      <c r="H283" s="11">
        <v>2</v>
      </c>
      <c r="I283" s="11">
        <v>0</v>
      </c>
      <c r="J283" s="11">
        <v>3400</v>
      </c>
      <c r="K283" s="11">
        <f>_xlfn.IFNA(VLOOKUP(B283,Towary_na_zamówieniach!$A$4:$C$1500,2,FALSE),0)</f>
        <v>6400</v>
      </c>
      <c r="L283" s="11">
        <f>_xlfn.IFNA(VLOOKUP(B283,Towary_na_zamówieniach!$A$4:$C$1500,3,FALSE),0)</f>
        <v>4747.2</v>
      </c>
      <c r="M283" s="11">
        <f>_xlfn.IFNA(VLOOKUP(B283,MBI_Dostawcy_towarów!$A$4:$C$2000,2,FALSE),"N/A")</f>
        <v>90</v>
      </c>
      <c r="N283" s="11" t="str">
        <f>IF(VLOOKUP(B283,Towary_i_uslugi!$A$3:$T$1500,17,FALSE)=0,"!NO SUPPLIER",VLOOKUP(B283,Towary_i_uslugi!$A$3:$T$1500,17))</f>
        <v>XM</v>
      </c>
      <c r="O283" s="11" t="str">
        <f>IF(VLOOKUP(B283,Towary_i_uslugi!$A$4:$U$1200,21,FALSE)&gt;0,VLOOKUP(B283,Towary_i_uslugi!$A$4:$U$1200,21,FALSE),"")</f>
        <v/>
      </c>
      <c r="P283" s="11">
        <f t="shared" si="12"/>
        <v>0</v>
      </c>
      <c r="Q283" s="11">
        <f t="shared" si="13"/>
        <v>0</v>
      </c>
      <c r="R283" s="17">
        <f t="shared" si="14"/>
        <v>0</v>
      </c>
      <c r="S283" s="17">
        <f>VLOOKUP($B283,   MBI_LastBuy!$A$3:E$13199,3,FALSE)</f>
        <v>2880</v>
      </c>
      <c r="T283" s="13">
        <f>VLOOKUP($B283,   MBI_LastBuy!$A$3:E$13199,2,FALSE)</f>
        <v>0.75</v>
      </c>
      <c r="U283" s="13" t="str">
        <f>VLOOKUP($B283,   MBI_LastBuy!$A$3:E$13199,5,FALSE)</f>
        <v>USD</v>
      </c>
      <c r="V283" s="15">
        <f>VLOOKUP($B283,   MBI_LastBuy!$A$3:E$13199,4,FALSE)</f>
        <v>44140</v>
      </c>
    </row>
    <row r="284" spans="1:22" x14ac:dyDescent="0.25">
      <c r="A284" s="11" t="s">
        <v>3552</v>
      </c>
      <c r="B284" s="11">
        <v>651201</v>
      </c>
      <c r="C284" s="11" t="str">
        <f>VLOOKUP(B284,Towary_i_uslugi!$A$4:$B$1500,2)</f>
        <v>(brak)</v>
      </c>
      <c r="D284" s="11" t="s">
        <v>38</v>
      </c>
      <c r="E284" s="11">
        <f>VLOOKUP(B284,Towary_i_uslugi!$A$3:$T$1500,3,FALSE)</f>
        <v>24</v>
      </c>
      <c r="F284" s="11" t="str">
        <f>VLOOKUP(B284,Towary_i_uslugi!$A$3:$T$1500,20,FALSE)</f>
        <v>sticker + protection pvc bag</v>
      </c>
      <c r="G284" s="11">
        <f>VLOOKUP(B284,MBI_Dostawcy_towarów!$A$4:$C$1399,3,FALSE)</f>
        <v>0.47</v>
      </c>
      <c r="H284" s="11">
        <v>1</v>
      </c>
      <c r="I284" s="11">
        <v>0</v>
      </c>
      <c r="J284" s="11">
        <v>240</v>
      </c>
      <c r="K284" s="11">
        <f>_xlfn.IFNA(VLOOKUP(B284,Towary_na_zamówieniach!$A$4:$C$1500,2,FALSE),0)</f>
        <v>600</v>
      </c>
      <c r="L284" s="11">
        <f>_xlfn.IFNA(VLOOKUP(B284,Towary_na_zamówieniach!$A$4:$C$1500,3,FALSE),0)</f>
        <v>660</v>
      </c>
      <c r="M284" s="11">
        <f>_xlfn.IFNA(VLOOKUP(B284,MBI_Dostawcy_towarów!$A$4:$C$2000,2,FALSE),"N/A")</f>
        <v>90</v>
      </c>
      <c r="N284" s="11" t="str">
        <f>IF(VLOOKUP(B284,Towary_i_uslugi!$A$3:$T$1500,17,FALSE)=0,"!NO SUPPLIER",VLOOKUP(B284,Towary_i_uslugi!$A$3:$T$1500,17))</f>
        <v>XM</v>
      </c>
      <c r="O284" s="11" t="str">
        <f>IF(VLOOKUP(B284,Towary_i_uslugi!$A$4:$U$1200,21,FALSE)&gt;0,VLOOKUP(B284,Towary_i_uslugi!$A$4:$U$1200,21,FALSE),"")</f>
        <v/>
      </c>
      <c r="P284" s="11">
        <f t="shared" si="12"/>
        <v>0</v>
      </c>
      <c r="Q284" s="11">
        <f t="shared" si="13"/>
        <v>0</v>
      </c>
      <c r="R284" s="17">
        <f t="shared" si="14"/>
        <v>0</v>
      </c>
      <c r="S284" s="17">
        <f>VLOOKUP($B284,   MBI_LastBuy!$A$3:E$13199,3,FALSE)</f>
        <v>600</v>
      </c>
      <c r="T284" s="13">
        <f>VLOOKUP($B284,   MBI_LastBuy!$A$3:E$13199,2,FALSE)</f>
        <v>1.1000000000000001</v>
      </c>
      <c r="U284" s="13" t="str">
        <f>VLOOKUP($B284,   MBI_LastBuy!$A$3:E$13199,5,FALSE)</f>
        <v>USD</v>
      </c>
      <c r="V284" s="15">
        <f>VLOOKUP($B284,   MBI_LastBuy!$A$3:E$13199,4,FALSE)</f>
        <v>44117</v>
      </c>
    </row>
    <row r="285" spans="1:22" x14ac:dyDescent="0.25">
      <c r="A285" s="11" t="s">
        <v>3552</v>
      </c>
      <c r="B285" s="11">
        <v>651207</v>
      </c>
      <c r="C285" s="11" t="str">
        <f>VLOOKUP(B285,Towary_i_uslugi!$A$4:$B$1500,2)</f>
        <v>(brak)</v>
      </c>
      <c r="D285" s="11" t="s">
        <v>2629</v>
      </c>
      <c r="E285" s="11">
        <f>VLOOKUP(B285,Towary_i_uslugi!$A$3:$T$1500,3,FALSE)</f>
        <v>36</v>
      </c>
      <c r="F285" s="11" t="str">
        <f>VLOOKUP(B285,Towary_i_uslugi!$A$3:$T$1500,20,FALSE)</f>
        <v>sticker + protection pvc bag</v>
      </c>
      <c r="G285" s="11">
        <f>VLOOKUP(B285,MBI_Dostawcy_towarów!$A$4:$C$1399,3,FALSE)</f>
        <v>0.32</v>
      </c>
      <c r="H285" s="11">
        <v>8</v>
      </c>
      <c r="I285" s="11">
        <v>7</v>
      </c>
      <c r="J285" s="11">
        <v>800</v>
      </c>
      <c r="K285" s="11">
        <f>_xlfn.IFNA(VLOOKUP(B285,Towary_na_zamówieniach!$A$4:$C$1500,2,FALSE),0)</f>
        <v>1152</v>
      </c>
      <c r="L285" s="11">
        <f>_xlfn.IFNA(VLOOKUP(B285,Towary_na_zamówieniach!$A$4:$C$1500,3,FALSE),0)</f>
        <v>725.76</v>
      </c>
      <c r="M285" s="11">
        <f>_xlfn.IFNA(VLOOKUP(B285,MBI_Dostawcy_towarów!$A$4:$C$2000,2,FALSE),"N/A")</f>
        <v>90</v>
      </c>
      <c r="N285" s="11" t="str">
        <f>IF(VLOOKUP(B285,Towary_i_uslugi!$A$3:$T$1500,17,FALSE)=0,"!NO SUPPLIER",VLOOKUP(B285,Towary_i_uslugi!$A$3:$T$1500,17))</f>
        <v>XM</v>
      </c>
      <c r="O285" s="11" t="str">
        <f>IF(VLOOKUP(B285,Towary_i_uslugi!$A$4:$U$1200,21,FALSE)&gt;0,VLOOKUP(B285,Towary_i_uslugi!$A$4:$U$1200,21,FALSE),"")</f>
        <v/>
      </c>
      <c r="P285" s="11">
        <f t="shared" si="12"/>
        <v>0</v>
      </c>
      <c r="Q285" s="11">
        <f t="shared" si="13"/>
        <v>0</v>
      </c>
      <c r="R285" s="17">
        <f t="shared" si="14"/>
        <v>0</v>
      </c>
      <c r="S285" s="17">
        <f>VLOOKUP($B285,   MBI_LastBuy!$A$3:E$13199,3,FALSE)</f>
        <v>1152</v>
      </c>
      <c r="T285" s="13">
        <f>VLOOKUP($B285,   MBI_LastBuy!$A$3:E$13199,2,FALSE)</f>
        <v>0.63</v>
      </c>
      <c r="U285" s="13" t="str">
        <f>VLOOKUP($B285,   MBI_LastBuy!$A$3:E$13199,5,FALSE)</f>
        <v>USD</v>
      </c>
      <c r="V285" s="15">
        <f>VLOOKUP($B285,   MBI_LastBuy!$A$3:E$13199,4,FALSE)</f>
        <v>43845</v>
      </c>
    </row>
    <row r="286" spans="1:22" x14ac:dyDescent="0.25">
      <c r="A286" s="11" t="s">
        <v>3552</v>
      </c>
      <c r="B286" s="11">
        <v>651300</v>
      </c>
      <c r="C286" s="11" t="str">
        <f>VLOOKUP(B286,Towary_i_uslugi!$A$4:$B$1500,2)</f>
        <v>(brak)</v>
      </c>
      <c r="D286" s="11" t="s">
        <v>3651</v>
      </c>
      <c r="E286" s="11">
        <f>VLOOKUP(B286,Towary_i_uslugi!$A$3:$T$1500,3,FALSE)</f>
        <v>20</v>
      </c>
      <c r="F286" s="11" t="str">
        <f>VLOOKUP(B286,Towary_i_uslugi!$A$3:$T$1500,20,FALSE)</f>
        <v>pvc bag</v>
      </c>
      <c r="G286" s="11">
        <f>VLOOKUP(B286,MBI_Dostawcy_towarów!$A$4:$C$1399,3,FALSE)</f>
        <v>0.56200000000000006</v>
      </c>
      <c r="H286" s="11">
        <v>1095</v>
      </c>
      <c r="I286" s="11">
        <v>5</v>
      </c>
      <c r="J286" s="11">
        <v>1200</v>
      </c>
      <c r="K286" s="11">
        <f>_xlfn.IFNA(VLOOKUP(B286,Towary_na_zamówieniach!$A$4:$C$1500,2,FALSE),0)</f>
        <v>1440</v>
      </c>
      <c r="L286" s="11">
        <f>_xlfn.IFNA(VLOOKUP(B286,Towary_na_zamówieniach!$A$4:$C$1500,3,FALSE),0)</f>
        <v>2736</v>
      </c>
      <c r="M286" s="11">
        <f>_xlfn.IFNA(VLOOKUP(B286,MBI_Dostawcy_towarów!$A$4:$C$2000,2,FALSE),"N/A")</f>
        <v>90</v>
      </c>
      <c r="N286" s="11" t="str">
        <f>IF(VLOOKUP(B286,Towary_i_uslugi!$A$3:$T$1500,17,FALSE)=0,"!NO SUPPLIER",VLOOKUP(B286,Towary_i_uslugi!$A$3:$T$1500,17))</f>
        <v>XM</v>
      </c>
      <c r="O286" s="11" t="str">
        <f>IF(VLOOKUP(B286,Towary_i_uslugi!$A$4:$U$1200,21,FALSE)&gt;0,VLOOKUP(B286,Towary_i_uslugi!$A$4:$U$1200,21,FALSE),"")</f>
        <v/>
      </c>
      <c r="P286" s="11">
        <f t="shared" si="12"/>
        <v>0</v>
      </c>
      <c r="Q286" s="11">
        <f t="shared" si="13"/>
        <v>0</v>
      </c>
      <c r="R286" s="17">
        <f t="shared" si="14"/>
        <v>0</v>
      </c>
      <c r="S286" s="17">
        <f>VLOOKUP($B286,   MBI_LastBuy!$A$3:E$13199,3,FALSE)</f>
        <v>1440</v>
      </c>
      <c r="T286" s="13">
        <f>VLOOKUP($B286,   MBI_LastBuy!$A$3:E$13199,2,FALSE)</f>
        <v>1.9</v>
      </c>
      <c r="U286" s="13" t="str">
        <f>VLOOKUP($B286,   MBI_LastBuy!$A$3:E$13199,5,FALSE)</f>
        <v>USD</v>
      </c>
      <c r="V286" s="15">
        <f>VLOOKUP($B286,   MBI_LastBuy!$A$3:E$13199,4,FALSE)</f>
        <v>44140</v>
      </c>
    </row>
    <row r="287" spans="1:22" x14ac:dyDescent="0.25">
      <c r="A287" s="11" t="s">
        <v>3552</v>
      </c>
      <c r="B287" s="11">
        <v>651401</v>
      </c>
      <c r="C287" s="11" t="str">
        <f>VLOOKUP(B287,Towary_i_uslugi!$A$4:$B$1500,2)</f>
        <v>(brak)</v>
      </c>
      <c r="D287" s="11" t="s">
        <v>2443</v>
      </c>
      <c r="E287" s="11">
        <f>VLOOKUP(B287,Towary_i_uslugi!$A$3:$T$1500,3,FALSE)</f>
        <v>24</v>
      </c>
      <c r="F287" s="11" t="str">
        <f>VLOOKUP(B287,Towary_i_uslugi!$A$3:$T$1500,20,FALSE)</f>
        <v>pvc bag</v>
      </c>
      <c r="G287" s="11">
        <f>VLOOKUP(B287,MBI_Dostawcy_towarów!$A$4:$C$1399,3,FALSE)</f>
        <v>0.58499999999999996</v>
      </c>
      <c r="H287" s="11">
        <v>138</v>
      </c>
      <c r="I287" s="11">
        <v>24</v>
      </c>
      <c r="J287" s="11">
        <v>800</v>
      </c>
      <c r="K287" s="11">
        <f>_xlfn.IFNA(VLOOKUP(B287,Towary_na_zamówieniach!$A$4:$C$1500,2,FALSE),0)</f>
        <v>1080</v>
      </c>
      <c r="L287" s="11">
        <f>_xlfn.IFNA(VLOOKUP(B287,Towary_na_zamówieniach!$A$4:$C$1500,3,FALSE),0)</f>
        <v>1533.6</v>
      </c>
      <c r="M287" s="11">
        <f>_xlfn.IFNA(VLOOKUP(B287,MBI_Dostawcy_towarów!$A$4:$C$2000,2,FALSE),"N/A")</f>
        <v>90</v>
      </c>
      <c r="N287" s="11" t="str">
        <f>IF(VLOOKUP(B287,Towary_i_uslugi!$A$3:$T$1500,17,FALSE)=0,"!NO SUPPLIER",VLOOKUP(B287,Towary_i_uslugi!$A$3:$T$1500,17))</f>
        <v>XM</v>
      </c>
      <c r="O287" s="11" t="str">
        <f>IF(VLOOKUP(B287,Towary_i_uslugi!$A$4:$U$1200,21,FALSE)&gt;0,VLOOKUP(B287,Towary_i_uslugi!$A$4:$U$1200,21,FALSE),"")</f>
        <v/>
      </c>
      <c r="P287" s="11">
        <f t="shared" si="12"/>
        <v>0</v>
      </c>
      <c r="Q287" s="11">
        <f t="shared" si="13"/>
        <v>0</v>
      </c>
      <c r="R287" s="17">
        <f t="shared" si="14"/>
        <v>0</v>
      </c>
      <c r="S287" s="17">
        <f>VLOOKUP($B287,   MBI_LastBuy!$A$3:E$13199,3,FALSE)</f>
        <v>1080</v>
      </c>
      <c r="T287" s="13">
        <f>VLOOKUP($B287,   MBI_LastBuy!$A$3:E$13199,2,FALSE)</f>
        <v>1.42</v>
      </c>
      <c r="U287" s="13" t="str">
        <f>VLOOKUP($B287,   MBI_LastBuy!$A$3:E$13199,5,FALSE)</f>
        <v>USD</v>
      </c>
      <c r="V287" s="15">
        <f>VLOOKUP($B287,   MBI_LastBuy!$A$3:E$13199,4,FALSE)</f>
        <v>44097</v>
      </c>
    </row>
    <row r="288" spans="1:22" x14ac:dyDescent="0.25">
      <c r="A288" s="11" t="s">
        <v>3552</v>
      </c>
      <c r="B288" s="11">
        <v>651402</v>
      </c>
      <c r="C288" s="11" t="str">
        <f>VLOOKUP(B288,Towary_i_uslugi!$A$4:$B$1500,2)</f>
        <v>(brak)</v>
      </c>
      <c r="D288" s="11" t="s">
        <v>2521</v>
      </c>
      <c r="E288" s="11">
        <f>VLOOKUP(B288,Towary_i_uslugi!$A$3:$T$1500,3,FALSE)</f>
        <v>24</v>
      </c>
      <c r="F288" s="11" t="str">
        <f>VLOOKUP(B288,Towary_i_uslugi!$A$3:$T$1500,20,FALSE)</f>
        <v>pvc bag + sticker</v>
      </c>
      <c r="G288" s="11">
        <f>VLOOKUP(B288,MBI_Dostawcy_towarów!$A$4:$C$1399,3,FALSE)</f>
        <v>0.57499999999999996</v>
      </c>
      <c r="H288" s="11">
        <v>2</v>
      </c>
      <c r="I288" s="11">
        <v>240</v>
      </c>
      <c r="J288" s="11">
        <v>2100</v>
      </c>
      <c r="K288" s="11">
        <f>_xlfn.IFNA(VLOOKUP(B288,Towary_na_zamówieniach!$A$4:$C$1500,2,FALSE),0)</f>
        <v>4560</v>
      </c>
      <c r="L288" s="11">
        <f>_xlfn.IFNA(VLOOKUP(B288,Towary_na_zamówieniach!$A$4:$C$1500,3,FALSE),0)</f>
        <v>5896.8</v>
      </c>
      <c r="M288" s="11">
        <f>_xlfn.IFNA(VLOOKUP(B288,MBI_Dostawcy_towarów!$A$4:$C$2000,2,FALSE),"N/A")</f>
        <v>90</v>
      </c>
      <c r="N288" s="11" t="str">
        <f>IF(VLOOKUP(B288,Towary_i_uslugi!$A$3:$T$1500,17,FALSE)=0,"!NO SUPPLIER",VLOOKUP(B288,Towary_i_uslugi!$A$3:$T$1500,17))</f>
        <v>XM</v>
      </c>
      <c r="O288" s="11" t="str">
        <f>IF(VLOOKUP(B288,Towary_i_uslugi!$A$4:$U$1200,21,FALSE)&gt;0,VLOOKUP(B288,Towary_i_uslugi!$A$4:$U$1200,21,FALSE),"")</f>
        <v/>
      </c>
      <c r="P288" s="11">
        <f t="shared" si="12"/>
        <v>0</v>
      </c>
      <c r="Q288" s="11">
        <f t="shared" si="13"/>
        <v>0</v>
      </c>
      <c r="R288" s="17">
        <f t="shared" si="14"/>
        <v>0</v>
      </c>
      <c r="S288" s="17">
        <f>VLOOKUP($B288,   MBI_LastBuy!$A$3:E$13199,3,FALSE)</f>
        <v>2400</v>
      </c>
      <c r="T288" s="13">
        <f>VLOOKUP($B288,   MBI_LastBuy!$A$3:E$13199,2,FALSE)</f>
        <v>1.35</v>
      </c>
      <c r="U288" s="13" t="str">
        <f>VLOOKUP($B288,   MBI_LastBuy!$A$3:E$13199,5,FALSE)</f>
        <v>USD</v>
      </c>
      <c r="V288" s="15">
        <f>VLOOKUP($B288,   MBI_LastBuy!$A$3:E$13199,4,FALSE)</f>
        <v>44140</v>
      </c>
    </row>
    <row r="289" spans="1:22" x14ac:dyDescent="0.25">
      <c r="A289" s="11" t="s">
        <v>3556</v>
      </c>
      <c r="B289" s="11">
        <v>651404</v>
      </c>
      <c r="C289" s="11" t="str">
        <f>VLOOKUP(B289,Towary_i_uslugi!$A$4:$B$1500,2)</f>
        <v>(brak)</v>
      </c>
      <c r="D289" s="11" t="s">
        <v>39</v>
      </c>
      <c r="E289" s="11">
        <f>VLOOKUP(B289,Towary_i_uslugi!$A$3:$T$1500,3,FALSE)</f>
        <v>12</v>
      </c>
      <c r="F289" s="11" t="str">
        <f>VLOOKUP(B289,Towary_i_uslugi!$A$3:$T$1500,20,FALSE)</f>
        <v>sticker+pvc bag</v>
      </c>
      <c r="G289" s="11">
        <f>VLOOKUP(B289,MBI_Dostawcy_towarów!$A$4:$C$1399,3,FALSE)</f>
        <v>0.72299999999999998</v>
      </c>
      <c r="H289" s="11">
        <v>1</v>
      </c>
      <c r="I289" s="11">
        <v>0</v>
      </c>
      <c r="J289" s="11">
        <v>320</v>
      </c>
      <c r="K289" s="11">
        <f>_xlfn.IFNA(VLOOKUP(B289,Towary_na_zamówieniach!$A$4:$C$1500,2,FALSE),0)</f>
        <v>504</v>
      </c>
      <c r="L289" s="11">
        <f>_xlfn.IFNA(VLOOKUP(B289,Towary_na_zamówieniach!$A$4:$C$1500,3,FALSE),0)</f>
        <v>1356.77</v>
      </c>
      <c r="M289" s="11">
        <f>_xlfn.IFNA(VLOOKUP(B289,MBI_Dostawcy_towarów!$A$4:$C$2000,2,FALSE),"N/A")</f>
        <v>90</v>
      </c>
      <c r="N289" s="11" t="str">
        <f>IF(VLOOKUP(B289,Towary_i_uslugi!$A$3:$T$1500,17,FALSE)=0,"!NO SUPPLIER",VLOOKUP(B289,Towary_i_uslugi!$A$3:$T$1500,17))</f>
        <v xml:space="preserve">LF rozrachunki </v>
      </c>
      <c r="O289" s="11" t="str">
        <f>IF(VLOOKUP(B289,Towary_i_uslugi!$A$4:$U$1200,21,FALSE)&gt;0,VLOOKUP(B289,Towary_i_uslugi!$A$4:$U$1200,21,FALSE),"")</f>
        <v>MBI*21.9.2020* LF - first delivery</v>
      </c>
      <c r="P289" s="11">
        <f t="shared" si="12"/>
        <v>0</v>
      </c>
      <c r="Q289" s="11">
        <f t="shared" si="13"/>
        <v>0</v>
      </c>
      <c r="R289" s="17">
        <f t="shared" si="14"/>
        <v>0</v>
      </c>
      <c r="S289" s="17">
        <f>VLOOKUP($B289,   MBI_LastBuy!$A$3:E$13199,3,FALSE)</f>
        <v>504</v>
      </c>
      <c r="T289" s="13">
        <f>VLOOKUP($B289,   MBI_LastBuy!$A$3:E$13199,2,FALSE)</f>
        <v>2.6920000000000002</v>
      </c>
      <c r="U289" s="13" t="str">
        <f>VLOOKUP($B289,   MBI_LastBuy!$A$3:E$13199,5,FALSE)</f>
        <v>USD</v>
      </c>
      <c r="V289" s="15">
        <f>VLOOKUP($B289,   MBI_LastBuy!$A$3:E$13199,4,FALSE)</f>
        <v>44095</v>
      </c>
    </row>
    <row r="290" spans="1:22" x14ac:dyDescent="0.25">
      <c r="A290" s="11" t="s">
        <v>3552</v>
      </c>
      <c r="B290" s="11">
        <v>652050</v>
      </c>
      <c r="C290" s="11" t="str">
        <f>VLOOKUP(B290,Towary_i_uslugi!$A$4:$B$1500,2)</f>
        <v>(brak)</v>
      </c>
      <c r="D290" s="11" t="s">
        <v>2630</v>
      </c>
      <c r="E290" s="11">
        <f>VLOOKUP(B290,Towary_i_uslugi!$A$3:$T$1500,3,FALSE)</f>
        <v>20</v>
      </c>
      <c r="F290" s="11" t="str">
        <f>VLOOKUP(B290,Towary_i_uslugi!$A$3:$T$1500,20,FALSE)</f>
        <v>photo color box</v>
      </c>
      <c r="G290" s="11">
        <f>VLOOKUP(B290,MBI_Dostawcy_towarów!$A$4:$C$1399,3,FALSE)</f>
        <v>0.53700000000000003</v>
      </c>
      <c r="H290" s="11">
        <v>1136</v>
      </c>
      <c r="I290" s="11">
        <v>10</v>
      </c>
      <c r="J290" s="11">
        <v>2500</v>
      </c>
      <c r="K290" s="11">
        <f>_xlfn.IFNA(VLOOKUP(B290,Towary_na_zamówieniach!$A$4:$C$1500,2,FALSE),0)</f>
        <v>4500</v>
      </c>
      <c r="L290" s="11">
        <f>_xlfn.IFNA(VLOOKUP(B290,Towary_na_zamówieniach!$A$4:$C$1500,3,FALSE),0)</f>
        <v>12809</v>
      </c>
      <c r="M290" s="11">
        <f>_xlfn.IFNA(VLOOKUP(B290,MBI_Dostawcy_towarów!$A$4:$C$2000,2,FALSE),"N/A")</f>
        <v>90</v>
      </c>
      <c r="N290" s="11" t="str">
        <f>IF(VLOOKUP(B290,Towary_i_uslugi!$A$3:$T$1500,17,FALSE)=0,"!NO SUPPLIER",VLOOKUP(B290,Towary_i_uslugi!$A$3:$T$1500,17))</f>
        <v>XM</v>
      </c>
      <c r="O290" s="11" t="str">
        <f>IF(VLOOKUP(B290,Towary_i_uslugi!$A$4:$U$1200,21,FALSE)&gt;0,VLOOKUP(B290,Towary_i_uslugi!$A$4:$U$1200,21,FALSE),"")</f>
        <v/>
      </c>
      <c r="P290" s="11">
        <f t="shared" si="12"/>
        <v>0</v>
      </c>
      <c r="Q290" s="11">
        <f t="shared" si="13"/>
        <v>0</v>
      </c>
      <c r="R290" s="17">
        <f t="shared" si="14"/>
        <v>0</v>
      </c>
      <c r="S290" s="17">
        <f>VLOOKUP($B290,   MBI_LastBuy!$A$3:E$13199,3,FALSE)</f>
        <v>2000</v>
      </c>
      <c r="T290" s="13">
        <f>VLOOKUP($B290,   MBI_LastBuy!$A$3:E$13199,2,FALSE)</f>
        <v>2.8420000000000001</v>
      </c>
      <c r="U290" s="13" t="str">
        <f>VLOOKUP($B290,   MBI_LastBuy!$A$3:E$13199,5,FALSE)</f>
        <v>USD</v>
      </c>
      <c r="V290" s="15">
        <f>VLOOKUP($B290,   MBI_LastBuy!$A$3:E$13199,4,FALSE)</f>
        <v>44070</v>
      </c>
    </row>
    <row r="291" spans="1:22" x14ac:dyDescent="0.25">
      <c r="A291" s="11" t="s">
        <v>3552</v>
      </c>
      <c r="B291" s="11">
        <v>652058</v>
      </c>
      <c r="C291" s="11" t="str">
        <f>VLOOKUP(B291,Towary_i_uslugi!$A$4:$B$1500,2)</f>
        <v>(brak)</v>
      </c>
      <c r="D291" s="11" t="s">
        <v>1623</v>
      </c>
      <c r="E291" s="11">
        <f>VLOOKUP(B291,Towary_i_uslugi!$A$3:$T$1500,3,FALSE)</f>
        <v>100</v>
      </c>
      <c r="F291" s="11" t="str">
        <f>VLOOKUP(B291,Towary_i_uslugi!$A$3:$T$1500,20,FALSE)</f>
        <v>pvc bag + sticker</v>
      </c>
      <c r="G291" s="11">
        <f>VLOOKUP(B291,MBI_Dostawcy_towarów!$A$4:$C$1399,3,FALSE)</f>
        <v>0.05</v>
      </c>
      <c r="H291" s="11">
        <v>4</v>
      </c>
      <c r="I291" s="11">
        <v>0</v>
      </c>
      <c r="J291" s="11">
        <v>1000</v>
      </c>
      <c r="K291" s="11">
        <f>_xlfn.IFNA(VLOOKUP(B291,Towary_na_zamówieniach!$A$4:$C$1500,2,FALSE),0)</f>
        <v>1200</v>
      </c>
      <c r="L291" s="11">
        <f>_xlfn.IFNA(VLOOKUP(B291,Towary_na_zamówieniach!$A$4:$C$1500,3,FALSE),0)</f>
        <v>696</v>
      </c>
      <c r="M291" s="11">
        <f>_xlfn.IFNA(VLOOKUP(B291,MBI_Dostawcy_towarów!$A$4:$C$2000,2,FALSE),"N/A")</f>
        <v>90</v>
      </c>
      <c r="N291" s="11" t="str">
        <f>IF(VLOOKUP(B291,Towary_i_uslugi!$A$3:$T$1500,17,FALSE)=0,"!NO SUPPLIER",VLOOKUP(B291,Towary_i_uslugi!$A$3:$T$1500,17))</f>
        <v>XM</v>
      </c>
      <c r="O291" s="11" t="str">
        <f>IF(VLOOKUP(B291,Towary_i_uslugi!$A$4:$U$1200,21,FALSE)&gt;0,VLOOKUP(B291,Towary_i_uslugi!$A$4:$U$1200,21,FALSE),"")</f>
        <v>MBA*30.6.2020* We need plastic pipe</v>
      </c>
      <c r="P291" s="11">
        <f t="shared" si="12"/>
        <v>0</v>
      </c>
      <c r="Q291" s="11">
        <f t="shared" si="13"/>
        <v>0</v>
      </c>
      <c r="R291" s="17">
        <f t="shared" si="14"/>
        <v>0</v>
      </c>
      <c r="S291" s="17">
        <f>VLOOKUP($B291,   MBI_LastBuy!$A$3:E$13199,3,FALSE)</f>
        <v>1200</v>
      </c>
      <c r="T291" s="13">
        <f>VLOOKUP($B291,   MBI_LastBuy!$A$3:E$13199,2,FALSE)</f>
        <v>0.57999999999999996</v>
      </c>
      <c r="U291" s="13" t="str">
        <f>VLOOKUP($B291,   MBI_LastBuy!$A$3:E$13199,5,FALSE)</f>
        <v>USD</v>
      </c>
      <c r="V291" s="15">
        <f>VLOOKUP($B291,   MBI_LastBuy!$A$3:E$13199,4,FALSE)</f>
        <v>44068</v>
      </c>
    </row>
    <row r="292" spans="1:22" x14ac:dyDescent="0.25">
      <c r="A292" s="11" t="s">
        <v>3553</v>
      </c>
      <c r="B292" s="11">
        <v>652060</v>
      </c>
      <c r="C292" s="11" t="str">
        <f>VLOOKUP(B292,Towary_i_uslugi!$A$4:$B$1500,2)</f>
        <v>(brak)</v>
      </c>
      <c r="D292" s="11" t="s">
        <v>2399</v>
      </c>
      <c r="E292" s="11">
        <f>VLOOKUP(B292,Towary_i_uslugi!$A$3:$T$1500,3,FALSE)</f>
        <v>20</v>
      </c>
      <c r="F292" s="11" t="str">
        <f>VLOOKUP(B292,Towary_i_uslugi!$A$3:$T$1500,20,FALSE)</f>
        <v>photo color box</v>
      </c>
      <c r="G292" s="11">
        <f>VLOOKUP(B292,MBI_Dostawcy_towarów!$A$4:$C$1399,3,FALSE)</f>
        <v>0.44400000000000001</v>
      </c>
      <c r="H292" s="11">
        <v>230</v>
      </c>
      <c r="I292" s="11">
        <v>10</v>
      </c>
      <c r="J292" s="11">
        <v>800</v>
      </c>
      <c r="K292" s="11">
        <f>_xlfn.IFNA(VLOOKUP(B292,Towary_na_zamówieniach!$A$4:$C$1500,2,FALSE),0)</f>
        <v>1000</v>
      </c>
      <c r="L292" s="11">
        <f>_xlfn.IFNA(VLOOKUP(B292,Towary_na_zamówieniach!$A$4:$C$1500,3,FALSE),0)</f>
        <v>4656</v>
      </c>
      <c r="M292" s="11">
        <f>_xlfn.IFNA(VLOOKUP(B292,MBI_Dostawcy_towarów!$A$4:$C$2000,2,FALSE),"N/A")</f>
        <v>90</v>
      </c>
      <c r="N292" s="11" t="str">
        <f>IF(VLOOKUP(B292,Towary_i_uslugi!$A$3:$T$1500,17,FALSE)=0,"!NO SUPPLIER",VLOOKUP(B292,Towary_i_uslugi!$A$3:$T$1500,17))</f>
        <v>FX -MAPLE Frank Xu</v>
      </c>
      <c r="O292" s="11" t="str">
        <f>IF(VLOOKUP(B292,Towary_i_uslugi!$A$4:$U$1200,21,FALSE)&gt;0,VLOOKUP(B292,Towary_i_uslugi!$A$4:$U$1200,21,FALSE),"")</f>
        <v/>
      </c>
      <c r="P292" s="11">
        <f t="shared" si="12"/>
        <v>0</v>
      </c>
      <c r="Q292" s="11">
        <f t="shared" si="13"/>
        <v>0</v>
      </c>
      <c r="R292" s="17">
        <f t="shared" si="14"/>
        <v>0</v>
      </c>
      <c r="S292" s="17">
        <f>VLOOKUP($B292,   MBI_LastBuy!$A$3:E$13199,3,FALSE)</f>
        <v>1000</v>
      </c>
      <c r="T292" s="13">
        <f>VLOOKUP($B292,   MBI_LastBuy!$A$3:E$13199,2,FALSE)</f>
        <v>4.6559999999999997</v>
      </c>
      <c r="U292" s="13" t="str">
        <f>VLOOKUP($B292,   MBI_LastBuy!$A$3:E$13199,5,FALSE)</f>
        <v>USD</v>
      </c>
      <c r="V292" s="15">
        <f>VLOOKUP($B292,   MBI_LastBuy!$A$3:E$13199,4,FALSE)</f>
        <v>44070</v>
      </c>
    </row>
    <row r="293" spans="1:22" x14ac:dyDescent="0.25">
      <c r="A293" s="11" t="s">
        <v>3553</v>
      </c>
      <c r="B293" s="11">
        <v>652070</v>
      </c>
      <c r="C293" s="11" t="str">
        <f>VLOOKUP(B293,Towary_i_uslugi!$A$4:$B$1500,2)</f>
        <v>(brak)</v>
      </c>
      <c r="D293" s="11" t="s">
        <v>2847</v>
      </c>
      <c r="E293" s="11">
        <f>VLOOKUP(B293,Towary_i_uslugi!$A$3:$T$1500,3,FALSE)</f>
        <v>20</v>
      </c>
      <c r="F293" s="11" t="str">
        <f>VLOOKUP(B293,Towary_i_uslugi!$A$3:$T$1500,20,FALSE)</f>
        <v>neutral square box with sticker</v>
      </c>
      <c r="G293" s="11">
        <f>VLOOKUP(B293,MBI_Dostawcy_towarów!$A$4:$C$1399,3,FALSE)</f>
        <v>0.56699999999999995</v>
      </c>
      <c r="H293" s="11">
        <v>114</v>
      </c>
      <c r="I293" s="11">
        <v>10</v>
      </c>
      <c r="J293" s="11">
        <v>160</v>
      </c>
      <c r="K293" s="11">
        <f>_xlfn.IFNA(VLOOKUP(B293,Towary_na_zamówieniach!$A$4:$C$1500,2,FALSE),0)</f>
        <v>0</v>
      </c>
      <c r="L293" s="11">
        <f>_xlfn.IFNA(VLOOKUP(B293,Towary_na_zamówieniach!$A$4:$C$1500,3,FALSE),0)</f>
        <v>0</v>
      </c>
      <c r="M293" s="11">
        <f>_xlfn.IFNA(VLOOKUP(B293,MBI_Dostawcy_towarów!$A$4:$C$2000,2,FALSE),"N/A")</f>
        <v>90</v>
      </c>
      <c r="N293" s="11" t="str">
        <f>IF(VLOOKUP(B293,Towary_i_uslugi!$A$3:$T$1500,17,FALSE)=0,"!NO SUPPLIER",VLOOKUP(B293,Towary_i_uslugi!$A$3:$T$1500,17))</f>
        <v>FX -MAPLE Frank Xu</v>
      </c>
      <c r="O293" s="11" t="str">
        <f>IF(VLOOKUP(B293,Towary_i_uslugi!$A$4:$U$1200,21,FALSE)&gt;0,VLOOKUP(B293,Towary_i_uslugi!$A$4:$U$1200,21,FALSE),"")</f>
        <v>MBI*190709*first delivery</v>
      </c>
      <c r="P293" s="11">
        <f t="shared" si="12"/>
        <v>8</v>
      </c>
      <c r="Q293" s="11">
        <f t="shared" si="13"/>
        <v>160</v>
      </c>
      <c r="R293" s="17">
        <f t="shared" si="14"/>
        <v>1152</v>
      </c>
      <c r="S293" s="17">
        <f>VLOOKUP($B293,   MBI_LastBuy!$A$3:E$13199,3,FALSE)</f>
        <v>240</v>
      </c>
      <c r="T293" s="13">
        <f>VLOOKUP($B293,   MBI_LastBuy!$A$3:E$13199,2,FALSE)</f>
        <v>7.2</v>
      </c>
      <c r="U293" s="13" t="str">
        <f>VLOOKUP($B293,   MBI_LastBuy!$A$3:E$13199,5,FALSE)</f>
        <v>USD</v>
      </c>
      <c r="V293" s="15">
        <f>VLOOKUP($B293,   MBI_LastBuy!$A$3:E$13199,4,FALSE)</f>
        <v>43784</v>
      </c>
    </row>
    <row r="294" spans="1:22" x14ac:dyDescent="0.25">
      <c r="A294" s="11" t="s">
        <v>3552</v>
      </c>
      <c r="B294" s="11">
        <v>660050</v>
      </c>
      <c r="C294" s="11" t="str">
        <f>VLOOKUP(B294,Towary_i_uslugi!$A$4:$B$1500,2)</f>
        <v>(brak)</v>
      </c>
      <c r="D294" s="11" t="s">
        <v>2848</v>
      </c>
      <c r="E294" s="11">
        <f>VLOOKUP(B294,Towary_i_uslugi!$A$3:$T$1500,3,FALSE)</f>
        <v>48</v>
      </c>
      <c r="F294" s="11" t="str">
        <f>VLOOKUP(B294,Towary_i_uslugi!$A$3:$T$1500,20,FALSE)</f>
        <v>polybag header</v>
      </c>
      <c r="G294" s="11">
        <f>VLOOKUP(B294,MBI_Dostawcy_towarów!$A$4:$C$1399,3,FALSE)</f>
        <v>0.14000000000000001</v>
      </c>
      <c r="H294" s="11">
        <v>346</v>
      </c>
      <c r="I294" s="11">
        <v>10</v>
      </c>
      <c r="J294" s="11">
        <v>1100</v>
      </c>
      <c r="K294" s="11">
        <f>_xlfn.IFNA(VLOOKUP(B294,Towary_na_zamówieniach!$A$4:$C$1500,2,FALSE),0)</f>
        <v>1536</v>
      </c>
      <c r="L294" s="11">
        <f>_xlfn.IFNA(VLOOKUP(B294,Towary_na_zamówieniach!$A$4:$C$1500,3,FALSE),0)</f>
        <v>735.74</v>
      </c>
      <c r="M294" s="11">
        <f>_xlfn.IFNA(VLOOKUP(B294,MBI_Dostawcy_towarów!$A$4:$C$2000,2,FALSE),"N/A")</f>
        <v>90</v>
      </c>
      <c r="N294" s="11" t="str">
        <f>IF(VLOOKUP(B294,Towary_i_uslugi!$A$3:$T$1500,17,FALSE)=0,"!NO SUPPLIER",VLOOKUP(B294,Towary_i_uslugi!$A$3:$T$1500,17))</f>
        <v>XM</v>
      </c>
      <c r="O294" s="11" t="str">
        <f>IF(VLOOKUP(B294,Towary_i_uslugi!$A$4:$U$1200,21,FALSE)&gt;0,VLOOKUP(B294,Towary_i_uslugi!$A$4:$U$1200,21,FALSE),"")</f>
        <v/>
      </c>
      <c r="P294" s="11">
        <f t="shared" si="12"/>
        <v>0</v>
      </c>
      <c r="Q294" s="11">
        <f t="shared" si="13"/>
        <v>0</v>
      </c>
      <c r="R294" s="17">
        <f t="shared" si="14"/>
        <v>0</v>
      </c>
      <c r="S294" s="17">
        <f>VLOOKUP($B294,   MBI_LastBuy!$A$3:E$13199,3,FALSE)</f>
        <v>1536</v>
      </c>
      <c r="T294" s="13">
        <f>VLOOKUP($B294,   MBI_LastBuy!$A$3:E$13199,2,FALSE)</f>
        <v>0.47899999999999998</v>
      </c>
      <c r="U294" s="13" t="str">
        <f>VLOOKUP($B294,   MBI_LastBuy!$A$3:E$13199,5,FALSE)</f>
        <v>USD</v>
      </c>
      <c r="V294" s="15">
        <f>VLOOKUP($B294,   MBI_LastBuy!$A$3:E$13199,4,FALSE)</f>
        <v>44018</v>
      </c>
    </row>
    <row r="295" spans="1:22" x14ac:dyDescent="0.25">
      <c r="A295" s="11" t="s">
        <v>3552</v>
      </c>
      <c r="B295" s="11">
        <v>660100</v>
      </c>
      <c r="C295" s="11" t="str">
        <f>VLOOKUP(B295,Towary_i_uslugi!$A$4:$B$1500,2)</f>
        <v>(brak)</v>
      </c>
      <c r="D295" s="11" t="s">
        <v>2690</v>
      </c>
      <c r="E295" s="11">
        <f>VLOOKUP(B295,Towary_i_uslugi!$A$3:$T$1500,3,FALSE)</f>
        <v>48</v>
      </c>
      <c r="F295" s="11" t="str">
        <f>VLOOKUP(B295,Towary_i_uslugi!$A$3:$T$1500,20,FALSE)</f>
        <v>polybag header</v>
      </c>
      <c r="G295" s="11">
        <f>VLOOKUP(B295,MBI_Dostawcy_towarów!$A$4:$C$1399,3,FALSE)</f>
        <v>0.25</v>
      </c>
      <c r="H295" s="11">
        <v>869</v>
      </c>
      <c r="I295" s="11">
        <v>0</v>
      </c>
      <c r="J295" s="11">
        <v>1500</v>
      </c>
      <c r="K295" s="11">
        <f>_xlfn.IFNA(VLOOKUP(B295,Towary_na_zamówieniach!$A$4:$C$1500,2,FALSE),0)</f>
        <v>1536</v>
      </c>
      <c r="L295" s="11">
        <f>_xlfn.IFNA(VLOOKUP(B295,Towary_na_zamówieniach!$A$4:$C$1500,3,FALSE),0)</f>
        <v>1362.43</v>
      </c>
      <c r="M295" s="11">
        <f>_xlfn.IFNA(VLOOKUP(B295,MBI_Dostawcy_towarów!$A$4:$C$2000,2,FALSE),"N/A")</f>
        <v>90</v>
      </c>
      <c r="N295" s="11" t="str">
        <f>IF(VLOOKUP(B295,Towary_i_uslugi!$A$3:$T$1500,17,FALSE)=0,"!NO SUPPLIER",VLOOKUP(B295,Towary_i_uslugi!$A$3:$T$1500,17))</f>
        <v>XM</v>
      </c>
      <c r="O295" s="11" t="str">
        <f>IF(VLOOKUP(B295,Towary_i_uslugi!$A$4:$U$1200,21,FALSE)&gt;0,VLOOKUP(B295,Towary_i_uslugi!$A$4:$U$1200,21,FALSE),"")</f>
        <v/>
      </c>
      <c r="P295" s="11">
        <f t="shared" si="12"/>
        <v>0</v>
      </c>
      <c r="Q295" s="11">
        <f t="shared" si="13"/>
        <v>0</v>
      </c>
      <c r="R295" s="17">
        <f t="shared" si="14"/>
        <v>0</v>
      </c>
      <c r="S295" s="17">
        <f>VLOOKUP($B295,   MBI_LastBuy!$A$3:E$13199,3,FALSE)</f>
        <v>1536</v>
      </c>
      <c r="T295" s="13">
        <f>VLOOKUP($B295,   MBI_LastBuy!$A$3:E$13199,2,FALSE)</f>
        <v>0.88700000000000001</v>
      </c>
      <c r="U295" s="13" t="str">
        <f>VLOOKUP($B295,   MBI_LastBuy!$A$3:E$13199,5,FALSE)</f>
        <v>USD</v>
      </c>
      <c r="V295" s="15">
        <f>VLOOKUP($B295,   MBI_LastBuy!$A$3:E$13199,4,FALSE)</f>
        <v>43944</v>
      </c>
    </row>
    <row r="296" spans="1:22" x14ac:dyDescent="0.25">
      <c r="A296" s="11" t="s">
        <v>3566</v>
      </c>
      <c r="B296" s="11">
        <v>660121</v>
      </c>
      <c r="C296" s="11" t="str">
        <f>VLOOKUP(B296,Towary_i_uslugi!$A$4:$B$1500,2)</f>
        <v>(brak)</v>
      </c>
      <c r="D296" s="11" t="s">
        <v>3652</v>
      </c>
      <c r="E296" s="11">
        <f>VLOOKUP(B296,Towary_i_uslugi!$A$3:$T$1500,3,FALSE)</f>
        <v>12</v>
      </c>
      <c r="F296" s="11">
        <f>VLOOKUP(B296,Towary_i_uslugi!$A$3:$T$1500,20,FALSE)</f>
        <v>0</v>
      </c>
      <c r="G296" s="11">
        <f>VLOOKUP(B296,MBI_Dostawcy_towarów!$A$4:$C$1399,3,FALSE)</f>
        <v>3.9E-2</v>
      </c>
      <c r="H296" s="11">
        <v>107</v>
      </c>
      <c r="I296" s="11">
        <v>101</v>
      </c>
      <c r="J296" s="11">
        <v>10</v>
      </c>
      <c r="K296" s="11">
        <f>_xlfn.IFNA(VLOOKUP(B296,Towary_na_zamówieniach!$A$4:$C$1500,2,FALSE),0)</f>
        <v>120</v>
      </c>
      <c r="L296" s="11">
        <f>_xlfn.IFNA(VLOOKUP(B296,Towary_na_zamówieniach!$A$4:$C$1500,3,FALSE),0)</f>
        <v>222</v>
      </c>
      <c r="M296" s="11">
        <f>_xlfn.IFNA(VLOOKUP(B296,MBI_Dostawcy_towarów!$A$4:$C$2000,2,FALSE),"N/A")</f>
        <v>7</v>
      </c>
      <c r="N296" s="11" t="str">
        <f>IF(VLOOKUP(B296,Towary_i_uslugi!$A$3:$T$1500,17,FALSE)=0,"!NO SUPPLIER",VLOOKUP(B296,Towary_i_uslugi!$A$3:$T$1500,17))</f>
        <v>AJKA BIS</v>
      </c>
      <c r="O296" s="11" t="str">
        <f>IF(VLOOKUP(B296,Towary_i_uslugi!$A$4:$U$1200,21,FALSE)&gt;0,VLOOKUP(B296,Towary_i_uslugi!$A$4:$U$1200,21,FALSE),"")</f>
        <v/>
      </c>
      <c r="P296" s="11">
        <f t="shared" si="12"/>
        <v>0</v>
      </c>
      <c r="Q296" s="11">
        <f t="shared" si="13"/>
        <v>0</v>
      </c>
      <c r="R296" s="17">
        <f t="shared" si="14"/>
        <v>0</v>
      </c>
      <c r="S296" s="17">
        <f>VLOOKUP($B296,   MBI_LastBuy!$A$3:E$13199,3,FALSE)</f>
        <v>120</v>
      </c>
      <c r="T296" s="13">
        <f>VLOOKUP($B296,   MBI_LastBuy!$A$3:E$13199,2,FALSE)</f>
        <v>1.85</v>
      </c>
      <c r="U296" s="13" t="str">
        <f>VLOOKUP($B296,   MBI_LastBuy!$A$3:E$13199,5,FALSE)</f>
        <v>PLN</v>
      </c>
      <c r="V296" s="15">
        <f>VLOOKUP($B296,   MBI_LastBuy!$A$3:E$13199,4,FALSE)</f>
        <v>44148</v>
      </c>
    </row>
    <row r="297" spans="1:22" x14ac:dyDescent="0.25">
      <c r="A297" s="11" t="s">
        <v>3552</v>
      </c>
      <c r="B297" s="11">
        <v>661050</v>
      </c>
      <c r="C297" s="11" t="str">
        <f>VLOOKUP(B297,Towary_i_uslugi!$A$4:$B$1500,2)</f>
        <v>(brak)</v>
      </c>
      <c r="D297" s="11" t="s">
        <v>3653</v>
      </c>
      <c r="E297" s="11">
        <f>VLOOKUP(B297,Towary_i_uslugi!$A$3:$T$1500,3,FALSE)</f>
        <v>60</v>
      </c>
      <c r="F297" s="11" t="str">
        <f>VLOOKUP(B297,Towary_i_uslugi!$A$3:$T$1500,20,FALSE)</f>
        <v>polybag header</v>
      </c>
      <c r="G297" s="11">
        <f>VLOOKUP(B297,MBI_Dostawcy_towarów!$A$4:$C$1399,3,FALSE)</f>
        <v>0.17299999999999999</v>
      </c>
      <c r="H297" s="11">
        <v>404</v>
      </c>
      <c r="I297" s="11">
        <v>0</v>
      </c>
      <c r="J297" s="11">
        <v>420</v>
      </c>
      <c r="K297" s="11">
        <f>_xlfn.IFNA(VLOOKUP(B297,Towary_na_zamówieniach!$A$4:$C$1500,2,FALSE),0)</f>
        <v>960</v>
      </c>
      <c r="L297" s="11">
        <f>_xlfn.IFNA(VLOOKUP(B297,Towary_na_zamówieniach!$A$4:$C$1500,3,FALSE),0)</f>
        <v>670.08</v>
      </c>
      <c r="M297" s="11">
        <f>_xlfn.IFNA(VLOOKUP(B297,MBI_Dostawcy_towarów!$A$4:$C$2000,2,FALSE),"N/A")</f>
        <v>90</v>
      </c>
      <c r="N297" s="11" t="str">
        <f>IF(VLOOKUP(B297,Towary_i_uslugi!$A$3:$T$1500,17,FALSE)=0,"!NO SUPPLIER",VLOOKUP(B297,Towary_i_uslugi!$A$3:$T$1500,17))</f>
        <v>XM</v>
      </c>
      <c r="O297" s="11" t="str">
        <f>IF(VLOOKUP(B297,Towary_i_uslugi!$A$4:$U$1200,21,FALSE)&gt;0,VLOOKUP(B297,Towary_i_uslugi!$A$4:$U$1200,21,FALSE),"")</f>
        <v/>
      </c>
      <c r="P297" s="11">
        <f t="shared" si="12"/>
        <v>0</v>
      </c>
      <c r="Q297" s="11">
        <f t="shared" si="13"/>
        <v>0</v>
      </c>
      <c r="R297" s="17">
        <f t="shared" si="14"/>
        <v>0</v>
      </c>
      <c r="S297" s="17">
        <f>VLOOKUP($B297,   MBI_LastBuy!$A$3:E$13199,3,FALSE)</f>
        <v>960</v>
      </c>
      <c r="T297" s="13">
        <f>VLOOKUP($B297,   MBI_LastBuy!$A$3:E$13199,2,FALSE)</f>
        <v>0.69799999999999995</v>
      </c>
      <c r="U297" s="13" t="str">
        <f>VLOOKUP($B297,   MBI_LastBuy!$A$3:E$13199,5,FALSE)</f>
        <v>USD</v>
      </c>
      <c r="V297" s="15">
        <f>VLOOKUP($B297,   MBI_LastBuy!$A$3:E$13199,4,FALSE)</f>
        <v>44028</v>
      </c>
    </row>
    <row r="298" spans="1:22" x14ac:dyDescent="0.25">
      <c r="A298" s="11" t="s">
        <v>3552</v>
      </c>
      <c r="B298" s="11">
        <v>661150</v>
      </c>
      <c r="C298" s="11" t="str">
        <f>VLOOKUP(B298,Towary_i_uslugi!$A$4:$B$1500,2)</f>
        <v>(brak)</v>
      </c>
      <c r="D298" s="11" t="s">
        <v>2849</v>
      </c>
      <c r="E298" s="11">
        <f>VLOOKUP(B298,Towary_i_uslugi!$A$3:$T$1500,3,FALSE)</f>
        <v>48</v>
      </c>
      <c r="F298" s="11" t="str">
        <f>VLOOKUP(B298,Towary_i_uslugi!$A$3:$T$1500,20,FALSE)</f>
        <v>polybag header</v>
      </c>
      <c r="G298" s="11">
        <f>VLOOKUP(B298,MBI_Dostawcy_towarów!$A$4:$C$1399,3,FALSE)</f>
        <v>0.125</v>
      </c>
      <c r="H298" s="11">
        <v>5</v>
      </c>
      <c r="I298" s="11">
        <v>4</v>
      </c>
      <c r="J298" s="11">
        <v>1200</v>
      </c>
      <c r="K298" s="11">
        <f>_xlfn.IFNA(VLOOKUP(B298,Towary_na_zamówieniach!$A$4:$C$1500,2,FALSE),0)</f>
        <v>1440</v>
      </c>
      <c r="L298" s="11">
        <f>_xlfn.IFNA(VLOOKUP(B298,Towary_na_zamówieniach!$A$4:$C$1500,3,FALSE),0)</f>
        <v>820.8</v>
      </c>
      <c r="M298" s="11">
        <f>_xlfn.IFNA(VLOOKUP(B298,MBI_Dostawcy_towarów!$A$4:$C$2000,2,FALSE),"N/A")</f>
        <v>90</v>
      </c>
      <c r="N298" s="11" t="str">
        <f>IF(VLOOKUP(B298,Towary_i_uslugi!$A$3:$T$1500,17,FALSE)=0,"!NO SUPPLIER",VLOOKUP(B298,Towary_i_uslugi!$A$3:$T$1500,17))</f>
        <v>XM</v>
      </c>
      <c r="O298" s="11" t="str">
        <f>IF(VLOOKUP(B298,Towary_i_uslugi!$A$4:$U$1200,21,FALSE)&gt;0,VLOOKUP(B298,Towary_i_uslugi!$A$4:$U$1200,21,FALSE),"")</f>
        <v/>
      </c>
      <c r="P298" s="11">
        <f t="shared" si="12"/>
        <v>0</v>
      </c>
      <c r="Q298" s="11">
        <f t="shared" si="13"/>
        <v>0</v>
      </c>
      <c r="R298" s="17">
        <f t="shared" si="14"/>
        <v>0</v>
      </c>
      <c r="S298" s="17">
        <f>VLOOKUP($B298,   MBI_LastBuy!$A$3:E$13199,3,FALSE)</f>
        <v>1440</v>
      </c>
      <c r="T298" s="13">
        <f>VLOOKUP($B298,   MBI_LastBuy!$A$3:E$13199,2,FALSE)</f>
        <v>0.56999999999999995</v>
      </c>
      <c r="U298" s="13" t="str">
        <f>VLOOKUP($B298,   MBI_LastBuy!$A$3:E$13199,5,FALSE)</f>
        <v>USD</v>
      </c>
      <c r="V298" s="15">
        <f>VLOOKUP($B298,   MBI_LastBuy!$A$3:E$13199,4,FALSE)</f>
        <v>44034</v>
      </c>
    </row>
    <row r="299" spans="1:22" x14ac:dyDescent="0.25">
      <c r="A299" s="11" t="s">
        <v>3566</v>
      </c>
      <c r="B299" s="11">
        <v>662073</v>
      </c>
      <c r="C299" s="11" t="str">
        <f>VLOOKUP(B299,Towary_i_uslugi!$A$4:$B$1500,2)</f>
        <v>(brak)</v>
      </c>
      <c r="D299" s="11" t="s">
        <v>3654</v>
      </c>
      <c r="E299" s="11">
        <f>VLOOKUP(B299,Towary_i_uslugi!$A$3:$T$1500,3,FALSE)</f>
        <v>80</v>
      </c>
      <c r="F299" s="11">
        <f>VLOOKUP(B299,Towary_i_uslugi!$A$3:$T$1500,20,FALSE)</f>
        <v>0</v>
      </c>
      <c r="G299" s="11">
        <f>VLOOKUP(B299,MBI_Dostawcy_towarów!$A$4:$C$1399,3,FALSE)</f>
        <v>0.06</v>
      </c>
      <c r="H299" s="11">
        <v>16</v>
      </c>
      <c r="I299" s="11">
        <v>16</v>
      </c>
      <c r="J299" s="11">
        <v>10</v>
      </c>
      <c r="K299" s="11">
        <f>_xlfn.IFNA(VLOOKUP(B299,Towary_na_zamówieniach!$A$4:$C$1500,2,FALSE),0)</f>
        <v>80</v>
      </c>
      <c r="L299" s="11">
        <f>_xlfn.IFNA(VLOOKUP(B299,Towary_na_zamówieniach!$A$4:$C$1500,3,FALSE),0)</f>
        <v>207.2</v>
      </c>
      <c r="M299" s="11">
        <f>_xlfn.IFNA(VLOOKUP(B299,MBI_Dostawcy_towarów!$A$4:$C$2000,2,FALSE),"N/A")</f>
        <v>7</v>
      </c>
      <c r="N299" s="11" t="str">
        <f>IF(VLOOKUP(B299,Towary_i_uslugi!$A$3:$T$1500,17,FALSE)=0,"!NO SUPPLIER",VLOOKUP(B299,Towary_i_uslugi!$A$3:$T$1500,17))</f>
        <v>AJKA BIS</v>
      </c>
      <c r="O299" s="11" t="str">
        <f>IF(VLOOKUP(B299,Towary_i_uslugi!$A$4:$U$1200,21,FALSE)&gt;0,VLOOKUP(B299,Towary_i_uslugi!$A$4:$U$1200,21,FALSE),"")</f>
        <v/>
      </c>
      <c r="P299" s="11">
        <f t="shared" si="12"/>
        <v>0</v>
      </c>
      <c r="Q299" s="11">
        <f t="shared" si="13"/>
        <v>0</v>
      </c>
      <c r="R299" s="17">
        <f t="shared" si="14"/>
        <v>0</v>
      </c>
      <c r="S299" s="17">
        <f>VLOOKUP($B299,   MBI_LastBuy!$A$3:E$13199,3,FALSE)</f>
        <v>80</v>
      </c>
      <c r="T299" s="13">
        <f>VLOOKUP($B299,   MBI_LastBuy!$A$3:E$13199,2,FALSE)</f>
        <v>2.59</v>
      </c>
      <c r="U299" s="13" t="str">
        <f>VLOOKUP($B299,   MBI_LastBuy!$A$3:E$13199,5,FALSE)</f>
        <v>PLN</v>
      </c>
      <c r="V299" s="15">
        <f>VLOOKUP($B299,   MBI_LastBuy!$A$3:E$13199,4,FALSE)</f>
        <v>44148</v>
      </c>
    </row>
    <row r="300" spans="1:22" x14ac:dyDescent="0.25">
      <c r="A300" s="11" t="s">
        <v>3555</v>
      </c>
      <c r="B300" s="11">
        <v>662090</v>
      </c>
      <c r="C300" s="11" t="str">
        <f>VLOOKUP(B300,Towary_i_uslugi!$A$4:$B$1500,2)</f>
        <v>(brak)</v>
      </c>
      <c r="D300" s="11" t="s">
        <v>2416</v>
      </c>
      <c r="E300" s="11">
        <f>VLOOKUP(B300,Towary_i_uslugi!$A$3:$T$1500,3,FALSE)</f>
        <v>160</v>
      </c>
      <c r="F300" s="11" t="str">
        <f>VLOOKUP(B300,Towary_i_uslugi!$A$3:$T$1500,20,FALSE)</f>
        <v>polybag header</v>
      </c>
      <c r="G300" s="11">
        <f>VLOOKUP(B300,MBI_Dostawcy_towarów!$A$4:$C$1399,3,FALSE)</f>
        <v>5.3999999999999999E-2</v>
      </c>
      <c r="H300" s="11">
        <v>455</v>
      </c>
      <c r="I300" s="11">
        <v>320</v>
      </c>
      <c r="J300" s="11">
        <v>1300</v>
      </c>
      <c r="K300" s="11">
        <f>_xlfn.IFNA(VLOOKUP(B300,Towary_na_zamówieniach!$A$4:$C$1500,2,FALSE),0)</f>
        <v>1920</v>
      </c>
      <c r="L300" s="11">
        <f>_xlfn.IFNA(VLOOKUP(B300,Towary_na_zamówieniach!$A$4:$C$1500,3,FALSE),0)</f>
        <v>1297.92</v>
      </c>
      <c r="M300" s="11">
        <f>_xlfn.IFNA(VLOOKUP(B300,MBI_Dostawcy_towarów!$A$4:$C$2000,2,FALSE),"N/A")</f>
        <v>90</v>
      </c>
      <c r="N300" s="11" t="str">
        <f>IF(VLOOKUP(B300,Towary_i_uslugi!$A$3:$T$1500,17,FALSE)=0,"!NO SUPPLIER",VLOOKUP(B300,Towary_i_uslugi!$A$3:$T$1500,17))</f>
        <v xml:space="preserve">HQ - Canada </v>
      </c>
      <c r="O300" s="11" t="str">
        <f>IF(VLOOKUP(B300,Towary_i_uslugi!$A$4:$U$1200,21,FALSE)&gt;0,VLOOKUP(B300,Towary_i_uslugi!$A$4:$U$1200,21,FALSE),"")</f>
        <v/>
      </c>
      <c r="P300" s="11">
        <f t="shared" si="12"/>
        <v>0</v>
      </c>
      <c r="Q300" s="11">
        <f t="shared" si="13"/>
        <v>0</v>
      </c>
      <c r="R300" s="17">
        <f t="shared" si="14"/>
        <v>0</v>
      </c>
      <c r="S300" s="17">
        <f>VLOOKUP($B300,   MBI_LastBuy!$A$3:E$13199,3,FALSE)</f>
        <v>1920</v>
      </c>
      <c r="T300" s="13">
        <f>VLOOKUP($B300,   MBI_LastBuy!$A$3:E$13199,2,FALSE)</f>
        <v>0.67600000000000005</v>
      </c>
      <c r="U300" s="13" t="str">
        <f>VLOOKUP($B300,   MBI_LastBuy!$A$3:E$13199,5,FALSE)</f>
        <v>USD</v>
      </c>
      <c r="V300" s="15">
        <f>VLOOKUP($B300,   MBI_LastBuy!$A$3:E$13199,4,FALSE)</f>
        <v>44095</v>
      </c>
    </row>
    <row r="301" spans="1:22" x14ac:dyDescent="0.25">
      <c r="A301" s="11" t="s">
        <v>3566</v>
      </c>
      <c r="B301" s="11">
        <v>662093</v>
      </c>
      <c r="C301" s="11" t="str">
        <f>VLOOKUP(B301,Towary_i_uslugi!$A$4:$B$1500,2)</f>
        <v>(brak)</v>
      </c>
      <c r="D301" s="11" t="s">
        <v>3655</v>
      </c>
      <c r="E301" s="11">
        <f>VLOOKUP(B301,Towary_i_uslugi!$A$3:$T$1500,3,FALSE)</f>
        <v>80</v>
      </c>
      <c r="F301" s="11">
        <f>VLOOKUP(B301,Towary_i_uslugi!$A$3:$T$1500,20,FALSE)</f>
        <v>0</v>
      </c>
      <c r="G301" s="11">
        <f>VLOOKUP(B301,MBI_Dostawcy_towarów!$A$4:$C$1399,3,FALSE)</f>
        <v>0.06</v>
      </c>
      <c r="H301" s="11">
        <v>103</v>
      </c>
      <c r="I301" s="11">
        <v>103</v>
      </c>
      <c r="J301" s="11">
        <v>10</v>
      </c>
      <c r="K301" s="11">
        <f>_xlfn.IFNA(VLOOKUP(B301,Towary_na_zamówieniach!$A$4:$C$1500,2,FALSE),0)</f>
        <v>160</v>
      </c>
      <c r="L301" s="11">
        <f>_xlfn.IFNA(VLOOKUP(B301,Towary_na_zamówieniach!$A$4:$C$1500,3,FALSE),0)</f>
        <v>440</v>
      </c>
      <c r="M301" s="11">
        <f>_xlfn.IFNA(VLOOKUP(B301,MBI_Dostawcy_towarów!$A$4:$C$2000,2,FALSE),"N/A")</f>
        <v>7</v>
      </c>
      <c r="N301" s="11" t="str">
        <f>IF(VLOOKUP(B301,Towary_i_uslugi!$A$3:$T$1500,17,FALSE)=0,"!NO SUPPLIER",VLOOKUP(B301,Towary_i_uslugi!$A$3:$T$1500,17))</f>
        <v>AJKA BIS</v>
      </c>
      <c r="O301" s="11" t="str">
        <f>IF(VLOOKUP(B301,Towary_i_uslugi!$A$4:$U$1200,21,FALSE)&gt;0,VLOOKUP(B301,Towary_i_uslugi!$A$4:$U$1200,21,FALSE),"")</f>
        <v/>
      </c>
      <c r="P301" s="11">
        <f t="shared" si="12"/>
        <v>0</v>
      </c>
      <c r="Q301" s="11">
        <f t="shared" si="13"/>
        <v>0</v>
      </c>
      <c r="R301" s="17">
        <f t="shared" si="14"/>
        <v>0</v>
      </c>
      <c r="S301" s="17">
        <f>VLOOKUP($B301,   MBI_LastBuy!$A$3:E$13199,3,FALSE)</f>
        <v>160</v>
      </c>
      <c r="T301" s="13">
        <f>VLOOKUP($B301,   MBI_LastBuy!$A$3:E$13199,2,FALSE)</f>
        <v>2.75</v>
      </c>
      <c r="U301" s="13" t="str">
        <f>VLOOKUP($B301,   MBI_LastBuy!$A$3:E$13199,5,FALSE)</f>
        <v>PLN</v>
      </c>
      <c r="V301" s="15">
        <f>VLOOKUP($B301,   MBI_LastBuy!$A$3:E$13199,4,FALSE)</f>
        <v>44148</v>
      </c>
    </row>
    <row r="302" spans="1:22" x14ac:dyDescent="0.25">
      <c r="A302" s="11" t="s">
        <v>3566</v>
      </c>
      <c r="B302" s="11">
        <v>662133</v>
      </c>
      <c r="C302" s="11" t="str">
        <f>VLOOKUP(B302,Towary_i_uslugi!$A$4:$B$1500,2)</f>
        <v>(brak)</v>
      </c>
      <c r="D302" s="11" t="s">
        <v>3656</v>
      </c>
      <c r="E302" s="11">
        <f>VLOOKUP(B302,Towary_i_uslugi!$A$3:$T$1500,3,FALSE)</f>
        <v>80</v>
      </c>
      <c r="F302" s="11">
        <f>VLOOKUP(B302,Towary_i_uslugi!$A$3:$T$1500,20,FALSE)</f>
        <v>0</v>
      </c>
      <c r="G302" s="11">
        <f>VLOOKUP(B302,MBI_Dostawcy_towarów!$A$4:$C$1399,3,FALSE)</f>
        <v>0.06</v>
      </c>
      <c r="H302" s="11">
        <v>11</v>
      </c>
      <c r="I302" s="11">
        <v>10</v>
      </c>
      <c r="J302" s="11">
        <v>10</v>
      </c>
      <c r="K302" s="11">
        <f>_xlfn.IFNA(VLOOKUP(B302,Towary_na_zamówieniach!$A$4:$C$1500,2,FALSE),0)</f>
        <v>80</v>
      </c>
      <c r="L302" s="11">
        <f>_xlfn.IFNA(VLOOKUP(B302,Towary_na_zamówieniach!$A$4:$C$1500,3,FALSE),0)</f>
        <v>312.8</v>
      </c>
      <c r="M302" s="11">
        <f>_xlfn.IFNA(VLOOKUP(B302,MBI_Dostawcy_towarów!$A$4:$C$2000,2,FALSE),"N/A")</f>
        <v>7</v>
      </c>
      <c r="N302" s="11" t="str">
        <f>IF(VLOOKUP(B302,Towary_i_uslugi!$A$3:$T$1500,17,FALSE)=0,"!NO SUPPLIER",VLOOKUP(B302,Towary_i_uslugi!$A$3:$T$1500,17))</f>
        <v>AJKA BIS</v>
      </c>
      <c r="O302" s="11" t="str">
        <f>IF(VLOOKUP(B302,Towary_i_uslugi!$A$4:$U$1200,21,FALSE)&gt;0,VLOOKUP(B302,Towary_i_uslugi!$A$4:$U$1200,21,FALSE),"")</f>
        <v/>
      </c>
      <c r="P302" s="11">
        <f t="shared" si="12"/>
        <v>0</v>
      </c>
      <c r="Q302" s="11">
        <f t="shared" si="13"/>
        <v>0</v>
      </c>
      <c r="R302" s="17">
        <f t="shared" si="14"/>
        <v>0</v>
      </c>
      <c r="S302" s="17">
        <f>VLOOKUP($B302,   MBI_LastBuy!$A$3:E$13199,3,FALSE)</f>
        <v>80</v>
      </c>
      <c r="T302" s="13">
        <f>VLOOKUP($B302,   MBI_LastBuy!$A$3:E$13199,2,FALSE)</f>
        <v>3.91</v>
      </c>
      <c r="U302" s="13" t="str">
        <f>VLOOKUP($B302,   MBI_LastBuy!$A$3:E$13199,5,FALSE)</f>
        <v>PLN</v>
      </c>
      <c r="V302" s="15">
        <f>VLOOKUP($B302,   MBI_LastBuy!$A$3:E$13199,4,FALSE)</f>
        <v>44148</v>
      </c>
    </row>
    <row r="303" spans="1:22" x14ac:dyDescent="0.25">
      <c r="A303" s="11" t="s">
        <v>3566</v>
      </c>
      <c r="B303" s="11">
        <v>662144</v>
      </c>
      <c r="C303" s="11" t="str">
        <f>VLOOKUP(B303,Towary_i_uslugi!$A$4:$B$1500,2)</f>
        <v>(brak)</v>
      </c>
      <c r="D303" s="11" t="s">
        <v>3657</v>
      </c>
      <c r="E303" s="11">
        <f>VLOOKUP(B303,Towary_i_uslugi!$A$3:$T$1500,3,FALSE)</f>
        <v>80</v>
      </c>
      <c r="F303" s="11">
        <f>VLOOKUP(B303,Towary_i_uslugi!$A$3:$T$1500,20,FALSE)</f>
        <v>0</v>
      </c>
      <c r="G303" s="11">
        <f>VLOOKUP(B303,MBI_Dostawcy_towarów!$A$4:$C$1399,3,FALSE)</f>
        <v>0.06</v>
      </c>
      <c r="H303" s="11">
        <v>16</v>
      </c>
      <c r="I303" s="11">
        <v>10</v>
      </c>
      <c r="J303" s="11">
        <v>10</v>
      </c>
      <c r="K303" s="11">
        <f>_xlfn.IFNA(VLOOKUP(B303,Towary_na_zamówieniach!$A$4:$C$1500,2,FALSE),0)</f>
        <v>80</v>
      </c>
      <c r="L303" s="11">
        <f>_xlfn.IFNA(VLOOKUP(B303,Towary_na_zamówieniach!$A$4:$C$1500,3,FALSE),0)</f>
        <v>408</v>
      </c>
      <c r="M303" s="11">
        <f>_xlfn.IFNA(VLOOKUP(B303,MBI_Dostawcy_towarów!$A$4:$C$2000,2,FALSE),"N/A")</f>
        <v>7</v>
      </c>
      <c r="N303" s="11" t="str">
        <f>IF(VLOOKUP(B303,Towary_i_uslugi!$A$3:$T$1500,17,FALSE)=0,"!NO SUPPLIER",VLOOKUP(B303,Towary_i_uslugi!$A$3:$T$1500,17))</f>
        <v>AJKA BIS</v>
      </c>
      <c r="O303" s="11" t="str">
        <f>IF(VLOOKUP(B303,Towary_i_uslugi!$A$4:$U$1200,21,FALSE)&gt;0,VLOOKUP(B303,Towary_i_uslugi!$A$4:$U$1200,21,FALSE),"")</f>
        <v/>
      </c>
      <c r="P303" s="11">
        <f t="shared" si="12"/>
        <v>0</v>
      </c>
      <c r="Q303" s="11">
        <f t="shared" si="13"/>
        <v>0</v>
      </c>
      <c r="R303" s="17">
        <f t="shared" si="14"/>
        <v>0</v>
      </c>
      <c r="S303" s="17">
        <f>VLOOKUP($B303,   MBI_LastBuy!$A$3:E$13199,3,FALSE)</f>
        <v>80</v>
      </c>
      <c r="T303" s="13">
        <f>VLOOKUP($B303,   MBI_LastBuy!$A$3:E$13199,2,FALSE)</f>
        <v>5.0999999999999996</v>
      </c>
      <c r="U303" s="13" t="str">
        <f>VLOOKUP($B303,   MBI_LastBuy!$A$3:E$13199,5,FALSE)</f>
        <v>PLN</v>
      </c>
      <c r="V303" s="15">
        <f>VLOOKUP($B303,   MBI_LastBuy!$A$3:E$13199,4,FALSE)</f>
        <v>44148</v>
      </c>
    </row>
    <row r="304" spans="1:22" x14ac:dyDescent="0.25">
      <c r="A304" s="11" t="s">
        <v>3830</v>
      </c>
      <c r="B304" s="11">
        <v>662321</v>
      </c>
      <c r="C304" s="11" t="str">
        <f>VLOOKUP(B304,Towary_i_uslugi!$A$4:$B$1500,2)</f>
        <v>(brak)</v>
      </c>
      <c r="D304" s="11" t="s">
        <v>2850</v>
      </c>
      <c r="E304" s="11">
        <f>VLOOKUP(B304,Towary_i_uslugi!$A$3:$T$1500,3,FALSE)</f>
        <v>60</v>
      </c>
      <c r="F304" s="11" t="str">
        <f>VLOOKUP(B304,Towary_i_uslugi!$A$3:$T$1500,20,FALSE)</f>
        <v>PVC bag w/header</v>
      </c>
      <c r="G304" s="11" t="e">
        <f>VLOOKUP(B304,MBI_Dostawcy_towarów!$A$4:$C$1399,3,FALSE)</f>
        <v>#N/A</v>
      </c>
      <c r="H304" s="11">
        <v>307</v>
      </c>
      <c r="I304" s="11">
        <v>60</v>
      </c>
      <c r="J304" s="11">
        <v>420</v>
      </c>
      <c r="K304" s="11">
        <f>_xlfn.IFNA(VLOOKUP(B304,Towary_na_zamówieniach!$A$4:$C$1500,2,FALSE),0)</f>
        <v>0</v>
      </c>
      <c r="L304" s="11">
        <f>_xlfn.IFNA(VLOOKUP(B304,Towary_na_zamówieniach!$A$4:$C$1500,3,FALSE),0)</f>
        <v>0</v>
      </c>
      <c r="M304" s="11" t="str">
        <f>_xlfn.IFNA(VLOOKUP(B304,MBI_Dostawcy_towarów!$A$4:$C$2000,2,FALSE),"N/A")</f>
        <v>N/A</v>
      </c>
      <c r="N304" s="11" t="str">
        <f>IF(VLOOKUP(B304,Towary_i_uslugi!$A$3:$T$1500,17,FALSE)=0,"!NO SUPPLIER",VLOOKUP(B304,Towary_i_uslugi!$A$3:$T$1500,17))</f>
        <v>!NO SUPPLIER</v>
      </c>
      <c r="O304" s="11" t="str">
        <f>IF(VLOOKUP(B304,Towary_i_uslugi!$A$4:$U$1200,21,FALSE)&gt;0,VLOOKUP(B304,Towary_i_uslugi!$A$4:$U$1200,21,FALSE),"")</f>
        <v/>
      </c>
      <c r="P304" s="11">
        <f t="shared" si="12"/>
        <v>7</v>
      </c>
      <c r="Q304" s="11">
        <f t="shared" si="13"/>
        <v>420</v>
      </c>
      <c r="R304" s="17">
        <f t="shared" si="14"/>
        <v>214.20000000000002</v>
      </c>
      <c r="S304" s="17">
        <f>VLOOKUP($B304,   MBI_LastBuy!$A$3:E$13199,3,FALSE)</f>
        <v>800</v>
      </c>
      <c r="T304" s="13">
        <f>VLOOKUP($B304,   MBI_LastBuy!$A$3:E$13199,2,FALSE)</f>
        <v>0.51</v>
      </c>
      <c r="U304" s="13" t="str">
        <f>VLOOKUP($B304,   MBI_LastBuy!$A$3:E$13199,5,FALSE)</f>
        <v>USD</v>
      </c>
      <c r="V304" s="15">
        <f>VLOOKUP($B304,   MBI_LastBuy!$A$3:E$13199,4,FALSE)</f>
        <v>43483</v>
      </c>
    </row>
    <row r="305" spans="1:22" x14ac:dyDescent="0.25">
      <c r="A305" s="11" t="s">
        <v>3552</v>
      </c>
      <c r="B305" s="11">
        <v>662350</v>
      </c>
      <c r="C305" s="11" t="str">
        <f>VLOOKUP(B305,Towary_i_uslugi!$A$4:$B$1500,2)</f>
        <v>(brak)</v>
      </c>
      <c r="D305" s="11" t="s">
        <v>2691</v>
      </c>
      <c r="E305" s="11">
        <f>VLOOKUP(B305,Towary_i_uslugi!$A$3:$T$1500,3,FALSE)</f>
        <v>24</v>
      </c>
      <c r="F305" s="11" t="str">
        <f>VLOOKUP(B305,Towary_i_uslugi!$A$3:$T$1500,20,FALSE)</f>
        <v>shrink foil+sticker</v>
      </c>
      <c r="G305" s="11">
        <f>VLOOKUP(B305,MBI_Dostawcy_towarów!$A$4:$C$1399,3,FALSE)</f>
        <v>0.218</v>
      </c>
      <c r="H305" s="11">
        <v>645</v>
      </c>
      <c r="I305" s="11">
        <v>24</v>
      </c>
      <c r="J305" s="11">
        <v>1000</v>
      </c>
      <c r="K305" s="11">
        <f>_xlfn.IFNA(VLOOKUP(B305,Towary_na_zamówieniach!$A$4:$C$1500,2,FALSE),0)</f>
        <v>1008</v>
      </c>
      <c r="L305" s="11">
        <f>_xlfn.IFNA(VLOOKUP(B305,Towary_na_zamówieniach!$A$4:$C$1500,3,FALSE),0)</f>
        <v>681.41</v>
      </c>
      <c r="M305" s="11">
        <f>_xlfn.IFNA(VLOOKUP(B305,MBI_Dostawcy_towarów!$A$4:$C$2000,2,FALSE),"N/A")</f>
        <v>90</v>
      </c>
      <c r="N305" s="11" t="str">
        <f>IF(VLOOKUP(B305,Towary_i_uslugi!$A$3:$T$1500,17,FALSE)=0,"!NO SUPPLIER",VLOOKUP(B305,Towary_i_uslugi!$A$3:$T$1500,17))</f>
        <v>XM</v>
      </c>
      <c r="O305" s="11" t="str">
        <f>IF(VLOOKUP(B305,Towary_i_uslugi!$A$4:$U$1200,21,FALSE)&gt;0,VLOOKUP(B305,Towary_i_uslugi!$A$4:$U$1200,21,FALSE),"")</f>
        <v/>
      </c>
      <c r="P305" s="11">
        <f t="shared" si="12"/>
        <v>0</v>
      </c>
      <c r="Q305" s="11">
        <f t="shared" si="13"/>
        <v>0</v>
      </c>
      <c r="R305" s="17">
        <f t="shared" si="14"/>
        <v>0</v>
      </c>
      <c r="S305" s="17">
        <f>VLOOKUP($B305,   MBI_LastBuy!$A$3:E$13199,3,FALSE)</f>
        <v>1008</v>
      </c>
      <c r="T305" s="13">
        <f>VLOOKUP($B305,   MBI_LastBuy!$A$3:E$13199,2,FALSE)</f>
        <v>0.67600000000000005</v>
      </c>
      <c r="U305" s="13" t="str">
        <f>VLOOKUP($B305,   MBI_LastBuy!$A$3:E$13199,5,FALSE)</f>
        <v>USD</v>
      </c>
      <c r="V305" s="15">
        <f>VLOOKUP($B305,   MBI_LastBuy!$A$3:E$13199,4,FALSE)</f>
        <v>44040</v>
      </c>
    </row>
    <row r="306" spans="1:22" x14ac:dyDescent="0.25">
      <c r="A306" s="11" t="s">
        <v>3552</v>
      </c>
      <c r="B306" s="11">
        <v>662550</v>
      </c>
      <c r="C306" s="11" t="str">
        <f>VLOOKUP(B306,Towary_i_uslugi!$A$4:$B$1500,2)</f>
        <v>(brak)</v>
      </c>
      <c r="D306" s="11" t="s">
        <v>2692</v>
      </c>
      <c r="E306" s="11">
        <f>VLOOKUP(B306,Towary_i_uslugi!$A$3:$T$1500,3,FALSE)</f>
        <v>50</v>
      </c>
      <c r="F306" s="11" t="str">
        <f>VLOOKUP(B306,Towary_i_uslugi!$A$3:$T$1500,20,FALSE)</f>
        <v>foil shrink + sticker</v>
      </c>
      <c r="G306" s="11">
        <f>VLOOKUP(B306,MBI_Dostawcy_towarów!$A$4:$C$1399,3,FALSE)</f>
        <v>0.14499999999999999</v>
      </c>
      <c r="H306" s="11">
        <v>1</v>
      </c>
      <c r="I306" s="11">
        <v>0</v>
      </c>
      <c r="J306" s="11">
        <v>700</v>
      </c>
      <c r="K306" s="11">
        <f>_xlfn.IFNA(VLOOKUP(B306,Towary_na_zamówieniach!$A$4:$C$1500,2,FALSE),0)</f>
        <v>1900</v>
      </c>
      <c r="L306" s="11">
        <f>_xlfn.IFNA(VLOOKUP(B306,Towary_na_zamówieniach!$A$4:$C$1500,3,FALSE),0)</f>
        <v>1756.5</v>
      </c>
      <c r="M306" s="11">
        <f>_xlfn.IFNA(VLOOKUP(B306,MBI_Dostawcy_towarów!$A$4:$C$2000,2,FALSE),"N/A")</f>
        <v>90</v>
      </c>
      <c r="N306" s="11" t="str">
        <f>IF(VLOOKUP(B306,Towary_i_uslugi!$A$3:$T$1500,17,FALSE)=0,"!NO SUPPLIER",VLOOKUP(B306,Towary_i_uslugi!$A$3:$T$1500,17))</f>
        <v>XM</v>
      </c>
      <c r="O306" s="11" t="str">
        <f>IF(VLOOKUP(B306,Towary_i_uslugi!$A$4:$U$1200,21,FALSE)&gt;0,VLOOKUP(B306,Towary_i_uslugi!$A$4:$U$1200,21,FALSE),"")</f>
        <v/>
      </c>
      <c r="P306" s="11">
        <f t="shared" si="12"/>
        <v>0</v>
      </c>
      <c r="Q306" s="11">
        <f t="shared" si="13"/>
        <v>0</v>
      </c>
      <c r="R306" s="17">
        <f t="shared" si="14"/>
        <v>0</v>
      </c>
      <c r="S306" s="17">
        <f>VLOOKUP($B306,   MBI_LastBuy!$A$3:E$13199,3,FALSE)</f>
        <v>1200</v>
      </c>
      <c r="T306" s="13">
        <f>VLOOKUP($B306,   MBI_LastBuy!$A$3:E$13199,2,FALSE)</f>
        <v>0.93</v>
      </c>
      <c r="U306" s="13" t="str">
        <f>VLOOKUP($B306,   MBI_LastBuy!$A$3:E$13199,5,FALSE)</f>
        <v>USD</v>
      </c>
      <c r="V306" s="15">
        <f>VLOOKUP($B306,   MBI_LastBuy!$A$3:E$13199,4,FALSE)</f>
        <v>44140</v>
      </c>
    </row>
    <row r="307" spans="1:22" x14ac:dyDescent="0.25">
      <c r="A307" s="11" t="s">
        <v>3555</v>
      </c>
      <c r="B307" s="11">
        <v>664800</v>
      </c>
      <c r="C307" s="11" t="str">
        <f>VLOOKUP(B307,Towary_i_uslugi!$A$4:$B$1500,2)</f>
        <v>(brak)</v>
      </c>
      <c r="D307" s="11" t="s">
        <v>2454</v>
      </c>
      <c r="E307" s="11">
        <f>VLOOKUP(B307,Towary_i_uslugi!$A$3:$T$1500,3,FALSE)</f>
        <v>48</v>
      </c>
      <c r="F307" s="11" t="str">
        <f>VLOOKUP(B307,Towary_i_uslugi!$A$3:$T$1500,20,FALSE)</f>
        <v>carton header</v>
      </c>
      <c r="G307" s="11">
        <f>VLOOKUP(B307,MBI_Dostawcy_towarów!$A$4:$C$1399,3,FALSE)</f>
        <v>0.25900000000000001</v>
      </c>
      <c r="H307" s="11">
        <v>228</v>
      </c>
      <c r="I307" s="11">
        <v>96</v>
      </c>
      <c r="J307" s="11">
        <v>1200</v>
      </c>
      <c r="K307" s="11">
        <f>_xlfn.IFNA(VLOOKUP(B307,Towary_na_zamówieniach!$A$4:$C$1500,2,FALSE),0)</f>
        <v>1345</v>
      </c>
      <c r="L307" s="11">
        <f>_xlfn.IFNA(VLOOKUP(B307,Towary_na_zamówieniach!$A$4:$C$1500,3,FALSE),0)</f>
        <v>1008</v>
      </c>
      <c r="M307" s="11">
        <f>_xlfn.IFNA(VLOOKUP(B307,MBI_Dostawcy_towarów!$A$4:$C$2000,2,FALSE),"N/A")</f>
        <v>90</v>
      </c>
      <c r="N307" s="11" t="str">
        <f>IF(VLOOKUP(B307,Towary_i_uslugi!$A$3:$T$1500,17,FALSE)=0,"!NO SUPPLIER",VLOOKUP(B307,Towary_i_uslugi!$A$3:$T$1500,17))</f>
        <v xml:space="preserve">HQ - Canada </v>
      </c>
      <c r="O307" s="11" t="str">
        <f>IF(VLOOKUP(B307,Towary_i_uslugi!$A$4:$U$1200,21,FALSE)&gt;0,VLOOKUP(B307,Towary_i_uslugi!$A$4:$U$1200,21,FALSE),"")</f>
        <v/>
      </c>
      <c r="P307" s="11">
        <f t="shared" si="12"/>
        <v>0</v>
      </c>
      <c r="Q307" s="11">
        <f t="shared" si="13"/>
        <v>0</v>
      </c>
      <c r="R307" s="17">
        <f t="shared" si="14"/>
        <v>0</v>
      </c>
      <c r="S307" s="17">
        <f>VLOOKUP($B307,   MBI_LastBuy!$A$3:E$13199,3,FALSE)</f>
        <v>1344</v>
      </c>
      <c r="T307" s="13">
        <f>VLOOKUP($B307,   MBI_LastBuy!$A$3:E$13199,2,FALSE)</f>
        <v>0.75</v>
      </c>
      <c r="U307" s="13" t="str">
        <f>VLOOKUP($B307,   MBI_LastBuy!$A$3:E$13199,5,FALSE)</f>
        <v>USD</v>
      </c>
      <c r="V307" s="15">
        <f>VLOOKUP($B307,   MBI_LastBuy!$A$3:E$13199,4,FALSE)</f>
        <v>44035</v>
      </c>
    </row>
    <row r="308" spans="1:22" x14ac:dyDescent="0.25">
      <c r="A308" s="11" t="s">
        <v>3552</v>
      </c>
      <c r="B308" s="11">
        <v>664810</v>
      </c>
      <c r="C308" s="11" t="str">
        <f>VLOOKUP(B308,Towary_i_uslugi!$A$4:$B$1500,2)</f>
        <v>(brak)</v>
      </c>
      <c r="D308" s="11" t="s">
        <v>2851</v>
      </c>
      <c r="E308" s="11">
        <f>VLOOKUP(B308,Towary_i_uslugi!$A$3:$T$1500,3,FALSE)</f>
        <v>24</v>
      </c>
      <c r="F308" s="11" t="str">
        <f>VLOOKUP(B308,Towary_i_uslugi!$A$3:$T$1500,20,FALSE)</f>
        <v>carton header</v>
      </c>
      <c r="G308" s="11">
        <f>VLOOKUP(B308,MBI_Dostawcy_towarów!$A$4:$C$1399,3,FALSE)</f>
        <v>0.45800000000000002</v>
      </c>
      <c r="H308" s="11">
        <v>1</v>
      </c>
      <c r="I308" s="11">
        <v>0</v>
      </c>
      <c r="J308" s="11">
        <v>280</v>
      </c>
      <c r="K308" s="11">
        <f>_xlfn.IFNA(VLOOKUP(B308,Towary_na_zamówieniach!$A$4:$C$1500,2,FALSE),0)</f>
        <v>1000</v>
      </c>
      <c r="L308" s="11">
        <f>_xlfn.IFNA(VLOOKUP(B308,Towary_na_zamówieniach!$A$4:$C$1500,3,FALSE),0)</f>
        <v>1250</v>
      </c>
      <c r="M308" s="11">
        <f>_xlfn.IFNA(VLOOKUP(B308,MBI_Dostawcy_towarów!$A$4:$C$2000,2,FALSE),"N/A")</f>
        <v>90</v>
      </c>
      <c r="N308" s="11" t="str">
        <f>IF(VLOOKUP(B308,Towary_i_uslugi!$A$3:$T$1500,17,FALSE)=0,"!NO SUPPLIER",VLOOKUP(B308,Towary_i_uslugi!$A$3:$T$1500,17))</f>
        <v>XM</v>
      </c>
      <c r="O308" s="11" t="str">
        <f>IF(VLOOKUP(B308,Towary_i_uslugi!$A$4:$U$1200,21,FALSE)&gt;0,VLOOKUP(B308,Towary_i_uslugi!$A$4:$U$1200,21,FALSE),"")</f>
        <v/>
      </c>
      <c r="P308" s="11">
        <f t="shared" si="12"/>
        <v>0</v>
      </c>
      <c r="Q308" s="11">
        <f t="shared" si="13"/>
        <v>0</v>
      </c>
      <c r="R308" s="17">
        <f t="shared" si="14"/>
        <v>0</v>
      </c>
      <c r="S308" s="17">
        <f>VLOOKUP($B308,   MBI_LastBuy!$A$3:E$13199,3,FALSE)</f>
        <v>1000</v>
      </c>
      <c r="T308" s="13">
        <f>VLOOKUP($B308,   MBI_LastBuy!$A$3:E$13199,2,FALSE)</f>
        <v>1.25</v>
      </c>
      <c r="U308" s="13" t="str">
        <f>VLOOKUP($B308,   MBI_LastBuy!$A$3:E$13199,5,FALSE)</f>
        <v>USD</v>
      </c>
      <c r="V308" s="15">
        <f>VLOOKUP($B308,   MBI_LastBuy!$A$3:E$13199,4,FALSE)</f>
        <v>44125</v>
      </c>
    </row>
    <row r="309" spans="1:22" x14ac:dyDescent="0.25">
      <c r="A309" s="11" t="s">
        <v>3552</v>
      </c>
      <c r="B309" s="11">
        <v>664812</v>
      </c>
      <c r="C309" s="11" t="str">
        <f>VLOOKUP(B309,Towary_i_uslugi!$A$4:$B$1500,2)</f>
        <v>(brak)</v>
      </c>
      <c r="D309" s="11" t="s">
        <v>2852</v>
      </c>
      <c r="E309" s="11">
        <f>VLOOKUP(B309,Towary_i_uslugi!$A$3:$T$1500,3,FALSE)</f>
        <v>20</v>
      </c>
      <c r="F309" s="11" t="str">
        <f>VLOOKUP(B309,Towary_i_uslugi!$A$3:$T$1500,20,FALSE)</f>
        <v>flag sticker</v>
      </c>
      <c r="G309" s="11">
        <f>VLOOKUP(B309,MBI_Dostawcy_towarów!$A$4:$C$1399,3,FALSE)</f>
        <v>0.503</v>
      </c>
      <c r="H309" s="11">
        <v>50</v>
      </c>
      <c r="I309" s="11">
        <v>1</v>
      </c>
      <c r="J309" s="11">
        <v>220</v>
      </c>
      <c r="K309" s="11">
        <f>_xlfn.IFNA(VLOOKUP(B309,Towary_na_zamówieniach!$A$4:$C$1500,2,FALSE),0)</f>
        <v>1400</v>
      </c>
      <c r="L309" s="11">
        <f>_xlfn.IFNA(VLOOKUP(B309,Towary_na_zamówieniach!$A$4:$C$1500,3,FALSE),0)</f>
        <v>1190</v>
      </c>
      <c r="M309" s="11">
        <f>_xlfn.IFNA(VLOOKUP(B309,MBI_Dostawcy_towarów!$A$4:$C$2000,2,FALSE),"N/A")</f>
        <v>90</v>
      </c>
      <c r="N309" s="11" t="str">
        <f>IF(VLOOKUP(B309,Towary_i_uslugi!$A$3:$T$1500,17,FALSE)=0,"!NO SUPPLIER",VLOOKUP(B309,Towary_i_uslugi!$A$3:$T$1500,17))</f>
        <v>XM</v>
      </c>
      <c r="O309" s="11" t="str">
        <f>IF(VLOOKUP(B309,Towary_i_uslugi!$A$4:$U$1200,21,FALSE)&gt;0,VLOOKUP(B309,Towary_i_uslugi!$A$4:$U$1200,21,FALSE),"")</f>
        <v/>
      </c>
      <c r="P309" s="11">
        <f t="shared" si="12"/>
        <v>0</v>
      </c>
      <c r="Q309" s="11">
        <f t="shared" si="13"/>
        <v>0</v>
      </c>
      <c r="R309" s="17">
        <f t="shared" si="14"/>
        <v>0</v>
      </c>
      <c r="S309" s="17">
        <f>VLOOKUP($B309,   MBI_LastBuy!$A$3:E$13199,3,FALSE)</f>
        <v>1400</v>
      </c>
      <c r="T309" s="13">
        <f>VLOOKUP($B309,   MBI_LastBuy!$A$3:E$13199,2,FALSE)</f>
        <v>0.85</v>
      </c>
      <c r="U309" s="13" t="str">
        <f>VLOOKUP($B309,   MBI_LastBuy!$A$3:E$13199,5,FALSE)</f>
        <v>USD</v>
      </c>
      <c r="V309" s="15">
        <f>VLOOKUP($B309,   MBI_LastBuy!$A$3:E$13199,4,FALSE)</f>
        <v>44083</v>
      </c>
    </row>
    <row r="310" spans="1:22" x14ac:dyDescent="0.25">
      <c r="A310" s="11" t="s">
        <v>3555</v>
      </c>
      <c r="B310" s="11">
        <v>664830</v>
      </c>
      <c r="C310" s="11" t="str">
        <f>VLOOKUP(B310,Towary_i_uslugi!$A$4:$B$1500,2)</f>
        <v>(brak)</v>
      </c>
      <c r="D310" s="11" t="s">
        <v>2400</v>
      </c>
      <c r="E310" s="11">
        <f>VLOOKUP(B310,Towary_i_uslugi!$A$3:$T$1500,3,FALSE)</f>
        <v>24</v>
      </c>
      <c r="F310" s="11" t="str">
        <f>VLOOKUP(B310,Towary_i_uslugi!$A$3:$T$1500,20,FALSE)</f>
        <v>polybag header</v>
      </c>
      <c r="G310" s="11">
        <f>VLOOKUP(B310,MBI_Dostawcy_towarów!$A$4:$C$1399,3,FALSE)</f>
        <v>0.56999999999999995</v>
      </c>
      <c r="H310" s="11">
        <v>1</v>
      </c>
      <c r="I310" s="11">
        <v>0</v>
      </c>
      <c r="J310" s="11">
        <v>180</v>
      </c>
      <c r="K310" s="11">
        <f>_xlfn.IFNA(VLOOKUP(B310,Towary_na_zamówieniach!$A$4:$C$1500,2,FALSE),0)</f>
        <v>241</v>
      </c>
      <c r="L310" s="11">
        <f>_xlfn.IFNA(VLOOKUP(B310,Towary_na_zamówieniach!$A$4:$C$1500,3,FALSE),0)</f>
        <v>412.8</v>
      </c>
      <c r="M310" s="11">
        <f>_xlfn.IFNA(VLOOKUP(B310,MBI_Dostawcy_towarów!$A$4:$C$2000,2,FALSE),"N/A")</f>
        <v>90</v>
      </c>
      <c r="N310" s="11" t="str">
        <f>IF(VLOOKUP(B310,Towary_i_uslugi!$A$3:$T$1500,17,FALSE)=0,"!NO SUPPLIER",VLOOKUP(B310,Towary_i_uslugi!$A$3:$T$1500,17))</f>
        <v xml:space="preserve">HQ - Canada </v>
      </c>
      <c r="O310" s="11" t="str">
        <f>IF(VLOOKUP(B310,Towary_i_uslugi!$A$4:$U$1200,21,FALSE)&gt;0,VLOOKUP(B310,Towary_i_uslugi!$A$4:$U$1200,21,FALSE),"")</f>
        <v/>
      </c>
      <c r="P310" s="11">
        <f t="shared" si="12"/>
        <v>0</v>
      </c>
      <c r="Q310" s="11">
        <f t="shared" si="13"/>
        <v>0</v>
      </c>
      <c r="R310" s="17">
        <f t="shared" si="14"/>
        <v>0</v>
      </c>
      <c r="S310" s="17">
        <f>VLOOKUP($B310,   MBI_LastBuy!$A$3:E$13199,3,FALSE)</f>
        <v>240</v>
      </c>
      <c r="T310" s="13">
        <f>VLOOKUP($B310,   MBI_LastBuy!$A$3:E$13199,2,FALSE)</f>
        <v>1.72</v>
      </c>
      <c r="U310" s="13" t="str">
        <f>VLOOKUP($B310,   MBI_LastBuy!$A$3:E$13199,5,FALSE)</f>
        <v>USD</v>
      </c>
      <c r="V310" s="15">
        <f>VLOOKUP($B310,   MBI_LastBuy!$A$3:E$13199,4,FALSE)</f>
        <v>44035</v>
      </c>
    </row>
    <row r="311" spans="1:22" x14ac:dyDescent="0.25">
      <c r="A311" s="11" t="s">
        <v>3561</v>
      </c>
      <c r="B311" s="11">
        <v>664937</v>
      </c>
      <c r="C311" s="11" t="str">
        <f>VLOOKUP(B311,Towary_i_uslugi!$A$4:$B$1500,2)</f>
        <v>(brak)</v>
      </c>
      <c r="D311" s="11" t="s">
        <v>2853</v>
      </c>
      <c r="E311" s="11">
        <f>VLOOKUP(B311,Towary_i_uslugi!$A$3:$T$1500,3,FALSE)</f>
        <v>24</v>
      </c>
      <c r="F311" s="11" t="str">
        <f>VLOOKUP(B311,Towary_i_uslugi!$A$3:$T$1500,20,FALSE)</f>
        <v>ROLL/sticker</v>
      </c>
      <c r="G311" s="11">
        <f>VLOOKUP(B311,MBI_Dostawcy_towarów!$A$4:$C$1399,3,FALSE)</f>
        <v>0.16</v>
      </c>
      <c r="H311" s="11">
        <v>3</v>
      </c>
      <c r="I311" s="11">
        <v>0</v>
      </c>
      <c r="J311" s="11">
        <v>40</v>
      </c>
      <c r="K311" s="11">
        <f>_xlfn.IFNA(VLOOKUP(B311,Towary_na_zamówieniach!$A$4:$C$1500,2,FALSE),0)</f>
        <v>480</v>
      </c>
      <c r="L311" s="11">
        <f>_xlfn.IFNA(VLOOKUP(B311,Towary_na_zamówieniach!$A$4:$C$1500,3,FALSE),0)</f>
        <v>830.4</v>
      </c>
      <c r="M311" s="11">
        <f>_xlfn.IFNA(VLOOKUP(B311,MBI_Dostawcy_towarów!$A$4:$C$2000,2,FALSE),"N/A")</f>
        <v>60</v>
      </c>
      <c r="N311" s="11" t="str">
        <f>IF(VLOOKUP(B311,Towary_i_uslugi!$A$3:$T$1500,17,FALSE)=0,"!NO SUPPLIER",VLOOKUP(B311,Towary_i_uslugi!$A$3:$T$1500,17))</f>
        <v>SABA Sp. z o.o.</v>
      </c>
      <c r="O311" s="11" t="str">
        <f>IF(VLOOKUP(B311,Towary_i_uslugi!$A$4:$U$1200,21,FALSE)&gt;0,VLOOKUP(B311,Towary_i_uslugi!$A$4:$U$1200,21,FALSE),"")</f>
        <v/>
      </c>
      <c r="P311" s="11">
        <f t="shared" si="12"/>
        <v>0</v>
      </c>
      <c r="Q311" s="11">
        <f t="shared" si="13"/>
        <v>0</v>
      </c>
      <c r="R311" s="17">
        <f t="shared" si="14"/>
        <v>0</v>
      </c>
      <c r="S311" s="17">
        <f>VLOOKUP($B311,   MBI_LastBuy!$A$3:E$13199,3,FALSE)</f>
        <v>480</v>
      </c>
      <c r="T311" s="13">
        <f>VLOOKUP($B311,   MBI_LastBuy!$A$3:E$13199,2,FALSE)</f>
        <v>1.73</v>
      </c>
      <c r="U311" s="13" t="str">
        <f>VLOOKUP($B311,   MBI_LastBuy!$A$3:E$13199,5,FALSE)</f>
        <v>PLN</v>
      </c>
      <c r="V311" s="15">
        <f>VLOOKUP($B311,   MBI_LastBuy!$A$3:E$13199,4,FALSE)</f>
        <v>44089</v>
      </c>
    </row>
    <row r="312" spans="1:22" x14ac:dyDescent="0.25">
      <c r="A312" s="11" t="s">
        <v>3561</v>
      </c>
      <c r="B312" s="11">
        <v>664948</v>
      </c>
      <c r="C312" s="11" t="str">
        <f>VLOOKUP(B312,Towary_i_uslugi!$A$4:$B$1500,2)</f>
        <v>(brak)</v>
      </c>
      <c r="D312" s="11" t="s">
        <v>3658</v>
      </c>
      <c r="E312" s="11">
        <f>VLOOKUP(B312,Towary_i_uslugi!$A$3:$T$1500,3,FALSE)</f>
        <v>24</v>
      </c>
      <c r="F312" s="11" t="str">
        <f>VLOOKUP(B312,Towary_i_uslugi!$A$3:$T$1500,20,FALSE)</f>
        <v>ROLL/sticker</v>
      </c>
      <c r="G312" s="11">
        <f>VLOOKUP(B312,MBI_Dostawcy_towarów!$A$4:$C$1399,3,FALSE)</f>
        <v>0.13100000000000001</v>
      </c>
      <c r="H312" s="11">
        <v>240</v>
      </c>
      <c r="I312" s="11">
        <v>240</v>
      </c>
      <c r="J312" s="11">
        <v>40</v>
      </c>
      <c r="K312" s="11">
        <f>_xlfn.IFNA(VLOOKUP(B312,Towary_na_zamówieniach!$A$4:$C$1500,2,FALSE),0)</f>
        <v>768</v>
      </c>
      <c r="L312" s="11">
        <f>_xlfn.IFNA(VLOOKUP(B312,Towary_na_zamówieniach!$A$4:$C$1500,3,FALSE),0)</f>
        <v>906.24</v>
      </c>
      <c r="M312" s="11">
        <f>_xlfn.IFNA(VLOOKUP(B312,MBI_Dostawcy_towarów!$A$4:$C$2000,2,FALSE),"N/A")</f>
        <v>60</v>
      </c>
      <c r="N312" s="11" t="str">
        <f>IF(VLOOKUP(B312,Towary_i_uslugi!$A$3:$T$1500,17,FALSE)=0,"!NO SUPPLIER",VLOOKUP(B312,Towary_i_uslugi!$A$3:$T$1500,17))</f>
        <v>SABA Sp. z o.o.</v>
      </c>
      <c r="O312" s="11" t="str">
        <f>IF(VLOOKUP(B312,Towary_i_uslugi!$A$4:$U$1200,21,FALSE)&gt;0,VLOOKUP(B312,Towary_i_uslugi!$A$4:$U$1200,21,FALSE),"")</f>
        <v/>
      </c>
      <c r="P312" s="11">
        <f t="shared" si="12"/>
        <v>0</v>
      </c>
      <c r="Q312" s="11">
        <f t="shared" si="13"/>
        <v>0</v>
      </c>
      <c r="R312" s="17">
        <f t="shared" si="14"/>
        <v>0</v>
      </c>
      <c r="S312" s="17">
        <f>VLOOKUP($B312,   MBI_LastBuy!$A$3:E$13199,3,FALSE)</f>
        <v>768</v>
      </c>
      <c r="T312" s="13">
        <f>VLOOKUP($B312,   MBI_LastBuy!$A$3:E$13199,2,FALSE)</f>
        <v>1.18</v>
      </c>
      <c r="U312" s="13" t="str">
        <f>VLOOKUP($B312,   MBI_LastBuy!$A$3:E$13199,5,FALSE)</f>
        <v>PLN</v>
      </c>
      <c r="V312" s="15">
        <f>VLOOKUP($B312,   MBI_LastBuy!$A$3:E$13199,4,FALSE)</f>
        <v>44089</v>
      </c>
    </row>
    <row r="313" spans="1:22" x14ac:dyDescent="0.25">
      <c r="A313" s="11" t="s">
        <v>3825</v>
      </c>
      <c r="B313" s="11">
        <v>665040</v>
      </c>
      <c r="C313" s="11" t="str">
        <f>VLOOKUP(B313,Towary_i_uslugi!$A$4:$B$1500,2)</f>
        <v>(brak)</v>
      </c>
      <c r="D313" s="11" t="s">
        <v>3659</v>
      </c>
      <c r="E313" s="11">
        <f>VLOOKUP(B313,Towary_i_uslugi!$A$3:$T$1500,3,FALSE)</f>
        <v>10</v>
      </c>
      <c r="F313" s="11" t="str">
        <f>VLOOKUP(B313,Towary_i_uslugi!$A$3:$T$1500,20,FALSE)</f>
        <v>sticker - bulk packing</v>
      </c>
      <c r="G313" s="11">
        <f>VLOOKUP(B313,MBI_Dostawcy_towarów!$A$4:$C$1399,3,FALSE)</f>
        <v>1.204</v>
      </c>
      <c r="H313" s="11">
        <v>2</v>
      </c>
      <c r="I313" s="11">
        <v>0</v>
      </c>
      <c r="J313" s="11">
        <v>20</v>
      </c>
      <c r="K313" s="11">
        <f>_xlfn.IFNA(VLOOKUP(B313,Towary_na_zamówieniach!$A$4:$C$1500,2,FALSE),0)</f>
        <v>170</v>
      </c>
      <c r="L313" s="11">
        <f>_xlfn.IFNA(VLOOKUP(B313,Towary_na_zamówieniach!$A$4:$C$1500,3,FALSE),0)</f>
        <v>1122</v>
      </c>
      <c r="M313" s="11">
        <f>_xlfn.IFNA(VLOOKUP(B313,MBI_Dostawcy_towarów!$A$4:$C$2000,2,FALSE),"N/A")</f>
        <v>7</v>
      </c>
      <c r="N313" s="11" t="str">
        <f>IF(VLOOKUP(B313,Towary_i_uslugi!$A$3:$T$1500,17,FALSE)=0,"!NO SUPPLIER",VLOOKUP(B313,Towary_i_uslugi!$A$3:$T$1500,17))</f>
        <v>MARLUX Maria Szymoniak</v>
      </c>
      <c r="O313" s="11" t="str">
        <f>IF(VLOOKUP(B313,Towary_i_uslugi!$A$4:$U$1200,21,FALSE)&gt;0,VLOOKUP(B313,Towary_i_uslugi!$A$4:$U$1200,21,FALSE),"")</f>
        <v/>
      </c>
      <c r="P313" s="11">
        <f t="shared" si="12"/>
        <v>0</v>
      </c>
      <c r="Q313" s="11">
        <f t="shared" si="13"/>
        <v>0</v>
      </c>
      <c r="R313" s="17">
        <f t="shared" si="14"/>
        <v>0</v>
      </c>
      <c r="S313" s="17">
        <f>VLOOKUP($B313,   MBI_LastBuy!$A$3:E$13199,3,FALSE)</f>
        <v>20</v>
      </c>
      <c r="T313" s="13">
        <f>VLOOKUP($B313,   MBI_LastBuy!$A$3:E$13199,2,FALSE)</f>
        <v>6.6</v>
      </c>
      <c r="U313" s="13" t="str">
        <f>VLOOKUP($B313,   MBI_LastBuy!$A$3:E$13199,5,FALSE)</f>
        <v>PLN</v>
      </c>
      <c r="V313" s="15">
        <f>VLOOKUP($B313,   MBI_LastBuy!$A$3:E$13199,4,FALSE)</f>
        <v>44084</v>
      </c>
    </row>
    <row r="314" spans="1:22" x14ac:dyDescent="0.25">
      <c r="A314" s="11" t="s">
        <v>3826</v>
      </c>
      <c r="B314" s="11">
        <v>667115</v>
      </c>
      <c r="C314" s="11" t="str">
        <f>VLOOKUP(B314,Towary_i_uslugi!$A$4:$B$1500,2)</f>
        <v>(brak)</v>
      </c>
      <c r="D314" s="11" t="s">
        <v>3660</v>
      </c>
      <c r="E314" s="11">
        <f>VLOOKUP(B314,Towary_i_uslugi!$A$3:$T$1500,3,FALSE)</f>
        <v>0</v>
      </c>
      <c r="F314" s="11">
        <f>VLOOKUP(B314,Towary_i_uslugi!$A$3:$T$1500,20,FALSE)</f>
        <v>0</v>
      </c>
      <c r="G314" s="11">
        <f>VLOOKUP(B314,MBI_Dostawcy_towarów!$A$4:$C$1399,3,FALSE)</f>
        <v>1.22</v>
      </c>
      <c r="H314" s="11">
        <v>0</v>
      </c>
      <c r="I314" s="11">
        <v>0</v>
      </c>
      <c r="J314" s="11">
        <v>1</v>
      </c>
      <c r="K314" s="11">
        <f>_xlfn.IFNA(VLOOKUP(B314,Towary_na_zamówieniach!$A$4:$C$1500,2,FALSE),0)</f>
        <v>5</v>
      </c>
      <c r="L314" s="11">
        <f>_xlfn.IFNA(VLOOKUP(B314,Towary_na_zamówieniach!$A$4:$C$1500,3,FALSE),0)</f>
        <v>73.599999999999994</v>
      </c>
      <c r="M314" s="11">
        <f>_xlfn.IFNA(VLOOKUP(B314,MBI_Dostawcy_towarów!$A$4:$C$2000,2,FALSE),"N/A")</f>
        <v>3</v>
      </c>
      <c r="N314" s="11" t="str">
        <f>IF(VLOOKUP(B314,Towary_i_uslugi!$A$3:$T$1500,17,FALSE)=0,"!NO SUPPLIER",VLOOKUP(B314,Towary_i_uslugi!$A$3:$T$1500,17))</f>
        <v>Polirat</v>
      </c>
      <c r="O314" s="11" t="str">
        <f>IF(VLOOKUP(B314,Towary_i_uslugi!$A$4:$U$1200,21,FALSE)&gt;0,VLOOKUP(B314,Towary_i_uslugi!$A$4:$U$1200,21,FALSE),"")</f>
        <v/>
      </c>
      <c r="P314" s="11">
        <f t="shared" si="12"/>
        <v>0</v>
      </c>
      <c r="Q314" s="11">
        <f t="shared" si="13"/>
        <v>0</v>
      </c>
      <c r="R314" s="17">
        <f t="shared" si="14"/>
        <v>0</v>
      </c>
      <c r="S314" s="17">
        <f>VLOOKUP($B314,   MBI_LastBuy!$A$3:E$13199,3,FALSE)</f>
        <v>4</v>
      </c>
      <c r="T314" s="13">
        <f>VLOOKUP($B314,   MBI_LastBuy!$A$3:E$13199,2,FALSE)</f>
        <v>14.72</v>
      </c>
      <c r="U314" s="13" t="str">
        <f>VLOOKUP($B314,   MBI_LastBuy!$A$3:E$13199,5,FALSE)</f>
        <v>PLN</v>
      </c>
      <c r="V314" s="15">
        <f>VLOOKUP($B314,   MBI_LastBuy!$A$3:E$13199,4,FALSE)</f>
        <v>44035</v>
      </c>
    </row>
    <row r="315" spans="1:22" x14ac:dyDescent="0.25">
      <c r="A315" s="11" t="s">
        <v>3556</v>
      </c>
      <c r="B315" s="11">
        <v>680020</v>
      </c>
      <c r="C315" s="11" t="str">
        <f>VLOOKUP(B315,Towary_i_uslugi!$A$4:$B$1500,2)</f>
        <v>(brak)</v>
      </c>
      <c r="D315" s="11" t="s">
        <v>2693</v>
      </c>
      <c r="E315" s="11">
        <f>VLOOKUP(B315,Towary_i_uslugi!$A$3:$T$1500,3,FALSE)</f>
        <v>120</v>
      </c>
      <c r="F315" s="11" t="str">
        <f>VLOOKUP(B315,Towary_i_uslugi!$A$3:$T$1500,20,FALSE)</f>
        <v>carton sleeve</v>
      </c>
      <c r="G315" s="11">
        <f>VLOOKUP(B315,MBI_Dostawcy_towarów!$A$4:$C$1399,3,FALSE)</f>
        <v>0.11700000000000001</v>
      </c>
      <c r="H315" s="11">
        <v>81</v>
      </c>
      <c r="I315" s="11">
        <v>0</v>
      </c>
      <c r="J315" s="11">
        <v>520</v>
      </c>
      <c r="K315" s="11">
        <f>_xlfn.IFNA(VLOOKUP(B315,Towary_na_zamówieniach!$A$4:$C$1500,2,FALSE),0)</f>
        <v>960</v>
      </c>
      <c r="L315" s="11">
        <f>_xlfn.IFNA(VLOOKUP(B315,Towary_na_zamówieniach!$A$4:$C$1500,3,FALSE),0)</f>
        <v>649.91999999999996</v>
      </c>
      <c r="M315" s="11">
        <f>_xlfn.IFNA(VLOOKUP(B315,MBI_Dostawcy_towarów!$A$4:$C$2000,2,FALSE),"N/A")</f>
        <v>90</v>
      </c>
      <c r="N315" s="11" t="str">
        <f>IF(VLOOKUP(B315,Towary_i_uslugi!$A$3:$T$1500,17,FALSE)=0,"!NO SUPPLIER",VLOOKUP(B315,Towary_i_uslugi!$A$3:$T$1500,17))</f>
        <v xml:space="preserve">LF rozrachunki </v>
      </c>
      <c r="O315" s="11" t="str">
        <f>IF(VLOOKUP(B315,Towary_i_uslugi!$A$4:$U$1200,21,FALSE)&gt;0,VLOOKUP(B315,Towary_i_uslugi!$A$4:$U$1200,21,FALSE),"")</f>
        <v/>
      </c>
      <c r="P315" s="11">
        <f t="shared" si="12"/>
        <v>0</v>
      </c>
      <c r="Q315" s="11">
        <f t="shared" si="13"/>
        <v>0</v>
      </c>
      <c r="R315" s="17">
        <f t="shared" si="14"/>
        <v>0</v>
      </c>
      <c r="S315" s="17">
        <f>VLOOKUP($B315,   MBI_LastBuy!$A$3:E$13199,3,FALSE)</f>
        <v>960</v>
      </c>
      <c r="T315" s="13">
        <f>VLOOKUP($B315,   MBI_LastBuy!$A$3:E$13199,2,FALSE)</f>
        <v>0.67700000000000005</v>
      </c>
      <c r="U315" s="13" t="str">
        <f>VLOOKUP($B315,   MBI_LastBuy!$A$3:E$13199,5,FALSE)</f>
        <v>USD</v>
      </c>
      <c r="V315" s="15">
        <f>VLOOKUP($B315,   MBI_LastBuy!$A$3:E$13199,4,FALSE)</f>
        <v>44070</v>
      </c>
    </row>
    <row r="316" spans="1:22" x14ac:dyDescent="0.25">
      <c r="A316" s="11" t="s">
        <v>3552</v>
      </c>
      <c r="B316" s="11">
        <v>682500</v>
      </c>
      <c r="C316" s="11" t="str">
        <f>VLOOKUP(B316,Towary_i_uslugi!$A$4:$B$1500,2)</f>
        <v>(brak)</v>
      </c>
      <c r="D316" s="11" t="s">
        <v>2854</v>
      </c>
      <c r="E316" s="11">
        <f>VLOOKUP(B316,Towary_i_uslugi!$A$3:$T$1500,3,FALSE)</f>
        <v>120</v>
      </c>
      <c r="F316" s="11" t="str">
        <f>VLOOKUP(B316,Towary_i_uslugi!$A$3:$T$1500,20,FALSE)</f>
        <v>two stickers</v>
      </c>
      <c r="G316" s="11">
        <f>VLOOKUP(B316,MBI_Dostawcy_towarów!$A$4:$C$1399,3,FALSE)</f>
        <v>9.5000000000000001E-2</v>
      </c>
      <c r="H316" s="11">
        <v>27</v>
      </c>
      <c r="I316" s="11">
        <v>1</v>
      </c>
      <c r="J316" s="11">
        <v>360</v>
      </c>
      <c r="K316" s="11">
        <f>_xlfn.IFNA(VLOOKUP(B316,Towary_na_zamówieniach!$A$4:$C$1500,2,FALSE),0)</f>
        <v>960</v>
      </c>
      <c r="L316" s="11">
        <f>_xlfn.IFNA(VLOOKUP(B316,Towary_na_zamówieniach!$A$4:$C$1500,3,FALSE),0)</f>
        <v>355.2</v>
      </c>
      <c r="M316" s="11">
        <f>_xlfn.IFNA(VLOOKUP(B316,MBI_Dostawcy_towarów!$A$4:$C$2000,2,FALSE),"N/A")</f>
        <v>90</v>
      </c>
      <c r="N316" s="11" t="str">
        <f>IF(VLOOKUP(B316,Towary_i_uslugi!$A$3:$T$1500,17,FALSE)=0,"!NO SUPPLIER",VLOOKUP(B316,Towary_i_uslugi!$A$3:$T$1500,17))</f>
        <v>XM</v>
      </c>
      <c r="O316" s="11" t="str">
        <f>IF(VLOOKUP(B316,Towary_i_uslugi!$A$4:$U$1200,21,FALSE)&gt;0,VLOOKUP(B316,Towary_i_uslugi!$A$4:$U$1200,21,FALSE),"")</f>
        <v>MBI*8.8.19*check color</v>
      </c>
      <c r="P316" s="11">
        <f t="shared" si="12"/>
        <v>0</v>
      </c>
      <c r="Q316" s="11">
        <f t="shared" si="13"/>
        <v>0</v>
      </c>
      <c r="R316" s="17">
        <f t="shared" si="14"/>
        <v>0</v>
      </c>
      <c r="S316" s="17">
        <f>VLOOKUP($B316,   MBI_LastBuy!$A$3:E$13199,3,FALSE)</f>
        <v>960</v>
      </c>
      <c r="T316" s="13">
        <f>VLOOKUP($B316,   MBI_LastBuy!$A$3:E$13199,2,FALSE)</f>
        <v>0.37</v>
      </c>
      <c r="U316" s="13" t="str">
        <f>VLOOKUP($B316,   MBI_LastBuy!$A$3:E$13199,5,FALSE)</f>
        <v>USD</v>
      </c>
      <c r="V316" s="15">
        <f>VLOOKUP($B316,   MBI_LastBuy!$A$3:E$13199,4,FALSE)</f>
        <v>43998</v>
      </c>
    </row>
    <row r="317" spans="1:22" x14ac:dyDescent="0.25">
      <c r="A317" s="11" t="s">
        <v>3556</v>
      </c>
      <c r="B317" s="11">
        <v>682512</v>
      </c>
      <c r="C317" s="11" t="str">
        <f>VLOOKUP(B317,Towary_i_uslugi!$A$4:$B$1500,2)</f>
        <v>(brak)</v>
      </c>
      <c r="D317" s="11" t="s">
        <v>3661</v>
      </c>
      <c r="E317" s="11">
        <f>VLOOKUP(B317,Towary_i_uslugi!$A$3:$T$1500,3,FALSE)</f>
        <v>60</v>
      </c>
      <c r="F317" s="11" t="str">
        <f>VLOOKUP(B317,Towary_i_uslugi!$A$3:$T$1500,20,FALSE)</f>
        <v>pvc shrink + sticker</v>
      </c>
      <c r="G317" s="11">
        <f>VLOOKUP(B317,MBI_Dostawcy_towarów!$A$4:$C$1399,3,FALSE)</f>
        <v>0.16200000000000001</v>
      </c>
      <c r="H317" s="11">
        <v>2</v>
      </c>
      <c r="I317" s="11">
        <v>1</v>
      </c>
      <c r="J317" s="11">
        <v>90</v>
      </c>
      <c r="K317" s="11">
        <f>_xlfn.IFNA(VLOOKUP(B317,Towary_na_zamówieniach!$A$4:$C$1500,2,FALSE),0)</f>
        <v>0</v>
      </c>
      <c r="L317" s="11">
        <f>_xlfn.IFNA(VLOOKUP(B317,Towary_na_zamówieniach!$A$4:$C$1500,3,FALSE),0)</f>
        <v>0</v>
      </c>
      <c r="M317" s="11">
        <f>_xlfn.IFNA(VLOOKUP(B317,MBI_Dostawcy_towarów!$A$4:$C$2000,2,FALSE),"N/A")</f>
        <v>90</v>
      </c>
      <c r="N317" s="11" t="str">
        <f>IF(VLOOKUP(B317,Towary_i_uslugi!$A$3:$T$1500,17,FALSE)=0,"!NO SUPPLIER",VLOOKUP(B317,Towary_i_uslugi!$A$3:$T$1500,17))</f>
        <v xml:space="preserve">LF rozrachunki </v>
      </c>
      <c r="O317" s="11" t="str">
        <f>IF(VLOOKUP(B317,Towary_i_uslugi!$A$4:$U$1200,21,FALSE)&gt;0,VLOOKUP(B317,Towary_i_uslugi!$A$4:$U$1200,21,FALSE),"")</f>
        <v/>
      </c>
      <c r="P317" s="11">
        <f t="shared" si="12"/>
        <v>2</v>
      </c>
      <c r="Q317" s="11">
        <f t="shared" si="13"/>
        <v>120</v>
      </c>
      <c r="R317" s="17">
        <f t="shared" si="14"/>
        <v>178.8</v>
      </c>
      <c r="S317" s="17">
        <f>VLOOKUP($B317,   MBI_LastBuy!$A$3:E$13199,3,FALSE)</f>
        <v>240</v>
      </c>
      <c r="T317" s="13">
        <f>VLOOKUP($B317,   MBI_LastBuy!$A$3:E$13199,2,FALSE)</f>
        <v>1.49</v>
      </c>
      <c r="U317" s="13" t="str">
        <f>VLOOKUP($B317,   MBI_LastBuy!$A$3:E$13199,5,FALSE)</f>
        <v>USD</v>
      </c>
      <c r="V317" s="15">
        <f>VLOOKUP($B317,   MBI_LastBuy!$A$3:E$13199,4,FALSE)</f>
        <v>44068</v>
      </c>
    </row>
    <row r="318" spans="1:22" x14ac:dyDescent="0.25">
      <c r="A318" s="11" t="s">
        <v>3552</v>
      </c>
      <c r="B318" s="11">
        <v>683000</v>
      </c>
      <c r="C318" s="11" t="str">
        <f>VLOOKUP(B318,Towary_i_uslugi!$A$4:$B$1500,2)</f>
        <v>(brak)</v>
      </c>
      <c r="D318" s="11" t="s">
        <v>3662</v>
      </c>
      <c r="E318" s="11">
        <f>VLOOKUP(B318,Towary_i_uslugi!$A$3:$T$1500,3,FALSE)</f>
        <v>120</v>
      </c>
      <c r="F318" s="11" t="str">
        <f>VLOOKUP(B318,Towary_i_uslugi!$A$3:$T$1500,20,FALSE)</f>
        <v>two stickers</v>
      </c>
      <c r="G318" s="11">
        <f>VLOOKUP(B318,MBI_Dostawcy_towarów!$A$4:$C$1399,3,FALSE)</f>
        <v>0.106</v>
      </c>
      <c r="H318" s="11">
        <v>1389</v>
      </c>
      <c r="I318" s="11">
        <v>1</v>
      </c>
      <c r="J318" s="11">
        <v>1800</v>
      </c>
      <c r="K318" s="11">
        <f>_xlfn.IFNA(VLOOKUP(B318,Towary_na_zamówieniach!$A$4:$C$1500,2,FALSE),0)</f>
        <v>1800</v>
      </c>
      <c r="L318" s="11">
        <f>_xlfn.IFNA(VLOOKUP(B318,Towary_na_zamówieniach!$A$4:$C$1500,3,FALSE),0)</f>
        <v>828</v>
      </c>
      <c r="M318" s="11">
        <f>_xlfn.IFNA(VLOOKUP(B318,MBI_Dostawcy_towarów!$A$4:$C$2000,2,FALSE),"N/A")</f>
        <v>90</v>
      </c>
      <c r="N318" s="11" t="str">
        <f>IF(VLOOKUP(B318,Towary_i_uslugi!$A$3:$T$1500,17,FALSE)=0,"!NO SUPPLIER",VLOOKUP(B318,Towary_i_uslugi!$A$3:$T$1500,17))</f>
        <v>XM</v>
      </c>
      <c r="O318" s="11" t="str">
        <f>IF(VLOOKUP(B318,Towary_i_uslugi!$A$4:$U$1200,21,FALSE)&gt;0,VLOOKUP(B318,Towary_i_uslugi!$A$4:$U$1200,21,FALSE),"")</f>
        <v/>
      </c>
      <c r="P318" s="11">
        <f t="shared" si="12"/>
        <v>0</v>
      </c>
      <c r="Q318" s="11">
        <f t="shared" si="13"/>
        <v>0</v>
      </c>
      <c r="R318" s="17">
        <f t="shared" si="14"/>
        <v>0</v>
      </c>
      <c r="S318" s="17">
        <f>VLOOKUP($B318,   MBI_LastBuy!$A$3:E$13199,3,FALSE)</f>
        <v>1800</v>
      </c>
      <c r="T318" s="13">
        <f>VLOOKUP($B318,   MBI_LastBuy!$A$3:E$13199,2,FALSE)</f>
        <v>0.46</v>
      </c>
      <c r="U318" s="13" t="str">
        <f>VLOOKUP($B318,   MBI_LastBuy!$A$3:E$13199,5,FALSE)</f>
        <v>USD</v>
      </c>
      <c r="V318" s="15">
        <f>VLOOKUP($B318,   MBI_LastBuy!$A$3:E$13199,4,FALSE)</f>
        <v>44111</v>
      </c>
    </row>
    <row r="319" spans="1:22" x14ac:dyDescent="0.25">
      <c r="A319" s="11" t="s">
        <v>3556</v>
      </c>
      <c r="B319" s="11">
        <v>683012</v>
      </c>
      <c r="C319" s="11" t="str">
        <f>VLOOKUP(B319,Towary_i_uslugi!$A$4:$B$1500,2)</f>
        <v>(brak)</v>
      </c>
      <c r="D319" s="11" t="s">
        <v>2855</v>
      </c>
      <c r="E319" s="11">
        <f>VLOOKUP(B319,Towary_i_uslugi!$A$3:$T$1500,3,FALSE)</f>
        <v>60</v>
      </c>
      <c r="F319" s="11" t="str">
        <f>VLOOKUP(B319,Towary_i_uslugi!$A$3:$T$1500,20,FALSE)</f>
        <v>pvc shrink + sticker</v>
      </c>
      <c r="G319" s="11">
        <f>VLOOKUP(B319,MBI_Dostawcy_towarów!$A$4:$C$1399,3,FALSE)</f>
        <v>0.192</v>
      </c>
      <c r="H319" s="11">
        <v>12</v>
      </c>
      <c r="I319" s="11">
        <v>1</v>
      </c>
      <c r="J319" s="11">
        <v>120</v>
      </c>
      <c r="K319" s="11">
        <f>_xlfn.IFNA(VLOOKUP(B319,Towary_na_zamówieniach!$A$4:$C$1500,2,FALSE),0)</f>
        <v>240</v>
      </c>
      <c r="L319" s="11">
        <f>_xlfn.IFNA(VLOOKUP(B319,Towary_na_zamówieniach!$A$4:$C$1500,3,FALSE),0)</f>
        <v>384</v>
      </c>
      <c r="M319" s="11">
        <f>_xlfn.IFNA(VLOOKUP(B319,MBI_Dostawcy_towarów!$A$4:$C$2000,2,FALSE),"N/A")</f>
        <v>90</v>
      </c>
      <c r="N319" s="11" t="str">
        <f>IF(VLOOKUP(B319,Towary_i_uslugi!$A$3:$T$1500,17,FALSE)=0,"!NO SUPPLIER",VLOOKUP(B319,Towary_i_uslugi!$A$3:$T$1500,17))</f>
        <v xml:space="preserve">LF rozrachunki </v>
      </c>
      <c r="O319" s="11" t="str">
        <f>IF(VLOOKUP(B319,Towary_i_uslugi!$A$4:$U$1200,21,FALSE)&gt;0,VLOOKUP(B319,Towary_i_uslugi!$A$4:$U$1200,21,FALSE),"")</f>
        <v/>
      </c>
      <c r="P319" s="11">
        <f t="shared" si="12"/>
        <v>0</v>
      </c>
      <c r="Q319" s="11">
        <f t="shared" si="13"/>
        <v>0</v>
      </c>
      <c r="R319" s="17">
        <f t="shared" si="14"/>
        <v>0</v>
      </c>
      <c r="S319" s="17">
        <f>VLOOKUP($B319,   MBI_LastBuy!$A$3:E$13199,3,FALSE)</f>
        <v>240</v>
      </c>
      <c r="T319" s="13">
        <f>VLOOKUP($B319,   MBI_LastBuy!$A$3:E$13199,2,FALSE)</f>
        <v>1.6</v>
      </c>
      <c r="U319" s="13" t="str">
        <f>VLOOKUP($B319,   MBI_LastBuy!$A$3:E$13199,5,FALSE)</f>
        <v>USD</v>
      </c>
      <c r="V319" s="15">
        <f>VLOOKUP($B319,   MBI_LastBuy!$A$3:E$13199,4,FALSE)</f>
        <v>44025</v>
      </c>
    </row>
    <row r="320" spans="1:22" x14ac:dyDescent="0.25">
      <c r="A320" s="11" t="s">
        <v>3552</v>
      </c>
      <c r="B320" s="11">
        <v>683500</v>
      </c>
      <c r="C320" s="11" t="str">
        <f>VLOOKUP(B320,Towary_i_uslugi!$A$4:$B$1500,2)</f>
        <v>(brak)</v>
      </c>
      <c r="D320" s="11" t="s">
        <v>2522</v>
      </c>
      <c r="E320" s="11">
        <f>VLOOKUP(B320,Towary_i_uslugi!$A$3:$T$1500,3,FALSE)</f>
        <v>120</v>
      </c>
      <c r="F320" s="11" t="str">
        <f>VLOOKUP(B320,Towary_i_uslugi!$A$3:$T$1500,20,FALSE)</f>
        <v>two stickers</v>
      </c>
      <c r="G320" s="11">
        <f>VLOOKUP(B320,MBI_Dostawcy_towarów!$A$4:$C$1399,3,FALSE)</f>
        <v>0.124</v>
      </c>
      <c r="H320" s="11">
        <v>519</v>
      </c>
      <c r="I320" s="11">
        <v>1</v>
      </c>
      <c r="J320" s="11">
        <v>1400</v>
      </c>
      <c r="K320" s="11">
        <f>_xlfn.IFNA(VLOOKUP(B320,Towary_na_zamówieniach!$A$4:$C$1500,2,FALSE),0)</f>
        <v>1440</v>
      </c>
      <c r="L320" s="11">
        <f>_xlfn.IFNA(VLOOKUP(B320,Towary_na_zamówieniach!$A$4:$C$1500,3,FALSE),0)</f>
        <v>686.88</v>
      </c>
      <c r="M320" s="11">
        <f>_xlfn.IFNA(VLOOKUP(B320,MBI_Dostawcy_towarów!$A$4:$C$2000,2,FALSE),"N/A")</f>
        <v>90</v>
      </c>
      <c r="N320" s="11" t="str">
        <f>IF(VLOOKUP(B320,Towary_i_uslugi!$A$3:$T$1500,17,FALSE)=0,"!NO SUPPLIER",VLOOKUP(B320,Towary_i_uslugi!$A$3:$T$1500,17))</f>
        <v>XM</v>
      </c>
      <c r="O320" s="11" t="str">
        <f>IF(VLOOKUP(B320,Towary_i_uslugi!$A$4:$U$1200,21,FALSE)&gt;0,VLOOKUP(B320,Towary_i_uslugi!$A$4:$U$1200,21,FALSE),"")</f>
        <v/>
      </c>
      <c r="P320" s="11">
        <f t="shared" si="12"/>
        <v>0</v>
      </c>
      <c r="Q320" s="11">
        <f t="shared" si="13"/>
        <v>0</v>
      </c>
      <c r="R320" s="17">
        <f t="shared" si="14"/>
        <v>0</v>
      </c>
      <c r="S320" s="17">
        <f>VLOOKUP($B320,   MBI_LastBuy!$A$3:E$13199,3,FALSE)</f>
        <v>1440</v>
      </c>
      <c r="T320" s="13">
        <f>VLOOKUP($B320,   MBI_LastBuy!$A$3:E$13199,2,FALSE)</f>
        <v>0.47699999999999998</v>
      </c>
      <c r="U320" s="13" t="str">
        <f>VLOOKUP($B320,   MBI_LastBuy!$A$3:E$13199,5,FALSE)</f>
        <v>USD</v>
      </c>
      <c r="V320" s="15">
        <f>VLOOKUP($B320,   MBI_LastBuy!$A$3:E$13199,4,FALSE)</f>
        <v>44007</v>
      </c>
    </row>
    <row r="321" spans="1:22" x14ac:dyDescent="0.25">
      <c r="A321" s="11" t="s">
        <v>3556</v>
      </c>
      <c r="B321" s="11">
        <v>683510</v>
      </c>
      <c r="C321" s="11" t="str">
        <f>VLOOKUP(B321,Towary_i_uslugi!$A$4:$B$1500,2)</f>
        <v>(brak)</v>
      </c>
      <c r="D321" s="11" t="s">
        <v>2856</v>
      </c>
      <c r="E321" s="11">
        <f>VLOOKUP(B321,Towary_i_uslugi!$A$3:$T$1500,3,FALSE)</f>
        <v>60</v>
      </c>
      <c r="F321" s="11" t="str">
        <f>VLOOKUP(B321,Towary_i_uslugi!$A$3:$T$1500,20,FALSE)</f>
        <v>pvc shrink</v>
      </c>
      <c r="G321" s="11">
        <f>VLOOKUP(B321,MBI_Dostawcy_towarów!$A$4:$C$1399,3,FALSE)</f>
        <v>0.28699999999999998</v>
      </c>
      <c r="H321" s="11">
        <v>2</v>
      </c>
      <c r="I321" s="11">
        <v>1</v>
      </c>
      <c r="J321" s="11">
        <v>320</v>
      </c>
      <c r="K321" s="11">
        <f>_xlfn.IFNA(VLOOKUP(B321,Towary_na_zamówieniach!$A$4:$C$1500,2,FALSE),0)</f>
        <v>1200</v>
      </c>
      <c r="L321" s="11">
        <f>_xlfn.IFNA(VLOOKUP(B321,Towary_na_zamówieniach!$A$4:$C$1500,3,FALSE),0)</f>
        <v>2297.4</v>
      </c>
      <c r="M321" s="11">
        <f>_xlfn.IFNA(VLOOKUP(B321,MBI_Dostawcy_towarów!$A$4:$C$2000,2,FALSE),"N/A")</f>
        <v>90</v>
      </c>
      <c r="N321" s="11" t="str">
        <f>IF(VLOOKUP(B321,Towary_i_uslugi!$A$3:$T$1500,17,FALSE)=0,"!NO SUPPLIER",VLOOKUP(B321,Towary_i_uslugi!$A$3:$T$1500,17))</f>
        <v xml:space="preserve">LF rozrachunki </v>
      </c>
      <c r="O321" s="11" t="str">
        <f>IF(VLOOKUP(B321,Towary_i_uslugi!$A$4:$U$1200,21,FALSE)&gt;0,VLOOKUP(B321,Towary_i_uslugi!$A$4:$U$1200,21,FALSE),"")</f>
        <v/>
      </c>
      <c r="P321" s="11">
        <f t="shared" si="12"/>
        <v>0</v>
      </c>
      <c r="Q321" s="11">
        <f t="shared" si="13"/>
        <v>0</v>
      </c>
      <c r="R321" s="17">
        <f t="shared" si="14"/>
        <v>0</v>
      </c>
      <c r="S321" s="17">
        <f>VLOOKUP($B321,   MBI_LastBuy!$A$3:E$13199,3,FALSE)</f>
        <v>600</v>
      </c>
      <c r="T321" s="13">
        <f>VLOOKUP($B321,   MBI_LastBuy!$A$3:E$13199,2,FALSE)</f>
        <v>1.7969999999999999</v>
      </c>
      <c r="U321" s="13" t="str">
        <f>VLOOKUP($B321,   MBI_LastBuy!$A$3:E$13199,5,FALSE)</f>
        <v>USD</v>
      </c>
      <c r="V321" s="15">
        <f>VLOOKUP($B321,   MBI_LastBuy!$A$3:E$13199,4,FALSE)</f>
        <v>44070</v>
      </c>
    </row>
    <row r="322" spans="1:22" x14ac:dyDescent="0.25">
      <c r="A322" s="11" t="s">
        <v>3556</v>
      </c>
      <c r="B322" s="11">
        <v>683542</v>
      </c>
      <c r="C322" s="11" t="str">
        <f>VLOOKUP(B322,Towary_i_uslugi!$A$4:$B$1500,2)</f>
        <v>(brak)</v>
      </c>
      <c r="D322" s="11" t="s">
        <v>3663</v>
      </c>
      <c r="E322" s="11">
        <f>VLOOKUP(B322,Towary_i_uslugi!$A$3:$T$1500,3,FALSE)</f>
        <v>60</v>
      </c>
      <c r="F322" s="11" t="str">
        <f>VLOOKUP(B322,Towary_i_uslugi!$A$3:$T$1500,20,FALSE)</f>
        <v>pvc shrink + sticker</v>
      </c>
      <c r="G322" s="11">
        <f>VLOOKUP(B322,MBI_Dostawcy_towarów!$A$4:$C$1399,3,FALSE)</f>
        <v>0.24</v>
      </c>
      <c r="H322" s="11">
        <v>5</v>
      </c>
      <c r="I322" s="11">
        <v>1</v>
      </c>
      <c r="J322" s="11">
        <v>240</v>
      </c>
      <c r="K322" s="11">
        <f>_xlfn.IFNA(VLOOKUP(B322,Towary_na_zamówieniach!$A$4:$C$1500,2,FALSE),0)</f>
        <v>300</v>
      </c>
      <c r="L322" s="11">
        <f>_xlfn.IFNA(VLOOKUP(B322,Towary_na_zamówieniach!$A$4:$C$1500,3,FALSE),0)</f>
        <v>487.5</v>
      </c>
      <c r="M322" s="11">
        <f>_xlfn.IFNA(VLOOKUP(B322,MBI_Dostawcy_towarów!$A$4:$C$2000,2,FALSE),"N/A")</f>
        <v>90</v>
      </c>
      <c r="N322" s="11" t="str">
        <f>IF(VLOOKUP(B322,Towary_i_uslugi!$A$3:$T$1500,17,FALSE)=0,"!NO SUPPLIER",VLOOKUP(B322,Towary_i_uslugi!$A$3:$T$1500,17))</f>
        <v xml:space="preserve">LF rozrachunki </v>
      </c>
      <c r="O322" s="11" t="str">
        <f>IF(VLOOKUP(B322,Towary_i_uslugi!$A$4:$U$1200,21,FALSE)&gt;0,VLOOKUP(B322,Towary_i_uslugi!$A$4:$U$1200,21,FALSE),"")</f>
        <v/>
      </c>
      <c r="P322" s="11">
        <f t="shared" si="12"/>
        <v>0</v>
      </c>
      <c r="Q322" s="11">
        <f t="shared" si="13"/>
        <v>0</v>
      </c>
      <c r="R322" s="17">
        <f t="shared" si="14"/>
        <v>0</v>
      </c>
      <c r="S322" s="17">
        <f>VLOOKUP($B322,   MBI_LastBuy!$A$3:E$13199,3,FALSE)</f>
        <v>300</v>
      </c>
      <c r="T322" s="13">
        <f>VLOOKUP($B322,   MBI_LastBuy!$A$3:E$13199,2,FALSE)</f>
        <v>1.625</v>
      </c>
      <c r="U322" s="13" t="str">
        <f>VLOOKUP($B322,   MBI_LastBuy!$A$3:E$13199,5,FALSE)</f>
        <v>USD</v>
      </c>
      <c r="V322" s="15">
        <f>VLOOKUP($B322,   MBI_LastBuy!$A$3:E$13199,4,FALSE)</f>
        <v>44070</v>
      </c>
    </row>
    <row r="323" spans="1:22" x14ac:dyDescent="0.25">
      <c r="A323" s="11" t="s">
        <v>3552</v>
      </c>
      <c r="B323" s="11">
        <v>684000</v>
      </c>
      <c r="C323" s="11" t="str">
        <f>VLOOKUP(B323,Towary_i_uslugi!$A$4:$B$1500,2)</f>
        <v>(brak)</v>
      </c>
      <c r="D323" s="11" t="s">
        <v>2857</v>
      </c>
      <c r="E323" s="11">
        <f>VLOOKUP(B323,Towary_i_uslugi!$A$3:$T$1500,3,FALSE)</f>
        <v>48</v>
      </c>
      <c r="F323" s="11" t="str">
        <f>VLOOKUP(B323,Towary_i_uslugi!$A$3:$T$1500,20,FALSE)</f>
        <v>pvc shrink + sticker</v>
      </c>
      <c r="G323" s="11">
        <f>VLOOKUP(B323,MBI_Dostawcy_towarów!$A$4:$C$1399,3,FALSE)</f>
        <v>0.436</v>
      </c>
      <c r="H323" s="11">
        <v>197</v>
      </c>
      <c r="I323" s="11">
        <v>0</v>
      </c>
      <c r="J323" s="11">
        <v>900</v>
      </c>
      <c r="K323" s="11">
        <f>_xlfn.IFNA(VLOOKUP(B323,Towary_na_zamówieniach!$A$4:$C$1500,2,FALSE),0)</f>
        <v>1152</v>
      </c>
      <c r="L323" s="11">
        <f>_xlfn.IFNA(VLOOKUP(B323,Towary_na_zamówieniach!$A$4:$C$1500,3,FALSE),0)</f>
        <v>1002.24</v>
      </c>
      <c r="M323" s="11">
        <f>_xlfn.IFNA(VLOOKUP(B323,MBI_Dostawcy_towarów!$A$4:$C$2000,2,FALSE),"N/A")</f>
        <v>90</v>
      </c>
      <c r="N323" s="11" t="str">
        <f>IF(VLOOKUP(B323,Towary_i_uslugi!$A$3:$T$1500,17,FALSE)=0,"!NO SUPPLIER",VLOOKUP(B323,Towary_i_uslugi!$A$3:$T$1500,17))</f>
        <v>XM</v>
      </c>
      <c r="O323" s="11" t="str">
        <f>IF(VLOOKUP(B323,Towary_i_uslugi!$A$4:$U$1200,21,FALSE)&gt;0,VLOOKUP(B323,Towary_i_uslugi!$A$4:$U$1200,21,FALSE),"")</f>
        <v/>
      </c>
      <c r="P323" s="11">
        <f t="shared" ref="P323:P386" si="15">IF(K323=0,ROUNDUP(J323/E323,0),IF((K323+H323-I323)/J323&lt;1,ROUNDUP(J323/E323,0),0))</f>
        <v>0</v>
      </c>
      <c r="Q323" s="11">
        <f t="shared" ref="Q323:Q386" si="16">P323*E323</f>
        <v>0</v>
      </c>
      <c r="R323" s="17">
        <f t="shared" ref="R323:R386" si="17">Q323*T323</f>
        <v>0</v>
      </c>
      <c r="S323" s="17">
        <f>VLOOKUP($B323,   MBI_LastBuy!$A$3:E$13199,3,FALSE)</f>
        <v>1152</v>
      </c>
      <c r="T323" s="13">
        <f>VLOOKUP($B323,   MBI_LastBuy!$A$3:E$13199,2,FALSE)</f>
        <v>0.87</v>
      </c>
      <c r="U323" s="13" t="str">
        <f>VLOOKUP($B323,   MBI_LastBuy!$A$3:E$13199,5,FALSE)</f>
        <v>USD</v>
      </c>
      <c r="V323" s="15">
        <f>VLOOKUP($B323,   MBI_LastBuy!$A$3:E$13199,4,FALSE)</f>
        <v>44083</v>
      </c>
    </row>
    <row r="324" spans="1:22" x14ac:dyDescent="0.25">
      <c r="A324" s="11" t="s">
        <v>3553</v>
      </c>
      <c r="B324" s="11">
        <v>684005</v>
      </c>
      <c r="C324" s="11" t="str">
        <f>VLOOKUP(B324,Towary_i_uslugi!$A$4:$B$1500,2)</f>
        <v>(brak)</v>
      </c>
      <c r="D324" s="11" t="s">
        <v>2694</v>
      </c>
      <c r="E324" s="11">
        <f>VLOOKUP(B324,Towary_i_uslugi!$A$3:$T$1500,3,FALSE)</f>
        <v>100</v>
      </c>
      <c r="F324" s="11" t="str">
        <f>VLOOKUP(B324,Towary_i_uslugi!$A$3:$T$1500,20,FALSE)</f>
        <v>two stickers</v>
      </c>
      <c r="G324" s="11">
        <f>VLOOKUP(B324,MBI_Dostawcy_towarów!$A$4:$C$1399,3,FALSE)</f>
        <v>9.1999999999999998E-2</v>
      </c>
      <c r="H324" s="11">
        <v>1</v>
      </c>
      <c r="I324" s="11">
        <v>0</v>
      </c>
      <c r="J324" s="11">
        <v>600</v>
      </c>
      <c r="K324" s="11">
        <f>_xlfn.IFNA(VLOOKUP(B324,Towary_na_zamówieniach!$A$4:$C$1500,2,FALSE),0)</f>
        <v>1300</v>
      </c>
      <c r="L324" s="11">
        <f>_xlfn.IFNA(VLOOKUP(B324,Towary_na_zamówieniach!$A$4:$C$1500,3,FALSE),0)</f>
        <v>910</v>
      </c>
      <c r="M324" s="11">
        <f>_xlfn.IFNA(VLOOKUP(B324,MBI_Dostawcy_towarów!$A$4:$C$2000,2,FALSE),"N/A")</f>
        <v>90</v>
      </c>
      <c r="N324" s="11" t="str">
        <f>IF(VLOOKUP(B324,Towary_i_uslugi!$A$3:$T$1500,17,FALSE)=0,"!NO SUPPLIER",VLOOKUP(B324,Towary_i_uslugi!$A$3:$T$1500,17))</f>
        <v>FX -MAPLE Frank Xu</v>
      </c>
      <c r="O324" s="11" t="str">
        <f>IF(VLOOKUP(B324,Towary_i_uslugi!$A$4:$U$1200,21,FALSE)&gt;0,VLOOKUP(B324,Towary_i_uslugi!$A$4:$U$1200,21,FALSE),"")</f>
        <v/>
      </c>
      <c r="P324" s="11">
        <f t="shared" si="15"/>
        <v>0</v>
      </c>
      <c r="Q324" s="11">
        <f t="shared" si="16"/>
        <v>0</v>
      </c>
      <c r="R324" s="17">
        <f t="shared" si="17"/>
        <v>0</v>
      </c>
      <c r="S324" s="17">
        <f>VLOOKUP($B324,   MBI_LastBuy!$A$3:E$13199,3,FALSE)</f>
        <v>1300</v>
      </c>
      <c r="T324" s="13">
        <f>VLOOKUP($B324,   MBI_LastBuy!$A$3:E$13199,2,FALSE)</f>
        <v>0.7</v>
      </c>
      <c r="U324" s="13" t="str">
        <f>VLOOKUP($B324,   MBI_LastBuy!$A$3:E$13199,5,FALSE)</f>
        <v>USD</v>
      </c>
      <c r="V324" s="15">
        <f>VLOOKUP($B324,   MBI_LastBuy!$A$3:E$13199,4,FALSE)</f>
        <v>43880</v>
      </c>
    </row>
    <row r="325" spans="1:22" x14ac:dyDescent="0.25">
      <c r="A325" s="11" t="s">
        <v>3556</v>
      </c>
      <c r="B325" s="11">
        <v>686100</v>
      </c>
      <c r="C325" s="11" t="str">
        <f>VLOOKUP(B325,Towary_i_uslugi!$A$4:$B$1500,2)</f>
        <v>(brak)</v>
      </c>
      <c r="D325" s="11" t="s">
        <v>3664</v>
      </c>
      <c r="E325" s="11">
        <f>VLOOKUP(B325,Towary_i_uslugi!$A$3:$T$1500,3,FALSE)</f>
        <v>40</v>
      </c>
      <c r="F325" s="11" t="str">
        <f>VLOOKUP(B325,Towary_i_uslugi!$A$3:$T$1500,20,FALSE)</f>
        <v>white box+sticker</v>
      </c>
      <c r="G325" s="11">
        <f>VLOOKUP(B325,MBI_Dostawcy_towarów!$A$4:$C$1399,3,FALSE)</f>
        <v>0.1</v>
      </c>
      <c r="H325" s="11">
        <v>12</v>
      </c>
      <c r="I325" s="11">
        <v>0</v>
      </c>
      <c r="J325" s="11">
        <v>20</v>
      </c>
      <c r="K325" s="11">
        <f>_xlfn.IFNA(VLOOKUP(B325,Towary_na_zamówieniach!$A$4:$C$1500,2,FALSE),0)</f>
        <v>320</v>
      </c>
      <c r="L325" s="11">
        <f>_xlfn.IFNA(VLOOKUP(B325,Towary_na_zamówieniach!$A$4:$C$1500,3,FALSE),0)</f>
        <v>312.32</v>
      </c>
      <c r="M325" s="11">
        <f>_xlfn.IFNA(VLOOKUP(B325,MBI_Dostawcy_towarów!$A$4:$C$2000,2,FALSE),"N/A")</f>
        <v>7</v>
      </c>
      <c r="N325" s="11" t="str">
        <f>IF(VLOOKUP(B325,Towary_i_uslugi!$A$3:$T$1500,17,FALSE)=0,"!NO SUPPLIER",VLOOKUP(B325,Towary_i_uslugi!$A$3:$T$1500,17))</f>
        <v xml:space="preserve">LF rozrachunki </v>
      </c>
      <c r="O325" s="11" t="str">
        <f>IF(VLOOKUP(B325,Towary_i_uslugi!$A$4:$U$1200,21,FALSE)&gt;0,VLOOKUP(B325,Towary_i_uslugi!$A$4:$U$1200,21,FALSE),"")</f>
        <v/>
      </c>
      <c r="P325" s="11">
        <f t="shared" si="15"/>
        <v>0</v>
      </c>
      <c r="Q325" s="11">
        <f t="shared" si="16"/>
        <v>0</v>
      </c>
      <c r="R325" s="17">
        <f t="shared" si="17"/>
        <v>0</v>
      </c>
      <c r="S325" s="17">
        <f>VLOOKUP($B325,   MBI_LastBuy!$A$3:E$13199,3,FALSE)</f>
        <v>320</v>
      </c>
      <c r="T325" s="13">
        <f>VLOOKUP($B325,   MBI_LastBuy!$A$3:E$13199,2,FALSE)</f>
        <v>0.97599999999999998</v>
      </c>
      <c r="U325" s="13" t="str">
        <f>VLOOKUP($B325,   MBI_LastBuy!$A$3:E$13199,5,FALSE)</f>
        <v>USD</v>
      </c>
      <c r="V325" s="15">
        <f>VLOOKUP($B325,   MBI_LastBuy!$A$3:E$13199,4,FALSE)</f>
        <v>44070</v>
      </c>
    </row>
    <row r="326" spans="1:22" x14ac:dyDescent="0.25">
      <c r="A326" s="11" t="s">
        <v>3556</v>
      </c>
      <c r="B326" s="11">
        <v>686200</v>
      </c>
      <c r="C326" s="11" t="str">
        <f>VLOOKUP(B326,Towary_i_uslugi!$A$4:$B$1500,2)</f>
        <v>(brak)</v>
      </c>
      <c r="D326" s="11" t="s">
        <v>3665</v>
      </c>
      <c r="E326" s="11">
        <f>VLOOKUP(B326,Towary_i_uslugi!$A$3:$T$1500,3,FALSE)</f>
        <v>40</v>
      </c>
      <c r="F326" s="11" t="str">
        <f>VLOOKUP(B326,Towary_i_uslugi!$A$3:$T$1500,20,FALSE)</f>
        <v>flag on string + PVC protection bag</v>
      </c>
      <c r="G326" s="11">
        <f>VLOOKUP(B326,MBI_Dostawcy_towarów!$A$4:$C$1399,3,FALSE)</f>
        <v>0.375</v>
      </c>
      <c r="H326" s="11">
        <v>26</v>
      </c>
      <c r="I326" s="11">
        <v>11</v>
      </c>
      <c r="J326" s="11">
        <v>20</v>
      </c>
      <c r="K326" s="11">
        <f>_xlfn.IFNA(VLOOKUP(B326,Towary_na_zamówieniach!$A$4:$C$1500,2,FALSE),0)</f>
        <v>320</v>
      </c>
      <c r="L326" s="11">
        <f>_xlfn.IFNA(VLOOKUP(B326,Towary_na_zamówieniach!$A$4:$C$1500,3,FALSE),0)</f>
        <v>280.32</v>
      </c>
      <c r="M326" s="11">
        <f>_xlfn.IFNA(VLOOKUP(B326,MBI_Dostawcy_towarów!$A$4:$C$2000,2,FALSE),"N/A")</f>
        <v>7</v>
      </c>
      <c r="N326" s="11" t="str">
        <f>IF(VLOOKUP(B326,Towary_i_uslugi!$A$3:$T$1500,17,FALSE)=0,"!NO SUPPLIER",VLOOKUP(B326,Towary_i_uslugi!$A$3:$T$1500,17))</f>
        <v xml:space="preserve">LF rozrachunki </v>
      </c>
      <c r="O326" s="11" t="str">
        <f>IF(VLOOKUP(B326,Towary_i_uslugi!$A$4:$U$1200,21,FALSE)&gt;0,VLOOKUP(B326,Towary_i_uslugi!$A$4:$U$1200,21,FALSE),"")</f>
        <v/>
      </c>
      <c r="P326" s="11">
        <f t="shared" si="15"/>
        <v>0</v>
      </c>
      <c r="Q326" s="11">
        <f t="shared" si="16"/>
        <v>0</v>
      </c>
      <c r="R326" s="17">
        <f t="shared" si="17"/>
        <v>0</v>
      </c>
      <c r="S326" s="17">
        <f>VLOOKUP($B326,   MBI_LastBuy!$A$3:E$13199,3,FALSE)</f>
        <v>320</v>
      </c>
      <c r="T326" s="13">
        <f>VLOOKUP($B326,   MBI_LastBuy!$A$3:E$13199,2,FALSE)</f>
        <v>0.876</v>
      </c>
      <c r="U326" s="13" t="str">
        <f>VLOOKUP($B326,   MBI_LastBuy!$A$3:E$13199,5,FALSE)</f>
        <v>USD</v>
      </c>
      <c r="V326" s="15">
        <f>VLOOKUP($B326,   MBI_LastBuy!$A$3:E$13199,4,FALSE)</f>
        <v>44070</v>
      </c>
    </row>
    <row r="327" spans="1:22" x14ac:dyDescent="0.25">
      <c r="A327" s="11" t="s">
        <v>3830</v>
      </c>
      <c r="B327" s="11">
        <v>686300</v>
      </c>
      <c r="C327" s="11" t="str">
        <f>VLOOKUP(B327,Towary_i_uslugi!$A$4:$B$1500,2)</f>
        <v>(brak)</v>
      </c>
      <c r="D327" s="11" t="s">
        <v>2858</v>
      </c>
      <c r="E327" s="11">
        <f>VLOOKUP(B327,Towary_i_uslugi!$A$3:$T$1500,3,FALSE)</f>
        <v>20</v>
      </c>
      <c r="F327" s="11" t="str">
        <f>VLOOKUP(B327,Towary_i_uslugi!$A$3:$T$1500,20,FALSE)</f>
        <v>flag on string + PVC protection bag</v>
      </c>
      <c r="G327" s="11" t="e">
        <f>VLOOKUP(B327,MBI_Dostawcy_towarów!$A$4:$C$1399,3,FALSE)</f>
        <v>#N/A</v>
      </c>
      <c r="H327" s="11">
        <v>1</v>
      </c>
      <c r="I327" s="11">
        <v>0</v>
      </c>
      <c r="J327" s="11">
        <v>160</v>
      </c>
      <c r="K327" s="11">
        <f>_xlfn.IFNA(VLOOKUP(B327,Towary_na_zamówieniach!$A$4:$C$1500,2,FALSE),0)</f>
        <v>0</v>
      </c>
      <c r="L327" s="11">
        <f>_xlfn.IFNA(VLOOKUP(B327,Towary_na_zamówieniach!$A$4:$C$1500,3,FALSE),0)</f>
        <v>0</v>
      </c>
      <c r="M327" s="11" t="str">
        <f>_xlfn.IFNA(VLOOKUP(B327,MBI_Dostawcy_towarów!$A$4:$C$2000,2,FALSE),"N/A")</f>
        <v>N/A</v>
      </c>
      <c r="N327" s="11" t="str">
        <f>IF(VLOOKUP(B327,Towary_i_uslugi!$A$3:$T$1500,17,FALSE)=0,"!NO SUPPLIER",VLOOKUP(B327,Towary_i_uslugi!$A$3:$T$1500,17))</f>
        <v>!NO SUPPLIER</v>
      </c>
      <c r="O327" s="11" t="str">
        <f>IF(VLOOKUP(B327,Towary_i_uslugi!$A$4:$U$1200,21,FALSE)&gt;0,VLOOKUP(B327,Towary_i_uslugi!$A$4:$U$1200,21,FALSE),"")</f>
        <v/>
      </c>
      <c r="P327" s="11">
        <f t="shared" si="15"/>
        <v>8</v>
      </c>
      <c r="Q327" s="11">
        <f t="shared" si="16"/>
        <v>160</v>
      </c>
      <c r="R327" s="17">
        <f t="shared" si="17"/>
        <v>230.24</v>
      </c>
      <c r="S327" s="17">
        <f>VLOOKUP($B327,   MBI_LastBuy!$A$3:E$13199,3,FALSE)</f>
        <v>480</v>
      </c>
      <c r="T327" s="13">
        <f>VLOOKUP($B327,   MBI_LastBuy!$A$3:E$13199,2,FALSE)</f>
        <v>1.4390000000000001</v>
      </c>
      <c r="U327" s="13" t="str">
        <f>VLOOKUP($B327,   MBI_LastBuy!$A$3:E$13199,5,FALSE)</f>
        <v>USD</v>
      </c>
      <c r="V327" s="15">
        <f>VLOOKUP($B327,   MBI_LastBuy!$A$3:E$13199,4,FALSE)</f>
        <v>43063</v>
      </c>
    </row>
    <row r="328" spans="1:22" x14ac:dyDescent="0.25">
      <c r="A328" s="11" t="s">
        <v>3556</v>
      </c>
      <c r="B328" s="11">
        <v>690400</v>
      </c>
      <c r="C328" s="11" t="str">
        <f>VLOOKUP(B328,Towary_i_uslugi!$A$4:$B$1500,2)</f>
        <v>(brak)</v>
      </c>
      <c r="D328" s="11" t="s">
        <v>2631</v>
      </c>
      <c r="E328" s="11">
        <f>VLOOKUP(B328,Towary_i_uslugi!$A$3:$T$1500,3,FALSE)</f>
        <v>60</v>
      </c>
      <c r="F328" s="11" t="str">
        <f>VLOOKUP(B328,Towary_i_uslugi!$A$3:$T$1500,20,FALSE)</f>
        <v>pvc shrink</v>
      </c>
      <c r="G328" s="11">
        <f>VLOOKUP(B328,MBI_Dostawcy_towarów!$A$4:$C$1399,3,FALSE)</f>
        <v>0.105</v>
      </c>
      <c r="H328" s="11">
        <v>1</v>
      </c>
      <c r="I328" s="11">
        <v>0</v>
      </c>
      <c r="J328" s="11">
        <v>150</v>
      </c>
      <c r="K328" s="11">
        <f>_xlfn.IFNA(VLOOKUP(B328,Towary_na_zamówieniach!$A$4:$C$1500,2,FALSE),0)</f>
        <v>180</v>
      </c>
      <c r="L328" s="11">
        <f>_xlfn.IFNA(VLOOKUP(B328,Towary_na_zamówieniach!$A$4:$C$1500,3,FALSE),0)</f>
        <v>135.9</v>
      </c>
      <c r="M328" s="11">
        <f>_xlfn.IFNA(VLOOKUP(B328,MBI_Dostawcy_towarów!$A$4:$C$2000,2,FALSE),"N/A")</f>
        <v>90</v>
      </c>
      <c r="N328" s="11" t="str">
        <f>IF(VLOOKUP(B328,Towary_i_uslugi!$A$3:$T$1500,17,FALSE)=0,"!NO SUPPLIER",VLOOKUP(B328,Towary_i_uslugi!$A$3:$T$1500,17))</f>
        <v xml:space="preserve">LF rozrachunki </v>
      </c>
      <c r="O328" s="11" t="str">
        <f>IF(VLOOKUP(B328,Towary_i_uslugi!$A$4:$U$1200,21,FALSE)&gt;0,VLOOKUP(B328,Towary_i_uslugi!$A$4:$U$1200,21,FALSE),"")</f>
        <v/>
      </c>
      <c r="P328" s="11">
        <f t="shared" si="15"/>
        <v>0</v>
      </c>
      <c r="Q328" s="11">
        <f t="shared" si="16"/>
        <v>0</v>
      </c>
      <c r="R328" s="17">
        <f t="shared" si="17"/>
        <v>0</v>
      </c>
      <c r="S328" s="17">
        <f>VLOOKUP($B328,   MBI_LastBuy!$A$3:E$13199,3,FALSE)</f>
        <v>180</v>
      </c>
      <c r="T328" s="13">
        <f>VLOOKUP($B328,   MBI_LastBuy!$A$3:E$13199,2,FALSE)</f>
        <v>0.755</v>
      </c>
      <c r="U328" s="13" t="str">
        <f>VLOOKUP($B328,   MBI_LastBuy!$A$3:E$13199,5,FALSE)</f>
        <v>USD</v>
      </c>
      <c r="V328" s="15">
        <f>VLOOKUP($B328,   MBI_LastBuy!$A$3:E$13199,4,FALSE)</f>
        <v>44070</v>
      </c>
    </row>
    <row r="329" spans="1:22" x14ac:dyDescent="0.25">
      <c r="A329" s="11" t="s">
        <v>3556</v>
      </c>
      <c r="B329" s="11">
        <v>690600</v>
      </c>
      <c r="C329" s="11" t="str">
        <f>VLOOKUP(B329,Towary_i_uslugi!$A$4:$B$1500,2)</f>
        <v>(brak)</v>
      </c>
      <c r="D329" s="11" t="s">
        <v>2462</v>
      </c>
      <c r="E329" s="11">
        <f>VLOOKUP(B329,Towary_i_uslugi!$A$3:$T$1500,3,FALSE)</f>
        <v>60</v>
      </c>
      <c r="F329" s="11" t="str">
        <f>VLOOKUP(B329,Towary_i_uslugi!$A$3:$T$1500,20,FALSE)</f>
        <v>pvc shrink</v>
      </c>
      <c r="G329" s="11">
        <f>VLOOKUP(B329,MBI_Dostawcy_towarów!$A$4:$C$1399,3,FALSE)</f>
        <v>0.12</v>
      </c>
      <c r="H329" s="11">
        <v>1</v>
      </c>
      <c r="I329" s="11">
        <v>0</v>
      </c>
      <c r="J329" s="11">
        <v>250</v>
      </c>
      <c r="K329" s="11">
        <f>_xlfn.IFNA(VLOOKUP(B329,Towary_na_zamówieniach!$A$4:$C$1500,2,FALSE),0)</f>
        <v>300</v>
      </c>
      <c r="L329" s="11">
        <f>_xlfn.IFNA(VLOOKUP(B329,Towary_na_zamówieniach!$A$4:$C$1500,3,FALSE),0)</f>
        <v>277.8</v>
      </c>
      <c r="M329" s="11">
        <f>_xlfn.IFNA(VLOOKUP(B329,MBI_Dostawcy_towarów!$A$4:$C$2000,2,FALSE),"N/A")</f>
        <v>90</v>
      </c>
      <c r="N329" s="11" t="str">
        <f>IF(VLOOKUP(B329,Towary_i_uslugi!$A$3:$T$1500,17,FALSE)=0,"!NO SUPPLIER",VLOOKUP(B329,Towary_i_uslugi!$A$3:$T$1500,17))</f>
        <v xml:space="preserve">LF rozrachunki </v>
      </c>
      <c r="O329" s="11" t="str">
        <f>IF(VLOOKUP(B329,Towary_i_uslugi!$A$4:$U$1200,21,FALSE)&gt;0,VLOOKUP(B329,Towary_i_uslugi!$A$4:$U$1200,21,FALSE),"")</f>
        <v/>
      </c>
      <c r="P329" s="11">
        <f t="shared" si="15"/>
        <v>0</v>
      </c>
      <c r="Q329" s="11">
        <f t="shared" si="16"/>
        <v>0</v>
      </c>
      <c r="R329" s="17">
        <f t="shared" si="17"/>
        <v>0</v>
      </c>
      <c r="S329" s="17">
        <f>VLOOKUP($B329,   MBI_LastBuy!$A$3:E$13199,3,FALSE)</f>
        <v>300</v>
      </c>
      <c r="T329" s="13">
        <f>VLOOKUP($B329,   MBI_LastBuy!$A$3:E$13199,2,FALSE)</f>
        <v>0.92600000000000005</v>
      </c>
      <c r="U329" s="13" t="str">
        <f>VLOOKUP($B329,   MBI_LastBuy!$A$3:E$13199,5,FALSE)</f>
        <v>USD</v>
      </c>
      <c r="V329" s="15">
        <f>VLOOKUP($B329,   MBI_LastBuy!$A$3:E$13199,4,FALSE)</f>
        <v>44070</v>
      </c>
    </row>
    <row r="330" spans="1:22" x14ac:dyDescent="0.25">
      <c r="A330" s="11" t="s">
        <v>3556</v>
      </c>
      <c r="B330" s="11">
        <v>690800</v>
      </c>
      <c r="C330" s="11" t="str">
        <f>VLOOKUP(B330,Towary_i_uslugi!$A$4:$B$1500,2)</f>
        <v>(brak)</v>
      </c>
      <c r="D330" s="11" t="s">
        <v>2444</v>
      </c>
      <c r="E330" s="11">
        <f>VLOOKUP(B330,Towary_i_uslugi!$A$3:$T$1500,3,FALSE)</f>
        <v>60</v>
      </c>
      <c r="F330" s="11" t="str">
        <f>VLOOKUP(B330,Towary_i_uslugi!$A$3:$T$1500,20,FALSE)</f>
        <v>pvc shrink</v>
      </c>
      <c r="G330" s="11">
        <f>VLOOKUP(B330,MBI_Dostawcy_towarów!$A$4:$C$1399,3,FALSE)</f>
        <v>0.155</v>
      </c>
      <c r="H330" s="11">
        <v>1</v>
      </c>
      <c r="I330" s="11">
        <v>0</v>
      </c>
      <c r="J330" s="11">
        <v>200</v>
      </c>
      <c r="K330" s="11">
        <f>_xlfn.IFNA(VLOOKUP(B330,Towary_na_zamówieniach!$A$4:$C$1500,2,FALSE),0)</f>
        <v>240</v>
      </c>
      <c r="L330" s="11">
        <f>_xlfn.IFNA(VLOOKUP(B330,Towary_na_zamówieniach!$A$4:$C$1500,3,FALSE),0)</f>
        <v>266.16000000000003</v>
      </c>
      <c r="M330" s="11">
        <f>_xlfn.IFNA(VLOOKUP(B330,MBI_Dostawcy_towarów!$A$4:$C$2000,2,FALSE),"N/A")</f>
        <v>90</v>
      </c>
      <c r="N330" s="11" t="str">
        <f>IF(VLOOKUP(B330,Towary_i_uslugi!$A$3:$T$1500,17,FALSE)=0,"!NO SUPPLIER",VLOOKUP(B330,Towary_i_uslugi!$A$3:$T$1500,17))</f>
        <v xml:space="preserve">LF rozrachunki </v>
      </c>
      <c r="O330" s="11" t="str">
        <f>IF(VLOOKUP(B330,Towary_i_uslugi!$A$4:$U$1200,21,FALSE)&gt;0,VLOOKUP(B330,Towary_i_uslugi!$A$4:$U$1200,21,FALSE),"")</f>
        <v/>
      </c>
      <c r="P330" s="11">
        <f t="shared" si="15"/>
        <v>0</v>
      </c>
      <c r="Q330" s="11">
        <f t="shared" si="16"/>
        <v>0</v>
      </c>
      <c r="R330" s="17">
        <f t="shared" si="17"/>
        <v>0</v>
      </c>
      <c r="S330" s="17">
        <f>VLOOKUP($B330,   MBI_LastBuy!$A$3:E$13199,3,FALSE)</f>
        <v>240</v>
      </c>
      <c r="T330" s="13">
        <f>VLOOKUP($B330,   MBI_LastBuy!$A$3:E$13199,2,FALSE)</f>
        <v>1.109</v>
      </c>
      <c r="U330" s="13" t="str">
        <f>VLOOKUP($B330,   MBI_LastBuy!$A$3:E$13199,5,FALSE)</f>
        <v>USD</v>
      </c>
      <c r="V330" s="15">
        <f>VLOOKUP($B330,   MBI_LastBuy!$A$3:E$13199,4,FALSE)</f>
        <v>44070</v>
      </c>
    </row>
    <row r="331" spans="1:22" x14ac:dyDescent="0.25">
      <c r="A331" s="11" t="s">
        <v>3555</v>
      </c>
      <c r="B331" s="11">
        <v>700024</v>
      </c>
      <c r="C331" s="11" t="str">
        <f>VLOOKUP(B331,Towary_i_uslugi!$A$4:$B$1500,2)</f>
        <v>(brak)</v>
      </c>
      <c r="D331" s="11" t="s">
        <v>3666</v>
      </c>
      <c r="E331" s="11">
        <f>VLOOKUP(B331,Towary_i_uslugi!$A$3:$T$1500,3,FALSE)</f>
        <v>120</v>
      </c>
      <c r="F331" s="11" t="str">
        <f>VLOOKUP(B331,Towary_i_uslugi!$A$3:$T$1500,20,FALSE)</f>
        <v>slide blister</v>
      </c>
      <c r="G331" s="11">
        <f>VLOOKUP(B331,MBI_Dostawcy_towarów!$A$4:$C$1399,3,FALSE)</f>
        <v>3.4000000000000002E-2</v>
      </c>
      <c r="H331" s="11">
        <v>3265</v>
      </c>
      <c r="I331" s="11">
        <v>0</v>
      </c>
      <c r="J331" s="11">
        <v>3800</v>
      </c>
      <c r="K331" s="11">
        <f>_xlfn.IFNA(VLOOKUP(B331,Towary_na_zamówieniach!$A$4:$C$1500,2,FALSE),0)</f>
        <v>3840</v>
      </c>
      <c r="L331" s="11">
        <f>_xlfn.IFNA(VLOOKUP(B331,Towary_na_zamówieniach!$A$4:$C$1500,3,FALSE),0)</f>
        <v>979.2</v>
      </c>
      <c r="M331" s="11">
        <f>_xlfn.IFNA(VLOOKUP(B331,MBI_Dostawcy_towarów!$A$4:$C$2000,2,FALSE),"N/A")</f>
        <v>90</v>
      </c>
      <c r="N331" s="11" t="str">
        <f>IF(VLOOKUP(B331,Towary_i_uslugi!$A$3:$T$1500,17,FALSE)=0,"!NO SUPPLIER",VLOOKUP(B331,Towary_i_uslugi!$A$3:$T$1500,17))</f>
        <v xml:space="preserve">HQ - Canada </v>
      </c>
      <c r="O331" s="11" t="str">
        <f>IF(VLOOKUP(B331,Towary_i_uslugi!$A$4:$U$1200,21,FALSE)&gt;0,VLOOKUP(B331,Towary_i_uslugi!$A$4:$U$1200,21,FALSE),"")</f>
        <v/>
      </c>
      <c r="P331" s="11">
        <f t="shared" si="15"/>
        <v>0</v>
      </c>
      <c r="Q331" s="11">
        <f t="shared" si="16"/>
        <v>0</v>
      </c>
      <c r="R331" s="17">
        <f t="shared" si="17"/>
        <v>0</v>
      </c>
      <c r="S331" s="17">
        <f>VLOOKUP($B331,   MBI_LastBuy!$A$3:E$13199,3,FALSE)</f>
        <v>3840</v>
      </c>
      <c r="T331" s="13">
        <f>VLOOKUP($B331,   MBI_LastBuy!$A$3:E$13199,2,FALSE)</f>
        <v>0.255</v>
      </c>
      <c r="U331" s="13" t="str">
        <f>VLOOKUP($B331,   MBI_LastBuy!$A$3:E$13199,5,FALSE)</f>
        <v>USD</v>
      </c>
      <c r="V331" s="15">
        <f>VLOOKUP($B331,   MBI_LastBuy!$A$3:E$13199,4,FALSE)</f>
        <v>44113</v>
      </c>
    </row>
    <row r="332" spans="1:22" x14ac:dyDescent="0.25">
      <c r="A332" s="11" t="s">
        <v>3555</v>
      </c>
      <c r="B332" s="11">
        <v>700100</v>
      </c>
      <c r="C332" s="11" t="str">
        <f>VLOOKUP(B332,Towary_i_uslugi!$A$4:$B$1500,2)</f>
        <v>ręczna premia za sprzedaż - wylatuje z oferty</v>
      </c>
      <c r="D332" s="11" t="s">
        <v>2859</v>
      </c>
      <c r="E332" s="11">
        <f>VLOOKUP(B332,Towary_i_uslugi!$A$3:$T$1500,3,FALSE)</f>
        <v>120</v>
      </c>
      <c r="F332" s="11" t="str">
        <f>VLOOKUP(B332,Towary_i_uslugi!$A$3:$T$1500,20,FALSE)</f>
        <v>double blister</v>
      </c>
      <c r="G332" s="11">
        <f>VLOOKUP(B332,MBI_Dostawcy_towarów!$A$4:$C$1399,3,FALSE)</f>
        <v>0.186</v>
      </c>
      <c r="H332" s="11">
        <v>108</v>
      </c>
      <c r="I332" s="11">
        <v>0</v>
      </c>
      <c r="J332" s="11">
        <v>220</v>
      </c>
      <c r="K332" s="11">
        <f>_xlfn.IFNA(VLOOKUP(B332,Towary_na_zamówieniach!$A$4:$C$1500,2,FALSE),0)</f>
        <v>0</v>
      </c>
      <c r="L332" s="11">
        <f>_xlfn.IFNA(VLOOKUP(B332,Towary_na_zamówieniach!$A$4:$C$1500,3,FALSE),0)</f>
        <v>0</v>
      </c>
      <c r="M332" s="11">
        <f>_xlfn.IFNA(VLOOKUP(B332,MBI_Dostawcy_towarów!$A$4:$C$2000,2,FALSE),"N/A")</f>
        <v>90</v>
      </c>
      <c r="N332" s="11" t="str">
        <f>IF(VLOOKUP(B332,Towary_i_uslugi!$A$3:$T$1500,17,FALSE)=0,"!NO SUPPLIER",VLOOKUP(B332,Towary_i_uslugi!$A$3:$T$1500,17))</f>
        <v xml:space="preserve">HQ - Canada </v>
      </c>
      <c r="O332" s="11" t="str">
        <f>IF(VLOOKUP(B332,Towary_i_uslugi!$A$4:$U$1200,21,FALSE)&gt;0,VLOOKUP(B332,Towary_i_uslugi!$A$4:$U$1200,21,FALSE),"")</f>
        <v/>
      </c>
      <c r="P332" s="11">
        <f t="shared" si="15"/>
        <v>2</v>
      </c>
      <c r="Q332" s="11">
        <f t="shared" si="16"/>
        <v>240</v>
      </c>
      <c r="R332" s="17">
        <f t="shared" si="17"/>
        <v>226.79999999999998</v>
      </c>
      <c r="S332" s="17">
        <f>VLOOKUP($B332,   MBI_LastBuy!$A$3:E$13199,3,FALSE)</f>
        <v>1200</v>
      </c>
      <c r="T332" s="13">
        <f>VLOOKUP($B332,   MBI_LastBuy!$A$3:E$13199,2,FALSE)</f>
        <v>0.94499999999999995</v>
      </c>
      <c r="U332" s="13" t="str">
        <f>VLOOKUP($B332,   MBI_LastBuy!$A$3:E$13199,5,FALSE)</f>
        <v>USD</v>
      </c>
      <c r="V332" s="15">
        <f>VLOOKUP($B332,   MBI_LastBuy!$A$3:E$13199,4,FALSE)</f>
        <v>42600</v>
      </c>
    </row>
    <row r="333" spans="1:22" x14ac:dyDescent="0.25">
      <c r="A333" s="11" t="s">
        <v>3555</v>
      </c>
      <c r="B333" s="11">
        <v>700160</v>
      </c>
      <c r="C333" s="11" t="str">
        <f>VLOOKUP(B333,Towary_i_uslugi!$A$4:$B$1500,2)</f>
        <v>(brak)</v>
      </c>
      <c r="D333" s="11" t="s">
        <v>2523</v>
      </c>
      <c r="E333" s="11">
        <f>VLOOKUP(B333,Towary_i_uslugi!$A$3:$T$1500,3,FALSE)</f>
        <v>60</v>
      </c>
      <c r="F333" s="11" t="str">
        <f>VLOOKUP(B333,Towary_i_uslugi!$A$3:$T$1500,20,FALSE)</f>
        <v>PVC box w/sticker</v>
      </c>
      <c r="G333" s="11">
        <f>VLOOKUP(B333,MBI_Dostawcy_towarów!$A$4:$C$1399,3,FALSE)</f>
        <v>0.18099999999999999</v>
      </c>
      <c r="H333" s="11">
        <v>1</v>
      </c>
      <c r="I333" s="11">
        <v>0</v>
      </c>
      <c r="J333" s="11">
        <v>510</v>
      </c>
      <c r="K333" s="11">
        <f>_xlfn.IFNA(VLOOKUP(B333,Towary_na_zamówieniach!$A$4:$C$1500,2,FALSE),0)</f>
        <v>600</v>
      </c>
      <c r="L333" s="11">
        <f>_xlfn.IFNA(VLOOKUP(B333,Towary_na_zamówieniach!$A$4:$C$1500,3,FALSE),0)</f>
        <v>609.6</v>
      </c>
      <c r="M333" s="11">
        <f>_xlfn.IFNA(VLOOKUP(B333,MBI_Dostawcy_towarów!$A$4:$C$2000,2,FALSE),"N/A")</f>
        <v>90</v>
      </c>
      <c r="N333" s="11" t="str">
        <f>IF(VLOOKUP(B333,Towary_i_uslugi!$A$3:$T$1500,17,FALSE)=0,"!NO SUPPLIER",VLOOKUP(B333,Towary_i_uslugi!$A$3:$T$1500,17))</f>
        <v xml:space="preserve">HQ - Canada </v>
      </c>
      <c r="O333" s="11" t="str">
        <f>IF(VLOOKUP(B333,Towary_i_uslugi!$A$4:$U$1200,21,FALSE)&gt;0,VLOOKUP(B333,Towary_i_uslugi!$A$4:$U$1200,21,FALSE),"")</f>
        <v/>
      </c>
      <c r="P333" s="11">
        <f t="shared" si="15"/>
        <v>0</v>
      </c>
      <c r="Q333" s="11">
        <f t="shared" si="16"/>
        <v>0</v>
      </c>
      <c r="R333" s="17">
        <f t="shared" si="17"/>
        <v>0</v>
      </c>
      <c r="S333" s="17">
        <f>VLOOKUP($B333,   MBI_LastBuy!$A$3:E$13199,3,FALSE)</f>
        <v>600</v>
      </c>
      <c r="T333" s="13">
        <f>VLOOKUP($B333,   MBI_LastBuy!$A$3:E$13199,2,FALSE)</f>
        <v>1.016</v>
      </c>
      <c r="U333" s="13" t="str">
        <f>VLOOKUP($B333,   MBI_LastBuy!$A$3:E$13199,5,FALSE)</f>
        <v>USD</v>
      </c>
      <c r="V333" s="15">
        <f>VLOOKUP($B333,   MBI_LastBuy!$A$3:E$13199,4,FALSE)</f>
        <v>44035</v>
      </c>
    </row>
    <row r="334" spans="1:22" x14ac:dyDescent="0.25">
      <c r="A334" s="11" t="s">
        <v>3556</v>
      </c>
      <c r="B334" s="11">
        <v>700280</v>
      </c>
      <c r="C334" s="11" t="str">
        <f>VLOOKUP(B334,Towary_i_uslugi!$A$4:$B$1500,2)</f>
        <v>(brak)</v>
      </c>
      <c r="D334" s="11" t="s">
        <v>2695</v>
      </c>
      <c r="E334" s="11">
        <f>VLOOKUP(B334,Towary_i_uslugi!$A$3:$T$1500,3,FALSE)</f>
        <v>100</v>
      </c>
      <c r="F334" s="11" t="str">
        <f>VLOOKUP(B334,Towary_i_uslugi!$A$3:$T$1500,20,FALSE)</f>
        <v>slide blister card</v>
      </c>
      <c r="G334" s="11">
        <f>VLOOKUP(B334,MBI_Dostawcy_towarów!$A$4:$C$1399,3,FALSE)</f>
        <v>0.13900000000000001</v>
      </c>
      <c r="H334" s="11">
        <v>1</v>
      </c>
      <c r="I334" s="11">
        <v>0</v>
      </c>
      <c r="J334" s="11">
        <v>500</v>
      </c>
      <c r="K334" s="11">
        <f>_xlfn.IFNA(VLOOKUP(B334,Towary_na_zamówieniach!$A$4:$C$1500,2,FALSE),0)</f>
        <v>1401</v>
      </c>
      <c r="L334" s="11">
        <f>_xlfn.IFNA(VLOOKUP(B334,Towary_na_zamówieniach!$A$4:$C$1500,3,FALSE),0)</f>
        <v>910</v>
      </c>
      <c r="M334" s="11">
        <f>_xlfn.IFNA(VLOOKUP(B334,MBI_Dostawcy_towarów!$A$4:$C$2000,2,FALSE),"N/A")</f>
        <v>90</v>
      </c>
      <c r="N334" s="11" t="str">
        <f>IF(VLOOKUP(B334,Towary_i_uslugi!$A$3:$T$1500,17,FALSE)=0,"!NO SUPPLIER",VLOOKUP(B334,Towary_i_uslugi!$A$3:$T$1500,17))</f>
        <v xml:space="preserve">LF rozrachunki </v>
      </c>
      <c r="O334" s="11" t="str">
        <f>IF(VLOOKUP(B334,Towary_i_uslugi!$A$4:$U$1200,21,FALSE)&gt;0,VLOOKUP(B334,Towary_i_uslugi!$A$4:$U$1200,21,FALSE),"")</f>
        <v/>
      </c>
      <c r="P334" s="11">
        <f t="shared" si="15"/>
        <v>0</v>
      </c>
      <c r="Q334" s="11">
        <f t="shared" si="16"/>
        <v>0</v>
      </c>
      <c r="R334" s="17">
        <f t="shared" si="17"/>
        <v>0</v>
      </c>
      <c r="S334" s="17">
        <f>VLOOKUP($B334,   MBI_LastBuy!$A$3:E$13199,3,FALSE)</f>
        <v>1400</v>
      </c>
      <c r="T334" s="13">
        <f>VLOOKUP($B334,   MBI_LastBuy!$A$3:E$13199,2,FALSE)</f>
        <v>0.65</v>
      </c>
      <c r="U334" s="13" t="str">
        <f>VLOOKUP($B334,   MBI_LastBuy!$A$3:E$13199,5,FALSE)</f>
        <v>USD</v>
      </c>
      <c r="V334" s="15">
        <f>VLOOKUP($B334,   MBI_LastBuy!$A$3:E$13199,4,FALSE)</f>
        <v>43889</v>
      </c>
    </row>
    <row r="335" spans="1:22" x14ac:dyDescent="0.25">
      <c r="A335" s="11" t="s">
        <v>3552</v>
      </c>
      <c r="B335" s="11">
        <v>700282</v>
      </c>
      <c r="C335" s="11" t="str">
        <f>VLOOKUP(B335,Towary_i_uslugi!$A$4:$B$1500,2)</f>
        <v>(brak)</v>
      </c>
      <c r="D335" s="11" t="s">
        <v>2860</v>
      </c>
      <c r="E335" s="11">
        <f>VLOOKUP(B335,Towary_i_uslugi!$A$3:$T$1500,3,FALSE)</f>
        <v>250</v>
      </c>
      <c r="F335" s="11" t="str">
        <f>VLOOKUP(B335,Towary_i_uslugi!$A$3:$T$1500,20,FALSE)</f>
        <v>slide blister card</v>
      </c>
      <c r="G335" s="11">
        <f>VLOOKUP(B335,MBI_Dostawcy_towarów!$A$4:$C$1399,3,FALSE)</f>
        <v>5.0999999999999997E-2</v>
      </c>
      <c r="H335" s="11">
        <v>1</v>
      </c>
      <c r="I335" s="11">
        <v>0</v>
      </c>
      <c r="J335" s="11">
        <v>2000</v>
      </c>
      <c r="K335" s="11">
        <f>_xlfn.IFNA(VLOOKUP(B335,Towary_na_zamówieniach!$A$4:$C$1500,2,FALSE),0)</f>
        <v>4000</v>
      </c>
      <c r="L335" s="11">
        <f>_xlfn.IFNA(VLOOKUP(B335,Towary_na_zamówieniach!$A$4:$C$1500,3,FALSE),0)</f>
        <v>880</v>
      </c>
      <c r="M335" s="11">
        <f>_xlfn.IFNA(VLOOKUP(B335,MBI_Dostawcy_towarów!$A$4:$C$2000,2,FALSE),"N/A")</f>
        <v>90</v>
      </c>
      <c r="N335" s="11" t="str">
        <f>IF(VLOOKUP(B335,Towary_i_uslugi!$A$3:$T$1500,17,FALSE)=0,"!NO SUPPLIER",VLOOKUP(B335,Towary_i_uslugi!$A$3:$T$1500,17))</f>
        <v>XM</v>
      </c>
      <c r="O335" s="11" t="str">
        <f>IF(VLOOKUP(B335,Towary_i_uslugi!$A$4:$U$1200,21,FALSE)&gt;0,VLOOKUP(B335,Towary_i_uslugi!$A$4:$U$1200,21,FALSE),"")</f>
        <v/>
      </c>
      <c r="P335" s="11">
        <f t="shared" si="15"/>
        <v>0</v>
      </c>
      <c r="Q335" s="11">
        <f t="shared" si="16"/>
        <v>0</v>
      </c>
      <c r="R335" s="17">
        <f t="shared" si="17"/>
        <v>0</v>
      </c>
      <c r="S335" s="17">
        <f>VLOOKUP($B335,   MBI_LastBuy!$A$3:E$13199,3,FALSE)</f>
        <v>4000</v>
      </c>
      <c r="T335" s="13">
        <f>VLOOKUP($B335,   MBI_LastBuy!$A$3:E$13199,2,FALSE)</f>
        <v>0.22</v>
      </c>
      <c r="U335" s="13" t="str">
        <f>VLOOKUP($B335,   MBI_LastBuy!$A$3:E$13199,5,FALSE)</f>
        <v>USD</v>
      </c>
      <c r="V335" s="15">
        <f>VLOOKUP($B335,   MBI_LastBuy!$A$3:E$13199,4,FALSE)</f>
        <v>44098</v>
      </c>
    </row>
    <row r="336" spans="1:22" x14ac:dyDescent="0.25">
      <c r="A336" s="11" t="s">
        <v>3552</v>
      </c>
      <c r="B336" s="11">
        <v>700285</v>
      </c>
      <c r="C336" s="11" t="str">
        <f>VLOOKUP(B336,Towary_i_uslugi!$A$4:$B$1500,2)</f>
        <v>nowość!!! więcej info dla klienta</v>
      </c>
      <c r="D336" s="11" t="s">
        <v>2861</v>
      </c>
      <c r="E336" s="11">
        <f>VLOOKUP(B336,Towary_i_uslugi!$A$3:$T$1500,3,FALSE)</f>
        <v>100</v>
      </c>
      <c r="F336" s="11" t="str">
        <f>VLOOKUP(B336,Towary_i_uslugi!$A$3:$T$1500,20,FALSE)</f>
        <v>PVC box + sticker</v>
      </c>
      <c r="G336" s="11">
        <f>VLOOKUP(B336,MBI_Dostawcy_towarów!$A$4:$C$1399,3,FALSE)</f>
        <v>0.32300000000000001</v>
      </c>
      <c r="H336" s="11">
        <v>1</v>
      </c>
      <c r="I336" s="11">
        <v>30</v>
      </c>
      <c r="J336" s="11">
        <v>500</v>
      </c>
      <c r="K336" s="11">
        <f>_xlfn.IFNA(VLOOKUP(B336,Towary_na_zamówieniach!$A$4:$C$1500,2,FALSE),0)</f>
        <v>1000</v>
      </c>
      <c r="L336" s="11">
        <f>_xlfn.IFNA(VLOOKUP(B336,Towary_na_zamówieniach!$A$4:$C$1500,3,FALSE),0)</f>
        <v>1200</v>
      </c>
      <c r="M336" s="11">
        <f>_xlfn.IFNA(VLOOKUP(B336,MBI_Dostawcy_towarów!$A$4:$C$2000,2,FALSE),"N/A")</f>
        <v>90</v>
      </c>
      <c r="N336" s="11" t="str">
        <f>IF(VLOOKUP(B336,Towary_i_uslugi!$A$3:$T$1500,17,FALSE)=0,"!NO SUPPLIER",VLOOKUP(B336,Towary_i_uslugi!$A$3:$T$1500,17))</f>
        <v>XM</v>
      </c>
      <c r="O336" s="11" t="str">
        <f>IF(VLOOKUP(B336,Towary_i_uslugi!$A$4:$U$1200,21,FALSE)&gt;0,VLOOKUP(B336,Towary_i_uslugi!$A$4:$U$1200,21,FALSE),"")</f>
        <v/>
      </c>
      <c r="P336" s="11">
        <f t="shared" si="15"/>
        <v>0</v>
      </c>
      <c r="Q336" s="11">
        <f t="shared" si="16"/>
        <v>0</v>
      </c>
      <c r="R336" s="17">
        <f t="shared" si="17"/>
        <v>0</v>
      </c>
      <c r="S336" s="17">
        <f>VLOOKUP($B336,   MBI_LastBuy!$A$3:E$13199,3,FALSE)</f>
        <v>1000</v>
      </c>
      <c r="T336" s="13">
        <f>VLOOKUP($B336,   MBI_LastBuy!$A$3:E$13199,2,FALSE)</f>
        <v>1.2</v>
      </c>
      <c r="U336" s="13" t="str">
        <f>VLOOKUP($B336,   MBI_LastBuy!$A$3:E$13199,5,FALSE)</f>
        <v>USD</v>
      </c>
      <c r="V336" s="15">
        <f>VLOOKUP($B336,   MBI_LastBuy!$A$3:E$13199,4,FALSE)</f>
        <v>44117</v>
      </c>
    </row>
    <row r="337" spans="1:22" x14ac:dyDescent="0.25">
      <c r="A337" s="11" t="s">
        <v>3556</v>
      </c>
      <c r="B337" s="11">
        <v>700286</v>
      </c>
      <c r="C337" s="11" t="str">
        <f>VLOOKUP(B337,Towary_i_uslugi!$A$4:$B$1500,2)</f>
        <v>(brak)</v>
      </c>
      <c r="D337" s="11" t="s">
        <v>2862</v>
      </c>
      <c r="E337" s="11">
        <f>VLOOKUP(B337,Towary_i_uslugi!$A$3:$T$1500,3,FALSE)</f>
        <v>200</v>
      </c>
      <c r="F337" s="11" t="str">
        <f>VLOOKUP(B337,Towary_i_uslugi!$A$3:$T$1500,20,FALSE)</f>
        <v>slide blister card</v>
      </c>
      <c r="G337" s="11">
        <f>VLOOKUP(B337,MBI_Dostawcy_towarów!$A$4:$C$1399,3,FALSE)</f>
        <v>3.7999999999999999E-2</v>
      </c>
      <c r="H337" s="11">
        <v>1</v>
      </c>
      <c r="I337" s="11">
        <v>0</v>
      </c>
      <c r="J337" s="11">
        <v>200</v>
      </c>
      <c r="K337" s="11">
        <f>_xlfn.IFNA(VLOOKUP(B337,Towary_na_zamówieniach!$A$4:$C$1500,2,FALSE),0)</f>
        <v>2201</v>
      </c>
      <c r="L337" s="11">
        <f>_xlfn.IFNA(VLOOKUP(B337,Towary_na_zamówieniach!$A$4:$C$1500,3,FALSE),0)</f>
        <v>1582</v>
      </c>
      <c r="M337" s="11">
        <f>_xlfn.IFNA(VLOOKUP(B337,MBI_Dostawcy_towarów!$A$4:$C$2000,2,FALSE),"N/A")</f>
        <v>90</v>
      </c>
      <c r="N337" s="11" t="str">
        <f>IF(VLOOKUP(B337,Towary_i_uslugi!$A$3:$T$1500,17,FALSE)=0,"!NO SUPPLIER",VLOOKUP(B337,Towary_i_uslugi!$A$3:$T$1500,17))</f>
        <v xml:space="preserve">LF rozrachunki </v>
      </c>
      <c r="O337" s="11" t="str">
        <f>IF(VLOOKUP(B337,Towary_i_uslugi!$A$4:$U$1200,21,FALSE)&gt;0,VLOOKUP(B337,Towary_i_uslugi!$A$4:$U$1200,21,FALSE),"")</f>
        <v/>
      </c>
      <c r="P337" s="11">
        <f t="shared" si="15"/>
        <v>0</v>
      </c>
      <c r="Q337" s="11">
        <f t="shared" si="16"/>
        <v>0</v>
      </c>
      <c r="R337" s="17">
        <f t="shared" si="17"/>
        <v>0</v>
      </c>
      <c r="S337" s="17">
        <f>VLOOKUP($B337,   MBI_LastBuy!$A$3:E$13199,3,FALSE)</f>
        <v>1200</v>
      </c>
      <c r="T337" s="13">
        <f>VLOOKUP($B337,   MBI_LastBuy!$A$3:E$13199,2,FALSE)</f>
        <v>0.59499999999999997</v>
      </c>
      <c r="U337" s="13" t="str">
        <f>VLOOKUP($B337,   MBI_LastBuy!$A$3:E$13199,5,FALSE)</f>
        <v>USD</v>
      </c>
      <c r="V337" s="15">
        <f>VLOOKUP($B337,   MBI_LastBuy!$A$3:E$13199,4,FALSE)</f>
        <v>44070</v>
      </c>
    </row>
    <row r="338" spans="1:22" x14ac:dyDescent="0.25">
      <c r="A338" s="11" t="s">
        <v>3555</v>
      </c>
      <c r="B338" s="11">
        <v>700296</v>
      </c>
      <c r="C338" s="11" t="str">
        <f>VLOOKUP(B338,Towary_i_uslugi!$A$4:$B$1500,2)</f>
        <v>(brak)</v>
      </c>
      <c r="D338" s="11" t="s">
        <v>2863</v>
      </c>
      <c r="E338" s="11">
        <f>VLOOKUP(B338,Towary_i_uslugi!$A$3:$T$1500,3,FALSE)</f>
        <v>72</v>
      </c>
      <c r="F338" s="11" t="str">
        <f>VLOOKUP(B338,Towary_i_uslugi!$A$3:$T$1500,20,FALSE)</f>
        <v>double blister card</v>
      </c>
      <c r="G338" s="11">
        <f>VLOOKUP(B338,MBI_Dostawcy_towarów!$A$4:$C$1399,3,FALSE)</f>
        <v>0.28000000000000003</v>
      </c>
      <c r="H338" s="11">
        <v>31</v>
      </c>
      <c r="I338" s="11">
        <v>12</v>
      </c>
      <c r="J338" s="11">
        <v>700</v>
      </c>
      <c r="K338" s="11">
        <f>_xlfn.IFNA(VLOOKUP(B338,Towary_na_zamówieniach!$A$4:$C$1500,2,FALSE),0)</f>
        <v>1081</v>
      </c>
      <c r="L338" s="11">
        <f>_xlfn.IFNA(VLOOKUP(B338,Towary_na_zamówieniach!$A$4:$C$1500,3,FALSE),0)</f>
        <v>1782</v>
      </c>
      <c r="M338" s="11">
        <f>_xlfn.IFNA(VLOOKUP(B338,MBI_Dostawcy_towarów!$A$4:$C$2000,2,FALSE),"N/A")</f>
        <v>90</v>
      </c>
      <c r="N338" s="11" t="str">
        <f>IF(VLOOKUP(B338,Towary_i_uslugi!$A$3:$T$1500,17,FALSE)=0,"!NO SUPPLIER",VLOOKUP(B338,Towary_i_uslugi!$A$3:$T$1500,17))</f>
        <v xml:space="preserve">HQ - Canada </v>
      </c>
      <c r="O338" s="11" t="str">
        <f>IF(VLOOKUP(B338,Towary_i_uslugi!$A$4:$U$1200,21,FALSE)&gt;0,VLOOKUP(B338,Towary_i_uslugi!$A$4:$U$1200,21,FALSE),"")</f>
        <v/>
      </c>
      <c r="P338" s="11">
        <f t="shared" si="15"/>
        <v>0</v>
      </c>
      <c r="Q338" s="11">
        <f t="shared" si="16"/>
        <v>0</v>
      </c>
      <c r="R338" s="17">
        <f t="shared" si="17"/>
        <v>0</v>
      </c>
      <c r="S338" s="17">
        <f>VLOOKUP($B338,   MBI_LastBuy!$A$3:E$13199,3,FALSE)</f>
        <v>1080</v>
      </c>
      <c r="T338" s="13">
        <f>VLOOKUP($B338,   MBI_LastBuy!$A$3:E$13199,2,FALSE)</f>
        <v>1.65</v>
      </c>
      <c r="U338" s="13" t="str">
        <f>VLOOKUP($B338,   MBI_LastBuy!$A$3:E$13199,5,FALSE)</f>
        <v>USD</v>
      </c>
      <c r="V338" s="15">
        <f>VLOOKUP($B338,   MBI_LastBuy!$A$3:E$13199,4,FALSE)</f>
        <v>44006</v>
      </c>
    </row>
    <row r="339" spans="1:22" x14ac:dyDescent="0.25">
      <c r="A339" s="11" t="s">
        <v>3552</v>
      </c>
      <c r="B339" s="11">
        <v>700332</v>
      </c>
      <c r="C339" s="11" t="str">
        <f>VLOOKUP(B339,Towary_i_uslugi!$A$4:$B$1500,2)</f>
        <v>(brak)</v>
      </c>
      <c r="D339" s="11" t="s">
        <v>2696</v>
      </c>
      <c r="E339" s="11">
        <f>VLOOKUP(B339,Towary_i_uslugi!$A$3:$T$1500,3,FALSE)</f>
        <v>48</v>
      </c>
      <c r="F339" s="11" t="str">
        <f>VLOOKUP(B339,Towary_i_uslugi!$A$3:$T$1500,20,FALSE)</f>
        <v>shrink + sticker</v>
      </c>
      <c r="G339" s="11">
        <f>VLOOKUP(B339,MBI_Dostawcy_towarów!$A$4:$C$1399,3,FALSE)</f>
        <v>0.31900000000000001</v>
      </c>
      <c r="H339" s="11">
        <v>125</v>
      </c>
      <c r="I339" s="11">
        <v>33</v>
      </c>
      <c r="J339" s="11">
        <v>480</v>
      </c>
      <c r="K339" s="11">
        <f>_xlfn.IFNA(VLOOKUP(B339,Towary_na_zamówieniach!$A$4:$C$1500,2,FALSE),0)</f>
        <v>480</v>
      </c>
      <c r="L339" s="11">
        <f>_xlfn.IFNA(VLOOKUP(B339,Towary_na_zamówieniach!$A$4:$C$1500,3,FALSE),0)</f>
        <v>1392</v>
      </c>
      <c r="M339" s="11">
        <f>_xlfn.IFNA(VLOOKUP(B339,MBI_Dostawcy_towarów!$A$4:$C$2000,2,FALSE),"N/A")</f>
        <v>90</v>
      </c>
      <c r="N339" s="11" t="str">
        <f>IF(VLOOKUP(B339,Towary_i_uslugi!$A$3:$T$1500,17,FALSE)=0,"!NO SUPPLIER",VLOOKUP(B339,Towary_i_uslugi!$A$3:$T$1500,17))</f>
        <v>XM</v>
      </c>
      <c r="O339" s="11" t="str">
        <f>IF(VLOOKUP(B339,Towary_i_uslugi!$A$4:$U$1200,21,FALSE)&gt;0,VLOOKUP(B339,Towary_i_uslugi!$A$4:$U$1200,21,FALSE),"")</f>
        <v/>
      </c>
      <c r="P339" s="11">
        <f t="shared" si="15"/>
        <v>0</v>
      </c>
      <c r="Q339" s="11">
        <f t="shared" si="16"/>
        <v>0</v>
      </c>
      <c r="R339" s="17">
        <f t="shared" si="17"/>
        <v>0</v>
      </c>
      <c r="S339" s="17">
        <f>VLOOKUP($B339,   MBI_LastBuy!$A$3:E$13199,3,FALSE)</f>
        <v>480</v>
      </c>
      <c r="T339" s="13">
        <f>VLOOKUP($B339,   MBI_LastBuy!$A$3:E$13199,2,FALSE)</f>
        <v>2.9</v>
      </c>
      <c r="U339" s="13" t="str">
        <f>VLOOKUP($B339,   MBI_LastBuy!$A$3:E$13199,5,FALSE)</f>
        <v>USD</v>
      </c>
      <c r="V339" s="15">
        <f>VLOOKUP($B339,   MBI_LastBuy!$A$3:E$13199,4,FALSE)</f>
        <v>44097</v>
      </c>
    </row>
    <row r="340" spans="1:22" x14ac:dyDescent="0.25">
      <c r="A340" s="11" t="s">
        <v>3552</v>
      </c>
      <c r="B340" s="11">
        <v>700333</v>
      </c>
      <c r="C340" s="11" t="str">
        <f>VLOOKUP(B340,Towary_i_uslugi!$A$4:$B$1500,2)</f>
        <v>(brak)</v>
      </c>
      <c r="D340" s="11" t="s">
        <v>1595</v>
      </c>
      <c r="E340" s="11">
        <f>VLOOKUP(B340,Towary_i_uslugi!$A$3:$T$1500,3,FALSE)</f>
        <v>100</v>
      </c>
      <c r="F340" s="11" t="str">
        <f>VLOOKUP(B340,Towary_i_uslugi!$A$3:$T$1500,20,FALSE)</f>
        <v>slide blister card</v>
      </c>
      <c r="G340" s="11">
        <f>VLOOKUP(B340,MBI_Dostawcy_towarów!$A$4:$C$1399,3,FALSE)</f>
        <v>0.22600000000000001</v>
      </c>
      <c r="H340" s="11">
        <v>2</v>
      </c>
      <c r="I340" s="11">
        <v>1</v>
      </c>
      <c r="J340" s="11">
        <v>270</v>
      </c>
      <c r="K340" s="11">
        <f>_xlfn.IFNA(VLOOKUP(B340,Towary_na_zamówieniach!$A$4:$C$1500,2,FALSE),0)</f>
        <v>500</v>
      </c>
      <c r="L340" s="11">
        <f>_xlfn.IFNA(VLOOKUP(B340,Towary_na_zamówieniach!$A$4:$C$1500,3,FALSE),0)</f>
        <v>560</v>
      </c>
      <c r="M340" s="11">
        <f>_xlfn.IFNA(VLOOKUP(B340,MBI_Dostawcy_towarów!$A$4:$C$2000,2,FALSE),"N/A")</f>
        <v>90</v>
      </c>
      <c r="N340" s="11" t="str">
        <f>IF(VLOOKUP(B340,Towary_i_uslugi!$A$3:$T$1500,17,FALSE)=0,"!NO SUPPLIER",VLOOKUP(B340,Towary_i_uslugi!$A$3:$T$1500,17))</f>
        <v>XM</v>
      </c>
      <c r="O340" s="11" t="str">
        <f>IF(VLOOKUP(B340,Towary_i_uslugi!$A$4:$U$1200,21,FALSE)&gt;0,VLOOKUP(B340,Towary_i_uslugi!$A$4:$U$1200,21,FALSE),"")</f>
        <v/>
      </c>
      <c r="P340" s="11">
        <f t="shared" si="15"/>
        <v>0</v>
      </c>
      <c r="Q340" s="11">
        <f t="shared" si="16"/>
        <v>0</v>
      </c>
      <c r="R340" s="17">
        <f t="shared" si="17"/>
        <v>0</v>
      </c>
      <c r="S340" s="17">
        <f>VLOOKUP($B340,   MBI_LastBuy!$A$3:E$13199,3,FALSE)</f>
        <v>500</v>
      </c>
      <c r="T340" s="13">
        <f>VLOOKUP($B340,   MBI_LastBuy!$A$3:E$13199,2,FALSE)</f>
        <v>1.1200000000000001</v>
      </c>
      <c r="U340" s="13" t="str">
        <f>VLOOKUP($B340,   MBI_LastBuy!$A$3:E$13199,5,FALSE)</f>
        <v>USD</v>
      </c>
      <c r="V340" s="15">
        <f>VLOOKUP($B340,   MBI_LastBuy!$A$3:E$13199,4,FALSE)</f>
        <v>44117</v>
      </c>
    </row>
    <row r="341" spans="1:22" x14ac:dyDescent="0.25">
      <c r="A341" s="11" t="s">
        <v>3552</v>
      </c>
      <c r="B341" s="11">
        <v>700336</v>
      </c>
      <c r="C341" s="11" t="str">
        <f>VLOOKUP(B341,Towary_i_uslugi!$A$4:$B$1500,2)</f>
        <v>(brak)</v>
      </c>
      <c r="D341" s="11" t="s">
        <v>3667</v>
      </c>
      <c r="E341" s="11">
        <f>VLOOKUP(B341,Towary_i_uslugi!$A$3:$T$1500,3,FALSE)</f>
        <v>72</v>
      </c>
      <c r="F341" s="11" t="str">
        <f>VLOOKUP(B341,Towary_i_uslugi!$A$3:$T$1500,20,FALSE)</f>
        <v>sticker + shrink</v>
      </c>
      <c r="G341" s="11">
        <f>VLOOKUP(B341,MBI_Dostawcy_towarów!$A$4:$C$1399,3,FALSE)</f>
        <v>0.254</v>
      </c>
      <c r="H341" s="11">
        <v>249</v>
      </c>
      <c r="I341" s="11">
        <v>1</v>
      </c>
      <c r="J341" s="11">
        <v>300</v>
      </c>
      <c r="K341" s="11">
        <f>_xlfn.IFNA(VLOOKUP(B341,Towary_na_zamówieniach!$A$4:$C$1500,2,FALSE),0)</f>
        <v>432</v>
      </c>
      <c r="L341" s="11">
        <f>_xlfn.IFNA(VLOOKUP(B341,Towary_na_zamówieniach!$A$4:$C$1500,3,FALSE),0)</f>
        <v>1041.1199999999999</v>
      </c>
      <c r="M341" s="11">
        <f>_xlfn.IFNA(VLOOKUP(B341,MBI_Dostawcy_towarów!$A$4:$C$2000,2,FALSE),"N/A")</f>
        <v>90</v>
      </c>
      <c r="N341" s="11" t="str">
        <f>IF(VLOOKUP(B341,Towary_i_uslugi!$A$3:$T$1500,17,FALSE)=0,"!NO SUPPLIER",VLOOKUP(B341,Towary_i_uslugi!$A$3:$T$1500,17))</f>
        <v>XM</v>
      </c>
      <c r="O341" s="11" t="str">
        <f>IF(VLOOKUP(B341,Towary_i_uslugi!$A$4:$U$1200,21,FALSE)&gt;0,VLOOKUP(B341,Towary_i_uslugi!$A$4:$U$1200,21,FALSE),"")</f>
        <v/>
      </c>
      <c r="P341" s="11">
        <f t="shared" si="15"/>
        <v>0</v>
      </c>
      <c r="Q341" s="11">
        <f t="shared" si="16"/>
        <v>0</v>
      </c>
      <c r="R341" s="17">
        <f t="shared" si="17"/>
        <v>0</v>
      </c>
      <c r="S341" s="17">
        <f>VLOOKUP($B341,   MBI_LastBuy!$A$3:E$13199,3,FALSE)</f>
        <v>432</v>
      </c>
      <c r="T341" s="13">
        <f>VLOOKUP($B341,   MBI_LastBuy!$A$3:E$13199,2,FALSE)</f>
        <v>2.41</v>
      </c>
      <c r="U341" s="13" t="str">
        <f>VLOOKUP($B341,   MBI_LastBuy!$A$3:E$13199,5,FALSE)</f>
        <v>USD</v>
      </c>
      <c r="V341" s="15">
        <f>VLOOKUP($B341,   MBI_LastBuy!$A$3:E$13199,4,FALSE)</f>
        <v>44111</v>
      </c>
    </row>
    <row r="342" spans="1:22" x14ac:dyDescent="0.25">
      <c r="A342" s="11" t="s">
        <v>3552</v>
      </c>
      <c r="B342" s="11">
        <v>700339</v>
      </c>
      <c r="C342" s="11" t="str">
        <f>VLOOKUP(B342,Towary_i_uslugi!$A$4:$B$1500,2)</f>
        <v>(brak)</v>
      </c>
      <c r="D342" s="11" t="s">
        <v>1596</v>
      </c>
      <c r="E342" s="11">
        <f>VLOOKUP(B342,Towary_i_uslugi!$A$3:$T$1500,3,FALSE)</f>
        <v>72</v>
      </c>
      <c r="F342" s="11" t="str">
        <f>VLOOKUP(B342,Towary_i_uslugi!$A$3:$T$1500,20,FALSE)</f>
        <v>sticker + shrink</v>
      </c>
      <c r="G342" s="11">
        <f>VLOOKUP(B342,MBI_Dostawcy_towarów!$A$4:$C$1399,3,FALSE)</f>
        <v>0.27</v>
      </c>
      <c r="H342" s="11">
        <v>107</v>
      </c>
      <c r="I342" s="11">
        <v>1</v>
      </c>
      <c r="J342" s="11">
        <v>200</v>
      </c>
      <c r="K342" s="11">
        <f>_xlfn.IFNA(VLOOKUP(B342,Towary_na_zamówieniach!$A$4:$C$1500,2,FALSE),0)</f>
        <v>216</v>
      </c>
      <c r="L342" s="11">
        <f>_xlfn.IFNA(VLOOKUP(B342,Towary_na_zamówieniach!$A$4:$C$1500,3,FALSE),0)</f>
        <v>609.12</v>
      </c>
      <c r="M342" s="11">
        <f>_xlfn.IFNA(VLOOKUP(B342,MBI_Dostawcy_towarów!$A$4:$C$2000,2,FALSE),"N/A")</f>
        <v>90</v>
      </c>
      <c r="N342" s="11" t="str">
        <f>IF(VLOOKUP(B342,Towary_i_uslugi!$A$3:$T$1500,17,FALSE)=0,"!NO SUPPLIER",VLOOKUP(B342,Towary_i_uslugi!$A$3:$T$1500,17))</f>
        <v>XM</v>
      </c>
      <c r="O342" s="11" t="str">
        <f>IF(VLOOKUP(B342,Towary_i_uslugi!$A$4:$U$1200,21,FALSE)&gt;0,VLOOKUP(B342,Towary_i_uslugi!$A$4:$U$1200,21,FALSE),"")</f>
        <v/>
      </c>
      <c r="P342" s="11">
        <f t="shared" si="15"/>
        <v>0</v>
      </c>
      <c r="Q342" s="11">
        <f t="shared" si="16"/>
        <v>0</v>
      </c>
      <c r="R342" s="17">
        <f t="shared" si="17"/>
        <v>0</v>
      </c>
      <c r="S342" s="17">
        <f>VLOOKUP($B342,   MBI_LastBuy!$A$3:E$13199,3,FALSE)</f>
        <v>216</v>
      </c>
      <c r="T342" s="13">
        <f>VLOOKUP($B342,   MBI_LastBuy!$A$3:E$13199,2,FALSE)</f>
        <v>2.82</v>
      </c>
      <c r="U342" s="13" t="str">
        <f>VLOOKUP($B342,   MBI_LastBuy!$A$3:E$13199,5,FALSE)</f>
        <v>USD</v>
      </c>
      <c r="V342" s="15">
        <f>VLOOKUP($B342,   MBI_LastBuy!$A$3:E$13199,4,FALSE)</f>
        <v>44117</v>
      </c>
    </row>
    <row r="343" spans="1:22" x14ac:dyDescent="0.25">
      <c r="A343" s="11" t="s">
        <v>3553</v>
      </c>
      <c r="B343" s="11">
        <v>701173</v>
      </c>
      <c r="C343" s="11" t="str">
        <f>VLOOKUP(B343,Towary_i_uslugi!$A$4:$B$1500,2)</f>
        <v>(brak)</v>
      </c>
      <c r="D343" s="11" t="s">
        <v>3668</v>
      </c>
      <c r="E343" s="11">
        <f>VLOOKUP(B343,Towary_i_uslugi!$A$3:$T$1500,3,FALSE)</f>
        <v>24</v>
      </c>
      <c r="F343" s="11" t="str">
        <f>VLOOKUP(B343,Towary_i_uslugi!$A$3:$T$1500,20,FALSE)</f>
        <v>double blister</v>
      </c>
      <c r="G343" s="11">
        <f>VLOOKUP(B343,MBI_Dostawcy_towarów!$A$4:$C$1399,3,FALSE)</f>
        <v>0.441</v>
      </c>
      <c r="H343" s="11">
        <v>198</v>
      </c>
      <c r="I343" s="11">
        <v>192</v>
      </c>
      <c r="J343" s="11">
        <v>100</v>
      </c>
      <c r="K343" s="11">
        <f>_xlfn.IFNA(VLOOKUP(B343,Towary_na_zamówieniach!$A$4:$C$1500,2,FALSE),0)</f>
        <v>0</v>
      </c>
      <c r="L343" s="11">
        <f>_xlfn.IFNA(VLOOKUP(B343,Towary_na_zamówieniach!$A$4:$C$1500,3,FALSE),0)</f>
        <v>0</v>
      </c>
      <c r="M343" s="11">
        <f>_xlfn.IFNA(VLOOKUP(B343,MBI_Dostawcy_towarów!$A$4:$C$2000,2,FALSE),"N/A")</f>
        <v>90</v>
      </c>
      <c r="N343" s="11" t="str">
        <f>IF(VLOOKUP(B343,Towary_i_uslugi!$A$3:$T$1500,17,FALSE)=0,"!NO SUPPLIER",VLOOKUP(B343,Towary_i_uslugi!$A$3:$T$1500,17))</f>
        <v>FX -MAPLE Frank Xu</v>
      </c>
      <c r="O343" s="11" t="str">
        <f>IF(VLOOKUP(B343,Towary_i_uslugi!$A$4:$U$1200,21,FALSE)&gt;0,VLOOKUP(B343,Towary_i_uslugi!$A$4:$U$1200,21,FALSE),"")</f>
        <v/>
      </c>
      <c r="P343" s="11">
        <f t="shared" si="15"/>
        <v>5</v>
      </c>
      <c r="Q343" s="11">
        <f t="shared" si="16"/>
        <v>120</v>
      </c>
      <c r="R343" s="17">
        <f t="shared" si="17"/>
        <v>352.8</v>
      </c>
      <c r="S343" s="17">
        <f>VLOOKUP($B343,   MBI_LastBuy!$A$3:E$13199,3,FALSE)</f>
        <v>288</v>
      </c>
      <c r="T343" s="13">
        <f>VLOOKUP($B343,   MBI_LastBuy!$A$3:E$13199,2,FALSE)</f>
        <v>2.94</v>
      </c>
      <c r="U343" s="13" t="str">
        <f>VLOOKUP($B343,   MBI_LastBuy!$A$3:E$13199,5,FALSE)</f>
        <v>USD</v>
      </c>
      <c r="V343" s="15">
        <f>VLOOKUP($B343,   MBI_LastBuy!$A$3:E$13199,4,FALSE)</f>
        <v>43803</v>
      </c>
    </row>
    <row r="344" spans="1:22" x14ac:dyDescent="0.25">
      <c r="A344" s="11" t="s">
        <v>3553</v>
      </c>
      <c r="B344" s="11">
        <v>701210</v>
      </c>
      <c r="C344" s="11" t="str">
        <f>VLOOKUP(B344,Towary_i_uslugi!$A$4:$B$1500,2)</f>
        <v>(brak)</v>
      </c>
      <c r="D344" s="11" t="s">
        <v>2524</v>
      </c>
      <c r="E344" s="11">
        <f>VLOOKUP(B344,Towary_i_uslugi!$A$3:$T$1500,3,FALSE)</f>
        <v>60</v>
      </c>
      <c r="F344" s="11" t="str">
        <f>VLOOKUP(B344,Towary_i_uslugi!$A$3:$T$1500,20,FALSE)</f>
        <v>double blister</v>
      </c>
      <c r="G344" s="11">
        <f>VLOOKUP(B344,MBI_Dostawcy_towarów!$A$4:$C$1399,3,FALSE)</f>
        <v>0.31</v>
      </c>
      <c r="H344" s="11">
        <v>250</v>
      </c>
      <c r="I344" s="11">
        <v>0</v>
      </c>
      <c r="J344" s="11">
        <v>500</v>
      </c>
      <c r="K344" s="11">
        <f>_xlfn.IFNA(VLOOKUP(B344,Towary_na_zamówieniach!$A$4:$C$1500,2,FALSE),0)</f>
        <v>1020</v>
      </c>
      <c r="L344" s="11">
        <f>_xlfn.IFNA(VLOOKUP(B344,Towary_na_zamówieniach!$A$4:$C$1500,3,FALSE),0)</f>
        <v>642.6</v>
      </c>
      <c r="M344" s="11">
        <f>_xlfn.IFNA(VLOOKUP(B344,MBI_Dostawcy_towarów!$A$4:$C$2000,2,FALSE),"N/A")</f>
        <v>90</v>
      </c>
      <c r="N344" s="11" t="str">
        <f>IF(VLOOKUP(B344,Towary_i_uslugi!$A$3:$T$1500,17,FALSE)=0,"!NO SUPPLIER",VLOOKUP(B344,Towary_i_uslugi!$A$3:$T$1500,17))</f>
        <v>FX -MAPLE Frank Xu</v>
      </c>
      <c r="O344" s="11" t="str">
        <f>IF(VLOOKUP(B344,Towary_i_uslugi!$A$4:$U$1200,21,FALSE)&gt;0,VLOOKUP(B344,Towary_i_uslugi!$A$4:$U$1200,21,FALSE),"")</f>
        <v/>
      </c>
      <c r="P344" s="11">
        <f t="shared" si="15"/>
        <v>0</v>
      </c>
      <c r="Q344" s="11">
        <f t="shared" si="16"/>
        <v>0</v>
      </c>
      <c r="R344" s="17">
        <f t="shared" si="17"/>
        <v>0</v>
      </c>
      <c r="S344" s="17">
        <f>VLOOKUP($B344,   MBI_LastBuy!$A$3:E$13199,3,FALSE)</f>
        <v>1020</v>
      </c>
      <c r="T344" s="13">
        <f>VLOOKUP($B344,   MBI_LastBuy!$A$3:E$13199,2,FALSE)</f>
        <v>0.63</v>
      </c>
      <c r="U344" s="13" t="str">
        <f>VLOOKUP($B344,   MBI_LastBuy!$A$3:E$13199,5,FALSE)</f>
        <v>USD</v>
      </c>
      <c r="V344" s="15">
        <f>VLOOKUP($B344,   MBI_LastBuy!$A$3:E$13199,4,FALSE)</f>
        <v>44091</v>
      </c>
    </row>
    <row r="345" spans="1:22" x14ac:dyDescent="0.25">
      <c r="A345" s="11" t="s">
        <v>3553</v>
      </c>
      <c r="B345" s="11">
        <v>712015</v>
      </c>
      <c r="C345" s="11" t="str">
        <f>VLOOKUP(B345,Towary_i_uslugi!$A$4:$B$1500,2)</f>
        <v>(brak)</v>
      </c>
      <c r="D345" s="11" t="s">
        <v>3669</v>
      </c>
      <c r="E345" s="11">
        <f>VLOOKUP(B345,Towary_i_uslugi!$A$3:$T$1500,3,FALSE)</f>
        <v>60</v>
      </c>
      <c r="F345" s="11" t="str">
        <f>VLOOKUP(B345,Towary_i_uslugi!$A$3:$T$1500,20,FALSE)</f>
        <v>BMC</v>
      </c>
      <c r="G345" s="11">
        <f>VLOOKUP(B345,MBI_Dostawcy_towarów!$A$4:$C$1399,3,FALSE)</f>
        <v>0.29199999999999998</v>
      </c>
      <c r="H345" s="11">
        <v>126</v>
      </c>
      <c r="I345" s="11">
        <v>0</v>
      </c>
      <c r="J345" s="11">
        <v>200</v>
      </c>
      <c r="K345" s="11">
        <f>_xlfn.IFNA(VLOOKUP(B345,Towary_na_zamówieniach!$A$4:$C$1500,2,FALSE),0)</f>
        <v>480</v>
      </c>
      <c r="L345" s="11">
        <f>_xlfn.IFNA(VLOOKUP(B345,Towary_na_zamówieniach!$A$4:$C$1500,3,FALSE),0)</f>
        <v>552</v>
      </c>
      <c r="M345" s="11">
        <f>_xlfn.IFNA(VLOOKUP(B345,MBI_Dostawcy_towarów!$A$4:$C$2000,2,FALSE),"N/A")</f>
        <v>90</v>
      </c>
      <c r="N345" s="11" t="str">
        <f>IF(VLOOKUP(B345,Towary_i_uslugi!$A$3:$T$1500,17,FALSE)=0,"!NO SUPPLIER",VLOOKUP(B345,Towary_i_uslugi!$A$3:$T$1500,17))</f>
        <v>FX -MAPLE Frank Xu</v>
      </c>
      <c r="O345" s="11" t="str">
        <f>IF(VLOOKUP(B345,Towary_i_uslugi!$A$4:$U$1200,21,FALSE)&gt;0,VLOOKUP(B345,Towary_i_uslugi!$A$4:$U$1200,21,FALSE),"")</f>
        <v/>
      </c>
      <c r="P345" s="11">
        <f t="shared" si="15"/>
        <v>0</v>
      </c>
      <c r="Q345" s="11">
        <f t="shared" si="16"/>
        <v>0</v>
      </c>
      <c r="R345" s="17">
        <f t="shared" si="17"/>
        <v>0</v>
      </c>
      <c r="S345" s="17">
        <f>VLOOKUP($B345,   MBI_LastBuy!$A$3:E$13199,3,FALSE)</f>
        <v>480</v>
      </c>
      <c r="T345" s="13">
        <f>VLOOKUP($B345,   MBI_LastBuy!$A$3:E$13199,2,FALSE)</f>
        <v>1.1499999999999999</v>
      </c>
      <c r="U345" s="13" t="str">
        <f>VLOOKUP($B345,   MBI_LastBuy!$A$3:E$13199,5,FALSE)</f>
        <v>USD</v>
      </c>
      <c r="V345" s="15">
        <f>VLOOKUP($B345,   MBI_LastBuy!$A$3:E$13199,4,FALSE)</f>
        <v>44131</v>
      </c>
    </row>
    <row r="346" spans="1:22" x14ac:dyDescent="0.25">
      <c r="A346" s="11" t="s">
        <v>3555</v>
      </c>
      <c r="B346" s="11">
        <v>712376</v>
      </c>
      <c r="C346" s="11" t="str">
        <f>VLOOKUP(B346,Towary_i_uslugi!$A$4:$B$1500,2)</f>
        <v>(brak)</v>
      </c>
      <c r="D346" s="11" t="s">
        <v>3670</v>
      </c>
      <c r="E346" s="11">
        <f>VLOOKUP(B346,Towary_i_uslugi!$A$3:$T$1500,3,FALSE)</f>
        <v>24</v>
      </c>
      <c r="F346" s="11" t="str">
        <f>VLOOKUP(B346,Towary_i_uslugi!$A$3:$T$1500,20,FALSE)</f>
        <v>pvc pouch</v>
      </c>
      <c r="G346" s="11">
        <f>VLOOKUP(B346,MBI_Dostawcy_towarów!$A$4:$C$1399,3,FALSE)</f>
        <v>0.94099999999999995</v>
      </c>
      <c r="H346" s="11">
        <v>143</v>
      </c>
      <c r="I346" s="11">
        <v>1</v>
      </c>
      <c r="J346" s="11">
        <v>200</v>
      </c>
      <c r="K346" s="11">
        <f>_xlfn.IFNA(VLOOKUP(B346,Towary_na_zamówieniach!$A$4:$C$1500,2,FALSE),0)</f>
        <v>480</v>
      </c>
      <c r="L346" s="11">
        <f>_xlfn.IFNA(VLOOKUP(B346,Towary_na_zamówieniach!$A$4:$C$1500,3,FALSE),0)</f>
        <v>1670.4</v>
      </c>
      <c r="M346" s="11">
        <f>_xlfn.IFNA(VLOOKUP(B346,MBI_Dostawcy_towarów!$A$4:$C$2000,2,FALSE),"N/A")</f>
        <v>90</v>
      </c>
      <c r="N346" s="11" t="str">
        <f>IF(VLOOKUP(B346,Towary_i_uslugi!$A$3:$T$1500,17,FALSE)=0,"!NO SUPPLIER",VLOOKUP(B346,Towary_i_uslugi!$A$3:$T$1500,17))</f>
        <v xml:space="preserve">HQ - Canada </v>
      </c>
      <c r="O346" s="11" t="str">
        <f>IF(VLOOKUP(B346,Towary_i_uslugi!$A$4:$U$1200,21,FALSE)&gt;0,VLOOKUP(B346,Towary_i_uslugi!$A$4:$U$1200,21,FALSE),"")</f>
        <v/>
      </c>
      <c r="P346" s="11">
        <f t="shared" si="15"/>
        <v>0</v>
      </c>
      <c r="Q346" s="11">
        <f t="shared" si="16"/>
        <v>0</v>
      </c>
      <c r="R346" s="17">
        <f t="shared" si="17"/>
        <v>0</v>
      </c>
      <c r="S346" s="17">
        <f>VLOOKUP($B346,   MBI_LastBuy!$A$3:E$13199,3,FALSE)</f>
        <v>480</v>
      </c>
      <c r="T346" s="13">
        <f>VLOOKUP($B346,   MBI_LastBuy!$A$3:E$13199,2,FALSE)</f>
        <v>3.48</v>
      </c>
      <c r="U346" s="13" t="str">
        <f>VLOOKUP($B346,   MBI_LastBuy!$A$3:E$13199,5,FALSE)</f>
        <v>USD</v>
      </c>
      <c r="V346" s="15">
        <f>VLOOKUP($B346,   MBI_LastBuy!$A$3:E$13199,4,FALSE)</f>
        <v>44113</v>
      </c>
    </row>
    <row r="347" spans="1:22" x14ac:dyDescent="0.25">
      <c r="A347" s="11" t="s">
        <v>3556</v>
      </c>
      <c r="B347" s="11">
        <v>712377</v>
      </c>
      <c r="C347" s="11" t="str">
        <f>VLOOKUP(B347,Towary_i_uslugi!$A$4:$B$1500,2)</f>
        <v>(brak)</v>
      </c>
      <c r="D347" s="11" t="s">
        <v>2697</v>
      </c>
      <c r="E347" s="11">
        <f>VLOOKUP(B347,Towary_i_uslugi!$A$3:$T$1500,3,FALSE)</f>
        <v>24</v>
      </c>
      <c r="F347" s="11" t="str">
        <f>VLOOKUP(B347,Towary_i_uslugi!$A$3:$T$1500,20,FALSE)</f>
        <v>pvc pouch</v>
      </c>
      <c r="G347" s="11">
        <f>VLOOKUP(B347,MBI_Dostawcy_towarów!$A$4:$C$1399,3,FALSE)</f>
        <v>0.6</v>
      </c>
      <c r="H347" s="11">
        <v>122</v>
      </c>
      <c r="I347" s="11">
        <v>2</v>
      </c>
      <c r="J347" s="11">
        <v>240</v>
      </c>
      <c r="K347" s="11">
        <f>_xlfn.IFNA(VLOOKUP(B347,Towary_na_zamówieniach!$A$4:$C$1500,2,FALSE),0)</f>
        <v>720</v>
      </c>
      <c r="L347" s="11">
        <f>_xlfn.IFNA(VLOOKUP(B347,Towary_na_zamówieniach!$A$4:$C$1500,3,FALSE),0)</f>
        <v>1412.64</v>
      </c>
      <c r="M347" s="11">
        <f>_xlfn.IFNA(VLOOKUP(B347,MBI_Dostawcy_towarów!$A$4:$C$2000,2,FALSE),"N/A")</f>
        <v>90</v>
      </c>
      <c r="N347" s="11" t="str">
        <f>IF(VLOOKUP(B347,Towary_i_uslugi!$A$3:$T$1500,17,FALSE)=0,"!NO SUPPLIER",VLOOKUP(B347,Towary_i_uslugi!$A$3:$T$1500,17))</f>
        <v xml:space="preserve">LF rozrachunki </v>
      </c>
      <c r="O347" s="11" t="str">
        <f>IF(VLOOKUP(B347,Towary_i_uslugi!$A$4:$U$1200,21,FALSE)&gt;0,VLOOKUP(B347,Towary_i_uslugi!$A$4:$U$1200,21,FALSE),"")</f>
        <v/>
      </c>
      <c r="P347" s="11">
        <f t="shared" si="15"/>
        <v>0</v>
      </c>
      <c r="Q347" s="11">
        <f t="shared" si="16"/>
        <v>0</v>
      </c>
      <c r="R347" s="17">
        <f t="shared" si="17"/>
        <v>0</v>
      </c>
      <c r="S347" s="17">
        <f>VLOOKUP($B347,   MBI_LastBuy!$A$3:E$13199,3,FALSE)</f>
        <v>720</v>
      </c>
      <c r="T347" s="13">
        <f>VLOOKUP($B347,   MBI_LastBuy!$A$3:E$13199,2,FALSE)</f>
        <v>1.962</v>
      </c>
      <c r="U347" s="13" t="str">
        <f>VLOOKUP($B347,   MBI_LastBuy!$A$3:E$13199,5,FALSE)</f>
        <v>USD</v>
      </c>
      <c r="V347" s="15">
        <f>VLOOKUP($B347,   MBI_LastBuy!$A$3:E$13199,4,FALSE)</f>
        <v>44070</v>
      </c>
    </row>
    <row r="348" spans="1:22" x14ac:dyDescent="0.25">
      <c r="A348" s="11" t="s">
        <v>3556</v>
      </c>
      <c r="B348" s="11">
        <v>712560</v>
      </c>
      <c r="C348" s="11" t="str">
        <f>VLOOKUP(B348,Towary_i_uslugi!$A$4:$B$1500,2)</f>
        <v>(brak)</v>
      </c>
      <c r="D348" s="11" t="s">
        <v>2698</v>
      </c>
      <c r="E348" s="11">
        <f>VLOOKUP(B348,Towary_i_uslugi!$A$3:$T$1500,3,FALSE)</f>
        <v>40</v>
      </c>
      <c r="F348" s="11" t="str">
        <f>VLOOKUP(B348,Towary_i_uslugi!$A$3:$T$1500,20,FALSE)</f>
        <v>double blister</v>
      </c>
      <c r="G348" s="11">
        <f>VLOOKUP(B348,MBI_Dostawcy_towarów!$A$4:$C$1399,3,FALSE)</f>
        <v>0.27900000000000003</v>
      </c>
      <c r="H348" s="11">
        <v>335</v>
      </c>
      <c r="I348" s="11">
        <v>10</v>
      </c>
      <c r="J348" s="11">
        <v>1100</v>
      </c>
      <c r="K348" s="11">
        <f>_xlfn.IFNA(VLOOKUP(B348,Towary_na_zamówieniach!$A$4:$C$1500,2,FALSE),0)</f>
        <v>1160</v>
      </c>
      <c r="L348" s="11">
        <f>_xlfn.IFNA(VLOOKUP(B348,Towary_na_zamówieniach!$A$4:$C$1500,3,FALSE),0)</f>
        <v>1332.84</v>
      </c>
      <c r="M348" s="11">
        <f>_xlfn.IFNA(VLOOKUP(B348,MBI_Dostawcy_towarów!$A$4:$C$2000,2,FALSE),"N/A")</f>
        <v>90</v>
      </c>
      <c r="N348" s="11" t="str">
        <f>IF(VLOOKUP(B348,Towary_i_uslugi!$A$3:$T$1500,17,FALSE)=0,"!NO SUPPLIER",VLOOKUP(B348,Towary_i_uslugi!$A$3:$T$1500,17))</f>
        <v xml:space="preserve">LF rozrachunki </v>
      </c>
      <c r="O348" s="11" t="str">
        <f>IF(VLOOKUP(B348,Towary_i_uslugi!$A$4:$U$1200,21,FALSE)&gt;0,VLOOKUP(B348,Towary_i_uslugi!$A$4:$U$1200,21,FALSE),"")</f>
        <v>MBI*21.9.2020* LF - first delivery</v>
      </c>
      <c r="P348" s="11">
        <f t="shared" si="15"/>
        <v>0</v>
      </c>
      <c r="Q348" s="11">
        <f t="shared" si="16"/>
        <v>0</v>
      </c>
      <c r="R348" s="17">
        <f t="shared" si="17"/>
        <v>0</v>
      </c>
      <c r="S348" s="17">
        <f>VLOOKUP($B348,   MBI_LastBuy!$A$3:E$13199,3,FALSE)</f>
        <v>1160</v>
      </c>
      <c r="T348" s="13">
        <f>VLOOKUP($B348,   MBI_LastBuy!$A$3:E$13199,2,FALSE)</f>
        <v>1.149</v>
      </c>
      <c r="U348" s="13" t="str">
        <f>VLOOKUP($B348,   MBI_LastBuy!$A$3:E$13199,5,FALSE)</f>
        <v>USD</v>
      </c>
      <c r="V348" s="15">
        <f>VLOOKUP($B348,   MBI_LastBuy!$A$3:E$13199,4,FALSE)</f>
        <v>44095</v>
      </c>
    </row>
    <row r="349" spans="1:22" x14ac:dyDescent="0.25">
      <c r="A349" s="11" t="s">
        <v>3830</v>
      </c>
      <c r="B349" s="11">
        <v>712702</v>
      </c>
      <c r="C349" s="11" t="str">
        <f>VLOOKUP(B349,Towary_i_uslugi!$A$4:$B$1500,2)</f>
        <v>(brak)</v>
      </c>
      <c r="D349" s="11" t="s">
        <v>2632</v>
      </c>
      <c r="E349" s="11">
        <f>VLOOKUP(B349,Towary_i_uslugi!$A$3:$T$1500,3,FALSE)</f>
        <v>240</v>
      </c>
      <c r="F349" s="11" t="str">
        <f>VLOOKUP(B349,Towary_i_uslugi!$A$3:$T$1500,20,FALSE)</f>
        <v>plastic hanger</v>
      </c>
      <c r="G349" s="11" t="e">
        <f>VLOOKUP(B349,MBI_Dostawcy_towarów!$A$4:$C$1399,3,FALSE)</f>
        <v>#N/A</v>
      </c>
      <c r="H349" s="11">
        <v>1</v>
      </c>
      <c r="I349" s="11">
        <v>0</v>
      </c>
      <c r="J349" s="11">
        <v>400</v>
      </c>
      <c r="K349" s="11">
        <f>_xlfn.IFNA(VLOOKUP(B349,Towary_na_zamówieniach!$A$4:$C$1500,2,FALSE),0)</f>
        <v>0</v>
      </c>
      <c r="L349" s="11">
        <f>_xlfn.IFNA(VLOOKUP(B349,Towary_na_zamówieniach!$A$4:$C$1500,3,FALSE),0)</f>
        <v>0</v>
      </c>
      <c r="M349" s="11" t="str">
        <f>_xlfn.IFNA(VLOOKUP(B349,MBI_Dostawcy_towarów!$A$4:$C$2000,2,FALSE),"N/A")</f>
        <v>N/A</v>
      </c>
      <c r="N349" s="11" t="str">
        <f>IF(VLOOKUP(B349,Towary_i_uslugi!$A$3:$T$1500,17,FALSE)=0,"!NO SUPPLIER",VLOOKUP(B349,Towary_i_uslugi!$A$3:$T$1500,17))</f>
        <v>!NO SUPPLIER</v>
      </c>
      <c r="O349" s="11" t="str">
        <f>IF(VLOOKUP(B349,Towary_i_uslugi!$A$4:$U$1200,21,FALSE)&gt;0,VLOOKUP(B349,Towary_i_uslugi!$A$4:$U$1200,21,FALSE),"")</f>
        <v/>
      </c>
      <c r="P349" s="11">
        <f t="shared" si="15"/>
        <v>2</v>
      </c>
      <c r="Q349" s="11">
        <f t="shared" si="16"/>
        <v>480</v>
      </c>
      <c r="R349" s="17">
        <f t="shared" si="17"/>
        <v>180</v>
      </c>
      <c r="S349" s="17">
        <f>VLOOKUP($B349,   MBI_LastBuy!$A$3:E$13199,3,FALSE)</f>
        <v>1200</v>
      </c>
      <c r="T349" s="13">
        <f>VLOOKUP($B349,   MBI_LastBuy!$A$3:E$13199,2,FALSE)</f>
        <v>0.375</v>
      </c>
      <c r="U349" s="13" t="str">
        <f>VLOOKUP($B349,   MBI_LastBuy!$A$3:E$13199,5,FALSE)</f>
        <v>USD</v>
      </c>
      <c r="V349" s="15">
        <f>VLOOKUP($B349,   MBI_LastBuy!$A$3:E$13199,4,FALSE)</f>
        <v>43250</v>
      </c>
    </row>
    <row r="350" spans="1:22" x14ac:dyDescent="0.25">
      <c r="A350" s="11" t="s">
        <v>3552</v>
      </c>
      <c r="B350" s="11">
        <v>713235</v>
      </c>
      <c r="C350" s="11" t="str">
        <f>VLOOKUP(B350,Towary_i_uslugi!$A$4:$B$1500,2)</f>
        <v>(brak)</v>
      </c>
      <c r="D350" s="11" t="s">
        <v>1624</v>
      </c>
      <c r="E350" s="11">
        <f>VLOOKUP(B350,Towary_i_uslugi!$A$3:$T$1500,3,FALSE)</f>
        <v>360</v>
      </c>
      <c r="F350" s="11" t="str">
        <f>VLOOKUP(B350,Towary_i_uslugi!$A$3:$T$1500,20,FALSE)</f>
        <v>flag sticker - bulk packing</v>
      </c>
      <c r="G350" s="11">
        <f>VLOOKUP(B350,MBI_Dostawcy_towarów!$A$4:$C$1399,3,FALSE)</f>
        <v>0.04</v>
      </c>
      <c r="H350" s="11">
        <v>1</v>
      </c>
      <c r="I350" s="11">
        <v>0</v>
      </c>
      <c r="J350" s="11">
        <v>2500</v>
      </c>
      <c r="K350" s="11">
        <f>_xlfn.IFNA(VLOOKUP(B350,Towary_na_zamówieniach!$A$4:$C$1500,2,FALSE),0)</f>
        <v>3240</v>
      </c>
      <c r="L350" s="11">
        <f>_xlfn.IFNA(VLOOKUP(B350,Towary_na_zamówieniach!$A$4:$C$1500,3,FALSE),0)</f>
        <v>673.92</v>
      </c>
      <c r="M350" s="11">
        <f>_xlfn.IFNA(VLOOKUP(B350,MBI_Dostawcy_towarów!$A$4:$C$2000,2,FALSE),"N/A")</f>
        <v>90</v>
      </c>
      <c r="N350" s="11" t="str">
        <f>IF(VLOOKUP(B350,Towary_i_uslugi!$A$3:$T$1500,17,FALSE)=0,"!NO SUPPLIER",VLOOKUP(B350,Towary_i_uslugi!$A$3:$T$1500,17))</f>
        <v>XM</v>
      </c>
      <c r="O350" s="11" t="str">
        <f>IF(VLOOKUP(B350,Towary_i_uslugi!$A$4:$U$1200,21,FALSE)&gt;0,VLOOKUP(B350,Towary_i_uslugi!$A$4:$U$1200,21,FALSE),"")</f>
        <v/>
      </c>
      <c r="P350" s="11">
        <f t="shared" si="15"/>
        <v>0</v>
      </c>
      <c r="Q350" s="11">
        <f t="shared" si="16"/>
        <v>0</v>
      </c>
      <c r="R350" s="17">
        <f t="shared" si="17"/>
        <v>0</v>
      </c>
      <c r="S350" s="17">
        <f>VLOOKUP($B350,   MBI_LastBuy!$A$3:E$13199,3,FALSE)</f>
        <v>3240</v>
      </c>
      <c r="T350" s="13">
        <f>VLOOKUP($B350,   MBI_LastBuy!$A$3:E$13199,2,FALSE)</f>
        <v>0.20799999999999999</v>
      </c>
      <c r="U350" s="13" t="str">
        <f>VLOOKUP($B350,   MBI_LastBuy!$A$3:E$13199,5,FALSE)</f>
        <v>USD</v>
      </c>
      <c r="V350" s="15">
        <f>VLOOKUP($B350,   MBI_LastBuy!$A$3:E$13199,4,FALSE)</f>
        <v>44068</v>
      </c>
    </row>
    <row r="351" spans="1:22" x14ac:dyDescent="0.25">
      <c r="A351" s="11" t="s">
        <v>3552</v>
      </c>
      <c r="B351" s="11">
        <v>713241</v>
      </c>
      <c r="C351" s="11" t="str">
        <f>VLOOKUP(B351,Towary_i_uslugi!$A$4:$B$1500,2)</f>
        <v>(brak)</v>
      </c>
      <c r="D351" s="11" t="s">
        <v>3671</v>
      </c>
      <c r="E351" s="11">
        <f>VLOOKUP(B351,Towary_i_uslugi!$A$3:$T$1500,3,FALSE)</f>
        <v>360</v>
      </c>
      <c r="F351" s="11" t="str">
        <f>VLOOKUP(B351,Towary_i_uslugi!$A$3:$T$1500,20,FALSE)</f>
        <v>flag sticker - bulk packing</v>
      </c>
      <c r="G351" s="11">
        <f>VLOOKUP(B351,MBI_Dostawcy_towarów!$A$4:$C$1399,3,FALSE)</f>
        <v>3.1E-2</v>
      </c>
      <c r="H351" s="11">
        <v>2</v>
      </c>
      <c r="I351" s="11">
        <v>0</v>
      </c>
      <c r="J351" s="11">
        <v>400</v>
      </c>
      <c r="K351" s="11">
        <f>_xlfn.IFNA(VLOOKUP(B351,Towary_na_zamówieniach!$A$4:$C$1500,2,FALSE),0)</f>
        <v>1080</v>
      </c>
      <c r="L351" s="11">
        <f>_xlfn.IFNA(VLOOKUP(B351,Towary_na_zamówieniach!$A$4:$C$1500,3,FALSE),0)</f>
        <v>162</v>
      </c>
      <c r="M351" s="11">
        <f>_xlfn.IFNA(VLOOKUP(B351,MBI_Dostawcy_towarów!$A$4:$C$2000,2,FALSE),"N/A")</f>
        <v>84</v>
      </c>
      <c r="N351" s="11" t="str">
        <f>IF(VLOOKUP(B351,Towary_i_uslugi!$A$3:$T$1500,17,FALSE)=0,"!NO SUPPLIER",VLOOKUP(B351,Towary_i_uslugi!$A$3:$T$1500,17))</f>
        <v>XM</v>
      </c>
      <c r="O351" s="11" t="str">
        <f>IF(VLOOKUP(B351,Towary_i_uslugi!$A$4:$U$1200,21,FALSE)&gt;0,VLOOKUP(B351,Towary_i_uslugi!$A$4:$U$1200,21,FALSE),"")</f>
        <v/>
      </c>
      <c r="P351" s="11">
        <f t="shared" si="15"/>
        <v>0</v>
      </c>
      <c r="Q351" s="11">
        <f t="shared" si="16"/>
        <v>0</v>
      </c>
      <c r="R351" s="17">
        <f t="shared" si="17"/>
        <v>0</v>
      </c>
      <c r="S351" s="17">
        <f>VLOOKUP($B351,   MBI_LastBuy!$A$3:E$13199,3,FALSE)</f>
        <v>1080</v>
      </c>
      <c r="T351" s="13">
        <f>VLOOKUP($B351,   MBI_LastBuy!$A$3:E$13199,2,FALSE)</f>
        <v>0.15</v>
      </c>
      <c r="U351" s="13" t="str">
        <f>VLOOKUP($B351,   MBI_LastBuy!$A$3:E$13199,5,FALSE)</f>
        <v>USD</v>
      </c>
      <c r="V351" s="15">
        <f>VLOOKUP($B351,   MBI_LastBuy!$A$3:E$13199,4,FALSE)</f>
        <v>44097</v>
      </c>
    </row>
    <row r="352" spans="1:22" x14ac:dyDescent="0.25">
      <c r="A352" s="11" t="s">
        <v>3556</v>
      </c>
      <c r="B352" s="11">
        <v>713650</v>
      </c>
      <c r="C352" s="11" t="str">
        <f>VLOOKUP(B352,Towary_i_uslugi!$A$4:$B$1500,2)</f>
        <v>(brak)</v>
      </c>
      <c r="D352" s="11" t="s">
        <v>2864</v>
      </c>
      <c r="E352" s="11">
        <f>VLOOKUP(B352,Towary_i_uslugi!$A$3:$T$1500,3,FALSE)</f>
        <v>40</v>
      </c>
      <c r="F352" s="11" t="str">
        <f>VLOOKUP(B352,Towary_i_uslugi!$A$3:$T$1500,20,FALSE)</f>
        <v>photo color box w/window</v>
      </c>
      <c r="G352" s="11">
        <f>VLOOKUP(B352,MBI_Dostawcy_towarów!$A$4:$C$1399,3,FALSE)</f>
        <v>0.376</v>
      </c>
      <c r="H352" s="11">
        <v>3</v>
      </c>
      <c r="I352" s="11">
        <v>1</v>
      </c>
      <c r="J352" s="11">
        <v>1000</v>
      </c>
      <c r="K352" s="11">
        <f>_xlfn.IFNA(VLOOKUP(B352,Towary_na_zamówieniach!$A$4:$C$1500,2,FALSE),0)</f>
        <v>2200</v>
      </c>
      <c r="L352" s="11">
        <f>_xlfn.IFNA(VLOOKUP(B352,Towary_na_zamówieniach!$A$4:$C$1500,3,FALSE),0)</f>
        <v>3129.6</v>
      </c>
      <c r="M352" s="11">
        <f>_xlfn.IFNA(VLOOKUP(B352,MBI_Dostawcy_towarów!$A$4:$C$2000,2,FALSE),"N/A")</f>
        <v>90</v>
      </c>
      <c r="N352" s="11" t="str">
        <f>IF(VLOOKUP(B352,Towary_i_uslugi!$A$3:$T$1500,17,FALSE)=0,"!NO SUPPLIER",VLOOKUP(B352,Towary_i_uslugi!$A$3:$T$1500,17))</f>
        <v xml:space="preserve">LF rozrachunki </v>
      </c>
      <c r="O352" s="11" t="str">
        <f>IF(VLOOKUP(B352,Towary_i_uslugi!$A$4:$U$1200,21,FALSE)&gt;0,VLOOKUP(B352,Towary_i_uslugi!$A$4:$U$1200,21,FALSE),"")</f>
        <v/>
      </c>
      <c r="P352" s="11">
        <f t="shared" si="15"/>
        <v>0</v>
      </c>
      <c r="Q352" s="11">
        <f t="shared" si="16"/>
        <v>0</v>
      </c>
      <c r="R352" s="17">
        <f t="shared" si="17"/>
        <v>0</v>
      </c>
      <c r="S352" s="17">
        <f>VLOOKUP($B352,   MBI_LastBuy!$A$3:E$13199,3,FALSE)</f>
        <v>1200</v>
      </c>
      <c r="T352" s="13">
        <f>VLOOKUP($B352,   MBI_LastBuy!$A$3:E$13199,2,FALSE)</f>
        <v>1.3080000000000001</v>
      </c>
      <c r="U352" s="13" t="str">
        <f>VLOOKUP($B352,   MBI_LastBuy!$A$3:E$13199,5,FALSE)</f>
        <v>USD</v>
      </c>
      <c r="V352" s="15">
        <f>VLOOKUP($B352,   MBI_LastBuy!$A$3:E$13199,4,FALSE)</f>
        <v>44140</v>
      </c>
    </row>
    <row r="353" spans="1:22" x14ac:dyDescent="0.25">
      <c r="A353" s="11" t="s">
        <v>3552</v>
      </c>
      <c r="B353" s="11">
        <v>713670</v>
      </c>
      <c r="C353" s="11" t="str">
        <f>VLOOKUP(B353,Towary_i_uslugi!$A$4:$B$1500,2)</f>
        <v>(brak)</v>
      </c>
      <c r="D353" s="11" t="s">
        <v>2865</v>
      </c>
      <c r="E353" s="11">
        <f>VLOOKUP(B353,Towary_i_uslugi!$A$3:$T$1500,3,FALSE)</f>
        <v>240</v>
      </c>
      <c r="F353" s="11" t="str">
        <f>VLOOKUP(B353,Towary_i_uslugi!$A$3:$T$1500,20,FALSE)</f>
        <v>plastic hanger w/2 stickers</v>
      </c>
      <c r="G353" s="11">
        <f>VLOOKUP(B353,MBI_Dostawcy_towarów!$A$4:$C$1399,3,FALSE)</f>
        <v>6.6000000000000003E-2</v>
      </c>
      <c r="H353" s="11">
        <v>122</v>
      </c>
      <c r="I353" s="11">
        <v>0</v>
      </c>
      <c r="J353" s="11">
        <v>470</v>
      </c>
      <c r="K353" s="11">
        <f>_xlfn.IFNA(VLOOKUP(B353,Towary_na_zamówieniach!$A$4:$C$1500,2,FALSE),0)</f>
        <v>720</v>
      </c>
      <c r="L353" s="11">
        <f>_xlfn.IFNA(VLOOKUP(B353,Towary_na_zamówieniach!$A$4:$C$1500,3,FALSE),0)</f>
        <v>223.2</v>
      </c>
      <c r="M353" s="11">
        <f>_xlfn.IFNA(VLOOKUP(B353,MBI_Dostawcy_towarów!$A$4:$C$2000,2,FALSE),"N/A")</f>
        <v>90</v>
      </c>
      <c r="N353" s="11" t="str">
        <f>IF(VLOOKUP(B353,Towary_i_uslugi!$A$3:$T$1500,17,FALSE)=0,"!NO SUPPLIER",VLOOKUP(B353,Towary_i_uslugi!$A$3:$T$1500,17))</f>
        <v>XM</v>
      </c>
      <c r="O353" s="11" t="str">
        <f>IF(VLOOKUP(B353,Towary_i_uslugi!$A$4:$U$1200,21,FALSE)&gt;0,VLOOKUP(B353,Towary_i_uslugi!$A$4:$U$1200,21,FALSE),"")</f>
        <v/>
      </c>
      <c r="P353" s="11">
        <f t="shared" si="15"/>
        <v>0</v>
      </c>
      <c r="Q353" s="11">
        <f t="shared" si="16"/>
        <v>0</v>
      </c>
      <c r="R353" s="17">
        <f t="shared" si="17"/>
        <v>0</v>
      </c>
      <c r="S353" s="17">
        <f>VLOOKUP($B353,   MBI_LastBuy!$A$3:E$13199,3,FALSE)</f>
        <v>720</v>
      </c>
      <c r="T353" s="13">
        <f>VLOOKUP($B353,   MBI_LastBuy!$A$3:E$13199,2,FALSE)</f>
        <v>0.31</v>
      </c>
      <c r="U353" s="13" t="str">
        <f>VLOOKUP($B353,   MBI_LastBuy!$A$3:E$13199,5,FALSE)</f>
        <v>USD</v>
      </c>
      <c r="V353" s="15">
        <f>VLOOKUP($B353,   MBI_LastBuy!$A$3:E$13199,4,FALSE)</f>
        <v>44097</v>
      </c>
    </row>
    <row r="354" spans="1:22" x14ac:dyDescent="0.25">
      <c r="A354" s="11" t="s">
        <v>3552</v>
      </c>
      <c r="B354" s="11">
        <v>713673</v>
      </c>
      <c r="C354" s="11" t="str">
        <f>VLOOKUP(B354,Towary_i_uslugi!$A$4:$B$1500,2)</f>
        <v>(brak)</v>
      </c>
      <c r="D354" s="11" t="s">
        <v>2866</v>
      </c>
      <c r="E354" s="11">
        <f>VLOOKUP(B354,Towary_i_uslugi!$A$3:$T$1500,3,FALSE)</f>
        <v>240</v>
      </c>
      <c r="F354" s="11" t="str">
        <f>VLOOKUP(B354,Towary_i_uslugi!$A$3:$T$1500,20,FALSE)</f>
        <v>plastic hanger w/2 stickers</v>
      </c>
      <c r="G354" s="11">
        <f>VLOOKUP(B354,MBI_Dostawcy_towarów!$A$4:$C$1399,3,FALSE)</f>
        <v>0.16700000000000001</v>
      </c>
      <c r="H354" s="11">
        <v>154</v>
      </c>
      <c r="I354" s="11">
        <v>0</v>
      </c>
      <c r="J354" s="11">
        <v>200</v>
      </c>
      <c r="K354" s="11">
        <f>_xlfn.IFNA(VLOOKUP(B354,Towary_na_zamówieniach!$A$4:$C$1500,2,FALSE),0)</f>
        <v>960</v>
      </c>
      <c r="L354" s="11">
        <f>_xlfn.IFNA(VLOOKUP(B354,Towary_na_zamówieniach!$A$4:$C$1500,3,FALSE),0)</f>
        <v>436.8</v>
      </c>
      <c r="M354" s="11">
        <f>_xlfn.IFNA(VLOOKUP(B354,MBI_Dostawcy_towarów!$A$4:$C$2000,2,FALSE),"N/A")</f>
        <v>90</v>
      </c>
      <c r="N354" s="11" t="str">
        <f>IF(VLOOKUP(B354,Towary_i_uslugi!$A$3:$T$1500,17,FALSE)=0,"!NO SUPPLIER",VLOOKUP(B354,Towary_i_uslugi!$A$3:$T$1500,17))</f>
        <v>XM</v>
      </c>
      <c r="O354" s="11" t="str">
        <f>IF(VLOOKUP(B354,Towary_i_uslugi!$A$4:$U$1200,21,FALSE)&gt;0,VLOOKUP(B354,Towary_i_uslugi!$A$4:$U$1200,21,FALSE),"")</f>
        <v/>
      </c>
      <c r="P354" s="11">
        <f t="shared" si="15"/>
        <v>0</v>
      </c>
      <c r="Q354" s="11">
        <f t="shared" si="16"/>
        <v>0</v>
      </c>
      <c r="R354" s="17">
        <f t="shared" si="17"/>
        <v>0</v>
      </c>
      <c r="S354" s="17">
        <f>VLOOKUP($B354,   MBI_LastBuy!$A$3:E$13199,3,FALSE)</f>
        <v>960</v>
      </c>
      <c r="T354" s="13">
        <f>VLOOKUP($B354,   MBI_LastBuy!$A$3:E$13199,2,FALSE)</f>
        <v>0.45500000000000002</v>
      </c>
      <c r="U354" s="13" t="str">
        <f>VLOOKUP($B354,   MBI_LastBuy!$A$3:E$13199,5,FALSE)</f>
        <v>USD</v>
      </c>
      <c r="V354" s="15">
        <f>VLOOKUP($B354,   MBI_LastBuy!$A$3:E$13199,4,FALSE)</f>
        <v>44097</v>
      </c>
    </row>
    <row r="355" spans="1:22" x14ac:dyDescent="0.25">
      <c r="A355" s="11" t="s">
        <v>3552</v>
      </c>
      <c r="B355" s="11">
        <v>713677</v>
      </c>
      <c r="C355" s="11" t="str">
        <f>VLOOKUP(B355,Towary_i_uslugi!$A$4:$B$1500,2)</f>
        <v>(brak)</v>
      </c>
      <c r="D355" s="11" t="s">
        <v>2633</v>
      </c>
      <c r="E355" s="11">
        <f>VLOOKUP(B355,Towary_i_uslugi!$A$3:$T$1500,3,FALSE)</f>
        <v>240</v>
      </c>
      <c r="F355" s="11" t="str">
        <f>VLOOKUP(B355,Towary_i_uslugi!$A$3:$T$1500,20,FALSE)</f>
        <v>plastic hanger w/2 stickers</v>
      </c>
      <c r="G355" s="11">
        <f>VLOOKUP(B355,MBI_Dostawcy_towarów!$A$4:$C$1399,3,FALSE)</f>
        <v>9.7000000000000003E-2</v>
      </c>
      <c r="H355" s="11">
        <v>1</v>
      </c>
      <c r="I355" s="11">
        <v>0</v>
      </c>
      <c r="J355" s="11">
        <v>850</v>
      </c>
      <c r="K355" s="11">
        <f>_xlfn.IFNA(VLOOKUP(B355,Towary_na_zamówieniach!$A$4:$C$1500,2,FALSE),0)</f>
        <v>1200</v>
      </c>
      <c r="L355" s="11">
        <f>_xlfn.IFNA(VLOOKUP(B355,Towary_na_zamówieniach!$A$4:$C$1500,3,FALSE),0)</f>
        <v>318</v>
      </c>
      <c r="M355" s="11">
        <f>_xlfn.IFNA(VLOOKUP(B355,MBI_Dostawcy_towarów!$A$4:$C$2000,2,FALSE),"N/A")</f>
        <v>90</v>
      </c>
      <c r="N355" s="11" t="str">
        <f>IF(VLOOKUP(B355,Towary_i_uslugi!$A$3:$T$1500,17,FALSE)=0,"!NO SUPPLIER",VLOOKUP(B355,Towary_i_uslugi!$A$3:$T$1500,17))</f>
        <v>XM</v>
      </c>
      <c r="O355" s="11" t="str">
        <f>IF(VLOOKUP(B355,Towary_i_uslugi!$A$4:$U$1200,21,FALSE)&gt;0,VLOOKUP(B355,Towary_i_uslugi!$A$4:$U$1200,21,FALSE),"")</f>
        <v/>
      </c>
      <c r="P355" s="11">
        <f t="shared" si="15"/>
        <v>0</v>
      </c>
      <c r="Q355" s="11">
        <f t="shared" si="16"/>
        <v>0</v>
      </c>
      <c r="R355" s="17">
        <f t="shared" si="17"/>
        <v>0</v>
      </c>
      <c r="S355" s="17">
        <f>VLOOKUP($B355,   MBI_LastBuy!$A$3:E$13199,3,FALSE)</f>
        <v>1200</v>
      </c>
      <c r="T355" s="13">
        <f>VLOOKUP($B355,   MBI_LastBuy!$A$3:E$13199,2,FALSE)</f>
        <v>0.26500000000000001</v>
      </c>
      <c r="U355" s="13" t="str">
        <f>VLOOKUP($B355,   MBI_LastBuy!$A$3:E$13199,5,FALSE)</f>
        <v>USD</v>
      </c>
      <c r="V355" s="15">
        <f>VLOOKUP($B355,   MBI_LastBuy!$A$3:E$13199,4,FALSE)</f>
        <v>43803</v>
      </c>
    </row>
    <row r="356" spans="1:22" x14ac:dyDescent="0.25">
      <c r="A356" s="11" t="s">
        <v>3555</v>
      </c>
      <c r="B356" s="11">
        <v>714070</v>
      </c>
      <c r="C356" s="11" t="str">
        <f>VLOOKUP(B356,Towary_i_uslugi!$A$4:$B$1500,2)</f>
        <v>(brak)</v>
      </c>
      <c r="D356" s="11" t="s">
        <v>2699</v>
      </c>
      <c r="E356" s="11">
        <f>VLOOKUP(B356,Towary_i_uslugi!$A$3:$T$1500,3,FALSE)</f>
        <v>72</v>
      </c>
      <c r="F356" s="11" t="str">
        <f>VLOOKUP(B356,Towary_i_uslugi!$A$3:$T$1500,20,FALSE)</f>
        <v>slide blister card</v>
      </c>
      <c r="G356" s="11">
        <f>VLOOKUP(B356,MBI_Dostawcy_towarów!$A$4:$C$1399,3,FALSE)</f>
        <v>0.18099999999999999</v>
      </c>
      <c r="H356" s="11">
        <v>81</v>
      </c>
      <c r="I356" s="11">
        <v>0</v>
      </c>
      <c r="J356" s="11">
        <v>800</v>
      </c>
      <c r="K356" s="11">
        <f>_xlfn.IFNA(VLOOKUP(B356,Towary_na_zamówieniach!$A$4:$C$1500,2,FALSE),0)</f>
        <v>2161</v>
      </c>
      <c r="L356" s="11">
        <f>_xlfn.IFNA(VLOOKUP(B356,Towary_na_zamówieniach!$A$4:$C$1500,3,FALSE),0)</f>
        <v>1001.81</v>
      </c>
      <c r="M356" s="11">
        <f>_xlfn.IFNA(VLOOKUP(B356,MBI_Dostawcy_towarów!$A$4:$C$2000,2,FALSE),"N/A")</f>
        <v>90</v>
      </c>
      <c r="N356" s="11" t="str">
        <f>IF(VLOOKUP(B356,Towary_i_uslugi!$A$3:$T$1500,17,FALSE)=0,"!NO SUPPLIER",VLOOKUP(B356,Towary_i_uslugi!$A$3:$T$1500,17))</f>
        <v xml:space="preserve">HQ - Canada </v>
      </c>
      <c r="O356" s="11" t="str">
        <f>IF(VLOOKUP(B356,Towary_i_uslugi!$A$4:$U$1200,21,FALSE)&gt;0,VLOOKUP(B356,Towary_i_uslugi!$A$4:$U$1200,21,FALSE),"")</f>
        <v/>
      </c>
      <c r="P356" s="11">
        <f t="shared" si="15"/>
        <v>0</v>
      </c>
      <c r="Q356" s="11">
        <f t="shared" si="16"/>
        <v>0</v>
      </c>
      <c r="R356" s="17">
        <f t="shared" si="17"/>
        <v>0</v>
      </c>
      <c r="S356" s="17">
        <f>VLOOKUP($B356,   MBI_LastBuy!$A$3:E$13199,3,FALSE)</f>
        <v>1008</v>
      </c>
      <c r="T356" s="13">
        <f>VLOOKUP($B356,   MBI_LastBuy!$A$3:E$13199,2,FALSE)</f>
        <v>0.41899999999999998</v>
      </c>
      <c r="U356" s="13" t="str">
        <f>VLOOKUP($B356,   MBI_LastBuy!$A$3:E$13199,5,FALSE)</f>
        <v>USD</v>
      </c>
      <c r="V356" s="15">
        <f>VLOOKUP($B356,   MBI_LastBuy!$A$3:E$13199,4,FALSE)</f>
        <v>44070</v>
      </c>
    </row>
    <row r="357" spans="1:22" x14ac:dyDescent="0.25">
      <c r="A357" s="11" t="s">
        <v>3555</v>
      </c>
      <c r="B357" s="11">
        <v>714110</v>
      </c>
      <c r="C357" s="11" t="str">
        <f>VLOOKUP(B357,Towary_i_uslugi!$A$4:$B$1500,2)</f>
        <v>(brak)</v>
      </c>
      <c r="D357" s="11" t="s">
        <v>2867</v>
      </c>
      <c r="E357" s="11">
        <f>VLOOKUP(B357,Towary_i_uslugi!$A$3:$T$1500,3,FALSE)</f>
        <v>72</v>
      </c>
      <c r="F357" s="11" t="str">
        <f>VLOOKUP(B357,Towary_i_uslugi!$A$3:$T$1500,20,FALSE)</f>
        <v>skin card</v>
      </c>
      <c r="G357" s="11">
        <f>VLOOKUP(B357,MBI_Dostawcy_towarów!$A$4:$C$1399,3,FALSE)</f>
        <v>0.153</v>
      </c>
      <c r="H357" s="11">
        <v>1</v>
      </c>
      <c r="I357" s="11">
        <v>0</v>
      </c>
      <c r="J357" s="11">
        <v>680</v>
      </c>
      <c r="K357" s="11">
        <f>_xlfn.IFNA(VLOOKUP(B357,Towary_na_zamówieniach!$A$4:$C$1500,2,FALSE),0)</f>
        <v>1729</v>
      </c>
      <c r="L357" s="11">
        <f>_xlfn.IFNA(VLOOKUP(B357,Towary_na_zamówieniach!$A$4:$C$1500,3,FALSE),0)</f>
        <v>999.65</v>
      </c>
      <c r="M357" s="11">
        <f>_xlfn.IFNA(VLOOKUP(B357,MBI_Dostawcy_towarów!$A$4:$C$2000,2,FALSE),"N/A")</f>
        <v>90</v>
      </c>
      <c r="N357" s="11" t="str">
        <f>IF(VLOOKUP(B357,Towary_i_uslugi!$A$3:$T$1500,17,FALSE)=0,"!NO SUPPLIER",VLOOKUP(B357,Towary_i_uslugi!$A$3:$T$1500,17))</f>
        <v xml:space="preserve">HQ - Canada </v>
      </c>
      <c r="O357" s="11" t="str">
        <f>IF(VLOOKUP(B357,Towary_i_uslugi!$A$4:$U$1200,21,FALSE)&gt;0,VLOOKUP(B357,Towary_i_uslugi!$A$4:$U$1200,21,FALSE),"")</f>
        <v/>
      </c>
      <c r="P357" s="11">
        <f t="shared" si="15"/>
        <v>0</v>
      </c>
      <c r="Q357" s="11">
        <f t="shared" si="16"/>
        <v>0</v>
      </c>
      <c r="R357" s="17">
        <f t="shared" si="17"/>
        <v>0</v>
      </c>
      <c r="S357" s="17">
        <f>VLOOKUP($B357,   MBI_LastBuy!$A$3:E$13199,3,FALSE)</f>
        <v>1008</v>
      </c>
      <c r="T357" s="13">
        <f>VLOOKUP($B357,   MBI_LastBuy!$A$3:E$13199,2,FALSE)</f>
        <v>0.51600000000000001</v>
      </c>
      <c r="U357" s="13" t="str">
        <f>VLOOKUP($B357,   MBI_LastBuy!$A$3:E$13199,5,FALSE)</f>
        <v>USD</v>
      </c>
      <c r="V357" s="15">
        <f>VLOOKUP($B357,   MBI_LastBuy!$A$3:E$13199,4,FALSE)</f>
        <v>44070</v>
      </c>
    </row>
    <row r="358" spans="1:22" x14ac:dyDescent="0.25">
      <c r="A358" s="11" t="s">
        <v>3552</v>
      </c>
      <c r="B358" s="11">
        <v>714431</v>
      </c>
      <c r="C358" s="11" t="str">
        <f>VLOOKUP(B358,Towary_i_uslugi!$A$4:$B$1500,2)</f>
        <v>(brak)</v>
      </c>
      <c r="D358" s="11" t="s">
        <v>2463</v>
      </c>
      <c r="E358" s="11">
        <f>VLOOKUP(B358,Towary_i_uslugi!$A$3:$T$1500,3,FALSE)</f>
        <v>120</v>
      </c>
      <c r="F358" s="11" t="str">
        <f>VLOOKUP(B358,Towary_i_uslugi!$A$3:$T$1500,20,FALSE)</f>
        <v>sticker+carton photo box</v>
      </c>
      <c r="G358" s="11">
        <f>VLOOKUP(B358,MBI_Dostawcy_towarów!$A$4:$C$1399,3,FALSE)</f>
        <v>0.19</v>
      </c>
      <c r="H358" s="11">
        <v>42</v>
      </c>
      <c r="I358" s="11">
        <v>1</v>
      </c>
      <c r="J358" s="11">
        <v>1600</v>
      </c>
      <c r="K358" s="11">
        <f>_xlfn.IFNA(VLOOKUP(B358,Towary_na_zamówieniach!$A$4:$C$1500,2,FALSE),0)</f>
        <v>1920</v>
      </c>
      <c r="L358" s="11">
        <f>_xlfn.IFNA(VLOOKUP(B358,Towary_na_zamówieniach!$A$4:$C$1500,3,FALSE),0)</f>
        <v>1363.2</v>
      </c>
      <c r="M358" s="11">
        <f>_xlfn.IFNA(VLOOKUP(B358,MBI_Dostawcy_towarów!$A$4:$C$2000,2,FALSE),"N/A")</f>
        <v>75</v>
      </c>
      <c r="N358" s="11" t="str">
        <f>IF(VLOOKUP(B358,Towary_i_uslugi!$A$3:$T$1500,17,FALSE)=0,"!NO SUPPLIER",VLOOKUP(B358,Towary_i_uslugi!$A$3:$T$1500,17))</f>
        <v>XM</v>
      </c>
      <c r="O358" s="11" t="str">
        <f>IF(VLOOKUP(B358,Towary_i_uslugi!$A$4:$U$1200,21,FALSE)&gt;0,VLOOKUP(B358,Towary_i_uslugi!$A$4:$U$1200,21,FALSE),"")</f>
        <v>MBA*30-06-2020*Please print product code and number of pcs on outerbox</v>
      </c>
      <c r="P358" s="11">
        <f t="shared" si="15"/>
        <v>0</v>
      </c>
      <c r="Q358" s="11">
        <f t="shared" si="16"/>
        <v>0</v>
      </c>
      <c r="R358" s="17">
        <f t="shared" si="17"/>
        <v>0</v>
      </c>
      <c r="S358" s="17">
        <f>VLOOKUP($B358,   MBI_LastBuy!$A$3:E$13199,3,FALSE)</f>
        <v>1920</v>
      </c>
      <c r="T358" s="13">
        <f>VLOOKUP($B358,   MBI_LastBuy!$A$3:E$13199,2,FALSE)</f>
        <v>0.71</v>
      </c>
      <c r="U358" s="13" t="str">
        <f>VLOOKUP($B358,   MBI_LastBuy!$A$3:E$13199,5,FALSE)</f>
        <v>USD</v>
      </c>
      <c r="V358" s="15">
        <f>VLOOKUP($B358,   MBI_LastBuy!$A$3:E$13199,4,FALSE)</f>
        <v>44117</v>
      </c>
    </row>
    <row r="359" spans="1:22" x14ac:dyDescent="0.25">
      <c r="A359" s="11" t="s">
        <v>3552</v>
      </c>
      <c r="B359" s="11">
        <v>714432</v>
      </c>
      <c r="C359" s="11" t="str">
        <f>VLOOKUP(B359,Towary_i_uslugi!$A$4:$B$1500,2)</f>
        <v>(brak)</v>
      </c>
      <c r="D359" s="11" t="s">
        <v>2868</v>
      </c>
      <c r="E359" s="11">
        <f>VLOOKUP(B359,Towary_i_uslugi!$A$3:$T$1500,3,FALSE)</f>
        <v>120</v>
      </c>
      <c r="F359" s="11" t="str">
        <f>VLOOKUP(B359,Towary_i_uslugi!$A$3:$T$1500,20,FALSE)</f>
        <v>shrink foil + 2 stickers</v>
      </c>
      <c r="G359" s="11">
        <f>VLOOKUP(B359,MBI_Dostawcy_towarów!$A$4:$C$1399,3,FALSE)</f>
        <v>0.19</v>
      </c>
      <c r="H359" s="11">
        <v>277</v>
      </c>
      <c r="I359" s="11">
        <v>11</v>
      </c>
      <c r="J359" s="11">
        <v>1000</v>
      </c>
      <c r="K359" s="11">
        <f>_xlfn.IFNA(VLOOKUP(B359,Towary_na_zamówieniach!$A$4:$C$1500,2,FALSE),0)</f>
        <v>1200</v>
      </c>
      <c r="L359" s="11">
        <f>_xlfn.IFNA(VLOOKUP(B359,Towary_na_zamówieniach!$A$4:$C$1500,3,FALSE),0)</f>
        <v>1200</v>
      </c>
      <c r="M359" s="11">
        <f>_xlfn.IFNA(VLOOKUP(B359,MBI_Dostawcy_towarów!$A$4:$C$2000,2,FALSE),"N/A")</f>
        <v>75</v>
      </c>
      <c r="N359" s="11" t="str">
        <f>IF(VLOOKUP(B359,Towary_i_uslugi!$A$3:$T$1500,17,FALSE)=0,"!NO SUPPLIER",VLOOKUP(B359,Towary_i_uslugi!$A$3:$T$1500,17))</f>
        <v>XM</v>
      </c>
      <c r="O359" s="11" t="str">
        <f>IF(VLOOKUP(B359,Towary_i_uslugi!$A$4:$U$1200,21,FALSE)&gt;0,VLOOKUP(B359,Towary_i_uslugi!$A$4:$U$1200,21,FALSE),"")</f>
        <v/>
      </c>
      <c r="P359" s="11">
        <f t="shared" si="15"/>
        <v>0</v>
      </c>
      <c r="Q359" s="11">
        <f t="shared" si="16"/>
        <v>0</v>
      </c>
      <c r="R359" s="17">
        <f t="shared" si="17"/>
        <v>0</v>
      </c>
      <c r="S359" s="17">
        <f>VLOOKUP($B359,   MBI_LastBuy!$A$3:E$13199,3,FALSE)</f>
        <v>1200</v>
      </c>
      <c r="T359" s="13">
        <f>VLOOKUP($B359,   MBI_LastBuy!$A$3:E$13199,2,FALSE)</f>
        <v>1</v>
      </c>
      <c r="U359" s="13" t="str">
        <f>VLOOKUP($B359,   MBI_LastBuy!$A$3:E$13199,5,FALSE)</f>
        <v>USD</v>
      </c>
      <c r="V359" s="15">
        <f>VLOOKUP($B359,   MBI_LastBuy!$A$3:E$13199,4,FALSE)</f>
        <v>44117</v>
      </c>
    </row>
    <row r="360" spans="1:22" x14ac:dyDescent="0.25">
      <c r="A360" s="11" t="s">
        <v>3552</v>
      </c>
      <c r="B360" s="11">
        <v>730340</v>
      </c>
      <c r="C360" s="11" t="str">
        <f>VLOOKUP(B360,Towary_i_uslugi!$A$4:$B$1500,2)</f>
        <v>(brak)</v>
      </c>
      <c r="D360" s="11" t="s">
        <v>2525</v>
      </c>
      <c r="E360" s="11">
        <f>VLOOKUP(B360,Towary_i_uslugi!$A$3:$T$1500,3,FALSE)</f>
        <v>48</v>
      </c>
      <c r="F360" s="11" t="str">
        <f>VLOOKUP(B360,Towary_i_uslugi!$A$3:$T$1500,20,FALSE)</f>
        <v>double blister</v>
      </c>
      <c r="G360" s="11">
        <f>VLOOKUP(B360,MBI_Dostawcy_towarów!$A$4:$C$1399,3,FALSE)</f>
        <v>0.36599999999999999</v>
      </c>
      <c r="H360" s="11">
        <v>16</v>
      </c>
      <c r="I360" s="11">
        <v>14</v>
      </c>
      <c r="J360" s="11">
        <v>600</v>
      </c>
      <c r="K360" s="11">
        <f>_xlfn.IFNA(VLOOKUP(B360,Towary_na_zamówieniach!$A$4:$C$1500,2,FALSE),0)</f>
        <v>1440</v>
      </c>
      <c r="L360" s="11">
        <f>_xlfn.IFNA(VLOOKUP(B360,Towary_na_zamówieniach!$A$4:$C$1500,3,FALSE),0)</f>
        <v>1653.5</v>
      </c>
      <c r="M360" s="11">
        <f>_xlfn.IFNA(VLOOKUP(B360,MBI_Dostawcy_towarów!$A$4:$C$2000,2,FALSE),"N/A")</f>
        <v>90</v>
      </c>
      <c r="N360" s="11" t="str">
        <f>IF(VLOOKUP(B360,Towary_i_uslugi!$A$3:$T$1500,17,FALSE)=0,"!NO SUPPLIER",VLOOKUP(B360,Towary_i_uslugi!$A$3:$T$1500,17))</f>
        <v>XM</v>
      </c>
      <c r="O360" s="11" t="str">
        <f>IF(VLOOKUP(B360,Towary_i_uslugi!$A$4:$U$1200,21,FALSE)&gt;0,VLOOKUP(B360,Towary_i_uslugi!$A$4:$U$1200,21,FALSE),"")</f>
        <v/>
      </c>
      <c r="P360" s="11">
        <f t="shared" si="15"/>
        <v>0</v>
      </c>
      <c r="Q360" s="11">
        <f t="shared" si="16"/>
        <v>0</v>
      </c>
      <c r="R360" s="17">
        <f t="shared" si="17"/>
        <v>0</v>
      </c>
      <c r="S360" s="17">
        <f>VLOOKUP($B360,   MBI_LastBuy!$A$3:E$13199,3,FALSE)</f>
        <v>768</v>
      </c>
      <c r="T360" s="13">
        <f>VLOOKUP($B360,   MBI_LastBuy!$A$3:E$13199,2,FALSE)</f>
        <v>1.18</v>
      </c>
      <c r="U360" s="13" t="str">
        <f>VLOOKUP($B360,   MBI_LastBuy!$A$3:E$13199,5,FALSE)</f>
        <v>USD</v>
      </c>
      <c r="V360" s="15">
        <f>VLOOKUP($B360,   MBI_LastBuy!$A$3:E$13199,4,FALSE)</f>
        <v>44140</v>
      </c>
    </row>
    <row r="361" spans="1:22" x14ac:dyDescent="0.25">
      <c r="A361" s="11" t="s">
        <v>3552</v>
      </c>
      <c r="B361" s="11">
        <v>731060</v>
      </c>
      <c r="C361" s="11" t="str">
        <f>VLOOKUP(B361,Towary_i_uslugi!$A$4:$B$1500,2)</f>
        <v>(brak)</v>
      </c>
      <c r="D361" s="11" t="s">
        <v>2869</v>
      </c>
      <c r="E361" s="11">
        <f>VLOOKUP(B361,Towary_i_uslugi!$A$3:$T$1500,3,FALSE)</f>
        <v>120</v>
      </c>
      <c r="F361" s="11" t="str">
        <f>VLOOKUP(B361,Towary_i_uslugi!$A$3:$T$1500,20,FALSE)</f>
        <v>pvc pouch</v>
      </c>
      <c r="G361" s="11">
        <f>VLOOKUP(B361,MBI_Dostawcy_towarów!$A$4:$C$1399,3,FALSE)</f>
        <v>0.13600000000000001</v>
      </c>
      <c r="H361" s="11">
        <v>1</v>
      </c>
      <c r="I361" s="11">
        <v>0</v>
      </c>
      <c r="J361" s="11">
        <v>600</v>
      </c>
      <c r="K361" s="11">
        <f>_xlfn.IFNA(VLOOKUP(B361,Towary_na_zamówieniach!$A$4:$C$1500,2,FALSE),0)</f>
        <v>1200</v>
      </c>
      <c r="L361" s="11">
        <f>_xlfn.IFNA(VLOOKUP(B361,Towary_na_zamówieniach!$A$4:$C$1500,3,FALSE),0)</f>
        <v>816</v>
      </c>
      <c r="M361" s="11">
        <f>_xlfn.IFNA(VLOOKUP(B361,MBI_Dostawcy_towarów!$A$4:$C$2000,2,FALSE),"N/A")</f>
        <v>90</v>
      </c>
      <c r="N361" s="11" t="str">
        <f>IF(VLOOKUP(B361,Towary_i_uslugi!$A$3:$T$1500,17,FALSE)=0,"!NO SUPPLIER",VLOOKUP(B361,Towary_i_uslugi!$A$3:$T$1500,17))</f>
        <v>XM</v>
      </c>
      <c r="O361" s="11" t="str">
        <f>IF(VLOOKUP(B361,Towary_i_uslugi!$A$4:$U$1200,21,FALSE)&gt;0,VLOOKUP(B361,Towary_i_uslugi!$A$4:$U$1200,21,FALSE),"")</f>
        <v/>
      </c>
      <c r="P361" s="11">
        <f t="shared" si="15"/>
        <v>0</v>
      </c>
      <c r="Q361" s="11">
        <f t="shared" si="16"/>
        <v>0</v>
      </c>
      <c r="R361" s="17">
        <f t="shared" si="17"/>
        <v>0</v>
      </c>
      <c r="S361" s="17">
        <f>VLOOKUP($B361,   MBI_LastBuy!$A$3:E$13199,3,FALSE)</f>
        <v>1200</v>
      </c>
      <c r="T361" s="13">
        <f>VLOOKUP($B361,   MBI_LastBuy!$A$3:E$13199,2,FALSE)</f>
        <v>0.68</v>
      </c>
      <c r="U361" s="13" t="str">
        <f>VLOOKUP($B361,   MBI_LastBuy!$A$3:E$13199,5,FALSE)</f>
        <v>USD</v>
      </c>
      <c r="V361" s="15">
        <f>VLOOKUP($B361,   MBI_LastBuy!$A$3:E$13199,4,FALSE)</f>
        <v>43964</v>
      </c>
    </row>
    <row r="362" spans="1:22" x14ac:dyDescent="0.25">
      <c r="A362" s="11" t="s">
        <v>3555</v>
      </c>
      <c r="B362" s="11">
        <v>732060</v>
      </c>
      <c r="C362" s="11" t="str">
        <f>VLOOKUP(B362,Towary_i_uslugi!$A$4:$B$1500,2)</f>
        <v>(brak)</v>
      </c>
      <c r="D362" s="11" t="s">
        <v>2870</v>
      </c>
      <c r="E362" s="11">
        <f>VLOOKUP(B362,Towary_i_uslugi!$A$3:$T$1500,3,FALSE)</f>
        <v>50</v>
      </c>
      <c r="F362" s="11" t="str">
        <f>VLOOKUP(B362,Towary_i_uslugi!$A$3:$T$1500,20,FALSE)</f>
        <v>carton sleeve</v>
      </c>
      <c r="G362" s="11">
        <f>VLOOKUP(B362,MBI_Dostawcy_towarów!$A$4:$C$1399,3,FALSE)</f>
        <v>0.34100000000000003</v>
      </c>
      <c r="H362" s="11">
        <v>41</v>
      </c>
      <c r="I362" s="11">
        <v>20</v>
      </c>
      <c r="J362" s="11">
        <v>1000</v>
      </c>
      <c r="K362" s="11">
        <f>_xlfn.IFNA(VLOOKUP(B362,Towary_na_zamówieniach!$A$4:$C$1500,2,FALSE),0)</f>
        <v>1001</v>
      </c>
      <c r="L362" s="11">
        <f>_xlfn.IFNA(VLOOKUP(B362,Towary_na_zamówieniach!$A$4:$C$1500,3,FALSE),0)</f>
        <v>255</v>
      </c>
      <c r="M362" s="11">
        <f>_xlfn.IFNA(VLOOKUP(B362,MBI_Dostawcy_towarów!$A$4:$C$2000,2,FALSE),"N/A")</f>
        <v>90</v>
      </c>
      <c r="N362" s="11" t="str">
        <f>IF(VLOOKUP(B362,Towary_i_uslugi!$A$3:$T$1500,17,FALSE)=0,"!NO SUPPLIER",VLOOKUP(B362,Towary_i_uslugi!$A$3:$T$1500,17))</f>
        <v xml:space="preserve">HQ - Canada </v>
      </c>
      <c r="O362" s="11" t="str">
        <f>IF(VLOOKUP(B362,Towary_i_uslugi!$A$4:$U$1200,21,FALSE)&gt;0,VLOOKUP(B362,Towary_i_uslugi!$A$4:$U$1200,21,FALSE),"")</f>
        <v/>
      </c>
      <c r="P362" s="11">
        <f t="shared" si="15"/>
        <v>0</v>
      </c>
      <c r="Q362" s="11">
        <f t="shared" si="16"/>
        <v>0</v>
      </c>
      <c r="R362" s="17">
        <f t="shared" si="17"/>
        <v>0</v>
      </c>
      <c r="S362" s="17">
        <f>VLOOKUP($B362,   MBI_LastBuy!$A$3:E$13199,3,FALSE)</f>
        <v>1000</v>
      </c>
      <c r="T362" s="13">
        <f>VLOOKUP($B362,   MBI_LastBuy!$A$3:E$13199,2,FALSE)</f>
        <v>0.255</v>
      </c>
      <c r="U362" s="13" t="str">
        <f>VLOOKUP($B362,   MBI_LastBuy!$A$3:E$13199,5,FALSE)</f>
        <v>USD</v>
      </c>
      <c r="V362" s="15">
        <f>VLOOKUP($B362,   MBI_LastBuy!$A$3:E$13199,4,FALSE)</f>
        <v>44074</v>
      </c>
    </row>
    <row r="363" spans="1:22" x14ac:dyDescent="0.25">
      <c r="A363" s="11" t="s">
        <v>3555</v>
      </c>
      <c r="B363" s="11">
        <v>732080</v>
      </c>
      <c r="C363" s="11" t="str">
        <f>VLOOKUP(B363,Towary_i_uslugi!$A$4:$B$1500,2)</f>
        <v>(brak)</v>
      </c>
      <c r="D363" s="11" t="s">
        <v>2871</v>
      </c>
      <c r="E363" s="11">
        <f>VLOOKUP(B363,Towary_i_uslugi!$A$3:$T$1500,3,FALSE)</f>
        <v>60</v>
      </c>
      <c r="F363" s="11" t="str">
        <f>VLOOKUP(B363,Towary_i_uslugi!$A$3:$T$1500,20,FALSE)</f>
        <v>carton hanger 3D</v>
      </c>
      <c r="G363" s="11">
        <f>VLOOKUP(B363,MBI_Dostawcy_towarów!$A$4:$C$1399,3,FALSE)</f>
        <v>0.20799999999999999</v>
      </c>
      <c r="H363" s="11">
        <v>582</v>
      </c>
      <c r="I363" s="11">
        <v>1</v>
      </c>
      <c r="J363" s="11">
        <v>950</v>
      </c>
      <c r="K363" s="11">
        <f>_xlfn.IFNA(VLOOKUP(B363,Towary_na_zamówieniach!$A$4:$C$1500,2,FALSE),0)</f>
        <v>961</v>
      </c>
      <c r="L363" s="11">
        <f>_xlfn.IFNA(VLOOKUP(B363,Towary_na_zamówieniach!$A$4:$C$1500,3,FALSE),0)</f>
        <v>216</v>
      </c>
      <c r="M363" s="11">
        <f>_xlfn.IFNA(VLOOKUP(B363,MBI_Dostawcy_towarów!$A$4:$C$2000,2,FALSE),"N/A")</f>
        <v>90</v>
      </c>
      <c r="N363" s="11" t="str">
        <f>IF(VLOOKUP(B363,Towary_i_uslugi!$A$3:$T$1500,17,FALSE)=0,"!NO SUPPLIER",VLOOKUP(B363,Towary_i_uslugi!$A$3:$T$1500,17))</f>
        <v xml:space="preserve">HQ - Canada </v>
      </c>
      <c r="O363" s="11" t="str">
        <f>IF(VLOOKUP(B363,Towary_i_uslugi!$A$4:$U$1200,21,FALSE)&gt;0,VLOOKUP(B363,Towary_i_uslugi!$A$4:$U$1200,21,FALSE),"")</f>
        <v/>
      </c>
      <c r="P363" s="11">
        <f t="shared" si="15"/>
        <v>0</v>
      </c>
      <c r="Q363" s="11">
        <f t="shared" si="16"/>
        <v>0</v>
      </c>
      <c r="R363" s="17">
        <f t="shared" si="17"/>
        <v>0</v>
      </c>
      <c r="S363" s="17">
        <f>VLOOKUP($B363,   MBI_LastBuy!$A$3:E$13199,3,FALSE)</f>
        <v>960</v>
      </c>
      <c r="T363" s="13">
        <f>VLOOKUP($B363,   MBI_LastBuy!$A$3:E$13199,2,FALSE)</f>
        <v>0.22500000000000001</v>
      </c>
      <c r="U363" s="13" t="str">
        <f>VLOOKUP($B363,   MBI_LastBuy!$A$3:E$13199,5,FALSE)</f>
        <v>USD</v>
      </c>
      <c r="V363" s="15">
        <f>VLOOKUP($B363,   MBI_LastBuy!$A$3:E$13199,4,FALSE)</f>
        <v>44074</v>
      </c>
    </row>
    <row r="364" spans="1:22" x14ac:dyDescent="0.25">
      <c r="A364" s="11" t="s">
        <v>3555</v>
      </c>
      <c r="B364" s="11">
        <v>732090</v>
      </c>
      <c r="C364" s="11" t="str">
        <f>VLOOKUP(B364,Towary_i_uslugi!$A$4:$B$1500,2)</f>
        <v>(brak)</v>
      </c>
      <c r="D364" s="11" t="s">
        <v>2634</v>
      </c>
      <c r="E364" s="11">
        <f>VLOOKUP(B364,Towary_i_uslugi!$A$3:$T$1500,3,FALSE)</f>
        <v>40</v>
      </c>
      <c r="F364" s="11" t="str">
        <f>VLOOKUP(B364,Towary_i_uslugi!$A$3:$T$1500,20,FALSE)</f>
        <v>shrink foil + sticker</v>
      </c>
      <c r="G364" s="11">
        <f>VLOOKUP(B364,MBI_Dostawcy_towarów!$A$4:$C$1399,3,FALSE)</f>
        <v>0.22500000000000001</v>
      </c>
      <c r="H364" s="11">
        <v>1</v>
      </c>
      <c r="I364" s="11">
        <v>0</v>
      </c>
      <c r="J364" s="11">
        <v>400</v>
      </c>
      <c r="K364" s="11">
        <f>_xlfn.IFNA(VLOOKUP(B364,Towary_na_zamówieniach!$A$4:$C$1500,2,FALSE),0)</f>
        <v>801</v>
      </c>
      <c r="L364" s="11">
        <f>_xlfn.IFNA(VLOOKUP(B364,Towary_na_zamówieniach!$A$4:$C$1500,3,FALSE),0)</f>
        <v>323.2</v>
      </c>
      <c r="M364" s="11">
        <f>_xlfn.IFNA(VLOOKUP(B364,MBI_Dostawcy_towarów!$A$4:$C$2000,2,FALSE),"N/A")</f>
        <v>90</v>
      </c>
      <c r="N364" s="11" t="str">
        <f>IF(VLOOKUP(B364,Towary_i_uslugi!$A$3:$T$1500,17,FALSE)=0,"!NO SUPPLIER",VLOOKUP(B364,Towary_i_uslugi!$A$3:$T$1500,17))</f>
        <v xml:space="preserve">HQ - Canada </v>
      </c>
      <c r="O364" s="11" t="str">
        <f>IF(VLOOKUP(B364,Towary_i_uslugi!$A$4:$U$1200,21,FALSE)&gt;0,VLOOKUP(B364,Towary_i_uslugi!$A$4:$U$1200,21,FALSE),"")</f>
        <v/>
      </c>
      <c r="P364" s="11">
        <f t="shared" si="15"/>
        <v>0</v>
      </c>
      <c r="Q364" s="11">
        <f t="shared" si="16"/>
        <v>0</v>
      </c>
      <c r="R364" s="17">
        <f t="shared" si="17"/>
        <v>0</v>
      </c>
      <c r="S364" s="17">
        <f>VLOOKUP($B364,   MBI_LastBuy!$A$3:E$13199,3,FALSE)</f>
        <v>800</v>
      </c>
      <c r="T364" s="13">
        <f>VLOOKUP($B364,   MBI_LastBuy!$A$3:E$13199,2,FALSE)</f>
        <v>0.40400000000000003</v>
      </c>
      <c r="U364" s="13" t="str">
        <f>VLOOKUP($B364,   MBI_LastBuy!$A$3:E$13199,5,FALSE)</f>
        <v>USD</v>
      </c>
      <c r="V364" s="15">
        <f>VLOOKUP($B364,   MBI_LastBuy!$A$3:E$13199,4,FALSE)</f>
        <v>43871</v>
      </c>
    </row>
    <row r="365" spans="1:22" x14ac:dyDescent="0.25">
      <c r="A365" s="11" t="s">
        <v>3552</v>
      </c>
      <c r="B365" s="11">
        <v>733510</v>
      </c>
      <c r="C365" s="11" t="str">
        <f>VLOOKUP(B365,Towary_i_uslugi!$A$4:$B$1500,2)</f>
        <v>(brak)</v>
      </c>
      <c r="D365" s="11" t="s">
        <v>2872</v>
      </c>
      <c r="E365" s="11">
        <f>VLOOKUP(B365,Towary_i_uslugi!$A$3:$T$1500,3,FALSE)</f>
        <v>100</v>
      </c>
      <c r="F365" s="11" t="str">
        <f>VLOOKUP(B365,Towary_i_uslugi!$A$3:$T$1500,20,FALSE)</f>
        <v>PVC bag w/header</v>
      </c>
      <c r="G365" s="11">
        <f>VLOOKUP(B365,MBI_Dostawcy_towarów!$A$4:$C$1399,3,FALSE)</f>
        <v>8.8999999999999996E-2</v>
      </c>
      <c r="H365" s="11">
        <v>2</v>
      </c>
      <c r="I365" s="11">
        <v>1</v>
      </c>
      <c r="J365" s="11">
        <v>2000</v>
      </c>
      <c r="K365" s="11">
        <f>_xlfn.IFNA(VLOOKUP(B365,Towary_na_zamówieniach!$A$4:$C$1500,2,FALSE),0)</f>
        <v>3500</v>
      </c>
      <c r="L365" s="11">
        <f>_xlfn.IFNA(VLOOKUP(B365,Towary_na_zamówieniach!$A$4:$C$1500,3,FALSE),0)</f>
        <v>1505</v>
      </c>
      <c r="M365" s="11">
        <f>_xlfn.IFNA(VLOOKUP(B365,MBI_Dostawcy_towarów!$A$4:$C$2000,2,FALSE),"N/A")</f>
        <v>90</v>
      </c>
      <c r="N365" s="11" t="str">
        <f>IF(VLOOKUP(B365,Towary_i_uslugi!$A$3:$T$1500,17,FALSE)=0,"!NO SUPPLIER",VLOOKUP(B365,Towary_i_uslugi!$A$3:$T$1500,17))</f>
        <v>XM</v>
      </c>
      <c r="O365" s="11" t="str">
        <f>IF(VLOOKUP(B365,Towary_i_uslugi!$A$4:$U$1200,21,FALSE)&gt;0,VLOOKUP(B365,Towary_i_uslugi!$A$4:$U$1200,21,FALSE),"")</f>
        <v/>
      </c>
      <c r="P365" s="11">
        <f t="shared" si="15"/>
        <v>0</v>
      </c>
      <c r="Q365" s="11">
        <f t="shared" si="16"/>
        <v>0</v>
      </c>
      <c r="R365" s="17">
        <f t="shared" si="17"/>
        <v>0</v>
      </c>
      <c r="S365" s="17">
        <f>VLOOKUP($B365,   MBI_LastBuy!$A$3:E$13199,3,FALSE)</f>
        <v>1500</v>
      </c>
      <c r="T365" s="13">
        <f>VLOOKUP($B365,   MBI_LastBuy!$A$3:E$13199,2,FALSE)</f>
        <v>0.43</v>
      </c>
      <c r="U365" s="13" t="str">
        <f>VLOOKUP($B365,   MBI_LastBuy!$A$3:E$13199,5,FALSE)</f>
        <v>USD</v>
      </c>
      <c r="V365" s="15">
        <f>VLOOKUP($B365,   MBI_LastBuy!$A$3:E$13199,4,FALSE)</f>
        <v>44117</v>
      </c>
    </row>
    <row r="366" spans="1:22" x14ac:dyDescent="0.25">
      <c r="A366" s="11" t="s">
        <v>3552</v>
      </c>
      <c r="B366" s="11">
        <v>733511</v>
      </c>
      <c r="C366" s="11" t="str">
        <f>VLOOKUP(B366,Towary_i_uslugi!$A$4:$B$1500,2)</f>
        <v>nowość!!! więcej info dla klienta</v>
      </c>
      <c r="D366" s="11" t="s">
        <v>2873</v>
      </c>
      <c r="E366" s="11">
        <f>VLOOKUP(B366,Towary_i_uslugi!$A$3:$T$1500,3,FALSE)</f>
        <v>0</v>
      </c>
      <c r="F366" s="11" t="str">
        <f>VLOOKUP(B366,Towary_i_uslugi!$A$3:$T$1500,20,FALSE)</f>
        <v>polybag + header</v>
      </c>
      <c r="G366" s="11">
        <f>VLOOKUP(B366,MBI_Dostawcy_towarów!$A$4:$C$1399,3,FALSE)</f>
        <v>0.18</v>
      </c>
      <c r="H366" s="11">
        <v>0</v>
      </c>
      <c r="I366" s="11">
        <v>0</v>
      </c>
      <c r="J366" s="11">
        <v>500</v>
      </c>
      <c r="K366" s="11">
        <f>_xlfn.IFNA(VLOOKUP(B366,Towary_na_zamówieniach!$A$4:$C$1500,2,FALSE),0)</f>
        <v>1000</v>
      </c>
      <c r="L366" s="11">
        <f>_xlfn.IFNA(VLOOKUP(B366,Towary_na_zamówieniach!$A$4:$C$1500,3,FALSE),0)</f>
        <v>650</v>
      </c>
      <c r="M366" s="11">
        <f>_xlfn.IFNA(VLOOKUP(B366,MBI_Dostawcy_towarów!$A$4:$C$2000,2,FALSE),"N/A")</f>
        <v>90</v>
      </c>
      <c r="N366" s="11" t="str">
        <f>IF(VLOOKUP(B366,Towary_i_uslugi!$A$3:$T$1500,17,FALSE)=0,"!NO SUPPLIER",VLOOKUP(B366,Towary_i_uslugi!$A$3:$T$1500,17))</f>
        <v>XM</v>
      </c>
      <c r="O366" s="11" t="str">
        <f>IF(VLOOKUP(B366,Towary_i_uslugi!$A$4:$U$1200,21,FALSE)&gt;0,VLOOKUP(B366,Towary_i_uslugi!$A$4:$U$1200,21,FALSE),"")</f>
        <v>MBA*2.7.20* first delivery</v>
      </c>
      <c r="P366" s="11">
        <f t="shared" si="15"/>
        <v>0</v>
      </c>
      <c r="Q366" s="11">
        <f t="shared" si="16"/>
        <v>0</v>
      </c>
      <c r="R366" s="17">
        <f t="shared" si="17"/>
        <v>0</v>
      </c>
      <c r="S366" s="17">
        <f>VLOOKUP($B366,   MBI_LastBuy!$A$3:E$13199,3,FALSE)</f>
        <v>1000</v>
      </c>
      <c r="T366" s="13">
        <f>VLOOKUP($B366,   MBI_LastBuy!$A$3:E$13199,2,FALSE)</f>
        <v>0.65</v>
      </c>
      <c r="U366" s="13" t="str">
        <f>VLOOKUP($B366,   MBI_LastBuy!$A$3:E$13199,5,FALSE)</f>
        <v>USD</v>
      </c>
      <c r="V366" s="15">
        <f>VLOOKUP($B366,   MBI_LastBuy!$A$3:E$13199,4,FALSE)</f>
        <v>44117</v>
      </c>
    </row>
    <row r="367" spans="1:22" x14ac:dyDescent="0.25">
      <c r="A367" s="11" t="s">
        <v>3552</v>
      </c>
      <c r="B367" s="11">
        <v>733520</v>
      </c>
      <c r="C367" s="11" t="str">
        <f>VLOOKUP(B367,Towary_i_uslugi!$A$4:$B$1500,2)</f>
        <v>(brak)</v>
      </c>
      <c r="D367" s="11" t="s">
        <v>2526</v>
      </c>
      <c r="E367" s="11">
        <f>VLOOKUP(B367,Towary_i_uslugi!$A$3:$T$1500,3,FALSE)</f>
        <v>100</v>
      </c>
      <c r="F367" s="11" t="str">
        <f>VLOOKUP(B367,Towary_i_uslugi!$A$3:$T$1500,20,FALSE)</f>
        <v>PVC bag w/header</v>
      </c>
      <c r="G367" s="11">
        <f>VLOOKUP(B367,MBI_Dostawcy_towarów!$A$4:$C$1399,3,FALSE)</f>
        <v>0.12</v>
      </c>
      <c r="H367" s="11">
        <v>30</v>
      </c>
      <c r="I367" s="11">
        <v>29</v>
      </c>
      <c r="J367" s="11">
        <v>2800</v>
      </c>
      <c r="K367" s="11">
        <f>_xlfn.IFNA(VLOOKUP(B367,Towary_na_zamówieniach!$A$4:$C$1500,2,FALSE),0)</f>
        <v>6000</v>
      </c>
      <c r="L367" s="11">
        <f>_xlfn.IFNA(VLOOKUP(B367,Towary_na_zamówieniach!$A$4:$C$1500,3,FALSE),0)</f>
        <v>3120</v>
      </c>
      <c r="M367" s="11">
        <f>_xlfn.IFNA(VLOOKUP(B367,MBI_Dostawcy_towarów!$A$4:$C$2000,2,FALSE),"N/A")</f>
        <v>90</v>
      </c>
      <c r="N367" s="11" t="str">
        <f>IF(VLOOKUP(B367,Towary_i_uslugi!$A$3:$T$1500,17,FALSE)=0,"!NO SUPPLIER",VLOOKUP(B367,Towary_i_uslugi!$A$3:$T$1500,17))</f>
        <v>XM</v>
      </c>
      <c r="O367" s="11" t="str">
        <f>IF(VLOOKUP(B367,Towary_i_uslugi!$A$4:$U$1200,21,FALSE)&gt;0,VLOOKUP(B367,Towary_i_uslugi!$A$4:$U$1200,21,FALSE),"")</f>
        <v/>
      </c>
      <c r="P367" s="11">
        <f t="shared" si="15"/>
        <v>0</v>
      </c>
      <c r="Q367" s="11">
        <f t="shared" si="16"/>
        <v>0</v>
      </c>
      <c r="R367" s="17">
        <f t="shared" si="17"/>
        <v>0</v>
      </c>
      <c r="S367" s="17">
        <f>VLOOKUP($B367,   MBI_LastBuy!$A$3:E$13199,3,FALSE)</f>
        <v>3200</v>
      </c>
      <c r="T367" s="13">
        <f>VLOOKUP($B367,   MBI_LastBuy!$A$3:E$13199,2,FALSE)</f>
        <v>0.52</v>
      </c>
      <c r="U367" s="13" t="str">
        <f>VLOOKUP($B367,   MBI_LastBuy!$A$3:E$13199,5,FALSE)</f>
        <v>USD</v>
      </c>
      <c r="V367" s="15">
        <f>VLOOKUP($B367,   MBI_LastBuy!$A$3:E$13199,4,FALSE)</f>
        <v>44140</v>
      </c>
    </row>
    <row r="368" spans="1:22" x14ac:dyDescent="0.25">
      <c r="A368" s="11" t="s">
        <v>3552</v>
      </c>
      <c r="B368" s="11">
        <v>733525</v>
      </c>
      <c r="C368" s="11" t="str">
        <f>VLOOKUP(B368,Towary_i_uslugi!$A$4:$B$1500,2)</f>
        <v>nowość!!! więcej info dla klienta</v>
      </c>
      <c r="D368" s="11" t="s">
        <v>2700</v>
      </c>
      <c r="E368" s="11">
        <f>VLOOKUP(B368,Towary_i_uslugi!$A$3:$T$1500,3,FALSE)</f>
        <v>100</v>
      </c>
      <c r="F368" s="11" t="str">
        <f>VLOOKUP(B368,Towary_i_uslugi!$A$3:$T$1500,20,FALSE)</f>
        <v>PVC bag w/header</v>
      </c>
      <c r="G368" s="11">
        <f>VLOOKUP(B368,MBI_Dostawcy_towarów!$A$4:$C$1399,3,FALSE)</f>
        <v>0.17100000000000001</v>
      </c>
      <c r="H368" s="11">
        <v>890</v>
      </c>
      <c r="I368" s="11">
        <v>101</v>
      </c>
      <c r="J368" s="11">
        <v>1000</v>
      </c>
      <c r="K368" s="11">
        <f>_xlfn.IFNA(VLOOKUP(B368,Towary_na_zamówieniach!$A$4:$C$1500,2,FALSE),0)</f>
        <v>1000</v>
      </c>
      <c r="L368" s="11">
        <f>_xlfn.IFNA(VLOOKUP(B368,Towary_na_zamówieniach!$A$4:$C$1500,3,FALSE),0)</f>
        <v>750</v>
      </c>
      <c r="M368" s="11">
        <f>_xlfn.IFNA(VLOOKUP(B368,MBI_Dostawcy_towarów!$A$4:$C$2000,2,FALSE),"N/A")</f>
        <v>7</v>
      </c>
      <c r="N368" s="11" t="str">
        <f>IF(VLOOKUP(B368,Towary_i_uslugi!$A$3:$T$1500,17,FALSE)=0,"!NO SUPPLIER",VLOOKUP(B368,Towary_i_uslugi!$A$3:$T$1500,17))</f>
        <v>XM</v>
      </c>
      <c r="O368" s="11" t="str">
        <f>IF(VLOOKUP(B368,Towary_i_uslugi!$A$4:$U$1200,21,FALSE)&gt;0,VLOOKUP(B368,Towary_i_uslugi!$A$4:$U$1200,21,FALSE),"")</f>
        <v/>
      </c>
      <c r="P368" s="11">
        <f t="shared" si="15"/>
        <v>0</v>
      </c>
      <c r="Q368" s="11">
        <f t="shared" si="16"/>
        <v>0</v>
      </c>
      <c r="R368" s="17">
        <f t="shared" si="17"/>
        <v>0</v>
      </c>
      <c r="S368" s="17">
        <f>VLOOKUP($B368,   MBI_LastBuy!$A$3:E$13199,3,FALSE)</f>
        <v>1000</v>
      </c>
      <c r="T368" s="13">
        <f>VLOOKUP($B368,   MBI_LastBuy!$A$3:E$13199,2,FALSE)</f>
        <v>0.75</v>
      </c>
      <c r="U368" s="13" t="str">
        <f>VLOOKUP($B368,   MBI_LastBuy!$A$3:E$13199,5,FALSE)</f>
        <v>USD</v>
      </c>
      <c r="V368" s="15">
        <f>VLOOKUP($B368,   MBI_LastBuy!$A$3:E$13199,4,FALSE)</f>
        <v>44098</v>
      </c>
    </row>
    <row r="369" spans="1:22" x14ac:dyDescent="0.25">
      <c r="A369" s="11" t="s">
        <v>3552</v>
      </c>
      <c r="B369" s="11">
        <v>733540</v>
      </c>
      <c r="C369" s="11" t="str">
        <f>VLOOKUP(B369,Towary_i_uslugi!$A$4:$B$1500,2)</f>
        <v>(brak)</v>
      </c>
      <c r="D369" s="11" t="s">
        <v>3672</v>
      </c>
      <c r="E369" s="11">
        <f>VLOOKUP(B369,Towary_i_uslugi!$A$3:$T$1500,3,FALSE)</f>
        <v>100</v>
      </c>
      <c r="F369" s="11" t="str">
        <f>VLOOKUP(B369,Towary_i_uslugi!$A$3:$T$1500,20,FALSE)</f>
        <v>PVC BAG</v>
      </c>
      <c r="G369" s="11">
        <f>VLOOKUP(B369,MBI_Dostawcy_towarów!$A$4:$C$1399,3,FALSE)</f>
        <v>2.8000000000000001E-2</v>
      </c>
      <c r="H369" s="11">
        <v>838</v>
      </c>
      <c r="I369" s="11">
        <v>500</v>
      </c>
      <c r="J369" s="11">
        <v>1300</v>
      </c>
      <c r="K369" s="11">
        <f>_xlfn.IFNA(VLOOKUP(B369,Towary_na_zamówieniach!$A$4:$C$1500,2,FALSE),0)</f>
        <v>1800</v>
      </c>
      <c r="L369" s="11">
        <f>_xlfn.IFNA(VLOOKUP(B369,Towary_na_zamówieniach!$A$4:$C$1500,3,FALSE),0)</f>
        <v>1098</v>
      </c>
      <c r="M369" s="11">
        <f>_xlfn.IFNA(VLOOKUP(B369,MBI_Dostawcy_towarów!$A$4:$C$2000,2,FALSE),"N/A")</f>
        <v>100</v>
      </c>
      <c r="N369" s="11" t="str">
        <f>IF(VLOOKUP(B369,Towary_i_uslugi!$A$3:$T$1500,17,FALSE)=0,"!NO SUPPLIER",VLOOKUP(B369,Towary_i_uslugi!$A$3:$T$1500,17))</f>
        <v>XM</v>
      </c>
      <c r="O369" s="11" t="str">
        <f>IF(VLOOKUP(B369,Towary_i_uslugi!$A$4:$U$1200,21,FALSE)&gt;0,VLOOKUP(B369,Towary_i_uslugi!$A$4:$U$1200,21,FALSE),"")</f>
        <v/>
      </c>
      <c r="P369" s="11">
        <f t="shared" si="15"/>
        <v>0</v>
      </c>
      <c r="Q369" s="11">
        <f t="shared" si="16"/>
        <v>0</v>
      </c>
      <c r="R369" s="17">
        <f t="shared" si="17"/>
        <v>0</v>
      </c>
      <c r="S369" s="17">
        <f>VLOOKUP($B369,   MBI_LastBuy!$A$3:E$13199,3,FALSE)</f>
        <v>1800</v>
      </c>
      <c r="T369" s="13">
        <f>VLOOKUP($B369,   MBI_LastBuy!$A$3:E$13199,2,FALSE)</f>
        <v>0.61</v>
      </c>
      <c r="U369" s="13" t="str">
        <f>VLOOKUP($B369,   MBI_LastBuy!$A$3:E$13199,5,FALSE)</f>
        <v>USD</v>
      </c>
      <c r="V369" s="15">
        <f>VLOOKUP($B369,   MBI_LastBuy!$A$3:E$13199,4,FALSE)</f>
        <v>44125</v>
      </c>
    </row>
    <row r="370" spans="1:22" x14ac:dyDescent="0.25">
      <c r="A370" s="11" t="s">
        <v>3552</v>
      </c>
      <c r="B370" s="11">
        <v>734050</v>
      </c>
      <c r="C370" s="11" t="str">
        <f>VLOOKUP(B370,Towary_i_uslugi!$A$4:$B$1500,2)</f>
        <v>(brak)</v>
      </c>
      <c r="D370" s="11" t="s">
        <v>2464</v>
      </c>
      <c r="E370" s="11">
        <f>VLOOKUP(B370,Towary_i_uslugi!$A$3:$T$1500,3,FALSE)</f>
        <v>120</v>
      </c>
      <c r="F370" s="11" t="str">
        <f>VLOOKUP(B370,Towary_i_uslugi!$A$3:$T$1500,20,FALSE)</f>
        <v>double blister</v>
      </c>
      <c r="G370" s="11">
        <f>VLOOKUP(B370,MBI_Dostawcy_towarów!$A$4:$C$1399,3,FALSE)</f>
        <v>0.115</v>
      </c>
      <c r="H370" s="11">
        <v>1356</v>
      </c>
      <c r="I370" s="11">
        <v>0</v>
      </c>
      <c r="J370" s="11">
        <v>5100</v>
      </c>
      <c r="K370" s="11">
        <f>_xlfn.IFNA(VLOOKUP(B370,Towary_na_zamówieniach!$A$4:$C$1500,2,FALSE),0)</f>
        <v>5040</v>
      </c>
      <c r="L370" s="11">
        <f>_xlfn.IFNA(VLOOKUP(B370,Towary_na_zamówieniach!$A$4:$C$1500,3,FALSE),0)</f>
        <v>1864.8</v>
      </c>
      <c r="M370" s="11">
        <f>_xlfn.IFNA(VLOOKUP(B370,MBI_Dostawcy_towarów!$A$4:$C$2000,2,FALSE),"N/A")</f>
        <v>100</v>
      </c>
      <c r="N370" s="11" t="str">
        <f>IF(VLOOKUP(B370,Towary_i_uslugi!$A$3:$T$1500,17,FALSE)=0,"!NO SUPPLIER",VLOOKUP(B370,Towary_i_uslugi!$A$3:$T$1500,17))</f>
        <v>XM</v>
      </c>
      <c r="O370" s="11" t="str">
        <f>IF(VLOOKUP(B370,Towary_i_uslugi!$A$4:$U$1200,21,FALSE)&gt;0,VLOOKUP(B370,Towary_i_uslugi!$A$4:$U$1200,21,FALSE),"")</f>
        <v/>
      </c>
      <c r="P370" s="11">
        <f t="shared" si="15"/>
        <v>0</v>
      </c>
      <c r="Q370" s="11">
        <f t="shared" si="16"/>
        <v>0</v>
      </c>
      <c r="R370" s="17">
        <f t="shared" si="17"/>
        <v>0</v>
      </c>
      <c r="S370" s="17">
        <f>VLOOKUP($B370,   MBI_LastBuy!$A$3:E$13199,3,FALSE)</f>
        <v>5040</v>
      </c>
      <c r="T370" s="13">
        <f>VLOOKUP($B370,   MBI_LastBuy!$A$3:E$13199,2,FALSE)</f>
        <v>0.37</v>
      </c>
      <c r="U370" s="13" t="str">
        <f>VLOOKUP($B370,   MBI_LastBuy!$A$3:E$13199,5,FALSE)</f>
        <v>USD</v>
      </c>
      <c r="V370" s="15">
        <f>VLOOKUP($B370,   MBI_LastBuy!$A$3:E$13199,4,FALSE)</f>
        <v>44068</v>
      </c>
    </row>
    <row r="371" spans="1:22" x14ac:dyDescent="0.25">
      <c r="A371" s="11" t="s">
        <v>3552</v>
      </c>
      <c r="B371" s="11">
        <v>734059</v>
      </c>
      <c r="C371" s="11" t="str">
        <f>VLOOKUP(B371,Towary_i_uslugi!$A$4:$B$1500,2)</f>
        <v>(brak)</v>
      </c>
      <c r="D371" s="11" t="s">
        <v>2465</v>
      </c>
      <c r="E371" s="11">
        <f>VLOOKUP(B371,Towary_i_uslugi!$A$3:$T$1500,3,FALSE)</f>
        <v>120</v>
      </c>
      <c r="F371" s="11" t="str">
        <f>VLOOKUP(B371,Towary_i_uslugi!$A$3:$T$1500,20,FALSE)</f>
        <v>slide blister</v>
      </c>
      <c r="G371" s="11">
        <f>VLOOKUP(B371,MBI_Dostawcy_towarów!$A$4:$C$1399,3,FALSE)</f>
        <v>0.14799999999999999</v>
      </c>
      <c r="H371" s="11">
        <v>232</v>
      </c>
      <c r="I371" s="11">
        <v>0</v>
      </c>
      <c r="J371" s="11">
        <v>1600</v>
      </c>
      <c r="K371" s="11">
        <f>_xlfn.IFNA(VLOOKUP(B371,Towary_na_zamówieniach!$A$4:$C$1500,2,FALSE),0)</f>
        <v>1920</v>
      </c>
      <c r="L371" s="11">
        <f>_xlfn.IFNA(VLOOKUP(B371,Towary_na_zamówieniach!$A$4:$C$1500,3,FALSE),0)</f>
        <v>1190.4000000000001</v>
      </c>
      <c r="M371" s="11">
        <f>_xlfn.IFNA(VLOOKUP(B371,MBI_Dostawcy_towarów!$A$4:$C$2000,2,FALSE),"N/A")</f>
        <v>100</v>
      </c>
      <c r="N371" s="11" t="str">
        <f>IF(VLOOKUP(B371,Towary_i_uslugi!$A$3:$T$1500,17,FALSE)=0,"!NO SUPPLIER",VLOOKUP(B371,Towary_i_uslugi!$A$3:$T$1500,17))</f>
        <v>XM</v>
      </c>
      <c r="O371" s="11" t="str">
        <f>IF(VLOOKUP(B371,Towary_i_uslugi!$A$4:$U$1200,21,FALSE)&gt;0,VLOOKUP(B371,Towary_i_uslugi!$A$4:$U$1200,21,FALSE),"")</f>
        <v/>
      </c>
      <c r="P371" s="11">
        <f t="shared" si="15"/>
        <v>0</v>
      </c>
      <c r="Q371" s="11">
        <f t="shared" si="16"/>
        <v>0</v>
      </c>
      <c r="R371" s="17">
        <f t="shared" si="17"/>
        <v>0</v>
      </c>
      <c r="S371" s="17">
        <f>VLOOKUP($B371,   MBI_LastBuy!$A$3:E$13199,3,FALSE)</f>
        <v>1920</v>
      </c>
      <c r="T371" s="13">
        <f>VLOOKUP($B371,   MBI_LastBuy!$A$3:E$13199,2,FALSE)</f>
        <v>0.62</v>
      </c>
      <c r="U371" s="13" t="str">
        <f>VLOOKUP($B371,   MBI_LastBuy!$A$3:E$13199,5,FALSE)</f>
        <v>USD</v>
      </c>
      <c r="V371" s="15">
        <f>VLOOKUP($B371,   MBI_LastBuy!$A$3:E$13199,4,FALSE)</f>
        <v>44097</v>
      </c>
    </row>
    <row r="372" spans="1:22" x14ac:dyDescent="0.25">
      <c r="A372" s="11" t="s">
        <v>3552</v>
      </c>
      <c r="B372" s="11">
        <v>734100</v>
      </c>
      <c r="C372" s="11" t="str">
        <f>VLOOKUP(B372,Towary_i_uslugi!$A$4:$B$1500,2)</f>
        <v>(brak)</v>
      </c>
      <c r="D372" s="11" t="s">
        <v>3673</v>
      </c>
      <c r="E372" s="11">
        <f>VLOOKUP(B372,Towary_i_uslugi!$A$3:$T$1500,3,FALSE)</f>
        <v>25</v>
      </c>
      <c r="F372" s="11" t="str">
        <f>VLOOKUP(B372,Towary_i_uslugi!$A$3:$T$1500,20,FALSE)</f>
        <v>wooden box, shrink foil, leaflet</v>
      </c>
      <c r="G372" s="11">
        <f>VLOOKUP(B372,MBI_Dostawcy_towarów!$A$4:$C$1399,3,FALSE)</f>
        <v>0.41899999999999998</v>
      </c>
      <c r="H372" s="11">
        <v>52</v>
      </c>
      <c r="I372" s="11">
        <v>0</v>
      </c>
      <c r="J372" s="11">
        <v>180</v>
      </c>
      <c r="K372" s="11">
        <f>_xlfn.IFNA(VLOOKUP(B372,Towary_na_zamówieniach!$A$4:$C$1500,2,FALSE),0)</f>
        <v>250</v>
      </c>
      <c r="L372" s="11">
        <f>_xlfn.IFNA(VLOOKUP(B372,Towary_na_zamówieniach!$A$4:$C$1500,3,FALSE),0)</f>
        <v>912.5</v>
      </c>
      <c r="M372" s="11">
        <f>_xlfn.IFNA(VLOOKUP(B372,MBI_Dostawcy_towarów!$A$4:$C$2000,2,FALSE),"N/A")</f>
        <v>100</v>
      </c>
      <c r="N372" s="11" t="str">
        <f>IF(VLOOKUP(B372,Towary_i_uslugi!$A$3:$T$1500,17,FALSE)=0,"!NO SUPPLIER",VLOOKUP(B372,Towary_i_uslugi!$A$3:$T$1500,17))</f>
        <v>XM</v>
      </c>
      <c r="O372" s="11" t="str">
        <f>IF(VLOOKUP(B372,Towary_i_uslugi!$A$4:$U$1200,21,FALSE)&gt;0,VLOOKUP(B372,Towary_i_uslugi!$A$4:$U$1200,21,FALSE),"")</f>
        <v/>
      </c>
      <c r="P372" s="11">
        <f t="shared" si="15"/>
        <v>0</v>
      </c>
      <c r="Q372" s="11">
        <f t="shared" si="16"/>
        <v>0</v>
      </c>
      <c r="R372" s="17">
        <f t="shared" si="17"/>
        <v>0</v>
      </c>
      <c r="S372" s="17">
        <f>VLOOKUP($B372,   MBI_LastBuy!$A$3:E$13199,3,FALSE)</f>
        <v>250</v>
      </c>
      <c r="T372" s="13">
        <f>VLOOKUP($B372,   MBI_LastBuy!$A$3:E$13199,2,FALSE)</f>
        <v>3.65</v>
      </c>
      <c r="U372" s="13" t="str">
        <f>VLOOKUP($B372,   MBI_LastBuy!$A$3:E$13199,5,FALSE)</f>
        <v>USD</v>
      </c>
      <c r="V372" s="15">
        <f>VLOOKUP($B372,   MBI_LastBuy!$A$3:E$13199,4,FALSE)</f>
        <v>44133</v>
      </c>
    </row>
    <row r="373" spans="1:22" x14ac:dyDescent="0.25">
      <c r="A373" s="11" t="s">
        <v>3556</v>
      </c>
      <c r="B373" s="11">
        <v>735011</v>
      </c>
      <c r="C373" s="11" t="str">
        <f>VLOOKUP(B373,Towary_i_uslugi!$A$4:$B$1500,2)</f>
        <v>(brak)</v>
      </c>
      <c r="D373" s="11" t="s">
        <v>1597</v>
      </c>
      <c r="E373" s="11">
        <f>VLOOKUP(B373,Towary_i_uslugi!$A$3:$T$1500,3,FALSE)</f>
        <v>400</v>
      </c>
      <c r="F373" s="11" t="str">
        <f>VLOOKUP(B373,Towary_i_uslugi!$A$3:$T$1500,20,FALSE)</f>
        <v>pvc shrink</v>
      </c>
      <c r="G373" s="11">
        <f>VLOOKUP(B373,MBI_Dostawcy_towarów!$A$4:$C$1399,3,FALSE)</f>
        <v>2.7E-2</v>
      </c>
      <c r="H373" s="11">
        <v>1</v>
      </c>
      <c r="I373" s="11">
        <v>0</v>
      </c>
      <c r="J373" s="11">
        <v>2400</v>
      </c>
      <c r="K373" s="11">
        <f>_xlfn.IFNA(VLOOKUP(B373,Towary_na_zamówieniach!$A$4:$C$1500,2,FALSE),0)</f>
        <v>7200</v>
      </c>
      <c r="L373" s="11">
        <f>_xlfn.IFNA(VLOOKUP(B373,Towary_na_zamówieniach!$A$4:$C$1500,3,FALSE),0)</f>
        <v>1203.2</v>
      </c>
      <c r="M373" s="11">
        <f>_xlfn.IFNA(VLOOKUP(B373,MBI_Dostawcy_towarów!$A$4:$C$2000,2,FALSE),"N/A")</f>
        <v>100</v>
      </c>
      <c r="N373" s="11" t="str">
        <f>IF(VLOOKUP(B373,Towary_i_uslugi!$A$3:$T$1500,17,FALSE)=0,"!NO SUPPLIER",VLOOKUP(B373,Towary_i_uslugi!$A$3:$T$1500,17))</f>
        <v xml:space="preserve">LF rozrachunki </v>
      </c>
      <c r="O373" s="11" t="str">
        <f>IF(VLOOKUP(B373,Towary_i_uslugi!$A$4:$U$1200,21,FALSE)&gt;0,VLOOKUP(B373,Towary_i_uslugi!$A$4:$U$1200,21,FALSE),"")</f>
        <v/>
      </c>
      <c r="P373" s="11">
        <f t="shared" si="15"/>
        <v>0</v>
      </c>
      <c r="Q373" s="11">
        <f t="shared" si="16"/>
        <v>0</v>
      </c>
      <c r="R373" s="17">
        <f t="shared" si="17"/>
        <v>0</v>
      </c>
      <c r="S373" s="17">
        <f>VLOOKUP($B373,   MBI_LastBuy!$A$3:E$13199,3,FALSE)</f>
        <v>3200</v>
      </c>
      <c r="T373" s="13">
        <f>VLOOKUP($B373,   MBI_LastBuy!$A$3:E$13199,2,FALSE)</f>
        <v>0.151</v>
      </c>
      <c r="U373" s="13" t="str">
        <f>VLOOKUP($B373,   MBI_LastBuy!$A$3:E$13199,5,FALSE)</f>
        <v>USD</v>
      </c>
      <c r="V373" s="15">
        <f>VLOOKUP($B373,   MBI_LastBuy!$A$3:E$13199,4,FALSE)</f>
        <v>44070</v>
      </c>
    </row>
    <row r="374" spans="1:22" x14ac:dyDescent="0.25">
      <c r="A374" s="11" t="s">
        <v>3556</v>
      </c>
      <c r="B374" s="11">
        <v>735056</v>
      </c>
      <c r="C374" s="11" t="str">
        <f>VLOOKUP(B374,Towary_i_uslugi!$A$4:$B$1500,2)</f>
        <v>(brak)</v>
      </c>
      <c r="D374" s="11" t="s">
        <v>40</v>
      </c>
      <c r="E374" s="11">
        <f>VLOOKUP(B374,Towary_i_uslugi!$A$3:$T$1500,3,FALSE)</f>
        <v>400</v>
      </c>
      <c r="F374" s="11" t="str">
        <f>VLOOKUP(B374,Towary_i_uslugi!$A$3:$T$1500,20,FALSE)</f>
        <v>pvc shrink</v>
      </c>
      <c r="G374" s="11">
        <f>VLOOKUP(B374,MBI_Dostawcy_towarów!$A$4:$C$1399,3,FALSE)</f>
        <v>0.13400000000000001</v>
      </c>
      <c r="H374" s="11">
        <v>1</v>
      </c>
      <c r="I374" s="11">
        <v>0</v>
      </c>
      <c r="J374" s="11">
        <v>1000</v>
      </c>
      <c r="K374" s="11">
        <f>_xlfn.IFNA(VLOOKUP(B374,Towary_na_zamówieniach!$A$4:$C$1500,2,FALSE),0)</f>
        <v>4000</v>
      </c>
      <c r="L374" s="11">
        <f>_xlfn.IFNA(VLOOKUP(B374,Towary_na_zamówieniach!$A$4:$C$1500,3,FALSE),0)</f>
        <v>760</v>
      </c>
      <c r="M374" s="11">
        <f>_xlfn.IFNA(VLOOKUP(B374,MBI_Dostawcy_towarów!$A$4:$C$2000,2,FALSE),"N/A")</f>
        <v>100</v>
      </c>
      <c r="N374" s="11" t="str">
        <f>IF(VLOOKUP(B374,Towary_i_uslugi!$A$3:$T$1500,17,FALSE)=0,"!NO SUPPLIER",VLOOKUP(B374,Towary_i_uslugi!$A$3:$T$1500,17))</f>
        <v xml:space="preserve">LF rozrachunki </v>
      </c>
      <c r="O374" s="11" t="str">
        <f>IF(VLOOKUP(B374,Towary_i_uslugi!$A$4:$U$1200,21,FALSE)&gt;0,VLOOKUP(B374,Towary_i_uslugi!$A$4:$U$1200,21,FALSE),"")</f>
        <v/>
      </c>
      <c r="P374" s="11">
        <f t="shared" si="15"/>
        <v>0</v>
      </c>
      <c r="Q374" s="11">
        <f t="shared" si="16"/>
        <v>0</v>
      </c>
      <c r="R374" s="17">
        <f t="shared" si="17"/>
        <v>0</v>
      </c>
      <c r="S374" s="17">
        <f>VLOOKUP($B374,   MBI_LastBuy!$A$3:E$13199,3,FALSE)</f>
        <v>4000</v>
      </c>
      <c r="T374" s="13">
        <f>VLOOKUP($B374,   MBI_LastBuy!$A$3:E$13199,2,FALSE)</f>
        <v>0.19</v>
      </c>
      <c r="U374" s="13" t="str">
        <f>VLOOKUP($B374,   MBI_LastBuy!$A$3:E$13199,5,FALSE)</f>
        <v>USD</v>
      </c>
      <c r="V374" s="15">
        <f>VLOOKUP($B374,   MBI_LastBuy!$A$3:E$13199,4,FALSE)</f>
        <v>43910</v>
      </c>
    </row>
    <row r="375" spans="1:22" x14ac:dyDescent="0.25">
      <c r="A375" s="11" t="s">
        <v>3556</v>
      </c>
      <c r="B375" s="11">
        <v>735071</v>
      </c>
      <c r="C375" s="11" t="str">
        <f>VLOOKUP(B375,Towary_i_uslugi!$A$4:$B$1500,2)</f>
        <v>(brak)</v>
      </c>
      <c r="D375" s="11" t="s">
        <v>1598</v>
      </c>
      <c r="E375" s="11">
        <f>VLOOKUP(B375,Towary_i_uslugi!$A$3:$T$1500,3,FALSE)</f>
        <v>500</v>
      </c>
      <c r="F375" s="11" t="str">
        <f>VLOOKUP(B375,Towary_i_uslugi!$A$3:$T$1500,20,FALSE)</f>
        <v>pvc shrink</v>
      </c>
      <c r="G375" s="11">
        <f>VLOOKUP(B375,MBI_Dostawcy_towarów!$A$4:$C$1399,3,FALSE)</f>
        <v>0.03</v>
      </c>
      <c r="H375" s="11">
        <v>2</v>
      </c>
      <c r="I375" s="11">
        <v>1</v>
      </c>
      <c r="J375" s="11">
        <v>2450</v>
      </c>
      <c r="K375" s="11">
        <f>_xlfn.IFNA(VLOOKUP(B375,Towary_na_zamówieniach!$A$4:$C$1500,2,FALSE),0)</f>
        <v>8500</v>
      </c>
      <c r="L375" s="11">
        <f>_xlfn.IFNA(VLOOKUP(B375,Towary_na_zamówieniach!$A$4:$C$1500,3,FALSE),0)</f>
        <v>1587.5</v>
      </c>
      <c r="M375" s="11">
        <f>_xlfn.IFNA(VLOOKUP(B375,MBI_Dostawcy_towarów!$A$4:$C$2000,2,FALSE),"N/A")</f>
        <v>100</v>
      </c>
      <c r="N375" s="11" t="str">
        <f>IF(VLOOKUP(B375,Towary_i_uslugi!$A$3:$T$1500,17,FALSE)=0,"!NO SUPPLIER",VLOOKUP(B375,Towary_i_uslugi!$A$3:$T$1500,17))</f>
        <v xml:space="preserve">LF rozrachunki </v>
      </c>
      <c r="O375" s="11" t="str">
        <f>IF(VLOOKUP(B375,Towary_i_uslugi!$A$4:$U$1200,21,FALSE)&gt;0,VLOOKUP(B375,Towary_i_uslugi!$A$4:$U$1200,21,FALSE),"")</f>
        <v/>
      </c>
      <c r="P375" s="11">
        <f t="shared" si="15"/>
        <v>0</v>
      </c>
      <c r="Q375" s="11">
        <f t="shared" si="16"/>
        <v>0</v>
      </c>
      <c r="R375" s="17">
        <f t="shared" si="17"/>
        <v>0</v>
      </c>
      <c r="S375" s="17">
        <f>VLOOKUP($B375,   MBI_LastBuy!$A$3:E$13199,3,FALSE)</f>
        <v>2500</v>
      </c>
      <c r="T375" s="13">
        <f>VLOOKUP($B375,   MBI_LastBuy!$A$3:E$13199,2,FALSE)</f>
        <v>0.16700000000000001</v>
      </c>
      <c r="U375" s="13" t="str">
        <f>VLOOKUP($B375,   MBI_LastBuy!$A$3:E$13199,5,FALSE)</f>
        <v>USD</v>
      </c>
      <c r="V375" s="15">
        <f>VLOOKUP($B375,   MBI_LastBuy!$A$3:E$13199,4,FALSE)</f>
        <v>44070</v>
      </c>
    </row>
    <row r="376" spans="1:22" x14ac:dyDescent="0.25">
      <c r="A376" s="11" t="s">
        <v>3556</v>
      </c>
      <c r="B376" s="11">
        <v>735076</v>
      </c>
      <c r="C376" s="11" t="str">
        <f>VLOOKUP(B376,Towary_i_uslugi!$A$4:$B$1500,2)</f>
        <v>(brak)</v>
      </c>
      <c r="D376" s="11" t="s">
        <v>2874</v>
      </c>
      <c r="E376" s="11">
        <f>VLOOKUP(B376,Towary_i_uslugi!$A$3:$T$1500,3,FALSE)</f>
        <v>400</v>
      </c>
      <c r="F376" s="11" t="str">
        <f>VLOOKUP(B376,Towary_i_uslugi!$A$3:$T$1500,20,FALSE)</f>
        <v>pvc shrink</v>
      </c>
      <c r="G376" s="11">
        <f>VLOOKUP(B376,MBI_Dostawcy_towarów!$A$4:$C$1399,3,FALSE)</f>
        <v>3.9E-2</v>
      </c>
      <c r="H376" s="11">
        <v>6</v>
      </c>
      <c r="I376" s="11">
        <v>0</v>
      </c>
      <c r="J376" s="11">
        <v>900</v>
      </c>
      <c r="K376" s="11">
        <f>_xlfn.IFNA(VLOOKUP(B376,Towary_na_zamówieniach!$A$4:$C$1500,2,FALSE),0)</f>
        <v>2000</v>
      </c>
      <c r="L376" s="11">
        <f>_xlfn.IFNA(VLOOKUP(B376,Towary_na_zamówieniach!$A$4:$C$1500,3,FALSE),0)</f>
        <v>366</v>
      </c>
      <c r="M376" s="11">
        <f>_xlfn.IFNA(VLOOKUP(B376,MBI_Dostawcy_towarów!$A$4:$C$2000,2,FALSE),"N/A")</f>
        <v>100</v>
      </c>
      <c r="N376" s="11" t="str">
        <f>IF(VLOOKUP(B376,Towary_i_uslugi!$A$3:$T$1500,17,FALSE)=0,"!NO SUPPLIER",VLOOKUP(B376,Towary_i_uslugi!$A$3:$T$1500,17))</f>
        <v xml:space="preserve">LF rozrachunki </v>
      </c>
      <c r="O376" s="11" t="str">
        <f>IF(VLOOKUP(B376,Towary_i_uslugi!$A$4:$U$1200,21,FALSE)&gt;0,VLOOKUP(B376,Towary_i_uslugi!$A$4:$U$1200,21,FALSE),"")</f>
        <v/>
      </c>
      <c r="P376" s="11">
        <f t="shared" si="15"/>
        <v>0</v>
      </c>
      <c r="Q376" s="11">
        <f t="shared" si="16"/>
        <v>0</v>
      </c>
      <c r="R376" s="17">
        <f t="shared" si="17"/>
        <v>0</v>
      </c>
      <c r="S376" s="17">
        <f>VLOOKUP($B376,   MBI_LastBuy!$A$3:E$13199,3,FALSE)</f>
        <v>2000</v>
      </c>
      <c r="T376" s="13">
        <f>VLOOKUP($B376,   MBI_LastBuy!$A$3:E$13199,2,FALSE)</f>
        <v>0.183</v>
      </c>
      <c r="U376" s="13" t="str">
        <f>VLOOKUP($B376,   MBI_LastBuy!$A$3:E$13199,5,FALSE)</f>
        <v>USD</v>
      </c>
      <c r="V376" s="15">
        <f>VLOOKUP($B376,   MBI_LastBuy!$A$3:E$13199,4,FALSE)</f>
        <v>44070</v>
      </c>
    </row>
    <row r="377" spans="1:22" x14ac:dyDescent="0.25">
      <c r="A377" s="11" t="s">
        <v>3556</v>
      </c>
      <c r="B377" s="11">
        <v>738434</v>
      </c>
      <c r="C377" s="11" t="str">
        <f>VLOOKUP(B377,Towary_i_uslugi!$A$4:$B$1500,2)</f>
        <v>(brak)</v>
      </c>
      <c r="D377" s="11" t="s">
        <v>2635</v>
      </c>
      <c r="E377" s="11">
        <f>VLOOKUP(B377,Towary_i_uslugi!$A$3:$T$1500,3,FALSE)</f>
        <v>40</v>
      </c>
      <c r="F377" s="11" t="str">
        <f>VLOOKUP(B377,Towary_i_uslugi!$A$3:$T$1500,20,FALSE)</f>
        <v>shrink/sticker</v>
      </c>
      <c r="G377" s="11">
        <f>VLOOKUP(B377,MBI_Dostawcy_towarów!$A$4:$C$1399,3,FALSE)</f>
        <v>0.245</v>
      </c>
      <c r="H377" s="11">
        <v>6</v>
      </c>
      <c r="I377" s="11">
        <v>0</v>
      </c>
      <c r="J377" s="11">
        <v>350</v>
      </c>
      <c r="K377" s="11">
        <f>_xlfn.IFNA(VLOOKUP(B377,Towary_na_zamówieniach!$A$4:$C$1500,2,FALSE),0)</f>
        <v>480</v>
      </c>
      <c r="L377" s="11">
        <f>_xlfn.IFNA(VLOOKUP(B377,Towary_na_zamówieniach!$A$4:$C$1500,3,FALSE),0)</f>
        <v>514.55999999999995</v>
      </c>
      <c r="M377" s="11">
        <f>_xlfn.IFNA(VLOOKUP(B377,MBI_Dostawcy_towarów!$A$4:$C$2000,2,FALSE),"N/A")</f>
        <v>100</v>
      </c>
      <c r="N377" s="11" t="str">
        <f>IF(VLOOKUP(B377,Towary_i_uslugi!$A$3:$T$1500,17,FALSE)=0,"!NO SUPPLIER",VLOOKUP(B377,Towary_i_uslugi!$A$3:$T$1500,17))</f>
        <v xml:space="preserve">LF rozrachunki </v>
      </c>
      <c r="O377" s="11" t="str">
        <f>IF(VLOOKUP(B377,Towary_i_uslugi!$A$4:$U$1200,21,FALSE)&gt;0,VLOOKUP(B377,Towary_i_uslugi!$A$4:$U$1200,21,FALSE),"")</f>
        <v>MBA*30-06-2020*Please print product code and number of pcs on outerbox</v>
      </c>
      <c r="P377" s="11">
        <f t="shared" si="15"/>
        <v>0</v>
      </c>
      <c r="Q377" s="11">
        <f t="shared" si="16"/>
        <v>0</v>
      </c>
      <c r="R377" s="17">
        <f t="shared" si="17"/>
        <v>0</v>
      </c>
      <c r="S377" s="17">
        <f>VLOOKUP($B377,   MBI_LastBuy!$A$3:E$13199,3,FALSE)</f>
        <v>480</v>
      </c>
      <c r="T377" s="13">
        <f>VLOOKUP($B377,   MBI_LastBuy!$A$3:E$13199,2,FALSE)</f>
        <v>1.0720000000000001</v>
      </c>
      <c r="U377" s="13" t="str">
        <f>VLOOKUP($B377,   MBI_LastBuy!$A$3:E$13199,5,FALSE)</f>
        <v>USD</v>
      </c>
      <c r="V377" s="15">
        <f>VLOOKUP($B377,   MBI_LastBuy!$A$3:E$13199,4,FALSE)</f>
        <v>44140</v>
      </c>
    </row>
    <row r="378" spans="1:22" x14ac:dyDescent="0.25">
      <c r="A378" s="11" t="s">
        <v>3556</v>
      </c>
      <c r="B378" s="11">
        <v>738438</v>
      </c>
      <c r="C378" s="11" t="str">
        <f>VLOOKUP(B378,Towary_i_uslugi!$A$4:$B$1500,2)</f>
        <v>(brak)</v>
      </c>
      <c r="D378" s="11" t="s">
        <v>3674</v>
      </c>
      <c r="E378" s="11">
        <f>VLOOKUP(B378,Towary_i_uslugi!$A$3:$T$1500,3,FALSE)</f>
        <v>40</v>
      </c>
      <c r="F378" s="11" t="str">
        <f>VLOOKUP(B378,Towary_i_uslugi!$A$3:$T$1500,20,FALSE)</f>
        <v>shrink/sticker</v>
      </c>
      <c r="G378" s="11">
        <f>VLOOKUP(B378,MBI_Dostawcy_towarów!$A$4:$C$1399,3,FALSE)</f>
        <v>0.27500000000000002</v>
      </c>
      <c r="H378" s="11">
        <v>15</v>
      </c>
      <c r="I378" s="11">
        <v>0</v>
      </c>
      <c r="J378" s="11">
        <v>250</v>
      </c>
      <c r="K378" s="11">
        <f>_xlfn.IFNA(VLOOKUP(B378,Towary_na_zamówieniach!$A$4:$C$1500,2,FALSE),0)</f>
        <v>480</v>
      </c>
      <c r="L378" s="11">
        <f>_xlfn.IFNA(VLOOKUP(B378,Towary_na_zamówieniach!$A$4:$C$1500,3,FALSE),0)</f>
        <v>468.96</v>
      </c>
      <c r="M378" s="11">
        <f>_xlfn.IFNA(VLOOKUP(B378,MBI_Dostawcy_towarów!$A$4:$C$2000,2,FALSE),"N/A")</f>
        <v>100</v>
      </c>
      <c r="N378" s="11" t="str">
        <f>IF(VLOOKUP(B378,Towary_i_uslugi!$A$3:$T$1500,17,FALSE)=0,"!NO SUPPLIER",VLOOKUP(B378,Towary_i_uslugi!$A$3:$T$1500,17))</f>
        <v xml:space="preserve">LF rozrachunki </v>
      </c>
      <c r="O378" s="11" t="str">
        <f>IF(VLOOKUP(B378,Towary_i_uslugi!$A$4:$U$1200,21,FALSE)&gt;0,VLOOKUP(B378,Towary_i_uslugi!$A$4:$U$1200,21,FALSE),"")</f>
        <v/>
      </c>
      <c r="P378" s="11">
        <f t="shared" si="15"/>
        <v>0</v>
      </c>
      <c r="Q378" s="11">
        <f t="shared" si="16"/>
        <v>0</v>
      </c>
      <c r="R378" s="17">
        <f t="shared" si="17"/>
        <v>0</v>
      </c>
      <c r="S378" s="17">
        <f>VLOOKUP($B378,   MBI_LastBuy!$A$3:E$13199,3,FALSE)</f>
        <v>480</v>
      </c>
      <c r="T378" s="13">
        <f>VLOOKUP($B378,   MBI_LastBuy!$A$3:E$13199,2,FALSE)</f>
        <v>0.97699999999999998</v>
      </c>
      <c r="U378" s="13" t="str">
        <f>VLOOKUP($B378,   MBI_LastBuy!$A$3:E$13199,5,FALSE)</f>
        <v>USD</v>
      </c>
      <c r="V378" s="15">
        <f>VLOOKUP($B378,   MBI_LastBuy!$A$3:E$13199,4,FALSE)</f>
        <v>44140</v>
      </c>
    </row>
    <row r="379" spans="1:22" x14ac:dyDescent="0.25">
      <c r="A379" s="11" t="s">
        <v>3556</v>
      </c>
      <c r="B379" s="11">
        <v>738536</v>
      </c>
      <c r="C379" s="11" t="str">
        <f>VLOOKUP(B379,Towary_i_uslugi!$A$4:$B$1500,2)</f>
        <v>(brak)</v>
      </c>
      <c r="D379" s="11" t="s">
        <v>2875</v>
      </c>
      <c r="E379" s="11">
        <f>VLOOKUP(B379,Towary_i_uslugi!$A$3:$T$1500,3,FALSE)</f>
        <v>40</v>
      </c>
      <c r="F379" s="11" t="str">
        <f>VLOOKUP(B379,Towary_i_uslugi!$A$3:$T$1500,20,FALSE)</f>
        <v>shrink/sticker</v>
      </c>
      <c r="G379" s="11">
        <f>VLOOKUP(B379,MBI_Dostawcy_towarów!$A$4:$C$1399,3,FALSE)</f>
        <v>0.26200000000000001</v>
      </c>
      <c r="H379" s="11">
        <v>43</v>
      </c>
      <c r="I379" s="11">
        <v>0</v>
      </c>
      <c r="J379" s="11">
        <v>400</v>
      </c>
      <c r="K379" s="11">
        <f>_xlfn.IFNA(VLOOKUP(B379,Towary_na_zamówieniach!$A$4:$C$1500,2,FALSE),0)</f>
        <v>1280</v>
      </c>
      <c r="L379" s="11">
        <f>_xlfn.IFNA(VLOOKUP(B379,Towary_na_zamówieniach!$A$4:$C$1500,3,FALSE),0)</f>
        <v>1546.88</v>
      </c>
      <c r="M379" s="11">
        <f>_xlfn.IFNA(VLOOKUP(B379,MBI_Dostawcy_towarów!$A$4:$C$2000,2,FALSE),"N/A")</f>
        <v>100</v>
      </c>
      <c r="N379" s="11" t="str">
        <f>IF(VLOOKUP(B379,Towary_i_uslugi!$A$3:$T$1500,17,FALSE)=0,"!NO SUPPLIER",VLOOKUP(B379,Towary_i_uslugi!$A$3:$T$1500,17))</f>
        <v xml:space="preserve">LF rozrachunki </v>
      </c>
      <c r="O379" s="11" t="str">
        <f>IF(VLOOKUP(B379,Towary_i_uslugi!$A$4:$U$1200,21,FALSE)&gt;0,VLOOKUP(B379,Towary_i_uslugi!$A$4:$U$1200,21,FALSE),"")</f>
        <v/>
      </c>
      <c r="P379" s="11">
        <f t="shared" si="15"/>
        <v>0</v>
      </c>
      <c r="Q379" s="11">
        <f t="shared" si="16"/>
        <v>0</v>
      </c>
      <c r="R379" s="17">
        <f t="shared" si="17"/>
        <v>0</v>
      </c>
      <c r="S379" s="17">
        <f>VLOOKUP($B379,   MBI_LastBuy!$A$3:E$13199,3,FALSE)</f>
        <v>640</v>
      </c>
      <c r="T379" s="13">
        <f>VLOOKUP($B379,   MBI_LastBuy!$A$3:E$13199,2,FALSE)</f>
        <v>1.167</v>
      </c>
      <c r="U379" s="13" t="str">
        <f>VLOOKUP($B379,   MBI_LastBuy!$A$3:E$13199,5,FALSE)</f>
        <v>USD</v>
      </c>
      <c r="V379" s="15">
        <f>VLOOKUP($B379,   MBI_LastBuy!$A$3:E$13199,4,FALSE)</f>
        <v>44140</v>
      </c>
    </row>
    <row r="380" spans="1:22" x14ac:dyDescent="0.25">
      <c r="A380" s="11" t="s">
        <v>3556</v>
      </c>
      <c r="B380" s="11">
        <v>738538</v>
      </c>
      <c r="C380" s="11" t="str">
        <f>VLOOKUP(B380,Towary_i_uslugi!$A$4:$B$1500,2)</f>
        <v>(brak)</v>
      </c>
      <c r="D380" s="11" t="s">
        <v>3675</v>
      </c>
      <c r="E380" s="11">
        <f>VLOOKUP(B380,Towary_i_uslugi!$A$3:$T$1500,3,FALSE)</f>
        <v>40</v>
      </c>
      <c r="F380" s="11" t="str">
        <f>VLOOKUP(B380,Towary_i_uslugi!$A$3:$T$1500,20,FALSE)</f>
        <v>shrink/sticker</v>
      </c>
      <c r="G380" s="11">
        <f>VLOOKUP(B380,MBI_Dostawcy_towarów!$A$4:$C$1399,3,FALSE)</f>
        <v>0.25</v>
      </c>
      <c r="H380" s="11">
        <v>425</v>
      </c>
      <c r="I380" s="11">
        <v>0</v>
      </c>
      <c r="J380" s="11">
        <v>500</v>
      </c>
      <c r="K380" s="11">
        <f>_xlfn.IFNA(VLOOKUP(B380,Towary_na_zamówieniach!$A$4:$C$1500,2,FALSE),0)</f>
        <v>480</v>
      </c>
      <c r="L380" s="11">
        <f>_xlfn.IFNA(VLOOKUP(B380,Towary_na_zamówieniach!$A$4:$C$1500,3,FALSE),0)</f>
        <v>537.12</v>
      </c>
      <c r="M380" s="11">
        <f>_xlfn.IFNA(VLOOKUP(B380,MBI_Dostawcy_towarów!$A$4:$C$2000,2,FALSE),"N/A")</f>
        <v>100</v>
      </c>
      <c r="N380" s="11" t="str">
        <f>IF(VLOOKUP(B380,Towary_i_uslugi!$A$3:$T$1500,17,FALSE)=0,"!NO SUPPLIER",VLOOKUP(B380,Towary_i_uslugi!$A$3:$T$1500,17))</f>
        <v xml:space="preserve">LF rozrachunki </v>
      </c>
      <c r="O380" s="11" t="str">
        <f>IF(VLOOKUP(B380,Towary_i_uslugi!$A$4:$U$1200,21,FALSE)&gt;0,VLOOKUP(B380,Towary_i_uslugi!$A$4:$U$1200,21,FALSE),"")</f>
        <v>MBA*30-06-2020*Please print product code and number of pcs on outerbox</v>
      </c>
      <c r="P380" s="11">
        <f t="shared" si="15"/>
        <v>0</v>
      </c>
      <c r="Q380" s="11">
        <f t="shared" si="16"/>
        <v>0</v>
      </c>
      <c r="R380" s="17">
        <f t="shared" si="17"/>
        <v>0</v>
      </c>
      <c r="S380" s="17">
        <f>VLOOKUP($B380,   MBI_LastBuy!$A$3:E$13199,3,FALSE)</f>
        <v>480</v>
      </c>
      <c r="T380" s="13">
        <f>VLOOKUP($B380,   MBI_LastBuy!$A$3:E$13199,2,FALSE)</f>
        <v>1.119</v>
      </c>
      <c r="U380" s="13" t="str">
        <f>VLOOKUP($B380,   MBI_LastBuy!$A$3:E$13199,5,FALSE)</f>
        <v>USD</v>
      </c>
      <c r="V380" s="15">
        <f>VLOOKUP($B380,   MBI_LastBuy!$A$3:E$13199,4,FALSE)</f>
        <v>44140</v>
      </c>
    </row>
    <row r="381" spans="1:22" x14ac:dyDescent="0.25">
      <c r="A381" s="11" t="s">
        <v>3556</v>
      </c>
      <c r="B381" s="11">
        <v>739534</v>
      </c>
      <c r="C381" s="11" t="str">
        <f>VLOOKUP(B381,Towary_i_uslugi!$A$4:$B$1500,2)</f>
        <v>(brak)</v>
      </c>
      <c r="D381" s="11" t="s">
        <v>2876</v>
      </c>
      <c r="E381" s="11">
        <f>VLOOKUP(B381,Towary_i_uslugi!$A$3:$T$1500,3,FALSE)</f>
        <v>40</v>
      </c>
      <c r="F381" s="11" t="str">
        <f>VLOOKUP(B381,Towary_i_uslugi!$A$3:$T$1500,20,FALSE)</f>
        <v>shrink/sticker</v>
      </c>
      <c r="G381" s="11">
        <f>VLOOKUP(B381,MBI_Dostawcy_towarów!$A$4:$C$1399,3,FALSE)</f>
        <v>0.25</v>
      </c>
      <c r="H381" s="11">
        <v>1</v>
      </c>
      <c r="I381" s="11">
        <v>0</v>
      </c>
      <c r="J381" s="11">
        <v>350</v>
      </c>
      <c r="K381" s="11">
        <f>_xlfn.IFNA(VLOOKUP(B381,Towary_na_zamówieniach!$A$4:$C$1500,2,FALSE),0)</f>
        <v>1280</v>
      </c>
      <c r="L381" s="11">
        <f>_xlfn.IFNA(VLOOKUP(B381,Towary_na_zamówieniach!$A$4:$C$1500,3,FALSE),0)</f>
        <v>1686.4</v>
      </c>
      <c r="M381" s="11">
        <f>_xlfn.IFNA(VLOOKUP(B381,MBI_Dostawcy_towarów!$A$4:$C$2000,2,FALSE),"N/A")</f>
        <v>100</v>
      </c>
      <c r="N381" s="11" t="str">
        <f>IF(VLOOKUP(B381,Towary_i_uslugi!$A$3:$T$1500,17,FALSE)=0,"!NO SUPPLIER",VLOOKUP(B381,Towary_i_uslugi!$A$3:$T$1500,17))</f>
        <v xml:space="preserve">LF rozrachunki </v>
      </c>
      <c r="O381" s="11" t="str">
        <f>IF(VLOOKUP(B381,Towary_i_uslugi!$A$4:$U$1200,21,FALSE)&gt;0,VLOOKUP(B381,Towary_i_uslugi!$A$4:$U$1200,21,FALSE),"")</f>
        <v/>
      </c>
      <c r="P381" s="11">
        <f t="shared" si="15"/>
        <v>0</v>
      </c>
      <c r="Q381" s="11">
        <f t="shared" si="16"/>
        <v>0</v>
      </c>
      <c r="R381" s="17">
        <f t="shared" si="17"/>
        <v>0</v>
      </c>
      <c r="S381" s="17">
        <f>VLOOKUP($B381,   MBI_LastBuy!$A$3:E$13199,3,FALSE)</f>
        <v>640</v>
      </c>
      <c r="T381" s="13">
        <f>VLOOKUP($B381,   MBI_LastBuy!$A$3:E$13199,2,FALSE)</f>
        <v>1.2150000000000001</v>
      </c>
      <c r="U381" s="13" t="str">
        <f>VLOOKUP($B381,   MBI_LastBuy!$A$3:E$13199,5,FALSE)</f>
        <v>USD</v>
      </c>
      <c r="V381" s="15">
        <f>VLOOKUP($B381,   MBI_LastBuy!$A$3:E$13199,4,FALSE)</f>
        <v>44140</v>
      </c>
    </row>
    <row r="382" spans="1:22" x14ac:dyDescent="0.25">
      <c r="A382" s="11" t="s">
        <v>3555</v>
      </c>
      <c r="B382" s="11">
        <v>740050</v>
      </c>
      <c r="C382" s="11" t="str">
        <f>VLOOKUP(B382,Towary_i_uslugi!$A$4:$B$1500,2)</f>
        <v>(brak)</v>
      </c>
      <c r="D382" s="11" t="s">
        <v>2877</v>
      </c>
      <c r="E382" s="11">
        <f>VLOOKUP(B382,Towary_i_uslugi!$A$3:$T$1500,3,FALSE)</f>
        <v>48</v>
      </c>
      <c r="F382" s="11" t="str">
        <f>VLOOKUP(B382,Towary_i_uslugi!$A$3:$T$1500,20,FALSE)</f>
        <v>slide blister card</v>
      </c>
      <c r="G382" s="11">
        <f>VLOOKUP(B382,MBI_Dostawcy_towarów!$A$4:$C$1399,3,FALSE)</f>
        <v>0.188</v>
      </c>
      <c r="H382" s="11">
        <v>244</v>
      </c>
      <c r="I382" s="11">
        <v>0</v>
      </c>
      <c r="J382" s="11">
        <v>300</v>
      </c>
      <c r="K382" s="11">
        <f>_xlfn.IFNA(VLOOKUP(B382,Towary_na_zamówieniach!$A$4:$C$1500,2,FALSE),0)</f>
        <v>672</v>
      </c>
      <c r="L382" s="11">
        <f>_xlfn.IFNA(VLOOKUP(B382,Towary_na_zamówieniach!$A$4:$C$1500,3,FALSE),0)</f>
        <v>766.08</v>
      </c>
      <c r="M382" s="11">
        <f>_xlfn.IFNA(VLOOKUP(B382,MBI_Dostawcy_towarów!$A$4:$C$2000,2,FALSE),"N/A")</f>
        <v>100</v>
      </c>
      <c r="N382" s="11" t="str">
        <f>IF(VLOOKUP(B382,Towary_i_uslugi!$A$3:$T$1500,17,FALSE)=0,"!NO SUPPLIER",VLOOKUP(B382,Towary_i_uslugi!$A$3:$T$1500,17))</f>
        <v xml:space="preserve">HQ - Canada </v>
      </c>
      <c r="O382" s="11" t="str">
        <f>IF(VLOOKUP(B382,Towary_i_uslugi!$A$4:$U$1200,21,FALSE)&gt;0,VLOOKUP(B382,Towary_i_uslugi!$A$4:$U$1200,21,FALSE),"")</f>
        <v/>
      </c>
      <c r="P382" s="11">
        <f t="shared" si="15"/>
        <v>0</v>
      </c>
      <c r="Q382" s="11">
        <f t="shared" si="16"/>
        <v>0</v>
      </c>
      <c r="R382" s="17">
        <f t="shared" si="17"/>
        <v>0</v>
      </c>
      <c r="S382" s="17">
        <f>VLOOKUP($B382,   MBI_LastBuy!$A$3:E$13199,3,FALSE)</f>
        <v>5</v>
      </c>
      <c r="T382" s="13">
        <f>VLOOKUP($B382,   MBI_LastBuy!$A$3:E$13199,2,FALSE)</f>
        <v>7.51</v>
      </c>
      <c r="U382" s="13" t="str">
        <f>VLOOKUP($B382,   MBI_LastBuy!$A$3:E$13199,5,FALSE)</f>
        <v>PLN</v>
      </c>
      <c r="V382" s="15">
        <f>VLOOKUP($B382,   MBI_LastBuy!$A$3:E$13199,4,FALSE)</f>
        <v>44119</v>
      </c>
    </row>
    <row r="383" spans="1:22" x14ac:dyDescent="0.25">
      <c r="A383" s="11" t="s">
        <v>3553</v>
      </c>
      <c r="B383" s="11">
        <v>740100</v>
      </c>
      <c r="C383" s="11" t="str">
        <f>VLOOKUP(B383,Towary_i_uslugi!$A$4:$B$1500,2)</f>
        <v>(brak)</v>
      </c>
      <c r="D383" s="11" t="s">
        <v>2701</v>
      </c>
      <c r="E383" s="11">
        <f>VLOOKUP(B383,Towary_i_uslugi!$A$3:$T$1500,3,FALSE)</f>
        <v>100</v>
      </c>
      <c r="F383" s="11" t="str">
        <f>VLOOKUP(B383,Towary_i_uslugi!$A$3:$T$1500,20,FALSE)</f>
        <v>double blister</v>
      </c>
      <c r="G383" s="11">
        <f>VLOOKUP(B383,MBI_Dostawcy_towarów!$A$4:$C$1399,3,FALSE)</f>
        <v>0.159</v>
      </c>
      <c r="H383" s="11">
        <v>72</v>
      </c>
      <c r="I383" s="11">
        <v>200</v>
      </c>
      <c r="J383" s="11">
        <v>450</v>
      </c>
      <c r="K383" s="11">
        <f>_xlfn.IFNA(VLOOKUP(B383,Towary_na_zamówieniach!$A$4:$C$1500,2,FALSE),0)</f>
        <v>1200</v>
      </c>
      <c r="L383" s="11">
        <f>_xlfn.IFNA(VLOOKUP(B383,Towary_na_zamówieniach!$A$4:$C$1500,3,FALSE),0)</f>
        <v>720</v>
      </c>
      <c r="M383" s="11">
        <f>_xlfn.IFNA(VLOOKUP(B383,MBI_Dostawcy_towarów!$A$4:$C$2000,2,FALSE),"N/A")</f>
        <v>100</v>
      </c>
      <c r="N383" s="11" t="str">
        <f>IF(VLOOKUP(B383,Towary_i_uslugi!$A$3:$T$1500,17,FALSE)=0,"!NO SUPPLIER",VLOOKUP(B383,Towary_i_uslugi!$A$3:$T$1500,17))</f>
        <v>FX -MAPLE Frank Xu</v>
      </c>
      <c r="O383" s="11" t="str">
        <f>IF(VLOOKUP(B383,Towary_i_uslugi!$A$4:$U$1200,21,FALSE)&gt;0,VLOOKUP(B383,Towary_i_uslugi!$A$4:$U$1200,21,FALSE),"")</f>
        <v/>
      </c>
      <c r="P383" s="11">
        <f t="shared" si="15"/>
        <v>0</v>
      </c>
      <c r="Q383" s="11">
        <f t="shared" si="16"/>
        <v>0</v>
      </c>
      <c r="R383" s="17">
        <f t="shared" si="17"/>
        <v>0</v>
      </c>
      <c r="S383" s="17">
        <f>VLOOKUP($B383,   MBI_LastBuy!$A$3:E$13199,3,FALSE)</f>
        <v>1200</v>
      </c>
      <c r="T383" s="13">
        <f>VLOOKUP($B383,   MBI_LastBuy!$A$3:E$13199,2,FALSE)</f>
        <v>0.6</v>
      </c>
      <c r="U383" s="13" t="str">
        <f>VLOOKUP($B383,   MBI_LastBuy!$A$3:E$13199,5,FALSE)</f>
        <v>USD</v>
      </c>
      <c r="V383" s="15">
        <f>VLOOKUP($B383,   MBI_LastBuy!$A$3:E$13199,4,FALSE)</f>
        <v>43943</v>
      </c>
    </row>
    <row r="384" spans="1:22" x14ac:dyDescent="0.25">
      <c r="A384" s="11" t="s">
        <v>3553</v>
      </c>
      <c r="B384" s="11">
        <v>740101</v>
      </c>
      <c r="C384" s="11" t="str">
        <f>VLOOKUP(B384,Towary_i_uslugi!$A$4:$B$1500,2)</f>
        <v>(brak)</v>
      </c>
      <c r="D384" s="11" t="s">
        <v>2878</v>
      </c>
      <c r="E384" s="11">
        <f>VLOOKUP(B384,Towary_i_uslugi!$A$3:$T$1500,3,FALSE)</f>
        <v>100</v>
      </c>
      <c r="F384" s="11" t="str">
        <f>VLOOKUP(B384,Towary_i_uslugi!$A$3:$T$1500,20,FALSE)</f>
        <v>double blister</v>
      </c>
      <c r="G384" s="11">
        <f>VLOOKUP(B384,MBI_Dostawcy_towarów!$A$4:$C$1399,3,FALSE)</f>
        <v>0.20100000000000001</v>
      </c>
      <c r="H384" s="11">
        <v>1</v>
      </c>
      <c r="I384" s="11">
        <v>20</v>
      </c>
      <c r="J384" s="11">
        <v>700</v>
      </c>
      <c r="K384" s="11">
        <f>_xlfn.IFNA(VLOOKUP(B384,Towary_na_zamówieniach!$A$4:$C$1500,2,FALSE),0)</f>
        <v>1000</v>
      </c>
      <c r="L384" s="11">
        <f>_xlfn.IFNA(VLOOKUP(B384,Towary_na_zamówieniach!$A$4:$C$1500,3,FALSE),0)</f>
        <v>710</v>
      </c>
      <c r="M384" s="11">
        <f>_xlfn.IFNA(VLOOKUP(B384,MBI_Dostawcy_towarów!$A$4:$C$2000,2,FALSE),"N/A")</f>
        <v>100</v>
      </c>
      <c r="N384" s="11" t="str">
        <f>IF(VLOOKUP(B384,Towary_i_uslugi!$A$3:$T$1500,17,FALSE)=0,"!NO SUPPLIER",VLOOKUP(B384,Towary_i_uslugi!$A$3:$T$1500,17))</f>
        <v>FX -MAPLE Frank Xu</v>
      </c>
      <c r="O384" s="11" t="str">
        <f>IF(VLOOKUP(B384,Towary_i_uslugi!$A$4:$U$1200,21,FALSE)&gt;0,VLOOKUP(B384,Towary_i_uslugi!$A$4:$U$1200,21,FALSE),"")</f>
        <v/>
      </c>
      <c r="P384" s="11">
        <f t="shared" si="15"/>
        <v>0</v>
      </c>
      <c r="Q384" s="11">
        <f t="shared" si="16"/>
        <v>0</v>
      </c>
      <c r="R384" s="17">
        <f t="shared" si="17"/>
        <v>0</v>
      </c>
      <c r="S384" s="17">
        <f>VLOOKUP($B384,   MBI_LastBuy!$A$3:E$13199,3,FALSE)</f>
        <v>1000</v>
      </c>
      <c r="T384" s="13">
        <f>VLOOKUP($B384,   MBI_LastBuy!$A$3:E$13199,2,FALSE)</f>
        <v>0.71</v>
      </c>
      <c r="U384" s="13" t="str">
        <f>VLOOKUP($B384,   MBI_LastBuy!$A$3:E$13199,5,FALSE)</f>
        <v>USD</v>
      </c>
      <c r="V384" s="15">
        <f>VLOOKUP($B384,   MBI_LastBuy!$A$3:E$13199,4,FALSE)</f>
        <v>43998</v>
      </c>
    </row>
    <row r="385" spans="1:22" x14ac:dyDescent="0.25">
      <c r="A385" s="11" t="s">
        <v>3553</v>
      </c>
      <c r="B385" s="11">
        <v>740102</v>
      </c>
      <c r="C385" s="11" t="str">
        <f>VLOOKUP(B385,Towary_i_uslugi!$A$4:$B$1500,2)</f>
        <v>(brak)</v>
      </c>
      <c r="D385" s="11" t="s">
        <v>2636</v>
      </c>
      <c r="E385" s="11">
        <f>VLOOKUP(B385,Towary_i_uslugi!$A$3:$T$1500,3,FALSE)</f>
        <v>60</v>
      </c>
      <c r="F385" s="11" t="str">
        <f>VLOOKUP(B385,Towary_i_uslugi!$A$3:$T$1500,20,FALSE)</f>
        <v>double blister</v>
      </c>
      <c r="G385" s="11">
        <f>VLOOKUP(B385,MBI_Dostawcy_towarów!$A$4:$C$1399,3,FALSE)</f>
        <v>0.33100000000000002</v>
      </c>
      <c r="H385" s="11">
        <v>1</v>
      </c>
      <c r="I385" s="11">
        <v>120</v>
      </c>
      <c r="J385" s="11">
        <v>750</v>
      </c>
      <c r="K385" s="11">
        <f>_xlfn.IFNA(VLOOKUP(B385,Towary_na_zamówieniach!$A$4:$C$1500,2,FALSE),0)</f>
        <v>1200</v>
      </c>
      <c r="L385" s="11">
        <f>_xlfn.IFNA(VLOOKUP(B385,Towary_na_zamówieniach!$A$4:$C$1500,3,FALSE),0)</f>
        <v>996</v>
      </c>
      <c r="M385" s="11">
        <f>_xlfn.IFNA(VLOOKUP(B385,MBI_Dostawcy_towarów!$A$4:$C$2000,2,FALSE),"N/A")</f>
        <v>100</v>
      </c>
      <c r="N385" s="11" t="str">
        <f>IF(VLOOKUP(B385,Towary_i_uslugi!$A$3:$T$1500,17,FALSE)=0,"!NO SUPPLIER",VLOOKUP(B385,Towary_i_uslugi!$A$3:$T$1500,17))</f>
        <v>FX -MAPLE Frank Xu</v>
      </c>
      <c r="O385" s="11" t="str">
        <f>IF(VLOOKUP(B385,Towary_i_uslugi!$A$4:$U$1200,21,FALSE)&gt;0,VLOOKUP(B385,Towary_i_uslugi!$A$4:$U$1200,21,FALSE),"")</f>
        <v/>
      </c>
      <c r="P385" s="11">
        <f t="shared" si="15"/>
        <v>0</v>
      </c>
      <c r="Q385" s="11">
        <f t="shared" si="16"/>
        <v>0</v>
      </c>
      <c r="R385" s="17">
        <f t="shared" si="17"/>
        <v>0</v>
      </c>
      <c r="S385" s="17">
        <f>VLOOKUP($B385,   MBI_LastBuy!$A$3:E$13199,3,FALSE)</f>
        <v>1200</v>
      </c>
      <c r="T385" s="13">
        <f>VLOOKUP($B385,   MBI_LastBuy!$A$3:E$13199,2,FALSE)</f>
        <v>0.83</v>
      </c>
      <c r="U385" s="13" t="str">
        <f>VLOOKUP($B385,   MBI_LastBuy!$A$3:E$13199,5,FALSE)</f>
        <v>USD</v>
      </c>
      <c r="V385" s="15">
        <f>VLOOKUP($B385,   MBI_LastBuy!$A$3:E$13199,4,FALSE)</f>
        <v>43943</v>
      </c>
    </row>
    <row r="386" spans="1:22" x14ac:dyDescent="0.25">
      <c r="A386" s="11" t="s">
        <v>3553</v>
      </c>
      <c r="B386" s="11">
        <v>741011</v>
      </c>
      <c r="C386" s="11" t="str">
        <f>VLOOKUP(B386,Towary_i_uslugi!$A$4:$B$1500,2)</f>
        <v>(brak)</v>
      </c>
      <c r="D386" s="11" t="s">
        <v>2879</v>
      </c>
      <c r="E386" s="11">
        <f>VLOOKUP(B386,Towary_i_uslugi!$A$3:$T$1500,3,FALSE)</f>
        <v>96</v>
      </c>
      <c r="F386" s="11" t="str">
        <f>VLOOKUP(B386,Towary_i_uslugi!$A$3:$T$1500,20,FALSE)</f>
        <v>double blister</v>
      </c>
      <c r="G386" s="11">
        <f>VLOOKUP(B386,MBI_Dostawcy_towarów!$A$4:$C$1399,3,FALSE)</f>
        <v>0.14799999999999999</v>
      </c>
      <c r="H386" s="11">
        <v>479</v>
      </c>
      <c r="I386" s="11">
        <v>0</v>
      </c>
      <c r="J386" s="11">
        <v>850</v>
      </c>
      <c r="K386" s="11">
        <f>_xlfn.IFNA(VLOOKUP(B386,Towary_na_zamówieniach!$A$4:$C$1500,2,FALSE),0)</f>
        <v>1440</v>
      </c>
      <c r="L386" s="11">
        <f>_xlfn.IFNA(VLOOKUP(B386,Towary_na_zamówieniach!$A$4:$C$1500,3,FALSE),0)</f>
        <v>792</v>
      </c>
      <c r="M386" s="11">
        <f>_xlfn.IFNA(VLOOKUP(B386,MBI_Dostawcy_towarów!$A$4:$C$2000,2,FALSE),"N/A")</f>
        <v>100</v>
      </c>
      <c r="N386" s="11" t="str">
        <f>IF(VLOOKUP(B386,Towary_i_uslugi!$A$3:$T$1500,17,FALSE)=0,"!NO SUPPLIER",VLOOKUP(B386,Towary_i_uslugi!$A$3:$T$1500,17))</f>
        <v>FX -MAPLE Frank Xu</v>
      </c>
      <c r="O386" s="11" t="str">
        <f>IF(VLOOKUP(B386,Towary_i_uslugi!$A$4:$U$1200,21,FALSE)&gt;0,VLOOKUP(B386,Towary_i_uslugi!$A$4:$U$1200,21,FALSE),"")</f>
        <v/>
      </c>
      <c r="P386" s="11">
        <f t="shared" si="15"/>
        <v>0</v>
      </c>
      <c r="Q386" s="11">
        <f t="shared" si="16"/>
        <v>0</v>
      </c>
      <c r="R386" s="17">
        <f t="shared" si="17"/>
        <v>0</v>
      </c>
      <c r="S386" s="17">
        <f>VLOOKUP($B386,   MBI_LastBuy!$A$3:E$13199,3,FALSE)</f>
        <v>1440</v>
      </c>
      <c r="T386" s="13">
        <f>VLOOKUP($B386,   MBI_LastBuy!$A$3:E$13199,2,FALSE)</f>
        <v>0.55000000000000004</v>
      </c>
      <c r="U386" s="13" t="str">
        <f>VLOOKUP($B386,   MBI_LastBuy!$A$3:E$13199,5,FALSE)</f>
        <v>USD</v>
      </c>
      <c r="V386" s="15">
        <f>VLOOKUP($B386,   MBI_LastBuy!$A$3:E$13199,4,FALSE)</f>
        <v>44062</v>
      </c>
    </row>
    <row r="387" spans="1:22" x14ac:dyDescent="0.25">
      <c r="A387" s="11" t="s">
        <v>3553</v>
      </c>
      <c r="B387" s="11">
        <v>741120</v>
      </c>
      <c r="C387" s="11" t="str">
        <f>VLOOKUP(B387,Towary_i_uslugi!$A$4:$B$1500,2)</f>
        <v>(brak)</v>
      </c>
      <c r="D387" s="11" t="s">
        <v>2637</v>
      </c>
      <c r="E387" s="11">
        <f>VLOOKUP(B387,Towary_i_uslugi!$A$3:$T$1500,3,FALSE)</f>
        <v>200</v>
      </c>
      <c r="F387" s="11" t="str">
        <f>VLOOKUP(B387,Towary_i_uslugi!$A$3:$T$1500,20,FALSE)</f>
        <v>double blister</v>
      </c>
      <c r="G387" s="11">
        <f>VLOOKUP(B387,MBI_Dostawcy_towarów!$A$4:$C$1399,3,FALSE)</f>
        <v>7.0999999999999994E-2</v>
      </c>
      <c r="H387" s="11">
        <v>2</v>
      </c>
      <c r="I387" s="11">
        <v>80</v>
      </c>
      <c r="J387" s="11">
        <v>500</v>
      </c>
      <c r="K387" s="11">
        <f>_xlfn.IFNA(VLOOKUP(B387,Towary_na_zamówieniach!$A$4:$C$1500,2,FALSE),0)</f>
        <v>1000</v>
      </c>
      <c r="L387" s="11">
        <f>_xlfn.IFNA(VLOOKUP(B387,Towary_na_zamówieniach!$A$4:$C$1500,3,FALSE),0)</f>
        <v>410</v>
      </c>
      <c r="M387" s="11">
        <f>_xlfn.IFNA(VLOOKUP(B387,MBI_Dostawcy_towarów!$A$4:$C$2000,2,FALSE),"N/A")</f>
        <v>100</v>
      </c>
      <c r="N387" s="11" t="str">
        <f>IF(VLOOKUP(B387,Towary_i_uslugi!$A$3:$T$1500,17,FALSE)=0,"!NO SUPPLIER",VLOOKUP(B387,Towary_i_uslugi!$A$3:$T$1500,17))</f>
        <v>FX -MAPLE Frank Xu</v>
      </c>
      <c r="O387" s="11" t="str">
        <f>IF(VLOOKUP(B387,Towary_i_uslugi!$A$4:$U$1200,21,FALSE)&gt;0,VLOOKUP(B387,Towary_i_uslugi!$A$4:$U$1200,21,FALSE),"")</f>
        <v/>
      </c>
      <c r="P387" s="11">
        <f t="shared" ref="P387:P450" si="18">IF(K387=0,ROUNDUP(J387/E387,0),IF((K387+H387-I387)/J387&lt;1,ROUNDUP(J387/E387,0),0))</f>
        <v>0</v>
      </c>
      <c r="Q387" s="11">
        <f t="shared" ref="Q387:Q450" si="19">P387*E387</f>
        <v>0</v>
      </c>
      <c r="R387" s="17">
        <f t="shared" ref="R387:R450" si="20">Q387*T387</f>
        <v>0</v>
      </c>
      <c r="S387" s="17">
        <f>VLOOKUP($B387,   MBI_LastBuy!$A$3:E$13199,3,FALSE)</f>
        <v>1000</v>
      </c>
      <c r="T387" s="13">
        <f>VLOOKUP($B387,   MBI_LastBuy!$A$3:E$13199,2,FALSE)</f>
        <v>0.41</v>
      </c>
      <c r="U387" s="13" t="str">
        <f>VLOOKUP($B387,   MBI_LastBuy!$A$3:E$13199,5,FALSE)</f>
        <v>USD</v>
      </c>
      <c r="V387" s="15">
        <f>VLOOKUP($B387,   MBI_LastBuy!$A$3:E$13199,4,FALSE)</f>
        <v>43964</v>
      </c>
    </row>
    <row r="388" spans="1:22" x14ac:dyDescent="0.25">
      <c r="A388" s="11" t="s">
        <v>3553</v>
      </c>
      <c r="B388" s="11">
        <v>741121</v>
      </c>
      <c r="C388" s="11" t="str">
        <f>VLOOKUP(B388,Towary_i_uslugi!$A$4:$B$1500,2)</f>
        <v>(brak)</v>
      </c>
      <c r="D388" s="11" t="s">
        <v>2880</v>
      </c>
      <c r="E388" s="11">
        <f>VLOOKUP(B388,Towary_i_uslugi!$A$3:$T$1500,3,FALSE)</f>
        <v>128</v>
      </c>
      <c r="F388" s="11" t="str">
        <f>VLOOKUP(B388,Towary_i_uslugi!$A$3:$T$1500,20,FALSE)</f>
        <v>double blister</v>
      </c>
      <c r="G388" s="11">
        <f>VLOOKUP(B388,MBI_Dostawcy_towarów!$A$4:$C$1399,3,FALSE)</f>
        <v>0.10100000000000001</v>
      </c>
      <c r="H388" s="11">
        <v>560</v>
      </c>
      <c r="I388" s="11">
        <v>64</v>
      </c>
      <c r="J388" s="11">
        <v>700</v>
      </c>
      <c r="K388" s="11">
        <f>_xlfn.IFNA(VLOOKUP(B388,Towary_na_zamówieniach!$A$4:$C$1500,2,FALSE),0)</f>
        <v>1280</v>
      </c>
      <c r="L388" s="11">
        <f>_xlfn.IFNA(VLOOKUP(B388,Towary_na_zamówieniach!$A$4:$C$1500,3,FALSE),0)</f>
        <v>537.6</v>
      </c>
      <c r="M388" s="11">
        <f>_xlfn.IFNA(VLOOKUP(B388,MBI_Dostawcy_towarów!$A$4:$C$2000,2,FALSE),"N/A")</f>
        <v>100</v>
      </c>
      <c r="N388" s="11" t="str">
        <f>IF(VLOOKUP(B388,Towary_i_uslugi!$A$3:$T$1500,17,FALSE)=0,"!NO SUPPLIER",VLOOKUP(B388,Towary_i_uslugi!$A$3:$T$1500,17))</f>
        <v>FX -MAPLE Frank Xu</v>
      </c>
      <c r="O388" s="11" t="str">
        <f>IF(VLOOKUP(B388,Towary_i_uslugi!$A$4:$U$1200,21,FALSE)&gt;0,VLOOKUP(B388,Towary_i_uslugi!$A$4:$U$1200,21,FALSE),"")</f>
        <v/>
      </c>
      <c r="P388" s="11">
        <f t="shared" si="18"/>
        <v>0</v>
      </c>
      <c r="Q388" s="11">
        <f t="shared" si="19"/>
        <v>0</v>
      </c>
      <c r="R388" s="17">
        <f t="shared" si="20"/>
        <v>0</v>
      </c>
      <c r="S388" s="17">
        <f>VLOOKUP($B388,   MBI_LastBuy!$A$3:E$13199,3,FALSE)</f>
        <v>1280</v>
      </c>
      <c r="T388" s="13">
        <f>VLOOKUP($B388,   MBI_LastBuy!$A$3:E$13199,2,FALSE)</f>
        <v>0.42</v>
      </c>
      <c r="U388" s="13" t="str">
        <f>VLOOKUP($B388,   MBI_LastBuy!$A$3:E$13199,5,FALSE)</f>
        <v>USD</v>
      </c>
      <c r="V388" s="15">
        <f>VLOOKUP($B388,   MBI_LastBuy!$A$3:E$13199,4,FALSE)</f>
        <v>44113</v>
      </c>
    </row>
    <row r="389" spans="1:22" x14ac:dyDescent="0.25">
      <c r="A389" s="11" t="s">
        <v>3553</v>
      </c>
      <c r="B389" s="11">
        <v>741122</v>
      </c>
      <c r="C389" s="11" t="str">
        <f>VLOOKUP(B389,Towary_i_uslugi!$A$4:$B$1500,2)</f>
        <v>(brak)</v>
      </c>
      <c r="D389" s="11" t="s">
        <v>2881</v>
      </c>
      <c r="E389" s="11">
        <f>VLOOKUP(B389,Towary_i_uslugi!$A$3:$T$1500,3,FALSE)</f>
        <v>96</v>
      </c>
      <c r="F389" s="11" t="str">
        <f>VLOOKUP(B389,Towary_i_uslugi!$A$3:$T$1500,20,FALSE)</f>
        <v>slide blister</v>
      </c>
      <c r="G389" s="11">
        <f>VLOOKUP(B389,MBI_Dostawcy_towarów!$A$4:$C$1399,3,FALSE)</f>
        <v>0.14699999999999999</v>
      </c>
      <c r="H389" s="11">
        <v>1</v>
      </c>
      <c r="I389" s="11">
        <v>96</v>
      </c>
      <c r="J389" s="11">
        <v>1100</v>
      </c>
      <c r="K389" s="11">
        <f>_xlfn.IFNA(VLOOKUP(B389,Towary_na_zamówieniach!$A$4:$C$1500,2,FALSE),0)</f>
        <v>2304</v>
      </c>
      <c r="L389" s="11">
        <f>_xlfn.IFNA(VLOOKUP(B389,Towary_na_zamówieniach!$A$4:$C$1500,3,FALSE),0)</f>
        <v>1059.8399999999999</v>
      </c>
      <c r="M389" s="11">
        <f>_xlfn.IFNA(VLOOKUP(B389,MBI_Dostawcy_towarów!$A$4:$C$2000,2,FALSE),"N/A")</f>
        <v>100</v>
      </c>
      <c r="N389" s="11" t="str">
        <f>IF(VLOOKUP(B389,Towary_i_uslugi!$A$3:$T$1500,17,FALSE)=0,"!NO SUPPLIER",VLOOKUP(B389,Towary_i_uslugi!$A$3:$T$1500,17))</f>
        <v>FX -MAPLE Frank Xu</v>
      </c>
      <c r="O389" s="11" t="str">
        <f>IF(VLOOKUP(B389,Towary_i_uslugi!$A$4:$U$1200,21,FALSE)&gt;0,VLOOKUP(B389,Towary_i_uslugi!$A$4:$U$1200,21,FALSE),"")</f>
        <v/>
      </c>
      <c r="P389" s="11">
        <f t="shared" si="18"/>
        <v>0</v>
      </c>
      <c r="Q389" s="11">
        <f t="shared" si="19"/>
        <v>0</v>
      </c>
      <c r="R389" s="17">
        <f t="shared" si="20"/>
        <v>0</v>
      </c>
      <c r="S389" s="17">
        <f>VLOOKUP($B389,   MBI_LastBuy!$A$3:E$13199,3,FALSE)</f>
        <v>1152</v>
      </c>
      <c r="T389" s="13">
        <f>VLOOKUP($B389,   MBI_LastBuy!$A$3:E$13199,2,FALSE)</f>
        <v>0.48</v>
      </c>
      <c r="U389" s="13" t="str">
        <f>VLOOKUP($B389,   MBI_LastBuy!$A$3:E$13199,5,FALSE)</f>
        <v>USD</v>
      </c>
      <c r="V389" s="15">
        <f>VLOOKUP($B389,   MBI_LastBuy!$A$3:E$13199,4,FALSE)</f>
        <v>44141</v>
      </c>
    </row>
    <row r="390" spans="1:22" x14ac:dyDescent="0.25">
      <c r="A390" s="11" t="s">
        <v>3555</v>
      </c>
      <c r="B390" s="11">
        <v>750030</v>
      </c>
      <c r="C390" s="11" t="str">
        <f>VLOOKUP(B390,Towary_i_uslugi!$A$4:$B$1500,2)</f>
        <v>(brak)</v>
      </c>
      <c r="D390" s="11" t="s">
        <v>3676</v>
      </c>
      <c r="E390" s="11">
        <f>VLOOKUP(B390,Towary_i_uslugi!$A$3:$T$1500,3,FALSE)</f>
        <v>100</v>
      </c>
      <c r="F390" s="11" t="str">
        <f>VLOOKUP(B390,Towary_i_uslugi!$A$3:$T$1500,20,FALSE)</f>
        <v>slide blister</v>
      </c>
      <c r="G390" s="11">
        <f>VLOOKUP(B390,MBI_Dostawcy_towarów!$A$4:$C$1399,3,FALSE)</f>
        <v>0.11</v>
      </c>
      <c r="H390" s="11">
        <v>1243</v>
      </c>
      <c r="I390" s="11">
        <v>20</v>
      </c>
      <c r="J390" s="11">
        <v>1500</v>
      </c>
      <c r="K390" s="11">
        <f>_xlfn.IFNA(VLOOKUP(B390,Towary_na_zamówieniach!$A$4:$C$1500,2,FALSE),0)</f>
        <v>1440</v>
      </c>
      <c r="L390" s="11">
        <f>_xlfn.IFNA(VLOOKUP(B390,Towary_na_zamówieniach!$A$4:$C$1500,3,FALSE),0)</f>
        <v>542.88</v>
      </c>
      <c r="M390" s="11">
        <f>_xlfn.IFNA(VLOOKUP(B390,MBI_Dostawcy_towarów!$A$4:$C$2000,2,FALSE),"N/A")</f>
        <v>100</v>
      </c>
      <c r="N390" s="11" t="str">
        <f>IF(VLOOKUP(B390,Towary_i_uslugi!$A$3:$T$1500,17,FALSE)=0,"!NO SUPPLIER",VLOOKUP(B390,Towary_i_uslugi!$A$3:$T$1500,17))</f>
        <v xml:space="preserve">HQ - Canada </v>
      </c>
      <c r="O390" s="11" t="str">
        <f>IF(VLOOKUP(B390,Towary_i_uslugi!$A$4:$U$1200,21,FALSE)&gt;0,VLOOKUP(B390,Towary_i_uslugi!$A$4:$U$1200,21,FALSE),"")</f>
        <v/>
      </c>
      <c r="P390" s="11">
        <f t="shared" si="18"/>
        <v>0</v>
      </c>
      <c r="Q390" s="11">
        <f t="shared" si="19"/>
        <v>0</v>
      </c>
      <c r="R390" s="17">
        <f t="shared" si="20"/>
        <v>0</v>
      </c>
      <c r="S390" s="17">
        <f>VLOOKUP($B390,   MBI_LastBuy!$A$3:E$13199,3,FALSE)</f>
        <v>1440</v>
      </c>
      <c r="T390" s="13">
        <f>VLOOKUP($B390,   MBI_LastBuy!$A$3:E$13199,2,FALSE)</f>
        <v>0.377</v>
      </c>
      <c r="U390" s="13" t="str">
        <f>VLOOKUP($B390,   MBI_LastBuy!$A$3:E$13199,5,FALSE)</f>
        <v>USD</v>
      </c>
      <c r="V390" s="15">
        <f>VLOOKUP($B390,   MBI_LastBuy!$A$3:E$13199,4,FALSE)</f>
        <v>44113</v>
      </c>
    </row>
    <row r="391" spans="1:22" x14ac:dyDescent="0.25">
      <c r="A391" s="11" t="s">
        <v>3555</v>
      </c>
      <c r="B391" s="11">
        <v>750040</v>
      </c>
      <c r="C391" s="11" t="str">
        <f>VLOOKUP(B391,Towary_i_uslugi!$A$4:$B$1500,2)</f>
        <v>(brak)</v>
      </c>
      <c r="D391" s="11" t="s">
        <v>1606</v>
      </c>
      <c r="E391" s="11">
        <f>VLOOKUP(B391,Towary_i_uslugi!$A$3:$T$1500,3,FALSE)</f>
        <v>48</v>
      </c>
      <c r="F391" s="11" t="str">
        <f>VLOOKUP(B391,Towary_i_uslugi!$A$3:$T$1500,20,FALSE)</f>
        <v>slide blister card</v>
      </c>
      <c r="G391" s="11">
        <f>VLOOKUP(B391,MBI_Dostawcy_towarów!$A$4:$C$1399,3,FALSE)</f>
        <v>0.19</v>
      </c>
      <c r="H391" s="11">
        <v>425</v>
      </c>
      <c r="I391" s="11">
        <v>6</v>
      </c>
      <c r="J391" s="11">
        <v>700</v>
      </c>
      <c r="K391" s="11">
        <f>_xlfn.IFNA(VLOOKUP(B391,Towary_na_zamówieniach!$A$4:$C$1500,2,FALSE),0)</f>
        <v>720</v>
      </c>
      <c r="L391" s="11">
        <f>_xlfn.IFNA(VLOOKUP(B391,Towary_na_zamówieniach!$A$4:$C$1500,3,FALSE),0)</f>
        <v>468</v>
      </c>
      <c r="M391" s="11">
        <f>_xlfn.IFNA(VLOOKUP(B391,MBI_Dostawcy_towarów!$A$4:$C$2000,2,FALSE),"N/A")</f>
        <v>100</v>
      </c>
      <c r="N391" s="11" t="str">
        <f>IF(VLOOKUP(B391,Towary_i_uslugi!$A$3:$T$1500,17,FALSE)=0,"!NO SUPPLIER",VLOOKUP(B391,Towary_i_uslugi!$A$3:$T$1500,17))</f>
        <v xml:space="preserve">HQ - Canada </v>
      </c>
      <c r="O391" s="11" t="str">
        <f>IF(VLOOKUP(B391,Towary_i_uslugi!$A$4:$U$1200,21,FALSE)&gt;0,VLOOKUP(B391,Towary_i_uslugi!$A$4:$U$1200,21,FALSE),"")</f>
        <v/>
      </c>
      <c r="P391" s="11">
        <f t="shared" si="18"/>
        <v>0</v>
      </c>
      <c r="Q391" s="11">
        <f t="shared" si="19"/>
        <v>0</v>
      </c>
      <c r="R391" s="17">
        <f t="shared" si="20"/>
        <v>0</v>
      </c>
      <c r="S391" s="17">
        <f>VLOOKUP($B391,   MBI_LastBuy!$A$3:E$13199,3,FALSE)</f>
        <v>720</v>
      </c>
      <c r="T391" s="13">
        <f>VLOOKUP($B391,   MBI_LastBuy!$A$3:E$13199,2,FALSE)</f>
        <v>0.65</v>
      </c>
      <c r="U391" s="13" t="str">
        <f>VLOOKUP($B391,   MBI_LastBuy!$A$3:E$13199,5,FALSE)</f>
        <v>USD</v>
      </c>
      <c r="V391" s="15">
        <f>VLOOKUP($B391,   MBI_LastBuy!$A$3:E$13199,4,FALSE)</f>
        <v>44035</v>
      </c>
    </row>
    <row r="392" spans="1:22" x14ac:dyDescent="0.25">
      <c r="A392" s="11" t="s">
        <v>3552</v>
      </c>
      <c r="B392" s="11">
        <v>750100</v>
      </c>
      <c r="C392" s="11" t="str">
        <f>VLOOKUP(B392,Towary_i_uslugi!$A$4:$B$1500,2)</f>
        <v>(brak)</v>
      </c>
      <c r="D392" s="11" t="s">
        <v>2882</v>
      </c>
      <c r="E392" s="11">
        <f>VLOOKUP(B392,Towary_i_uslugi!$A$3:$T$1500,3,FALSE)</f>
        <v>120</v>
      </c>
      <c r="F392" s="11" t="str">
        <f>VLOOKUP(B392,Towary_i_uslugi!$A$3:$T$1500,20,FALSE)</f>
        <v>sticker</v>
      </c>
      <c r="G392" s="11">
        <f>VLOOKUP(B392,MBI_Dostawcy_towarów!$A$4:$C$1399,3,FALSE)</f>
        <v>0.105</v>
      </c>
      <c r="H392" s="11">
        <v>1</v>
      </c>
      <c r="I392" s="11">
        <v>0</v>
      </c>
      <c r="J392" s="11">
        <v>4000</v>
      </c>
      <c r="K392" s="11">
        <f>_xlfn.IFNA(VLOOKUP(B392,Towary_na_zamówieniach!$A$4:$C$1500,2,FALSE),0)</f>
        <v>6480</v>
      </c>
      <c r="L392" s="11">
        <f>_xlfn.IFNA(VLOOKUP(B392,Towary_na_zamówieniach!$A$4:$C$1500,3,FALSE),0)</f>
        <v>2138.4</v>
      </c>
      <c r="M392" s="11">
        <f>_xlfn.IFNA(VLOOKUP(B392,MBI_Dostawcy_towarów!$A$4:$C$2000,2,FALSE),"N/A")</f>
        <v>100</v>
      </c>
      <c r="N392" s="11" t="str">
        <f>IF(VLOOKUP(B392,Towary_i_uslugi!$A$3:$T$1500,17,FALSE)=0,"!NO SUPPLIER",VLOOKUP(B392,Towary_i_uslugi!$A$3:$T$1500,17))</f>
        <v>XM</v>
      </c>
      <c r="O392" s="11" t="str">
        <f>IF(VLOOKUP(B392,Towary_i_uslugi!$A$4:$U$1200,21,FALSE)&gt;0,VLOOKUP(B392,Towary_i_uslugi!$A$4:$U$1200,21,FALSE),"")</f>
        <v/>
      </c>
      <c r="P392" s="11">
        <f t="shared" si="18"/>
        <v>0</v>
      </c>
      <c r="Q392" s="11">
        <f t="shared" si="19"/>
        <v>0</v>
      </c>
      <c r="R392" s="17">
        <f t="shared" si="20"/>
        <v>0</v>
      </c>
      <c r="S392" s="17">
        <f>VLOOKUP($B392,   MBI_LastBuy!$A$3:E$13199,3,FALSE)</f>
        <v>2880</v>
      </c>
      <c r="T392" s="13">
        <f>VLOOKUP($B392,   MBI_LastBuy!$A$3:E$13199,2,FALSE)</f>
        <v>0.33</v>
      </c>
      <c r="U392" s="13" t="str">
        <f>VLOOKUP($B392,   MBI_LastBuy!$A$3:E$13199,5,FALSE)</f>
        <v>USD</v>
      </c>
      <c r="V392" s="15">
        <f>VLOOKUP($B392,   MBI_LastBuy!$A$3:E$13199,4,FALSE)</f>
        <v>44117</v>
      </c>
    </row>
    <row r="393" spans="1:22" x14ac:dyDescent="0.25">
      <c r="A393" s="11" t="s">
        <v>3555</v>
      </c>
      <c r="B393" s="11">
        <v>750130</v>
      </c>
      <c r="C393" s="11" t="str">
        <f>VLOOKUP(B393,Towary_i_uslugi!$A$4:$B$1500,2)</f>
        <v>(brak)</v>
      </c>
      <c r="D393" s="11" t="s">
        <v>41</v>
      </c>
      <c r="E393" s="11">
        <f>VLOOKUP(B393,Towary_i_uslugi!$A$3:$T$1500,3,FALSE)</f>
        <v>36</v>
      </c>
      <c r="F393" s="11" t="str">
        <f>VLOOKUP(B393,Towary_i_uslugi!$A$3:$T$1500,20,FALSE)</f>
        <v>pvc bag</v>
      </c>
      <c r="G393" s="11">
        <f>VLOOKUP(B393,MBI_Dostawcy_towarów!$A$4:$C$1399,3,FALSE)</f>
        <v>0.28100000000000003</v>
      </c>
      <c r="H393" s="11">
        <v>390</v>
      </c>
      <c r="I393" s="11">
        <v>0</v>
      </c>
      <c r="J393" s="11">
        <v>750</v>
      </c>
      <c r="K393" s="11">
        <f>_xlfn.IFNA(VLOOKUP(B393,Towary_na_zamówieniach!$A$4:$C$1500,2,FALSE),0)</f>
        <v>756</v>
      </c>
      <c r="L393" s="11">
        <f>_xlfn.IFNA(VLOOKUP(B393,Towary_na_zamówieniach!$A$4:$C$1500,3,FALSE),0)</f>
        <v>491.4</v>
      </c>
      <c r="M393" s="11">
        <f>_xlfn.IFNA(VLOOKUP(B393,MBI_Dostawcy_towarów!$A$4:$C$2000,2,FALSE),"N/A")</f>
        <v>100</v>
      </c>
      <c r="N393" s="11" t="str">
        <f>IF(VLOOKUP(B393,Towary_i_uslugi!$A$3:$T$1500,17,FALSE)=0,"!NO SUPPLIER",VLOOKUP(B393,Towary_i_uslugi!$A$3:$T$1500,17))</f>
        <v xml:space="preserve">HQ - Canada </v>
      </c>
      <c r="O393" s="11" t="str">
        <f>IF(VLOOKUP(B393,Towary_i_uslugi!$A$4:$U$1200,21,FALSE)&gt;0,VLOOKUP(B393,Towary_i_uslugi!$A$4:$U$1200,21,FALSE),"")</f>
        <v/>
      </c>
      <c r="P393" s="11">
        <f t="shared" si="18"/>
        <v>0</v>
      </c>
      <c r="Q393" s="11">
        <f t="shared" si="19"/>
        <v>0</v>
      </c>
      <c r="R393" s="17">
        <f t="shared" si="20"/>
        <v>0</v>
      </c>
      <c r="S393" s="17">
        <f>VLOOKUP($B393,   MBI_LastBuy!$A$3:E$13199,3,FALSE)</f>
        <v>756</v>
      </c>
      <c r="T393" s="13">
        <f>VLOOKUP($B393,   MBI_LastBuy!$A$3:E$13199,2,FALSE)</f>
        <v>0.65</v>
      </c>
      <c r="U393" s="13" t="str">
        <f>VLOOKUP($B393,   MBI_LastBuy!$A$3:E$13199,5,FALSE)</f>
        <v>USD</v>
      </c>
      <c r="V393" s="15">
        <f>VLOOKUP($B393,   MBI_LastBuy!$A$3:E$13199,4,FALSE)</f>
        <v>44035</v>
      </c>
    </row>
    <row r="394" spans="1:22" x14ac:dyDescent="0.25">
      <c r="A394" s="11" t="s">
        <v>3555</v>
      </c>
      <c r="B394" s="11">
        <v>750140</v>
      </c>
      <c r="C394" s="11" t="str">
        <f>VLOOKUP(B394,Towary_i_uslugi!$A$4:$B$1500,2)</f>
        <v>(brak)</v>
      </c>
      <c r="D394" s="11" t="s">
        <v>42</v>
      </c>
      <c r="E394" s="11">
        <f>VLOOKUP(B394,Towary_i_uslugi!$A$3:$T$1500,3,FALSE)</f>
        <v>120</v>
      </c>
      <c r="F394" s="11" t="str">
        <f>VLOOKUP(B394,Towary_i_uslugi!$A$3:$T$1500,20,FALSE)</f>
        <v>sticker</v>
      </c>
      <c r="G394" s="11">
        <f>VLOOKUP(B394,MBI_Dostawcy_towarów!$A$4:$C$1399,3,FALSE)</f>
        <v>0.11899999999999999</v>
      </c>
      <c r="H394" s="11">
        <v>634</v>
      </c>
      <c r="I394" s="11">
        <v>0</v>
      </c>
      <c r="J394" s="11">
        <v>2800</v>
      </c>
      <c r="K394" s="11">
        <f>_xlfn.IFNA(VLOOKUP(B394,Towary_na_zamówieniach!$A$4:$C$1500,2,FALSE),0)</f>
        <v>2880</v>
      </c>
      <c r="L394" s="11">
        <f>_xlfn.IFNA(VLOOKUP(B394,Towary_na_zamówieniach!$A$4:$C$1500,3,FALSE),0)</f>
        <v>665.28</v>
      </c>
      <c r="M394" s="11">
        <f>_xlfn.IFNA(VLOOKUP(B394,MBI_Dostawcy_towarów!$A$4:$C$2000,2,FALSE),"N/A")</f>
        <v>100</v>
      </c>
      <c r="N394" s="11" t="str">
        <f>IF(VLOOKUP(B394,Towary_i_uslugi!$A$3:$T$1500,17,FALSE)=0,"!NO SUPPLIER",VLOOKUP(B394,Towary_i_uslugi!$A$3:$T$1500,17))</f>
        <v xml:space="preserve">HQ - Canada </v>
      </c>
      <c r="O394" s="11" t="str">
        <f>IF(VLOOKUP(B394,Towary_i_uslugi!$A$4:$U$1200,21,FALSE)&gt;0,VLOOKUP(B394,Towary_i_uslugi!$A$4:$U$1200,21,FALSE),"")</f>
        <v/>
      </c>
      <c r="P394" s="11">
        <f t="shared" si="18"/>
        <v>0</v>
      </c>
      <c r="Q394" s="11">
        <f t="shared" si="19"/>
        <v>0</v>
      </c>
      <c r="R394" s="17">
        <f t="shared" si="20"/>
        <v>0</v>
      </c>
      <c r="S394" s="17">
        <f>VLOOKUP($B394,   MBI_LastBuy!$A$3:E$13199,3,FALSE)</f>
        <v>2880</v>
      </c>
      <c r="T394" s="13">
        <f>VLOOKUP($B394,   MBI_LastBuy!$A$3:E$13199,2,FALSE)</f>
        <v>0.23100000000000001</v>
      </c>
      <c r="U394" s="13" t="str">
        <f>VLOOKUP($B394,   MBI_LastBuy!$A$3:E$13199,5,FALSE)</f>
        <v>USD</v>
      </c>
      <c r="V394" s="15">
        <f>VLOOKUP($B394,   MBI_LastBuy!$A$3:E$13199,4,FALSE)</f>
        <v>44113</v>
      </c>
    </row>
    <row r="395" spans="1:22" x14ac:dyDescent="0.25">
      <c r="A395" s="11" t="s">
        <v>3555</v>
      </c>
      <c r="B395" s="11">
        <v>750160</v>
      </c>
      <c r="C395" s="11" t="str">
        <f>VLOOKUP(B395,Towary_i_uslugi!$A$4:$B$1500,2)</f>
        <v>(brak)</v>
      </c>
      <c r="D395" s="11" t="s">
        <v>2445</v>
      </c>
      <c r="E395" s="11">
        <f>VLOOKUP(B395,Towary_i_uslugi!$A$3:$T$1500,3,FALSE)</f>
        <v>120</v>
      </c>
      <c r="F395" s="11" t="str">
        <f>VLOOKUP(B395,Towary_i_uslugi!$A$3:$T$1500,20,FALSE)</f>
        <v>sticker</v>
      </c>
      <c r="G395" s="11">
        <f>VLOOKUP(B395,MBI_Dostawcy_towarów!$A$4:$C$1399,3,FALSE)</f>
        <v>0.13100000000000001</v>
      </c>
      <c r="H395" s="11">
        <v>1</v>
      </c>
      <c r="I395" s="11">
        <v>0</v>
      </c>
      <c r="J395" s="11">
        <v>1000</v>
      </c>
      <c r="K395" s="11">
        <f>_xlfn.IFNA(VLOOKUP(B395,Towary_na_zamówieniach!$A$4:$C$1500,2,FALSE),0)</f>
        <v>1200</v>
      </c>
      <c r="L395" s="11">
        <f>_xlfn.IFNA(VLOOKUP(B395,Towary_na_zamówieniach!$A$4:$C$1500,3,FALSE),0)</f>
        <v>338.4</v>
      </c>
      <c r="M395" s="11">
        <f>_xlfn.IFNA(VLOOKUP(B395,MBI_Dostawcy_towarów!$A$4:$C$2000,2,FALSE),"N/A")</f>
        <v>100</v>
      </c>
      <c r="N395" s="11" t="str">
        <f>IF(VLOOKUP(B395,Towary_i_uslugi!$A$3:$T$1500,17,FALSE)=0,"!NO SUPPLIER",VLOOKUP(B395,Towary_i_uslugi!$A$3:$T$1500,17))</f>
        <v xml:space="preserve">HQ - Canada </v>
      </c>
      <c r="O395" s="11" t="str">
        <f>IF(VLOOKUP(B395,Towary_i_uslugi!$A$4:$U$1200,21,FALSE)&gt;0,VLOOKUP(B395,Towary_i_uslugi!$A$4:$U$1200,21,FALSE),"")</f>
        <v/>
      </c>
      <c r="P395" s="11">
        <f t="shared" si="18"/>
        <v>0</v>
      </c>
      <c r="Q395" s="11">
        <f t="shared" si="19"/>
        <v>0</v>
      </c>
      <c r="R395" s="17">
        <f t="shared" si="20"/>
        <v>0</v>
      </c>
      <c r="S395" s="17">
        <f>VLOOKUP($B395,   MBI_LastBuy!$A$3:E$13199,3,FALSE)</f>
        <v>600</v>
      </c>
      <c r="T395" s="13">
        <f>VLOOKUP($B395,   MBI_LastBuy!$A$3:E$13199,2,FALSE)</f>
        <v>0.26900000000000002</v>
      </c>
      <c r="U395" s="13" t="str">
        <f>VLOOKUP($B395,   MBI_LastBuy!$A$3:E$13199,5,FALSE)</f>
        <v>USD</v>
      </c>
      <c r="V395" s="15">
        <f>VLOOKUP($B395,   MBI_LastBuy!$A$3:E$13199,4,FALSE)</f>
        <v>44068</v>
      </c>
    </row>
    <row r="396" spans="1:22" x14ac:dyDescent="0.25">
      <c r="A396" s="11" t="s">
        <v>3553</v>
      </c>
      <c r="B396" s="11">
        <v>770010</v>
      </c>
      <c r="C396" s="11" t="str">
        <f>VLOOKUP(B396,Towary_i_uslugi!$A$4:$B$1500,2)</f>
        <v>(brak)</v>
      </c>
      <c r="D396" s="11" t="s">
        <v>2883</v>
      </c>
      <c r="E396" s="11">
        <f>VLOOKUP(B396,Towary_i_uslugi!$A$3:$T$1500,3,FALSE)</f>
        <v>50</v>
      </c>
      <c r="F396" s="11" t="str">
        <f>VLOOKUP(B396,Towary_i_uslugi!$A$3:$T$1500,20,FALSE)</f>
        <v>polybag header</v>
      </c>
      <c r="G396" s="11">
        <f>VLOOKUP(B396,MBI_Dostawcy_towarów!$A$4:$C$1399,3,FALSE)</f>
        <v>0.13600000000000001</v>
      </c>
      <c r="H396" s="11">
        <v>1</v>
      </c>
      <c r="I396" s="11">
        <v>0</v>
      </c>
      <c r="J396" s="11">
        <v>2500</v>
      </c>
      <c r="K396" s="11">
        <f>_xlfn.IFNA(VLOOKUP(B396,Towary_na_zamówieniach!$A$4:$C$1500,2,FALSE),0)</f>
        <v>5000</v>
      </c>
      <c r="L396" s="11">
        <f>_xlfn.IFNA(VLOOKUP(B396,Towary_na_zamówieniach!$A$4:$C$1500,3,FALSE),0)</f>
        <v>4475</v>
      </c>
      <c r="M396" s="11">
        <f>_xlfn.IFNA(VLOOKUP(B396,MBI_Dostawcy_towarów!$A$4:$C$2000,2,FALSE),"N/A")</f>
        <v>100</v>
      </c>
      <c r="N396" s="11" t="str">
        <f>IF(VLOOKUP(B396,Towary_i_uslugi!$A$3:$T$1500,17,FALSE)=0,"!NO SUPPLIER",VLOOKUP(B396,Towary_i_uslugi!$A$3:$T$1500,17))</f>
        <v>FX -MAPLE Frank Xu</v>
      </c>
      <c r="O396" s="11" t="str">
        <f>IF(VLOOKUP(B396,Towary_i_uslugi!$A$4:$U$1200,21,FALSE)&gt;0,VLOOKUP(B396,Towary_i_uslugi!$A$4:$U$1200,21,FALSE),"")</f>
        <v>MBI*19.9.19*CE</v>
      </c>
      <c r="P396" s="11">
        <f t="shared" si="18"/>
        <v>0</v>
      </c>
      <c r="Q396" s="11">
        <f t="shared" si="19"/>
        <v>0</v>
      </c>
      <c r="R396" s="17">
        <f t="shared" si="20"/>
        <v>0</v>
      </c>
      <c r="S396" s="17">
        <f>VLOOKUP($B396,   MBI_LastBuy!$A$3:E$13199,3,FALSE)</f>
        <v>2500</v>
      </c>
      <c r="T396" s="13">
        <f>VLOOKUP($B396,   MBI_LastBuy!$A$3:E$13199,2,FALSE)</f>
        <v>0.93</v>
      </c>
      <c r="U396" s="13" t="str">
        <f>VLOOKUP($B396,   MBI_LastBuy!$A$3:E$13199,5,FALSE)</f>
        <v>USD</v>
      </c>
      <c r="V396" s="15">
        <f>VLOOKUP($B396,   MBI_LastBuy!$A$3:E$13199,4,FALSE)</f>
        <v>44141</v>
      </c>
    </row>
    <row r="397" spans="1:22" x14ac:dyDescent="0.25">
      <c r="A397" s="11" t="s">
        <v>3555</v>
      </c>
      <c r="B397" s="11">
        <v>771100</v>
      </c>
      <c r="C397" s="11" t="str">
        <f>VLOOKUP(B397,Towary_i_uslugi!$A$4:$B$1500,2)</f>
        <v>(brak)</v>
      </c>
      <c r="D397" s="11" t="s">
        <v>3677</v>
      </c>
      <c r="E397" s="11">
        <f>VLOOKUP(B397,Towary_i_uslugi!$A$3:$T$1500,3,FALSE)</f>
        <v>100</v>
      </c>
      <c r="F397" s="11" t="str">
        <f>VLOOKUP(B397,Towary_i_uslugi!$A$3:$T$1500,20,FALSE)</f>
        <v>polybag header, leaflet inside</v>
      </c>
      <c r="G397" s="11">
        <f>VLOOKUP(B397,MBI_Dostawcy_towarów!$A$4:$C$1399,3,FALSE)</f>
        <v>8.3000000000000004E-2</v>
      </c>
      <c r="H397" s="11">
        <v>1609</v>
      </c>
      <c r="I397" s="11">
        <v>510</v>
      </c>
      <c r="J397" s="11">
        <v>2000</v>
      </c>
      <c r="K397" s="11">
        <f>_xlfn.IFNA(VLOOKUP(B397,Towary_na_zamówieniach!$A$4:$C$1500,2,FALSE),0)</f>
        <v>3200</v>
      </c>
      <c r="L397" s="11">
        <f>_xlfn.IFNA(VLOOKUP(B397,Towary_na_zamówieniach!$A$4:$C$1500,3,FALSE),0)</f>
        <v>1676.8</v>
      </c>
      <c r="M397" s="11">
        <f>_xlfn.IFNA(VLOOKUP(B397,MBI_Dostawcy_towarów!$A$4:$C$2000,2,FALSE),"N/A")</f>
        <v>100</v>
      </c>
      <c r="N397" s="11" t="str">
        <f>IF(VLOOKUP(B397,Towary_i_uslugi!$A$3:$T$1500,17,FALSE)=0,"!NO SUPPLIER",VLOOKUP(B397,Towary_i_uslugi!$A$3:$T$1500,17))</f>
        <v xml:space="preserve">HQ - Canada </v>
      </c>
      <c r="O397" s="11" t="str">
        <f>IF(VLOOKUP(B397,Towary_i_uslugi!$A$4:$U$1200,21,FALSE)&gt;0,VLOOKUP(B397,Towary_i_uslugi!$A$4:$U$1200,21,FALSE),"")</f>
        <v>PFA*28.11.19*sprawdzenie CE właczyć Sklep</v>
      </c>
      <c r="P397" s="11">
        <f t="shared" si="18"/>
        <v>0</v>
      </c>
      <c r="Q397" s="11">
        <f t="shared" si="19"/>
        <v>0</v>
      </c>
      <c r="R397" s="17">
        <f t="shared" si="20"/>
        <v>0</v>
      </c>
      <c r="S397" s="17">
        <f>VLOOKUP($B397,   MBI_LastBuy!$A$3:E$13199,3,FALSE)</f>
        <v>3200</v>
      </c>
      <c r="T397" s="13">
        <f>VLOOKUP($B397,   MBI_LastBuy!$A$3:E$13199,2,FALSE)</f>
        <v>0.52400000000000002</v>
      </c>
      <c r="U397" s="13" t="str">
        <f>VLOOKUP($B397,   MBI_LastBuy!$A$3:E$13199,5,FALSE)</f>
        <v>USD</v>
      </c>
      <c r="V397" s="15">
        <f>VLOOKUP($B397,   MBI_LastBuy!$A$3:E$13199,4,FALSE)</f>
        <v>44132</v>
      </c>
    </row>
    <row r="398" spans="1:22" x14ac:dyDescent="0.25">
      <c r="A398" s="11" t="s">
        <v>3557</v>
      </c>
      <c r="B398" s="11">
        <v>771102</v>
      </c>
      <c r="C398" s="11" t="str">
        <f>VLOOKUP(B398,Towary_i_uslugi!$A$4:$B$1500,2)</f>
        <v>nowość!!! więcej info dla klienta</v>
      </c>
      <c r="D398" s="11" t="s">
        <v>2884</v>
      </c>
      <c r="E398" s="11">
        <f>VLOOKUP(B398,Towary_i_uslugi!$A$3:$T$1500,3,FALSE)</f>
        <v>200</v>
      </c>
      <c r="F398" s="11" t="str">
        <f>VLOOKUP(B398,Towary_i_uslugi!$A$3:$T$1500,20,FALSE)</f>
        <v>polybag header, leaflet inside</v>
      </c>
      <c r="G398" s="11">
        <f>VLOOKUP(B398,MBI_Dostawcy_towarów!$A$4:$C$1399,3,FALSE)</f>
        <v>8.5000000000000006E-2</v>
      </c>
      <c r="H398" s="11">
        <v>0</v>
      </c>
      <c r="I398" s="11">
        <v>0</v>
      </c>
      <c r="J398" s="11">
        <v>500</v>
      </c>
      <c r="K398" s="11">
        <f>_xlfn.IFNA(VLOOKUP(B398,Towary_na_zamówieniach!$A$4:$C$1500,2,FALSE),0)</f>
        <v>0</v>
      </c>
      <c r="L398" s="11">
        <f>_xlfn.IFNA(VLOOKUP(B398,Towary_na_zamówieniach!$A$4:$C$1500,3,FALSE),0)</f>
        <v>0</v>
      </c>
      <c r="M398" s="11">
        <f>_xlfn.IFNA(VLOOKUP(B398,MBI_Dostawcy_towarów!$A$4:$C$2000,2,FALSE),"N/A")</f>
        <v>100</v>
      </c>
      <c r="N398" s="11" t="str">
        <f>IF(VLOOKUP(B398,Towary_i_uslugi!$A$3:$T$1500,17,FALSE)=0,"!NO SUPPLIER",VLOOKUP(B398,Towary_i_uslugi!$A$3:$T$1500,17))</f>
        <v xml:space="preserve">SK rozrachunki </v>
      </c>
      <c r="O398" s="11" t="str">
        <f>IF(VLOOKUP(B398,Towary_i_uslugi!$A$4:$U$1200,21,FALSE)&gt;0,VLOOKUP(B398,Towary_i_uslugi!$A$4:$U$1200,21,FALSE),"")</f>
        <v>PFA*5.6.20*new</v>
      </c>
      <c r="P398" s="11">
        <f t="shared" si="18"/>
        <v>3</v>
      </c>
      <c r="Q398" s="11">
        <f t="shared" si="19"/>
        <v>600</v>
      </c>
      <c r="R398" s="17" t="e">
        <f t="shared" si="20"/>
        <v>#N/A</v>
      </c>
      <c r="S398" s="17" t="e">
        <f>VLOOKUP($B398,   MBI_LastBuy!$A$3:E$13199,3,FALSE)</f>
        <v>#N/A</v>
      </c>
      <c r="T398" s="13" t="e">
        <f>VLOOKUP($B398,   MBI_LastBuy!$A$3:E$13199,2,FALSE)</f>
        <v>#N/A</v>
      </c>
      <c r="U398" s="13" t="e">
        <f>VLOOKUP($B398,   MBI_LastBuy!$A$3:E$13199,5,FALSE)</f>
        <v>#N/A</v>
      </c>
      <c r="V398" s="15" t="e">
        <f>VLOOKUP($B398,   MBI_LastBuy!$A$3:E$13199,4,FALSE)</f>
        <v>#N/A</v>
      </c>
    </row>
    <row r="399" spans="1:22" x14ac:dyDescent="0.25">
      <c r="A399" s="11" t="s">
        <v>3557</v>
      </c>
      <c r="B399" s="11">
        <v>771104</v>
      </c>
      <c r="C399" s="11" t="str">
        <f>VLOOKUP(B399,Towary_i_uslugi!$A$4:$B$1500,2)</f>
        <v>nowość!!! więcej info dla klienta</v>
      </c>
      <c r="D399" s="11" t="s">
        <v>2885</v>
      </c>
      <c r="E399" s="11">
        <f>VLOOKUP(B399,Towary_i_uslugi!$A$3:$T$1500,3,FALSE)</f>
        <v>200</v>
      </c>
      <c r="F399" s="11" t="str">
        <f>VLOOKUP(B399,Towary_i_uslugi!$A$3:$T$1500,20,FALSE)</f>
        <v>polybag header, leaflet inside</v>
      </c>
      <c r="G399" s="11">
        <f>VLOOKUP(B399,MBI_Dostawcy_towarów!$A$4:$C$1399,3,FALSE)</f>
        <v>7.0000000000000001E-3</v>
      </c>
      <c r="H399" s="11">
        <v>0</v>
      </c>
      <c r="I399" s="11">
        <v>0</v>
      </c>
      <c r="J399" s="11">
        <v>200</v>
      </c>
      <c r="K399" s="11">
        <f>_xlfn.IFNA(VLOOKUP(B399,Towary_na_zamówieniach!$A$4:$C$1500,2,FALSE),0)</f>
        <v>0</v>
      </c>
      <c r="L399" s="11">
        <f>_xlfn.IFNA(VLOOKUP(B399,Towary_na_zamówieniach!$A$4:$C$1500,3,FALSE),0)</f>
        <v>0</v>
      </c>
      <c r="M399" s="11">
        <f>_xlfn.IFNA(VLOOKUP(B399,MBI_Dostawcy_towarów!$A$4:$C$2000,2,FALSE),"N/A")</f>
        <v>100</v>
      </c>
      <c r="N399" s="11" t="str">
        <f>IF(VLOOKUP(B399,Towary_i_uslugi!$A$3:$T$1500,17,FALSE)=0,"!NO SUPPLIER",VLOOKUP(B399,Towary_i_uslugi!$A$3:$T$1500,17))</f>
        <v xml:space="preserve">SK rozrachunki </v>
      </c>
      <c r="O399" s="11" t="str">
        <f>IF(VLOOKUP(B399,Towary_i_uslugi!$A$4:$U$1200,21,FALSE)&gt;0,VLOOKUP(B399,Towary_i_uslugi!$A$4:$U$1200,21,FALSE),"")</f>
        <v>PFA*5.6.20*new</v>
      </c>
      <c r="P399" s="11">
        <f t="shared" si="18"/>
        <v>1</v>
      </c>
      <c r="Q399" s="11">
        <f t="shared" si="19"/>
        <v>200</v>
      </c>
      <c r="R399" s="17" t="e">
        <f t="shared" si="20"/>
        <v>#N/A</v>
      </c>
      <c r="S399" s="17" t="e">
        <f>VLOOKUP($B399,   MBI_LastBuy!$A$3:E$13199,3,FALSE)</f>
        <v>#N/A</v>
      </c>
      <c r="T399" s="13" t="e">
        <f>VLOOKUP($B399,   MBI_LastBuy!$A$3:E$13199,2,FALSE)</f>
        <v>#N/A</v>
      </c>
      <c r="U399" s="13" t="e">
        <f>VLOOKUP($B399,   MBI_LastBuy!$A$3:E$13199,5,FALSE)</f>
        <v>#N/A</v>
      </c>
      <c r="V399" s="15" t="e">
        <f>VLOOKUP($B399,   MBI_LastBuy!$A$3:E$13199,4,FALSE)</f>
        <v>#N/A</v>
      </c>
    </row>
    <row r="400" spans="1:22" x14ac:dyDescent="0.25">
      <c r="A400" s="11" t="s">
        <v>3557</v>
      </c>
      <c r="B400" s="11">
        <v>771105</v>
      </c>
      <c r="C400" s="11" t="str">
        <f>VLOOKUP(B400,Towary_i_uslugi!$A$4:$B$1500,2)</f>
        <v>nowość!!! więcej info dla klienta</v>
      </c>
      <c r="D400" s="11" t="s">
        <v>2886</v>
      </c>
      <c r="E400" s="11">
        <f>VLOOKUP(B400,Towary_i_uslugi!$A$3:$T$1500,3,FALSE)</f>
        <v>200</v>
      </c>
      <c r="F400" s="11" t="str">
        <f>VLOOKUP(B400,Towary_i_uslugi!$A$3:$T$1500,20,FALSE)</f>
        <v>polybag header, leaflet inside</v>
      </c>
      <c r="G400" s="11">
        <f>VLOOKUP(B400,MBI_Dostawcy_towarów!$A$4:$C$1399,3,FALSE)</f>
        <v>0.22</v>
      </c>
      <c r="H400" s="11">
        <v>0</v>
      </c>
      <c r="I400" s="11">
        <v>0</v>
      </c>
      <c r="J400" s="11">
        <v>100</v>
      </c>
      <c r="K400" s="11">
        <f>_xlfn.IFNA(VLOOKUP(B400,Towary_na_zamówieniach!$A$4:$C$1500,2,FALSE),0)</f>
        <v>0</v>
      </c>
      <c r="L400" s="11">
        <f>_xlfn.IFNA(VLOOKUP(B400,Towary_na_zamówieniach!$A$4:$C$1500,3,FALSE),0)</f>
        <v>0</v>
      </c>
      <c r="M400" s="11">
        <f>_xlfn.IFNA(VLOOKUP(B400,MBI_Dostawcy_towarów!$A$4:$C$2000,2,FALSE),"N/A")</f>
        <v>100</v>
      </c>
      <c r="N400" s="11" t="str">
        <f>IF(VLOOKUP(B400,Towary_i_uslugi!$A$3:$T$1500,17,FALSE)=0,"!NO SUPPLIER",VLOOKUP(B400,Towary_i_uslugi!$A$3:$T$1500,17))</f>
        <v xml:space="preserve">SK rozrachunki </v>
      </c>
      <c r="O400" s="11" t="str">
        <f>IF(VLOOKUP(B400,Towary_i_uslugi!$A$4:$U$1200,21,FALSE)&gt;0,VLOOKUP(B400,Towary_i_uslugi!$A$4:$U$1200,21,FALSE),"")</f>
        <v>PFA*5.6.20*new</v>
      </c>
      <c r="P400" s="11">
        <f t="shared" si="18"/>
        <v>1</v>
      </c>
      <c r="Q400" s="11">
        <f t="shared" si="19"/>
        <v>200</v>
      </c>
      <c r="R400" s="17" t="e">
        <f t="shared" si="20"/>
        <v>#N/A</v>
      </c>
      <c r="S400" s="17" t="e">
        <f>VLOOKUP($B400,   MBI_LastBuy!$A$3:E$13199,3,FALSE)</f>
        <v>#N/A</v>
      </c>
      <c r="T400" s="13" t="e">
        <f>VLOOKUP($B400,   MBI_LastBuy!$A$3:E$13199,2,FALSE)</f>
        <v>#N/A</v>
      </c>
      <c r="U400" s="13" t="e">
        <f>VLOOKUP($B400,   MBI_LastBuy!$A$3:E$13199,5,FALSE)</f>
        <v>#N/A</v>
      </c>
      <c r="V400" s="15" t="e">
        <f>VLOOKUP($B400,   MBI_LastBuy!$A$3:E$13199,4,FALSE)</f>
        <v>#N/A</v>
      </c>
    </row>
    <row r="401" spans="1:22" x14ac:dyDescent="0.25">
      <c r="A401" s="11" t="s">
        <v>3555</v>
      </c>
      <c r="B401" s="11">
        <v>771200</v>
      </c>
      <c r="C401" s="11" t="str">
        <f>VLOOKUP(B401,Towary_i_uslugi!$A$4:$B$1500,2)</f>
        <v>(brak)</v>
      </c>
      <c r="D401" s="11" t="s">
        <v>2705</v>
      </c>
      <c r="E401" s="11">
        <f>VLOOKUP(B401,Towary_i_uslugi!$A$3:$T$1500,3,FALSE)</f>
        <v>200</v>
      </c>
      <c r="F401" s="11" t="str">
        <f>VLOOKUP(B401,Towary_i_uslugi!$A$3:$T$1500,20,FALSE)</f>
        <v>polybag header, leaflet inside</v>
      </c>
      <c r="G401" s="11">
        <f>VLOOKUP(B401,MBI_Dostawcy_towarów!$A$4:$C$1399,3,FALSE)</f>
        <v>5.2999999999999999E-2</v>
      </c>
      <c r="H401" s="11">
        <v>212</v>
      </c>
      <c r="I401" s="11">
        <v>211</v>
      </c>
      <c r="J401" s="11">
        <v>6000</v>
      </c>
      <c r="K401" s="11">
        <f>_xlfn.IFNA(VLOOKUP(B401,Towary_na_zamówieniach!$A$4:$C$1500,2,FALSE),0)</f>
        <v>6001</v>
      </c>
      <c r="L401" s="11">
        <f>_xlfn.IFNA(VLOOKUP(B401,Towary_na_zamówieniach!$A$4:$C$1500,3,FALSE),0)</f>
        <v>2430</v>
      </c>
      <c r="M401" s="11">
        <f>_xlfn.IFNA(VLOOKUP(B401,MBI_Dostawcy_towarów!$A$4:$C$2000,2,FALSE),"N/A")</f>
        <v>100</v>
      </c>
      <c r="N401" s="11" t="str">
        <f>IF(VLOOKUP(B401,Towary_i_uslugi!$A$3:$T$1500,17,FALSE)=0,"!NO SUPPLIER",VLOOKUP(B401,Towary_i_uslugi!$A$3:$T$1500,17))</f>
        <v xml:space="preserve">HQ - Canada </v>
      </c>
      <c r="O401" s="11" t="str">
        <f>IF(VLOOKUP(B401,Towary_i_uslugi!$A$4:$U$1200,21,FALSE)&gt;0,VLOOKUP(B401,Towary_i_uslugi!$A$4:$U$1200,21,FALSE),"")</f>
        <v>MBI 28.05.19*CE</v>
      </c>
      <c r="P401" s="11">
        <f t="shared" si="18"/>
        <v>0</v>
      </c>
      <c r="Q401" s="11">
        <f t="shared" si="19"/>
        <v>0</v>
      </c>
      <c r="R401" s="17">
        <f t="shared" si="20"/>
        <v>0</v>
      </c>
      <c r="S401" s="17">
        <f>VLOOKUP($B401,   MBI_LastBuy!$A$3:E$13199,3,FALSE)</f>
        <v>6000</v>
      </c>
      <c r="T401" s="13">
        <f>VLOOKUP($B401,   MBI_LastBuy!$A$3:E$13199,2,FALSE)</f>
        <v>0.40500000000000003</v>
      </c>
      <c r="U401" s="13" t="str">
        <f>VLOOKUP($B401,   MBI_LastBuy!$A$3:E$13199,5,FALSE)</f>
        <v>USD</v>
      </c>
      <c r="V401" s="15">
        <f>VLOOKUP($B401,   MBI_LastBuy!$A$3:E$13199,4,FALSE)</f>
        <v>44095</v>
      </c>
    </row>
    <row r="402" spans="1:22" x14ac:dyDescent="0.25">
      <c r="A402" s="11" t="s">
        <v>3555</v>
      </c>
      <c r="B402" s="11">
        <v>771202</v>
      </c>
      <c r="C402" s="11" t="str">
        <f>VLOOKUP(B402,Towary_i_uslugi!$A$4:$B$1500,2)</f>
        <v>(brak)</v>
      </c>
      <c r="D402" s="11" t="s">
        <v>2424</v>
      </c>
      <c r="E402" s="11">
        <f>VLOOKUP(B402,Towary_i_uslugi!$A$3:$T$1500,3,FALSE)</f>
        <v>200</v>
      </c>
      <c r="F402" s="11" t="str">
        <f>VLOOKUP(B402,Towary_i_uslugi!$A$3:$T$1500,20,FALSE)</f>
        <v>polybag header, leaflet inside</v>
      </c>
      <c r="G402" s="11">
        <f>VLOOKUP(B402,MBI_Dostawcy_towarów!$A$4:$C$1399,3,FALSE)</f>
        <v>5.8999999999999997E-2</v>
      </c>
      <c r="H402" s="11">
        <v>7</v>
      </c>
      <c r="I402" s="11">
        <v>1</v>
      </c>
      <c r="J402" s="11">
        <v>2500</v>
      </c>
      <c r="K402" s="11">
        <f>_xlfn.IFNA(VLOOKUP(B402,Towary_na_zamówieniach!$A$4:$C$1500,2,FALSE),0)</f>
        <v>2601</v>
      </c>
      <c r="L402" s="11">
        <f>_xlfn.IFNA(VLOOKUP(B402,Towary_na_zamówieniach!$A$4:$C$1500,3,FALSE),0)</f>
        <v>1196</v>
      </c>
      <c r="M402" s="11">
        <f>_xlfn.IFNA(VLOOKUP(B402,MBI_Dostawcy_towarów!$A$4:$C$2000,2,FALSE),"N/A")</f>
        <v>100</v>
      </c>
      <c r="N402" s="11" t="str">
        <f>IF(VLOOKUP(B402,Towary_i_uslugi!$A$3:$T$1500,17,FALSE)=0,"!NO SUPPLIER",VLOOKUP(B402,Towary_i_uslugi!$A$3:$T$1500,17))</f>
        <v xml:space="preserve">HQ - Canada </v>
      </c>
      <c r="O402" s="11" t="str">
        <f>IF(VLOOKUP(B402,Towary_i_uslugi!$A$4:$U$1200,21,FALSE)&gt;0,VLOOKUP(B402,Towary_i_uslugi!$A$4:$U$1200,21,FALSE),"")</f>
        <v>PFA*28.11.19*sprawdzenie CE</v>
      </c>
      <c r="P402" s="11">
        <f t="shared" si="18"/>
        <v>0</v>
      </c>
      <c r="Q402" s="11">
        <f t="shared" si="19"/>
        <v>0</v>
      </c>
      <c r="R402" s="17">
        <f t="shared" si="20"/>
        <v>0</v>
      </c>
      <c r="S402" s="17">
        <f>VLOOKUP($B402,   MBI_LastBuy!$A$3:E$13199,3,FALSE)</f>
        <v>2600</v>
      </c>
      <c r="T402" s="13">
        <f>VLOOKUP($B402,   MBI_LastBuy!$A$3:E$13199,2,FALSE)</f>
        <v>0.46</v>
      </c>
      <c r="U402" s="13" t="str">
        <f>VLOOKUP($B402,   MBI_LastBuy!$A$3:E$13199,5,FALSE)</f>
        <v>USD</v>
      </c>
      <c r="V402" s="15">
        <f>VLOOKUP($B402,   MBI_LastBuy!$A$3:E$13199,4,FALSE)</f>
        <v>44095</v>
      </c>
    </row>
    <row r="403" spans="1:22" x14ac:dyDescent="0.25">
      <c r="A403" s="11" t="s">
        <v>3562</v>
      </c>
      <c r="B403" s="11">
        <v>771301</v>
      </c>
      <c r="C403" s="11" t="str">
        <f>VLOOKUP(B403,Towary_i_uslugi!$A$4:$B$1500,2)</f>
        <v>(brak)</v>
      </c>
      <c r="D403" s="11" t="s">
        <v>2887</v>
      </c>
      <c r="E403" s="11">
        <f>VLOOKUP(B403,Towary_i_uslugi!$A$3:$T$1500,3,FALSE)</f>
        <v>70</v>
      </c>
      <c r="F403" s="11">
        <f>VLOOKUP(B403,Towary_i_uslugi!$A$3:$T$1500,20,FALSE)</f>
        <v>0</v>
      </c>
      <c r="G403" s="11">
        <f>VLOOKUP(B403,MBI_Dostawcy_towarów!$A$4:$C$1399,3,FALSE)</f>
        <v>0.23</v>
      </c>
      <c r="H403" s="11">
        <v>66</v>
      </c>
      <c r="I403" s="11">
        <v>0</v>
      </c>
      <c r="J403" s="11">
        <v>100</v>
      </c>
      <c r="K403" s="11">
        <f>_xlfn.IFNA(VLOOKUP(B403,Towary_na_zamówieniach!$A$4:$C$1500,2,FALSE),0)</f>
        <v>0</v>
      </c>
      <c r="L403" s="11">
        <f>_xlfn.IFNA(VLOOKUP(B403,Towary_na_zamówieniach!$A$4:$C$1500,3,FALSE),0)</f>
        <v>0</v>
      </c>
      <c r="M403" s="11">
        <f>_xlfn.IFNA(VLOOKUP(B403,MBI_Dostawcy_towarów!$A$4:$C$2000,2,FALSE),"N/A")</f>
        <v>4</v>
      </c>
      <c r="N403" s="11" t="str">
        <f>IF(VLOOKUP(B403,Towary_i_uslugi!$A$3:$T$1500,17,FALSE)=0,"!NO SUPPLIER",VLOOKUP(B403,Towary_i_uslugi!$A$3:$T$1500,17))</f>
        <v>RAMP</v>
      </c>
      <c r="O403" s="11" t="str">
        <f>IF(VLOOKUP(B403,Towary_i_uslugi!$A$4:$U$1200,21,FALSE)&gt;0,VLOOKUP(B403,Towary_i_uslugi!$A$4:$U$1200,21,FALSE),"")</f>
        <v/>
      </c>
      <c r="P403" s="11">
        <f t="shared" si="18"/>
        <v>2</v>
      </c>
      <c r="Q403" s="11">
        <f t="shared" si="19"/>
        <v>140</v>
      </c>
      <c r="R403" s="17">
        <f t="shared" si="20"/>
        <v>2098.6</v>
      </c>
      <c r="S403" s="17">
        <f>VLOOKUP($B403,   MBI_LastBuy!$A$3:E$13199,3,FALSE)</f>
        <v>70</v>
      </c>
      <c r="T403" s="13">
        <f>VLOOKUP($B403,   MBI_LastBuy!$A$3:E$13199,2,FALSE)</f>
        <v>14.99</v>
      </c>
      <c r="U403" s="13" t="str">
        <f>VLOOKUP($B403,   MBI_LastBuy!$A$3:E$13199,5,FALSE)</f>
        <v>PLN</v>
      </c>
      <c r="V403" s="15">
        <f>VLOOKUP($B403,   MBI_LastBuy!$A$3:E$13199,4,FALSE)</f>
        <v>44104</v>
      </c>
    </row>
    <row r="404" spans="1:22" x14ac:dyDescent="0.25">
      <c r="A404" s="11" t="s">
        <v>3562</v>
      </c>
      <c r="B404" s="11">
        <v>771303</v>
      </c>
      <c r="C404" s="11" t="str">
        <f>VLOOKUP(B404,Towary_i_uslugi!$A$4:$B$1500,2)</f>
        <v>(brak)</v>
      </c>
      <c r="D404" s="11" t="s">
        <v>3678</v>
      </c>
      <c r="E404" s="11">
        <f>VLOOKUP(B404,Towary_i_uslugi!$A$3:$T$1500,3,FALSE)</f>
        <v>50</v>
      </c>
      <c r="F404" s="11">
        <f>VLOOKUP(B404,Towary_i_uslugi!$A$3:$T$1500,20,FALSE)</f>
        <v>0</v>
      </c>
      <c r="G404" s="11">
        <f>VLOOKUP(B404,MBI_Dostawcy_towarów!$A$4:$C$1399,3,FALSE)</f>
        <v>0.115</v>
      </c>
      <c r="H404" s="11">
        <v>32</v>
      </c>
      <c r="I404" s="11">
        <v>0</v>
      </c>
      <c r="J404" s="11">
        <v>50</v>
      </c>
      <c r="K404" s="11">
        <f>_xlfn.IFNA(VLOOKUP(B404,Towary_na_zamówieniach!$A$4:$C$1500,2,FALSE),0)</f>
        <v>0</v>
      </c>
      <c r="L404" s="11">
        <f>_xlfn.IFNA(VLOOKUP(B404,Towary_na_zamówieniach!$A$4:$C$1500,3,FALSE),0)</f>
        <v>0</v>
      </c>
      <c r="M404" s="11">
        <f>_xlfn.IFNA(VLOOKUP(B404,MBI_Dostawcy_towarów!$A$4:$C$2000,2,FALSE),"N/A")</f>
        <v>4</v>
      </c>
      <c r="N404" s="11" t="str">
        <f>IF(VLOOKUP(B404,Towary_i_uslugi!$A$3:$T$1500,17,FALSE)=0,"!NO SUPPLIER",VLOOKUP(B404,Towary_i_uslugi!$A$3:$T$1500,17))</f>
        <v>RAMP</v>
      </c>
      <c r="O404" s="11" t="str">
        <f>IF(VLOOKUP(B404,Towary_i_uslugi!$A$4:$U$1200,21,FALSE)&gt;0,VLOOKUP(B404,Towary_i_uslugi!$A$4:$U$1200,21,FALSE),"")</f>
        <v/>
      </c>
      <c r="P404" s="11">
        <f t="shared" si="18"/>
        <v>1</v>
      </c>
      <c r="Q404" s="11">
        <f t="shared" si="19"/>
        <v>50</v>
      </c>
      <c r="R404" s="17">
        <f t="shared" si="20"/>
        <v>347.5</v>
      </c>
      <c r="S404" s="17">
        <f>VLOOKUP($B404,   MBI_LastBuy!$A$3:E$13199,3,FALSE)</f>
        <v>50</v>
      </c>
      <c r="T404" s="13">
        <f>VLOOKUP($B404,   MBI_LastBuy!$A$3:E$13199,2,FALSE)</f>
        <v>6.95</v>
      </c>
      <c r="U404" s="13" t="str">
        <f>VLOOKUP($B404,   MBI_LastBuy!$A$3:E$13199,5,FALSE)</f>
        <v>PLN</v>
      </c>
      <c r="V404" s="15">
        <f>VLOOKUP($B404,   MBI_LastBuy!$A$3:E$13199,4,FALSE)</f>
        <v>44117</v>
      </c>
    </row>
    <row r="405" spans="1:22" x14ac:dyDescent="0.25">
      <c r="A405" s="11" t="s">
        <v>3563</v>
      </c>
      <c r="B405" s="11">
        <v>772001</v>
      </c>
      <c r="C405" s="11" t="str">
        <f>VLOOKUP(B405,Towary_i_uslugi!$A$4:$B$1500,2)</f>
        <v>ręczna premia za sprzedaż - wylatuje z oferty</v>
      </c>
      <c r="D405" s="11" t="s">
        <v>2708</v>
      </c>
      <c r="E405" s="11">
        <f>VLOOKUP(B405,Towary_i_uslugi!$A$3:$T$1500,3,FALSE)</f>
        <v>25</v>
      </c>
      <c r="F405" s="11" t="str">
        <f>VLOOKUP(B405,Towary_i_uslugi!$A$3:$T$1500,20,FALSE)</f>
        <v>PVC bag with header</v>
      </c>
      <c r="G405" s="11">
        <f>VLOOKUP(B405,MBI_Dostawcy_towarów!$A$4:$C$1399,3,FALSE)</f>
        <v>0.01</v>
      </c>
      <c r="H405" s="11">
        <v>13</v>
      </c>
      <c r="I405" s="11">
        <v>0</v>
      </c>
      <c r="J405" s="11">
        <v>30</v>
      </c>
      <c r="K405" s="11">
        <f>_xlfn.IFNA(VLOOKUP(B405,Towary_na_zamówieniach!$A$4:$C$1500,2,FALSE),0)</f>
        <v>0</v>
      </c>
      <c r="L405" s="11">
        <f>_xlfn.IFNA(VLOOKUP(B405,Towary_na_zamówieniach!$A$4:$C$1500,3,FALSE),0)</f>
        <v>0</v>
      </c>
      <c r="M405" s="11">
        <f>_xlfn.IFNA(VLOOKUP(B405,MBI_Dostawcy_towarów!$A$4:$C$2000,2,FALSE),"N/A")</f>
        <v>7</v>
      </c>
      <c r="N405" s="11" t="str">
        <f>IF(VLOOKUP(B405,Towary_i_uslugi!$A$3:$T$1500,17,FALSE)=0,"!NO SUPPLIER",VLOOKUP(B405,Towary_i_uslugi!$A$3:$T$1500,17))</f>
        <v>Cermet Marcin Olechowski</v>
      </c>
      <c r="O405" s="11" t="str">
        <f>IF(VLOOKUP(B405,Towary_i_uslugi!$A$4:$U$1200,21,FALSE)&gt;0,VLOOKUP(B405,Towary_i_uslugi!$A$4:$U$1200,21,FALSE),"")</f>
        <v/>
      </c>
      <c r="P405" s="11">
        <f t="shared" si="18"/>
        <v>2</v>
      </c>
      <c r="Q405" s="11">
        <f t="shared" si="19"/>
        <v>50</v>
      </c>
      <c r="R405" s="17">
        <f t="shared" si="20"/>
        <v>129</v>
      </c>
      <c r="S405" s="17">
        <f>VLOOKUP($B405,   MBI_LastBuy!$A$3:E$13199,3,FALSE)</f>
        <v>300</v>
      </c>
      <c r="T405" s="13">
        <f>VLOOKUP($B405,   MBI_LastBuy!$A$3:E$13199,2,FALSE)</f>
        <v>2.58</v>
      </c>
      <c r="U405" s="13" t="str">
        <f>VLOOKUP($B405,   MBI_LastBuy!$A$3:E$13199,5,FALSE)</f>
        <v>PLN</v>
      </c>
      <c r="V405" s="15">
        <f>VLOOKUP($B405,   MBI_LastBuy!$A$3:E$13199,4,FALSE)</f>
        <v>44070</v>
      </c>
    </row>
    <row r="406" spans="1:22" x14ac:dyDescent="0.25">
      <c r="A406" s="11" t="s">
        <v>3552</v>
      </c>
      <c r="B406" s="11">
        <v>772100</v>
      </c>
      <c r="C406" s="11" t="str">
        <f>VLOOKUP(B406,Towary_i_uslugi!$A$4:$B$1500,2)</f>
        <v>(brak)</v>
      </c>
      <c r="D406" s="11" t="s">
        <v>3679</v>
      </c>
      <c r="E406" s="11">
        <f>VLOOKUP(B406,Towary_i_uslugi!$A$3:$T$1500,3,FALSE)</f>
        <v>100</v>
      </c>
      <c r="F406" s="11" t="str">
        <f>VLOOKUP(B406,Towary_i_uslugi!$A$3:$T$1500,20,FALSE)</f>
        <v>PVC bag with header</v>
      </c>
      <c r="G406" s="11">
        <f>VLOOKUP(B406,MBI_Dostawcy_towarów!$A$4:$C$1399,3,FALSE)</f>
        <v>0.03</v>
      </c>
      <c r="H406" s="11">
        <v>338</v>
      </c>
      <c r="I406" s="11">
        <v>3</v>
      </c>
      <c r="J406" s="11">
        <v>2000</v>
      </c>
      <c r="K406" s="11">
        <f>_xlfn.IFNA(VLOOKUP(B406,Towary_na_zamówieniach!$A$4:$C$1500,2,FALSE),0)</f>
        <v>7000</v>
      </c>
      <c r="L406" s="11">
        <f>_xlfn.IFNA(VLOOKUP(B406,Towary_na_zamówieniach!$A$4:$C$1500,3,FALSE),0)</f>
        <v>2226</v>
      </c>
      <c r="M406" s="11">
        <f>_xlfn.IFNA(VLOOKUP(B406,MBI_Dostawcy_towarów!$A$4:$C$2000,2,FALSE),"N/A")</f>
        <v>100</v>
      </c>
      <c r="N406" s="11" t="str">
        <f>IF(VLOOKUP(B406,Towary_i_uslugi!$A$3:$T$1500,17,FALSE)=0,"!NO SUPPLIER",VLOOKUP(B406,Towary_i_uslugi!$A$3:$T$1500,17))</f>
        <v>XM</v>
      </c>
      <c r="O406" s="11" t="str">
        <f>IF(VLOOKUP(B406,Towary_i_uslugi!$A$4:$U$1200,21,FALSE)&gt;0,VLOOKUP(B406,Towary_i_uslugi!$A$4:$U$1200,21,FALSE),"")</f>
        <v>WBA*09.10.2020*Make better package</v>
      </c>
      <c r="P406" s="11">
        <f t="shared" si="18"/>
        <v>0</v>
      </c>
      <c r="Q406" s="11">
        <f t="shared" si="19"/>
        <v>0</v>
      </c>
      <c r="R406" s="17">
        <f t="shared" si="20"/>
        <v>0</v>
      </c>
      <c r="S406" s="17">
        <f>VLOOKUP($B406,   MBI_LastBuy!$A$3:E$13199,3,FALSE)</f>
        <v>7000</v>
      </c>
      <c r="T406" s="13">
        <f>VLOOKUP($B406,   MBI_LastBuy!$A$3:E$13199,2,FALSE)</f>
        <v>0.318</v>
      </c>
      <c r="U406" s="13" t="str">
        <f>VLOOKUP($B406,   MBI_LastBuy!$A$3:E$13199,5,FALSE)</f>
        <v>USD</v>
      </c>
      <c r="V406" s="15">
        <f>VLOOKUP($B406,   MBI_LastBuy!$A$3:E$13199,4,FALSE)</f>
        <v>44117</v>
      </c>
    </row>
    <row r="407" spans="1:22" x14ac:dyDescent="0.25">
      <c r="A407" s="11" t="s">
        <v>3552</v>
      </c>
      <c r="B407" s="11">
        <v>772105</v>
      </c>
      <c r="C407" s="11" t="str">
        <f>VLOOKUP(B407,Towary_i_uslugi!$A$4:$B$1500,2)</f>
        <v>(brak)</v>
      </c>
      <c r="D407" s="11" t="s">
        <v>2888</v>
      </c>
      <c r="E407" s="11">
        <f>VLOOKUP(B407,Towary_i_uslugi!$A$3:$T$1500,3,FALSE)</f>
        <v>20</v>
      </c>
      <c r="F407" s="11" t="str">
        <f>VLOOKUP(B407,Towary_i_uslugi!$A$3:$T$1500,20,FALSE)</f>
        <v>PVC bag with header</v>
      </c>
      <c r="G407" s="11">
        <f>VLOOKUP(B407,MBI_Dostawcy_towarów!$A$4:$C$1399,3,FALSE)</f>
        <v>0.154</v>
      </c>
      <c r="H407" s="11">
        <v>1</v>
      </c>
      <c r="I407" s="11">
        <v>0</v>
      </c>
      <c r="J407" s="11">
        <v>1200</v>
      </c>
      <c r="K407" s="11">
        <f>_xlfn.IFNA(VLOOKUP(B407,Towary_na_zamówieniach!$A$4:$C$1500,2,FALSE),0)</f>
        <v>0</v>
      </c>
      <c r="L407" s="11">
        <f>_xlfn.IFNA(VLOOKUP(B407,Towary_na_zamówieniach!$A$4:$C$1500,3,FALSE),0)</f>
        <v>0</v>
      </c>
      <c r="M407" s="11">
        <f>_xlfn.IFNA(VLOOKUP(B407,MBI_Dostawcy_towarów!$A$4:$C$2000,2,FALSE),"N/A")</f>
        <v>100</v>
      </c>
      <c r="N407" s="11" t="str">
        <f>IF(VLOOKUP(B407,Towary_i_uslugi!$A$3:$T$1500,17,FALSE)=0,"!NO SUPPLIER",VLOOKUP(B407,Towary_i_uslugi!$A$3:$T$1500,17))</f>
        <v>XM</v>
      </c>
      <c r="O407" s="11" t="str">
        <f>IF(VLOOKUP(B407,Towary_i_uslugi!$A$4:$U$1200,21,FALSE)&gt;0,VLOOKUP(B407,Towary_i_uslugi!$A$4:$U$1200,21,FALSE),"")</f>
        <v/>
      </c>
      <c r="P407" s="11">
        <f t="shared" si="18"/>
        <v>60</v>
      </c>
      <c r="Q407" s="11">
        <f t="shared" si="19"/>
        <v>1200</v>
      </c>
      <c r="R407" s="17">
        <f t="shared" si="20"/>
        <v>1152</v>
      </c>
      <c r="S407" s="17">
        <f>VLOOKUP($B407,   MBI_LastBuy!$A$3:E$13199,3,FALSE)</f>
        <v>3840</v>
      </c>
      <c r="T407" s="13">
        <f>VLOOKUP($B407,   MBI_LastBuy!$A$3:E$13199,2,FALSE)</f>
        <v>0.96</v>
      </c>
      <c r="U407" s="13" t="str">
        <f>VLOOKUP($B407,   MBI_LastBuy!$A$3:E$13199,5,FALSE)</f>
        <v>USD</v>
      </c>
      <c r="V407" s="15">
        <f>VLOOKUP($B407,   MBI_LastBuy!$A$3:E$13199,4,FALSE)</f>
        <v>43605</v>
      </c>
    </row>
    <row r="408" spans="1:22" x14ac:dyDescent="0.25">
      <c r="A408" s="11" t="s">
        <v>3553</v>
      </c>
      <c r="B408" s="11">
        <v>772120</v>
      </c>
      <c r="C408" s="11" t="str">
        <f>VLOOKUP(B408,Towary_i_uslugi!$A$4:$B$1500,2)</f>
        <v>(brak)</v>
      </c>
      <c r="D408" s="11" t="s">
        <v>2638</v>
      </c>
      <c r="E408" s="11">
        <f>VLOOKUP(B408,Towary_i_uslugi!$A$3:$T$1500,3,FALSE)</f>
        <v>120</v>
      </c>
      <c r="F408" s="11" t="str">
        <f>VLOOKUP(B408,Towary_i_uslugi!$A$3:$T$1500,20,FALSE)</f>
        <v>polybag header</v>
      </c>
      <c r="G408" s="11">
        <f>VLOOKUP(B408,MBI_Dostawcy_towarów!$A$4:$C$1399,3,FALSE)</f>
        <v>6.5000000000000002E-2</v>
      </c>
      <c r="H408" s="11">
        <v>1</v>
      </c>
      <c r="I408" s="11">
        <v>0</v>
      </c>
      <c r="J408" s="11">
        <v>550</v>
      </c>
      <c r="K408" s="11">
        <f>_xlfn.IFNA(VLOOKUP(B408,Towary_na_zamówieniach!$A$4:$C$1500,2,FALSE),0)</f>
        <v>960</v>
      </c>
      <c r="L408" s="11">
        <f>_xlfn.IFNA(VLOOKUP(B408,Towary_na_zamówieniach!$A$4:$C$1500,3,FALSE),0)</f>
        <v>508.8</v>
      </c>
      <c r="M408" s="11">
        <f>_xlfn.IFNA(VLOOKUP(B408,MBI_Dostawcy_towarów!$A$4:$C$2000,2,FALSE),"N/A")</f>
        <v>100</v>
      </c>
      <c r="N408" s="11" t="str">
        <f>IF(VLOOKUP(B408,Towary_i_uslugi!$A$3:$T$1500,17,FALSE)=0,"!NO SUPPLIER",VLOOKUP(B408,Towary_i_uslugi!$A$3:$T$1500,17))</f>
        <v>FX -MAPLE Frank Xu</v>
      </c>
      <c r="O408" s="11" t="str">
        <f>IF(VLOOKUP(B408,Towary_i_uslugi!$A$4:$U$1200,21,FALSE)&gt;0,VLOOKUP(B408,Towary_i_uslugi!$A$4:$U$1200,21,FALSE),"")</f>
        <v>MBI*3.10.19* CE BREXIT</v>
      </c>
      <c r="P408" s="11">
        <f t="shared" si="18"/>
        <v>0</v>
      </c>
      <c r="Q408" s="11">
        <f t="shared" si="19"/>
        <v>0</v>
      </c>
      <c r="R408" s="17">
        <f t="shared" si="20"/>
        <v>0</v>
      </c>
      <c r="S408" s="17">
        <f>VLOOKUP($B408,   MBI_LastBuy!$A$3:E$13199,3,FALSE)</f>
        <v>960</v>
      </c>
      <c r="T408" s="13">
        <f>VLOOKUP($B408,   MBI_LastBuy!$A$3:E$13199,2,FALSE)</f>
        <v>0.53</v>
      </c>
      <c r="U408" s="13" t="str">
        <f>VLOOKUP($B408,   MBI_LastBuy!$A$3:E$13199,5,FALSE)</f>
        <v>USD</v>
      </c>
      <c r="V408" s="15">
        <f>VLOOKUP($B408,   MBI_LastBuy!$A$3:E$13199,4,FALSE)</f>
        <v>43865</v>
      </c>
    </row>
    <row r="409" spans="1:22" x14ac:dyDescent="0.25">
      <c r="A409" s="11" t="s">
        <v>3555</v>
      </c>
      <c r="B409" s="11">
        <v>772210</v>
      </c>
      <c r="C409" s="11" t="str">
        <f>VLOOKUP(B409,Towary_i_uslugi!$A$4:$B$1500,2)</f>
        <v>(brak)</v>
      </c>
      <c r="D409" s="11" t="s">
        <v>2639</v>
      </c>
      <c r="E409" s="11">
        <f>VLOOKUP(B409,Towary_i_uslugi!$A$3:$T$1500,3,FALSE)</f>
        <v>96</v>
      </c>
      <c r="F409" s="11" t="str">
        <f>VLOOKUP(B409,Towary_i_uslugi!$A$3:$T$1500,20,FALSE)</f>
        <v>polybag header</v>
      </c>
      <c r="G409" s="11">
        <f>VLOOKUP(B409,MBI_Dostawcy_towarów!$A$4:$C$1399,3,FALSE)</f>
        <v>5.7000000000000002E-2</v>
      </c>
      <c r="H409" s="11">
        <v>1</v>
      </c>
      <c r="I409" s="11">
        <v>0</v>
      </c>
      <c r="J409" s="11">
        <v>1200</v>
      </c>
      <c r="K409" s="11">
        <f>_xlfn.IFNA(VLOOKUP(B409,Towary_na_zamówieniach!$A$4:$C$1500,2,FALSE),0)</f>
        <v>2304</v>
      </c>
      <c r="L409" s="11">
        <f>_xlfn.IFNA(VLOOKUP(B409,Towary_na_zamówieniach!$A$4:$C$1500,3,FALSE),0)</f>
        <v>1640.44</v>
      </c>
      <c r="M409" s="11">
        <f>_xlfn.IFNA(VLOOKUP(B409,MBI_Dostawcy_towarów!$A$4:$C$2000,2,FALSE),"N/A")</f>
        <v>100</v>
      </c>
      <c r="N409" s="11" t="str">
        <f>IF(VLOOKUP(B409,Towary_i_uslugi!$A$3:$T$1500,17,FALSE)=0,"!NO SUPPLIER",VLOOKUP(B409,Towary_i_uslugi!$A$3:$T$1500,17))</f>
        <v xml:space="preserve">HQ - Canada </v>
      </c>
      <c r="O409" s="11" t="str">
        <f>IF(VLOOKUP(B409,Towary_i_uslugi!$A$4:$U$1200,21,FALSE)&gt;0,VLOOKUP(B409,Towary_i_uslugi!$A$4:$U$1200,21,FALSE),"")</f>
        <v>MBI*3.10.19* CE BREXIT</v>
      </c>
      <c r="P409" s="11">
        <f t="shared" si="18"/>
        <v>0</v>
      </c>
      <c r="Q409" s="11">
        <f t="shared" si="19"/>
        <v>0</v>
      </c>
      <c r="R409" s="17">
        <f t="shared" si="20"/>
        <v>0</v>
      </c>
      <c r="S409" s="17">
        <f>VLOOKUP($B409,   MBI_LastBuy!$A$3:E$13199,3,FALSE)</f>
        <v>1152</v>
      </c>
      <c r="T409" s="13">
        <f>VLOOKUP($B409,   MBI_LastBuy!$A$3:E$13199,2,FALSE)</f>
        <v>0.71199999999999997</v>
      </c>
      <c r="U409" s="13" t="str">
        <f>VLOOKUP($B409,   MBI_LastBuy!$A$3:E$13199,5,FALSE)</f>
        <v>USD</v>
      </c>
      <c r="V409" s="15">
        <f>VLOOKUP($B409,   MBI_LastBuy!$A$3:E$13199,4,FALSE)</f>
        <v>43871</v>
      </c>
    </row>
    <row r="410" spans="1:22" x14ac:dyDescent="0.25">
      <c r="A410" s="11" t="s">
        <v>3552</v>
      </c>
      <c r="B410" s="11">
        <v>779000</v>
      </c>
      <c r="C410" s="11" t="str">
        <f>VLOOKUP(B410,Towary_i_uslugi!$A$4:$B$1500,2)</f>
        <v>(brak)</v>
      </c>
      <c r="D410" s="11" t="s">
        <v>3680</v>
      </c>
      <c r="E410" s="11">
        <f>VLOOKUP(B410,Towary_i_uslugi!$A$3:$T$1500,3,FALSE)</f>
        <v>200</v>
      </c>
      <c r="F410" s="11" t="str">
        <f>VLOOKUP(B410,Towary_i_uslugi!$A$3:$T$1500,20,FALSE)</f>
        <v>COLOR BOX</v>
      </c>
      <c r="G410" s="11">
        <f>VLOOKUP(B410,MBI_Dostawcy_towarów!$A$4:$C$1399,3,FALSE)</f>
        <v>0.05</v>
      </c>
      <c r="H410" s="11">
        <v>0</v>
      </c>
      <c r="I410" s="11">
        <v>0</v>
      </c>
      <c r="J410" s="11">
        <v>500</v>
      </c>
      <c r="K410" s="11">
        <f>_xlfn.IFNA(VLOOKUP(B410,Towary_na_zamówieniach!$A$4:$C$1500,2,FALSE),0)</f>
        <v>5000</v>
      </c>
      <c r="L410" s="11">
        <f>_xlfn.IFNA(VLOOKUP(B410,Towary_na_zamówieniach!$A$4:$C$1500,3,FALSE),0)</f>
        <v>17250</v>
      </c>
      <c r="M410" s="11">
        <f>_xlfn.IFNA(VLOOKUP(B410,MBI_Dostawcy_towarów!$A$4:$C$2000,2,FALSE),"N/A")</f>
        <v>0</v>
      </c>
      <c r="N410" s="11" t="str">
        <f>IF(VLOOKUP(B410,Towary_i_uslugi!$A$3:$T$1500,17,FALSE)=0,"!NO SUPPLIER",VLOOKUP(B410,Towary_i_uslugi!$A$3:$T$1500,17))</f>
        <v>XM - PRZYJĘCIE TOWARU !!!</v>
      </c>
      <c r="O410" s="11" t="str">
        <f>IF(VLOOKUP(B410,Towary_i_uslugi!$A$4:$U$1200,21,FALSE)&gt;0,VLOOKUP(B410,Towary_i_uslugi!$A$4:$U$1200,21,FALSE),"")</f>
        <v>AWY*9.11.20*nowość</v>
      </c>
      <c r="P410" s="11">
        <f t="shared" si="18"/>
        <v>0</v>
      </c>
      <c r="Q410" s="11">
        <f t="shared" si="19"/>
        <v>0</v>
      </c>
      <c r="R410" s="17">
        <f t="shared" si="20"/>
        <v>0</v>
      </c>
      <c r="S410" s="17">
        <f>VLOOKUP($B410,   MBI_LastBuy!$A$3:E$13199,3,FALSE)</f>
        <v>5000</v>
      </c>
      <c r="T410" s="13">
        <f>VLOOKUP($B410,   MBI_LastBuy!$A$3:E$13199,2,FALSE)</f>
        <v>3.45</v>
      </c>
      <c r="U410" s="13" t="str">
        <f>VLOOKUP($B410,   MBI_LastBuy!$A$3:E$13199,5,FALSE)</f>
        <v>USD</v>
      </c>
      <c r="V410" s="15">
        <f>VLOOKUP($B410,   MBI_LastBuy!$A$3:E$13199,4,FALSE)</f>
        <v>44145</v>
      </c>
    </row>
    <row r="411" spans="1:22" x14ac:dyDescent="0.25">
      <c r="A411" s="11" t="s">
        <v>3552</v>
      </c>
      <c r="B411" s="11">
        <v>779001</v>
      </c>
      <c r="C411" s="11" t="str">
        <f>VLOOKUP(B411,Towary_i_uslugi!$A$4:$B$1500,2)</f>
        <v>(brak)</v>
      </c>
      <c r="D411" s="11" t="s">
        <v>3681</v>
      </c>
      <c r="E411" s="11">
        <f>VLOOKUP(B411,Towary_i_uslugi!$A$3:$T$1500,3,FALSE)</f>
        <v>200</v>
      </c>
      <c r="F411" s="11" t="str">
        <f>VLOOKUP(B411,Towary_i_uslugi!$A$3:$T$1500,20,FALSE)</f>
        <v>COLOR BOX</v>
      </c>
      <c r="G411" s="11">
        <f>VLOOKUP(B411,MBI_Dostawcy_towarów!$A$4:$C$1399,3,FALSE)</f>
        <v>5.1999999999999998E-2</v>
      </c>
      <c r="H411" s="11">
        <v>0</v>
      </c>
      <c r="I411" s="11">
        <v>0</v>
      </c>
      <c r="J411" s="11">
        <v>500</v>
      </c>
      <c r="K411" s="11">
        <f>_xlfn.IFNA(VLOOKUP(B411,Towary_na_zamówieniach!$A$4:$C$1500,2,FALSE),0)</f>
        <v>2000</v>
      </c>
      <c r="L411" s="11">
        <f>_xlfn.IFNA(VLOOKUP(B411,Towary_na_zamówieniach!$A$4:$C$1500,3,FALSE),0)</f>
        <v>12500</v>
      </c>
      <c r="M411" s="11">
        <f>_xlfn.IFNA(VLOOKUP(B411,MBI_Dostawcy_towarów!$A$4:$C$2000,2,FALSE),"N/A")</f>
        <v>0</v>
      </c>
      <c r="N411" s="11" t="str">
        <f>IF(VLOOKUP(B411,Towary_i_uslugi!$A$3:$T$1500,17,FALSE)=0,"!NO SUPPLIER",VLOOKUP(B411,Towary_i_uslugi!$A$3:$T$1500,17))</f>
        <v>XM - PRZYJĘCIE TOWARU !!!</v>
      </c>
      <c r="O411" s="11" t="str">
        <f>IF(VLOOKUP(B411,Towary_i_uslugi!$A$4:$U$1200,21,FALSE)&gt;0,VLOOKUP(B411,Towary_i_uslugi!$A$4:$U$1200,21,FALSE),"")</f>
        <v>AWY*9.11.20*nowość</v>
      </c>
      <c r="P411" s="11">
        <f t="shared" si="18"/>
        <v>0</v>
      </c>
      <c r="Q411" s="11">
        <f t="shared" si="19"/>
        <v>0</v>
      </c>
      <c r="R411" s="17">
        <f t="shared" si="20"/>
        <v>0</v>
      </c>
      <c r="S411" s="17">
        <f>VLOOKUP($B411,   MBI_LastBuy!$A$3:E$13199,3,FALSE)</f>
        <v>2000</v>
      </c>
      <c r="T411" s="13">
        <f>VLOOKUP($B411,   MBI_LastBuy!$A$3:E$13199,2,FALSE)</f>
        <v>6.25</v>
      </c>
      <c r="U411" s="13" t="str">
        <f>VLOOKUP($B411,   MBI_LastBuy!$A$3:E$13199,5,FALSE)</f>
        <v>USD</v>
      </c>
      <c r="V411" s="15">
        <f>VLOOKUP($B411,   MBI_LastBuy!$A$3:E$13199,4,FALSE)</f>
        <v>44145</v>
      </c>
    </row>
    <row r="412" spans="1:22" x14ac:dyDescent="0.25">
      <c r="A412" s="11" t="s">
        <v>3555</v>
      </c>
      <c r="B412" s="11">
        <v>786000</v>
      </c>
      <c r="C412" s="11" t="str">
        <f>VLOOKUP(B412,Towary_i_uslugi!$A$4:$B$1500,2)</f>
        <v>(brak)</v>
      </c>
      <c r="D412" s="11" t="s">
        <v>2709</v>
      </c>
      <c r="E412" s="11">
        <f>VLOOKUP(B412,Towary_i_uslugi!$A$3:$T$1500,3,FALSE)</f>
        <v>120</v>
      </c>
      <c r="F412" s="11" t="str">
        <f>VLOOKUP(B412,Towary_i_uslugi!$A$3:$T$1500,20,FALSE)</f>
        <v>colour tag</v>
      </c>
      <c r="G412" s="11">
        <f>VLOOKUP(B412,MBI_Dostawcy_towarów!$A$4:$C$1399,3,FALSE)</f>
        <v>0.112</v>
      </c>
      <c r="H412" s="11">
        <v>1</v>
      </c>
      <c r="I412" s="11">
        <v>0</v>
      </c>
      <c r="J412" s="11">
        <v>700</v>
      </c>
      <c r="K412" s="11">
        <f>_xlfn.IFNA(VLOOKUP(B412,Towary_na_zamówieniach!$A$4:$C$1500,2,FALSE),0)</f>
        <v>1441</v>
      </c>
      <c r="L412" s="11">
        <f>_xlfn.IFNA(VLOOKUP(B412,Towary_na_zamówieniach!$A$4:$C$1500,3,FALSE),0)</f>
        <v>1022.4</v>
      </c>
      <c r="M412" s="11">
        <f>_xlfn.IFNA(VLOOKUP(B412,MBI_Dostawcy_towarów!$A$4:$C$2000,2,FALSE),"N/A")</f>
        <v>100</v>
      </c>
      <c r="N412" s="11" t="str">
        <f>IF(VLOOKUP(B412,Towary_i_uslugi!$A$3:$T$1500,17,FALSE)=0,"!NO SUPPLIER",VLOOKUP(B412,Towary_i_uslugi!$A$3:$T$1500,17))</f>
        <v xml:space="preserve">HQ - Canada </v>
      </c>
      <c r="O412" s="11" t="str">
        <f>IF(VLOOKUP(B412,Towary_i_uslugi!$A$4:$U$1200,21,FALSE)&gt;0,VLOOKUP(B412,Towary_i_uslugi!$A$4:$U$1200,21,FALSE),"")</f>
        <v/>
      </c>
      <c r="P412" s="11">
        <f t="shared" si="18"/>
        <v>0</v>
      </c>
      <c r="Q412" s="11">
        <f t="shared" si="19"/>
        <v>0</v>
      </c>
      <c r="R412" s="17">
        <f t="shared" si="20"/>
        <v>0</v>
      </c>
      <c r="S412" s="17">
        <f>VLOOKUP($B412,   MBI_LastBuy!$A$3:E$13199,3,FALSE)</f>
        <v>1440</v>
      </c>
      <c r="T412" s="13">
        <f>VLOOKUP($B412,   MBI_LastBuy!$A$3:E$13199,2,FALSE)</f>
        <v>0.71</v>
      </c>
      <c r="U412" s="13" t="str">
        <f>VLOOKUP($B412,   MBI_LastBuy!$A$3:E$13199,5,FALSE)</f>
        <v>USD</v>
      </c>
      <c r="V412" s="15">
        <f>VLOOKUP($B412,   MBI_LastBuy!$A$3:E$13199,4,FALSE)</f>
        <v>43966</v>
      </c>
    </row>
    <row r="413" spans="1:22" x14ac:dyDescent="0.25">
      <c r="A413" s="11" t="s">
        <v>3555</v>
      </c>
      <c r="B413" s="11">
        <v>786005</v>
      </c>
      <c r="C413" s="11" t="str">
        <f>VLOOKUP(B413,Towary_i_uslugi!$A$4:$B$1500,2)</f>
        <v>nowość!!! więcej info dla klienta</v>
      </c>
      <c r="D413" s="11" t="s">
        <v>3682</v>
      </c>
      <c r="E413" s="11">
        <f>VLOOKUP(B413,Towary_i_uslugi!$A$3:$T$1500,3,FALSE)</f>
        <v>60</v>
      </c>
      <c r="F413" s="11" t="str">
        <f>VLOOKUP(B413,Towary_i_uslugi!$A$3:$T$1500,20,FALSE)</f>
        <v>colour tag on string</v>
      </c>
      <c r="G413" s="11">
        <f>VLOOKUP(B413,MBI_Dostawcy_towarów!$A$4:$C$1399,3,FALSE)</f>
        <v>0.25800000000000001</v>
      </c>
      <c r="H413" s="11">
        <v>0</v>
      </c>
      <c r="I413" s="11">
        <v>0</v>
      </c>
      <c r="J413" s="11">
        <v>400</v>
      </c>
      <c r="K413" s="11">
        <f>_xlfn.IFNA(VLOOKUP(B413,Towary_na_zamówieniach!$A$4:$C$1500,2,FALSE),0)</f>
        <v>0</v>
      </c>
      <c r="L413" s="11">
        <f>_xlfn.IFNA(VLOOKUP(B413,Towary_na_zamówieniach!$A$4:$C$1500,3,FALSE),0)</f>
        <v>0</v>
      </c>
      <c r="M413" s="11">
        <f>_xlfn.IFNA(VLOOKUP(B413,MBI_Dostawcy_towarów!$A$4:$C$2000,2,FALSE),"N/A")</f>
        <v>100</v>
      </c>
      <c r="N413" s="11" t="str">
        <f>IF(VLOOKUP(B413,Towary_i_uslugi!$A$3:$T$1500,17,FALSE)=0,"!NO SUPPLIER",VLOOKUP(B413,Towary_i_uslugi!$A$3:$T$1500,17))</f>
        <v xml:space="preserve">HQ - Canada </v>
      </c>
      <c r="O413" s="11" t="str">
        <f>IF(VLOOKUP(B413,Towary_i_uslugi!$A$4:$U$1200,21,FALSE)&gt;0,VLOOKUP(B413,Towary_i_uslugi!$A$4:$U$1200,21,FALSE),"")</f>
        <v/>
      </c>
      <c r="P413" s="11">
        <f t="shared" si="18"/>
        <v>7</v>
      </c>
      <c r="Q413" s="11">
        <f t="shared" si="19"/>
        <v>420</v>
      </c>
      <c r="R413" s="17" t="e">
        <f t="shared" si="20"/>
        <v>#N/A</v>
      </c>
      <c r="S413" s="17" t="e">
        <f>VLOOKUP($B413,   MBI_LastBuy!$A$3:E$13199,3,FALSE)</f>
        <v>#N/A</v>
      </c>
      <c r="T413" s="13" t="e">
        <f>VLOOKUP($B413,   MBI_LastBuy!$A$3:E$13199,2,FALSE)</f>
        <v>#N/A</v>
      </c>
      <c r="U413" s="13" t="e">
        <f>VLOOKUP($B413,   MBI_LastBuy!$A$3:E$13199,5,FALSE)</f>
        <v>#N/A</v>
      </c>
      <c r="V413" s="15" t="e">
        <f>VLOOKUP($B413,   MBI_LastBuy!$A$3:E$13199,4,FALSE)</f>
        <v>#N/A</v>
      </c>
    </row>
    <row r="414" spans="1:22" x14ac:dyDescent="0.25">
      <c r="A414" s="11" t="s">
        <v>3555</v>
      </c>
      <c r="B414" s="11">
        <v>786007</v>
      </c>
      <c r="C414" s="11" t="str">
        <f>VLOOKUP(B414,Towary_i_uslugi!$A$4:$B$1500,2)</f>
        <v>(brak)</v>
      </c>
      <c r="D414" s="11" t="s">
        <v>2889</v>
      </c>
      <c r="E414" s="11">
        <f>VLOOKUP(B414,Towary_i_uslugi!$A$3:$T$1500,3,FALSE)</f>
        <v>120</v>
      </c>
      <c r="F414" s="11" t="str">
        <f>VLOOKUP(B414,Towary_i_uslugi!$A$3:$T$1500,20,FALSE)</f>
        <v>color tag</v>
      </c>
      <c r="G414" s="11">
        <f>VLOOKUP(B414,MBI_Dostawcy_towarów!$A$4:$C$1399,3,FALSE)</f>
        <v>0.17100000000000001</v>
      </c>
      <c r="H414" s="11">
        <v>1</v>
      </c>
      <c r="I414" s="11">
        <v>0</v>
      </c>
      <c r="J414" s="11">
        <v>350</v>
      </c>
      <c r="K414" s="11">
        <f>_xlfn.IFNA(VLOOKUP(B414,Towary_na_zamówieniach!$A$4:$C$1500,2,FALSE),0)</f>
        <v>0</v>
      </c>
      <c r="L414" s="11">
        <f>_xlfn.IFNA(VLOOKUP(B414,Towary_na_zamówieniach!$A$4:$C$1500,3,FALSE),0)</f>
        <v>0</v>
      </c>
      <c r="M414" s="11">
        <f>_xlfn.IFNA(VLOOKUP(B414,MBI_Dostawcy_towarów!$A$4:$C$2000,2,FALSE),"N/A")</f>
        <v>100</v>
      </c>
      <c r="N414" s="11" t="str">
        <f>IF(VLOOKUP(B414,Towary_i_uslugi!$A$3:$T$1500,17,FALSE)=0,"!NO SUPPLIER",VLOOKUP(B414,Towary_i_uslugi!$A$3:$T$1500,17))</f>
        <v xml:space="preserve">HQ - Canada </v>
      </c>
      <c r="O414" s="11" t="str">
        <f>IF(VLOOKUP(B414,Towary_i_uslugi!$A$4:$U$1200,21,FALSE)&gt;0,VLOOKUP(B414,Towary_i_uslugi!$A$4:$U$1200,21,FALSE),"")</f>
        <v>MBI*190709*first delivery</v>
      </c>
      <c r="P414" s="11">
        <f t="shared" si="18"/>
        <v>3</v>
      </c>
      <c r="Q414" s="11">
        <f t="shared" si="19"/>
        <v>360</v>
      </c>
      <c r="R414" s="17">
        <f t="shared" si="20"/>
        <v>342</v>
      </c>
      <c r="S414" s="17">
        <f>VLOOKUP($B414,   MBI_LastBuy!$A$3:E$13199,3,FALSE)</f>
        <v>1080</v>
      </c>
      <c r="T414" s="13">
        <f>VLOOKUP($B414,   MBI_LastBuy!$A$3:E$13199,2,FALSE)</f>
        <v>0.95</v>
      </c>
      <c r="U414" s="13" t="str">
        <f>VLOOKUP($B414,   MBI_LastBuy!$A$3:E$13199,5,FALSE)</f>
        <v>USD</v>
      </c>
      <c r="V414" s="15">
        <f>VLOOKUP($B414,   MBI_LastBuy!$A$3:E$13199,4,FALSE)</f>
        <v>43612</v>
      </c>
    </row>
    <row r="415" spans="1:22" x14ac:dyDescent="0.25">
      <c r="A415" s="11" t="s">
        <v>3553</v>
      </c>
      <c r="B415" s="11">
        <v>786030</v>
      </c>
      <c r="C415" s="11" t="str">
        <f>VLOOKUP(B415,Towary_i_uslugi!$A$4:$B$1500,2)</f>
        <v>(brak)</v>
      </c>
      <c r="D415" s="11" t="s">
        <v>2890</v>
      </c>
      <c r="E415" s="11">
        <f>VLOOKUP(B415,Towary_i_uslugi!$A$3:$T$1500,3,FALSE)</f>
        <v>100</v>
      </c>
      <c r="F415" s="11" t="str">
        <f>VLOOKUP(B415,Towary_i_uslugi!$A$3:$T$1500,20,FALSE)</f>
        <v>PVC bag w/hanger</v>
      </c>
      <c r="G415" s="11">
        <f>VLOOKUP(B415,MBI_Dostawcy_towarów!$A$4:$C$1399,3,FALSE)</f>
        <v>0.15</v>
      </c>
      <c r="H415" s="11">
        <v>154</v>
      </c>
      <c r="I415" s="11">
        <v>0</v>
      </c>
      <c r="J415" s="11">
        <v>250</v>
      </c>
      <c r="K415" s="11">
        <f>_xlfn.IFNA(VLOOKUP(B415,Towary_na_zamówieniach!$A$4:$C$1500,2,FALSE),0)</f>
        <v>1000</v>
      </c>
      <c r="L415" s="11">
        <f>_xlfn.IFNA(VLOOKUP(B415,Towary_na_zamówieniach!$A$4:$C$1500,3,FALSE),0)</f>
        <v>900</v>
      </c>
      <c r="M415" s="11">
        <f>_xlfn.IFNA(VLOOKUP(B415,MBI_Dostawcy_towarów!$A$4:$C$2000,2,FALSE),"N/A")</f>
        <v>100</v>
      </c>
      <c r="N415" s="11" t="str">
        <f>IF(VLOOKUP(B415,Towary_i_uslugi!$A$3:$T$1500,17,FALSE)=0,"!NO SUPPLIER",VLOOKUP(B415,Towary_i_uslugi!$A$3:$T$1500,17))</f>
        <v>FX -MAPLE Frank Xu</v>
      </c>
      <c r="O415" s="11" t="str">
        <f>IF(VLOOKUP(B415,Towary_i_uslugi!$A$4:$U$1200,21,FALSE)&gt;0,VLOOKUP(B415,Towary_i_uslugi!$A$4:$U$1200,21,FALSE),"")</f>
        <v/>
      </c>
      <c r="P415" s="11">
        <f t="shared" si="18"/>
        <v>0</v>
      </c>
      <c r="Q415" s="11">
        <f t="shared" si="19"/>
        <v>0</v>
      </c>
      <c r="R415" s="17">
        <f t="shared" si="20"/>
        <v>0</v>
      </c>
      <c r="S415" s="17">
        <f>VLOOKUP($B415,   MBI_LastBuy!$A$3:E$13199,3,FALSE)</f>
        <v>1000</v>
      </c>
      <c r="T415" s="13">
        <f>VLOOKUP($B415,   MBI_LastBuy!$A$3:E$13199,2,FALSE)</f>
        <v>0.9</v>
      </c>
      <c r="U415" s="13" t="str">
        <f>VLOOKUP($B415,   MBI_LastBuy!$A$3:E$13199,5,FALSE)</f>
        <v>USD</v>
      </c>
      <c r="V415" s="15">
        <f>VLOOKUP($B415,   MBI_LastBuy!$A$3:E$13199,4,FALSE)</f>
        <v>44074</v>
      </c>
    </row>
    <row r="416" spans="1:22" x14ac:dyDescent="0.25">
      <c r="A416" s="11" t="s">
        <v>3552</v>
      </c>
      <c r="B416" s="11">
        <v>786035</v>
      </c>
      <c r="C416" s="11" t="str">
        <f>VLOOKUP(B416,Towary_i_uslugi!$A$4:$B$1500,2)</f>
        <v>kandydat do usuniecia - nie zamawiać</v>
      </c>
      <c r="D416" s="11" t="s">
        <v>2891</v>
      </c>
      <c r="E416" s="11">
        <f>VLOOKUP(B416,Towary_i_uslugi!$A$3:$T$1500,3,FALSE)</f>
        <v>20</v>
      </c>
      <c r="F416" s="11" t="str">
        <f>VLOOKUP(B416,Towary_i_uslugi!$A$3:$T$1500,20,FALSE)</f>
        <v>PVC bag w/sticker</v>
      </c>
      <c r="G416" s="11">
        <f>VLOOKUP(B416,MBI_Dostawcy_towarów!$A$4:$C$1399,3,FALSE)</f>
        <v>1.175</v>
      </c>
      <c r="H416" s="11">
        <v>11</v>
      </c>
      <c r="I416" s="11">
        <v>0</v>
      </c>
      <c r="J416" s="11">
        <v>130</v>
      </c>
      <c r="K416" s="11">
        <f>_xlfn.IFNA(VLOOKUP(B416,Towary_na_zamówieniach!$A$4:$C$1500,2,FALSE),0)</f>
        <v>0</v>
      </c>
      <c r="L416" s="11">
        <f>_xlfn.IFNA(VLOOKUP(B416,Towary_na_zamówieniach!$A$4:$C$1500,3,FALSE),0)</f>
        <v>0</v>
      </c>
      <c r="M416" s="11">
        <f>_xlfn.IFNA(VLOOKUP(B416,MBI_Dostawcy_towarów!$A$4:$C$2000,2,FALSE),"N/A")</f>
        <v>100</v>
      </c>
      <c r="N416" s="11" t="str">
        <f>IF(VLOOKUP(B416,Towary_i_uslugi!$A$3:$T$1500,17,FALSE)=0,"!NO SUPPLIER",VLOOKUP(B416,Towary_i_uslugi!$A$3:$T$1500,17))</f>
        <v>XM</v>
      </c>
      <c r="O416" s="11" t="str">
        <f>IF(VLOOKUP(B416,Towary_i_uslugi!$A$4:$U$1200,21,FALSE)&gt;0,VLOOKUP(B416,Towary_i_uslugi!$A$4:$U$1200,21,FALSE),"")</f>
        <v/>
      </c>
      <c r="P416" s="11">
        <f t="shared" si="18"/>
        <v>7</v>
      </c>
      <c r="Q416" s="11">
        <f t="shared" si="19"/>
        <v>140</v>
      </c>
      <c r="R416" s="17">
        <f t="shared" si="20"/>
        <v>1050</v>
      </c>
      <c r="S416" s="17">
        <f>VLOOKUP($B416,   MBI_LastBuy!$A$3:E$13199,3,FALSE)</f>
        <v>300</v>
      </c>
      <c r="T416" s="13">
        <f>VLOOKUP($B416,   MBI_LastBuy!$A$3:E$13199,2,FALSE)</f>
        <v>7.5</v>
      </c>
      <c r="U416" s="13" t="str">
        <f>VLOOKUP($B416,   MBI_LastBuy!$A$3:E$13199,5,FALSE)</f>
        <v>USD</v>
      </c>
      <c r="V416" s="15">
        <f>VLOOKUP($B416,   MBI_LastBuy!$A$3:E$13199,4,FALSE)</f>
        <v>43381</v>
      </c>
    </row>
    <row r="417" spans="1:22" x14ac:dyDescent="0.25">
      <c r="A417" s="11" t="s">
        <v>3564</v>
      </c>
      <c r="B417" s="11">
        <v>800525</v>
      </c>
      <c r="C417" s="11" t="str">
        <f>VLOOKUP(B417,Towary_i_uslugi!$A$4:$B$1500,2)</f>
        <v>(brak)</v>
      </c>
      <c r="D417" s="11" t="s">
        <v>1599</v>
      </c>
      <c r="E417" s="11">
        <f>VLOOKUP(B417,Towary_i_uslugi!$A$3:$T$1500,3,FALSE)</f>
        <v>1</v>
      </c>
      <c r="F417" s="11" t="str">
        <f>VLOOKUP(B417,Towary_i_uslugi!$A$3:$T$1500,20,FALSE)</f>
        <v>STICKER</v>
      </c>
      <c r="G417" s="11">
        <f>VLOOKUP(B417,MBI_Dostawcy_towarów!$A$4:$C$1399,3,FALSE)</f>
        <v>2.34</v>
      </c>
      <c r="H417" s="11">
        <v>4</v>
      </c>
      <c r="I417" s="11">
        <v>0</v>
      </c>
      <c r="J417" s="11">
        <v>20</v>
      </c>
      <c r="K417" s="11">
        <f>_xlfn.IFNA(VLOOKUP(B417,Towary_na_zamówieniach!$A$4:$C$1500,2,FALSE),0)</f>
        <v>0</v>
      </c>
      <c r="L417" s="11">
        <f>_xlfn.IFNA(VLOOKUP(B417,Towary_na_zamówieniach!$A$4:$C$1500,3,FALSE),0)</f>
        <v>0</v>
      </c>
      <c r="M417" s="11">
        <f>_xlfn.IFNA(VLOOKUP(B417,MBI_Dostawcy_towarów!$A$4:$C$2000,2,FALSE),"N/A")</f>
        <v>10</v>
      </c>
      <c r="N417" s="11" t="str">
        <f>IF(VLOOKUP(B417,Towary_i_uslugi!$A$3:$T$1500,17,FALSE)=0,"!NO SUPPLIER",VLOOKUP(B417,Towary_i_uslugi!$A$3:$T$1500,17))</f>
        <v>PATROL</v>
      </c>
      <c r="O417" s="11" t="str">
        <f>IF(VLOOKUP(B417,Towary_i_uslugi!$A$4:$U$1200,21,FALSE)&gt;0,VLOOKUP(B417,Towary_i_uslugi!$A$4:$U$1200,21,FALSE),"")</f>
        <v/>
      </c>
      <c r="P417" s="11">
        <f t="shared" si="18"/>
        <v>20</v>
      </c>
      <c r="Q417" s="11">
        <f t="shared" si="19"/>
        <v>20</v>
      </c>
      <c r="R417" s="17">
        <f t="shared" si="20"/>
        <v>713.40000000000009</v>
      </c>
      <c r="S417" s="17">
        <f>VLOOKUP($B417,   MBI_LastBuy!$A$3:E$13199,3,FALSE)</f>
        <v>24</v>
      </c>
      <c r="T417" s="13">
        <f>VLOOKUP($B417,   MBI_LastBuy!$A$3:E$13199,2,FALSE)</f>
        <v>35.67</v>
      </c>
      <c r="U417" s="13" t="str">
        <f>VLOOKUP($B417,   MBI_LastBuy!$A$3:E$13199,5,FALSE)</f>
        <v>PLN</v>
      </c>
      <c r="V417" s="15">
        <f>VLOOKUP($B417,   MBI_LastBuy!$A$3:E$13199,4,FALSE)</f>
        <v>43060</v>
      </c>
    </row>
    <row r="418" spans="1:22" x14ac:dyDescent="0.25">
      <c r="A418" s="11" t="s">
        <v>3552</v>
      </c>
      <c r="B418" s="11">
        <v>800620</v>
      </c>
      <c r="C418" s="11" t="str">
        <f>VLOOKUP(B418,Towary_i_uslugi!$A$4:$B$1500,2)</f>
        <v>(brak)</v>
      </c>
      <c r="D418" s="11" t="s">
        <v>2892</v>
      </c>
      <c r="E418" s="11">
        <f>VLOOKUP(B418,Towary_i_uslugi!$A$3:$T$1500,3,FALSE)</f>
        <v>40</v>
      </c>
      <c r="F418" s="11" t="str">
        <f>VLOOKUP(B418,Towary_i_uslugi!$A$3:$T$1500,20,FALSE)</f>
        <v>factory carton box+sticker</v>
      </c>
      <c r="G418" s="11">
        <f>VLOOKUP(B418,MBI_Dostawcy_towarów!$A$4:$C$1399,3,FALSE)</f>
        <v>0.42</v>
      </c>
      <c r="H418" s="11">
        <v>1</v>
      </c>
      <c r="I418" s="11">
        <v>0</v>
      </c>
      <c r="J418" s="11">
        <v>200</v>
      </c>
      <c r="K418" s="11">
        <f>_xlfn.IFNA(VLOOKUP(B418,Towary_na_zamówieniach!$A$4:$C$1500,2,FALSE),0)</f>
        <v>560</v>
      </c>
      <c r="L418" s="11">
        <f>_xlfn.IFNA(VLOOKUP(B418,Towary_na_zamówieniach!$A$4:$C$1500,3,FALSE),0)</f>
        <v>728</v>
      </c>
      <c r="M418" s="11">
        <f>_xlfn.IFNA(VLOOKUP(B418,MBI_Dostawcy_towarów!$A$4:$C$2000,2,FALSE),"N/A")</f>
        <v>100</v>
      </c>
      <c r="N418" s="11" t="str">
        <f>IF(VLOOKUP(B418,Towary_i_uslugi!$A$3:$T$1500,17,FALSE)=0,"!NO SUPPLIER",VLOOKUP(B418,Towary_i_uslugi!$A$3:$T$1500,17))</f>
        <v>XM</v>
      </c>
      <c r="O418" s="11" t="str">
        <f>IF(VLOOKUP(B418,Towary_i_uslugi!$A$4:$U$1200,21,FALSE)&gt;0,VLOOKUP(B418,Towary_i_uslugi!$A$4:$U$1200,21,FALSE),"")</f>
        <v/>
      </c>
      <c r="P418" s="11">
        <f t="shared" si="18"/>
        <v>0</v>
      </c>
      <c r="Q418" s="11">
        <f t="shared" si="19"/>
        <v>0</v>
      </c>
      <c r="R418" s="17">
        <f t="shared" si="20"/>
        <v>0</v>
      </c>
      <c r="S418" s="17">
        <f>VLOOKUP($B418,   MBI_LastBuy!$A$3:E$13199,3,FALSE)</f>
        <v>560</v>
      </c>
      <c r="T418" s="13">
        <f>VLOOKUP($B418,   MBI_LastBuy!$A$3:E$13199,2,FALSE)</f>
        <v>1.3</v>
      </c>
      <c r="U418" s="13" t="str">
        <f>VLOOKUP($B418,   MBI_LastBuy!$A$3:E$13199,5,FALSE)</f>
        <v>USD</v>
      </c>
      <c r="V418" s="15">
        <f>VLOOKUP($B418,   MBI_LastBuy!$A$3:E$13199,4,FALSE)</f>
        <v>43998</v>
      </c>
    </row>
    <row r="419" spans="1:22" x14ac:dyDescent="0.25">
      <c r="A419" s="11" t="s">
        <v>3830</v>
      </c>
      <c r="B419" s="11">
        <v>812500</v>
      </c>
      <c r="C419" s="11" t="str">
        <f>VLOOKUP(B419,Towary_i_uslugi!$A$4:$B$1500,2)</f>
        <v>(brak)</v>
      </c>
      <c r="D419" s="11" t="s">
        <v>2893</v>
      </c>
      <c r="E419" s="11">
        <f>VLOOKUP(B419,Towary_i_uslugi!$A$3:$T$1500,3,FALSE)</f>
        <v>30</v>
      </c>
      <c r="F419" s="11" t="str">
        <f>VLOOKUP(B419,Towary_i_uslugi!$A$3:$T$1500,20,FALSE)</f>
        <v>pvc shrink</v>
      </c>
      <c r="G419" s="11" t="e">
        <f>VLOOKUP(B419,MBI_Dostawcy_towarów!$A$4:$C$1399,3,FALSE)</f>
        <v>#N/A</v>
      </c>
      <c r="H419" s="11">
        <v>1</v>
      </c>
      <c r="I419" s="11">
        <v>0</v>
      </c>
      <c r="J419" s="11">
        <v>1000</v>
      </c>
      <c r="K419" s="11">
        <f>_xlfn.IFNA(VLOOKUP(B419,Towary_na_zamówieniach!$A$4:$C$1500,2,FALSE),0)</f>
        <v>2020</v>
      </c>
      <c r="L419" s="11">
        <f>_xlfn.IFNA(VLOOKUP(B419,Towary_na_zamówieniach!$A$4:$C$1500,3,FALSE),0)</f>
        <v>3461.6</v>
      </c>
      <c r="M419" s="11" t="str">
        <f>_xlfn.IFNA(VLOOKUP(B419,MBI_Dostawcy_towarów!$A$4:$C$2000,2,FALSE),"N/A")</f>
        <v>N/A</v>
      </c>
      <c r="N419" s="11" t="str">
        <f>IF(VLOOKUP(B419,Towary_i_uslugi!$A$3:$T$1500,17,FALSE)=0,"!NO SUPPLIER",VLOOKUP(B419,Towary_i_uslugi!$A$3:$T$1500,17))</f>
        <v>!NO SUPPLIER</v>
      </c>
      <c r="O419" s="11" t="str">
        <f>IF(VLOOKUP(B419,Towary_i_uslugi!$A$4:$U$1200,21,FALSE)&gt;0,VLOOKUP(B419,Towary_i_uslugi!$A$4:$U$1200,21,FALSE),"")</f>
        <v>MBA7.1.2019*dodatkowy knot instrukcja</v>
      </c>
      <c r="P419" s="11">
        <f t="shared" si="18"/>
        <v>0</v>
      </c>
      <c r="Q419" s="11">
        <f t="shared" si="19"/>
        <v>0</v>
      </c>
      <c r="R419" s="17">
        <f t="shared" si="20"/>
        <v>0</v>
      </c>
      <c r="S419" s="17">
        <f>VLOOKUP($B419,   MBI_LastBuy!$A$3:E$13199,3,FALSE)</f>
        <v>1020</v>
      </c>
      <c r="T419" s="13">
        <f>VLOOKUP($B419,   MBI_LastBuy!$A$3:E$13199,2,FALSE)</f>
        <v>1.58</v>
      </c>
      <c r="U419" s="13" t="str">
        <f>VLOOKUP($B419,   MBI_LastBuy!$A$3:E$13199,5,FALSE)</f>
        <v>USD</v>
      </c>
      <c r="V419" s="15">
        <f>VLOOKUP($B419,   MBI_LastBuy!$A$3:E$13199,4,FALSE)</f>
        <v>44013</v>
      </c>
    </row>
    <row r="420" spans="1:22" x14ac:dyDescent="0.25">
      <c r="A420" s="11" t="s">
        <v>3830</v>
      </c>
      <c r="B420" s="11">
        <v>812502</v>
      </c>
      <c r="C420" s="11" t="str">
        <f>VLOOKUP(B420,Towary_i_uslugi!$A$4:$B$1500,2)</f>
        <v>(brak)</v>
      </c>
      <c r="D420" s="11" t="s">
        <v>2894</v>
      </c>
      <c r="E420" s="11">
        <f>VLOOKUP(B420,Towary_i_uslugi!$A$3:$T$1500,3,FALSE)</f>
        <v>24</v>
      </c>
      <c r="F420" s="11" t="str">
        <f>VLOOKUP(B420,Towary_i_uslugi!$A$3:$T$1500,20,FALSE)</f>
        <v>pvc shrink</v>
      </c>
      <c r="G420" s="11" t="e">
        <f>VLOOKUP(B420,MBI_Dostawcy_towarów!$A$4:$C$1399,3,FALSE)</f>
        <v>#N/A</v>
      </c>
      <c r="H420" s="11">
        <v>4</v>
      </c>
      <c r="I420" s="11">
        <v>3</v>
      </c>
      <c r="J420" s="11">
        <v>1000</v>
      </c>
      <c r="K420" s="11">
        <f>_xlfn.IFNA(VLOOKUP(B420,Towary_na_zamówieniach!$A$4:$C$1500,2,FALSE),0)</f>
        <v>2008</v>
      </c>
      <c r="L420" s="11">
        <f>_xlfn.IFNA(VLOOKUP(B420,Towary_na_zamówieniach!$A$4:$C$1500,3,FALSE),0)</f>
        <v>4505.12</v>
      </c>
      <c r="M420" s="11" t="str">
        <f>_xlfn.IFNA(VLOOKUP(B420,MBI_Dostawcy_towarów!$A$4:$C$2000,2,FALSE),"N/A")</f>
        <v>N/A</v>
      </c>
      <c r="N420" s="11" t="str">
        <f>IF(VLOOKUP(B420,Towary_i_uslugi!$A$3:$T$1500,17,FALSE)=0,"!NO SUPPLIER",VLOOKUP(B420,Towary_i_uslugi!$A$3:$T$1500,17))</f>
        <v>!NO SUPPLIER</v>
      </c>
      <c r="O420" s="11" t="str">
        <f>IF(VLOOKUP(B420,Towary_i_uslugi!$A$4:$U$1200,21,FALSE)&gt;0,VLOOKUP(B420,Towary_i_uslugi!$A$4:$U$1200,21,FALSE),"")</f>
        <v>MBA*10.2.2020*Please make user manual. Please add reserve wick</v>
      </c>
      <c r="P420" s="11">
        <f t="shared" si="18"/>
        <v>0</v>
      </c>
      <c r="Q420" s="11">
        <f t="shared" si="19"/>
        <v>0</v>
      </c>
      <c r="R420" s="17">
        <f t="shared" si="20"/>
        <v>0</v>
      </c>
      <c r="S420" s="17">
        <f>VLOOKUP($B420,   MBI_LastBuy!$A$3:E$13199,3,FALSE)</f>
        <v>1008</v>
      </c>
      <c r="T420" s="13">
        <f>VLOOKUP($B420,   MBI_LastBuy!$A$3:E$13199,2,FALSE)</f>
        <v>1.89</v>
      </c>
      <c r="U420" s="13" t="str">
        <f>VLOOKUP($B420,   MBI_LastBuy!$A$3:E$13199,5,FALSE)</f>
        <v>USD</v>
      </c>
      <c r="V420" s="15">
        <f>VLOOKUP($B420,   MBI_LastBuy!$A$3:E$13199,4,FALSE)</f>
        <v>44013</v>
      </c>
    </row>
    <row r="421" spans="1:22" x14ac:dyDescent="0.25">
      <c r="A421" s="11" t="s">
        <v>3827</v>
      </c>
      <c r="B421" s="11">
        <v>812950</v>
      </c>
      <c r="C421" s="11" t="str">
        <f>VLOOKUP(B421,Towary_i_uslugi!$A$4:$B$1500,2)</f>
        <v>nowość!!! więcej info dla klienta</v>
      </c>
      <c r="D421" s="11" t="s">
        <v>3683</v>
      </c>
      <c r="E421" s="11">
        <f>VLOOKUP(B421,Towary_i_uslugi!$A$3:$T$1500,3,FALSE)</f>
        <v>48</v>
      </c>
      <c r="F421" s="11" t="str">
        <f>VLOOKUP(B421,Towary_i_uslugi!$A$3:$T$1500,20,FALSE)</f>
        <v>box + sticker</v>
      </c>
      <c r="G421" s="11">
        <f>VLOOKUP(B421,MBI_Dostawcy_towarów!$A$4:$C$1399,3,FALSE)</f>
        <v>0.25600000000000001</v>
      </c>
      <c r="H421" s="11">
        <v>345</v>
      </c>
      <c r="I421" s="11">
        <v>289</v>
      </c>
      <c r="J421" s="11">
        <v>100</v>
      </c>
      <c r="K421" s="11">
        <f>_xlfn.IFNA(VLOOKUP(B421,Towary_na_zamówieniach!$A$4:$C$1500,2,FALSE),0)</f>
        <v>0</v>
      </c>
      <c r="L421" s="11">
        <f>_xlfn.IFNA(VLOOKUP(B421,Towary_na_zamówieniach!$A$4:$C$1500,3,FALSE),0)</f>
        <v>0</v>
      </c>
      <c r="M421" s="11">
        <f>_xlfn.IFNA(VLOOKUP(B421,MBI_Dostawcy_towarów!$A$4:$C$2000,2,FALSE),"N/A")</f>
        <v>100</v>
      </c>
      <c r="N421" s="11" t="str">
        <f>IF(VLOOKUP(B421,Towary_i_uslugi!$A$3:$T$1500,17,FALSE)=0,"!NO SUPPLIER",VLOOKUP(B421,Towary_i_uslugi!$A$3:$T$1500,17))</f>
        <v xml:space="preserve">DW rozrachunki </v>
      </c>
      <c r="O421" s="11" t="str">
        <f>IF(VLOOKUP(B421,Towary_i_uslugi!$A$4:$U$1200,21,FALSE)&gt;0,VLOOKUP(B421,Towary_i_uslugi!$A$4:$U$1200,21,FALSE),"")</f>
        <v>PFA*2.6.20*CE</v>
      </c>
      <c r="P421" s="11">
        <f t="shared" si="18"/>
        <v>3</v>
      </c>
      <c r="Q421" s="11">
        <f t="shared" si="19"/>
        <v>144</v>
      </c>
      <c r="R421" s="17">
        <f t="shared" si="20"/>
        <v>547.19999999999993</v>
      </c>
      <c r="S421" s="17">
        <f>VLOOKUP($B421,   MBI_LastBuy!$A$3:E$13199,3,FALSE)</f>
        <v>480</v>
      </c>
      <c r="T421" s="13">
        <f>VLOOKUP($B421,   MBI_LastBuy!$A$3:E$13199,2,FALSE)</f>
        <v>3.8</v>
      </c>
      <c r="U421" s="13" t="str">
        <f>VLOOKUP($B421,   MBI_LastBuy!$A$3:E$13199,5,FALSE)</f>
        <v>USD</v>
      </c>
      <c r="V421" s="15">
        <f>VLOOKUP($B421,   MBI_LastBuy!$A$3:E$13199,4,FALSE)</f>
        <v>44025</v>
      </c>
    </row>
    <row r="422" spans="1:22" x14ac:dyDescent="0.25">
      <c r="A422" s="11" t="s">
        <v>3553</v>
      </c>
      <c r="B422" s="11">
        <v>820000</v>
      </c>
      <c r="C422" s="11" t="str">
        <f>VLOOKUP(B422,Towary_i_uslugi!$A$4:$B$1500,2)</f>
        <v>(brak)</v>
      </c>
      <c r="D422" s="11" t="s">
        <v>2895</v>
      </c>
      <c r="E422" s="11">
        <f>VLOOKUP(B422,Towary_i_uslugi!$A$3:$T$1500,3,FALSE)</f>
        <v>20</v>
      </c>
      <c r="F422" s="11" t="str">
        <f>VLOOKUP(B422,Towary_i_uslugi!$A$3:$T$1500,20,FALSE)</f>
        <v>double blister</v>
      </c>
      <c r="G422" s="11">
        <f>VLOOKUP(B422,MBI_Dostawcy_towarów!$A$4:$C$1399,3,FALSE)</f>
        <v>0.98199999999999998</v>
      </c>
      <c r="H422" s="11">
        <v>132</v>
      </c>
      <c r="I422" s="11">
        <v>0</v>
      </c>
      <c r="J422" s="11">
        <v>250</v>
      </c>
      <c r="K422" s="11">
        <f>_xlfn.IFNA(VLOOKUP(B422,Towary_na_zamówieniach!$A$4:$C$1500,2,FALSE),0)</f>
        <v>360</v>
      </c>
      <c r="L422" s="11">
        <f>_xlfn.IFNA(VLOOKUP(B422,Towary_na_zamówieniach!$A$4:$C$1500,3,FALSE),0)</f>
        <v>990</v>
      </c>
      <c r="M422" s="11">
        <f>_xlfn.IFNA(VLOOKUP(B422,MBI_Dostawcy_towarów!$A$4:$C$2000,2,FALSE),"N/A")</f>
        <v>100</v>
      </c>
      <c r="N422" s="11" t="str">
        <f>IF(VLOOKUP(B422,Towary_i_uslugi!$A$3:$T$1500,17,FALSE)=0,"!NO SUPPLIER",VLOOKUP(B422,Towary_i_uslugi!$A$3:$T$1500,17))</f>
        <v>FX -MAPLE Frank Xu</v>
      </c>
      <c r="O422" s="11" t="str">
        <f>IF(VLOOKUP(B422,Towary_i_uslugi!$A$4:$U$1200,21,FALSE)&gt;0,VLOOKUP(B422,Towary_i_uslugi!$A$4:$U$1200,21,FALSE),"")</f>
        <v/>
      </c>
      <c r="P422" s="11">
        <f t="shared" si="18"/>
        <v>0</v>
      </c>
      <c r="Q422" s="11">
        <f t="shared" si="19"/>
        <v>0</v>
      </c>
      <c r="R422" s="17">
        <f t="shared" si="20"/>
        <v>0</v>
      </c>
      <c r="S422" s="17">
        <f>VLOOKUP($B422,   MBI_LastBuy!$A$3:E$13199,3,FALSE)</f>
        <v>360</v>
      </c>
      <c r="T422" s="13">
        <f>VLOOKUP($B422,   MBI_LastBuy!$A$3:E$13199,2,FALSE)</f>
        <v>2.75</v>
      </c>
      <c r="U422" s="13" t="str">
        <f>VLOOKUP($B422,   MBI_LastBuy!$A$3:E$13199,5,FALSE)</f>
        <v>USD</v>
      </c>
      <c r="V422" s="15">
        <f>VLOOKUP($B422,   MBI_LastBuy!$A$3:E$13199,4,FALSE)</f>
        <v>44074</v>
      </c>
    </row>
    <row r="423" spans="1:22" x14ac:dyDescent="0.25">
      <c r="A423" s="11" t="s">
        <v>3554</v>
      </c>
      <c r="B423" s="11">
        <v>820500</v>
      </c>
      <c r="C423" s="11" t="str">
        <f>VLOOKUP(B423,Towary_i_uslugi!$A$4:$B$1500,2)</f>
        <v>(brak)</v>
      </c>
      <c r="D423" s="11" t="s">
        <v>2640</v>
      </c>
      <c r="E423" s="11">
        <f>VLOOKUP(B423,Towary_i_uslugi!$A$3:$T$1500,3,FALSE)</f>
        <v>10</v>
      </c>
      <c r="F423" s="11" t="str">
        <f>VLOOKUP(B423,Towary_i_uslugi!$A$3:$T$1500,20,FALSE)</f>
        <v>plastic header</v>
      </c>
      <c r="G423" s="11">
        <f>VLOOKUP(B423,MBI_Dostawcy_towarów!$A$4:$C$1399,3,FALSE)</f>
        <v>0.96799999999999997</v>
      </c>
      <c r="H423" s="11">
        <v>71</v>
      </c>
      <c r="I423" s="11">
        <v>70</v>
      </c>
      <c r="J423" s="11">
        <v>200</v>
      </c>
      <c r="K423" s="11">
        <f>_xlfn.IFNA(VLOOKUP(B423,Towary_na_zamówieniach!$A$4:$C$1500,2,FALSE),0)</f>
        <v>160</v>
      </c>
      <c r="L423" s="11">
        <f>_xlfn.IFNA(VLOOKUP(B423,Towary_na_zamówieniach!$A$4:$C$1500,3,FALSE),0)</f>
        <v>300.8</v>
      </c>
      <c r="M423" s="11">
        <f>_xlfn.IFNA(VLOOKUP(B423,MBI_Dostawcy_towarów!$A$4:$C$2000,2,FALSE),"N/A")</f>
        <v>100</v>
      </c>
      <c r="N423" s="11" t="str">
        <f>IF(VLOOKUP(B423,Towary_i_uslugi!$A$3:$T$1500,17,FALSE)=0,"!NO SUPPLIER",VLOOKUP(B423,Towary_i_uslugi!$A$3:$T$1500,17))</f>
        <v>BW</v>
      </c>
      <c r="O423" s="11" t="str">
        <f>IF(VLOOKUP(B423,Towary_i_uslugi!$A$4:$U$1200,21,FALSE)&gt;0,VLOOKUP(B423,Towary_i_uslugi!$A$4:$U$1200,21,FALSE),"")</f>
        <v/>
      </c>
      <c r="P423" s="11">
        <f t="shared" si="18"/>
        <v>20</v>
      </c>
      <c r="Q423" s="11">
        <f t="shared" si="19"/>
        <v>200</v>
      </c>
      <c r="R423" s="17">
        <f t="shared" si="20"/>
        <v>376</v>
      </c>
      <c r="S423" s="17">
        <f>VLOOKUP($B423,   MBI_LastBuy!$A$3:E$13199,3,FALSE)</f>
        <v>160</v>
      </c>
      <c r="T423" s="13">
        <f>VLOOKUP($B423,   MBI_LastBuy!$A$3:E$13199,2,FALSE)</f>
        <v>1.88</v>
      </c>
      <c r="U423" s="13" t="str">
        <f>VLOOKUP($B423,   MBI_LastBuy!$A$3:E$13199,5,FALSE)</f>
        <v>USD</v>
      </c>
      <c r="V423" s="15">
        <f>VLOOKUP($B423,   MBI_LastBuy!$A$3:E$13199,4,FALSE)</f>
        <v>44071</v>
      </c>
    </row>
    <row r="424" spans="1:22" x14ac:dyDescent="0.25">
      <c r="A424" s="11" t="s">
        <v>3554</v>
      </c>
      <c r="B424" s="11">
        <v>820705</v>
      </c>
      <c r="C424" s="11" t="str">
        <f>VLOOKUP(B424,Towary_i_uslugi!$A$4:$B$1500,2)</f>
        <v>nowość!!! więcej info dla klienta</v>
      </c>
      <c r="D424" s="11" t="s">
        <v>3684</v>
      </c>
      <c r="E424" s="11">
        <f>VLOOKUP(B424,Towary_i_uslugi!$A$3:$T$1500,3,FALSE)</f>
        <v>30</v>
      </c>
      <c r="F424" s="11" t="str">
        <f>VLOOKUP(B424,Towary_i_uslugi!$A$3:$T$1500,20,FALSE)</f>
        <v>sticker</v>
      </c>
      <c r="G424" s="11">
        <f>VLOOKUP(B424,MBI_Dostawcy_towarów!$A$4:$C$1399,3,FALSE)</f>
        <v>0.7</v>
      </c>
      <c r="H424" s="11">
        <v>105</v>
      </c>
      <c r="I424" s="11">
        <v>30</v>
      </c>
      <c r="J424" s="11">
        <v>150</v>
      </c>
      <c r="K424" s="11">
        <f>_xlfn.IFNA(VLOOKUP(B424,Towary_na_zamówieniach!$A$4:$C$1500,2,FALSE),0)</f>
        <v>0</v>
      </c>
      <c r="L424" s="11">
        <f>_xlfn.IFNA(VLOOKUP(B424,Towary_na_zamówieniach!$A$4:$C$1500,3,FALSE),0)</f>
        <v>0</v>
      </c>
      <c r="M424" s="11">
        <f>_xlfn.IFNA(VLOOKUP(B424,MBI_Dostawcy_towarów!$A$4:$C$2000,2,FALSE),"N/A")</f>
        <v>90</v>
      </c>
      <c r="N424" s="11" t="str">
        <f>IF(VLOOKUP(B424,Towary_i_uslugi!$A$3:$T$1500,17,FALSE)=0,"!NO SUPPLIER",VLOOKUP(B424,Towary_i_uslugi!$A$3:$T$1500,17))</f>
        <v>BW</v>
      </c>
      <c r="O424" s="11" t="str">
        <f>IF(VLOOKUP(B424,Towary_i_uslugi!$A$4:$U$1200,21,FALSE)&gt;0,VLOOKUP(B424,Towary_i_uslugi!$A$4:$U$1200,21,FALSE),"")</f>
        <v/>
      </c>
      <c r="P424" s="11">
        <f t="shared" si="18"/>
        <v>5</v>
      </c>
      <c r="Q424" s="11">
        <f t="shared" si="19"/>
        <v>150</v>
      </c>
      <c r="R424" s="17">
        <f t="shared" si="20"/>
        <v>169.49999999999997</v>
      </c>
      <c r="S424" s="17">
        <f>VLOOKUP($B424,   MBI_LastBuy!$A$3:E$13199,3,FALSE)</f>
        <v>300</v>
      </c>
      <c r="T424" s="13">
        <f>VLOOKUP($B424,   MBI_LastBuy!$A$3:E$13199,2,FALSE)</f>
        <v>1.1299999999999999</v>
      </c>
      <c r="U424" s="13" t="str">
        <f>VLOOKUP($B424,   MBI_LastBuy!$A$3:E$13199,5,FALSE)</f>
        <v>USD</v>
      </c>
      <c r="V424" s="15">
        <f>VLOOKUP($B424,   MBI_LastBuy!$A$3:E$13199,4,FALSE)</f>
        <v>44005</v>
      </c>
    </row>
    <row r="425" spans="1:22" x14ac:dyDescent="0.25">
      <c r="A425" s="11" t="s">
        <v>3554</v>
      </c>
      <c r="B425" s="11">
        <v>830250</v>
      </c>
      <c r="C425" s="11" t="str">
        <f>VLOOKUP(B425,Towary_i_uslugi!$A$4:$B$1500,2)</f>
        <v>(brak)</v>
      </c>
      <c r="D425" s="11" t="s">
        <v>2896</v>
      </c>
      <c r="E425" s="11">
        <f>VLOOKUP(B425,Towary_i_uslugi!$A$3:$T$1500,3,FALSE)</f>
        <v>10</v>
      </c>
      <c r="F425" s="11" t="str">
        <f>VLOOKUP(B425,Towary_i_uslugi!$A$3:$T$1500,20,FALSE)</f>
        <v>photo color box</v>
      </c>
      <c r="G425" s="11">
        <f>VLOOKUP(B425,MBI_Dostawcy_towarów!$A$4:$C$1399,3,FALSE)</f>
        <v>2.0640000000000001</v>
      </c>
      <c r="H425" s="11">
        <v>85</v>
      </c>
      <c r="I425" s="11">
        <v>20</v>
      </c>
      <c r="J425" s="11">
        <v>400</v>
      </c>
      <c r="K425" s="11">
        <f>_xlfn.IFNA(VLOOKUP(B425,Towary_na_zamówieniach!$A$4:$C$1500,2,FALSE),0)</f>
        <v>400</v>
      </c>
      <c r="L425" s="11">
        <f>_xlfn.IFNA(VLOOKUP(B425,Towary_na_zamówieniach!$A$4:$C$1500,3,FALSE),0)</f>
        <v>2008</v>
      </c>
      <c r="M425" s="11">
        <f>_xlfn.IFNA(VLOOKUP(B425,MBI_Dostawcy_towarów!$A$4:$C$2000,2,FALSE),"N/A")</f>
        <v>100</v>
      </c>
      <c r="N425" s="11" t="str">
        <f>IF(VLOOKUP(B425,Towary_i_uslugi!$A$3:$T$1500,17,FALSE)=0,"!NO SUPPLIER",VLOOKUP(B425,Towary_i_uslugi!$A$3:$T$1500,17))</f>
        <v>BW</v>
      </c>
      <c r="O425" s="11" t="str">
        <f>IF(VLOOKUP(B425,Towary_i_uslugi!$A$4:$U$1200,21,FALSE)&gt;0,VLOOKUP(B425,Towary_i_uslugi!$A$4:$U$1200,21,FALSE),"")</f>
        <v/>
      </c>
      <c r="P425" s="11">
        <f t="shared" si="18"/>
        <v>0</v>
      </c>
      <c r="Q425" s="11">
        <f t="shared" si="19"/>
        <v>0</v>
      </c>
      <c r="R425" s="17">
        <f t="shared" si="20"/>
        <v>0</v>
      </c>
      <c r="S425" s="17">
        <f>VLOOKUP($B425,   MBI_LastBuy!$A$3:E$13199,3,FALSE)</f>
        <v>400</v>
      </c>
      <c r="T425" s="13">
        <f>VLOOKUP($B425,   MBI_LastBuy!$A$3:E$13199,2,FALSE)</f>
        <v>5.0199999999999996</v>
      </c>
      <c r="U425" s="13" t="str">
        <f>VLOOKUP($B425,   MBI_LastBuy!$A$3:E$13199,5,FALSE)</f>
        <v>USD</v>
      </c>
      <c r="V425" s="15">
        <f>VLOOKUP($B425,   MBI_LastBuy!$A$3:E$13199,4,FALSE)</f>
        <v>44071</v>
      </c>
    </row>
    <row r="426" spans="1:22" x14ac:dyDescent="0.25">
      <c r="A426" s="11" t="s">
        <v>3554</v>
      </c>
      <c r="B426" s="11">
        <v>831030</v>
      </c>
      <c r="C426" s="11" t="str">
        <f>VLOOKUP(B426,Towary_i_uslugi!$A$4:$B$1500,2)</f>
        <v>(brak)</v>
      </c>
      <c r="D426" s="11" t="s">
        <v>2527</v>
      </c>
      <c r="E426" s="11">
        <f>VLOOKUP(B426,Towary_i_uslugi!$A$3:$T$1500,3,FALSE)</f>
        <v>8</v>
      </c>
      <c r="F426" s="11" t="str">
        <f>VLOOKUP(B426,Towary_i_uslugi!$A$3:$T$1500,20,FALSE)</f>
        <v>photo color box</v>
      </c>
      <c r="G426" s="11">
        <f>VLOOKUP(B426,MBI_Dostawcy_towarów!$A$4:$C$1399,3,FALSE)</f>
        <v>1.5980000000000001</v>
      </c>
      <c r="H426" s="11">
        <v>1</v>
      </c>
      <c r="I426" s="11">
        <v>0</v>
      </c>
      <c r="J426" s="11">
        <v>1600</v>
      </c>
      <c r="K426" s="11">
        <f>_xlfn.IFNA(VLOOKUP(B426,Towary_na_zamówieniach!$A$4:$C$1500,2,FALSE),0)</f>
        <v>2600</v>
      </c>
      <c r="L426" s="11">
        <f>_xlfn.IFNA(VLOOKUP(B426,Towary_na_zamówieniach!$A$4:$C$1500,3,FALSE),0)</f>
        <v>11180</v>
      </c>
      <c r="M426" s="11">
        <f>_xlfn.IFNA(VLOOKUP(B426,MBI_Dostawcy_towarów!$A$4:$C$2000,2,FALSE),"N/A")</f>
        <v>100</v>
      </c>
      <c r="N426" s="11" t="str">
        <f>IF(VLOOKUP(B426,Towary_i_uslugi!$A$3:$T$1500,17,FALSE)=0,"!NO SUPPLIER",VLOOKUP(B426,Towary_i_uslugi!$A$3:$T$1500,17))</f>
        <v>BW</v>
      </c>
      <c r="O426" s="11" t="str">
        <f>IF(VLOOKUP(B426,Towary_i_uslugi!$A$4:$U$1200,21,FALSE)&gt;0,VLOOKUP(B426,Towary_i_uslugi!$A$4:$U$1200,21,FALSE),"")</f>
        <v/>
      </c>
      <c r="P426" s="11">
        <f t="shared" si="18"/>
        <v>0</v>
      </c>
      <c r="Q426" s="11">
        <f t="shared" si="19"/>
        <v>0</v>
      </c>
      <c r="R426" s="17">
        <f t="shared" si="20"/>
        <v>0</v>
      </c>
      <c r="S426" s="17">
        <f>VLOOKUP($B426,   MBI_LastBuy!$A$3:E$13199,3,FALSE)</f>
        <v>2600</v>
      </c>
      <c r="T426" s="13">
        <f>VLOOKUP($B426,   MBI_LastBuy!$A$3:E$13199,2,FALSE)</f>
        <v>4.3</v>
      </c>
      <c r="U426" s="13" t="str">
        <f>VLOOKUP($B426,   MBI_LastBuy!$A$3:E$13199,5,FALSE)</f>
        <v>USD</v>
      </c>
      <c r="V426" s="15">
        <f>VLOOKUP($B426,   MBI_LastBuy!$A$3:E$13199,4,FALSE)</f>
        <v>44071</v>
      </c>
    </row>
    <row r="427" spans="1:22" x14ac:dyDescent="0.25">
      <c r="A427" s="11" t="s">
        <v>3554</v>
      </c>
      <c r="B427" s="11">
        <v>831033</v>
      </c>
      <c r="C427" s="11" t="str">
        <f>VLOOKUP(B427,Towary_i_uslugi!$A$4:$B$1500,2)</f>
        <v>(brak)</v>
      </c>
      <c r="D427" s="11" t="s">
        <v>1617</v>
      </c>
      <c r="E427" s="11">
        <f>VLOOKUP(B427,Towary_i_uslugi!$A$3:$T$1500,3,FALSE)</f>
        <v>8</v>
      </c>
      <c r="F427" s="11" t="str">
        <f>VLOOKUP(B427,Towary_i_uslugi!$A$3:$T$1500,20,FALSE)</f>
        <v>photo color box</v>
      </c>
      <c r="G427" s="11">
        <f>VLOOKUP(B427,MBI_Dostawcy_towarów!$A$4:$C$1399,3,FALSE)</f>
        <v>1.7030000000000001</v>
      </c>
      <c r="H427" s="11">
        <v>1</v>
      </c>
      <c r="I427" s="11">
        <v>0</v>
      </c>
      <c r="J427" s="11">
        <v>1050</v>
      </c>
      <c r="K427" s="11">
        <f>_xlfn.IFNA(VLOOKUP(B427,Towary_na_zamówieniach!$A$4:$C$1500,2,FALSE),0)</f>
        <v>1280</v>
      </c>
      <c r="L427" s="11">
        <f>_xlfn.IFNA(VLOOKUP(B427,Towary_na_zamówieniach!$A$4:$C$1500,3,FALSE),0)</f>
        <v>5580.8</v>
      </c>
      <c r="M427" s="11">
        <f>_xlfn.IFNA(VLOOKUP(B427,MBI_Dostawcy_towarów!$A$4:$C$2000,2,FALSE),"N/A")</f>
        <v>100</v>
      </c>
      <c r="N427" s="11" t="str">
        <f>IF(VLOOKUP(B427,Towary_i_uslugi!$A$3:$T$1500,17,FALSE)=0,"!NO SUPPLIER",VLOOKUP(B427,Towary_i_uslugi!$A$3:$T$1500,17))</f>
        <v>BW</v>
      </c>
      <c r="O427" s="11" t="str">
        <f>IF(VLOOKUP(B427,Towary_i_uslugi!$A$4:$U$1200,21,FALSE)&gt;0,VLOOKUP(B427,Towary_i_uslugi!$A$4:$U$1200,21,FALSE),"")</f>
        <v/>
      </c>
      <c r="P427" s="11">
        <f t="shared" si="18"/>
        <v>0</v>
      </c>
      <c r="Q427" s="11">
        <f t="shared" si="19"/>
        <v>0</v>
      </c>
      <c r="R427" s="17">
        <f t="shared" si="20"/>
        <v>0</v>
      </c>
      <c r="S427" s="17">
        <f>VLOOKUP($B427,   MBI_LastBuy!$A$3:E$13199,3,FALSE)</f>
        <v>1280</v>
      </c>
      <c r="T427" s="13">
        <f>VLOOKUP($B427,   MBI_LastBuy!$A$3:E$13199,2,FALSE)</f>
        <v>4.3600000000000003</v>
      </c>
      <c r="U427" s="13" t="str">
        <f>VLOOKUP($B427,   MBI_LastBuy!$A$3:E$13199,5,FALSE)</f>
        <v>USD</v>
      </c>
      <c r="V427" s="15">
        <f>VLOOKUP($B427,   MBI_LastBuy!$A$3:E$13199,4,FALSE)</f>
        <v>44071</v>
      </c>
    </row>
    <row r="428" spans="1:22" x14ac:dyDescent="0.25">
      <c r="A428" s="11" t="s">
        <v>3554</v>
      </c>
      <c r="B428" s="11">
        <v>832000</v>
      </c>
      <c r="C428" s="11" t="str">
        <f>VLOOKUP(B428,Towary_i_uslugi!$A$4:$B$1500,2)</f>
        <v>(brak)</v>
      </c>
      <c r="D428" s="11" t="s">
        <v>6</v>
      </c>
      <c r="E428" s="11">
        <f>VLOOKUP(B428,Towary_i_uslugi!$A$3:$T$1500,3,FALSE)</f>
        <v>40</v>
      </c>
      <c r="F428" s="11" t="str">
        <f>VLOOKUP(B428,Towary_i_uslugi!$A$3:$T$1500,20,FALSE)</f>
        <v>pvc bag</v>
      </c>
      <c r="G428" s="11">
        <f>VLOOKUP(B428,MBI_Dostawcy_towarów!$A$4:$C$1399,3,FALSE)</f>
        <v>0.32</v>
      </c>
      <c r="H428" s="11">
        <v>43</v>
      </c>
      <c r="I428" s="11">
        <v>0</v>
      </c>
      <c r="J428" s="11">
        <v>350</v>
      </c>
      <c r="K428" s="11">
        <f>_xlfn.IFNA(VLOOKUP(B428,Towary_na_zamówieniach!$A$4:$C$1500,2,FALSE),0)</f>
        <v>400</v>
      </c>
      <c r="L428" s="11">
        <f>_xlfn.IFNA(VLOOKUP(B428,Towary_na_zamówieniach!$A$4:$C$1500,3,FALSE),0)</f>
        <v>236</v>
      </c>
      <c r="M428" s="11">
        <f>_xlfn.IFNA(VLOOKUP(B428,MBI_Dostawcy_towarów!$A$4:$C$2000,2,FALSE),"N/A")</f>
        <v>100</v>
      </c>
      <c r="N428" s="11" t="str">
        <f>IF(VLOOKUP(B428,Towary_i_uslugi!$A$3:$T$1500,17,FALSE)=0,"!NO SUPPLIER",VLOOKUP(B428,Towary_i_uslugi!$A$3:$T$1500,17))</f>
        <v>BW</v>
      </c>
      <c r="O428" s="11" t="str">
        <f>IF(VLOOKUP(B428,Towary_i_uslugi!$A$4:$U$1200,21,FALSE)&gt;0,VLOOKUP(B428,Towary_i_uslugi!$A$4:$U$1200,21,FALSE),"")</f>
        <v/>
      </c>
      <c r="P428" s="11">
        <f t="shared" si="18"/>
        <v>0</v>
      </c>
      <c r="Q428" s="11">
        <f t="shared" si="19"/>
        <v>0</v>
      </c>
      <c r="R428" s="17">
        <f t="shared" si="20"/>
        <v>0</v>
      </c>
      <c r="S428" s="17">
        <f>VLOOKUP($B428,   MBI_LastBuy!$A$3:E$13199,3,FALSE)</f>
        <v>400</v>
      </c>
      <c r="T428" s="13">
        <f>VLOOKUP($B428,   MBI_LastBuy!$A$3:E$13199,2,FALSE)</f>
        <v>0.59</v>
      </c>
      <c r="U428" s="13" t="str">
        <f>VLOOKUP($B428,   MBI_LastBuy!$A$3:E$13199,5,FALSE)</f>
        <v>USD</v>
      </c>
      <c r="V428" s="15">
        <f>VLOOKUP($B428,   MBI_LastBuy!$A$3:E$13199,4,FALSE)</f>
        <v>44071</v>
      </c>
    </row>
    <row r="429" spans="1:22" x14ac:dyDescent="0.25">
      <c r="A429" s="11" t="s">
        <v>3554</v>
      </c>
      <c r="B429" s="11">
        <v>832005</v>
      </c>
      <c r="C429" s="11" t="str">
        <f>VLOOKUP(B429,Towary_i_uslugi!$A$4:$B$1500,2)</f>
        <v>(brak)</v>
      </c>
      <c r="D429" s="11" t="s">
        <v>1287</v>
      </c>
      <c r="E429" s="11">
        <f>VLOOKUP(B429,Towary_i_uslugi!$A$3:$T$1500,3,FALSE)</f>
        <v>100</v>
      </c>
      <c r="F429" s="11" t="str">
        <f>VLOOKUP(B429,Towary_i_uslugi!$A$3:$T$1500,20,FALSE)</f>
        <v>pvc bag</v>
      </c>
      <c r="G429" s="11">
        <f>VLOOKUP(B429,MBI_Dostawcy_towarów!$A$4:$C$1399,3,FALSE)</f>
        <v>0.248</v>
      </c>
      <c r="H429" s="11">
        <v>48</v>
      </c>
      <c r="I429" s="11">
        <v>0</v>
      </c>
      <c r="J429" s="11">
        <v>380</v>
      </c>
      <c r="K429" s="11">
        <f>_xlfn.IFNA(VLOOKUP(B429,Towary_na_zamówieniach!$A$4:$C$1500,2,FALSE),0)</f>
        <v>500</v>
      </c>
      <c r="L429" s="11">
        <f>_xlfn.IFNA(VLOOKUP(B429,Towary_na_zamówieniach!$A$4:$C$1500,3,FALSE),0)</f>
        <v>505</v>
      </c>
      <c r="M429" s="11">
        <f>_xlfn.IFNA(VLOOKUP(B429,MBI_Dostawcy_towarów!$A$4:$C$2000,2,FALSE),"N/A")</f>
        <v>100</v>
      </c>
      <c r="N429" s="11" t="str">
        <f>IF(VLOOKUP(B429,Towary_i_uslugi!$A$3:$T$1500,17,FALSE)=0,"!NO SUPPLIER",VLOOKUP(B429,Towary_i_uslugi!$A$3:$T$1500,17))</f>
        <v>BW</v>
      </c>
      <c r="O429" s="11" t="str">
        <f>IF(VLOOKUP(B429,Towary_i_uslugi!$A$4:$U$1200,21,FALSE)&gt;0,VLOOKUP(B429,Towary_i_uslugi!$A$4:$U$1200,21,FALSE),"")</f>
        <v/>
      </c>
      <c r="P429" s="11">
        <f t="shared" si="18"/>
        <v>0</v>
      </c>
      <c r="Q429" s="11">
        <f t="shared" si="19"/>
        <v>0</v>
      </c>
      <c r="R429" s="17">
        <f t="shared" si="20"/>
        <v>0</v>
      </c>
      <c r="S429" s="17">
        <f>VLOOKUP($B429,   MBI_LastBuy!$A$3:E$13199,3,FALSE)</f>
        <v>20</v>
      </c>
      <c r="T429" s="13">
        <f>VLOOKUP($B429,   MBI_LastBuy!$A$3:E$13199,2,FALSE)</f>
        <v>5.86</v>
      </c>
      <c r="U429" s="13" t="str">
        <f>VLOOKUP($B429,   MBI_LastBuy!$A$3:E$13199,5,FALSE)</f>
        <v>PLN</v>
      </c>
      <c r="V429" s="15">
        <f>VLOOKUP($B429,   MBI_LastBuy!$A$3:E$13199,4,FALSE)</f>
        <v>44102</v>
      </c>
    </row>
    <row r="430" spans="1:22" x14ac:dyDescent="0.25">
      <c r="A430" s="11" t="s">
        <v>3553</v>
      </c>
      <c r="B430" s="11">
        <v>833053</v>
      </c>
      <c r="C430" s="11" t="str">
        <f>VLOOKUP(B430,Towary_i_uslugi!$A$4:$B$1500,2)</f>
        <v>(brak)</v>
      </c>
      <c r="D430" s="11" t="s">
        <v>3685</v>
      </c>
      <c r="E430" s="11">
        <f>VLOOKUP(B430,Towary_i_uslugi!$A$3:$T$1500,3,FALSE)</f>
        <v>100</v>
      </c>
      <c r="F430" s="11" t="str">
        <f>VLOOKUP(B430,Towary_i_uslugi!$A$3:$T$1500,20,FALSE)</f>
        <v>slide blister card</v>
      </c>
      <c r="G430" s="11">
        <f>VLOOKUP(B430,MBI_Dostawcy_towarów!$A$4:$C$1399,3,FALSE)</f>
        <v>0.14000000000000001</v>
      </c>
      <c r="H430" s="11">
        <v>344</v>
      </c>
      <c r="I430" s="11">
        <v>50</v>
      </c>
      <c r="J430" s="11">
        <v>400</v>
      </c>
      <c r="K430" s="11">
        <f>_xlfn.IFNA(VLOOKUP(B430,Towary_na_zamówieniach!$A$4:$C$1500,2,FALSE),0)</f>
        <v>600</v>
      </c>
      <c r="L430" s="11">
        <f>_xlfn.IFNA(VLOOKUP(B430,Towary_na_zamówieniach!$A$4:$C$1500,3,FALSE),0)</f>
        <v>438</v>
      </c>
      <c r="M430" s="11">
        <f>_xlfn.IFNA(VLOOKUP(B430,MBI_Dostawcy_towarów!$A$4:$C$2000,2,FALSE),"N/A")</f>
        <v>100</v>
      </c>
      <c r="N430" s="11" t="str">
        <f>IF(VLOOKUP(B430,Towary_i_uslugi!$A$3:$T$1500,17,FALSE)=0,"!NO SUPPLIER",VLOOKUP(B430,Towary_i_uslugi!$A$3:$T$1500,17))</f>
        <v>FX -MAPLE Frank Xu</v>
      </c>
      <c r="O430" s="11" t="str">
        <f>IF(VLOOKUP(B430,Towary_i_uslugi!$A$4:$U$1200,21,FALSE)&gt;0,VLOOKUP(B430,Towary_i_uslugi!$A$4:$U$1200,21,FALSE),"")</f>
        <v/>
      </c>
      <c r="P430" s="11">
        <f t="shared" si="18"/>
        <v>0</v>
      </c>
      <c r="Q430" s="11">
        <f t="shared" si="19"/>
        <v>0</v>
      </c>
      <c r="R430" s="17">
        <f t="shared" si="20"/>
        <v>0</v>
      </c>
      <c r="S430" s="17">
        <f>VLOOKUP($B430,   MBI_LastBuy!$A$3:E$13199,3,FALSE)</f>
        <v>600</v>
      </c>
      <c r="T430" s="13">
        <f>VLOOKUP($B430,   MBI_LastBuy!$A$3:E$13199,2,FALSE)</f>
        <v>0.73</v>
      </c>
      <c r="U430" s="13" t="str">
        <f>VLOOKUP($B430,   MBI_LastBuy!$A$3:E$13199,5,FALSE)</f>
        <v>USD</v>
      </c>
      <c r="V430" s="15">
        <f>VLOOKUP($B430,   MBI_LastBuy!$A$3:E$13199,4,FALSE)</f>
        <v>44131</v>
      </c>
    </row>
    <row r="431" spans="1:22" x14ac:dyDescent="0.25">
      <c r="A431" s="11" t="s">
        <v>3557</v>
      </c>
      <c r="B431" s="11">
        <v>833054</v>
      </c>
      <c r="C431" s="11" t="str">
        <f>VLOOKUP(B431,Towary_i_uslugi!$A$4:$B$1500,2)</f>
        <v>nowość!!! więcej info dla klienta</v>
      </c>
      <c r="D431" s="11" t="s">
        <v>3686</v>
      </c>
      <c r="E431" s="11">
        <f>VLOOKUP(B431,Towary_i_uslugi!$A$3:$T$1500,3,FALSE)</f>
        <v>50</v>
      </c>
      <c r="F431" s="11" t="str">
        <f>VLOOKUP(B431,Towary_i_uslugi!$A$3:$T$1500,20,FALSE)</f>
        <v>DOUBLE BLISTER</v>
      </c>
      <c r="G431" s="11">
        <f>VLOOKUP(B431,MBI_Dostawcy_towarów!$A$4:$C$1399,3,FALSE)</f>
        <v>0.19500000000000001</v>
      </c>
      <c r="H431" s="11">
        <v>300</v>
      </c>
      <c r="I431" s="11">
        <v>300</v>
      </c>
      <c r="J431" s="11">
        <v>50</v>
      </c>
      <c r="K431" s="11">
        <f>_xlfn.IFNA(VLOOKUP(B431,Towary_na_zamówieniach!$A$4:$C$1500,2,FALSE),0)</f>
        <v>0</v>
      </c>
      <c r="L431" s="11">
        <f>_xlfn.IFNA(VLOOKUP(B431,Towary_na_zamówieniach!$A$4:$C$1500,3,FALSE),0)</f>
        <v>0</v>
      </c>
      <c r="M431" s="11">
        <f>_xlfn.IFNA(VLOOKUP(B431,MBI_Dostawcy_towarów!$A$4:$C$2000,2,FALSE),"N/A")</f>
        <v>100</v>
      </c>
      <c r="N431" s="11" t="str">
        <f>IF(VLOOKUP(B431,Towary_i_uslugi!$A$3:$T$1500,17,FALSE)=0,"!NO SUPPLIER",VLOOKUP(B431,Towary_i_uslugi!$A$3:$T$1500,17))</f>
        <v xml:space="preserve">SK rozrachunki </v>
      </c>
      <c r="O431" s="11" t="str">
        <f>IF(VLOOKUP(B431,Towary_i_uslugi!$A$4:$U$1200,21,FALSE)&gt;0,VLOOKUP(B431,Towary_i_uslugi!$A$4:$U$1200,21,FALSE),"")</f>
        <v>*MBI*26.10.2020* first delivery</v>
      </c>
      <c r="P431" s="11">
        <f t="shared" si="18"/>
        <v>1</v>
      </c>
      <c r="Q431" s="11">
        <f t="shared" si="19"/>
        <v>50</v>
      </c>
      <c r="R431" s="17">
        <f t="shared" si="20"/>
        <v>93.5</v>
      </c>
      <c r="S431" s="17">
        <f>VLOOKUP($B431,   MBI_LastBuy!$A$3:E$13199,3,FALSE)</f>
        <v>300</v>
      </c>
      <c r="T431" s="13">
        <f>VLOOKUP($B431,   MBI_LastBuy!$A$3:E$13199,2,FALSE)</f>
        <v>1.87</v>
      </c>
      <c r="U431" s="13" t="str">
        <f>VLOOKUP($B431,   MBI_LastBuy!$A$3:E$13199,5,FALSE)</f>
        <v>USD</v>
      </c>
      <c r="V431" s="15">
        <f>VLOOKUP($B431,   MBI_LastBuy!$A$3:E$13199,4,FALSE)</f>
        <v>44102</v>
      </c>
    </row>
    <row r="432" spans="1:22" x14ac:dyDescent="0.25">
      <c r="A432" s="11" t="s">
        <v>3552</v>
      </c>
      <c r="B432" s="11">
        <v>833064</v>
      </c>
      <c r="C432" s="11" t="str">
        <f>VLOOKUP(B432,Towary_i_uslugi!$A$4:$B$1500,2)</f>
        <v>(brak)</v>
      </c>
      <c r="D432" s="11" t="s">
        <v>2710</v>
      </c>
      <c r="E432" s="11">
        <f>VLOOKUP(B432,Towary_i_uslugi!$A$3:$T$1500,3,FALSE)</f>
        <v>24</v>
      </c>
      <c r="F432" s="11" t="str">
        <f>VLOOKUP(B432,Towary_i_uslugi!$A$3:$T$1500,20,FALSE)</f>
        <v>PP case+shrink+sticker</v>
      </c>
      <c r="G432" s="11">
        <f>VLOOKUP(B432,MBI_Dostawcy_towarów!$A$4:$C$1399,3,FALSE)</f>
        <v>0.625</v>
      </c>
      <c r="H432" s="11">
        <v>367</v>
      </c>
      <c r="I432" s="11">
        <v>216</v>
      </c>
      <c r="J432" s="11">
        <v>900</v>
      </c>
      <c r="K432" s="11">
        <f>_xlfn.IFNA(VLOOKUP(B432,Towary_na_zamówieniach!$A$4:$C$1500,2,FALSE),0)</f>
        <v>1488</v>
      </c>
      <c r="L432" s="11">
        <f>_xlfn.IFNA(VLOOKUP(B432,Towary_na_zamówieniach!$A$4:$C$1500,3,FALSE),0)</f>
        <v>4612.8</v>
      </c>
      <c r="M432" s="11">
        <f>_xlfn.IFNA(VLOOKUP(B432,MBI_Dostawcy_towarów!$A$4:$C$2000,2,FALSE),"N/A")</f>
        <v>100</v>
      </c>
      <c r="N432" s="11" t="str">
        <f>IF(VLOOKUP(B432,Towary_i_uslugi!$A$3:$T$1500,17,FALSE)=0,"!NO SUPPLIER",VLOOKUP(B432,Towary_i_uslugi!$A$3:$T$1500,17))</f>
        <v>XM</v>
      </c>
      <c r="O432" s="11" t="str">
        <f>IF(VLOOKUP(B432,Towary_i_uslugi!$A$4:$U$1200,21,FALSE)&gt;0,VLOOKUP(B432,Towary_i_uslugi!$A$4:$U$1200,21,FALSE),"")</f>
        <v/>
      </c>
      <c r="P432" s="11">
        <f t="shared" si="18"/>
        <v>0</v>
      </c>
      <c r="Q432" s="11">
        <f t="shared" si="19"/>
        <v>0</v>
      </c>
      <c r="R432" s="17">
        <f t="shared" si="20"/>
        <v>0</v>
      </c>
      <c r="S432" s="17">
        <f>VLOOKUP($B432,   MBI_LastBuy!$A$3:E$13199,3,FALSE)</f>
        <v>720</v>
      </c>
      <c r="T432" s="13">
        <f>VLOOKUP($B432,   MBI_LastBuy!$A$3:E$13199,2,FALSE)</f>
        <v>3.1</v>
      </c>
      <c r="U432" s="13" t="str">
        <f>VLOOKUP($B432,   MBI_LastBuy!$A$3:E$13199,5,FALSE)</f>
        <v>USD</v>
      </c>
      <c r="V432" s="15">
        <f>VLOOKUP($B432,   MBI_LastBuy!$A$3:E$13199,4,FALSE)</f>
        <v>44117</v>
      </c>
    </row>
    <row r="433" spans="1:22" x14ac:dyDescent="0.25">
      <c r="A433" s="11" t="s">
        <v>3552</v>
      </c>
      <c r="B433" s="11">
        <v>833070</v>
      </c>
      <c r="C433" s="11" t="str">
        <f>VLOOKUP(B433,Towary_i_uslugi!$A$4:$B$1500,2)</f>
        <v>(brak)</v>
      </c>
      <c r="D433" s="11" t="s">
        <v>2898</v>
      </c>
      <c r="E433" s="11">
        <f>VLOOKUP(B433,Towary_i_uslugi!$A$3:$T$1500,3,FALSE)</f>
        <v>24</v>
      </c>
      <c r="F433" s="11" t="str">
        <f>VLOOKUP(B433,Towary_i_uslugi!$A$3:$T$1500,20,FALSE)</f>
        <v>PP case+shrink+sticker</v>
      </c>
      <c r="G433" s="11">
        <f>VLOOKUP(B433,MBI_Dostawcy_towarów!$A$4:$C$1399,3,FALSE)</f>
        <v>0.33600000000000002</v>
      </c>
      <c r="H433" s="11">
        <v>44</v>
      </c>
      <c r="I433" s="11">
        <v>5</v>
      </c>
      <c r="J433" s="11">
        <v>120</v>
      </c>
      <c r="K433" s="11">
        <f>_xlfn.IFNA(VLOOKUP(B433,Towary_na_zamówieniach!$A$4:$C$1500,2,FALSE),0)</f>
        <v>192</v>
      </c>
      <c r="L433" s="11">
        <f>_xlfn.IFNA(VLOOKUP(B433,Towary_na_zamówieniach!$A$4:$C$1500,3,FALSE),0)</f>
        <v>984.96</v>
      </c>
      <c r="M433" s="11">
        <f>_xlfn.IFNA(VLOOKUP(B433,MBI_Dostawcy_towarów!$A$4:$C$2000,2,FALSE),"N/A")</f>
        <v>100</v>
      </c>
      <c r="N433" s="11" t="str">
        <f>IF(VLOOKUP(B433,Towary_i_uslugi!$A$3:$T$1500,17,FALSE)=0,"!NO SUPPLIER",VLOOKUP(B433,Towary_i_uslugi!$A$3:$T$1500,17))</f>
        <v>XM</v>
      </c>
      <c r="O433" s="11" t="str">
        <f>IF(VLOOKUP(B433,Towary_i_uslugi!$A$4:$U$1200,21,FALSE)&gt;0,VLOOKUP(B433,Towary_i_uslugi!$A$4:$U$1200,21,FALSE),"")</f>
        <v/>
      </c>
      <c r="P433" s="11">
        <f t="shared" si="18"/>
        <v>0</v>
      </c>
      <c r="Q433" s="11">
        <f t="shared" si="19"/>
        <v>0</v>
      </c>
      <c r="R433" s="17">
        <f t="shared" si="20"/>
        <v>0</v>
      </c>
      <c r="S433" s="17">
        <f>VLOOKUP($B433,   MBI_LastBuy!$A$3:E$13199,3,FALSE)</f>
        <v>192</v>
      </c>
      <c r="T433" s="13">
        <f>VLOOKUP($B433,   MBI_LastBuy!$A$3:E$13199,2,FALSE)</f>
        <v>5.13</v>
      </c>
      <c r="U433" s="13" t="str">
        <f>VLOOKUP($B433,   MBI_LastBuy!$A$3:E$13199,5,FALSE)</f>
        <v>USD</v>
      </c>
      <c r="V433" s="15">
        <f>VLOOKUP($B433,   MBI_LastBuy!$A$3:E$13199,4,FALSE)</f>
        <v>44117</v>
      </c>
    </row>
    <row r="434" spans="1:22" x14ac:dyDescent="0.25">
      <c r="A434" s="11" t="s">
        <v>3552</v>
      </c>
      <c r="B434" s="11">
        <v>833076</v>
      </c>
      <c r="C434" s="11" t="str">
        <f>VLOOKUP(B434,Towary_i_uslugi!$A$4:$B$1500,2)</f>
        <v>(brak)</v>
      </c>
      <c r="D434" s="11" t="s">
        <v>2899</v>
      </c>
      <c r="E434" s="11">
        <f>VLOOKUP(B434,Towary_i_uslugi!$A$3:$T$1500,3,FALSE)</f>
        <v>24</v>
      </c>
      <c r="F434" s="11" t="str">
        <f>VLOOKUP(B434,Towary_i_uslugi!$A$3:$T$1500,20,FALSE)</f>
        <v>PP case+shrink+sticker</v>
      </c>
      <c r="G434" s="11">
        <f>VLOOKUP(B434,MBI_Dostawcy_towarów!$A$4:$C$1399,3,FALSE)</f>
        <v>0.78300000000000003</v>
      </c>
      <c r="H434" s="11">
        <v>36</v>
      </c>
      <c r="I434" s="11">
        <v>0</v>
      </c>
      <c r="J434" s="11">
        <v>200</v>
      </c>
      <c r="K434" s="11">
        <f>_xlfn.IFNA(VLOOKUP(B434,Towary_na_zamówieniach!$A$4:$C$1500,2,FALSE),0)</f>
        <v>288</v>
      </c>
      <c r="L434" s="11">
        <f>_xlfn.IFNA(VLOOKUP(B434,Towary_na_zamówieniach!$A$4:$C$1500,3,FALSE),0)</f>
        <v>599.04</v>
      </c>
      <c r="M434" s="11">
        <f>_xlfn.IFNA(VLOOKUP(B434,MBI_Dostawcy_towarów!$A$4:$C$2000,2,FALSE),"N/A")</f>
        <v>100</v>
      </c>
      <c r="N434" s="11" t="str">
        <f>IF(VLOOKUP(B434,Towary_i_uslugi!$A$3:$T$1500,17,FALSE)=0,"!NO SUPPLIER",VLOOKUP(B434,Towary_i_uslugi!$A$3:$T$1500,17))</f>
        <v>XM</v>
      </c>
      <c r="O434" s="11" t="str">
        <f>IF(VLOOKUP(B434,Towary_i_uslugi!$A$4:$U$1200,21,FALSE)&gt;0,VLOOKUP(B434,Towary_i_uslugi!$A$4:$U$1200,21,FALSE),"")</f>
        <v/>
      </c>
      <c r="P434" s="11">
        <f t="shared" si="18"/>
        <v>0</v>
      </c>
      <c r="Q434" s="11">
        <f t="shared" si="19"/>
        <v>0</v>
      </c>
      <c r="R434" s="17">
        <f t="shared" si="20"/>
        <v>0</v>
      </c>
      <c r="S434" s="17">
        <f>VLOOKUP($B434,   MBI_LastBuy!$A$3:E$13199,3,FALSE)</f>
        <v>288</v>
      </c>
      <c r="T434" s="13">
        <f>VLOOKUP($B434,   MBI_LastBuy!$A$3:E$13199,2,FALSE)</f>
        <v>2.08</v>
      </c>
      <c r="U434" s="13" t="str">
        <f>VLOOKUP($B434,   MBI_LastBuy!$A$3:E$13199,5,FALSE)</f>
        <v>USD</v>
      </c>
      <c r="V434" s="15">
        <f>VLOOKUP($B434,   MBI_LastBuy!$A$3:E$13199,4,FALSE)</f>
        <v>44117</v>
      </c>
    </row>
    <row r="435" spans="1:22" x14ac:dyDescent="0.25">
      <c r="A435" s="11" t="s">
        <v>3552</v>
      </c>
      <c r="B435" s="11">
        <v>833082</v>
      </c>
      <c r="C435" s="11" t="str">
        <f>VLOOKUP(B435,Towary_i_uslugi!$A$4:$B$1500,2)</f>
        <v>(brak)</v>
      </c>
      <c r="D435" s="11" t="s">
        <v>2711</v>
      </c>
      <c r="E435" s="11">
        <f>VLOOKUP(B435,Towary_i_uslugi!$A$3:$T$1500,3,FALSE)</f>
        <v>24</v>
      </c>
      <c r="F435" s="11" t="str">
        <f>VLOOKUP(B435,Towary_i_uslugi!$A$3:$T$1500,20,FALSE)</f>
        <v>PP case+shrink+sticker</v>
      </c>
      <c r="G435" s="11">
        <f>VLOOKUP(B435,MBI_Dostawcy_towarów!$A$4:$C$1399,3,FALSE)</f>
        <v>0.35199999999999998</v>
      </c>
      <c r="H435" s="11">
        <v>142</v>
      </c>
      <c r="I435" s="11">
        <v>0</v>
      </c>
      <c r="J435" s="11">
        <v>200</v>
      </c>
      <c r="K435" s="11">
        <f>_xlfn.IFNA(VLOOKUP(B435,Towary_na_zamówieniach!$A$4:$C$1500,2,FALSE),0)</f>
        <v>288</v>
      </c>
      <c r="L435" s="11">
        <f>_xlfn.IFNA(VLOOKUP(B435,Towary_na_zamówieniach!$A$4:$C$1500,3,FALSE),0)</f>
        <v>555.84</v>
      </c>
      <c r="M435" s="11">
        <f>_xlfn.IFNA(VLOOKUP(B435,MBI_Dostawcy_towarów!$A$4:$C$2000,2,FALSE),"N/A")</f>
        <v>100</v>
      </c>
      <c r="N435" s="11" t="str">
        <f>IF(VLOOKUP(B435,Towary_i_uslugi!$A$3:$T$1500,17,FALSE)=0,"!NO SUPPLIER",VLOOKUP(B435,Towary_i_uslugi!$A$3:$T$1500,17))</f>
        <v>XM</v>
      </c>
      <c r="O435" s="11" t="str">
        <f>IF(VLOOKUP(B435,Towary_i_uslugi!$A$4:$U$1200,21,FALSE)&gt;0,VLOOKUP(B435,Towary_i_uslugi!$A$4:$U$1200,21,FALSE),"")</f>
        <v/>
      </c>
      <c r="P435" s="11">
        <f t="shared" si="18"/>
        <v>0</v>
      </c>
      <c r="Q435" s="11">
        <f t="shared" si="19"/>
        <v>0</v>
      </c>
      <c r="R435" s="17">
        <f t="shared" si="20"/>
        <v>0</v>
      </c>
      <c r="S435" s="17">
        <f>VLOOKUP($B435,   MBI_LastBuy!$A$3:E$13199,3,FALSE)</f>
        <v>288</v>
      </c>
      <c r="T435" s="13">
        <f>VLOOKUP($B435,   MBI_LastBuy!$A$3:E$13199,2,FALSE)</f>
        <v>1.93</v>
      </c>
      <c r="U435" s="13" t="str">
        <f>VLOOKUP($B435,   MBI_LastBuy!$A$3:E$13199,5,FALSE)</f>
        <v>USD</v>
      </c>
      <c r="V435" s="15">
        <f>VLOOKUP($B435,   MBI_LastBuy!$A$3:E$13199,4,FALSE)</f>
        <v>44125</v>
      </c>
    </row>
    <row r="436" spans="1:22" x14ac:dyDescent="0.25">
      <c r="A436" s="11" t="s">
        <v>3828</v>
      </c>
      <c r="B436" s="11">
        <v>840240</v>
      </c>
      <c r="C436" s="11" t="str">
        <f>VLOOKUP(B436,Towary_i_uslugi!$A$4:$B$1500,2)</f>
        <v>(brak)</v>
      </c>
      <c r="D436" s="11" t="s">
        <v>3687</v>
      </c>
      <c r="E436" s="11">
        <f>VLOOKUP(B436,Towary_i_uslugi!$A$3:$T$1500,3,FALSE)</f>
        <v>30</v>
      </c>
      <c r="F436" s="11" t="str">
        <f>VLOOKUP(B436,Towary_i_uslugi!$A$3:$T$1500,20,FALSE)</f>
        <v>carton sleeve</v>
      </c>
      <c r="G436" s="11">
        <f>VLOOKUP(B436,MBI_Dostawcy_towarów!$A$4:$C$1399,3,FALSE)</f>
        <v>0.16700000000000001</v>
      </c>
      <c r="H436" s="11">
        <v>519</v>
      </c>
      <c r="I436" s="11">
        <v>515</v>
      </c>
      <c r="J436" s="11">
        <v>20</v>
      </c>
      <c r="K436" s="11">
        <f>_xlfn.IFNA(VLOOKUP(B436,Towary_na_zamówieniach!$A$4:$C$1500,2,FALSE),0)</f>
        <v>600</v>
      </c>
      <c r="L436" s="11">
        <f>_xlfn.IFNA(VLOOKUP(B436,Towary_na_zamówieniach!$A$4:$C$1500,3,FALSE),0)</f>
        <v>828</v>
      </c>
      <c r="M436" s="11">
        <f>_xlfn.IFNA(VLOOKUP(B436,MBI_Dostawcy_towarów!$A$4:$C$2000,2,FALSE),"N/A")</f>
        <v>7</v>
      </c>
      <c r="N436" s="11" t="str">
        <f>IF(VLOOKUP(B436,Towary_i_uslugi!$A$3:$T$1500,17,FALSE)=0,"!NO SUPPLIER",VLOOKUP(B436,Towary_i_uslugi!$A$3:$T$1500,17))</f>
        <v>KUFIETA S.J.</v>
      </c>
      <c r="O436" s="11" t="str">
        <f>IF(VLOOKUP(B436,Towary_i_uslugi!$A$4:$U$1200,21,FALSE)&gt;0,VLOOKUP(B436,Towary_i_uslugi!$A$4:$U$1200,21,FALSE),"")</f>
        <v/>
      </c>
      <c r="P436" s="11">
        <f t="shared" si="18"/>
        <v>0</v>
      </c>
      <c r="Q436" s="11">
        <f t="shared" si="19"/>
        <v>0</v>
      </c>
      <c r="R436" s="17">
        <f t="shared" si="20"/>
        <v>0</v>
      </c>
      <c r="S436" s="17">
        <f>VLOOKUP($B436,   MBI_LastBuy!$A$3:E$13199,3,FALSE)</f>
        <v>600</v>
      </c>
      <c r="T436" s="13">
        <f>VLOOKUP($B436,   MBI_LastBuy!$A$3:E$13199,2,FALSE)</f>
        <v>1.38</v>
      </c>
      <c r="U436" s="13" t="str">
        <f>VLOOKUP($B436,   MBI_LastBuy!$A$3:E$13199,5,FALSE)</f>
        <v>PLN</v>
      </c>
      <c r="V436" s="15">
        <f>VLOOKUP($B436,   MBI_LastBuy!$A$3:E$13199,4,FALSE)</f>
        <v>44110</v>
      </c>
    </row>
    <row r="437" spans="1:22" x14ac:dyDescent="0.25">
      <c r="A437" s="11" t="s">
        <v>3552</v>
      </c>
      <c r="B437" s="11">
        <v>841104</v>
      </c>
      <c r="C437" s="11" t="str">
        <f>VLOOKUP(B437,Towary_i_uslugi!$A$4:$B$1500,2)</f>
        <v>(brak)</v>
      </c>
      <c r="D437" s="11" t="s">
        <v>3688</v>
      </c>
      <c r="E437" s="11">
        <f>VLOOKUP(B437,Towary_i_uslugi!$A$3:$T$1500,3,FALSE)</f>
        <v>24</v>
      </c>
      <c r="F437" s="11" t="str">
        <f>VLOOKUP(B437,Towary_i_uslugi!$A$3:$T$1500,20,FALSE)</f>
        <v>PCV bag w/header</v>
      </c>
      <c r="G437" s="11">
        <f>VLOOKUP(B437,MBI_Dostawcy_towarów!$A$4:$C$1399,3,FALSE)</f>
        <v>0.51500000000000001</v>
      </c>
      <c r="H437" s="11">
        <v>72</v>
      </c>
      <c r="I437" s="11">
        <v>68</v>
      </c>
      <c r="J437" s="11">
        <v>550</v>
      </c>
      <c r="K437" s="11">
        <f>_xlfn.IFNA(VLOOKUP(B437,Towary_na_zamówieniach!$A$4:$C$1500,2,FALSE),0)</f>
        <v>720</v>
      </c>
      <c r="L437" s="11">
        <f>_xlfn.IFNA(VLOOKUP(B437,Towary_na_zamówieniach!$A$4:$C$1500,3,FALSE),0)</f>
        <v>972</v>
      </c>
      <c r="M437" s="11">
        <f>_xlfn.IFNA(VLOOKUP(B437,MBI_Dostawcy_towarów!$A$4:$C$2000,2,FALSE),"N/A")</f>
        <v>100</v>
      </c>
      <c r="N437" s="11" t="str">
        <f>IF(VLOOKUP(B437,Towary_i_uslugi!$A$3:$T$1500,17,FALSE)=0,"!NO SUPPLIER",VLOOKUP(B437,Towary_i_uslugi!$A$3:$T$1500,17))</f>
        <v>XM</v>
      </c>
      <c r="O437" s="11" t="str">
        <f>IF(VLOOKUP(B437,Towary_i_uslugi!$A$4:$U$1200,21,FALSE)&gt;0,VLOOKUP(B437,Towary_i_uslugi!$A$4:$U$1200,21,FALSE),"")</f>
        <v/>
      </c>
      <c r="P437" s="11">
        <f t="shared" si="18"/>
        <v>0</v>
      </c>
      <c r="Q437" s="11">
        <f t="shared" si="19"/>
        <v>0</v>
      </c>
      <c r="R437" s="17">
        <f t="shared" si="20"/>
        <v>0</v>
      </c>
      <c r="S437" s="17">
        <f>VLOOKUP($B437,   MBI_LastBuy!$A$3:E$13199,3,FALSE)</f>
        <v>720</v>
      </c>
      <c r="T437" s="13">
        <f>VLOOKUP($B437,   MBI_LastBuy!$A$3:E$13199,2,FALSE)</f>
        <v>1.35</v>
      </c>
      <c r="U437" s="13" t="str">
        <f>VLOOKUP($B437,   MBI_LastBuy!$A$3:E$13199,5,FALSE)</f>
        <v>USD</v>
      </c>
      <c r="V437" s="15">
        <f>VLOOKUP($B437,   MBI_LastBuy!$A$3:E$13199,4,FALSE)</f>
        <v>44133</v>
      </c>
    </row>
    <row r="438" spans="1:22" x14ac:dyDescent="0.25">
      <c r="A438" s="11" t="s">
        <v>3552</v>
      </c>
      <c r="B438" s="11">
        <v>841202</v>
      </c>
      <c r="C438" s="11" t="str">
        <f>VLOOKUP(B438,Towary_i_uslugi!$A$4:$B$1500,2)</f>
        <v>(brak)</v>
      </c>
      <c r="D438" s="11" t="s">
        <v>3689</v>
      </c>
      <c r="E438" s="11">
        <f>VLOOKUP(B438,Towary_i_uslugi!$A$3:$T$1500,3,FALSE)</f>
        <v>20</v>
      </c>
      <c r="F438" s="11" t="str">
        <f>VLOOKUP(B438,Towary_i_uslugi!$A$3:$T$1500,20,FALSE)</f>
        <v>zip bag w/leaflet</v>
      </c>
      <c r="G438" s="11">
        <f>VLOOKUP(B438,MBI_Dostawcy_towarów!$A$4:$C$1399,3,FALSE)</f>
        <v>0.60899999999999999</v>
      </c>
      <c r="H438" s="11">
        <v>1290</v>
      </c>
      <c r="I438" s="11">
        <v>240</v>
      </c>
      <c r="J438" s="11">
        <v>1200</v>
      </c>
      <c r="K438" s="11">
        <f>_xlfn.IFNA(VLOOKUP(B438,Towary_na_zamówieniach!$A$4:$C$1500,2,FALSE),0)</f>
        <v>1440</v>
      </c>
      <c r="L438" s="11">
        <f>_xlfn.IFNA(VLOOKUP(B438,Towary_na_zamówieniach!$A$4:$C$1500,3,FALSE),0)</f>
        <v>2304</v>
      </c>
      <c r="M438" s="11">
        <f>_xlfn.IFNA(VLOOKUP(B438,MBI_Dostawcy_towarów!$A$4:$C$2000,2,FALSE),"N/A")</f>
        <v>100</v>
      </c>
      <c r="N438" s="11" t="str">
        <f>IF(VLOOKUP(B438,Towary_i_uslugi!$A$3:$T$1500,17,FALSE)=0,"!NO SUPPLIER",VLOOKUP(B438,Towary_i_uslugi!$A$3:$T$1500,17))</f>
        <v>XM</v>
      </c>
      <c r="O438" s="11" t="str">
        <f>IF(VLOOKUP(B438,Towary_i_uslugi!$A$4:$U$1200,21,FALSE)&gt;0,VLOOKUP(B438,Towary_i_uslugi!$A$4:$U$1200,21,FALSE),"")</f>
        <v/>
      </c>
      <c r="P438" s="11">
        <f t="shared" si="18"/>
        <v>0</v>
      </c>
      <c r="Q438" s="11">
        <f t="shared" si="19"/>
        <v>0</v>
      </c>
      <c r="R438" s="17">
        <f t="shared" si="20"/>
        <v>0</v>
      </c>
      <c r="S438" s="17">
        <f>VLOOKUP($B438,   MBI_LastBuy!$A$3:E$13199,3,FALSE)</f>
        <v>1440</v>
      </c>
      <c r="T438" s="13">
        <f>VLOOKUP($B438,   MBI_LastBuy!$A$3:E$13199,2,FALSE)</f>
        <v>1.6</v>
      </c>
      <c r="U438" s="13" t="str">
        <f>VLOOKUP($B438,   MBI_LastBuy!$A$3:E$13199,5,FALSE)</f>
        <v>USD</v>
      </c>
      <c r="V438" s="15">
        <f>VLOOKUP($B438,   MBI_LastBuy!$A$3:E$13199,4,FALSE)</f>
        <v>44140</v>
      </c>
    </row>
    <row r="439" spans="1:22" x14ac:dyDescent="0.25">
      <c r="A439" s="11" t="s">
        <v>3829</v>
      </c>
      <c r="B439" s="11">
        <v>841307</v>
      </c>
      <c r="C439" s="11" t="str">
        <f>VLOOKUP(B439,Towary_i_uslugi!$A$4:$B$1500,2)</f>
        <v>(brak)</v>
      </c>
      <c r="D439" s="11" t="s">
        <v>3690</v>
      </c>
      <c r="E439" s="11">
        <f>VLOOKUP(B439,Towary_i_uslugi!$A$3:$T$1500,3,FALSE)</f>
        <v>780</v>
      </c>
      <c r="F439" s="11" t="str">
        <f>VLOOKUP(B439,Towary_i_uslugi!$A$3:$T$1500,20,FALSE)</f>
        <v>tag on string</v>
      </c>
      <c r="G439" s="11">
        <f>VLOOKUP(B439,MBI_Dostawcy_towarów!$A$4:$C$1399,3,FALSE)</f>
        <v>3.3000000000000002E-2</v>
      </c>
      <c r="H439" s="11">
        <v>58</v>
      </c>
      <c r="I439" s="11">
        <v>0</v>
      </c>
      <c r="J439" s="11">
        <v>80</v>
      </c>
      <c r="K439" s="11">
        <f>_xlfn.IFNA(VLOOKUP(B439,Towary_na_zamówieniach!$A$4:$C$1500,2,FALSE),0)</f>
        <v>0</v>
      </c>
      <c r="L439" s="11">
        <f>_xlfn.IFNA(VLOOKUP(B439,Towary_na_zamówieniach!$A$4:$C$1500,3,FALSE),0)</f>
        <v>0</v>
      </c>
      <c r="M439" s="11">
        <f>_xlfn.IFNA(VLOOKUP(B439,MBI_Dostawcy_towarów!$A$4:$C$2000,2,FALSE),"N/A")</f>
        <v>14</v>
      </c>
      <c r="N439" s="11" t="str">
        <f>IF(VLOOKUP(B439,Towary_i_uslugi!$A$3:$T$1500,17,FALSE)=0,"!NO SUPPLIER",VLOOKUP(B439,Towary_i_uslugi!$A$3:$T$1500,17))</f>
        <v>ToM-PaR</v>
      </c>
      <c r="O439" s="11" t="str">
        <f>IF(VLOOKUP(B439,Towary_i_uslugi!$A$4:$U$1200,21,FALSE)&gt;0,VLOOKUP(B439,Towary_i_uslugi!$A$4:$U$1200,21,FALSE),"")</f>
        <v/>
      </c>
      <c r="P439" s="11">
        <f t="shared" si="18"/>
        <v>1</v>
      </c>
      <c r="Q439" s="11">
        <f t="shared" si="19"/>
        <v>780</v>
      </c>
      <c r="R439" s="17">
        <f t="shared" si="20"/>
        <v>429.00000000000006</v>
      </c>
      <c r="S439" s="17">
        <f>VLOOKUP($B439,   MBI_LastBuy!$A$3:E$13199,3,FALSE)</f>
        <v>780</v>
      </c>
      <c r="T439" s="13">
        <f>VLOOKUP($B439,   MBI_LastBuy!$A$3:E$13199,2,FALSE)</f>
        <v>0.55000000000000004</v>
      </c>
      <c r="U439" s="13" t="str">
        <f>VLOOKUP($B439,   MBI_LastBuy!$A$3:E$13199,5,FALSE)</f>
        <v>PLN</v>
      </c>
      <c r="V439" s="15">
        <f>VLOOKUP($B439,   MBI_LastBuy!$A$3:E$13199,4,FALSE)</f>
        <v>43727</v>
      </c>
    </row>
    <row r="440" spans="1:22" x14ac:dyDescent="0.25">
      <c r="A440" s="11" t="s">
        <v>3829</v>
      </c>
      <c r="B440" s="11">
        <v>841340</v>
      </c>
      <c r="C440" s="11" t="str">
        <f>VLOOKUP(B440,Towary_i_uslugi!$A$4:$B$1500,2)</f>
        <v>(brak)</v>
      </c>
      <c r="D440" s="11" t="s">
        <v>3691</v>
      </c>
      <c r="E440" s="11">
        <f>VLOOKUP(B440,Towary_i_uslugi!$A$3:$T$1500,3,FALSE)</f>
        <v>36</v>
      </c>
      <c r="F440" s="11" t="str">
        <f>VLOOKUP(B440,Towary_i_uslugi!$A$3:$T$1500,20,FALSE)</f>
        <v>sticker-bulk packing</v>
      </c>
      <c r="G440" s="11">
        <f>VLOOKUP(B440,MBI_Dostawcy_towarów!$A$4:$C$1399,3,FALSE)</f>
        <v>0.13</v>
      </c>
      <c r="H440" s="11">
        <v>43</v>
      </c>
      <c r="I440" s="11">
        <v>10</v>
      </c>
      <c r="J440" s="11">
        <v>50</v>
      </c>
      <c r="K440" s="11">
        <f>_xlfn.IFNA(VLOOKUP(B440,Towary_na_zamówieniach!$A$4:$C$1500,2,FALSE),0)</f>
        <v>0</v>
      </c>
      <c r="L440" s="11">
        <f>_xlfn.IFNA(VLOOKUP(B440,Towary_na_zamówieniach!$A$4:$C$1500,3,FALSE),0)</f>
        <v>0</v>
      </c>
      <c r="M440" s="11">
        <f>_xlfn.IFNA(VLOOKUP(B440,MBI_Dostawcy_towarów!$A$4:$C$2000,2,FALSE),"N/A")</f>
        <v>14</v>
      </c>
      <c r="N440" s="11" t="str">
        <f>IF(VLOOKUP(B440,Towary_i_uslugi!$A$3:$T$1500,17,FALSE)=0,"!NO SUPPLIER",VLOOKUP(B440,Towary_i_uslugi!$A$3:$T$1500,17))</f>
        <v>ToM-PaR</v>
      </c>
      <c r="O440" s="11" t="str">
        <f>IF(VLOOKUP(B440,Towary_i_uslugi!$A$4:$U$1200,21,FALSE)&gt;0,VLOOKUP(B440,Towary_i_uslugi!$A$4:$U$1200,21,FALSE),"")</f>
        <v/>
      </c>
      <c r="P440" s="11">
        <f t="shared" si="18"/>
        <v>2</v>
      </c>
      <c r="Q440" s="11">
        <f t="shared" si="19"/>
        <v>72</v>
      </c>
      <c r="R440" s="17">
        <f t="shared" si="20"/>
        <v>169.20000000000002</v>
      </c>
      <c r="S440" s="17">
        <f>VLOOKUP($B440,   MBI_LastBuy!$A$3:E$13199,3,FALSE)</f>
        <v>252</v>
      </c>
      <c r="T440" s="13">
        <f>VLOOKUP($B440,   MBI_LastBuy!$A$3:E$13199,2,FALSE)</f>
        <v>2.35</v>
      </c>
      <c r="U440" s="13" t="str">
        <f>VLOOKUP($B440,   MBI_LastBuy!$A$3:E$13199,5,FALSE)</f>
        <v>PLN</v>
      </c>
      <c r="V440" s="15">
        <f>VLOOKUP($B440,   MBI_LastBuy!$A$3:E$13199,4,FALSE)</f>
        <v>43910</v>
      </c>
    </row>
    <row r="441" spans="1:22" x14ac:dyDescent="0.25">
      <c r="A441" s="11" t="s">
        <v>3828</v>
      </c>
      <c r="B441" s="11">
        <v>841402</v>
      </c>
      <c r="C441" s="11" t="str">
        <f>VLOOKUP(B441,Towary_i_uslugi!$A$4:$B$1500,2)</f>
        <v>(brak)</v>
      </c>
      <c r="D441" s="11" t="s">
        <v>3692</v>
      </c>
      <c r="E441" s="11">
        <f>VLOOKUP(B441,Towary_i_uslugi!$A$3:$T$1500,3,FALSE)</f>
        <v>20</v>
      </c>
      <c r="F441" s="11" t="str">
        <f>VLOOKUP(B441,Towary_i_uslugi!$A$3:$T$1500,20,FALSE)</f>
        <v>sticker-bulk packing</v>
      </c>
      <c r="G441" s="11">
        <f>VLOOKUP(B441,MBI_Dostawcy_towarów!$A$4:$C$1399,3,FALSE)</f>
        <v>0.13</v>
      </c>
      <c r="H441" s="11">
        <v>21</v>
      </c>
      <c r="I441" s="11">
        <v>0</v>
      </c>
      <c r="J441" s="11">
        <v>80</v>
      </c>
      <c r="K441" s="11">
        <f>_xlfn.IFNA(VLOOKUP(B441,Towary_na_zamówieniach!$A$4:$C$1500,2,FALSE),0)</f>
        <v>200</v>
      </c>
      <c r="L441" s="11">
        <f>_xlfn.IFNA(VLOOKUP(B441,Towary_na_zamówieniach!$A$4:$C$1500,3,FALSE),0)</f>
        <v>400</v>
      </c>
      <c r="M441" s="11">
        <f>_xlfn.IFNA(VLOOKUP(B441,MBI_Dostawcy_towarów!$A$4:$C$2000,2,FALSE),"N/A")</f>
        <v>14</v>
      </c>
      <c r="N441" s="11" t="str">
        <f>IF(VLOOKUP(B441,Towary_i_uslugi!$A$3:$T$1500,17,FALSE)=0,"!NO SUPPLIER",VLOOKUP(B441,Towary_i_uslugi!$A$3:$T$1500,17))</f>
        <v>KUFIETA S.J.</v>
      </c>
      <c r="O441" s="11" t="str">
        <f>IF(VLOOKUP(B441,Towary_i_uslugi!$A$4:$U$1200,21,FALSE)&gt;0,VLOOKUP(B441,Towary_i_uslugi!$A$4:$U$1200,21,FALSE),"")</f>
        <v/>
      </c>
      <c r="P441" s="11">
        <f t="shared" si="18"/>
        <v>0</v>
      </c>
      <c r="Q441" s="11">
        <f t="shared" si="19"/>
        <v>0</v>
      </c>
      <c r="R441" s="17">
        <f t="shared" si="20"/>
        <v>0</v>
      </c>
      <c r="S441" s="17">
        <f>VLOOKUP($B441,   MBI_LastBuy!$A$3:E$13199,3,FALSE)</f>
        <v>300</v>
      </c>
      <c r="T441" s="13">
        <f>VLOOKUP($B441,   MBI_LastBuy!$A$3:E$13199,2,FALSE)</f>
        <v>2</v>
      </c>
      <c r="U441" s="13" t="str">
        <f>VLOOKUP($B441,   MBI_LastBuy!$A$3:E$13199,5,FALSE)</f>
        <v>PLN</v>
      </c>
      <c r="V441" s="15">
        <f>VLOOKUP($B441,   MBI_LastBuy!$A$3:E$13199,4,FALSE)</f>
        <v>43864</v>
      </c>
    </row>
    <row r="442" spans="1:22" x14ac:dyDescent="0.25">
      <c r="A442" s="11" t="s">
        <v>3552</v>
      </c>
      <c r="B442" s="11">
        <v>844180</v>
      </c>
      <c r="C442" s="11" t="str">
        <f>VLOOKUP(B442,Towary_i_uslugi!$A$4:$B$1500,2)</f>
        <v>(brak)</v>
      </c>
      <c r="D442" s="11" t="s">
        <v>2446</v>
      </c>
      <c r="E442" s="11">
        <f>VLOOKUP(B442,Towary_i_uslugi!$A$3:$T$1500,3,FALSE)</f>
        <v>20</v>
      </c>
      <c r="F442" s="11" t="str">
        <f>VLOOKUP(B442,Towary_i_uslugi!$A$3:$T$1500,20,FALSE)</f>
        <v>polybag header</v>
      </c>
      <c r="G442" s="11">
        <f>VLOOKUP(B442,MBI_Dostawcy_towarów!$A$4:$C$1399,3,FALSE)</f>
        <v>0.46300000000000002</v>
      </c>
      <c r="H442" s="11">
        <v>295</v>
      </c>
      <c r="I442" s="11">
        <v>20</v>
      </c>
      <c r="J442" s="11">
        <v>750</v>
      </c>
      <c r="K442" s="11">
        <f>_xlfn.IFNA(VLOOKUP(B442,Towary_na_zamówieniach!$A$4:$C$1500,2,FALSE),0)</f>
        <v>720</v>
      </c>
      <c r="L442" s="11">
        <f>_xlfn.IFNA(VLOOKUP(B442,Towary_na_zamówieniach!$A$4:$C$1500,3,FALSE),0)</f>
        <v>1168.56</v>
      </c>
      <c r="M442" s="11">
        <f>_xlfn.IFNA(VLOOKUP(B442,MBI_Dostawcy_towarów!$A$4:$C$2000,2,FALSE),"N/A")</f>
        <v>100</v>
      </c>
      <c r="N442" s="11" t="str">
        <f>IF(VLOOKUP(B442,Towary_i_uslugi!$A$3:$T$1500,17,FALSE)=0,"!NO SUPPLIER",VLOOKUP(B442,Towary_i_uslugi!$A$3:$T$1500,17))</f>
        <v>XM</v>
      </c>
      <c r="O442" s="11" t="str">
        <f>IF(VLOOKUP(B442,Towary_i_uslugi!$A$4:$U$1200,21,FALSE)&gt;0,VLOOKUP(B442,Towary_i_uslugi!$A$4:$U$1200,21,FALSE),"")</f>
        <v/>
      </c>
      <c r="P442" s="11">
        <f t="shared" si="18"/>
        <v>0</v>
      </c>
      <c r="Q442" s="11">
        <f t="shared" si="19"/>
        <v>0</v>
      </c>
      <c r="R442" s="17">
        <f t="shared" si="20"/>
        <v>0</v>
      </c>
      <c r="S442" s="17">
        <f>VLOOKUP($B442,   MBI_LastBuy!$A$3:E$13199,3,FALSE)</f>
        <v>720</v>
      </c>
      <c r="T442" s="13">
        <f>VLOOKUP($B442,   MBI_LastBuy!$A$3:E$13199,2,FALSE)</f>
        <v>1.623</v>
      </c>
      <c r="U442" s="13" t="str">
        <f>VLOOKUP($B442,   MBI_LastBuy!$A$3:E$13199,5,FALSE)</f>
        <v>USD</v>
      </c>
      <c r="V442" s="15">
        <f>VLOOKUP($B442,   MBI_LastBuy!$A$3:E$13199,4,FALSE)</f>
        <v>44111</v>
      </c>
    </row>
    <row r="443" spans="1:22" x14ac:dyDescent="0.25">
      <c r="A443" s="11" t="s">
        <v>3552</v>
      </c>
      <c r="B443" s="11">
        <v>844290</v>
      </c>
      <c r="C443" s="11" t="str">
        <f>VLOOKUP(B443,Towary_i_uslugi!$A$4:$B$1500,2)</f>
        <v>(brak)</v>
      </c>
      <c r="D443" s="11" t="s">
        <v>3693</v>
      </c>
      <c r="E443" s="11">
        <f>VLOOKUP(B443,Towary_i_uslugi!$A$3:$T$1500,3,FALSE)</f>
        <v>12</v>
      </c>
      <c r="F443" s="11" t="str">
        <f>VLOOKUP(B443,Towary_i_uslugi!$A$3:$T$1500,20,FALSE)</f>
        <v>polybag header</v>
      </c>
      <c r="G443" s="11">
        <f>VLOOKUP(B443,MBI_Dostawcy_towarów!$A$4:$C$1399,3,FALSE)</f>
        <v>0.747</v>
      </c>
      <c r="H443" s="11">
        <v>632</v>
      </c>
      <c r="I443" s="11">
        <v>0</v>
      </c>
      <c r="J443" s="11">
        <v>900</v>
      </c>
      <c r="K443" s="11">
        <f>_xlfn.IFNA(VLOOKUP(B443,Towary_na_zamówieniach!$A$4:$C$1500,2,FALSE),0)</f>
        <v>1080</v>
      </c>
      <c r="L443" s="11">
        <f>_xlfn.IFNA(VLOOKUP(B443,Towary_na_zamówieniach!$A$4:$C$1500,3,FALSE),0)</f>
        <v>2160</v>
      </c>
      <c r="M443" s="11">
        <f>_xlfn.IFNA(VLOOKUP(B443,MBI_Dostawcy_towarów!$A$4:$C$2000,2,FALSE),"N/A")</f>
        <v>100</v>
      </c>
      <c r="N443" s="11" t="str">
        <f>IF(VLOOKUP(B443,Towary_i_uslugi!$A$3:$T$1500,17,FALSE)=0,"!NO SUPPLIER",VLOOKUP(B443,Towary_i_uslugi!$A$3:$T$1500,17))</f>
        <v>XM</v>
      </c>
      <c r="O443" s="11" t="str">
        <f>IF(VLOOKUP(B443,Towary_i_uslugi!$A$4:$U$1200,21,FALSE)&gt;0,VLOOKUP(B443,Towary_i_uslugi!$A$4:$U$1200,21,FALSE),"")</f>
        <v/>
      </c>
      <c r="P443" s="11">
        <f t="shared" si="18"/>
        <v>0</v>
      </c>
      <c r="Q443" s="11">
        <f t="shared" si="19"/>
        <v>0</v>
      </c>
      <c r="R443" s="17">
        <f t="shared" si="20"/>
        <v>0</v>
      </c>
      <c r="S443" s="17">
        <f>VLOOKUP($B443,   MBI_LastBuy!$A$3:E$13199,3,FALSE)</f>
        <v>1080</v>
      </c>
      <c r="T443" s="13">
        <f>VLOOKUP($B443,   MBI_LastBuy!$A$3:E$13199,2,FALSE)</f>
        <v>2</v>
      </c>
      <c r="U443" s="13" t="str">
        <f>VLOOKUP($B443,   MBI_LastBuy!$A$3:E$13199,5,FALSE)</f>
        <v>USD</v>
      </c>
      <c r="V443" s="15">
        <f>VLOOKUP($B443,   MBI_LastBuy!$A$3:E$13199,4,FALSE)</f>
        <v>44140</v>
      </c>
    </row>
    <row r="444" spans="1:22" x14ac:dyDescent="0.25">
      <c r="A444" s="11" t="s">
        <v>3830</v>
      </c>
      <c r="B444" s="11">
        <v>850010</v>
      </c>
      <c r="C444" s="11" t="str">
        <f>VLOOKUP(B444,Towary_i_uslugi!$A$4:$B$1500,2)</f>
        <v>(brak)</v>
      </c>
      <c r="D444" s="11" t="s">
        <v>43</v>
      </c>
      <c r="E444" s="11">
        <f>VLOOKUP(B444,Towary_i_uslugi!$A$3:$T$1500,3,FALSE)</f>
        <v>25</v>
      </c>
      <c r="F444" s="11" t="str">
        <f>VLOOKUP(B444,Towary_i_uslugi!$A$3:$T$1500,20,FALSE)</f>
        <v>double blister</v>
      </c>
      <c r="G444" s="11" t="e">
        <f>VLOOKUP(B444,MBI_Dostawcy_towarów!$A$4:$C$1399,3,FALSE)</f>
        <v>#N/A</v>
      </c>
      <c r="H444" s="11">
        <v>1</v>
      </c>
      <c r="I444" s="11">
        <v>0</v>
      </c>
      <c r="J444" s="11">
        <v>550</v>
      </c>
      <c r="K444" s="11">
        <f>_xlfn.IFNA(VLOOKUP(B444,Towary_na_zamówieniach!$A$4:$C$1500,2,FALSE),0)</f>
        <v>0</v>
      </c>
      <c r="L444" s="11">
        <f>_xlfn.IFNA(VLOOKUP(B444,Towary_na_zamówieniach!$A$4:$C$1500,3,FALSE),0)</f>
        <v>0</v>
      </c>
      <c r="M444" s="11" t="str">
        <f>_xlfn.IFNA(VLOOKUP(B444,MBI_Dostawcy_towarów!$A$4:$C$2000,2,FALSE),"N/A")</f>
        <v>N/A</v>
      </c>
      <c r="N444" s="11" t="str">
        <f>IF(VLOOKUP(B444,Towary_i_uslugi!$A$3:$T$1500,17,FALSE)=0,"!NO SUPPLIER",VLOOKUP(B444,Towary_i_uslugi!$A$3:$T$1500,17))</f>
        <v>!NO SUPPLIER</v>
      </c>
      <c r="O444" s="11" t="str">
        <f>IF(VLOOKUP(B444,Towary_i_uslugi!$A$4:$U$1200,21,FALSE)&gt;0,VLOOKUP(B444,Towary_i_uslugi!$A$4:$U$1200,21,FALSE),"")</f>
        <v/>
      </c>
      <c r="P444" s="11">
        <f t="shared" si="18"/>
        <v>22</v>
      </c>
      <c r="Q444" s="11">
        <f t="shared" si="19"/>
        <v>550</v>
      </c>
      <c r="R444" s="17">
        <f t="shared" si="20"/>
        <v>726</v>
      </c>
      <c r="S444" s="17">
        <f>VLOOKUP($B444,   MBI_LastBuy!$A$3:E$13199,3,FALSE)</f>
        <v>600</v>
      </c>
      <c r="T444" s="13">
        <f>VLOOKUP($B444,   MBI_LastBuy!$A$3:E$13199,2,FALSE)</f>
        <v>1.32</v>
      </c>
      <c r="U444" s="13" t="str">
        <f>VLOOKUP($B444,   MBI_LastBuy!$A$3:E$13199,5,FALSE)</f>
        <v>USD</v>
      </c>
      <c r="V444" s="15">
        <f>VLOOKUP($B444,   MBI_LastBuy!$A$3:E$13199,4,FALSE)</f>
        <v>43760</v>
      </c>
    </row>
    <row r="445" spans="1:22" x14ac:dyDescent="0.25">
      <c r="A445" s="11" t="s">
        <v>3830</v>
      </c>
      <c r="B445" s="11">
        <v>850020</v>
      </c>
      <c r="C445" s="11" t="str">
        <f>VLOOKUP(B445,Towary_i_uslugi!$A$4:$B$1500,2)</f>
        <v>(brak)</v>
      </c>
      <c r="D445" s="11" t="s">
        <v>2712</v>
      </c>
      <c r="E445" s="11">
        <f>VLOOKUP(B445,Towary_i_uslugi!$A$3:$T$1500,3,FALSE)</f>
        <v>15</v>
      </c>
      <c r="F445" s="11" t="str">
        <f>VLOOKUP(B445,Towary_i_uslugi!$A$3:$T$1500,20,FALSE)</f>
        <v>double blister</v>
      </c>
      <c r="G445" s="11" t="e">
        <f>VLOOKUP(B445,MBI_Dostawcy_towarów!$A$4:$C$1399,3,FALSE)</f>
        <v>#N/A</v>
      </c>
      <c r="H445" s="11">
        <v>1</v>
      </c>
      <c r="I445" s="11">
        <v>0</v>
      </c>
      <c r="J445" s="11">
        <v>150</v>
      </c>
      <c r="K445" s="11">
        <f>_xlfn.IFNA(VLOOKUP(B445,Towary_na_zamówieniach!$A$4:$C$1500,2,FALSE),0)</f>
        <v>0</v>
      </c>
      <c r="L445" s="11">
        <f>_xlfn.IFNA(VLOOKUP(B445,Towary_na_zamówieniach!$A$4:$C$1500,3,FALSE),0)</f>
        <v>0</v>
      </c>
      <c r="M445" s="11" t="str">
        <f>_xlfn.IFNA(VLOOKUP(B445,MBI_Dostawcy_towarów!$A$4:$C$2000,2,FALSE),"N/A")</f>
        <v>N/A</v>
      </c>
      <c r="N445" s="11" t="str">
        <f>IF(VLOOKUP(B445,Towary_i_uslugi!$A$3:$T$1500,17,FALSE)=0,"!NO SUPPLIER",VLOOKUP(B445,Towary_i_uslugi!$A$3:$T$1500,17))</f>
        <v>!NO SUPPLIER</v>
      </c>
      <c r="O445" s="11" t="str">
        <f>IF(VLOOKUP(B445,Towary_i_uslugi!$A$4:$U$1200,21,FALSE)&gt;0,VLOOKUP(B445,Towary_i_uslugi!$A$4:$U$1200,21,FALSE),"")</f>
        <v/>
      </c>
      <c r="P445" s="11">
        <f t="shared" si="18"/>
        <v>10</v>
      </c>
      <c r="Q445" s="11">
        <f t="shared" si="19"/>
        <v>150</v>
      </c>
      <c r="R445" s="17">
        <f t="shared" si="20"/>
        <v>322.5</v>
      </c>
      <c r="S445" s="17">
        <f>VLOOKUP($B445,   MBI_LastBuy!$A$3:E$13199,3,FALSE)</f>
        <v>300</v>
      </c>
      <c r="T445" s="13">
        <f>VLOOKUP($B445,   MBI_LastBuy!$A$3:E$13199,2,FALSE)</f>
        <v>2.15</v>
      </c>
      <c r="U445" s="13" t="str">
        <f>VLOOKUP($B445,   MBI_LastBuy!$A$3:E$13199,5,FALSE)</f>
        <v>USD</v>
      </c>
      <c r="V445" s="15">
        <f>VLOOKUP($B445,   MBI_LastBuy!$A$3:E$13199,4,FALSE)</f>
        <v>43760</v>
      </c>
    </row>
    <row r="446" spans="1:22" x14ac:dyDescent="0.25">
      <c r="A446" s="11" t="s">
        <v>3553</v>
      </c>
      <c r="B446" s="11">
        <v>850101</v>
      </c>
      <c r="C446" s="11" t="str">
        <f>VLOOKUP(B446,Towary_i_uslugi!$A$4:$B$1500,2)</f>
        <v>(brak)</v>
      </c>
      <c r="D446" s="11" t="s">
        <v>3694</v>
      </c>
      <c r="E446" s="11">
        <f>VLOOKUP(B446,Towary_i_uslugi!$A$3:$T$1500,3,FALSE)</f>
        <v>60</v>
      </c>
      <c r="F446" s="11" t="str">
        <f>VLOOKUP(B446,Towary_i_uslugi!$A$3:$T$1500,20,FALSE)</f>
        <v>neutral carton box/sticker</v>
      </c>
      <c r="G446" s="11">
        <f>VLOOKUP(B446,MBI_Dostawcy_towarów!$A$4:$C$1399,3,FALSE)</f>
        <v>0.29699999999999999</v>
      </c>
      <c r="H446" s="11">
        <v>438</v>
      </c>
      <c r="I446" s="11">
        <v>300</v>
      </c>
      <c r="J446" s="11">
        <v>200</v>
      </c>
      <c r="K446" s="11">
        <f>_xlfn.IFNA(VLOOKUP(B446,Towary_na_zamówieniach!$A$4:$C$1500,2,FALSE),0)</f>
        <v>0</v>
      </c>
      <c r="L446" s="11">
        <f>_xlfn.IFNA(VLOOKUP(B446,Towary_na_zamówieniach!$A$4:$C$1500,3,FALSE),0)</f>
        <v>0</v>
      </c>
      <c r="M446" s="11">
        <f>_xlfn.IFNA(VLOOKUP(B446,MBI_Dostawcy_towarów!$A$4:$C$2000,2,FALSE),"N/A")</f>
        <v>100</v>
      </c>
      <c r="N446" s="11" t="str">
        <f>IF(VLOOKUP(B446,Towary_i_uslugi!$A$3:$T$1500,17,FALSE)=0,"!NO SUPPLIER",VLOOKUP(B446,Towary_i_uslugi!$A$3:$T$1500,17))</f>
        <v>FX -MAPLE Frank Xu</v>
      </c>
      <c r="O446" s="11" t="str">
        <f>IF(VLOOKUP(B446,Towary_i_uslugi!$A$4:$U$1200,21,FALSE)&gt;0,VLOOKUP(B446,Towary_i_uslugi!$A$4:$U$1200,21,FALSE),"")</f>
        <v/>
      </c>
      <c r="P446" s="11">
        <f t="shared" si="18"/>
        <v>4</v>
      </c>
      <c r="Q446" s="11">
        <f t="shared" si="19"/>
        <v>240</v>
      </c>
      <c r="R446" s="17">
        <f t="shared" si="20"/>
        <v>276</v>
      </c>
      <c r="S446" s="17">
        <f>VLOOKUP($B446,   MBI_LastBuy!$A$3:E$13199,3,FALSE)</f>
        <v>480</v>
      </c>
      <c r="T446" s="13">
        <f>VLOOKUP($B446,   MBI_LastBuy!$A$3:E$13199,2,FALSE)</f>
        <v>1.1499999999999999</v>
      </c>
      <c r="U446" s="13" t="str">
        <f>VLOOKUP($B446,   MBI_LastBuy!$A$3:E$13199,5,FALSE)</f>
        <v>USD</v>
      </c>
      <c r="V446" s="15">
        <f>VLOOKUP($B446,   MBI_LastBuy!$A$3:E$13199,4,FALSE)</f>
        <v>43972</v>
      </c>
    </row>
    <row r="447" spans="1:22" x14ac:dyDescent="0.25">
      <c r="A447" s="11" t="s">
        <v>3553</v>
      </c>
      <c r="B447" s="11">
        <v>870130</v>
      </c>
      <c r="C447" s="11" t="str">
        <f>VLOOKUP(B447,Towary_i_uslugi!$A$4:$B$1500,2)</f>
        <v>(brak)</v>
      </c>
      <c r="D447" s="11" t="s">
        <v>2900</v>
      </c>
      <c r="E447" s="11">
        <f>VLOOKUP(B447,Towary_i_uslugi!$A$3:$T$1500,3,FALSE)</f>
        <v>160</v>
      </c>
      <c r="F447" s="11" t="str">
        <f>VLOOKUP(B447,Towary_i_uslugi!$A$3:$T$1500,20,FALSE)</f>
        <v>polybag header</v>
      </c>
      <c r="G447" s="11">
        <f>VLOOKUP(B447,MBI_Dostawcy_towarów!$A$4:$C$1399,3,FALSE)</f>
        <v>0.13800000000000001</v>
      </c>
      <c r="H447" s="11">
        <v>2</v>
      </c>
      <c r="I447" s="11">
        <v>1</v>
      </c>
      <c r="J447" s="11">
        <v>650</v>
      </c>
      <c r="K447" s="11">
        <f>_xlfn.IFNA(VLOOKUP(B447,Towary_na_zamówieniach!$A$4:$C$1500,2,FALSE),0)</f>
        <v>1920</v>
      </c>
      <c r="L447" s="11">
        <f>_xlfn.IFNA(VLOOKUP(B447,Towary_na_zamówieniach!$A$4:$C$1500,3,FALSE),0)</f>
        <v>710.4</v>
      </c>
      <c r="M447" s="11">
        <f>_xlfn.IFNA(VLOOKUP(B447,MBI_Dostawcy_towarów!$A$4:$C$2000,2,FALSE),"N/A")</f>
        <v>100</v>
      </c>
      <c r="N447" s="11" t="str">
        <f>IF(VLOOKUP(B447,Towary_i_uslugi!$A$3:$T$1500,17,FALSE)=0,"!NO SUPPLIER",VLOOKUP(B447,Towary_i_uslugi!$A$3:$T$1500,17))</f>
        <v>FX -MAPLE Frank Xu</v>
      </c>
      <c r="O447" s="11" t="str">
        <f>IF(VLOOKUP(B447,Towary_i_uslugi!$A$4:$U$1200,21,FALSE)&gt;0,VLOOKUP(B447,Towary_i_uslugi!$A$4:$U$1200,21,FALSE),"")</f>
        <v/>
      </c>
      <c r="P447" s="11">
        <f t="shared" si="18"/>
        <v>0</v>
      </c>
      <c r="Q447" s="11">
        <f t="shared" si="19"/>
        <v>0</v>
      </c>
      <c r="R447" s="17">
        <f t="shared" si="20"/>
        <v>0</v>
      </c>
      <c r="S447" s="17">
        <f>VLOOKUP($B447,   MBI_LastBuy!$A$3:E$13199,3,FALSE)</f>
        <v>1920</v>
      </c>
      <c r="T447" s="13">
        <f>VLOOKUP($B447,   MBI_LastBuy!$A$3:E$13199,2,FALSE)</f>
        <v>0.37</v>
      </c>
      <c r="U447" s="13" t="str">
        <f>VLOOKUP($B447,   MBI_LastBuy!$A$3:E$13199,5,FALSE)</f>
        <v>USD</v>
      </c>
      <c r="V447" s="15">
        <f>VLOOKUP($B447,   MBI_LastBuy!$A$3:E$13199,4,FALSE)</f>
        <v>44013</v>
      </c>
    </row>
    <row r="448" spans="1:22" x14ac:dyDescent="0.25">
      <c r="A448" s="11" t="s">
        <v>3553</v>
      </c>
      <c r="B448" s="11">
        <v>870261</v>
      </c>
      <c r="C448" s="11" t="str">
        <f>VLOOKUP(B448,Towary_i_uslugi!$A$4:$B$1500,2)</f>
        <v>(brak)</v>
      </c>
      <c r="D448" s="11" t="s">
        <v>2641</v>
      </c>
      <c r="E448" s="11">
        <f>VLOOKUP(B448,Towary_i_uslugi!$A$3:$T$1500,3,FALSE)</f>
        <v>80</v>
      </c>
      <c r="F448" s="11" t="str">
        <f>VLOOKUP(B448,Towary_i_uslugi!$A$3:$T$1500,20,FALSE)</f>
        <v>polybag header</v>
      </c>
      <c r="G448" s="11">
        <f>VLOOKUP(B448,MBI_Dostawcy_towarów!$A$4:$C$1399,3,FALSE)</f>
        <v>0.3</v>
      </c>
      <c r="H448" s="11">
        <v>628</v>
      </c>
      <c r="I448" s="11">
        <v>50</v>
      </c>
      <c r="J448" s="11">
        <v>960</v>
      </c>
      <c r="K448" s="11">
        <f>_xlfn.IFNA(VLOOKUP(B448,Towary_na_zamówieniach!$A$4:$C$1500,2,FALSE),0)</f>
        <v>1280</v>
      </c>
      <c r="L448" s="11">
        <f>_xlfn.IFNA(VLOOKUP(B448,Towary_na_zamówieniach!$A$4:$C$1500,3,FALSE),0)</f>
        <v>780.8</v>
      </c>
      <c r="M448" s="11">
        <f>_xlfn.IFNA(VLOOKUP(B448,MBI_Dostawcy_towarów!$A$4:$C$2000,2,FALSE),"N/A")</f>
        <v>100</v>
      </c>
      <c r="N448" s="11" t="str">
        <f>IF(VLOOKUP(B448,Towary_i_uslugi!$A$3:$T$1500,17,FALSE)=0,"!NO SUPPLIER",VLOOKUP(B448,Towary_i_uslugi!$A$3:$T$1500,17))</f>
        <v>FX -MAPLE Frank Xu</v>
      </c>
      <c r="O448" s="11" t="str">
        <f>IF(VLOOKUP(B448,Towary_i_uslugi!$A$4:$U$1200,21,FALSE)&gt;0,VLOOKUP(B448,Towary_i_uslugi!$A$4:$U$1200,21,FALSE),"")</f>
        <v/>
      </c>
      <c r="P448" s="11">
        <f t="shared" si="18"/>
        <v>0</v>
      </c>
      <c r="Q448" s="11">
        <f t="shared" si="19"/>
        <v>0</v>
      </c>
      <c r="R448" s="17">
        <f t="shared" si="20"/>
        <v>0</v>
      </c>
      <c r="S448" s="17">
        <f>VLOOKUP($B448,   MBI_LastBuy!$A$3:E$13199,3,FALSE)</f>
        <v>1280</v>
      </c>
      <c r="T448" s="13">
        <f>VLOOKUP($B448,   MBI_LastBuy!$A$3:E$13199,2,FALSE)</f>
        <v>0.61</v>
      </c>
      <c r="U448" s="13" t="str">
        <f>VLOOKUP($B448,   MBI_LastBuy!$A$3:E$13199,5,FALSE)</f>
        <v>USD</v>
      </c>
      <c r="V448" s="15">
        <f>VLOOKUP($B448,   MBI_LastBuy!$A$3:E$13199,4,FALSE)</f>
        <v>44105</v>
      </c>
    </row>
    <row r="449" spans="1:22" x14ac:dyDescent="0.25">
      <c r="A449" s="11" t="s">
        <v>3555</v>
      </c>
      <c r="B449" s="11">
        <v>870280</v>
      </c>
      <c r="C449" s="11" t="str">
        <f>VLOOKUP(B449,Towary_i_uslugi!$A$4:$B$1500,2)</f>
        <v>(brak)</v>
      </c>
      <c r="D449" s="11" t="s">
        <v>2642</v>
      </c>
      <c r="E449" s="11">
        <f>VLOOKUP(B449,Towary_i_uslugi!$A$3:$T$1500,3,FALSE)</f>
        <v>80</v>
      </c>
      <c r="F449" s="11" t="str">
        <f>VLOOKUP(B449,Towary_i_uslugi!$A$3:$T$1500,20,FALSE)</f>
        <v>polybag header</v>
      </c>
      <c r="G449" s="11">
        <f>VLOOKUP(B449,MBI_Dostawcy_towarów!$A$4:$C$1399,3,FALSE)</f>
        <v>0.188</v>
      </c>
      <c r="H449" s="11">
        <v>386</v>
      </c>
      <c r="I449" s="11">
        <v>1</v>
      </c>
      <c r="J449" s="11">
        <v>1200</v>
      </c>
      <c r="K449" s="11">
        <f>_xlfn.IFNA(VLOOKUP(B449,Towary_na_zamówieniach!$A$4:$C$1500,2,FALSE),0)</f>
        <v>1201</v>
      </c>
      <c r="L449" s="11">
        <f>_xlfn.IFNA(VLOOKUP(B449,Towary_na_zamówieniach!$A$4:$C$1500,3,FALSE),0)</f>
        <v>650.4</v>
      </c>
      <c r="M449" s="11">
        <f>_xlfn.IFNA(VLOOKUP(B449,MBI_Dostawcy_towarów!$A$4:$C$2000,2,FALSE),"N/A")</f>
        <v>100</v>
      </c>
      <c r="N449" s="11" t="str">
        <f>IF(VLOOKUP(B449,Towary_i_uslugi!$A$3:$T$1500,17,FALSE)=0,"!NO SUPPLIER",VLOOKUP(B449,Towary_i_uslugi!$A$3:$T$1500,17))</f>
        <v xml:space="preserve">HQ - Canada </v>
      </c>
      <c r="O449" s="11" t="str">
        <f>IF(VLOOKUP(B449,Towary_i_uslugi!$A$4:$U$1200,21,FALSE)&gt;0,VLOOKUP(B449,Towary_i_uslugi!$A$4:$U$1200,21,FALSE),"")</f>
        <v/>
      </c>
      <c r="P449" s="11">
        <f t="shared" si="18"/>
        <v>0</v>
      </c>
      <c r="Q449" s="11">
        <f t="shared" si="19"/>
        <v>0</v>
      </c>
      <c r="R449" s="17">
        <f t="shared" si="20"/>
        <v>0</v>
      </c>
      <c r="S449" s="17">
        <f>VLOOKUP($B449,   MBI_LastBuy!$A$3:E$13199,3,FALSE)</f>
        <v>1200</v>
      </c>
      <c r="T449" s="13">
        <f>VLOOKUP($B449,   MBI_LastBuy!$A$3:E$13199,2,FALSE)</f>
        <v>0.54200000000000004</v>
      </c>
      <c r="U449" s="13" t="str">
        <f>VLOOKUP($B449,   MBI_LastBuy!$A$3:E$13199,5,FALSE)</f>
        <v>USD</v>
      </c>
      <c r="V449" s="15">
        <f>VLOOKUP($B449,   MBI_LastBuy!$A$3:E$13199,4,FALSE)</f>
        <v>44041</v>
      </c>
    </row>
    <row r="450" spans="1:22" x14ac:dyDescent="0.25">
      <c r="A450" s="11" t="s">
        <v>3552</v>
      </c>
      <c r="B450" s="11">
        <v>870282</v>
      </c>
      <c r="C450" s="11" t="str">
        <f>VLOOKUP(B450,Towary_i_uslugi!$A$4:$B$1500,2)</f>
        <v>(brak)</v>
      </c>
      <c r="D450" s="11" t="s">
        <v>2713</v>
      </c>
      <c r="E450" s="11">
        <f>VLOOKUP(B450,Towary_i_uslugi!$A$3:$T$1500,3,FALSE)</f>
        <v>144</v>
      </c>
      <c r="F450" s="11" t="str">
        <f>VLOOKUP(B450,Towary_i_uslugi!$A$3:$T$1500,20,FALSE)</f>
        <v>polybag header</v>
      </c>
      <c r="G450" s="11">
        <f>VLOOKUP(B450,MBI_Dostawcy_towarów!$A$4:$C$1399,3,FALSE)</f>
        <v>0.10199999999999999</v>
      </c>
      <c r="H450" s="11">
        <v>1</v>
      </c>
      <c r="I450" s="11">
        <v>0</v>
      </c>
      <c r="J450" s="11">
        <v>1700</v>
      </c>
      <c r="K450" s="11">
        <f>_xlfn.IFNA(VLOOKUP(B450,Towary_na_zamówieniach!$A$4:$C$1500,2,FALSE),0)</f>
        <v>4320</v>
      </c>
      <c r="L450" s="11">
        <f>_xlfn.IFNA(VLOOKUP(B450,Towary_na_zamówieniach!$A$4:$C$1500,3,FALSE),0)</f>
        <v>1330.56</v>
      </c>
      <c r="M450" s="11">
        <f>_xlfn.IFNA(VLOOKUP(B450,MBI_Dostawcy_towarów!$A$4:$C$2000,2,FALSE),"N/A")</f>
        <v>100</v>
      </c>
      <c r="N450" s="11" t="str">
        <f>IF(VLOOKUP(B450,Towary_i_uslugi!$A$3:$T$1500,17,FALSE)=0,"!NO SUPPLIER",VLOOKUP(B450,Towary_i_uslugi!$A$3:$T$1500,17))</f>
        <v>XM</v>
      </c>
      <c r="O450" s="11" t="str">
        <f>IF(VLOOKUP(B450,Towary_i_uslugi!$A$4:$U$1200,21,FALSE)&gt;0,VLOOKUP(B450,Towary_i_uslugi!$A$4:$U$1200,21,FALSE),"")</f>
        <v/>
      </c>
      <c r="P450" s="11">
        <f t="shared" si="18"/>
        <v>0</v>
      </c>
      <c r="Q450" s="11">
        <f t="shared" si="19"/>
        <v>0</v>
      </c>
      <c r="R450" s="17">
        <f t="shared" si="20"/>
        <v>0</v>
      </c>
      <c r="S450" s="17">
        <f>VLOOKUP($B450,   MBI_LastBuy!$A$3:E$13199,3,FALSE)</f>
        <v>2592</v>
      </c>
      <c r="T450" s="13">
        <f>VLOOKUP($B450,   MBI_LastBuy!$A$3:E$13199,2,FALSE)</f>
        <v>0.32</v>
      </c>
      <c r="U450" s="13" t="str">
        <f>VLOOKUP($B450,   MBI_LastBuy!$A$3:E$13199,5,FALSE)</f>
        <v>USD</v>
      </c>
      <c r="V450" s="15">
        <f>VLOOKUP($B450,   MBI_LastBuy!$A$3:E$13199,4,FALSE)</f>
        <v>44140</v>
      </c>
    </row>
    <row r="451" spans="1:22" x14ac:dyDescent="0.25">
      <c r="A451" s="11" t="s">
        <v>3553</v>
      </c>
      <c r="B451" s="11">
        <v>870286</v>
      </c>
      <c r="C451" s="11" t="str">
        <f>VLOOKUP(B451,Towary_i_uslugi!$A$4:$B$1500,2)</f>
        <v>(brak)</v>
      </c>
      <c r="D451" s="11" t="s">
        <v>3695</v>
      </c>
      <c r="E451" s="11">
        <f>VLOOKUP(B451,Towary_i_uslugi!$A$3:$T$1500,3,FALSE)</f>
        <v>80</v>
      </c>
      <c r="F451" s="11" t="str">
        <f>VLOOKUP(B451,Towary_i_uslugi!$A$3:$T$1500,20,FALSE)</f>
        <v>polybag header</v>
      </c>
      <c r="G451" s="11">
        <f>VLOOKUP(B451,MBI_Dostawcy_towarów!$A$4:$C$1399,3,FALSE)</f>
        <v>0.312</v>
      </c>
      <c r="H451" s="11">
        <v>1674</v>
      </c>
      <c r="I451" s="11">
        <v>30</v>
      </c>
      <c r="J451" s="11">
        <v>1650</v>
      </c>
      <c r="K451" s="11">
        <f>_xlfn.IFNA(VLOOKUP(B451,Towary_na_zamówieniach!$A$4:$C$1500,2,FALSE),0)</f>
        <v>2400</v>
      </c>
      <c r="L451" s="11">
        <f>_xlfn.IFNA(VLOOKUP(B451,Towary_na_zamówieniach!$A$4:$C$1500,3,FALSE),0)</f>
        <v>1512</v>
      </c>
      <c r="M451" s="11">
        <f>_xlfn.IFNA(VLOOKUP(B451,MBI_Dostawcy_towarów!$A$4:$C$2000,2,FALSE),"N/A")</f>
        <v>100</v>
      </c>
      <c r="N451" s="11" t="str">
        <f>IF(VLOOKUP(B451,Towary_i_uslugi!$A$3:$T$1500,17,FALSE)=0,"!NO SUPPLIER",VLOOKUP(B451,Towary_i_uslugi!$A$3:$T$1500,17))</f>
        <v>FX -MAPLE Frank Xu</v>
      </c>
      <c r="O451" s="11" t="str">
        <f>IF(VLOOKUP(B451,Towary_i_uslugi!$A$4:$U$1200,21,FALSE)&gt;0,VLOOKUP(B451,Towary_i_uslugi!$A$4:$U$1200,21,FALSE),"")</f>
        <v/>
      </c>
      <c r="P451" s="11">
        <f t="shared" ref="P451:P514" si="21">IF(K451=0,ROUNDUP(J451/E451,0),IF((K451+H451-I451)/J451&lt;1,ROUNDUP(J451/E451,0),0))</f>
        <v>0</v>
      </c>
      <c r="Q451" s="11">
        <f t="shared" ref="Q451:Q514" si="22">P451*E451</f>
        <v>0</v>
      </c>
      <c r="R451" s="17">
        <f t="shared" ref="R451:R514" si="23">Q451*T451</f>
        <v>0</v>
      </c>
      <c r="S451" s="17">
        <f>VLOOKUP($B451,   MBI_LastBuy!$A$3:E$13199,3,FALSE)</f>
        <v>2400</v>
      </c>
      <c r="T451" s="13">
        <f>VLOOKUP($B451,   MBI_LastBuy!$A$3:E$13199,2,FALSE)</f>
        <v>0.63</v>
      </c>
      <c r="U451" s="13" t="str">
        <f>VLOOKUP($B451,   MBI_LastBuy!$A$3:E$13199,5,FALSE)</f>
        <v>USD</v>
      </c>
      <c r="V451" s="15">
        <f>VLOOKUP($B451,   MBI_LastBuy!$A$3:E$13199,4,FALSE)</f>
        <v>44141</v>
      </c>
    </row>
    <row r="452" spans="1:22" x14ac:dyDescent="0.25">
      <c r="A452" s="11" t="s">
        <v>3552</v>
      </c>
      <c r="B452" s="11">
        <v>871000</v>
      </c>
      <c r="C452" s="11" t="str">
        <f>VLOOKUP(B452,Towary_i_uslugi!$A$4:$B$1500,2)</f>
        <v>(brak)</v>
      </c>
      <c r="D452" s="11" t="s">
        <v>2428</v>
      </c>
      <c r="E452" s="11">
        <f>VLOOKUP(B452,Towary_i_uslugi!$A$3:$T$1500,3,FALSE)</f>
        <v>40</v>
      </c>
      <c r="F452" s="11" t="str">
        <f>VLOOKUP(B452,Towary_i_uslugi!$A$3:$T$1500,20,FALSE)</f>
        <v>double blister</v>
      </c>
      <c r="G452" s="11">
        <f>VLOOKUP(B452,MBI_Dostawcy_towarów!$A$4:$C$1399,3,FALSE)</f>
        <v>0.182</v>
      </c>
      <c r="H452" s="11">
        <v>147</v>
      </c>
      <c r="I452" s="11">
        <v>0</v>
      </c>
      <c r="J452" s="11">
        <v>1800</v>
      </c>
      <c r="K452" s="11">
        <f>_xlfn.IFNA(VLOOKUP(B452,Towary_na_zamówieniach!$A$4:$C$1500,2,FALSE),0)</f>
        <v>3720</v>
      </c>
      <c r="L452" s="11">
        <f>_xlfn.IFNA(VLOOKUP(B452,Towary_na_zamówieniach!$A$4:$C$1500,3,FALSE),0)</f>
        <v>2326.8000000000002</v>
      </c>
      <c r="M452" s="11">
        <f>_xlfn.IFNA(VLOOKUP(B452,MBI_Dostawcy_towarów!$A$4:$C$2000,2,FALSE),"N/A")</f>
        <v>100</v>
      </c>
      <c r="N452" s="11" t="str">
        <f>IF(VLOOKUP(B452,Towary_i_uslugi!$A$3:$T$1500,17,FALSE)=0,"!NO SUPPLIER",VLOOKUP(B452,Towary_i_uslugi!$A$3:$T$1500,17))</f>
        <v>XM</v>
      </c>
      <c r="O452" s="11" t="str">
        <f>IF(VLOOKUP(B452,Towary_i_uslugi!$A$4:$U$1200,21,FALSE)&gt;0,VLOOKUP(B452,Towary_i_uslugi!$A$4:$U$1200,21,FALSE),"")</f>
        <v/>
      </c>
      <c r="P452" s="11">
        <f t="shared" si="21"/>
        <v>0</v>
      </c>
      <c r="Q452" s="11">
        <f t="shared" si="22"/>
        <v>0</v>
      </c>
      <c r="R452" s="17">
        <f t="shared" si="23"/>
        <v>0</v>
      </c>
      <c r="S452" s="17">
        <f>VLOOKUP($B452,   MBI_LastBuy!$A$3:E$13199,3,FALSE)</f>
        <v>1920</v>
      </c>
      <c r="T452" s="13">
        <f>VLOOKUP($B452,   MBI_LastBuy!$A$3:E$13199,2,FALSE)</f>
        <v>0.64</v>
      </c>
      <c r="U452" s="13" t="str">
        <f>VLOOKUP($B452,   MBI_LastBuy!$A$3:E$13199,5,FALSE)</f>
        <v>USD</v>
      </c>
      <c r="V452" s="15">
        <f>VLOOKUP($B452,   MBI_LastBuy!$A$3:E$13199,4,FALSE)</f>
        <v>44140</v>
      </c>
    </row>
    <row r="453" spans="1:22" x14ac:dyDescent="0.25">
      <c r="A453" s="11" t="s">
        <v>3552</v>
      </c>
      <c r="B453" s="11">
        <v>871100</v>
      </c>
      <c r="C453" s="11" t="str">
        <f>VLOOKUP(B453,Towary_i_uslugi!$A$4:$B$1500,2)</f>
        <v>(brak)</v>
      </c>
      <c r="D453" s="11" t="s">
        <v>3696</v>
      </c>
      <c r="E453" s="11">
        <f>VLOOKUP(B453,Towary_i_uslugi!$A$3:$T$1500,3,FALSE)</f>
        <v>40</v>
      </c>
      <c r="F453" s="11" t="str">
        <f>VLOOKUP(B453,Towary_i_uslugi!$A$3:$T$1500,20,FALSE)</f>
        <v>slide blister card</v>
      </c>
      <c r="G453" s="11">
        <f>VLOOKUP(B453,MBI_Dostawcy_towarów!$A$4:$C$1399,3,FALSE)</f>
        <v>0.14199999999999999</v>
      </c>
      <c r="H453" s="11">
        <v>1348</v>
      </c>
      <c r="I453" s="11">
        <v>1040</v>
      </c>
      <c r="J453" s="11">
        <v>2000</v>
      </c>
      <c r="K453" s="11">
        <f>_xlfn.IFNA(VLOOKUP(B453,Towary_na_zamówieniach!$A$4:$C$1500,2,FALSE),0)</f>
        <v>2000</v>
      </c>
      <c r="L453" s="11">
        <f>_xlfn.IFNA(VLOOKUP(B453,Towary_na_zamówieniach!$A$4:$C$1500,3,FALSE),0)</f>
        <v>1100</v>
      </c>
      <c r="M453" s="11">
        <f>_xlfn.IFNA(VLOOKUP(B453,MBI_Dostawcy_towarów!$A$4:$C$2000,2,FALSE),"N/A")</f>
        <v>100</v>
      </c>
      <c r="N453" s="11" t="str">
        <f>IF(VLOOKUP(B453,Towary_i_uslugi!$A$3:$T$1500,17,FALSE)=0,"!NO SUPPLIER",VLOOKUP(B453,Towary_i_uslugi!$A$3:$T$1500,17))</f>
        <v>XM</v>
      </c>
      <c r="O453" s="11" t="str">
        <f>IF(VLOOKUP(B453,Towary_i_uslugi!$A$4:$U$1200,21,FALSE)&gt;0,VLOOKUP(B453,Towary_i_uslugi!$A$4:$U$1200,21,FALSE),"")</f>
        <v/>
      </c>
      <c r="P453" s="11">
        <f t="shared" si="21"/>
        <v>0</v>
      </c>
      <c r="Q453" s="11">
        <f t="shared" si="22"/>
        <v>0</v>
      </c>
      <c r="R453" s="17">
        <f t="shared" si="23"/>
        <v>0</v>
      </c>
      <c r="S453" s="17">
        <f>VLOOKUP($B453,   MBI_LastBuy!$A$3:E$13199,3,FALSE)</f>
        <v>2000</v>
      </c>
      <c r="T453" s="13">
        <f>VLOOKUP($B453,   MBI_LastBuy!$A$3:E$13199,2,FALSE)</f>
        <v>0.55000000000000004</v>
      </c>
      <c r="U453" s="13" t="str">
        <f>VLOOKUP($B453,   MBI_LastBuy!$A$3:E$13199,5,FALSE)</f>
        <v>USD</v>
      </c>
      <c r="V453" s="15">
        <f>VLOOKUP($B453,   MBI_LastBuy!$A$3:E$13199,4,FALSE)</f>
        <v>44097</v>
      </c>
    </row>
    <row r="454" spans="1:22" x14ac:dyDescent="0.25">
      <c r="A454" s="11" t="s">
        <v>3555</v>
      </c>
      <c r="B454" s="11">
        <v>884000</v>
      </c>
      <c r="C454" s="11" t="str">
        <f>VLOOKUP(B454,Towary_i_uslugi!$A$4:$B$1500,2)</f>
        <v>kandydat do usuniecia - nie zamawiać</v>
      </c>
      <c r="D454" s="11" t="s">
        <v>1600</v>
      </c>
      <c r="E454" s="11">
        <f>VLOOKUP(B454,Towary_i_uslugi!$A$3:$T$1500,3,FALSE)</f>
        <v>200</v>
      </c>
      <c r="F454" s="11" t="str">
        <f>VLOOKUP(B454,Towary_i_uslugi!$A$3:$T$1500,20,FALSE)</f>
        <v>PVC bag + sticker</v>
      </c>
      <c r="G454" s="11">
        <f>VLOOKUP(B454,MBI_Dostawcy_towarów!$A$4:$C$1399,3,FALSE)</f>
        <v>4.2000000000000003E-2</v>
      </c>
      <c r="H454" s="11">
        <v>1</v>
      </c>
      <c r="I454" s="11">
        <v>0</v>
      </c>
      <c r="J454" s="11">
        <v>9500</v>
      </c>
      <c r="K454" s="11">
        <f>_xlfn.IFNA(VLOOKUP(B454,Towary_na_zamówieniach!$A$4:$C$1500,2,FALSE),0)</f>
        <v>0</v>
      </c>
      <c r="L454" s="11">
        <f>_xlfn.IFNA(VLOOKUP(B454,Towary_na_zamówieniach!$A$4:$C$1500,3,FALSE),0)</f>
        <v>0</v>
      </c>
      <c r="M454" s="11">
        <f>_xlfn.IFNA(VLOOKUP(B454,MBI_Dostawcy_towarów!$A$4:$C$2000,2,FALSE),"N/A")</f>
        <v>100</v>
      </c>
      <c r="N454" s="11" t="str">
        <f>IF(VLOOKUP(B454,Towary_i_uslugi!$A$3:$T$1500,17,FALSE)=0,"!NO SUPPLIER",VLOOKUP(B454,Towary_i_uslugi!$A$3:$T$1500,17))</f>
        <v xml:space="preserve">HQ - Canada </v>
      </c>
      <c r="O454" s="11" t="str">
        <f>IF(VLOOKUP(B454,Towary_i_uslugi!$A$4:$U$1200,21,FALSE)&gt;0,VLOOKUP(B454,Towary_i_uslugi!$A$4:$U$1200,21,FALSE),"")</f>
        <v/>
      </c>
      <c r="P454" s="11">
        <f t="shared" si="21"/>
        <v>48</v>
      </c>
      <c r="Q454" s="11">
        <f t="shared" si="22"/>
        <v>9600</v>
      </c>
      <c r="R454" s="17">
        <f t="shared" si="23"/>
        <v>2812.7999999999997</v>
      </c>
      <c r="S454" s="17">
        <f>VLOOKUP($B454,   MBI_LastBuy!$A$3:E$13199,3,FALSE)</f>
        <v>9600</v>
      </c>
      <c r="T454" s="13">
        <f>VLOOKUP($B454,   MBI_LastBuy!$A$3:E$13199,2,FALSE)</f>
        <v>0.29299999999999998</v>
      </c>
      <c r="U454" s="13" t="str">
        <f>VLOOKUP($B454,   MBI_LastBuy!$A$3:E$13199,5,FALSE)</f>
        <v>USD</v>
      </c>
      <c r="V454" s="15">
        <f>VLOOKUP($B454,   MBI_LastBuy!$A$3:E$13199,4,FALSE)</f>
        <v>44068</v>
      </c>
    </row>
    <row r="455" spans="1:22" x14ac:dyDescent="0.25">
      <c r="A455" s="11" t="s">
        <v>3553</v>
      </c>
      <c r="B455" s="11">
        <v>884002</v>
      </c>
      <c r="C455" s="11" t="str">
        <f>VLOOKUP(B455,Towary_i_uslugi!$A$4:$B$1500,2)</f>
        <v>(brak)</v>
      </c>
      <c r="D455" s="11" t="s">
        <v>1402</v>
      </c>
      <c r="E455" s="11">
        <f>VLOOKUP(B455,Towary_i_uslugi!$A$3:$T$1500,3,FALSE)</f>
        <v>50</v>
      </c>
      <c r="F455" s="11" t="str">
        <f>VLOOKUP(B455,Towary_i_uslugi!$A$3:$T$1500,20,FALSE)</f>
        <v>PVC bag + sticker</v>
      </c>
      <c r="G455" s="11">
        <f>VLOOKUP(B455,MBI_Dostawcy_towarów!$A$4:$C$1399,3,FALSE)</f>
        <v>0.45200000000000001</v>
      </c>
      <c r="H455" s="11">
        <v>1</v>
      </c>
      <c r="I455" s="11">
        <v>0</v>
      </c>
      <c r="J455" s="11">
        <v>360</v>
      </c>
      <c r="K455" s="11">
        <f>_xlfn.IFNA(VLOOKUP(B455,Towary_na_zamówieniach!$A$4:$C$1500,2,FALSE),0)</f>
        <v>600</v>
      </c>
      <c r="L455" s="11">
        <f>_xlfn.IFNA(VLOOKUP(B455,Towary_na_zamówieniach!$A$4:$C$1500,3,FALSE),0)</f>
        <v>1620</v>
      </c>
      <c r="M455" s="11">
        <f>_xlfn.IFNA(VLOOKUP(B455,MBI_Dostawcy_towarów!$A$4:$C$2000,2,FALSE),"N/A")</f>
        <v>100</v>
      </c>
      <c r="N455" s="11" t="str">
        <f>IF(VLOOKUP(B455,Towary_i_uslugi!$A$3:$T$1500,17,FALSE)=0,"!NO SUPPLIER",VLOOKUP(B455,Towary_i_uslugi!$A$3:$T$1500,17))</f>
        <v>FX -MAPLE Frank Xu</v>
      </c>
      <c r="O455" s="11" t="str">
        <f>IF(VLOOKUP(B455,Towary_i_uslugi!$A$4:$U$1200,21,FALSE)&gt;0,VLOOKUP(B455,Towary_i_uslugi!$A$4:$U$1200,21,FALSE),"")</f>
        <v/>
      </c>
      <c r="P455" s="11">
        <f t="shared" si="21"/>
        <v>0</v>
      </c>
      <c r="Q455" s="11">
        <f t="shared" si="22"/>
        <v>0</v>
      </c>
      <c r="R455" s="17">
        <f t="shared" si="23"/>
        <v>0</v>
      </c>
      <c r="S455" s="17">
        <f>VLOOKUP($B455,   MBI_LastBuy!$A$3:E$13199,3,FALSE)</f>
        <v>600</v>
      </c>
      <c r="T455" s="13">
        <f>VLOOKUP($B455,   MBI_LastBuy!$A$3:E$13199,2,FALSE)</f>
        <v>2.7</v>
      </c>
      <c r="U455" s="13" t="str">
        <f>VLOOKUP($B455,   MBI_LastBuy!$A$3:E$13199,5,FALSE)</f>
        <v>USD</v>
      </c>
      <c r="V455" s="15">
        <f>VLOOKUP($B455,   MBI_LastBuy!$A$3:E$13199,4,FALSE)</f>
        <v>44028</v>
      </c>
    </row>
    <row r="456" spans="1:22" x14ac:dyDescent="0.25">
      <c r="A456" s="11" t="s">
        <v>3555</v>
      </c>
      <c r="B456" s="11">
        <v>884003</v>
      </c>
      <c r="C456" s="11" t="str">
        <f>VLOOKUP(B456,Towary_i_uslugi!$A$4:$B$1500,2)</f>
        <v>nowość!!! więcej info dla klienta</v>
      </c>
      <c r="D456" s="11" t="s">
        <v>2901</v>
      </c>
      <c r="E456" s="11">
        <f>VLOOKUP(B456,Towary_i_uslugi!$A$3:$T$1500,3,FALSE)</f>
        <v>500</v>
      </c>
      <c r="F456" s="11" t="str">
        <f>VLOOKUP(B456,Towary_i_uslugi!$A$3:$T$1500,20,FALSE)</f>
        <v>carton box+sticker</v>
      </c>
      <c r="G456" s="11">
        <f>VLOOKUP(B456,MBI_Dostawcy_towarów!$A$4:$C$1399,3,FALSE)</f>
        <v>0.04</v>
      </c>
      <c r="H456" s="11">
        <v>494</v>
      </c>
      <c r="I456" s="11">
        <v>5</v>
      </c>
      <c r="J456" s="11">
        <v>1500</v>
      </c>
      <c r="K456" s="11">
        <f>_xlfn.IFNA(VLOOKUP(B456,Towary_na_zamówieniach!$A$4:$C$1500,2,FALSE),0)</f>
        <v>0</v>
      </c>
      <c r="L456" s="11">
        <f>_xlfn.IFNA(VLOOKUP(B456,Towary_na_zamówieniach!$A$4:$C$1500,3,FALSE),0)</f>
        <v>0</v>
      </c>
      <c r="M456" s="11">
        <f>_xlfn.IFNA(VLOOKUP(B456,MBI_Dostawcy_towarów!$A$4:$C$2000,2,FALSE),"N/A")</f>
        <v>100</v>
      </c>
      <c r="N456" s="11" t="str">
        <f>IF(VLOOKUP(B456,Towary_i_uslugi!$A$3:$T$1500,17,FALSE)=0,"!NO SUPPLIER",VLOOKUP(B456,Towary_i_uslugi!$A$3:$T$1500,17))</f>
        <v xml:space="preserve">HQ - Canada </v>
      </c>
      <c r="O456" s="11" t="str">
        <f>IF(VLOOKUP(B456,Towary_i_uslugi!$A$4:$U$1200,21,FALSE)&gt;0,VLOOKUP(B456,Towary_i_uslugi!$A$4:$U$1200,21,FALSE),"")</f>
        <v>PFA7.10.20*non-color mix</v>
      </c>
      <c r="P456" s="11">
        <f t="shared" si="21"/>
        <v>3</v>
      </c>
      <c r="Q456" s="11">
        <f t="shared" si="22"/>
        <v>1500</v>
      </c>
      <c r="R456" s="17">
        <f t="shared" si="23"/>
        <v>328.5</v>
      </c>
      <c r="S456" s="17">
        <f>VLOOKUP($B456,   MBI_LastBuy!$A$3:E$13199,3,FALSE)</f>
        <v>2000</v>
      </c>
      <c r="T456" s="13">
        <f>VLOOKUP($B456,   MBI_LastBuy!$A$3:E$13199,2,FALSE)</f>
        <v>0.219</v>
      </c>
      <c r="U456" s="13" t="str">
        <f>VLOOKUP($B456,   MBI_LastBuy!$A$3:E$13199,5,FALSE)</f>
        <v>USD</v>
      </c>
      <c r="V456" s="15">
        <f>VLOOKUP($B456,   MBI_LastBuy!$A$3:E$13199,4,FALSE)</f>
        <v>44068</v>
      </c>
    </row>
    <row r="457" spans="1:22" x14ac:dyDescent="0.25">
      <c r="A457" s="11" t="s">
        <v>3555</v>
      </c>
      <c r="B457" s="11">
        <v>884004</v>
      </c>
      <c r="C457" s="11" t="str">
        <f>VLOOKUP(B457,Towary_i_uslugi!$A$4:$B$1500,2)</f>
        <v>ostrzeżenie</v>
      </c>
      <c r="D457" s="11" t="s">
        <v>2902</v>
      </c>
      <c r="E457" s="11">
        <f>VLOOKUP(B457,Towary_i_uslugi!$A$3:$T$1500,3,FALSE)</f>
        <v>500</v>
      </c>
      <c r="F457" s="11" t="str">
        <f>VLOOKUP(B457,Towary_i_uslugi!$A$3:$T$1500,20,FALSE)</f>
        <v>carton box+sticker</v>
      </c>
      <c r="G457" s="11">
        <f>VLOOKUP(B457,MBI_Dostawcy_towarów!$A$4:$C$1399,3,FALSE)</f>
        <v>0.04</v>
      </c>
      <c r="H457" s="11">
        <v>249</v>
      </c>
      <c r="I457" s="11">
        <v>0</v>
      </c>
      <c r="J457" s="11">
        <v>1500</v>
      </c>
      <c r="K457" s="11">
        <f>_xlfn.IFNA(VLOOKUP(B457,Towary_na_zamówieniach!$A$4:$C$1500,2,FALSE),0)</f>
        <v>0</v>
      </c>
      <c r="L457" s="11">
        <f>_xlfn.IFNA(VLOOKUP(B457,Towary_na_zamówieniach!$A$4:$C$1500,3,FALSE),0)</f>
        <v>0</v>
      </c>
      <c r="M457" s="11">
        <f>_xlfn.IFNA(VLOOKUP(B457,MBI_Dostawcy_towarów!$A$4:$C$2000,2,FALSE),"N/A")</f>
        <v>100</v>
      </c>
      <c r="N457" s="11" t="str">
        <f>IF(VLOOKUP(B457,Towary_i_uslugi!$A$3:$T$1500,17,FALSE)=0,"!NO SUPPLIER",VLOOKUP(B457,Towary_i_uslugi!$A$3:$T$1500,17))</f>
        <v xml:space="preserve">HQ - Canada </v>
      </c>
      <c r="O457" s="11" t="str">
        <f>IF(VLOOKUP(B457,Towary_i_uslugi!$A$4:$U$1200,21,FALSE)&gt;0,VLOOKUP(B457,Towary_i_uslugi!$A$4:$U$1200,21,FALSE),"")</f>
        <v>PFA7.10.20*non-color mix</v>
      </c>
      <c r="P457" s="11">
        <f t="shared" si="21"/>
        <v>3</v>
      </c>
      <c r="Q457" s="11">
        <f t="shared" si="22"/>
        <v>1500</v>
      </c>
      <c r="R457" s="17" t="e">
        <f t="shared" si="23"/>
        <v>#N/A</v>
      </c>
      <c r="S457" s="17" t="e">
        <f>VLOOKUP($B457,   MBI_LastBuy!$A$3:E$13199,3,FALSE)</f>
        <v>#N/A</v>
      </c>
      <c r="T457" s="13" t="e">
        <f>VLOOKUP($B457,   MBI_LastBuy!$A$3:E$13199,2,FALSE)</f>
        <v>#N/A</v>
      </c>
      <c r="U457" s="13" t="e">
        <f>VLOOKUP($B457,   MBI_LastBuy!$A$3:E$13199,5,FALSE)</f>
        <v>#N/A</v>
      </c>
      <c r="V457" s="15" t="e">
        <f>VLOOKUP($B457,   MBI_LastBuy!$A$3:E$13199,4,FALSE)</f>
        <v>#N/A</v>
      </c>
    </row>
    <row r="458" spans="1:22" x14ac:dyDescent="0.25">
      <c r="A458" s="11" t="s">
        <v>3555</v>
      </c>
      <c r="B458" s="11">
        <v>884005</v>
      </c>
      <c r="C458" s="11" t="str">
        <f>VLOOKUP(B458,Towary_i_uslugi!$A$4:$B$1500,2)</f>
        <v>ostrzeżenie</v>
      </c>
      <c r="D458" s="11" t="s">
        <v>2903</v>
      </c>
      <c r="E458" s="11">
        <f>VLOOKUP(B458,Towary_i_uslugi!$A$3:$T$1500,3,FALSE)</f>
        <v>500</v>
      </c>
      <c r="F458" s="11" t="str">
        <f>VLOOKUP(B458,Towary_i_uslugi!$A$3:$T$1500,20,FALSE)</f>
        <v>carton box+sticker</v>
      </c>
      <c r="G458" s="11">
        <f>VLOOKUP(B458,MBI_Dostawcy_towarów!$A$4:$C$1399,3,FALSE)</f>
        <v>0.04</v>
      </c>
      <c r="H458" s="11">
        <v>490</v>
      </c>
      <c r="I458" s="11">
        <v>0</v>
      </c>
      <c r="J458" s="11">
        <v>1500</v>
      </c>
      <c r="K458" s="11">
        <f>_xlfn.IFNA(VLOOKUP(B458,Towary_na_zamówieniach!$A$4:$C$1500,2,FALSE),0)</f>
        <v>0</v>
      </c>
      <c r="L458" s="11">
        <f>_xlfn.IFNA(VLOOKUP(B458,Towary_na_zamówieniach!$A$4:$C$1500,3,FALSE),0)</f>
        <v>0</v>
      </c>
      <c r="M458" s="11">
        <f>_xlfn.IFNA(VLOOKUP(B458,MBI_Dostawcy_towarów!$A$4:$C$2000,2,FALSE),"N/A")</f>
        <v>100</v>
      </c>
      <c r="N458" s="11" t="str">
        <f>IF(VLOOKUP(B458,Towary_i_uslugi!$A$3:$T$1500,17,FALSE)=0,"!NO SUPPLIER",VLOOKUP(B458,Towary_i_uslugi!$A$3:$T$1500,17))</f>
        <v xml:space="preserve">HQ - Canada </v>
      </c>
      <c r="O458" s="11" t="str">
        <f>IF(VLOOKUP(B458,Towary_i_uslugi!$A$4:$U$1200,21,FALSE)&gt;0,VLOOKUP(B458,Towary_i_uslugi!$A$4:$U$1200,21,FALSE),"")</f>
        <v>PFA7.10.20*non-color mix</v>
      </c>
      <c r="P458" s="11">
        <f t="shared" si="21"/>
        <v>3</v>
      </c>
      <c r="Q458" s="11">
        <f t="shared" si="22"/>
        <v>1500</v>
      </c>
      <c r="R458" s="17" t="e">
        <f t="shared" si="23"/>
        <v>#N/A</v>
      </c>
      <c r="S458" s="17" t="e">
        <f>VLOOKUP($B458,   MBI_LastBuy!$A$3:E$13199,3,FALSE)</f>
        <v>#N/A</v>
      </c>
      <c r="T458" s="13" t="e">
        <f>VLOOKUP($B458,   MBI_LastBuy!$A$3:E$13199,2,FALSE)</f>
        <v>#N/A</v>
      </c>
      <c r="U458" s="13" t="e">
        <f>VLOOKUP($B458,   MBI_LastBuy!$A$3:E$13199,5,FALSE)</f>
        <v>#N/A</v>
      </c>
      <c r="V458" s="15" t="e">
        <f>VLOOKUP($B458,   MBI_LastBuy!$A$3:E$13199,4,FALSE)</f>
        <v>#N/A</v>
      </c>
    </row>
    <row r="459" spans="1:22" x14ac:dyDescent="0.25">
      <c r="A459" s="11" t="s">
        <v>3555</v>
      </c>
      <c r="B459" s="11">
        <v>884006</v>
      </c>
      <c r="C459" s="11" t="str">
        <f>VLOOKUP(B459,Towary_i_uslugi!$A$4:$B$1500,2)</f>
        <v>ostrzeżenie</v>
      </c>
      <c r="D459" s="11" t="s">
        <v>2904</v>
      </c>
      <c r="E459" s="11">
        <f>VLOOKUP(B459,Towary_i_uslugi!$A$3:$T$1500,3,FALSE)</f>
        <v>500</v>
      </c>
      <c r="F459" s="11" t="str">
        <f>VLOOKUP(B459,Towary_i_uslugi!$A$3:$T$1500,20,FALSE)</f>
        <v>carton box+sticker</v>
      </c>
      <c r="G459" s="11">
        <f>VLOOKUP(B459,MBI_Dostawcy_towarów!$A$4:$C$1399,3,FALSE)</f>
        <v>0.04</v>
      </c>
      <c r="H459" s="11">
        <v>476</v>
      </c>
      <c r="I459" s="11">
        <v>3</v>
      </c>
      <c r="J459" s="11">
        <v>1500</v>
      </c>
      <c r="K459" s="11">
        <f>_xlfn.IFNA(VLOOKUP(B459,Towary_na_zamówieniach!$A$4:$C$1500,2,FALSE),0)</f>
        <v>0</v>
      </c>
      <c r="L459" s="11">
        <f>_xlfn.IFNA(VLOOKUP(B459,Towary_na_zamówieniach!$A$4:$C$1500,3,FALSE),0)</f>
        <v>0</v>
      </c>
      <c r="M459" s="11">
        <f>_xlfn.IFNA(VLOOKUP(B459,MBI_Dostawcy_towarów!$A$4:$C$2000,2,FALSE),"N/A")</f>
        <v>100</v>
      </c>
      <c r="N459" s="11" t="str">
        <f>IF(VLOOKUP(B459,Towary_i_uslugi!$A$3:$T$1500,17,FALSE)=0,"!NO SUPPLIER",VLOOKUP(B459,Towary_i_uslugi!$A$3:$T$1500,17))</f>
        <v xml:space="preserve">HQ - Canada </v>
      </c>
      <c r="O459" s="11" t="str">
        <f>IF(VLOOKUP(B459,Towary_i_uslugi!$A$4:$U$1200,21,FALSE)&gt;0,VLOOKUP(B459,Towary_i_uslugi!$A$4:$U$1200,21,FALSE),"")</f>
        <v>PFA7.10.20*non-color mix</v>
      </c>
      <c r="P459" s="11">
        <f t="shared" si="21"/>
        <v>3</v>
      </c>
      <c r="Q459" s="11">
        <f t="shared" si="22"/>
        <v>1500</v>
      </c>
      <c r="R459" s="17" t="e">
        <f t="shared" si="23"/>
        <v>#N/A</v>
      </c>
      <c r="S459" s="17" t="e">
        <f>VLOOKUP($B459,   MBI_LastBuy!$A$3:E$13199,3,FALSE)</f>
        <v>#N/A</v>
      </c>
      <c r="T459" s="13" t="e">
        <f>VLOOKUP($B459,   MBI_LastBuy!$A$3:E$13199,2,FALSE)</f>
        <v>#N/A</v>
      </c>
      <c r="U459" s="13" t="e">
        <f>VLOOKUP($B459,   MBI_LastBuy!$A$3:E$13199,5,FALSE)</f>
        <v>#N/A</v>
      </c>
      <c r="V459" s="15" t="e">
        <f>VLOOKUP($B459,   MBI_LastBuy!$A$3:E$13199,4,FALSE)</f>
        <v>#N/A</v>
      </c>
    </row>
    <row r="460" spans="1:22" x14ac:dyDescent="0.25">
      <c r="A460" s="11" t="s">
        <v>3565</v>
      </c>
      <c r="B460" s="11">
        <v>885070</v>
      </c>
      <c r="C460" s="11" t="str">
        <f>VLOOKUP(B460,Towary_i_uslugi!$A$4:$B$1500,2)</f>
        <v>nowość!!! więcej info dla klienta</v>
      </c>
      <c r="D460" s="11" t="s">
        <v>2714</v>
      </c>
      <c r="E460" s="11">
        <f>VLOOKUP(B460,Towary_i_uslugi!$A$3:$T$1500,3,FALSE)</f>
        <v>500</v>
      </c>
      <c r="F460" s="11" t="str">
        <f>VLOOKUP(B460,Towary_i_uslugi!$A$3:$T$1500,20,FALSE)</f>
        <v>polybag header</v>
      </c>
      <c r="G460" s="11">
        <f>VLOOKUP(B460,MBI_Dostawcy_towarów!$A$4:$C$1399,3,FALSE)</f>
        <v>2.1999999999999999E-2</v>
      </c>
      <c r="H460" s="11">
        <v>232</v>
      </c>
      <c r="I460" s="11">
        <v>0</v>
      </c>
      <c r="J460" s="11">
        <v>500</v>
      </c>
      <c r="K460" s="11">
        <f>_xlfn.IFNA(VLOOKUP(B460,Towary_na_zamówieniach!$A$4:$C$1500,2,FALSE),0)</f>
        <v>0</v>
      </c>
      <c r="L460" s="11">
        <f>_xlfn.IFNA(VLOOKUP(B460,Towary_na_zamówieniach!$A$4:$C$1500,3,FALSE),0)</f>
        <v>0</v>
      </c>
      <c r="M460" s="11">
        <f>_xlfn.IFNA(VLOOKUP(B460,MBI_Dostawcy_towarów!$A$4:$C$2000,2,FALSE),"N/A")</f>
        <v>7</v>
      </c>
      <c r="N460" s="11" t="str">
        <f>IF(VLOOKUP(B460,Towary_i_uslugi!$A$3:$T$1500,17,FALSE)=0,"!NO SUPPLIER",VLOOKUP(B460,Towary_i_uslugi!$A$3:$T$1500,17))</f>
        <v>WISPLAST</v>
      </c>
      <c r="O460" s="11" t="str">
        <f>IF(VLOOKUP(B460,Towary_i_uslugi!$A$4:$U$1200,21,FALSE)&gt;0,VLOOKUP(B460,Towary_i_uslugi!$A$4:$U$1200,21,FALSE),"")</f>
        <v>PFA*21.2.20 * first delivery</v>
      </c>
      <c r="P460" s="11">
        <f t="shared" si="21"/>
        <v>1</v>
      </c>
      <c r="Q460" s="11">
        <f t="shared" si="22"/>
        <v>500</v>
      </c>
      <c r="R460" s="17">
        <f t="shared" si="23"/>
        <v>625</v>
      </c>
      <c r="S460" s="17">
        <f>VLOOKUP($B460,   MBI_LastBuy!$A$3:E$13199,3,FALSE)</f>
        <v>1000</v>
      </c>
      <c r="T460" s="13">
        <f>VLOOKUP($B460,   MBI_LastBuy!$A$3:E$13199,2,FALSE)</f>
        <v>1.25</v>
      </c>
      <c r="U460" s="13" t="str">
        <f>VLOOKUP($B460,   MBI_LastBuy!$A$3:E$13199,5,FALSE)</f>
        <v>PLN</v>
      </c>
      <c r="V460" s="15">
        <f>VLOOKUP($B460,   MBI_LastBuy!$A$3:E$13199,4,FALSE)</f>
        <v>43882</v>
      </c>
    </row>
    <row r="461" spans="1:22" x14ac:dyDescent="0.25">
      <c r="A461" s="11" t="s">
        <v>3565</v>
      </c>
      <c r="B461" s="11">
        <v>885071</v>
      </c>
      <c r="C461" s="11" t="str">
        <f>VLOOKUP(B461,Towary_i_uslugi!$A$4:$B$1500,2)</f>
        <v>nowość!!! więcej info dla klienta</v>
      </c>
      <c r="D461" s="11" t="s">
        <v>2715</v>
      </c>
      <c r="E461" s="11">
        <f>VLOOKUP(B461,Towary_i_uslugi!$A$3:$T$1500,3,FALSE)</f>
        <v>50</v>
      </c>
      <c r="F461" s="11" t="str">
        <f>VLOOKUP(B461,Towary_i_uslugi!$A$3:$T$1500,20,FALSE)</f>
        <v>polybag header</v>
      </c>
      <c r="G461" s="11">
        <f>VLOOKUP(B461,MBI_Dostawcy_towarów!$A$4:$C$1399,3,FALSE)</f>
        <v>2.8000000000000001E-2</v>
      </c>
      <c r="H461" s="11">
        <v>74</v>
      </c>
      <c r="I461" s="11">
        <v>10</v>
      </c>
      <c r="J461" s="11">
        <v>250</v>
      </c>
      <c r="K461" s="11">
        <f>_xlfn.IFNA(VLOOKUP(B461,Towary_na_zamówieniach!$A$4:$C$1500,2,FALSE),0)</f>
        <v>0</v>
      </c>
      <c r="L461" s="11">
        <f>_xlfn.IFNA(VLOOKUP(B461,Towary_na_zamówieniach!$A$4:$C$1500,3,FALSE),0)</f>
        <v>0</v>
      </c>
      <c r="M461" s="11">
        <f>_xlfn.IFNA(VLOOKUP(B461,MBI_Dostawcy_towarów!$A$4:$C$2000,2,FALSE),"N/A")</f>
        <v>7</v>
      </c>
      <c r="N461" s="11" t="str">
        <f>IF(VLOOKUP(B461,Towary_i_uslugi!$A$3:$T$1500,17,FALSE)=0,"!NO SUPPLIER",VLOOKUP(B461,Towary_i_uslugi!$A$3:$T$1500,17))</f>
        <v>WISPLAST</v>
      </c>
      <c r="O461" s="11" t="str">
        <f>IF(VLOOKUP(B461,Towary_i_uslugi!$A$4:$U$1200,21,FALSE)&gt;0,VLOOKUP(B461,Towary_i_uslugi!$A$4:$U$1200,21,FALSE),"")</f>
        <v>PFA*21.2.20 * first delivery</v>
      </c>
      <c r="P461" s="11">
        <f t="shared" si="21"/>
        <v>5</v>
      </c>
      <c r="Q461" s="11">
        <f t="shared" si="22"/>
        <v>250</v>
      </c>
      <c r="R461" s="17">
        <f t="shared" si="23"/>
        <v>3125</v>
      </c>
      <c r="S461" s="17">
        <f>VLOOKUP($B461,   MBI_LastBuy!$A$3:E$13199,3,FALSE)</f>
        <v>100</v>
      </c>
      <c r="T461" s="13">
        <f>VLOOKUP($B461,   MBI_LastBuy!$A$3:E$13199,2,FALSE)</f>
        <v>12.5</v>
      </c>
      <c r="U461" s="13" t="str">
        <f>VLOOKUP($B461,   MBI_LastBuy!$A$3:E$13199,5,FALSE)</f>
        <v>PLN</v>
      </c>
      <c r="V461" s="15">
        <f>VLOOKUP($B461,   MBI_LastBuy!$A$3:E$13199,4,FALSE)</f>
        <v>43882</v>
      </c>
    </row>
    <row r="462" spans="1:22" x14ac:dyDescent="0.25">
      <c r="A462" s="11" t="s">
        <v>3553</v>
      </c>
      <c r="B462" s="11">
        <v>885086</v>
      </c>
      <c r="C462" s="11" t="str">
        <f>VLOOKUP(B462,Towary_i_uslugi!$A$4:$B$1500,2)</f>
        <v>(brak)</v>
      </c>
      <c r="D462" s="11" t="s">
        <v>2905</v>
      </c>
      <c r="E462" s="11">
        <f>VLOOKUP(B462,Towary_i_uslugi!$A$3:$T$1500,3,FALSE)</f>
        <v>288</v>
      </c>
      <c r="F462" s="11" t="str">
        <f>VLOOKUP(B462,Towary_i_uslugi!$A$3:$T$1500,20,FALSE)</f>
        <v>polybag header</v>
      </c>
      <c r="G462" s="11">
        <f>VLOOKUP(B462,MBI_Dostawcy_towarów!$A$4:$C$1399,3,FALSE)</f>
        <v>2.5999999999999999E-2</v>
      </c>
      <c r="H462" s="11">
        <v>467</v>
      </c>
      <c r="I462" s="11">
        <v>0</v>
      </c>
      <c r="J462" s="11">
        <v>800</v>
      </c>
      <c r="K462" s="11">
        <f>_xlfn.IFNA(VLOOKUP(B462,Towary_na_zamówieniach!$A$4:$C$1500,2,FALSE),0)</f>
        <v>1200</v>
      </c>
      <c r="L462" s="11">
        <f>_xlfn.IFNA(VLOOKUP(B462,Towary_na_zamówieniach!$A$4:$C$1500,3,FALSE),0)</f>
        <v>324</v>
      </c>
      <c r="M462" s="11">
        <f>_xlfn.IFNA(VLOOKUP(B462,MBI_Dostawcy_towarów!$A$4:$C$2000,2,FALSE),"N/A")</f>
        <v>100</v>
      </c>
      <c r="N462" s="11" t="str">
        <f>IF(VLOOKUP(B462,Towary_i_uslugi!$A$3:$T$1500,17,FALSE)=0,"!NO SUPPLIER",VLOOKUP(B462,Towary_i_uslugi!$A$3:$T$1500,17))</f>
        <v>FX -MAPLE Frank Xu</v>
      </c>
      <c r="O462" s="11" t="str">
        <f>IF(VLOOKUP(B462,Towary_i_uslugi!$A$4:$U$1200,21,FALSE)&gt;0,VLOOKUP(B462,Towary_i_uslugi!$A$4:$U$1200,21,FALSE),"")</f>
        <v/>
      </c>
      <c r="P462" s="11">
        <f t="shared" si="21"/>
        <v>0</v>
      </c>
      <c r="Q462" s="11">
        <f t="shared" si="22"/>
        <v>0</v>
      </c>
      <c r="R462" s="17">
        <f t="shared" si="23"/>
        <v>0</v>
      </c>
      <c r="S462" s="17">
        <f>VLOOKUP($B462,   MBI_LastBuy!$A$3:E$13199,3,FALSE)</f>
        <v>1200</v>
      </c>
      <c r="T462" s="13">
        <f>VLOOKUP($B462,   MBI_LastBuy!$A$3:E$13199,2,FALSE)</f>
        <v>0.27</v>
      </c>
      <c r="U462" s="13" t="str">
        <f>VLOOKUP($B462,   MBI_LastBuy!$A$3:E$13199,5,FALSE)</f>
        <v>USD</v>
      </c>
      <c r="V462" s="15">
        <f>VLOOKUP($B462,   MBI_LastBuy!$A$3:E$13199,4,FALSE)</f>
        <v>44083</v>
      </c>
    </row>
    <row r="463" spans="1:22" x14ac:dyDescent="0.25">
      <c r="A463" s="11" t="s">
        <v>3824</v>
      </c>
      <c r="B463" s="11">
        <v>893050</v>
      </c>
      <c r="C463" s="11" t="str">
        <f>VLOOKUP(B463,Towary_i_uslugi!$A$4:$B$1500,2)</f>
        <v>nowość!!! więcej info dla klienta</v>
      </c>
      <c r="D463" s="11" t="s">
        <v>3697</v>
      </c>
      <c r="E463" s="11">
        <f>VLOOKUP(B463,Towary_i_uslugi!$A$3:$T$1500,3,FALSE)</f>
        <v>1</v>
      </c>
      <c r="F463" s="11" t="str">
        <f>VLOOKUP(B463,Towary_i_uslugi!$A$3:$T$1500,20,FALSE)</f>
        <v>carton box + sticker</v>
      </c>
      <c r="G463" s="11">
        <f>VLOOKUP(B463,MBI_Dostawcy_towarów!$A$4:$C$1399,3,FALSE)</f>
        <v>23</v>
      </c>
      <c r="H463" s="11">
        <v>0</v>
      </c>
      <c r="I463" s="11">
        <v>0</v>
      </c>
      <c r="J463" s="11">
        <v>100</v>
      </c>
      <c r="K463" s="11">
        <f>_xlfn.IFNA(VLOOKUP(B463,Towary_na_zamówieniach!$A$4:$C$1500,2,FALSE),0)</f>
        <v>0</v>
      </c>
      <c r="L463" s="11">
        <f>_xlfn.IFNA(VLOOKUP(B463,Towary_na_zamówieniach!$A$4:$C$1500,3,FALSE),0)</f>
        <v>0</v>
      </c>
      <c r="M463" s="11">
        <f>_xlfn.IFNA(VLOOKUP(B463,MBI_Dostawcy_towarów!$A$4:$C$2000,2,FALSE),"N/A")</f>
        <v>100</v>
      </c>
      <c r="N463" s="11" t="str">
        <f>IF(VLOOKUP(B463,Towary_i_uslugi!$A$3:$T$1500,17,FALSE)=0,"!NO SUPPLIER",VLOOKUP(B463,Towary_i_uslugi!$A$3:$T$1500,17))</f>
        <v>OR OUTREACH</v>
      </c>
      <c r="O463" s="11" t="str">
        <f>IF(VLOOKUP(B463,Towary_i_uslugi!$A$4:$U$1200,21,FALSE)&gt;0,VLOOKUP(B463,Towary_i_uslugi!$A$4:$U$1200,21,FALSE),"")</f>
        <v/>
      </c>
      <c r="P463" s="11">
        <f t="shared" si="21"/>
        <v>100</v>
      </c>
      <c r="Q463" s="11">
        <f t="shared" si="22"/>
        <v>100</v>
      </c>
      <c r="R463" s="17" t="e">
        <f t="shared" si="23"/>
        <v>#N/A</v>
      </c>
      <c r="S463" s="17" t="e">
        <f>VLOOKUP($B463,   MBI_LastBuy!$A$3:E$13199,3,FALSE)</f>
        <v>#N/A</v>
      </c>
      <c r="T463" s="13" t="e">
        <f>VLOOKUP($B463,   MBI_LastBuy!$A$3:E$13199,2,FALSE)</f>
        <v>#N/A</v>
      </c>
      <c r="U463" s="13" t="e">
        <f>VLOOKUP($B463,   MBI_LastBuy!$A$3:E$13199,5,FALSE)</f>
        <v>#N/A</v>
      </c>
      <c r="V463" s="15" t="e">
        <f>VLOOKUP($B463,   MBI_LastBuy!$A$3:E$13199,4,FALSE)</f>
        <v>#N/A</v>
      </c>
    </row>
    <row r="464" spans="1:22" x14ac:dyDescent="0.25">
      <c r="A464" s="11" t="s">
        <v>3824</v>
      </c>
      <c r="B464" s="11">
        <v>893056</v>
      </c>
      <c r="C464" s="11" t="str">
        <f>VLOOKUP(B464,Towary_i_uslugi!$A$4:$B$1500,2)</f>
        <v>nowość!!! więcej info dla klienta</v>
      </c>
      <c r="D464" s="11" t="s">
        <v>3698</v>
      </c>
      <c r="E464" s="11">
        <f>VLOOKUP(B464,Towary_i_uslugi!$A$3:$T$1500,3,FALSE)</f>
        <v>1</v>
      </c>
      <c r="F464" s="11" t="str">
        <f>VLOOKUP(B464,Towary_i_uslugi!$A$3:$T$1500,20,FALSE)</f>
        <v>carton box + sticker</v>
      </c>
      <c r="G464" s="11">
        <f>VLOOKUP(B464,MBI_Dostawcy_towarów!$A$4:$C$1399,3,FALSE)</f>
        <v>13</v>
      </c>
      <c r="H464" s="11">
        <v>0</v>
      </c>
      <c r="I464" s="11">
        <v>0</v>
      </c>
      <c r="J464" s="11">
        <v>100</v>
      </c>
      <c r="K464" s="11">
        <f>_xlfn.IFNA(VLOOKUP(B464,Towary_na_zamówieniach!$A$4:$C$1500,2,FALSE),0)</f>
        <v>0</v>
      </c>
      <c r="L464" s="11">
        <f>_xlfn.IFNA(VLOOKUP(B464,Towary_na_zamówieniach!$A$4:$C$1500,3,FALSE),0)</f>
        <v>0</v>
      </c>
      <c r="M464" s="11">
        <f>_xlfn.IFNA(VLOOKUP(B464,MBI_Dostawcy_towarów!$A$4:$C$2000,2,FALSE),"N/A")</f>
        <v>100</v>
      </c>
      <c r="N464" s="11" t="str">
        <f>IF(VLOOKUP(B464,Towary_i_uslugi!$A$3:$T$1500,17,FALSE)=0,"!NO SUPPLIER",VLOOKUP(B464,Towary_i_uslugi!$A$3:$T$1500,17))</f>
        <v>OR OUTREACH</v>
      </c>
      <c r="O464" s="11" t="str">
        <f>IF(VLOOKUP(B464,Towary_i_uslugi!$A$4:$U$1200,21,FALSE)&gt;0,VLOOKUP(B464,Towary_i_uslugi!$A$4:$U$1200,21,FALSE),"")</f>
        <v/>
      </c>
      <c r="P464" s="11">
        <f t="shared" si="21"/>
        <v>100</v>
      </c>
      <c r="Q464" s="11">
        <f t="shared" si="22"/>
        <v>100</v>
      </c>
      <c r="R464" s="17" t="e">
        <f t="shared" si="23"/>
        <v>#N/A</v>
      </c>
      <c r="S464" s="17" t="e">
        <f>VLOOKUP($B464,   MBI_LastBuy!$A$3:E$13199,3,FALSE)</f>
        <v>#N/A</v>
      </c>
      <c r="T464" s="13" t="e">
        <f>VLOOKUP($B464,   MBI_LastBuy!$A$3:E$13199,2,FALSE)</f>
        <v>#N/A</v>
      </c>
      <c r="U464" s="13" t="e">
        <f>VLOOKUP($B464,   MBI_LastBuy!$A$3:E$13199,5,FALSE)</f>
        <v>#N/A</v>
      </c>
      <c r="V464" s="15" t="e">
        <f>VLOOKUP($B464,   MBI_LastBuy!$A$3:E$13199,4,FALSE)</f>
        <v>#N/A</v>
      </c>
    </row>
    <row r="465" spans="1:22" x14ac:dyDescent="0.25">
      <c r="A465" s="11" t="s">
        <v>3555</v>
      </c>
      <c r="B465" s="11">
        <v>900000</v>
      </c>
      <c r="C465" s="11" t="str">
        <f>VLOOKUP(B465,Towary_i_uslugi!$A$4:$B$1500,2)</f>
        <v>(brak)</v>
      </c>
      <c r="D465" s="11" t="s">
        <v>1601</v>
      </c>
      <c r="E465" s="11">
        <f>VLOOKUP(B465,Towary_i_uslugi!$A$3:$T$1500,3,FALSE)</f>
        <v>50</v>
      </c>
      <c r="F465" s="11" t="str">
        <f>VLOOKUP(B465,Towary_i_uslugi!$A$3:$T$1500,20,FALSE)</f>
        <v>pvc bag</v>
      </c>
      <c r="G465" s="11">
        <f>VLOOKUP(B465,MBI_Dostawcy_towarów!$A$4:$C$1399,3,FALSE)</f>
        <v>0.33</v>
      </c>
      <c r="H465" s="11">
        <v>721</v>
      </c>
      <c r="I465" s="11">
        <v>1</v>
      </c>
      <c r="J465" s="11">
        <v>1200</v>
      </c>
      <c r="K465" s="11">
        <f>_xlfn.IFNA(VLOOKUP(B465,Towary_na_zamówieniach!$A$4:$C$1500,2,FALSE),0)</f>
        <v>1452</v>
      </c>
      <c r="L465" s="11">
        <f>_xlfn.IFNA(VLOOKUP(B465,Towary_na_zamówieniach!$A$4:$C$1500,3,FALSE),0)</f>
        <v>1087.5</v>
      </c>
      <c r="M465" s="11">
        <f>_xlfn.IFNA(VLOOKUP(B465,MBI_Dostawcy_towarów!$A$4:$C$2000,2,FALSE),"N/A")</f>
        <v>100</v>
      </c>
      <c r="N465" s="11" t="str">
        <f>IF(VLOOKUP(B465,Towary_i_uslugi!$A$3:$T$1500,17,FALSE)=0,"!NO SUPPLIER",VLOOKUP(B465,Towary_i_uslugi!$A$3:$T$1500,17))</f>
        <v xml:space="preserve">HQ - Canada </v>
      </c>
      <c r="O465" s="11" t="str">
        <f>IF(VLOOKUP(B465,Towary_i_uslugi!$A$4:$U$1200,21,FALSE)&gt;0,VLOOKUP(B465,Towary_i_uslugi!$A$4:$U$1200,21,FALSE),"")</f>
        <v/>
      </c>
      <c r="P465" s="11">
        <f t="shared" si="21"/>
        <v>0</v>
      </c>
      <c r="Q465" s="11">
        <f t="shared" si="22"/>
        <v>0</v>
      </c>
      <c r="R465" s="17">
        <f t="shared" si="23"/>
        <v>0</v>
      </c>
      <c r="S465" s="17">
        <f>VLOOKUP($B465,   MBI_LastBuy!$A$3:E$13199,3,FALSE)</f>
        <v>950</v>
      </c>
      <c r="T465" s="13">
        <f>VLOOKUP($B465,   MBI_LastBuy!$A$3:E$13199,2,FALSE)</f>
        <v>0.75</v>
      </c>
      <c r="U465" s="13" t="str">
        <f>VLOOKUP($B465,   MBI_LastBuy!$A$3:E$13199,5,FALSE)</f>
        <v>USD</v>
      </c>
      <c r="V465" s="15">
        <f>VLOOKUP($B465,   MBI_LastBuy!$A$3:E$13199,4,FALSE)</f>
        <v>44068</v>
      </c>
    </row>
    <row r="466" spans="1:22" x14ac:dyDescent="0.25">
      <c r="A466" s="11" t="s">
        <v>3556</v>
      </c>
      <c r="B466" s="11">
        <v>900100</v>
      </c>
      <c r="C466" s="11" t="str">
        <f>VLOOKUP(B466,Towary_i_uslugi!$A$4:$B$1500,2)</f>
        <v>(brak)</v>
      </c>
      <c r="D466" s="11" t="s">
        <v>3699</v>
      </c>
      <c r="E466" s="11">
        <f>VLOOKUP(B466,Towary_i_uslugi!$A$3:$T$1500,3,FALSE)</f>
        <v>50</v>
      </c>
      <c r="F466" s="11" t="str">
        <f>VLOOKUP(B466,Towary_i_uslugi!$A$3:$T$1500,20,FALSE)</f>
        <v>pvc bag</v>
      </c>
      <c r="G466" s="11">
        <f>VLOOKUP(B466,MBI_Dostawcy_towarów!$A$4:$C$1399,3,FALSE)</f>
        <v>0.41799999999999998</v>
      </c>
      <c r="H466" s="11">
        <v>28</v>
      </c>
      <c r="I466" s="11">
        <v>0</v>
      </c>
      <c r="J466" s="11">
        <v>700</v>
      </c>
      <c r="K466" s="11">
        <f>_xlfn.IFNA(VLOOKUP(B466,Towary_na_zamówieniach!$A$4:$C$1500,2,FALSE),0)</f>
        <v>601</v>
      </c>
      <c r="L466" s="11">
        <f>_xlfn.IFNA(VLOOKUP(B466,Towary_na_zamówieniach!$A$4:$C$1500,3,FALSE),0)</f>
        <v>681.6</v>
      </c>
      <c r="M466" s="11">
        <f>_xlfn.IFNA(VLOOKUP(B466,MBI_Dostawcy_towarów!$A$4:$C$2000,2,FALSE),"N/A")</f>
        <v>100</v>
      </c>
      <c r="N466" s="11" t="str">
        <f>IF(VLOOKUP(B466,Towary_i_uslugi!$A$3:$T$1500,17,FALSE)=0,"!NO SUPPLIER",VLOOKUP(B466,Towary_i_uslugi!$A$3:$T$1500,17))</f>
        <v xml:space="preserve">LF rozrachunki </v>
      </c>
      <c r="O466" s="11" t="str">
        <f>IF(VLOOKUP(B466,Towary_i_uslugi!$A$4:$U$1200,21,FALSE)&gt;0,VLOOKUP(B466,Towary_i_uslugi!$A$4:$U$1200,21,FALSE),"")</f>
        <v/>
      </c>
      <c r="P466" s="11">
        <f t="shared" si="21"/>
        <v>14</v>
      </c>
      <c r="Q466" s="11">
        <f t="shared" si="22"/>
        <v>700</v>
      </c>
      <c r="R466" s="17">
        <f t="shared" si="23"/>
        <v>795.19999999999993</v>
      </c>
      <c r="S466" s="17">
        <f>VLOOKUP($B466,   MBI_LastBuy!$A$3:E$13199,3,FALSE)</f>
        <v>600</v>
      </c>
      <c r="T466" s="13">
        <f>VLOOKUP($B466,   MBI_LastBuy!$A$3:E$13199,2,FALSE)</f>
        <v>1.1359999999999999</v>
      </c>
      <c r="U466" s="13" t="str">
        <f>VLOOKUP($B466,   MBI_LastBuy!$A$3:E$13199,5,FALSE)</f>
        <v>USD</v>
      </c>
      <c r="V466" s="15">
        <f>VLOOKUP($B466,   MBI_LastBuy!$A$3:E$13199,4,FALSE)</f>
        <v>43889</v>
      </c>
    </row>
    <row r="467" spans="1:22" x14ac:dyDescent="0.25">
      <c r="A467" s="11" t="s">
        <v>3556</v>
      </c>
      <c r="B467" s="11">
        <v>900110</v>
      </c>
      <c r="C467" s="11" t="str">
        <f>VLOOKUP(B467,Towary_i_uslugi!$A$4:$B$1500,2)</f>
        <v>(brak)</v>
      </c>
      <c r="D467" s="11" t="s">
        <v>2528</v>
      </c>
      <c r="E467" s="11">
        <f>VLOOKUP(B467,Towary_i_uslugi!$A$3:$T$1500,3,FALSE)</f>
        <v>24</v>
      </c>
      <c r="F467" s="11" t="str">
        <f>VLOOKUP(B467,Towary_i_uslugi!$A$3:$T$1500,20,FALSE)</f>
        <v>pvc bag</v>
      </c>
      <c r="G467" s="11">
        <f>VLOOKUP(B467,MBI_Dostawcy_towarów!$A$4:$C$1399,3,FALSE)</f>
        <v>0.82299999999999995</v>
      </c>
      <c r="H467" s="11">
        <v>363</v>
      </c>
      <c r="I467" s="11">
        <v>0</v>
      </c>
      <c r="J467" s="11">
        <v>600</v>
      </c>
      <c r="K467" s="11">
        <f>_xlfn.IFNA(VLOOKUP(B467,Towary_na_zamówieniach!$A$4:$C$1500,2,FALSE),0)</f>
        <v>600</v>
      </c>
      <c r="L467" s="11">
        <f>_xlfn.IFNA(VLOOKUP(B467,Towary_na_zamówieniach!$A$4:$C$1500,3,FALSE),0)</f>
        <v>1013.4</v>
      </c>
      <c r="M467" s="11">
        <f>_xlfn.IFNA(VLOOKUP(B467,MBI_Dostawcy_towarów!$A$4:$C$2000,2,FALSE),"N/A")</f>
        <v>100</v>
      </c>
      <c r="N467" s="11" t="str">
        <f>IF(VLOOKUP(B467,Towary_i_uslugi!$A$3:$T$1500,17,FALSE)=0,"!NO SUPPLIER",VLOOKUP(B467,Towary_i_uslugi!$A$3:$T$1500,17))</f>
        <v xml:space="preserve">LF rozrachunki </v>
      </c>
      <c r="O467" s="11" t="str">
        <f>IF(VLOOKUP(B467,Towary_i_uslugi!$A$4:$U$1200,21,FALSE)&gt;0,VLOOKUP(B467,Towary_i_uslugi!$A$4:$U$1200,21,FALSE),"")</f>
        <v>MBI*21.9.2020* LF - first delivery</v>
      </c>
      <c r="P467" s="11">
        <f t="shared" si="21"/>
        <v>0</v>
      </c>
      <c r="Q467" s="11">
        <f t="shared" si="22"/>
        <v>0</v>
      </c>
      <c r="R467" s="17">
        <f t="shared" si="23"/>
        <v>0</v>
      </c>
      <c r="S467" s="17">
        <f>VLOOKUP($B467,   MBI_LastBuy!$A$3:E$13199,3,FALSE)</f>
        <v>600</v>
      </c>
      <c r="T467" s="13">
        <f>VLOOKUP($B467,   MBI_LastBuy!$A$3:E$13199,2,FALSE)</f>
        <v>1.6890000000000001</v>
      </c>
      <c r="U467" s="13" t="str">
        <f>VLOOKUP($B467,   MBI_LastBuy!$A$3:E$13199,5,FALSE)</f>
        <v>USD</v>
      </c>
      <c r="V467" s="15">
        <f>VLOOKUP($B467,   MBI_LastBuy!$A$3:E$13199,4,FALSE)</f>
        <v>44095</v>
      </c>
    </row>
    <row r="468" spans="1:22" x14ac:dyDescent="0.25">
      <c r="A468" s="11" t="s">
        <v>3552</v>
      </c>
      <c r="B468" s="11">
        <v>900112</v>
      </c>
      <c r="C468" s="11" t="str">
        <f>VLOOKUP(B468,Towary_i_uslugi!$A$4:$B$1500,2)</f>
        <v>(brak)</v>
      </c>
      <c r="D468" s="11" t="s">
        <v>2906</v>
      </c>
      <c r="E468" s="11">
        <f>VLOOKUP(B468,Towary_i_uslugi!$A$3:$T$1500,3,FALSE)</f>
        <v>24</v>
      </c>
      <c r="F468" s="11" t="str">
        <f>VLOOKUP(B468,Towary_i_uslugi!$A$3:$T$1500,20,FALSE)</f>
        <v>pvc bag</v>
      </c>
      <c r="G468" s="11">
        <f>VLOOKUP(B468,MBI_Dostawcy_towarów!$A$4:$C$1399,3,FALSE)</f>
        <v>0.79700000000000004</v>
      </c>
      <c r="H468" s="11">
        <v>1</v>
      </c>
      <c r="I468" s="11">
        <v>0</v>
      </c>
      <c r="J468" s="11">
        <v>420</v>
      </c>
      <c r="K468" s="11">
        <f>_xlfn.IFNA(VLOOKUP(B468,Towary_na_zamówieniach!$A$4:$C$1500,2,FALSE),0)</f>
        <v>864</v>
      </c>
      <c r="L468" s="11">
        <f>_xlfn.IFNA(VLOOKUP(B468,Towary_na_zamówieniach!$A$4:$C$1500,3,FALSE),0)</f>
        <v>1391.04</v>
      </c>
      <c r="M468" s="11">
        <f>_xlfn.IFNA(VLOOKUP(B468,MBI_Dostawcy_towarów!$A$4:$C$2000,2,FALSE),"N/A")</f>
        <v>100</v>
      </c>
      <c r="N468" s="11" t="str">
        <f>IF(VLOOKUP(B468,Towary_i_uslugi!$A$3:$T$1500,17,FALSE)=0,"!NO SUPPLIER",VLOOKUP(B468,Towary_i_uslugi!$A$3:$T$1500,17))</f>
        <v>XM - PRZYJĘCIE TOWARU !!!</v>
      </c>
      <c r="O468" s="11" t="str">
        <f>IF(VLOOKUP(B468,Towary_i_uslugi!$A$4:$U$1200,21,FALSE)&gt;0,VLOOKUP(B468,Towary_i_uslugi!$A$4:$U$1200,21,FALSE),"")</f>
        <v/>
      </c>
      <c r="P468" s="11">
        <f t="shared" si="21"/>
        <v>0</v>
      </c>
      <c r="Q468" s="11">
        <f t="shared" si="22"/>
        <v>0</v>
      </c>
      <c r="R468" s="17">
        <f t="shared" si="23"/>
        <v>0</v>
      </c>
      <c r="S468" s="17">
        <f>VLOOKUP($B468,   MBI_LastBuy!$A$3:E$13199,3,FALSE)</f>
        <v>864</v>
      </c>
      <c r="T468" s="13">
        <f>VLOOKUP($B468,   MBI_LastBuy!$A$3:E$13199,2,FALSE)</f>
        <v>1.61</v>
      </c>
      <c r="U468" s="13" t="str">
        <f>VLOOKUP($B468,   MBI_LastBuy!$A$3:E$13199,5,FALSE)</f>
        <v>USD</v>
      </c>
      <c r="V468" s="15">
        <f>VLOOKUP($B468,   MBI_LastBuy!$A$3:E$13199,4,FALSE)</f>
        <v>44117</v>
      </c>
    </row>
    <row r="469" spans="1:22" x14ac:dyDescent="0.25">
      <c r="A469" s="11" t="s">
        <v>3566</v>
      </c>
      <c r="B469" s="11">
        <v>900159</v>
      </c>
      <c r="C469" s="11" t="str">
        <f>VLOOKUP(B469,Towary_i_uslugi!$A$4:$B$1500,2)</f>
        <v>(brak)</v>
      </c>
      <c r="D469" s="11" t="s">
        <v>2907</v>
      </c>
      <c r="E469" s="11">
        <f>VLOOKUP(B469,Towary_i_uslugi!$A$3:$T$1500,3,FALSE)</f>
        <v>25</v>
      </c>
      <c r="F469" s="11" t="str">
        <f>VLOOKUP(B469,Towary_i_uslugi!$A$3:$T$1500,20,FALSE)</f>
        <v>sticker</v>
      </c>
      <c r="G469" s="11">
        <f>VLOOKUP(B469,MBI_Dostawcy_towarów!$A$4:$C$1399,3,FALSE)</f>
        <v>0.35</v>
      </c>
      <c r="H469" s="11">
        <v>1</v>
      </c>
      <c r="I469" s="11">
        <v>1</v>
      </c>
      <c r="J469" s="11">
        <v>25</v>
      </c>
      <c r="K469" s="11">
        <f>_xlfn.IFNA(VLOOKUP(B469,Towary_na_zamówieniach!$A$4:$C$1500,2,FALSE),0)</f>
        <v>0</v>
      </c>
      <c r="L469" s="11">
        <f>_xlfn.IFNA(VLOOKUP(B469,Towary_na_zamówieniach!$A$4:$C$1500,3,FALSE),0)</f>
        <v>0</v>
      </c>
      <c r="M469" s="11">
        <f>_xlfn.IFNA(VLOOKUP(B469,MBI_Dostawcy_towarów!$A$4:$C$2000,2,FALSE),"N/A")</f>
        <v>7</v>
      </c>
      <c r="N469" s="11" t="str">
        <f>IF(VLOOKUP(B469,Towary_i_uslugi!$A$3:$T$1500,17,FALSE)=0,"!NO SUPPLIER",VLOOKUP(B469,Towary_i_uslugi!$A$3:$T$1500,17))</f>
        <v>AJKA BIS</v>
      </c>
      <c r="O469" s="11" t="str">
        <f>IF(VLOOKUP(B469,Towary_i_uslugi!$A$4:$U$1200,21,FALSE)&gt;0,VLOOKUP(B469,Towary_i_uslugi!$A$4:$U$1200,21,FALSE),"")</f>
        <v/>
      </c>
      <c r="P469" s="11">
        <f t="shared" si="21"/>
        <v>1</v>
      </c>
      <c r="Q469" s="11">
        <f t="shared" si="22"/>
        <v>25</v>
      </c>
      <c r="R469" s="17">
        <f t="shared" si="23"/>
        <v>55.000000000000007</v>
      </c>
      <c r="S469" s="17">
        <f>VLOOKUP($B469,   MBI_LastBuy!$A$3:E$13199,3,FALSE)</f>
        <v>100</v>
      </c>
      <c r="T469" s="13">
        <f>VLOOKUP($B469,   MBI_LastBuy!$A$3:E$13199,2,FALSE)</f>
        <v>2.2000000000000002</v>
      </c>
      <c r="U469" s="13" t="str">
        <f>VLOOKUP($B469,   MBI_LastBuy!$A$3:E$13199,5,FALSE)</f>
        <v>PLN</v>
      </c>
      <c r="V469" s="15">
        <f>VLOOKUP($B469,   MBI_LastBuy!$A$3:E$13199,4,FALSE)</f>
        <v>43857</v>
      </c>
    </row>
    <row r="470" spans="1:22" x14ac:dyDescent="0.25">
      <c r="A470" s="11" t="s">
        <v>3566</v>
      </c>
      <c r="B470" s="11">
        <v>900162</v>
      </c>
      <c r="C470" s="11" t="str">
        <f>VLOOKUP(B470,Towary_i_uslugi!$A$4:$B$1500,2)</f>
        <v>(brak)</v>
      </c>
      <c r="D470" s="11" t="s">
        <v>3700</v>
      </c>
      <c r="E470" s="11">
        <f>VLOOKUP(B470,Towary_i_uslugi!$A$3:$T$1500,3,FALSE)</f>
        <v>12</v>
      </c>
      <c r="F470" s="11" t="str">
        <f>VLOOKUP(B470,Towary_i_uslugi!$A$3:$T$1500,20,FALSE)</f>
        <v>sticker</v>
      </c>
      <c r="G470" s="11">
        <f>VLOOKUP(B470,MBI_Dostawcy_towarów!$A$4:$C$1399,3,FALSE)</f>
        <v>0.25</v>
      </c>
      <c r="H470" s="11">
        <v>43</v>
      </c>
      <c r="I470" s="11">
        <v>0</v>
      </c>
      <c r="J470" s="11">
        <v>48</v>
      </c>
      <c r="K470" s="11">
        <f>_xlfn.IFNA(VLOOKUP(B470,Towary_na_zamówieniach!$A$4:$C$1500,2,FALSE),0)</f>
        <v>120</v>
      </c>
      <c r="L470" s="11">
        <f>_xlfn.IFNA(VLOOKUP(B470,Towary_na_zamówieniach!$A$4:$C$1500,3,FALSE),0)</f>
        <v>423.6</v>
      </c>
      <c r="M470" s="11">
        <f>_xlfn.IFNA(VLOOKUP(B470,MBI_Dostawcy_towarów!$A$4:$C$2000,2,FALSE),"N/A")</f>
        <v>7</v>
      </c>
      <c r="N470" s="11" t="str">
        <f>IF(VLOOKUP(B470,Towary_i_uslugi!$A$3:$T$1500,17,FALSE)=0,"!NO SUPPLIER",VLOOKUP(B470,Towary_i_uslugi!$A$3:$T$1500,17))</f>
        <v>AJKA BIS</v>
      </c>
      <c r="O470" s="11" t="str">
        <f>IF(VLOOKUP(B470,Towary_i_uslugi!$A$4:$U$1200,21,FALSE)&gt;0,VLOOKUP(B470,Towary_i_uslugi!$A$4:$U$1200,21,FALSE),"")</f>
        <v/>
      </c>
      <c r="P470" s="11">
        <f t="shared" si="21"/>
        <v>0</v>
      </c>
      <c r="Q470" s="11">
        <f t="shared" si="22"/>
        <v>0</v>
      </c>
      <c r="R470" s="17">
        <f t="shared" si="23"/>
        <v>0</v>
      </c>
      <c r="S470" s="17">
        <f>VLOOKUP($B470,   MBI_LastBuy!$A$3:E$13199,3,FALSE)</f>
        <v>120</v>
      </c>
      <c r="T470" s="13">
        <f>VLOOKUP($B470,   MBI_LastBuy!$A$3:E$13199,2,FALSE)</f>
        <v>3.53</v>
      </c>
      <c r="U470" s="13" t="str">
        <f>VLOOKUP($B470,   MBI_LastBuy!$A$3:E$13199,5,FALSE)</f>
        <v>PLN</v>
      </c>
      <c r="V470" s="15">
        <f>VLOOKUP($B470,   MBI_LastBuy!$A$3:E$13199,4,FALSE)</f>
        <v>44148</v>
      </c>
    </row>
    <row r="471" spans="1:22" x14ac:dyDescent="0.25">
      <c r="A471" s="11" t="s">
        <v>3566</v>
      </c>
      <c r="B471" s="11">
        <v>900164</v>
      </c>
      <c r="C471" s="11" t="str">
        <f>VLOOKUP(B471,Towary_i_uslugi!$A$4:$B$1500,2)</f>
        <v>(brak)</v>
      </c>
      <c r="D471" s="11" t="s">
        <v>3701</v>
      </c>
      <c r="E471" s="11">
        <f>VLOOKUP(B471,Towary_i_uslugi!$A$3:$T$1500,3,FALSE)</f>
        <v>10</v>
      </c>
      <c r="F471" s="11" t="str">
        <f>VLOOKUP(B471,Towary_i_uslugi!$A$3:$T$1500,20,FALSE)</f>
        <v>sticker</v>
      </c>
      <c r="G471" s="11">
        <f>VLOOKUP(B471,MBI_Dostawcy_towarów!$A$4:$C$1399,3,FALSE)</f>
        <v>0.48</v>
      </c>
      <c r="H471" s="11">
        <v>199</v>
      </c>
      <c r="I471" s="11">
        <v>70</v>
      </c>
      <c r="J471" s="11">
        <v>240</v>
      </c>
      <c r="K471" s="11">
        <f>_xlfn.IFNA(VLOOKUP(B471,Towary_na_zamówieniach!$A$4:$C$1500,2,FALSE),0)</f>
        <v>200</v>
      </c>
      <c r="L471" s="11">
        <f>_xlfn.IFNA(VLOOKUP(B471,Towary_na_zamówieniach!$A$4:$C$1500,3,FALSE),0)</f>
        <v>876</v>
      </c>
      <c r="M471" s="11">
        <f>_xlfn.IFNA(VLOOKUP(B471,MBI_Dostawcy_towarów!$A$4:$C$2000,2,FALSE),"N/A")</f>
        <v>7</v>
      </c>
      <c r="N471" s="11" t="str">
        <f>IF(VLOOKUP(B471,Towary_i_uslugi!$A$3:$T$1500,17,FALSE)=0,"!NO SUPPLIER",VLOOKUP(B471,Towary_i_uslugi!$A$3:$T$1500,17))</f>
        <v>AJKA BIS</v>
      </c>
      <c r="O471" s="11" t="str">
        <f>IF(VLOOKUP(B471,Towary_i_uslugi!$A$4:$U$1200,21,FALSE)&gt;0,VLOOKUP(B471,Towary_i_uslugi!$A$4:$U$1200,21,FALSE),"")</f>
        <v/>
      </c>
      <c r="P471" s="11">
        <f t="shared" si="21"/>
        <v>0</v>
      </c>
      <c r="Q471" s="11">
        <f t="shared" si="22"/>
        <v>0</v>
      </c>
      <c r="R471" s="17">
        <f t="shared" si="23"/>
        <v>0</v>
      </c>
      <c r="S471" s="17">
        <f>VLOOKUP($B471,   MBI_LastBuy!$A$3:E$13199,3,FALSE)</f>
        <v>200</v>
      </c>
      <c r="T471" s="13">
        <f>VLOOKUP($B471,   MBI_LastBuy!$A$3:E$13199,2,FALSE)</f>
        <v>4.38</v>
      </c>
      <c r="U471" s="13" t="str">
        <f>VLOOKUP($B471,   MBI_LastBuy!$A$3:E$13199,5,FALSE)</f>
        <v>PLN</v>
      </c>
      <c r="V471" s="15">
        <f>VLOOKUP($B471,   MBI_LastBuy!$A$3:E$13199,4,FALSE)</f>
        <v>44148</v>
      </c>
    </row>
    <row r="472" spans="1:22" x14ac:dyDescent="0.25">
      <c r="A472" s="11" t="s">
        <v>3566</v>
      </c>
      <c r="B472" s="11">
        <v>900165</v>
      </c>
      <c r="C472" s="11" t="str">
        <f>VLOOKUP(B472,Towary_i_uslugi!$A$4:$B$1500,2)</f>
        <v>(brak)</v>
      </c>
      <c r="D472" s="11" t="s">
        <v>3702</v>
      </c>
      <c r="E472" s="11">
        <f>VLOOKUP(B472,Towary_i_uslugi!$A$3:$T$1500,3,FALSE)</f>
        <v>10</v>
      </c>
      <c r="F472" s="11" t="str">
        <f>VLOOKUP(B472,Towary_i_uslugi!$A$3:$T$1500,20,FALSE)</f>
        <v>sticker</v>
      </c>
      <c r="G472" s="11">
        <f>VLOOKUP(B472,MBI_Dostawcy_towarów!$A$4:$C$1399,3,FALSE)</f>
        <v>0.57999999999999996</v>
      </c>
      <c r="H472" s="11">
        <v>94</v>
      </c>
      <c r="I472" s="11">
        <v>30</v>
      </c>
      <c r="J472" s="11">
        <v>80</v>
      </c>
      <c r="K472" s="11">
        <f>_xlfn.IFNA(VLOOKUP(B472,Towary_na_zamówieniach!$A$4:$C$1500,2,FALSE),0)</f>
        <v>200</v>
      </c>
      <c r="L472" s="11">
        <f>_xlfn.IFNA(VLOOKUP(B472,Towary_na_zamówieniach!$A$4:$C$1500,3,FALSE),0)</f>
        <v>1068</v>
      </c>
      <c r="M472" s="11">
        <f>_xlfn.IFNA(VLOOKUP(B472,MBI_Dostawcy_towarów!$A$4:$C$2000,2,FALSE),"N/A")</f>
        <v>7</v>
      </c>
      <c r="N472" s="11" t="str">
        <f>IF(VLOOKUP(B472,Towary_i_uslugi!$A$3:$T$1500,17,FALSE)=0,"!NO SUPPLIER",VLOOKUP(B472,Towary_i_uslugi!$A$3:$T$1500,17))</f>
        <v>AJKA BIS</v>
      </c>
      <c r="O472" s="11" t="str">
        <f>IF(VLOOKUP(B472,Towary_i_uslugi!$A$4:$U$1200,21,FALSE)&gt;0,VLOOKUP(B472,Towary_i_uslugi!$A$4:$U$1200,21,FALSE),"")</f>
        <v/>
      </c>
      <c r="P472" s="11">
        <f t="shared" si="21"/>
        <v>0</v>
      </c>
      <c r="Q472" s="11">
        <f t="shared" si="22"/>
        <v>0</v>
      </c>
      <c r="R472" s="17">
        <f t="shared" si="23"/>
        <v>0</v>
      </c>
      <c r="S472" s="17">
        <f>VLOOKUP($B472,   MBI_LastBuy!$A$3:E$13199,3,FALSE)</f>
        <v>200</v>
      </c>
      <c r="T472" s="13">
        <f>VLOOKUP($B472,   MBI_LastBuy!$A$3:E$13199,2,FALSE)</f>
        <v>5.34</v>
      </c>
      <c r="U472" s="13" t="str">
        <f>VLOOKUP($B472,   MBI_LastBuy!$A$3:E$13199,5,FALSE)</f>
        <v>PLN</v>
      </c>
      <c r="V472" s="15">
        <f>VLOOKUP($B472,   MBI_LastBuy!$A$3:E$13199,4,FALSE)</f>
        <v>44148</v>
      </c>
    </row>
    <row r="473" spans="1:22" x14ac:dyDescent="0.25">
      <c r="A473" s="11" t="s">
        <v>3824</v>
      </c>
      <c r="B473" s="11">
        <v>900178</v>
      </c>
      <c r="C473" s="11" t="str">
        <f>VLOOKUP(B473,Towary_i_uslugi!$A$4:$B$1500,2)</f>
        <v>nowość!!! więcej info dla klienta</v>
      </c>
      <c r="D473" s="11" t="s">
        <v>3703</v>
      </c>
      <c r="E473" s="11">
        <f>VLOOKUP(B473,Towary_i_uslugi!$A$3:$T$1500,3,FALSE)</f>
        <v>24</v>
      </c>
      <c r="F473" s="11" t="str">
        <f>VLOOKUP(B473,Towary_i_uslugi!$A$3:$T$1500,20,FALSE)</f>
        <v>polybag+sticker</v>
      </c>
      <c r="G473" s="11">
        <f>VLOOKUP(B473,MBI_Dostawcy_towarów!$A$4:$C$1399,3,FALSE)</f>
        <v>0.46300000000000002</v>
      </c>
      <c r="H473" s="11">
        <v>0</v>
      </c>
      <c r="I473" s="11">
        <v>0</v>
      </c>
      <c r="J473" s="11">
        <v>100</v>
      </c>
      <c r="K473" s="11">
        <f>_xlfn.IFNA(VLOOKUP(B473,Towary_na_zamówieniach!$A$4:$C$1500,2,FALSE),0)</f>
        <v>0</v>
      </c>
      <c r="L473" s="11">
        <f>_xlfn.IFNA(VLOOKUP(B473,Towary_na_zamówieniach!$A$4:$C$1500,3,FALSE),0)</f>
        <v>0</v>
      </c>
      <c r="M473" s="11">
        <f>_xlfn.IFNA(VLOOKUP(B473,MBI_Dostawcy_towarów!$A$4:$C$2000,2,FALSE),"N/A")</f>
        <v>90</v>
      </c>
      <c r="N473" s="11" t="str">
        <f>IF(VLOOKUP(B473,Towary_i_uslugi!$A$3:$T$1500,17,FALSE)=0,"!NO SUPPLIER",VLOOKUP(B473,Towary_i_uslugi!$A$3:$T$1500,17))</f>
        <v>OR OUTREACH</v>
      </c>
      <c r="O473" s="11" t="str">
        <f>IF(VLOOKUP(B473,Towary_i_uslugi!$A$4:$U$1200,21,FALSE)&gt;0,VLOOKUP(B473,Towary_i_uslugi!$A$4:$U$1200,21,FALSE),"")</f>
        <v>MBI*2020.10.13*new</v>
      </c>
      <c r="P473" s="11">
        <f t="shared" si="21"/>
        <v>5</v>
      </c>
      <c r="Q473" s="11">
        <f t="shared" si="22"/>
        <v>120</v>
      </c>
      <c r="R473" s="17" t="e">
        <f t="shared" si="23"/>
        <v>#N/A</v>
      </c>
      <c r="S473" s="17" t="e">
        <f>VLOOKUP($B473,   MBI_LastBuy!$A$3:E$13199,3,FALSE)</f>
        <v>#N/A</v>
      </c>
      <c r="T473" s="13" t="e">
        <f>VLOOKUP($B473,   MBI_LastBuy!$A$3:E$13199,2,FALSE)</f>
        <v>#N/A</v>
      </c>
      <c r="U473" s="13" t="e">
        <f>VLOOKUP($B473,   MBI_LastBuy!$A$3:E$13199,5,FALSE)</f>
        <v>#N/A</v>
      </c>
      <c r="V473" s="15" t="e">
        <f>VLOOKUP($B473,   MBI_LastBuy!$A$3:E$13199,4,FALSE)</f>
        <v>#N/A</v>
      </c>
    </row>
    <row r="474" spans="1:22" x14ac:dyDescent="0.25">
      <c r="A474" s="11" t="s">
        <v>3553</v>
      </c>
      <c r="B474" s="11">
        <v>900200</v>
      </c>
      <c r="C474" s="11" t="str">
        <f>VLOOKUP(B474,Towary_i_uslugi!$A$4:$B$1500,2)</f>
        <v>(brak)</v>
      </c>
      <c r="D474" s="11" t="s">
        <v>2908</v>
      </c>
      <c r="E474" s="11">
        <f>VLOOKUP(B474,Towary_i_uslugi!$A$3:$T$1500,3,FALSE)</f>
        <v>60</v>
      </c>
      <c r="F474" s="11" t="str">
        <f>VLOOKUP(B474,Towary_i_uslugi!$A$3:$T$1500,20,FALSE)</f>
        <v>pvc bag</v>
      </c>
      <c r="G474" s="11">
        <f>VLOOKUP(B474,MBI_Dostawcy_towarów!$A$4:$C$1399,3,FALSE)</f>
        <v>0.16500000000000001</v>
      </c>
      <c r="H474" s="11">
        <v>41</v>
      </c>
      <c r="I474" s="11">
        <v>40</v>
      </c>
      <c r="J474" s="11">
        <v>1000</v>
      </c>
      <c r="K474" s="11">
        <f>_xlfn.IFNA(VLOOKUP(B474,Towary_na_zamówieniach!$A$4:$C$1500,2,FALSE),0)</f>
        <v>1440</v>
      </c>
      <c r="L474" s="11">
        <f>_xlfn.IFNA(VLOOKUP(B474,Towary_na_zamówieniach!$A$4:$C$1500,3,FALSE),0)</f>
        <v>1396.8</v>
      </c>
      <c r="M474" s="11">
        <f>_xlfn.IFNA(VLOOKUP(B474,MBI_Dostawcy_towarów!$A$4:$C$2000,2,FALSE),"N/A")</f>
        <v>100</v>
      </c>
      <c r="N474" s="11" t="str">
        <f>IF(VLOOKUP(B474,Towary_i_uslugi!$A$3:$T$1500,17,FALSE)=0,"!NO SUPPLIER",VLOOKUP(B474,Towary_i_uslugi!$A$3:$T$1500,17))</f>
        <v>FX -MAPLE Frank Xu</v>
      </c>
      <c r="O474" s="11" t="str">
        <f>IF(VLOOKUP(B474,Towary_i_uslugi!$A$4:$U$1200,21,FALSE)&gt;0,VLOOKUP(B474,Towary_i_uslugi!$A$4:$U$1200,21,FALSE),"")</f>
        <v/>
      </c>
      <c r="P474" s="11">
        <f t="shared" si="21"/>
        <v>0</v>
      </c>
      <c r="Q474" s="11">
        <f t="shared" si="22"/>
        <v>0</v>
      </c>
      <c r="R474" s="17">
        <f t="shared" si="23"/>
        <v>0</v>
      </c>
      <c r="S474" s="17">
        <f>VLOOKUP($B474,   MBI_LastBuy!$A$3:E$13199,3,FALSE)</f>
        <v>1440</v>
      </c>
      <c r="T474" s="13">
        <f>VLOOKUP($B474,   MBI_LastBuy!$A$3:E$13199,2,FALSE)</f>
        <v>0.97</v>
      </c>
      <c r="U474" s="13" t="str">
        <f>VLOOKUP($B474,   MBI_LastBuy!$A$3:E$13199,5,FALSE)</f>
        <v>USD</v>
      </c>
      <c r="V474" s="15">
        <f>VLOOKUP($B474,   MBI_LastBuy!$A$3:E$13199,4,FALSE)</f>
        <v>44074</v>
      </c>
    </row>
    <row r="475" spans="1:22" x14ac:dyDescent="0.25">
      <c r="A475" s="11" t="s">
        <v>3552</v>
      </c>
      <c r="B475" s="11">
        <v>900300</v>
      </c>
      <c r="C475" s="11" t="str">
        <f>VLOOKUP(B475,Towary_i_uslugi!$A$4:$B$1500,2)</f>
        <v>(brak)</v>
      </c>
      <c r="D475" s="11" t="s">
        <v>2643</v>
      </c>
      <c r="E475" s="11">
        <f>VLOOKUP(B475,Towary_i_uslugi!$A$3:$T$1500,3,FALSE)</f>
        <v>144</v>
      </c>
      <c r="F475" s="11" t="str">
        <f>VLOOKUP(B475,Towary_i_uslugi!$A$3:$T$1500,20,FALSE)</f>
        <v>roll/carton header</v>
      </c>
      <c r="G475" s="11">
        <f>VLOOKUP(B475,MBI_Dostawcy_towarów!$A$4:$C$1399,3,FALSE)</f>
        <v>0.09</v>
      </c>
      <c r="H475" s="11">
        <v>776</v>
      </c>
      <c r="I475" s="11">
        <v>144</v>
      </c>
      <c r="J475" s="11">
        <v>1500</v>
      </c>
      <c r="K475" s="11">
        <f>_xlfn.IFNA(VLOOKUP(B475,Towary_na_zamówieniach!$A$4:$C$1500,2,FALSE),0)</f>
        <v>2304</v>
      </c>
      <c r="L475" s="11">
        <f>_xlfn.IFNA(VLOOKUP(B475,Towary_na_zamówieniach!$A$4:$C$1500,3,FALSE),0)</f>
        <v>645.12</v>
      </c>
      <c r="M475" s="11">
        <f>_xlfn.IFNA(VLOOKUP(B475,MBI_Dostawcy_towarów!$A$4:$C$2000,2,FALSE),"N/A")</f>
        <v>100</v>
      </c>
      <c r="N475" s="11" t="str">
        <f>IF(VLOOKUP(B475,Towary_i_uslugi!$A$3:$T$1500,17,FALSE)=0,"!NO SUPPLIER",VLOOKUP(B475,Towary_i_uslugi!$A$3:$T$1500,17))</f>
        <v>XM - PRZYJĘCIE TOWARU !!!</v>
      </c>
      <c r="O475" s="11" t="str">
        <f>IF(VLOOKUP(B475,Towary_i_uslugi!$A$4:$U$1200,21,FALSE)&gt;0,VLOOKUP(B475,Towary_i_uslugi!$A$4:$U$1200,21,FALSE),"")</f>
        <v/>
      </c>
      <c r="P475" s="11">
        <f t="shared" si="21"/>
        <v>0</v>
      </c>
      <c r="Q475" s="11">
        <f t="shared" si="22"/>
        <v>0</v>
      </c>
      <c r="R475" s="17">
        <f t="shared" si="23"/>
        <v>0</v>
      </c>
      <c r="S475" s="17">
        <f>VLOOKUP($B475,   MBI_LastBuy!$A$3:E$13199,3,FALSE)</f>
        <v>2304</v>
      </c>
      <c r="T475" s="13">
        <f>VLOOKUP($B475,   MBI_LastBuy!$A$3:E$13199,2,FALSE)</f>
        <v>0.28000000000000003</v>
      </c>
      <c r="U475" s="13" t="str">
        <f>VLOOKUP($B475,   MBI_LastBuy!$A$3:E$13199,5,FALSE)</f>
        <v>USD</v>
      </c>
      <c r="V475" s="15">
        <f>VLOOKUP($B475,   MBI_LastBuy!$A$3:E$13199,4,FALSE)</f>
        <v>44068</v>
      </c>
    </row>
    <row r="476" spans="1:22" x14ac:dyDescent="0.25">
      <c r="A476" s="11" t="s">
        <v>3552</v>
      </c>
      <c r="B476" s="11">
        <v>900500</v>
      </c>
      <c r="C476" s="11" t="str">
        <f>VLOOKUP(B476,Towary_i_uslugi!$A$4:$B$1500,2)</f>
        <v>(brak)</v>
      </c>
      <c r="D476" s="11" t="s">
        <v>2909</v>
      </c>
      <c r="E476" s="11">
        <f>VLOOKUP(B476,Towary_i_uslugi!$A$3:$T$1500,3,FALSE)</f>
        <v>144</v>
      </c>
      <c r="F476" s="11" t="str">
        <f>VLOOKUP(B476,Towary_i_uslugi!$A$3:$T$1500,20,FALSE)</f>
        <v>sticker-bulk packing</v>
      </c>
      <c r="G476" s="11">
        <f>VLOOKUP(B476,MBI_Dostawcy_towarów!$A$4:$C$1399,3,FALSE)</f>
        <v>0.106</v>
      </c>
      <c r="H476" s="11">
        <v>1</v>
      </c>
      <c r="I476" s="11">
        <v>0</v>
      </c>
      <c r="J476" s="11">
        <v>1200</v>
      </c>
      <c r="K476" s="11">
        <f>_xlfn.IFNA(VLOOKUP(B476,Towary_na_zamówieniach!$A$4:$C$1500,2,FALSE),0)</f>
        <v>2304</v>
      </c>
      <c r="L476" s="11">
        <f>_xlfn.IFNA(VLOOKUP(B476,Towary_na_zamówieniach!$A$4:$C$1500,3,FALSE),0)</f>
        <v>691.2</v>
      </c>
      <c r="M476" s="11">
        <f>_xlfn.IFNA(VLOOKUP(B476,MBI_Dostawcy_towarów!$A$4:$C$2000,2,FALSE),"N/A")</f>
        <v>100</v>
      </c>
      <c r="N476" s="11" t="str">
        <f>IF(VLOOKUP(B476,Towary_i_uslugi!$A$3:$T$1500,17,FALSE)=0,"!NO SUPPLIER",VLOOKUP(B476,Towary_i_uslugi!$A$3:$T$1500,17))</f>
        <v>XM</v>
      </c>
      <c r="O476" s="11" t="str">
        <f>IF(VLOOKUP(B476,Towary_i_uslugi!$A$4:$U$1200,21,FALSE)&gt;0,VLOOKUP(B476,Towary_i_uslugi!$A$4:$U$1200,21,FALSE),"")</f>
        <v/>
      </c>
      <c r="P476" s="11">
        <f t="shared" si="21"/>
        <v>0</v>
      </c>
      <c r="Q476" s="11">
        <f t="shared" si="22"/>
        <v>0</v>
      </c>
      <c r="R476" s="17">
        <f t="shared" si="23"/>
        <v>0</v>
      </c>
      <c r="S476" s="17">
        <f>VLOOKUP($B476,   MBI_LastBuy!$A$3:E$13199,3,FALSE)</f>
        <v>2304</v>
      </c>
      <c r="T476" s="13">
        <f>VLOOKUP($B476,   MBI_LastBuy!$A$3:E$13199,2,FALSE)</f>
        <v>0.3</v>
      </c>
      <c r="U476" s="13" t="str">
        <f>VLOOKUP($B476,   MBI_LastBuy!$A$3:E$13199,5,FALSE)</f>
        <v>USD</v>
      </c>
      <c r="V476" s="15">
        <f>VLOOKUP($B476,   MBI_LastBuy!$A$3:E$13199,4,FALSE)</f>
        <v>43955</v>
      </c>
    </row>
    <row r="477" spans="1:22" x14ac:dyDescent="0.25">
      <c r="A477" s="11" t="s">
        <v>3552</v>
      </c>
      <c r="B477" s="11">
        <v>900600</v>
      </c>
      <c r="C477" s="11" t="str">
        <f>VLOOKUP(B477,Towary_i_uslugi!$A$4:$B$1500,2)</f>
        <v>(brak)</v>
      </c>
      <c r="D477" s="11" t="s">
        <v>2466</v>
      </c>
      <c r="E477" s="11">
        <f>VLOOKUP(B477,Towary_i_uslugi!$A$3:$T$1500,3,FALSE)</f>
        <v>80</v>
      </c>
      <c r="F477" s="11" t="str">
        <f>VLOOKUP(B477,Towary_i_uslugi!$A$3:$T$1500,20,FALSE)</f>
        <v>sticker - bulk packing</v>
      </c>
      <c r="G477" s="11">
        <f>VLOOKUP(B477,MBI_Dostawcy_towarów!$A$4:$C$1399,3,FALSE)</f>
        <v>8.5000000000000006E-2</v>
      </c>
      <c r="H477" s="11">
        <v>161</v>
      </c>
      <c r="I477" s="11">
        <v>160</v>
      </c>
      <c r="J477" s="11">
        <v>2200</v>
      </c>
      <c r="K477" s="11">
        <f>_xlfn.IFNA(VLOOKUP(B477,Towary_na_zamówieniach!$A$4:$C$1500,2,FALSE),0)</f>
        <v>4800</v>
      </c>
      <c r="L477" s="11">
        <f>_xlfn.IFNA(VLOOKUP(B477,Towary_na_zamówieniach!$A$4:$C$1500,3,FALSE),0)</f>
        <v>1561.6</v>
      </c>
      <c r="M477" s="11">
        <f>_xlfn.IFNA(VLOOKUP(B477,MBI_Dostawcy_towarów!$A$4:$C$2000,2,FALSE),"N/A")</f>
        <v>100</v>
      </c>
      <c r="N477" s="11" t="str">
        <f>IF(VLOOKUP(B477,Towary_i_uslugi!$A$3:$T$1500,17,FALSE)=0,"!NO SUPPLIER",VLOOKUP(B477,Towary_i_uslugi!$A$3:$T$1500,17))</f>
        <v>XM - PRZYJĘCIE TOWARU !!!</v>
      </c>
      <c r="O477" s="11" t="str">
        <f>IF(VLOOKUP(B477,Towary_i_uslugi!$A$4:$U$1200,21,FALSE)&gt;0,VLOOKUP(B477,Towary_i_uslugi!$A$4:$U$1200,21,FALSE),"")</f>
        <v/>
      </c>
      <c r="P477" s="11">
        <f t="shared" si="21"/>
        <v>0</v>
      </c>
      <c r="Q477" s="11">
        <f t="shared" si="22"/>
        <v>0</v>
      </c>
      <c r="R477" s="17">
        <f t="shared" si="23"/>
        <v>0</v>
      </c>
      <c r="S477" s="17">
        <f>VLOOKUP($B477,   MBI_LastBuy!$A$3:E$13199,3,FALSE)</f>
        <v>2560</v>
      </c>
      <c r="T477" s="13">
        <f>VLOOKUP($B477,   MBI_LastBuy!$A$3:E$13199,2,FALSE)</f>
        <v>0.33</v>
      </c>
      <c r="U477" s="13" t="str">
        <f>VLOOKUP($B477,   MBI_LastBuy!$A$3:E$13199,5,FALSE)</f>
        <v>USD</v>
      </c>
      <c r="V477" s="15">
        <f>VLOOKUP($B477,   MBI_LastBuy!$A$3:E$13199,4,FALSE)</f>
        <v>44140</v>
      </c>
    </row>
    <row r="478" spans="1:22" x14ac:dyDescent="0.25">
      <c r="A478" s="11" t="s">
        <v>3824</v>
      </c>
      <c r="B478" s="11">
        <v>901050</v>
      </c>
      <c r="C478" s="11" t="str">
        <f>VLOOKUP(B478,Towary_i_uslugi!$A$4:$B$1500,2)</f>
        <v>nowość!!! więcej info dla klienta</v>
      </c>
      <c r="D478" s="11" t="s">
        <v>3704</v>
      </c>
      <c r="E478" s="11">
        <f>VLOOKUP(B478,Towary_i_uslugi!$A$3:$T$1500,3,FALSE)</f>
        <v>1</v>
      </c>
      <c r="F478" s="11" t="str">
        <f>VLOOKUP(B478,Towary_i_uslugi!$A$3:$T$1500,20,FALSE)</f>
        <v>carton box + photo sticker</v>
      </c>
      <c r="G478" s="11">
        <f>VLOOKUP(B478,MBI_Dostawcy_towarów!$A$4:$C$1399,3,FALSE)</f>
        <v>6.1</v>
      </c>
      <c r="H478" s="11">
        <v>0</v>
      </c>
      <c r="I478" s="11">
        <v>0</v>
      </c>
      <c r="J478" s="11">
        <v>50</v>
      </c>
      <c r="K478" s="11">
        <f>_xlfn.IFNA(VLOOKUP(B478,Towary_na_zamówieniach!$A$4:$C$1500,2,FALSE),0)</f>
        <v>0</v>
      </c>
      <c r="L478" s="11">
        <f>_xlfn.IFNA(VLOOKUP(B478,Towary_na_zamówieniach!$A$4:$C$1500,3,FALSE),0)</f>
        <v>0</v>
      </c>
      <c r="M478" s="11">
        <f>_xlfn.IFNA(VLOOKUP(B478,MBI_Dostawcy_towarów!$A$4:$C$2000,2,FALSE),"N/A")</f>
        <v>90</v>
      </c>
      <c r="N478" s="11" t="str">
        <f>IF(VLOOKUP(B478,Towary_i_uslugi!$A$3:$T$1500,17,FALSE)=0,"!NO SUPPLIER",VLOOKUP(B478,Towary_i_uslugi!$A$3:$T$1500,17))</f>
        <v>OR OUTREACH</v>
      </c>
      <c r="O478" s="11" t="str">
        <f>IF(VLOOKUP(B478,Towary_i_uslugi!$A$4:$U$1200,21,FALSE)&gt;0,VLOOKUP(B478,Towary_i_uslugi!$A$4:$U$1200,21,FALSE),"")</f>
        <v>MBI*2020.10.13* new item</v>
      </c>
      <c r="P478" s="11">
        <f t="shared" si="21"/>
        <v>50</v>
      </c>
      <c r="Q478" s="11">
        <f t="shared" si="22"/>
        <v>50</v>
      </c>
      <c r="R478" s="17" t="e">
        <f t="shared" si="23"/>
        <v>#N/A</v>
      </c>
      <c r="S478" s="17" t="e">
        <f>VLOOKUP($B478,   MBI_LastBuy!$A$3:E$13199,3,FALSE)</f>
        <v>#N/A</v>
      </c>
      <c r="T478" s="13" t="e">
        <f>VLOOKUP($B478,   MBI_LastBuy!$A$3:E$13199,2,FALSE)</f>
        <v>#N/A</v>
      </c>
      <c r="U478" s="13" t="e">
        <f>VLOOKUP($B478,   MBI_LastBuy!$A$3:E$13199,5,FALSE)</f>
        <v>#N/A</v>
      </c>
      <c r="V478" s="15" t="e">
        <f>VLOOKUP($B478,   MBI_LastBuy!$A$3:E$13199,4,FALSE)</f>
        <v>#N/A</v>
      </c>
    </row>
    <row r="479" spans="1:22" x14ac:dyDescent="0.25">
      <c r="A479" s="11" t="s">
        <v>3824</v>
      </c>
      <c r="B479" s="11">
        <v>901060</v>
      </c>
      <c r="C479" s="11" t="str">
        <f>VLOOKUP(B479,Towary_i_uslugi!$A$4:$B$1500,2)</f>
        <v>nowość!!! więcej info dla klienta</v>
      </c>
      <c r="D479" s="11" t="s">
        <v>3705</v>
      </c>
      <c r="E479" s="11">
        <f>VLOOKUP(B479,Towary_i_uslugi!$A$3:$T$1500,3,FALSE)</f>
        <v>1</v>
      </c>
      <c r="F479" s="11" t="str">
        <f>VLOOKUP(B479,Towary_i_uslugi!$A$3:$T$1500,20,FALSE)</f>
        <v>carton box + photo sticker</v>
      </c>
      <c r="G479" s="11">
        <f>VLOOKUP(B479,MBI_Dostawcy_towarów!$A$4:$C$1399,3,FALSE)</f>
        <v>4.2</v>
      </c>
      <c r="H479" s="11">
        <v>0</v>
      </c>
      <c r="I479" s="11">
        <v>0</v>
      </c>
      <c r="J479" s="11">
        <v>50</v>
      </c>
      <c r="K479" s="11">
        <f>_xlfn.IFNA(VLOOKUP(B479,Towary_na_zamówieniach!$A$4:$C$1500,2,FALSE),0)</f>
        <v>0</v>
      </c>
      <c r="L479" s="11">
        <f>_xlfn.IFNA(VLOOKUP(B479,Towary_na_zamówieniach!$A$4:$C$1500,3,FALSE),0)</f>
        <v>0</v>
      </c>
      <c r="M479" s="11">
        <f>_xlfn.IFNA(VLOOKUP(B479,MBI_Dostawcy_towarów!$A$4:$C$2000,2,FALSE),"N/A")</f>
        <v>90</v>
      </c>
      <c r="N479" s="11" t="str">
        <f>IF(VLOOKUP(B479,Towary_i_uslugi!$A$3:$T$1500,17,FALSE)=0,"!NO SUPPLIER",VLOOKUP(B479,Towary_i_uslugi!$A$3:$T$1500,17))</f>
        <v>OR OUTREACH</v>
      </c>
      <c r="O479" s="11" t="str">
        <f>IF(VLOOKUP(B479,Towary_i_uslugi!$A$4:$U$1200,21,FALSE)&gt;0,VLOOKUP(B479,Towary_i_uslugi!$A$4:$U$1200,21,FALSE),"")</f>
        <v>MBI*2020.10.13* new item</v>
      </c>
      <c r="P479" s="11">
        <f t="shared" si="21"/>
        <v>50</v>
      </c>
      <c r="Q479" s="11">
        <f t="shared" si="22"/>
        <v>50</v>
      </c>
      <c r="R479" s="17" t="e">
        <f t="shared" si="23"/>
        <v>#N/A</v>
      </c>
      <c r="S479" s="17" t="e">
        <f>VLOOKUP($B479,   MBI_LastBuy!$A$3:E$13199,3,FALSE)</f>
        <v>#N/A</v>
      </c>
      <c r="T479" s="13" t="e">
        <f>VLOOKUP($B479,   MBI_LastBuy!$A$3:E$13199,2,FALSE)</f>
        <v>#N/A</v>
      </c>
      <c r="U479" s="13" t="e">
        <f>VLOOKUP($B479,   MBI_LastBuy!$A$3:E$13199,5,FALSE)</f>
        <v>#N/A</v>
      </c>
      <c r="V479" s="15" t="e">
        <f>VLOOKUP($B479,   MBI_LastBuy!$A$3:E$13199,4,FALSE)</f>
        <v>#N/A</v>
      </c>
    </row>
    <row r="480" spans="1:22" x14ac:dyDescent="0.25">
      <c r="A480" s="11" t="s">
        <v>3824</v>
      </c>
      <c r="B480" s="11">
        <v>901062</v>
      </c>
      <c r="C480" s="11" t="str">
        <f>VLOOKUP(B480,Towary_i_uslugi!$A$4:$B$1500,2)</f>
        <v>nowość!!! więcej info dla klienta</v>
      </c>
      <c r="D480" s="11" t="s">
        <v>3706</v>
      </c>
      <c r="E480" s="11">
        <f>VLOOKUP(B480,Towary_i_uslugi!$A$3:$T$1500,3,FALSE)</f>
        <v>1</v>
      </c>
      <c r="F480" s="11" t="str">
        <f>VLOOKUP(B480,Towary_i_uslugi!$A$3:$T$1500,20,FALSE)</f>
        <v>carton box + photo sticker</v>
      </c>
      <c r="G480" s="11">
        <f>VLOOKUP(B480,MBI_Dostawcy_towarów!$A$4:$C$1399,3,FALSE)</f>
        <v>8.6999999999999993</v>
      </c>
      <c r="H480" s="11">
        <v>0</v>
      </c>
      <c r="I480" s="11">
        <v>0</v>
      </c>
      <c r="J480" s="11">
        <v>50</v>
      </c>
      <c r="K480" s="11">
        <f>_xlfn.IFNA(VLOOKUP(B480,Towary_na_zamówieniach!$A$4:$C$1500,2,FALSE),0)</f>
        <v>0</v>
      </c>
      <c r="L480" s="11">
        <f>_xlfn.IFNA(VLOOKUP(B480,Towary_na_zamówieniach!$A$4:$C$1500,3,FALSE),0)</f>
        <v>0</v>
      </c>
      <c r="M480" s="11">
        <f>_xlfn.IFNA(VLOOKUP(B480,MBI_Dostawcy_towarów!$A$4:$C$2000,2,FALSE),"N/A")</f>
        <v>90</v>
      </c>
      <c r="N480" s="11" t="str">
        <f>IF(VLOOKUP(B480,Towary_i_uslugi!$A$3:$T$1500,17,FALSE)=0,"!NO SUPPLIER",VLOOKUP(B480,Towary_i_uslugi!$A$3:$T$1500,17))</f>
        <v>OR OUTREACH</v>
      </c>
      <c r="O480" s="11" t="str">
        <f>IF(VLOOKUP(B480,Towary_i_uslugi!$A$4:$U$1200,21,FALSE)&gt;0,VLOOKUP(B480,Towary_i_uslugi!$A$4:$U$1200,21,FALSE),"")</f>
        <v>MBI*2020.10.13* new item</v>
      </c>
      <c r="P480" s="11">
        <f t="shared" si="21"/>
        <v>50</v>
      </c>
      <c r="Q480" s="11">
        <f t="shared" si="22"/>
        <v>50</v>
      </c>
      <c r="R480" s="17" t="e">
        <f t="shared" si="23"/>
        <v>#N/A</v>
      </c>
      <c r="S480" s="17" t="e">
        <f>VLOOKUP($B480,   MBI_LastBuy!$A$3:E$13199,3,FALSE)</f>
        <v>#N/A</v>
      </c>
      <c r="T480" s="13" t="e">
        <f>VLOOKUP($B480,   MBI_LastBuy!$A$3:E$13199,2,FALSE)</f>
        <v>#N/A</v>
      </c>
      <c r="U480" s="13" t="e">
        <f>VLOOKUP($B480,   MBI_LastBuy!$A$3:E$13199,5,FALSE)</f>
        <v>#N/A</v>
      </c>
      <c r="V480" s="15" t="e">
        <f>VLOOKUP($B480,   MBI_LastBuy!$A$3:E$13199,4,FALSE)</f>
        <v>#N/A</v>
      </c>
    </row>
    <row r="481" spans="1:22" x14ac:dyDescent="0.25">
      <c r="A481" s="11" t="s">
        <v>3824</v>
      </c>
      <c r="B481" s="11">
        <v>901070</v>
      </c>
      <c r="C481" s="11" t="str">
        <f>VLOOKUP(B481,Towary_i_uslugi!$A$4:$B$1500,2)</f>
        <v>nowość!!! więcej info dla klienta</v>
      </c>
      <c r="D481" s="11" t="s">
        <v>3707</v>
      </c>
      <c r="E481" s="11">
        <f>VLOOKUP(B481,Towary_i_uslugi!$A$3:$T$1500,3,FALSE)</f>
        <v>1</v>
      </c>
      <c r="F481" s="11" t="str">
        <f>VLOOKUP(B481,Towary_i_uslugi!$A$3:$T$1500,20,FALSE)</f>
        <v>carton box + photo sticker</v>
      </c>
      <c r="G481" s="11">
        <f>VLOOKUP(B481,MBI_Dostawcy_towarów!$A$4:$C$1399,3,FALSE)</f>
        <v>23</v>
      </c>
      <c r="H481" s="11">
        <v>0</v>
      </c>
      <c r="I481" s="11">
        <v>0</v>
      </c>
      <c r="J481" s="11">
        <v>40</v>
      </c>
      <c r="K481" s="11">
        <f>_xlfn.IFNA(VLOOKUP(B481,Towary_na_zamówieniach!$A$4:$C$1500,2,FALSE),0)</f>
        <v>0</v>
      </c>
      <c r="L481" s="11">
        <f>_xlfn.IFNA(VLOOKUP(B481,Towary_na_zamówieniach!$A$4:$C$1500,3,FALSE),0)</f>
        <v>0</v>
      </c>
      <c r="M481" s="11">
        <f>_xlfn.IFNA(VLOOKUP(B481,MBI_Dostawcy_towarów!$A$4:$C$2000,2,FALSE),"N/A")</f>
        <v>90</v>
      </c>
      <c r="N481" s="11" t="str">
        <f>IF(VLOOKUP(B481,Towary_i_uslugi!$A$3:$T$1500,17,FALSE)=0,"!NO SUPPLIER",VLOOKUP(B481,Towary_i_uslugi!$A$3:$T$1500,17))</f>
        <v>OR OUTREACH</v>
      </c>
      <c r="O481" s="11" t="str">
        <f>IF(VLOOKUP(B481,Towary_i_uslugi!$A$4:$U$1200,21,FALSE)&gt;0,VLOOKUP(B481,Towary_i_uslugi!$A$4:$U$1200,21,FALSE),"")</f>
        <v>MBI*2020.10.13* new item</v>
      </c>
      <c r="P481" s="11">
        <f t="shared" si="21"/>
        <v>40</v>
      </c>
      <c r="Q481" s="11">
        <f t="shared" si="22"/>
        <v>40</v>
      </c>
      <c r="R481" s="17" t="e">
        <f t="shared" si="23"/>
        <v>#N/A</v>
      </c>
      <c r="S481" s="17" t="e">
        <f>VLOOKUP($B481,   MBI_LastBuy!$A$3:E$13199,3,FALSE)</f>
        <v>#N/A</v>
      </c>
      <c r="T481" s="13" t="e">
        <f>VLOOKUP($B481,   MBI_LastBuy!$A$3:E$13199,2,FALSE)</f>
        <v>#N/A</v>
      </c>
      <c r="U481" s="13" t="e">
        <f>VLOOKUP($B481,   MBI_LastBuy!$A$3:E$13199,5,FALSE)</f>
        <v>#N/A</v>
      </c>
      <c r="V481" s="15" t="e">
        <f>VLOOKUP($B481,   MBI_LastBuy!$A$3:E$13199,4,FALSE)</f>
        <v>#N/A</v>
      </c>
    </row>
    <row r="482" spans="1:22" x14ac:dyDescent="0.25">
      <c r="A482" s="11" t="s">
        <v>3824</v>
      </c>
      <c r="B482" s="11">
        <v>901075</v>
      </c>
      <c r="C482" s="11" t="str">
        <f>VLOOKUP(B482,Towary_i_uslugi!$A$4:$B$1500,2)</f>
        <v>nowość!!! więcej info dla klienta</v>
      </c>
      <c r="D482" s="11" t="s">
        <v>3708</v>
      </c>
      <c r="E482" s="11">
        <f>VLOOKUP(B482,Towary_i_uslugi!$A$3:$T$1500,3,FALSE)</f>
        <v>1</v>
      </c>
      <c r="F482" s="11" t="str">
        <f>VLOOKUP(B482,Towary_i_uslugi!$A$3:$T$1500,20,FALSE)</f>
        <v>carton box + photo sticker</v>
      </c>
      <c r="G482" s="11">
        <f>VLOOKUP(B482,MBI_Dostawcy_towarów!$A$4:$C$1399,3,FALSE)</f>
        <v>16.5</v>
      </c>
      <c r="H482" s="11">
        <v>0</v>
      </c>
      <c r="I482" s="11">
        <v>0</v>
      </c>
      <c r="J482" s="11">
        <v>40</v>
      </c>
      <c r="K482" s="11">
        <f>_xlfn.IFNA(VLOOKUP(B482,Towary_na_zamówieniach!$A$4:$C$1500,2,FALSE),0)</f>
        <v>0</v>
      </c>
      <c r="L482" s="11">
        <f>_xlfn.IFNA(VLOOKUP(B482,Towary_na_zamówieniach!$A$4:$C$1500,3,FALSE),0)</f>
        <v>0</v>
      </c>
      <c r="M482" s="11">
        <f>_xlfn.IFNA(VLOOKUP(B482,MBI_Dostawcy_towarów!$A$4:$C$2000,2,FALSE),"N/A")</f>
        <v>90</v>
      </c>
      <c r="N482" s="11" t="str">
        <f>IF(VLOOKUP(B482,Towary_i_uslugi!$A$3:$T$1500,17,FALSE)=0,"!NO SUPPLIER",VLOOKUP(B482,Towary_i_uslugi!$A$3:$T$1500,17))</f>
        <v>OR OUTREACH</v>
      </c>
      <c r="O482" s="11" t="str">
        <f>IF(VLOOKUP(B482,Towary_i_uslugi!$A$4:$U$1200,21,FALSE)&gt;0,VLOOKUP(B482,Towary_i_uslugi!$A$4:$U$1200,21,FALSE),"")</f>
        <v>MBI*2020.10.13* new item</v>
      </c>
      <c r="P482" s="11">
        <f t="shared" si="21"/>
        <v>40</v>
      </c>
      <c r="Q482" s="11">
        <f t="shared" si="22"/>
        <v>40</v>
      </c>
      <c r="R482" s="17" t="e">
        <f t="shared" si="23"/>
        <v>#N/A</v>
      </c>
      <c r="S482" s="17" t="e">
        <f>VLOOKUP($B482,   MBI_LastBuy!$A$3:E$13199,3,FALSE)</f>
        <v>#N/A</v>
      </c>
      <c r="T482" s="13" t="e">
        <f>VLOOKUP($B482,   MBI_LastBuy!$A$3:E$13199,2,FALSE)</f>
        <v>#N/A</v>
      </c>
      <c r="U482" s="13" t="e">
        <f>VLOOKUP($B482,   MBI_LastBuy!$A$3:E$13199,5,FALSE)</f>
        <v>#N/A</v>
      </c>
      <c r="V482" s="15" t="e">
        <f>VLOOKUP($B482,   MBI_LastBuy!$A$3:E$13199,4,FALSE)</f>
        <v>#N/A</v>
      </c>
    </row>
    <row r="483" spans="1:22" x14ac:dyDescent="0.25">
      <c r="A483" s="11" t="s">
        <v>3824</v>
      </c>
      <c r="B483" s="11">
        <v>901080</v>
      </c>
      <c r="C483" s="11" t="str">
        <f>VLOOKUP(B483,Towary_i_uslugi!$A$4:$B$1500,2)</f>
        <v>nowość!!! więcej info dla klienta</v>
      </c>
      <c r="D483" s="11" t="s">
        <v>3709</v>
      </c>
      <c r="E483" s="11">
        <f>VLOOKUP(B483,Towary_i_uslugi!$A$3:$T$1500,3,FALSE)</f>
        <v>6</v>
      </c>
      <c r="F483" s="11" t="str">
        <f>VLOOKUP(B483,Towary_i_uslugi!$A$3:$T$1500,20,FALSE)</f>
        <v>polybag + sticker</v>
      </c>
      <c r="G483" s="11">
        <f>VLOOKUP(B483,MBI_Dostawcy_towarów!$A$4:$C$1399,3,FALSE)</f>
        <v>0.217</v>
      </c>
      <c r="H483" s="11">
        <v>0</v>
      </c>
      <c r="I483" s="11">
        <v>0</v>
      </c>
      <c r="J483" s="11">
        <v>100</v>
      </c>
      <c r="K483" s="11">
        <f>_xlfn.IFNA(VLOOKUP(B483,Towary_na_zamówieniach!$A$4:$C$1500,2,FALSE),0)</f>
        <v>0</v>
      </c>
      <c r="L483" s="11">
        <f>_xlfn.IFNA(VLOOKUP(B483,Towary_na_zamówieniach!$A$4:$C$1500,3,FALSE),0)</f>
        <v>0</v>
      </c>
      <c r="M483" s="11">
        <f>_xlfn.IFNA(VLOOKUP(B483,MBI_Dostawcy_towarów!$A$4:$C$2000,2,FALSE),"N/A")</f>
        <v>90</v>
      </c>
      <c r="N483" s="11" t="str">
        <f>IF(VLOOKUP(B483,Towary_i_uslugi!$A$3:$T$1500,17,FALSE)=0,"!NO SUPPLIER",VLOOKUP(B483,Towary_i_uslugi!$A$3:$T$1500,17))</f>
        <v>OR OUTREACH</v>
      </c>
      <c r="O483" s="11" t="str">
        <f>IF(VLOOKUP(B483,Towary_i_uslugi!$A$4:$U$1200,21,FALSE)&gt;0,VLOOKUP(B483,Towary_i_uslugi!$A$4:$U$1200,21,FALSE),"")</f>
        <v/>
      </c>
      <c r="P483" s="11">
        <f t="shared" si="21"/>
        <v>17</v>
      </c>
      <c r="Q483" s="11">
        <f t="shared" si="22"/>
        <v>102</v>
      </c>
      <c r="R483" s="17" t="e">
        <f t="shared" si="23"/>
        <v>#N/A</v>
      </c>
      <c r="S483" s="17" t="e">
        <f>VLOOKUP($B483,   MBI_LastBuy!$A$3:E$13199,3,FALSE)</f>
        <v>#N/A</v>
      </c>
      <c r="T483" s="13" t="e">
        <f>VLOOKUP($B483,   MBI_LastBuy!$A$3:E$13199,2,FALSE)</f>
        <v>#N/A</v>
      </c>
      <c r="U483" s="13" t="e">
        <f>VLOOKUP($B483,   MBI_LastBuy!$A$3:E$13199,5,FALSE)</f>
        <v>#N/A</v>
      </c>
      <c r="V483" s="15" t="e">
        <f>VLOOKUP($B483,   MBI_LastBuy!$A$3:E$13199,4,FALSE)</f>
        <v>#N/A</v>
      </c>
    </row>
    <row r="484" spans="1:22" x14ac:dyDescent="0.25">
      <c r="A484" s="11" t="s">
        <v>3552</v>
      </c>
      <c r="B484" s="11">
        <v>901102</v>
      </c>
      <c r="C484" s="11" t="str">
        <f>VLOOKUP(B484,Towary_i_uslugi!$A$4:$B$1500,2)</f>
        <v>nowość!!! więcej info dla klienta</v>
      </c>
      <c r="D484" s="11" t="s">
        <v>3710</v>
      </c>
      <c r="E484" s="11">
        <f>VLOOKUP(B484,Towary_i_uslugi!$A$3:$T$1500,3,FALSE)</f>
        <v>1</v>
      </c>
      <c r="F484" s="11" t="str">
        <f>VLOOKUP(B484,Towary_i_uslugi!$A$3:$T$1500,20,FALSE)</f>
        <v>carton box+sticker</v>
      </c>
      <c r="G484" s="11">
        <f>VLOOKUP(B484,MBI_Dostawcy_towarów!$A$4:$C$1399,3,FALSE)</f>
        <v>3.4</v>
      </c>
      <c r="H484" s="11">
        <v>0</v>
      </c>
      <c r="I484" s="11">
        <v>0</v>
      </c>
      <c r="J484" s="11">
        <v>200</v>
      </c>
      <c r="K484" s="11">
        <f>_xlfn.IFNA(VLOOKUP(B484,Towary_na_zamówieniach!$A$4:$C$1500,2,FALSE),0)</f>
        <v>350</v>
      </c>
      <c r="L484" s="11">
        <f>_xlfn.IFNA(VLOOKUP(B484,Towary_na_zamówieniach!$A$4:$C$1500,3,FALSE),0)</f>
        <v>2345</v>
      </c>
      <c r="M484" s="11">
        <f>_xlfn.IFNA(VLOOKUP(B484,MBI_Dostawcy_towarów!$A$4:$C$2000,2,FALSE),"N/A")</f>
        <v>100</v>
      </c>
      <c r="N484" s="11" t="str">
        <f>IF(VLOOKUP(B484,Towary_i_uslugi!$A$3:$T$1500,17,FALSE)=0,"!NO SUPPLIER",VLOOKUP(B484,Towary_i_uslugi!$A$3:$T$1500,17))</f>
        <v>XM - PRZYJĘCIE TOWARU !!!</v>
      </c>
      <c r="O484" s="11" t="str">
        <f>IF(VLOOKUP(B484,Towary_i_uslugi!$A$4:$U$1200,21,FALSE)&gt;0,VLOOKUP(B484,Towary_i_uslugi!$A$4:$U$1200,21,FALSE),"")</f>
        <v/>
      </c>
      <c r="P484" s="11">
        <f t="shared" si="21"/>
        <v>0</v>
      </c>
      <c r="Q484" s="11">
        <f t="shared" si="22"/>
        <v>0</v>
      </c>
      <c r="R484" s="17">
        <f t="shared" si="23"/>
        <v>0</v>
      </c>
      <c r="S484" s="17">
        <f>VLOOKUP($B484,   MBI_LastBuy!$A$3:E$13199,3,FALSE)</f>
        <v>350</v>
      </c>
      <c r="T484" s="13">
        <f>VLOOKUP($B484,   MBI_LastBuy!$A$3:E$13199,2,FALSE)</f>
        <v>6.7</v>
      </c>
      <c r="U484" s="13" t="str">
        <f>VLOOKUP($B484,   MBI_LastBuy!$A$3:E$13199,5,FALSE)</f>
        <v>USD</v>
      </c>
      <c r="V484" s="15">
        <f>VLOOKUP($B484,   MBI_LastBuy!$A$3:E$13199,4,FALSE)</f>
        <v>44125</v>
      </c>
    </row>
    <row r="485" spans="1:22" x14ac:dyDescent="0.25">
      <c r="A485" s="11" t="s">
        <v>3552</v>
      </c>
      <c r="B485" s="11">
        <v>901103</v>
      </c>
      <c r="C485" s="11" t="str">
        <f>VLOOKUP(B485,Towary_i_uslugi!$A$4:$B$1500,2)</f>
        <v>nowość!!! więcej info dla klienta</v>
      </c>
      <c r="D485" s="11" t="s">
        <v>3711</v>
      </c>
      <c r="E485" s="11">
        <f>VLOOKUP(B485,Towary_i_uslugi!$A$3:$T$1500,3,FALSE)</f>
        <v>1</v>
      </c>
      <c r="F485" s="11" t="str">
        <f>VLOOKUP(B485,Towary_i_uslugi!$A$3:$T$1500,20,FALSE)</f>
        <v>carton box+sticker</v>
      </c>
      <c r="G485" s="11">
        <f>VLOOKUP(B485,MBI_Dostawcy_towarów!$A$4:$C$1399,3,FALSE)</f>
        <v>5</v>
      </c>
      <c r="H485" s="11">
        <v>0</v>
      </c>
      <c r="I485" s="11">
        <v>0</v>
      </c>
      <c r="J485" s="11">
        <v>200</v>
      </c>
      <c r="K485" s="11">
        <f>_xlfn.IFNA(VLOOKUP(B485,Towary_na_zamówieniach!$A$4:$C$1500,2,FALSE),0)</f>
        <v>200</v>
      </c>
      <c r="L485" s="11">
        <f>_xlfn.IFNA(VLOOKUP(B485,Towary_na_zamówieniach!$A$4:$C$1500,3,FALSE),0)</f>
        <v>1500</v>
      </c>
      <c r="M485" s="11">
        <f>_xlfn.IFNA(VLOOKUP(B485,MBI_Dostawcy_towarów!$A$4:$C$2000,2,FALSE),"N/A")</f>
        <v>100</v>
      </c>
      <c r="N485" s="11" t="str">
        <f>IF(VLOOKUP(B485,Towary_i_uslugi!$A$3:$T$1500,17,FALSE)=0,"!NO SUPPLIER",VLOOKUP(B485,Towary_i_uslugi!$A$3:$T$1500,17))</f>
        <v>XM - PRZYJĘCIE TOWARU !!!</v>
      </c>
      <c r="O485" s="11" t="str">
        <f>IF(VLOOKUP(B485,Towary_i_uslugi!$A$4:$U$1200,21,FALSE)&gt;0,VLOOKUP(B485,Towary_i_uslugi!$A$4:$U$1200,21,FALSE),"")</f>
        <v/>
      </c>
      <c r="P485" s="11">
        <f t="shared" si="21"/>
        <v>0</v>
      </c>
      <c r="Q485" s="11">
        <f t="shared" si="22"/>
        <v>0</v>
      </c>
      <c r="R485" s="17">
        <f t="shared" si="23"/>
        <v>0</v>
      </c>
      <c r="S485" s="17">
        <f>VLOOKUP($B485,   MBI_LastBuy!$A$3:E$13199,3,FALSE)</f>
        <v>200</v>
      </c>
      <c r="T485" s="13">
        <f>VLOOKUP($B485,   MBI_LastBuy!$A$3:E$13199,2,FALSE)</f>
        <v>7.5</v>
      </c>
      <c r="U485" s="13" t="str">
        <f>VLOOKUP($B485,   MBI_LastBuy!$A$3:E$13199,5,FALSE)</f>
        <v>USD</v>
      </c>
      <c r="V485" s="15">
        <f>VLOOKUP($B485,   MBI_LastBuy!$A$3:E$13199,4,FALSE)</f>
        <v>44125</v>
      </c>
    </row>
    <row r="486" spans="1:22" x14ac:dyDescent="0.25">
      <c r="A486" s="11" t="s">
        <v>3552</v>
      </c>
      <c r="B486" s="11">
        <v>901104</v>
      </c>
      <c r="C486" s="11" t="str">
        <f>VLOOKUP(B486,Towary_i_uslugi!$A$4:$B$1500,2)</f>
        <v>nowość!!! więcej info dla klienta</v>
      </c>
      <c r="D486" s="11" t="s">
        <v>3712</v>
      </c>
      <c r="E486" s="11">
        <f>VLOOKUP(B486,Towary_i_uslugi!$A$3:$T$1500,3,FALSE)</f>
        <v>1</v>
      </c>
      <c r="F486" s="11" t="str">
        <f>VLOOKUP(B486,Towary_i_uslugi!$A$3:$T$1500,20,FALSE)</f>
        <v>carton box+sticker</v>
      </c>
      <c r="G486" s="11">
        <f>VLOOKUP(B486,MBI_Dostawcy_towarów!$A$4:$C$1399,3,FALSE)</f>
        <v>7</v>
      </c>
      <c r="H486" s="11">
        <v>0</v>
      </c>
      <c r="I486" s="11">
        <v>0</v>
      </c>
      <c r="J486" s="11">
        <v>100</v>
      </c>
      <c r="K486" s="11">
        <f>_xlfn.IFNA(VLOOKUP(B486,Towary_na_zamówieniach!$A$4:$C$1500,2,FALSE),0)</f>
        <v>200</v>
      </c>
      <c r="L486" s="11">
        <f>_xlfn.IFNA(VLOOKUP(B486,Towary_na_zamówieniach!$A$4:$C$1500,3,FALSE),0)</f>
        <v>1680</v>
      </c>
      <c r="M486" s="11">
        <f>_xlfn.IFNA(VLOOKUP(B486,MBI_Dostawcy_towarów!$A$4:$C$2000,2,FALSE),"N/A")</f>
        <v>100</v>
      </c>
      <c r="N486" s="11" t="str">
        <f>IF(VLOOKUP(B486,Towary_i_uslugi!$A$3:$T$1500,17,FALSE)=0,"!NO SUPPLIER",VLOOKUP(B486,Towary_i_uslugi!$A$3:$T$1500,17))</f>
        <v>XM - PRZYJĘCIE TOWARU !!!</v>
      </c>
      <c r="O486" s="11" t="str">
        <f>IF(VLOOKUP(B486,Towary_i_uslugi!$A$4:$U$1200,21,FALSE)&gt;0,VLOOKUP(B486,Towary_i_uslugi!$A$4:$U$1200,21,FALSE),"")</f>
        <v/>
      </c>
      <c r="P486" s="11">
        <f t="shared" si="21"/>
        <v>0</v>
      </c>
      <c r="Q486" s="11">
        <f t="shared" si="22"/>
        <v>0</v>
      </c>
      <c r="R486" s="17">
        <f t="shared" si="23"/>
        <v>0</v>
      </c>
      <c r="S486" s="17">
        <f>VLOOKUP($B486,   MBI_LastBuy!$A$3:E$13199,3,FALSE)</f>
        <v>200</v>
      </c>
      <c r="T486" s="13">
        <f>VLOOKUP($B486,   MBI_LastBuy!$A$3:E$13199,2,FALSE)</f>
        <v>8.4</v>
      </c>
      <c r="U486" s="13" t="str">
        <f>VLOOKUP($B486,   MBI_LastBuy!$A$3:E$13199,5,FALSE)</f>
        <v>USD</v>
      </c>
      <c r="V486" s="15">
        <f>VLOOKUP($B486,   MBI_LastBuy!$A$3:E$13199,4,FALSE)</f>
        <v>44125</v>
      </c>
    </row>
    <row r="487" spans="1:22" x14ac:dyDescent="0.25">
      <c r="A487" s="11" t="s">
        <v>3552</v>
      </c>
      <c r="B487" s="11">
        <v>901105</v>
      </c>
      <c r="C487" s="11" t="str">
        <f>VLOOKUP(B487,Towary_i_uslugi!$A$4:$B$1500,2)</f>
        <v>nowość!!! więcej info dla klienta</v>
      </c>
      <c r="D487" s="11" t="s">
        <v>3713</v>
      </c>
      <c r="E487" s="11">
        <f>VLOOKUP(B487,Towary_i_uslugi!$A$3:$T$1500,3,FALSE)</f>
        <v>1</v>
      </c>
      <c r="F487" s="11" t="str">
        <f>VLOOKUP(B487,Towary_i_uslugi!$A$3:$T$1500,20,FALSE)</f>
        <v>carton box+sticker</v>
      </c>
      <c r="G487" s="11">
        <f>VLOOKUP(B487,MBI_Dostawcy_towarów!$A$4:$C$1399,3,FALSE)</f>
        <v>6.8</v>
      </c>
      <c r="H487" s="11">
        <v>0</v>
      </c>
      <c r="I487" s="11">
        <v>0</v>
      </c>
      <c r="J487" s="11">
        <v>200</v>
      </c>
      <c r="K487" s="11">
        <f>_xlfn.IFNA(VLOOKUP(B487,Towary_na_zamówieniach!$A$4:$C$1500,2,FALSE),0)</f>
        <v>0</v>
      </c>
      <c r="L487" s="11">
        <f>_xlfn.IFNA(VLOOKUP(B487,Towary_na_zamówieniach!$A$4:$C$1500,3,FALSE),0)</f>
        <v>0</v>
      </c>
      <c r="M487" s="11">
        <f>_xlfn.IFNA(VLOOKUP(B487,MBI_Dostawcy_towarów!$A$4:$C$2000,2,FALSE),"N/A")</f>
        <v>100</v>
      </c>
      <c r="N487" s="11" t="str">
        <f>IF(VLOOKUP(B487,Towary_i_uslugi!$A$3:$T$1500,17,FALSE)=0,"!NO SUPPLIER",VLOOKUP(B487,Towary_i_uslugi!$A$3:$T$1500,17))</f>
        <v>XM - PRZYJĘCIE TOWARU !!!</v>
      </c>
      <c r="O487" s="11" t="str">
        <f>IF(VLOOKUP(B487,Towary_i_uslugi!$A$4:$U$1200,21,FALSE)&gt;0,VLOOKUP(B487,Towary_i_uslugi!$A$4:$U$1200,21,FALSE),"")</f>
        <v/>
      </c>
      <c r="P487" s="11">
        <f t="shared" si="21"/>
        <v>200</v>
      </c>
      <c r="Q487" s="11">
        <f t="shared" si="22"/>
        <v>200</v>
      </c>
      <c r="R487" s="17" t="e">
        <f t="shared" si="23"/>
        <v>#N/A</v>
      </c>
      <c r="S487" s="17" t="e">
        <f>VLOOKUP($B487,   MBI_LastBuy!$A$3:E$13199,3,FALSE)</f>
        <v>#N/A</v>
      </c>
      <c r="T487" s="13" t="e">
        <f>VLOOKUP($B487,   MBI_LastBuy!$A$3:E$13199,2,FALSE)</f>
        <v>#N/A</v>
      </c>
      <c r="U487" s="13" t="e">
        <f>VLOOKUP($B487,   MBI_LastBuy!$A$3:E$13199,5,FALSE)</f>
        <v>#N/A</v>
      </c>
      <c r="V487" s="15" t="e">
        <f>VLOOKUP($B487,   MBI_LastBuy!$A$3:E$13199,4,FALSE)</f>
        <v>#N/A</v>
      </c>
    </row>
    <row r="488" spans="1:22" x14ac:dyDescent="0.25">
      <c r="A488" s="11" t="s">
        <v>3552</v>
      </c>
      <c r="B488" s="11">
        <v>901121</v>
      </c>
      <c r="C488" s="11" t="str">
        <f>VLOOKUP(B488,Towary_i_uslugi!$A$4:$B$1500,2)</f>
        <v>nowość!!! więcej info dla klienta</v>
      </c>
      <c r="D488" s="11" t="s">
        <v>3714</v>
      </c>
      <c r="E488" s="11">
        <f>VLOOKUP(B488,Towary_i_uslugi!$A$3:$T$1500,3,FALSE)</f>
        <v>1</v>
      </c>
      <c r="F488" s="11" t="str">
        <f>VLOOKUP(B488,Towary_i_uslugi!$A$3:$T$1500,20,FALSE)</f>
        <v>carton box+sticker</v>
      </c>
      <c r="G488" s="11">
        <f>VLOOKUP(B488,MBI_Dostawcy_towarów!$A$4:$C$1399,3,FALSE)</f>
        <v>0</v>
      </c>
      <c r="H488" s="11">
        <v>0</v>
      </c>
      <c r="I488" s="11">
        <v>0</v>
      </c>
      <c r="J488" s="11">
        <v>200</v>
      </c>
      <c r="K488" s="11">
        <f>_xlfn.IFNA(VLOOKUP(B488,Towary_na_zamówieniach!$A$4:$C$1500,2,FALSE),0)</f>
        <v>250</v>
      </c>
      <c r="L488" s="11">
        <f>_xlfn.IFNA(VLOOKUP(B488,Towary_na_zamówieniach!$A$4:$C$1500,3,FALSE),0)</f>
        <v>1787.5</v>
      </c>
      <c r="M488" s="11">
        <f>_xlfn.IFNA(VLOOKUP(B488,MBI_Dostawcy_towarów!$A$4:$C$2000,2,FALSE),"N/A")</f>
        <v>100</v>
      </c>
      <c r="N488" s="11" t="str">
        <f>IF(VLOOKUP(B488,Towary_i_uslugi!$A$3:$T$1500,17,FALSE)=0,"!NO SUPPLIER",VLOOKUP(B488,Towary_i_uslugi!$A$3:$T$1500,17))</f>
        <v>XM - PRZYJĘCIE TOWARU !!!</v>
      </c>
      <c r="O488" s="11" t="str">
        <f>IF(VLOOKUP(B488,Towary_i_uslugi!$A$4:$U$1200,21,FALSE)&gt;0,VLOOKUP(B488,Towary_i_uslugi!$A$4:$U$1200,21,FALSE),"")</f>
        <v/>
      </c>
      <c r="P488" s="11">
        <f t="shared" si="21"/>
        <v>0</v>
      </c>
      <c r="Q488" s="11">
        <f t="shared" si="22"/>
        <v>0</v>
      </c>
      <c r="R488" s="17">
        <f t="shared" si="23"/>
        <v>0</v>
      </c>
      <c r="S488" s="17">
        <f>VLOOKUP($B488,   MBI_LastBuy!$A$3:E$13199,3,FALSE)</f>
        <v>250</v>
      </c>
      <c r="T488" s="13">
        <f>VLOOKUP($B488,   MBI_LastBuy!$A$3:E$13199,2,FALSE)</f>
        <v>7.15</v>
      </c>
      <c r="U488" s="13" t="str">
        <f>VLOOKUP($B488,   MBI_LastBuy!$A$3:E$13199,5,FALSE)</f>
        <v>USD</v>
      </c>
      <c r="V488" s="15">
        <f>VLOOKUP($B488,   MBI_LastBuy!$A$3:E$13199,4,FALSE)</f>
        <v>44125</v>
      </c>
    </row>
    <row r="489" spans="1:22" x14ac:dyDescent="0.25">
      <c r="A489" s="11" t="s">
        <v>3552</v>
      </c>
      <c r="B489" s="11">
        <v>901122</v>
      </c>
      <c r="C489" s="11" t="str">
        <f>VLOOKUP(B489,Towary_i_uslugi!$A$4:$B$1500,2)</f>
        <v>nowość!!! więcej info dla klienta</v>
      </c>
      <c r="D489" s="11" t="s">
        <v>3715</v>
      </c>
      <c r="E489" s="11">
        <f>VLOOKUP(B489,Towary_i_uslugi!$A$3:$T$1500,3,FALSE)</f>
        <v>1</v>
      </c>
      <c r="F489" s="11" t="str">
        <f>VLOOKUP(B489,Towary_i_uslugi!$A$3:$T$1500,20,FALSE)</f>
        <v>carton box+sticker</v>
      </c>
      <c r="G489" s="11">
        <f>VLOOKUP(B489,MBI_Dostawcy_towarów!$A$4:$C$1399,3,FALSE)</f>
        <v>0</v>
      </c>
      <c r="H489" s="11">
        <v>0</v>
      </c>
      <c r="I489" s="11">
        <v>0</v>
      </c>
      <c r="J489" s="11">
        <v>200</v>
      </c>
      <c r="K489" s="11">
        <f>_xlfn.IFNA(VLOOKUP(B489,Towary_na_zamówieniach!$A$4:$C$1500,2,FALSE),0)</f>
        <v>200</v>
      </c>
      <c r="L489" s="11">
        <f>_xlfn.IFNA(VLOOKUP(B489,Towary_na_zamówieniach!$A$4:$C$1500,3,FALSE),0)</f>
        <v>2040</v>
      </c>
      <c r="M489" s="11">
        <f>_xlfn.IFNA(VLOOKUP(B489,MBI_Dostawcy_towarów!$A$4:$C$2000,2,FALSE),"N/A")</f>
        <v>100</v>
      </c>
      <c r="N489" s="11" t="str">
        <f>IF(VLOOKUP(B489,Towary_i_uslugi!$A$3:$T$1500,17,FALSE)=0,"!NO SUPPLIER",VLOOKUP(B489,Towary_i_uslugi!$A$3:$T$1500,17))</f>
        <v>XM - PRZYJĘCIE TOWARU !!!</v>
      </c>
      <c r="O489" s="11" t="str">
        <f>IF(VLOOKUP(B489,Towary_i_uslugi!$A$4:$U$1200,21,FALSE)&gt;0,VLOOKUP(B489,Towary_i_uslugi!$A$4:$U$1200,21,FALSE),"")</f>
        <v/>
      </c>
      <c r="P489" s="11">
        <f t="shared" si="21"/>
        <v>0</v>
      </c>
      <c r="Q489" s="11">
        <f t="shared" si="22"/>
        <v>0</v>
      </c>
      <c r="R489" s="17">
        <f t="shared" si="23"/>
        <v>0</v>
      </c>
      <c r="S489" s="17">
        <f>VLOOKUP($B489,   MBI_LastBuy!$A$3:E$13199,3,FALSE)</f>
        <v>200</v>
      </c>
      <c r="T489" s="13">
        <f>VLOOKUP($B489,   MBI_LastBuy!$A$3:E$13199,2,FALSE)</f>
        <v>10.199999999999999</v>
      </c>
      <c r="U489" s="13" t="str">
        <f>VLOOKUP($B489,   MBI_LastBuy!$A$3:E$13199,5,FALSE)</f>
        <v>USD</v>
      </c>
      <c r="V489" s="15">
        <f>VLOOKUP($B489,   MBI_LastBuy!$A$3:E$13199,4,FALSE)</f>
        <v>44125</v>
      </c>
    </row>
    <row r="490" spans="1:22" x14ac:dyDescent="0.25">
      <c r="A490" s="11" t="s">
        <v>3567</v>
      </c>
      <c r="B490" s="11">
        <v>920110</v>
      </c>
      <c r="C490" s="11" t="str">
        <f>VLOOKUP(B490,Towary_i_uslugi!$A$4:$B$1500,2)</f>
        <v>(brak)</v>
      </c>
      <c r="D490" s="11" t="s">
        <v>2910</v>
      </c>
      <c r="E490" s="11">
        <f>VLOOKUP(B490,Towary_i_uslugi!$A$3:$T$1500,3,FALSE)</f>
        <v>30</v>
      </c>
      <c r="F490" s="11">
        <f>VLOOKUP(B490,Towary_i_uslugi!$A$3:$T$1500,20,FALSE)</f>
        <v>0</v>
      </c>
      <c r="G490" s="11">
        <f>VLOOKUP(B490,MBI_Dostawcy_towarów!$A$4:$C$1399,3,FALSE)</f>
        <v>0.23</v>
      </c>
      <c r="H490" s="11">
        <v>0</v>
      </c>
      <c r="I490" s="11">
        <v>0</v>
      </c>
      <c r="J490" s="11">
        <v>1</v>
      </c>
      <c r="K490" s="11">
        <f>_xlfn.IFNA(VLOOKUP(B490,Towary_na_zamówieniach!$A$4:$C$1500,2,FALSE),0)</f>
        <v>1</v>
      </c>
      <c r="L490" s="11">
        <f>_xlfn.IFNA(VLOOKUP(B490,Towary_na_zamówieniach!$A$4:$C$1500,3,FALSE),0)</f>
        <v>2.75</v>
      </c>
      <c r="M490" s="11">
        <f>_xlfn.IFNA(VLOOKUP(B490,MBI_Dostawcy_towarów!$A$4:$C$2000,2,FALSE),"N/A")</f>
        <v>7</v>
      </c>
      <c r="N490" s="11" t="str">
        <f>IF(VLOOKUP(B490,Towary_i_uslugi!$A$3:$T$1500,17,FALSE)=0,"!NO SUPPLIER",VLOOKUP(B490,Towary_i_uslugi!$A$3:$T$1500,17))</f>
        <v xml:space="preserve">ROBKAT </v>
      </c>
      <c r="O490" s="11" t="str">
        <f>IF(VLOOKUP(B490,Towary_i_uslugi!$A$4:$U$1200,21,FALSE)&gt;0,VLOOKUP(B490,Towary_i_uslugi!$A$4:$U$1200,21,FALSE),"")</f>
        <v/>
      </c>
      <c r="P490" s="11">
        <f t="shared" si="21"/>
        <v>0</v>
      </c>
      <c r="Q490" s="11">
        <f t="shared" si="22"/>
        <v>0</v>
      </c>
      <c r="R490" s="17">
        <f t="shared" si="23"/>
        <v>0</v>
      </c>
      <c r="S490" s="17">
        <f>VLOOKUP($B490,   MBI_LastBuy!$A$3:E$13199,3,FALSE)</f>
        <v>300</v>
      </c>
      <c r="T490" s="13">
        <f>VLOOKUP($B490,   MBI_LastBuy!$A$3:E$13199,2,FALSE)</f>
        <v>3</v>
      </c>
      <c r="U490" s="13" t="str">
        <f>VLOOKUP($B490,   MBI_LastBuy!$A$3:E$13199,5,FALSE)</f>
        <v>PLN</v>
      </c>
      <c r="V490" s="15">
        <f>VLOOKUP($B490,   MBI_LastBuy!$A$3:E$13199,4,FALSE)</f>
        <v>44000</v>
      </c>
    </row>
    <row r="491" spans="1:22" x14ac:dyDescent="0.25">
      <c r="A491" s="11" t="s">
        <v>3567</v>
      </c>
      <c r="B491" s="11">
        <v>920380</v>
      </c>
      <c r="C491" s="11" t="str">
        <f>VLOOKUP(B491,Towary_i_uslugi!$A$4:$B$1500,2)</f>
        <v>(brak)</v>
      </c>
      <c r="D491" s="11" t="s">
        <v>3716</v>
      </c>
      <c r="E491" s="11">
        <f>VLOOKUP(B491,Towary_i_uslugi!$A$3:$T$1500,3,FALSE)</f>
        <v>132</v>
      </c>
      <c r="F491" s="11">
        <f>VLOOKUP(B491,Towary_i_uslugi!$A$3:$T$1500,20,FALSE)</f>
        <v>0</v>
      </c>
      <c r="G491" s="11">
        <f>VLOOKUP(B491,MBI_Dostawcy_towarów!$A$4:$C$1399,3,FALSE)</f>
        <v>0.04</v>
      </c>
      <c r="H491" s="11">
        <v>132</v>
      </c>
      <c r="I491" s="11">
        <v>132</v>
      </c>
      <c r="J491" s="11">
        <v>264</v>
      </c>
      <c r="K491" s="11">
        <f>_xlfn.IFNA(VLOOKUP(B491,Towary_na_zamówieniach!$A$4:$C$1500,2,FALSE),0)</f>
        <v>265</v>
      </c>
      <c r="L491" s="11">
        <f>_xlfn.IFNA(VLOOKUP(B491,Towary_na_zamówieniach!$A$4:$C$1500,3,FALSE),0)</f>
        <v>588.13</v>
      </c>
      <c r="M491" s="11">
        <f>_xlfn.IFNA(VLOOKUP(B491,MBI_Dostawcy_towarów!$A$4:$C$2000,2,FALSE),"N/A")</f>
        <v>7</v>
      </c>
      <c r="N491" s="11" t="str">
        <f>IF(VLOOKUP(B491,Towary_i_uslugi!$A$3:$T$1500,17,FALSE)=0,"!NO SUPPLIER",VLOOKUP(B491,Towary_i_uslugi!$A$3:$T$1500,17))</f>
        <v xml:space="preserve">ROBKAT </v>
      </c>
      <c r="O491" s="11" t="str">
        <f>IF(VLOOKUP(B491,Towary_i_uslugi!$A$4:$U$1200,21,FALSE)&gt;0,VLOOKUP(B491,Towary_i_uslugi!$A$4:$U$1200,21,FALSE),"")</f>
        <v/>
      </c>
      <c r="P491" s="11">
        <f t="shared" si="21"/>
        <v>0</v>
      </c>
      <c r="Q491" s="11">
        <f t="shared" si="22"/>
        <v>0</v>
      </c>
      <c r="R491" s="17">
        <f t="shared" si="23"/>
        <v>0</v>
      </c>
      <c r="S491" s="17">
        <f>VLOOKUP($B491,   MBI_LastBuy!$A$3:E$13199,3,FALSE)</f>
        <v>132</v>
      </c>
      <c r="T491" s="13">
        <f>VLOOKUP($B491,   MBI_LastBuy!$A$3:E$13199,2,FALSE)</f>
        <v>2.2200000000000002</v>
      </c>
      <c r="U491" s="13" t="str">
        <f>VLOOKUP($B491,   MBI_LastBuy!$A$3:E$13199,5,FALSE)</f>
        <v>PLN</v>
      </c>
      <c r="V491" s="15">
        <f>VLOOKUP($B491,   MBI_LastBuy!$A$3:E$13199,4,FALSE)</f>
        <v>44144</v>
      </c>
    </row>
    <row r="492" spans="1:22" x14ac:dyDescent="0.25">
      <c r="A492" s="11" t="s">
        <v>3567</v>
      </c>
      <c r="B492" s="11">
        <v>920381</v>
      </c>
      <c r="C492" s="11" t="str">
        <f>VLOOKUP(B492,Towary_i_uslugi!$A$4:$B$1500,2)</f>
        <v>(brak)</v>
      </c>
      <c r="D492" s="11" t="s">
        <v>3717</v>
      </c>
      <c r="E492" s="11">
        <f>VLOOKUP(B492,Towary_i_uslugi!$A$3:$T$1500,3,FALSE)</f>
        <v>132</v>
      </c>
      <c r="F492" s="11">
        <f>VLOOKUP(B492,Towary_i_uslugi!$A$3:$T$1500,20,FALSE)</f>
        <v>0</v>
      </c>
      <c r="G492" s="11">
        <f>VLOOKUP(B492,MBI_Dostawcy_towarów!$A$4:$C$1399,3,FALSE)</f>
        <v>0.04</v>
      </c>
      <c r="H492" s="11">
        <v>132</v>
      </c>
      <c r="I492" s="11">
        <v>132</v>
      </c>
      <c r="J492" s="11">
        <v>264</v>
      </c>
      <c r="K492" s="11">
        <f>_xlfn.IFNA(VLOOKUP(B492,Towary_na_zamówieniach!$A$4:$C$1500,2,FALSE),0)</f>
        <v>265</v>
      </c>
      <c r="L492" s="11">
        <f>_xlfn.IFNA(VLOOKUP(B492,Towary_na_zamówieniach!$A$4:$C$1500,3,FALSE),0)</f>
        <v>614.63</v>
      </c>
      <c r="M492" s="11">
        <f>_xlfn.IFNA(VLOOKUP(B492,MBI_Dostawcy_towarów!$A$4:$C$2000,2,FALSE),"N/A")</f>
        <v>7</v>
      </c>
      <c r="N492" s="11" t="str">
        <f>IF(VLOOKUP(B492,Towary_i_uslugi!$A$3:$T$1500,17,FALSE)=0,"!NO SUPPLIER",VLOOKUP(B492,Towary_i_uslugi!$A$3:$T$1500,17))</f>
        <v xml:space="preserve">ROBKAT </v>
      </c>
      <c r="O492" s="11" t="str">
        <f>IF(VLOOKUP(B492,Towary_i_uslugi!$A$4:$U$1200,21,FALSE)&gt;0,VLOOKUP(B492,Towary_i_uslugi!$A$4:$U$1200,21,FALSE),"")</f>
        <v/>
      </c>
      <c r="P492" s="11">
        <f t="shared" si="21"/>
        <v>0</v>
      </c>
      <c r="Q492" s="11">
        <f t="shared" si="22"/>
        <v>0</v>
      </c>
      <c r="R492" s="17">
        <f t="shared" si="23"/>
        <v>0</v>
      </c>
      <c r="S492" s="17">
        <f>VLOOKUP($B492,   MBI_LastBuy!$A$3:E$13199,3,FALSE)</f>
        <v>132</v>
      </c>
      <c r="T492" s="13">
        <f>VLOOKUP($B492,   MBI_LastBuy!$A$3:E$13199,2,FALSE)</f>
        <v>2.37</v>
      </c>
      <c r="U492" s="13" t="str">
        <f>VLOOKUP($B492,   MBI_LastBuy!$A$3:E$13199,5,FALSE)</f>
        <v>PLN</v>
      </c>
      <c r="V492" s="15">
        <f>VLOOKUP($B492,   MBI_LastBuy!$A$3:E$13199,4,FALSE)</f>
        <v>44083</v>
      </c>
    </row>
    <row r="493" spans="1:22" x14ac:dyDescent="0.25">
      <c r="A493" s="11" t="s">
        <v>3567</v>
      </c>
      <c r="B493" s="11">
        <v>920382</v>
      </c>
      <c r="C493" s="11" t="str">
        <f>VLOOKUP(B493,Towary_i_uslugi!$A$4:$B$1500,2)</f>
        <v>(brak)</v>
      </c>
      <c r="D493" s="11" t="s">
        <v>3718</v>
      </c>
      <c r="E493" s="11">
        <f>VLOOKUP(B493,Towary_i_uslugi!$A$3:$T$1500,3,FALSE)</f>
        <v>72</v>
      </c>
      <c r="F493" s="11">
        <f>VLOOKUP(B493,Towary_i_uslugi!$A$3:$T$1500,20,FALSE)</f>
        <v>0</v>
      </c>
      <c r="G493" s="11">
        <f>VLOOKUP(B493,MBI_Dostawcy_towarów!$A$4:$C$1399,3,FALSE)</f>
        <v>0.08</v>
      </c>
      <c r="H493" s="11">
        <v>73</v>
      </c>
      <c r="I493" s="11">
        <v>73</v>
      </c>
      <c r="J493" s="11">
        <v>144</v>
      </c>
      <c r="K493" s="11">
        <f>_xlfn.IFNA(VLOOKUP(B493,Towary_na_zamówieniach!$A$4:$C$1500,2,FALSE),0)</f>
        <v>145</v>
      </c>
      <c r="L493" s="11">
        <f>_xlfn.IFNA(VLOOKUP(B493,Towary_na_zamówieniach!$A$4:$C$1500,3,FALSE),0)</f>
        <v>399.89</v>
      </c>
      <c r="M493" s="11">
        <f>_xlfn.IFNA(VLOOKUP(B493,MBI_Dostawcy_towarów!$A$4:$C$2000,2,FALSE),"N/A")</f>
        <v>7</v>
      </c>
      <c r="N493" s="11" t="str">
        <f>IF(VLOOKUP(B493,Towary_i_uslugi!$A$3:$T$1500,17,FALSE)=0,"!NO SUPPLIER",VLOOKUP(B493,Towary_i_uslugi!$A$3:$T$1500,17))</f>
        <v xml:space="preserve">ROBKAT </v>
      </c>
      <c r="O493" s="11" t="str">
        <f>IF(VLOOKUP(B493,Towary_i_uslugi!$A$4:$U$1200,21,FALSE)&gt;0,VLOOKUP(B493,Towary_i_uslugi!$A$4:$U$1200,21,FALSE),"")</f>
        <v/>
      </c>
      <c r="P493" s="11">
        <f t="shared" si="21"/>
        <v>0</v>
      </c>
      <c r="Q493" s="11">
        <f t="shared" si="22"/>
        <v>0</v>
      </c>
      <c r="R493" s="17">
        <f t="shared" si="23"/>
        <v>0</v>
      </c>
      <c r="S493" s="17">
        <f>VLOOKUP($B493,   MBI_LastBuy!$A$3:E$13199,3,FALSE)</f>
        <v>72</v>
      </c>
      <c r="T493" s="13">
        <f>VLOOKUP($B493,   MBI_LastBuy!$A$3:E$13199,2,FALSE)</f>
        <v>2.76</v>
      </c>
      <c r="U493" s="13" t="str">
        <f>VLOOKUP($B493,   MBI_LastBuy!$A$3:E$13199,5,FALSE)</f>
        <v>PLN</v>
      </c>
      <c r="V493" s="15">
        <f>VLOOKUP($B493,   MBI_LastBuy!$A$3:E$13199,4,FALSE)</f>
        <v>44144</v>
      </c>
    </row>
    <row r="494" spans="1:22" x14ac:dyDescent="0.25">
      <c r="A494" s="11" t="s">
        <v>3552</v>
      </c>
      <c r="B494" s="11">
        <v>920401</v>
      </c>
      <c r="C494" s="11" t="str">
        <f>VLOOKUP(B494,Towary_i_uslugi!$A$4:$B$1500,2)</f>
        <v>(brak)</v>
      </c>
      <c r="D494" s="11" t="s">
        <v>2911</v>
      </c>
      <c r="E494" s="11">
        <f>VLOOKUP(B494,Towary_i_uslugi!$A$3:$T$1500,3,FALSE)</f>
        <v>36</v>
      </c>
      <c r="F494" s="11" t="str">
        <f>VLOOKUP(B494,Towary_i_uslugi!$A$3:$T$1500,20,FALSE)</f>
        <v>polybag header</v>
      </c>
      <c r="G494" s="11">
        <f>VLOOKUP(B494,MBI_Dostawcy_towarów!$A$4:$C$1399,3,FALSE)</f>
        <v>0.245</v>
      </c>
      <c r="H494" s="11">
        <v>134</v>
      </c>
      <c r="I494" s="11">
        <v>0</v>
      </c>
      <c r="J494" s="11">
        <v>480</v>
      </c>
      <c r="K494" s="11">
        <f>_xlfn.IFNA(VLOOKUP(B494,Towary_na_zamówieniach!$A$4:$C$1500,2,FALSE),0)</f>
        <v>1008</v>
      </c>
      <c r="L494" s="11">
        <f>_xlfn.IFNA(VLOOKUP(B494,Towary_na_zamówieniach!$A$4:$C$1500,3,FALSE),0)</f>
        <v>1088.6400000000001</v>
      </c>
      <c r="M494" s="11">
        <f>_xlfn.IFNA(VLOOKUP(B494,MBI_Dostawcy_towarów!$A$4:$C$2000,2,FALSE),"N/A")</f>
        <v>100</v>
      </c>
      <c r="N494" s="11" t="str">
        <f>IF(VLOOKUP(B494,Towary_i_uslugi!$A$3:$T$1500,17,FALSE)=0,"!NO SUPPLIER",VLOOKUP(B494,Towary_i_uslugi!$A$3:$T$1500,17))</f>
        <v>XM</v>
      </c>
      <c r="O494" s="11" t="str">
        <f>IF(VLOOKUP(B494,Towary_i_uslugi!$A$4:$U$1200,21,FALSE)&gt;0,VLOOKUP(B494,Towary_i_uslugi!$A$4:$U$1200,21,FALSE),"")</f>
        <v/>
      </c>
      <c r="P494" s="11">
        <f t="shared" si="21"/>
        <v>0</v>
      </c>
      <c r="Q494" s="11">
        <f t="shared" si="22"/>
        <v>0</v>
      </c>
      <c r="R494" s="17">
        <f t="shared" si="23"/>
        <v>0</v>
      </c>
      <c r="S494" s="17">
        <f>VLOOKUP($B494,   MBI_LastBuy!$A$3:E$13199,3,FALSE)</f>
        <v>1008</v>
      </c>
      <c r="T494" s="13">
        <f>VLOOKUP($B494,   MBI_LastBuy!$A$3:E$13199,2,FALSE)</f>
        <v>1.08</v>
      </c>
      <c r="U494" s="13" t="str">
        <f>VLOOKUP($B494,   MBI_LastBuy!$A$3:E$13199,5,FALSE)</f>
        <v>USD</v>
      </c>
      <c r="V494" s="15">
        <f>VLOOKUP($B494,   MBI_LastBuy!$A$3:E$13199,4,FALSE)</f>
        <v>44111</v>
      </c>
    </row>
    <row r="495" spans="1:22" x14ac:dyDescent="0.25">
      <c r="A495" s="11" t="s">
        <v>3555</v>
      </c>
      <c r="B495" s="11">
        <v>930620</v>
      </c>
      <c r="C495" s="11" t="str">
        <f>VLOOKUP(B495,Towary_i_uslugi!$A$4:$B$1500,2)</f>
        <v>(brak)</v>
      </c>
      <c r="D495" s="11" t="s">
        <v>2912</v>
      </c>
      <c r="E495" s="11">
        <f>VLOOKUP(B495,Towary_i_uslugi!$A$3:$T$1500,3,FALSE)</f>
        <v>24</v>
      </c>
      <c r="F495" s="11" t="str">
        <f>VLOOKUP(B495,Towary_i_uslugi!$A$3:$T$1500,20,FALSE)</f>
        <v>pvc bag</v>
      </c>
      <c r="G495" s="11">
        <f>VLOOKUP(B495,MBI_Dostawcy_towarów!$A$4:$C$1399,3,FALSE)</f>
        <v>0.80800000000000005</v>
      </c>
      <c r="H495" s="11">
        <v>490</v>
      </c>
      <c r="I495" s="11">
        <v>0</v>
      </c>
      <c r="J495" s="11">
        <v>600</v>
      </c>
      <c r="K495" s="11">
        <f>_xlfn.IFNA(VLOOKUP(B495,Towary_na_zamówieniach!$A$4:$C$1500,2,FALSE),0)</f>
        <v>721</v>
      </c>
      <c r="L495" s="11">
        <f>_xlfn.IFNA(VLOOKUP(B495,Towary_na_zamówieniach!$A$4:$C$1500,3,FALSE),0)</f>
        <v>1764</v>
      </c>
      <c r="M495" s="11">
        <f>_xlfn.IFNA(VLOOKUP(B495,MBI_Dostawcy_towarów!$A$4:$C$2000,2,FALSE),"N/A")</f>
        <v>100</v>
      </c>
      <c r="N495" s="11" t="str">
        <f>IF(VLOOKUP(B495,Towary_i_uslugi!$A$3:$T$1500,17,FALSE)=0,"!NO SUPPLIER",VLOOKUP(B495,Towary_i_uslugi!$A$3:$T$1500,17))</f>
        <v xml:space="preserve">HQ - Canada </v>
      </c>
      <c r="O495" s="11" t="str">
        <f>IF(VLOOKUP(B495,Towary_i_uslugi!$A$4:$U$1200,21,FALSE)&gt;0,VLOOKUP(B495,Towary_i_uslugi!$A$4:$U$1200,21,FALSE),"")</f>
        <v/>
      </c>
      <c r="P495" s="11">
        <f t="shared" si="21"/>
        <v>0</v>
      </c>
      <c r="Q495" s="11">
        <f t="shared" si="22"/>
        <v>0</v>
      </c>
      <c r="R495" s="17">
        <f t="shared" si="23"/>
        <v>0</v>
      </c>
      <c r="S495" s="17">
        <f>VLOOKUP($B495,   MBI_LastBuy!$A$3:E$13199,3,FALSE)</f>
        <v>720</v>
      </c>
      <c r="T495" s="13">
        <f>VLOOKUP($B495,   MBI_LastBuy!$A$3:E$13199,2,FALSE)</f>
        <v>2.4500000000000002</v>
      </c>
      <c r="U495" s="13" t="str">
        <f>VLOOKUP($B495,   MBI_LastBuy!$A$3:E$13199,5,FALSE)</f>
        <v>USD</v>
      </c>
      <c r="V495" s="15">
        <f>VLOOKUP($B495,   MBI_LastBuy!$A$3:E$13199,4,FALSE)</f>
        <v>44035</v>
      </c>
    </row>
    <row r="496" spans="1:22" x14ac:dyDescent="0.25">
      <c r="A496" s="11" t="s">
        <v>3555</v>
      </c>
      <c r="B496" s="11">
        <v>931260</v>
      </c>
      <c r="C496" s="11" t="str">
        <f>VLOOKUP(B496,Towary_i_uslugi!$A$4:$B$1500,2)</f>
        <v>(brak)</v>
      </c>
      <c r="D496" s="11" t="s">
        <v>2913</v>
      </c>
      <c r="E496" s="11">
        <f>VLOOKUP(B496,Towary_i_uslugi!$A$3:$T$1500,3,FALSE)</f>
        <v>12</v>
      </c>
      <c r="F496" s="11" t="str">
        <f>VLOOKUP(B496,Towary_i_uslugi!$A$3:$T$1500,20,FALSE)</f>
        <v>pvc bag</v>
      </c>
      <c r="G496" s="11">
        <f>VLOOKUP(B496,MBI_Dostawcy_towarów!$A$4:$C$1399,3,FALSE)</f>
        <v>1.827</v>
      </c>
      <c r="H496" s="11">
        <v>81</v>
      </c>
      <c r="I496" s="11">
        <v>0</v>
      </c>
      <c r="J496" s="11">
        <v>140</v>
      </c>
      <c r="K496" s="11">
        <f>_xlfn.IFNA(VLOOKUP(B496,Towary_na_zamówieniach!$A$4:$C$1500,2,FALSE),0)</f>
        <v>193</v>
      </c>
      <c r="L496" s="11">
        <f>_xlfn.IFNA(VLOOKUP(B496,Towary_na_zamówieniach!$A$4:$C$1500,3,FALSE),0)</f>
        <v>864</v>
      </c>
      <c r="M496" s="11">
        <f>_xlfn.IFNA(VLOOKUP(B496,MBI_Dostawcy_towarów!$A$4:$C$2000,2,FALSE),"N/A")</f>
        <v>100</v>
      </c>
      <c r="N496" s="11" t="str">
        <f>IF(VLOOKUP(B496,Towary_i_uslugi!$A$3:$T$1500,17,FALSE)=0,"!NO SUPPLIER",VLOOKUP(B496,Towary_i_uslugi!$A$3:$T$1500,17))</f>
        <v xml:space="preserve">HQ - Canada </v>
      </c>
      <c r="O496" s="11" t="str">
        <f>IF(VLOOKUP(B496,Towary_i_uslugi!$A$4:$U$1200,21,FALSE)&gt;0,VLOOKUP(B496,Towary_i_uslugi!$A$4:$U$1200,21,FALSE),"")</f>
        <v/>
      </c>
      <c r="P496" s="11">
        <f t="shared" si="21"/>
        <v>0</v>
      </c>
      <c r="Q496" s="11">
        <f t="shared" si="22"/>
        <v>0</v>
      </c>
      <c r="R496" s="17">
        <f t="shared" si="23"/>
        <v>0</v>
      </c>
      <c r="S496" s="17">
        <f>VLOOKUP($B496,   MBI_LastBuy!$A$3:E$13199,3,FALSE)</f>
        <v>192</v>
      </c>
      <c r="T496" s="13">
        <f>VLOOKUP($B496,   MBI_LastBuy!$A$3:E$13199,2,FALSE)</f>
        <v>4.5</v>
      </c>
      <c r="U496" s="13" t="str">
        <f>VLOOKUP($B496,   MBI_LastBuy!$A$3:E$13199,5,FALSE)</f>
        <v>USD</v>
      </c>
      <c r="V496" s="15">
        <f>VLOOKUP($B496,   MBI_LastBuy!$A$3:E$13199,4,FALSE)</f>
        <v>44035</v>
      </c>
    </row>
    <row r="497" spans="1:22" x14ac:dyDescent="0.25">
      <c r="A497" s="11" t="s">
        <v>3553</v>
      </c>
      <c r="B497" s="11">
        <v>940000</v>
      </c>
      <c r="C497" s="11" t="str">
        <f>VLOOKUP(B497,Towary_i_uslugi!$A$4:$B$1500,2)</f>
        <v>(brak)</v>
      </c>
      <c r="D497" s="11" t="s">
        <v>2914</v>
      </c>
      <c r="E497" s="11">
        <f>VLOOKUP(B497,Towary_i_uslugi!$A$3:$T$1500,3,FALSE)</f>
        <v>24</v>
      </c>
      <c r="F497" s="11" t="str">
        <f>VLOOKUP(B497,Towary_i_uslugi!$A$3:$T$1500,20,FALSE)</f>
        <v>pvc bag</v>
      </c>
      <c r="G497" s="11">
        <f>VLOOKUP(B497,MBI_Dostawcy_towarów!$A$4:$C$1399,3,FALSE)</f>
        <v>0.41599999999999998</v>
      </c>
      <c r="H497" s="11">
        <v>6</v>
      </c>
      <c r="I497" s="11">
        <v>0</v>
      </c>
      <c r="J497" s="11">
        <v>850</v>
      </c>
      <c r="K497" s="11">
        <f>_xlfn.IFNA(VLOOKUP(B497,Towary_na_zamówieniach!$A$4:$C$1500,2,FALSE),0)</f>
        <v>1200</v>
      </c>
      <c r="L497" s="11">
        <f>_xlfn.IFNA(VLOOKUP(B497,Towary_na_zamówieniach!$A$4:$C$1500,3,FALSE),0)</f>
        <v>1044</v>
      </c>
      <c r="M497" s="11">
        <f>_xlfn.IFNA(VLOOKUP(B497,MBI_Dostawcy_towarów!$A$4:$C$2000,2,FALSE),"N/A")</f>
        <v>100</v>
      </c>
      <c r="N497" s="11" t="str">
        <f>IF(VLOOKUP(B497,Towary_i_uslugi!$A$3:$T$1500,17,FALSE)=0,"!NO SUPPLIER",VLOOKUP(B497,Towary_i_uslugi!$A$3:$T$1500,17))</f>
        <v>FX -MAPLE Frank Xu</v>
      </c>
      <c r="O497" s="11" t="str">
        <f>IF(VLOOKUP(B497,Towary_i_uslugi!$A$4:$U$1200,21,FALSE)&gt;0,VLOOKUP(B497,Towary_i_uslugi!$A$4:$U$1200,21,FALSE),"")</f>
        <v/>
      </c>
      <c r="P497" s="11">
        <f t="shared" si="21"/>
        <v>0</v>
      </c>
      <c r="Q497" s="11">
        <f t="shared" si="22"/>
        <v>0</v>
      </c>
      <c r="R497" s="17">
        <f t="shared" si="23"/>
        <v>0</v>
      </c>
      <c r="S497" s="17">
        <f>VLOOKUP($B497,   MBI_LastBuy!$A$3:E$13199,3,FALSE)</f>
        <v>1200</v>
      </c>
      <c r="T497" s="13">
        <f>VLOOKUP($B497,   MBI_LastBuy!$A$3:E$13199,2,FALSE)</f>
        <v>0.87</v>
      </c>
      <c r="U497" s="13" t="str">
        <f>VLOOKUP($B497,   MBI_LastBuy!$A$3:E$13199,5,FALSE)</f>
        <v>USD</v>
      </c>
      <c r="V497" s="15">
        <f>VLOOKUP($B497,   MBI_LastBuy!$A$3:E$13199,4,FALSE)</f>
        <v>44005</v>
      </c>
    </row>
    <row r="498" spans="1:22" x14ac:dyDescent="0.25">
      <c r="A498" s="11" t="s">
        <v>3553</v>
      </c>
      <c r="B498" s="11">
        <v>940035</v>
      </c>
      <c r="C498" s="11" t="str">
        <f>VLOOKUP(B498,Towary_i_uslugi!$A$4:$B$1500,2)</f>
        <v>(brak)</v>
      </c>
      <c r="D498" s="11" t="s">
        <v>2644</v>
      </c>
      <c r="E498" s="11">
        <f>VLOOKUP(B498,Towary_i_uslugi!$A$3:$T$1500,3,FALSE)</f>
        <v>48</v>
      </c>
      <c r="F498" s="11" t="str">
        <f>VLOOKUP(B498,Towary_i_uslugi!$A$3:$T$1500,20,FALSE)</f>
        <v>slide blister card</v>
      </c>
      <c r="G498" s="11">
        <f>VLOOKUP(B498,MBI_Dostawcy_towarów!$A$4:$C$1399,3,FALSE)</f>
        <v>0.47</v>
      </c>
      <c r="H498" s="11">
        <v>143</v>
      </c>
      <c r="I498" s="11">
        <v>0</v>
      </c>
      <c r="J498" s="11">
        <v>200</v>
      </c>
      <c r="K498" s="11">
        <f>_xlfn.IFNA(VLOOKUP(B498,Towary_na_zamówieniach!$A$4:$C$1500,2,FALSE),0)</f>
        <v>96</v>
      </c>
      <c r="L498" s="11">
        <f>_xlfn.IFNA(VLOOKUP(B498,Towary_na_zamówieniach!$A$4:$C$1500,3,FALSE),0)</f>
        <v>207.36</v>
      </c>
      <c r="M498" s="11">
        <f>_xlfn.IFNA(VLOOKUP(B498,MBI_Dostawcy_towarów!$A$4:$C$2000,2,FALSE),"N/A")</f>
        <v>100</v>
      </c>
      <c r="N498" s="11" t="str">
        <f>IF(VLOOKUP(B498,Towary_i_uslugi!$A$3:$T$1500,17,FALSE)=0,"!NO SUPPLIER",VLOOKUP(B498,Towary_i_uslugi!$A$3:$T$1500,17))</f>
        <v>FX -MAPLE Frank Xu</v>
      </c>
      <c r="O498" s="11" t="str">
        <f>IF(VLOOKUP(B498,Towary_i_uslugi!$A$4:$U$1200,21,FALSE)&gt;0,VLOOKUP(B498,Towary_i_uslugi!$A$4:$U$1200,21,FALSE),"")</f>
        <v/>
      </c>
      <c r="P498" s="11">
        <f t="shared" si="21"/>
        <v>0</v>
      </c>
      <c r="Q498" s="11">
        <f t="shared" si="22"/>
        <v>0</v>
      </c>
      <c r="R498" s="17">
        <f t="shared" si="23"/>
        <v>0</v>
      </c>
      <c r="S498" s="17">
        <f>VLOOKUP($B498,   MBI_LastBuy!$A$3:E$13199,3,FALSE)</f>
        <v>288</v>
      </c>
      <c r="T498" s="13">
        <f>VLOOKUP($B498,   MBI_LastBuy!$A$3:E$13199,2,FALSE)</f>
        <v>2.16</v>
      </c>
      <c r="U498" s="13" t="str">
        <f>VLOOKUP($B498,   MBI_LastBuy!$A$3:E$13199,5,FALSE)</f>
        <v>USD</v>
      </c>
      <c r="V498" s="15">
        <f>VLOOKUP($B498,   MBI_LastBuy!$A$3:E$13199,4,FALSE)</f>
        <v>44043</v>
      </c>
    </row>
    <row r="499" spans="1:22" x14ac:dyDescent="0.25">
      <c r="A499" s="11" t="s">
        <v>3553</v>
      </c>
      <c r="B499" s="11">
        <v>941200</v>
      </c>
      <c r="C499" s="11" t="str">
        <f>VLOOKUP(B499,Towary_i_uslugi!$A$4:$B$1500,2)</f>
        <v>(brak)</v>
      </c>
      <c r="D499" s="11" t="s">
        <v>3719</v>
      </c>
      <c r="E499" s="11">
        <f>VLOOKUP(B499,Towary_i_uslugi!$A$3:$T$1500,3,FALSE)</f>
        <v>60</v>
      </c>
      <c r="F499" s="11" t="str">
        <f>VLOOKUP(B499,Towary_i_uslugi!$A$3:$T$1500,20,FALSE)</f>
        <v>slide blister card</v>
      </c>
      <c r="G499" s="11">
        <f>VLOOKUP(B499,MBI_Dostawcy_towarów!$A$4:$C$1399,3,FALSE)</f>
        <v>0.25600000000000001</v>
      </c>
      <c r="H499" s="11">
        <v>942</v>
      </c>
      <c r="I499" s="11">
        <v>1</v>
      </c>
      <c r="J499" s="11">
        <v>1100</v>
      </c>
      <c r="K499" s="11">
        <f>_xlfn.IFNA(VLOOKUP(B499,Towary_na_zamówieniach!$A$4:$C$1500,2,FALSE),0)</f>
        <v>1200</v>
      </c>
      <c r="L499" s="11">
        <f>_xlfn.IFNA(VLOOKUP(B499,Towary_na_zamówieniach!$A$4:$C$1500,3,FALSE),0)</f>
        <v>1476</v>
      </c>
      <c r="M499" s="11">
        <f>_xlfn.IFNA(VLOOKUP(B499,MBI_Dostawcy_towarów!$A$4:$C$2000,2,FALSE),"N/A")</f>
        <v>100</v>
      </c>
      <c r="N499" s="11" t="str">
        <f>IF(VLOOKUP(B499,Towary_i_uslugi!$A$3:$T$1500,17,FALSE)=0,"!NO SUPPLIER",VLOOKUP(B499,Towary_i_uslugi!$A$3:$T$1500,17))</f>
        <v>FX -MAPLE Frank Xu</v>
      </c>
      <c r="O499" s="11" t="str">
        <f>IF(VLOOKUP(B499,Towary_i_uslugi!$A$4:$U$1200,21,FALSE)&gt;0,VLOOKUP(B499,Towary_i_uslugi!$A$4:$U$1200,21,FALSE),"")</f>
        <v/>
      </c>
      <c r="P499" s="11">
        <f t="shared" si="21"/>
        <v>0</v>
      </c>
      <c r="Q499" s="11">
        <f t="shared" si="22"/>
        <v>0</v>
      </c>
      <c r="R499" s="17">
        <f t="shared" si="23"/>
        <v>0</v>
      </c>
      <c r="S499" s="17">
        <f>VLOOKUP($B499,   MBI_LastBuy!$A$3:E$13199,3,FALSE)</f>
        <v>1200</v>
      </c>
      <c r="T499" s="13">
        <f>VLOOKUP($B499,   MBI_LastBuy!$A$3:E$13199,2,FALSE)</f>
        <v>1.23</v>
      </c>
      <c r="U499" s="13" t="str">
        <f>VLOOKUP($B499,   MBI_LastBuy!$A$3:E$13199,5,FALSE)</f>
        <v>USD</v>
      </c>
      <c r="V499" s="15">
        <f>VLOOKUP($B499,   MBI_LastBuy!$A$3:E$13199,4,FALSE)</f>
        <v>44083</v>
      </c>
    </row>
    <row r="500" spans="1:22" x14ac:dyDescent="0.25">
      <c r="A500" s="11" t="s">
        <v>3826</v>
      </c>
      <c r="B500" s="11">
        <v>947091</v>
      </c>
      <c r="C500" s="11" t="str">
        <f>VLOOKUP(B500,Towary_i_uslugi!$A$4:$B$1500,2)</f>
        <v>(brak)</v>
      </c>
      <c r="E500" s="11">
        <f>VLOOKUP(B500,Towary_i_uslugi!$A$3:$T$1500,3,FALSE)</f>
        <v>1</v>
      </c>
      <c r="F500" s="11">
        <f>VLOOKUP(B500,Towary_i_uslugi!$A$3:$T$1500,20,FALSE)</f>
        <v>0</v>
      </c>
      <c r="G500" s="11">
        <f>VLOOKUP(B500,MBI_Dostawcy_towarów!$A$4:$C$1399,3,FALSE)</f>
        <v>1.38</v>
      </c>
      <c r="H500" s="11">
        <v>0</v>
      </c>
      <c r="I500" s="11">
        <v>0</v>
      </c>
      <c r="J500" s="11">
        <v>8</v>
      </c>
      <c r="K500" s="11">
        <f>_xlfn.IFNA(VLOOKUP(B500,Towary_na_zamówieniach!$A$4:$C$1500,2,FALSE),0)</f>
        <v>8</v>
      </c>
      <c r="L500" s="11">
        <f>_xlfn.IFNA(VLOOKUP(B500,Towary_na_zamówieniach!$A$4:$C$1500,3,FALSE),0)</f>
        <v>136.16</v>
      </c>
      <c r="M500" s="11">
        <f>_xlfn.IFNA(VLOOKUP(B500,MBI_Dostawcy_towarów!$A$4:$C$2000,2,FALSE),"N/A")</f>
        <v>7</v>
      </c>
      <c r="N500" s="11" t="str">
        <f>IF(VLOOKUP(B500,Towary_i_uslugi!$A$3:$T$1500,17,FALSE)=0,"!NO SUPPLIER",VLOOKUP(B500,Towary_i_uslugi!$A$3:$T$1500,17))</f>
        <v>Polirat</v>
      </c>
      <c r="O500" s="11" t="str">
        <f>IF(VLOOKUP(B500,Towary_i_uslugi!$A$4:$U$1200,21,FALSE)&gt;0,VLOOKUP(B500,Towary_i_uslugi!$A$4:$U$1200,21,FALSE),"")</f>
        <v/>
      </c>
      <c r="P500" s="11">
        <f t="shared" si="21"/>
        <v>0</v>
      </c>
      <c r="Q500" s="11">
        <f t="shared" si="22"/>
        <v>0</v>
      </c>
      <c r="R500" s="17">
        <f t="shared" si="23"/>
        <v>0</v>
      </c>
      <c r="S500" s="17">
        <f>VLOOKUP($B500,   MBI_LastBuy!$A$3:E$13199,3,FALSE)</f>
        <v>10</v>
      </c>
      <c r="T500" s="13">
        <f>VLOOKUP($B500,   MBI_LastBuy!$A$3:E$13199,2,FALSE)</f>
        <v>17.02</v>
      </c>
      <c r="U500" s="13" t="str">
        <f>VLOOKUP($B500,   MBI_LastBuy!$A$3:E$13199,5,FALSE)</f>
        <v>PLN</v>
      </c>
      <c r="V500" s="15">
        <f>VLOOKUP($B500,   MBI_LastBuy!$A$3:E$13199,4,FALSE)</f>
        <v>43243</v>
      </c>
    </row>
    <row r="501" spans="1:22" x14ac:dyDescent="0.25">
      <c r="A501" s="11" t="s">
        <v>3826</v>
      </c>
      <c r="B501" s="11">
        <v>947096</v>
      </c>
      <c r="C501" s="11" t="str">
        <f>VLOOKUP(B501,Towary_i_uslugi!$A$4:$B$1500,2)</f>
        <v>(brak)</v>
      </c>
      <c r="E501" s="11">
        <f>VLOOKUP(B501,Towary_i_uslugi!$A$3:$T$1500,3,FALSE)</f>
        <v>25</v>
      </c>
      <c r="F501" s="11">
        <f>VLOOKUP(B501,Towary_i_uslugi!$A$3:$T$1500,20,FALSE)</f>
        <v>0</v>
      </c>
      <c r="G501" s="11">
        <f>VLOOKUP(B501,MBI_Dostawcy_towarów!$A$4:$C$1399,3,FALSE)</f>
        <v>0.46</v>
      </c>
      <c r="H501" s="11">
        <v>0</v>
      </c>
      <c r="I501" s="11">
        <v>0</v>
      </c>
      <c r="J501" s="11">
        <v>8</v>
      </c>
      <c r="K501" s="11">
        <f>_xlfn.IFNA(VLOOKUP(B501,Towary_na_zamówieniach!$A$4:$C$1500,2,FALSE),0)</f>
        <v>25</v>
      </c>
      <c r="L501" s="11">
        <f>_xlfn.IFNA(VLOOKUP(B501,Towary_na_zamówieniach!$A$4:$C$1500,3,FALSE),0)</f>
        <v>483</v>
      </c>
      <c r="M501" s="11">
        <f>_xlfn.IFNA(VLOOKUP(B501,MBI_Dostawcy_towarów!$A$4:$C$2000,2,FALSE),"N/A")</f>
        <v>7</v>
      </c>
      <c r="N501" s="11" t="str">
        <f>IF(VLOOKUP(B501,Towary_i_uslugi!$A$3:$T$1500,17,FALSE)=0,"!NO SUPPLIER",VLOOKUP(B501,Towary_i_uslugi!$A$3:$T$1500,17))</f>
        <v>Polirat</v>
      </c>
      <c r="O501" s="11" t="str">
        <f>IF(VLOOKUP(B501,Towary_i_uslugi!$A$4:$U$1200,21,FALSE)&gt;0,VLOOKUP(B501,Towary_i_uslugi!$A$4:$U$1200,21,FALSE),"")</f>
        <v/>
      </c>
      <c r="P501" s="11">
        <f t="shared" si="21"/>
        <v>0</v>
      </c>
      <c r="Q501" s="11">
        <f t="shared" si="22"/>
        <v>0</v>
      </c>
      <c r="R501" s="17">
        <f t="shared" si="23"/>
        <v>0</v>
      </c>
      <c r="S501" s="17">
        <f>VLOOKUP($B501,   MBI_LastBuy!$A$3:E$13199,3,FALSE)</f>
        <v>50</v>
      </c>
      <c r="T501" s="13">
        <f>VLOOKUP($B501,   MBI_LastBuy!$A$3:E$13199,2,FALSE)</f>
        <v>19.32</v>
      </c>
      <c r="U501" s="13" t="str">
        <f>VLOOKUP($B501,   MBI_LastBuy!$A$3:E$13199,5,FALSE)</f>
        <v>PLN</v>
      </c>
      <c r="V501" s="15">
        <f>VLOOKUP($B501,   MBI_LastBuy!$A$3:E$13199,4,FALSE)</f>
        <v>42258</v>
      </c>
    </row>
    <row r="502" spans="1:22" x14ac:dyDescent="0.25">
      <c r="A502" s="11" t="s">
        <v>3826</v>
      </c>
      <c r="B502" s="11">
        <v>947097</v>
      </c>
      <c r="C502" s="11" t="str">
        <f>VLOOKUP(B502,Towary_i_uslugi!$A$4:$B$1500,2)</f>
        <v>(brak)</v>
      </c>
      <c r="E502" s="11">
        <f>VLOOKUP(B502,Towary_i_uslugi!$A$3:$T$1500,3,FALSE)</f>
        <v>25</v>
      </c>
      <c r="F502" s="11">
        <f>VLOOKUP(B502,Towary_i_uslugi!$A$3:$T$1500,20,FALSE)</f>
        <v>0</v>
      </c>
      <c r="G502" s="11">
        <f>VLOOKUP(B502,MBI_Dostawcy_towarów!$A$4:$C$1399,3,FALSE)</f>
        <v>0.53</v>
      </c>
      <c r="H502" s="11">
        <v>0</v>
      </c>
      <c r="I502" s="11">
        <v>0</v>
      </c>
      <c r="J502" s="11">
        <v>8</v>
      </c>
      <c r="K502" s="11">
        <f>_xlfn.IFNA(VLOOKUP(B502,Towary_na_zamówieniach!$A$4:$C$1500,2,FALSE),0)</f>
        <v>25</v>
      </c>
      <c r="L502" s="11">
        <f>_xlfn.IFNA(VLOOKUP(B502,Towary_na_zamówieniach!$A$4:$C$1500,3,FALSE),0)</f>
        <v>519.75</v>
      </c>
      <c r="M502" s="11">
        <f>_xlfn.IFNA(VLOOKUP(B502,MBI_Dostawcy_towarów!$A$4:$C$2000,2,FALSE),"N/A")</f>
        <v>7</v>
      </c>
      <c r="N502" s="11" t="str">
        <f>IF(VLOOKUP(B502,Towary_i_uslugi!$A$3:$T$1500,17,FALSE)=0,"!NO SUPPLIER",VLOOKUP(B502,Towary_i_uslugi!$A$3:$T$1500,17))</f>
        <v>Polirat</v>
      </c>
      <c r="O502" s="11" t="str">
        <f>IF(VLOOKUP(B502,Towary_i_uslugi!$A$4:$U$1200,21,FALSE)&gt;0,VLOOKUP(B502,Towary_i_uslugi!$A$4:$U$1200,21,FALSE),"")</f>
        <v/>
      </c>
      <c r="P502" s="11">
        <f t="shared" si="21"/>
        <v>0</v>
      </c>
      <c r="Q502" s="11">
        <f t="shared" si="22"/>
        <v>0</v>
      </c>
      <c r="R502" s="17">
        <f t="shared" si="23"/>
        <v>0</v>
      </c>
      <c r="S502" s="17">
        <f>VLOOKUP($B502,   MBI_LastBuy!$A$3:E$13199,3,FALSE)</f>
        <v>10</v>
      </c>
      <c r="T502" s="13">
        <f>VLOOKUP($B502,   MBI_LastBuy!$A$3:E$13199,2,FALSE)</f>
        <v>20.79</v>
      </c>
      <c r="U502" s="13" t="str">
        <f>VLOOKUP($B502,   MBI_LastBuy!$A$3:E$13199,5,FALSE)</f>
        <v>PLN</v>
      </c>
      <c r="V502" s="15">
        <f>VLOOKUP($B502,   MBI_LastBuy!$A$3:E$13199,4,FALSE)</f>
        <v>43243</v>
      </c>
    </row>
    <row r="503" spans="1:22" x14ac:dyDescent="0.25">
      <c r="A503" s="11" t="s">
        <v>3826</v>
      </c>
      <c r="B503" s="11">
        <v>947098</v>
      </c>
      <c r="C503" s="11" t="str">
        <f>VLOOKUP(B503,Towary_i_uslugi!$A$4:$B$1500,2)</f>
        <v>(brak)</v>
      </c>
      <c r="E503" s="11">
        <f>VLOOKUP(B503,Towary_i_uslugi!$A$3:$T$1500,3,FALSE)</f>
        <v>25</v>
      </c>
      <c r="F503" s="11">
        <f>VLOOKUP(B503,Towary_i_uslugi!$A$3:$T$1500,20,FALSE)</f>
        <v>0</v>
      </c>
      <c r="G503" s="11">
        <f>VLOOKUP(B503,MBI_Dostawcy_towarów!$A$4:$C$1399,3,FALSE)</f>
        <v>0.6</v>
      </c>
      <c r="H503" s="11">
        <v>0</v>
      </c>
      <c r="I503" s="11">
        <v>0</v>
      </c>
      <c r="J503" s="11">
        <v>8</v>
      </c>
      <c r="K503" s="11">
        <f>_xlfn.IFNA(VLOOKUP(B503,Towary_na_zamówieniach!$A$4:$C$1500,2,FALSE),0)</f>
        <v>25</v>
      </c>
      <c r="L503" s="11">
        <f>_xlfn.IFNA(VLOOKUP(B503,Towary_na_zamówieniach!$A$4:$C$1500,3,FALSE),0)</f>
        <v>538.25</v>
      </c>
      <c r="M503" s="11">
        <f>_xlfn.IFNA(VLOOKUP(B503,MBI_Dostawcy_towarów!$A$4:$C$2000,2,FALSE),"N/A")</f>
        <v>7</v>
      </c>
      <c r="N503" s="11" t="str">
        <f>IF(VLOOKUP(B503,Towary_i_uslugi!$A$3:$T$1500,17,FALSE)=0,"!NO SUPPLIER",VLOOKUP(B503,Towary_i_uslugi!$A$3:$T$1500,17))</f>
        <v>Polirat</v>
      </c>
      <c r="O503" s="11" t="str">
        <f>IF(VLOOKUP(B503,Towary_i_uslugi!$A$4:$U$1200,21,FALSE)&gt;0,VLOOKUP(B503,Towary_i_uslugi!$A$4:$U$1200,21,FALSE),"")</f>
        <v/>
      </c>
      <c r="P503" s="11">
        <f t="shared" si="21"/>
        <v>0</v>
      </c>
      <c r="Q503" s="11">
        <f t="shared" si="22"/>
        <v>0</v>
      </c>
      <c r="R503" s="17">
        <f t="shared" si="23"/>
        <v>0</v>
      </c>
      <c r="S503" s="17">
        <f>VLOOKUP($B503,   MBI_LastBuy!$A$3:E$13199,3,FALSE)</f>
        <v>2</v>
      </c>
      <c r="T503" s="13">
        <f>VLOOKUP($B503,   MBI_LastBuy!$A$3:E$13199,2,FALSE)</f>
        <v>21.53</v>
      </c>
      <c r="U503" s="13" t="str">
        <f>VLOOKUP($B503,   MBI_LastBuy!$A$3:E$13199,5,FALSE)</f>
        <v>PLN</v>
      </c>
      <c r="V503" s="15">
        <f>VLOOKUP($B503,   MBI_LastBuy!$A$3:E$13199,4,FALSE)</f>
        <v>42212</v>
      </c>
    </row>
    <row r="504" spans="1:22" x14ac:dyDescent="0.25">
      <c r="A504" s="11" t="s">
        <v>3826</v>
      </c>
      <c r="B504" s="11">
        <v>947099</v>
      </c>
      <c r="C504" s="11" t="str">
        <f>VLOOKUP(B504,Towary_i_uslugi!$A$4:$B$1500,2)</f>
        <v>(brak)</v>
      </c>
      <c r="E504" s="11">
        <f>VLOOKUP(B504,Towary_i_uslugi!$A$3:$T$1500,3,FALSE)</f>
        <v>25</v>
      </c>
      <c r="F504" s="11">
        <f>VLOOKUP(B504,Towary_i_uslugi!$A$3:$T$1500,20,FALSE)</f>
        <v>0</v>
      </c>
      <c r="G504" s="11">
        <f>VLOOKUP(B504,MBI_Dostawcy_towarów!$A$4:$C$1399,3,FALSE)</f>
        <v>0.66</v>
      </c>
      <c r="H504" s="11">
        <v>0</v>
      </c>
      <c r="I504" s="11">
        <v>0</v>
      </c>
      <c r="J504" s="11">
        <v>8</v>
      </c>
      <c r="K504" s="11">
        <f>_xlfn.IFNA(VLOOKUP(B504,Towary_na_zamówieniach!$A$4:$C$1500,2,FALSE),0)</f>
        <v>25</v>
      </c>
      <c r="L504" s="11">
        <f>_xlfn.IFNA(VLOOKUP(B504,Towary_na_zamówieniach!$A$4:$C$1500,3,FALSE),0)</f>
        <v>563.5</v>
      </c>
      <c r="M504" s="11">
        <f>_xlfn.IFNA(VLOOKUP(B504,MBI_Dostawcy_towarów!$A$4:$C$2000,2,FALSE),"N/A")</f>
        <v>7</v>
      </c>
      <c r="N504" s="11" t="str">
        <f>IF(VLOOKUP(B504,Towary_i_uslugi!$A$3:$T$1500,17,FALSE)=0,"!NO SUPPLIER",VLOOKUP(B504,Towary_i_uslugi!$A$3:$T$1500,17))</f>
        <v>Polirat</v>
      </c>
      <c r="O504" s="11" t="str">
        <f>IF(VLOOKUP(B504,Towary_i_uslugi!$A$4:$U$1200,21,FALSE)&gt;0,VLOOKUP(B504,Towary_i_uslugi!$A$4:$U$1200,21,FALSE),"")</f>
        <v/>
      </c>
      <c r="P504" s="11">
        <f t="shared" si="21"/>
        <v>0</v>
      </c>
      <c r="Q504" s="11">
        <f t="shared" si="22"/>
        <v>0</v>
      </c>
      <c r="R504" s="17">
        <f t="shared" si="23"/>
        <v>0</v>
      </c>
      <c r="S504" s="17">
        <f>VLOOKUP($B504,   MBI_LastBuy!$A$3:E$13199,3,FALSE)</f>
        <v>2</v>
      </c>
      <c r="T504" s="13">
        <f>VLOOKUP($B504,   MBI_LastBuy!$A$3:E$13199,2,FALSE)</f>
        <v>22.54</v>
      </c>
      <c r="U504" s="13" t="str">
        <f>VLOOKUP($B504,   MBI_LastBuy!$A$3:E$13199,5,FALSE)</f>
        <v>PLN</v>
      </c>
      <c r="V504" s="15">
        <f>VLOOKUP($B504,   MBI_LastBuy!$A$3:E$13199,4,FALSE)</f>
        <v>42212</v>
      </c>
    </row>
    <row r="505" spans="1:22" x14ac:dyDescent="0.25">
      <c r="A505" s="11" t="s">
        <v>3553</v>
      </c>
      <c r="B505" s="11">
        <v>955024</v>
      </c>
      <c r="C505" s="11" t="str">
        <f>VLOOKUP(B505,Towary_i_uslugi!$A$4:$B$1500,2)</f>
        <v>(brak)</v>
      </c>
      <c r="D505" s="11" t="s">
        <v>2915</v>
      </c>
      <c r="E505" s="11">
        <f>VLOOKUP(B505,Towary_i_uslugi!$A$3:$T$1500,3,FALSE)</f>
        <v>240</v>
      </c>
      <c r="F505" s="11" t="str">
        <f>VLOOKUP(B505,Towary_i_uslugi!$A$3:$T$1500,20,FALSE)</f>
        <v>roll/carton header</v>
      </c>
      <c r="G505" s="11">
        <f>VLOOKUP(B505,MBI_Dostawcy_towarów!$A$4:$C$1399,3,FALSE)</f>
        <v>0.09</v>
      </c>
      <c r="H505" s="11">
        <v>1</v>
      </c>
      <c r="I505" s="11">
        <v>0</v>
      </c>
      <c r="J505" s="11">
        <v>900</v>
      </c>
      <c r="K505" s="11">
        <f>_xlfn.IFNA(VLOOKUP(B505,Towary_na_zamówieniach!$A$4:$C$1500,2,FALSE),0)</f>
        <v>1200</v>
      </c>
      <c r="L505" s="11">
        <f>_xlfn.IFNA(VLOOKUP(B505,Towary_na_zamówieniach!$A$4:$C$1500,3,FALSE),0)</f>
        <v>552</v>
      </c>
      <c r="M505" s="11">
        <f>_xlfn.IFNA(VLOOKUP(B505,MBI_Dostawcy_towarów!$A$4:$C$2000,2,FALSE),"N/A")</f>
        <v>100</v>
      </c>
      <c r="N505" s="11" t="str">
        <f>IF(VLOOKUP(B505,Towary_i_uslugi!$A$3:$T$1500,17,FALSE)=0,"!NO SUPPLIER",VLOOKUP(B505,Towary_i_uslugi!$A$3:$T$1500,17))</f>
        <v>FX -MAPLE Frank Xu</v>
      </c>
      <c r="O505" s="11" t="str">
        <f>IF(VLOOKUP(B505,Towary_i_uslugi!$A$4:$U$1200,21,FALSE)&gt;0,VLOOKUP(B505,Towary_i_uslugi!$A$4:$U$1200,21,FALSE),"")</f>
        <v/>
      </c>
      <c r="P505" s="11">
        <f t="shared" si="21"/>
        <v>0</v>
      </c>
      <c r="Q505" s="11">
        <f t="shared" si="22"/>
        <v>0</v>
      </c>
      <c r="R505" s="17">
        <f t="shared" si="23"/>
        <v>0</v>
      </c>
      <c r="S505" s="17">
        <f>VLOOKUP($B505,   MBI_LastBuy!$A$3:E$13199,3,FALSE)</f>
        <v>1200</v>
      </c>
      <c r="T505" s="13">
        <f>VLOOKUP($B505,   MBI_LastBuy!$A$3:E$13199,2,FALSE)</f>
        <v>0.46</v>
      </c>
      <c r="U505" s="13" t="str">
        <f>VLOOKUP($B505,   MBI_LastBuy!$A$3:E$13199,5,FALSE)</f>
        <v>USD</v>
      </c>
      <c r="V505" s="15">
        <f>VLOOKUP($B505,   MBI_LastBuy!$A$3:E$13199,4,FALSE)</f>
        <v>44113</v>
      </c>
    </row>
    <row r="506" spans="1:22" x14ac:dyDescent="0.25">
      <c r="A506" s="11" t="s">
        <v>3553</v>
      </c>
      <c r="B506" s="11">
        <v>955025</v>
      </c>
      <c r="C506" s="11" t="str">
        <f>VLOOKUP(B506,Towary_i_uslugi!$A$4:$B$1500,2)</f>
        <v>(brak)</v>
      </c>
      <c r="D506" s="11" t="s">
        <v>3720</v>
      </c>
      <c r="E506" s="11">
        <f>VLOOKUP(B506,Towary_i_uslugi!$A$3:$T$1500,3,FALSE)</f>
        <v>240</v>
      </c>
      <c r="F506" s="11" t="str">
        <f>VLOOKUP(B506,Towary_i_uslugi!$A$3:$T$1500,20,FALSE)</f>
        <v>roll/carton header</v>
      </c>
      <c r="G506" s="11">
        <f>VLOOKUP(B506,MBI_Dostawcy_towarów!$A$4:$C$1399,3,FALSE)</f>
        <v>0.09</v>
      </c>
      <c r="H506" s="11">
        <v>334</v>
      </c>
      <c r="I506" s="11">
        <v>0</v>
      </c>
      <c r="J506" s="11">
        <v>500</v>
      </c>
      <c r="K506" s="11">
        <f>_xlfn.IFNA(VLOOKUP(B506,Towary_na_zamówieniach!$A$4:$C$1500,2,FALSE),0)</f>
        <v>1440</v>
      </c>
      <c r="L506" s="11">
        <f>_xlfn.IFNA(VLOOKUP(B506,Towary_na_zamówieniach!$A$4:$C$1500,3,FALSE),0)</f>
        <v>936</v>
      </c>
      <c r="M506" s="11">
        <f>_xlfn.IFNA(VLOOKUP(B506,MBI_Dostawcy_towarów!$A$4:$C$2000,2,FALSE),"N/A")</f>
        <v>100</v>
      </c>
      <c r="N506" s="11" t="str">
        <f>IF(VLOOKUP(B506,Towary_i_uslugi!$A$3:$T$1500,17,FALSE)=0,"!NO SUPPLIER",VLOOKUP(B506,Towary_i_uslugi!$A$3:$T$1500,17))</f>
        <v>FX -MAPLE Frank Xu</v>
      </c>
      <c r="O506" s="11" t="str">
        <f>IF(VLOOKUP(B506,Towary_i_uslugi!$A$4:$U$1200,21,FALSE)&gt;0,VLOOKUP(B506,Towary_i_uslugi!$A$4:$U$1200,21,FALSE),"")</f>
        <v/>
      </c>
      <c r="P506" s="11">
        <f t="shared" si="21"/>
        <v>0</v>
      </c>
      <c r="Q506" s="11">
        <f t="shared" si="22"/>
        <v>0</v>
      </c>
      <c r="R506" s="17">
        <f t="shared" si="23"/>
        <v>0</v>
      </c>
      <c r="S506" s="17">
        <f>VLOOKUP($B506,   MBI_LastBuy!$A$3:E$13199,3,FALSE)</f>
        <v>1440</v>
      </c>
      <c r="T506" s="13">
        <f>VLOOKUP($B506,   MBI_LastBuy!$A$3:E$13199,2,FALSE)</f>
        <v>0.65</v>
      </c>
      <c r="U506" s="13" t="str">
        <f>VLOOKUP($B506,   MBI_LastBuy!$A$3:E$13199,5,FALSE)</f>
        <v>USD</v>
      </c>
      <c r="V506" s="15">
        <f>VLOOKUP($B506,   MBI_LastBuy!$A$3:E$13199,4,FALSE)</f>
        <v>44131</v>
      </c>
    </row>
    <row r="507" spans="1:22" x14ac:dyDescent="0.25">
      <c r="A507" s="11" t="s">
        <v>3553</v>
      </c>
      <c r="B507" s="11">
        <v>955030</v>
      </c>
      <c r="C507" s="11" t="str">
        <f>VLOOKUP(B507,Towary_i_uslugi!$A$4:$B$1500,2)</f>
        <v>(brak)</v>
      </c>
      <c r="D507" s="11" t="s">
        <v>2916</v>
      </c>
      <c r="E507" s="11">
        <f>VLOOKUP(B507,Towary_i_uslugi!$A$3:$T$1500,3,FALSE)</f>
        <v>160</v>
      </c>
      <c r="F507" s="11" t="str">
        <f>VLOOKUP(B507,Towary_i_uslugi!$A$3:$T$1500,20,FALSE)</f>
        <v>roll/carton header</v>
      </c>
      <c r="G507" s="11">
        <f>VLOOKUP(B507,MBI_Dostawcy_towarów!$A$4:$C$1399,3,FALSE)</f>
        <v>0.09</v>
      </c>
      <c r="H507" s="11">
        <v>199</v>
      </c>
      <c r="I507" s="11">
        <v>0</v>
      </c>
      <c r="J507" s="11">
        <v>500</v>
      </c>
      <c r="K507" s="11">
        <f>_xlfn.IFNA(VLOOKUP(B507,Towary_na_zamówieniach!$A$4:$C$1500,2,FALSE),0)</f>
        <v>1280</v>
      </c>
      <c r="L507" s="11">
        <f>_xlfn.IFNA(VLOOKUP(B507,Towary_na_zamówieniach!$A$4:$C$1500,3,FALSE),0)</f>
        <v>857.6</v>
      </c>
      <c r="M507" s="11">
        <f>_xlfn.IFNA(VLOOKUP(B507,MBI_Dostawcy_towarów!$A$4:$C$2000,2,FALSE),"N/A")</f>
        <v>100</v>
      </c>
      <c r="N507" s="11" t="str">
        <f>IF(VLOOKUP(B507,Towary_i_uslugi!$A$3:$T$1500,17,FALSE)=0,"!NO SUPPLIER",VLOOKUP(B507,Towary_i_uslugi!$A$3:$T$1500,17))</f>
        <v>FX -MAPLE Frank Xu</v>
      </c>
      <c r="O507" s="11" t="str">
        <f>IF(VLOOKUP(B507,Towary_i_uslugi!$A$4:$U$1200,21,FALSE)&gt;0,VLOOKUP(B507,Towary_i_uslugi!$A$4:$U$1200,21,FALSE),"")</f>
        <v/>
      </c>
      <c r="P507" s="11">
        <f t="shared" si="21"/>
        <v>0</v>
      </c>
      <c r="Q507" s="11">
        <f t="shared" si="22"/>
        <v>0</v>
      </c>
      <c r="R507" s="17">
        <f t="shared" si="23"/>
        <v>0</v>
      </c>
      <c r="S507" s="17">
        <f>VLOOKUP($B507,   MBI_LastBuy!$A$3:E$13199,3,FALSE)</f>
        <v>1280</v>
      </c>
      <c r="T507" s="13">
        <f>VLOOKUP($B507,   MBI_LastBuy!$A$3:E$13199,2,FALSE)</f>
        <v>0.67</v>
      </c>
      <c r="U507" s="13" t="str">
        <f>VLOOKUP($B507,   MBI_LastBuy!$A$3:E$13199,5,FALSE)</f>
        <v>USD</v>
      </c>
      <c r="V507" s="15">
        <f>VLOOKUP($B507,   MBI_LastBuy!$A$3:E$13199,4,FALSE)</f>
        <v>44113</v>
      </c>
    </row>
    <row r="508" spans="1:22" x14ac:dyDescent="0.25">
      <c r="A508" s="11" t="s">
        <v>3553</v>
      </c>
      <c r="B508" s="11">
        <v>955031</v>
      </c>
      <c r="C508" s="11" t="str">
        <f>VLOOKUP(B508,Towary_i_uslugi!$A$4:$B$1500,2)</f>
        <v>(brak)</v>
      </c>
      <c r="D508" s="11" t="s">
        <v>2917</v>
      </c>
      <c r="E508" s="11">
        <f>VLOOKUP(B508,Towary_i_uslugi!$A$3:$T$1500,3,FALSE)</f>
        <v>160</v>
      </c>
      <c r="F508" s="11" t="str">
        <f>VLOOKUP(B508,Towary_i_uslugi!$A$3:$T$1500,20,FALSE)</f>
        <v>roll/carton header</v>
      </c>
      <c r="G508" s="11">
        <f>VLOOKUP(B508,MBI_Dostawcy_towarów!$A$4:$C$1399,3,FALSE)</f>
        <v>0.13100000000000001</v>
      </c>
      <c r="H508" s="11">
        <v>1</v>
      </c>
      <c r="I508" s="11">
        <v>0</v>
      </c>
      <c r="J508" s="11">
        <v>350</v>
      </c>
      <c r="K508" s="11">
        <f>_xlfn.IFNA(VLOOKUP(B508,Towary_na_zamówieniach!$A$4:$C$1500,2,FALSE),0)</f>
        <v>1280</v>
      </c>
      <c r="L508" s="11">
        <f>_xlfn.IFNA(VLOOKUP(B508,Towary_na_zamówieniach!$A$4:$C$1500,3,FALSE),0)</f>
        <v>1216</v>
      </c>
      <c r="M508" s="11">
        <f>_xlfn.IFNA(VLOOKUP(B508,MBI_Dostawcy_towarów!$A$4:$C$2000,2,FALSE),"N/A")</f>
        <v>100</v>
      </c>
      <c r="N508" s="11" t="str">
        <f>IF(VLOOKUP(B508,Towary_i_uslugi!$A$3:$T$1500,17,FALSE)=0,"!NO SUPPLIER",VLOOKUP(B508,Towary_i_uslugi!$A$3:$T$1500,17))</f>
        <v>FX -MAPLE Frank Xu</v>
      </c>
      <c r="O508" s="11" t="str">
        <f>IF(VLOOKUP(B508,Towary_i_uslugi!$A$4:$U$1200,21,FALSE)&gt;0,VLOOKUP(B508,Towary_i_uslugi!$A$4:$U$1200,21,FALSE),"")</f>
        <v/>
      </c>
      <c r="P508" s="11">
        <f t="shared" si="21"/>
        <v>0</v>
      </c>
      <c r="Q508" s="11">
        <f t="shared" si="22"/>
        <v>0</v>
      </c>
      <c r="R508" s="17">
        <f t="shared" si="23"/>
        <v>0</v>
      </c>
      <c r="S508" s="17">
        <f>VLOOKUP($B508,   MBI_LastBuy!$A$3:E$13199,3,FALSE)</f>
        <v>1280</v>
      </c>
      <c r="T508" s="13">
        <f>VLOOKUP($B508,   MBI_LastBuy!$A$3:E$13199,2,FALSE)</f>
        <v>0.95</v>
      </c>
      <c r="U508" s="13" t="str">
        <f>VLOOKUP($B508,   MBI_LastBuy!$A$3:E$13199,5,FALSE)</f>
        <v>USD</v>
      </c>
      <c r="V508" s="15">
        <f>VLOOKUP($B508,   MBI_LastBuy!$A$3:E$13199,4,FALSE)</f>
        <v>44113</v>
      </c>
    </row>
    <row r="509" spans="1:22" x14ac:dyDescent="0.25">
      <c r="A509" s="11" t="s">
        <v>3553</v>
      </c>
      <c r="B509" s="11">
        <v>955130</v>
      </c>
      <c r="C509" s="11" t="str">
        <f>VLOOKUP(B509,Towary_i_uslugi!$A$4:$B$1500,2)</f>
        <v>(brak)</v>
      </c>
      <c r="D509" s="11" t="s">
        <v>2918</v>
      </c>
      <c r="E509" s="11">
        <f>VLOOKUP(B509,Towary_i_uslugi!$A$3:$T$1500,3,FALSE)</f>
        <v>140</v>
      </c>
      <c r="F509" s="11" t="str">
        <f>VLOOKUP(B509,Towary_i_uslugi!$A$3:$T$1500,20,FALSE)</f>
        <v>roll/carton header</v>
      </c>
      <c r="G509" s="11">
        <f>VLOOKUP(B509,MBI_Dostawcy_towarów!$A$4:$C$1399,3,FALSE)</f>
        <v>0.15</v>
      </c>
      <c r="H509" s="11">
        <v>2</v>
      </c>
      <c r="I509" s="11">
        <v>1</v>
      </c>
      <c r="J509" s="11">
        <v>500</v>
      </c>
      <c r="K509" s="11">
        <f>_xlfn.IFNA(VLOOKUP(B509,Towary_na_zamówieniach!$A$4:$C$1500,2,FALSE),0)</f>
        <v>1120</v>
      </c>
      <c r="L509" s="11">
        <f>_xlfn.IFNA(VLOOKUP(B509,Towary_na_zamówieniach!$A$4:$C$1500,3,FALSE),0)</f>
        <v>817.6</v>
      </c>
      <c r="M509" s="11">
        <f>_xlfn.IFNA(VLOOKUP(B509,MBI_Dostawcy_towarów!$A$4:$C$2000,2,FALSE),"N/A")</f>
        <v>100</v>
      </c>
      <c r="N509" s="11" t="str">
        <f>IF(VLOOKUP(B509,Towary_i_uslugi!$A$3:$T$1500,17,FALSE)=0,"!NO SUPPLIER",VLOOKUP(B509,Towary_i_uslugi!$A$3:$T$1500,17))</f>
        <v>FX -MAPLE Frank Xu</v>
      </c>
      <c r="O509" s="11" t="str">
        <f>IF(VLOOKUP(B509,Towary_i_uslugi!$A$4:$U$1200,21,FALSE)&gt;0,VLOOKUP(B509,Towary_i_uslugi!$A$4:$U$1200,21,FALSE),"")</f>
        <v/>
      </c>
      <c r="P509" s="11">
        <f t="shared" si="21"/>
        <v>0</v>
      </c>
      <c r="Q509" s="11">
        <f t="shared" si="22"/>
        <v>0</v>
      </c>
      <c r="R509" s="17">
        <f t="shared" si="23"/>
        <v>0</v>
      </c>
      <c r="S509" s="17">
        <f>VLOOKUP($B509,   MBI_LastBuy!$A$3:E$13199,3,FALSE)</f>
        <v>1120</v>
      </c>
      <c r="T509" s="13">
        <f>VLOOKUP($B509,   MBI_LastBuy!$A$3:E$13199,2,FALSE)</f>
        <v>0.73</v>
      </c>
      <c r="U509" s="13" t="str">
        <f>VLOOKUP($B509,   MBI_LastBuy!$A$3:E$13199,5,FALSE)</f>
        <v>USD</v>
      </c>
      <c r="V509" s="15">
        <f>VLOOKUP($B509,   MBI_LastBuy!$A$3:E$13199,4,FALSE)</f>
        <v>44113</v>
      </c>
    </row>
    <row r="510" spans="1:22" x14ac:dyDescent="0.25">
      <c r="A510" s="11" t="s">
        <v>3553</v>
      </c>
      <c r="B510" s="11">
        <v>955230</v>
      </c>
      <c r="C510" s="11" t="str">
        <f>VLOOKUP(B510,Towary_i_uslugi!$A$4:$B$1500,2)</f>
        <v>(brak)</v>
      </c>
      <c r="D510" s="11" t="s">
        <v>2919</v>
      </c>
      <c r="E510" s="11">
        <f>VLOOKUP(B510,Towary_i_uslugi!$A$3:$T$1500,3,FALSE)</f>
        <v>160</v>
      </c>
      <c r="F510" s="11" t="str">
        <f>VLOOKUP(B510,Towary_i_uslugi!$A$3:$T$1500,20,FALSE)</f>
        <v>roll/carton header</v>
      </c>
      <c r="G510" s="11">
        <f>VLOOKUP(B510,MBI_Dostawcy_towarów!$A$4:$C$1399,3,FALSE)</f>
        <v>0.125</v>
      </c>
      <c r="H510" s="11">
        <v>1</v>
      </c>
      <c r="I510" s="11">
        <v>0</v>
      </c>
      <c r="J510" s="11">
        <v>200</v>
      </c>
      <c r="K510" s="11">
        <f>_xlfn.IFNA(VLOOKUP(B510,Towary_na_zamówieniach!$A$4:$C$1500,2,FALSE),0)</f>
        <v>1280</v>
      </c>
      <c r="L510" s="11">
        <f>_xlfn.IFNA(VLOOKUP(B510,Towary_na_zamówieniach!$A$4:$C$1500,3,FALSE),0)</f>
        <v>678.4</v>
      </c>
      <c r="M510" s="11">
        <f>_xlfn.IFNA(VLOOKUP(B510,MBI_Dostawcy_towarów!$A$4:$C$2000,2,FALSE),"N/A")</f>
        <v>100</v>
      </c>
      <c r="N510" s="11" t="str">
        <f>IF(VLOOKUP(B510,Towary_i_uslugi!$A$3:$T$1500,17,FALSE)=0,"!NO SUPPLIER",VLOOKUP(B510,Towary_i_uslugi!$A$3:$T$1500,17))</f>
        <v>FX -MAPLE Frank Xu</v>
      </c>
      <c r="O510" s="11" t="str">
        <f>IF(VLOOKUP(B510,Towary_i_uslugi!$A$4:$U$1200,21,FALSE)&gt;0,VLOOKUP(B510,Towary_i_uslugi!$A$4:$U$1200,21,FALSE),"")</f>
        <v/>
      </c>
      <c r="P510" s="11">
        <f t="shared" si="21"/>
        <v>0</v>
      </c>
      <c r="Q510" s="11">
        <f t="shared" si="22"/>
        <v>0</v>
      </c>
      <c r="R510" s="17">
        <f t="shared" si="23"/>
        <v>0</v>
      </c>
      <c r="S510" s="17">
        <f>VLOOKUP($B510,   MBI_LastBuy!$A$3:E$13199,3,FALSE)</f>
        <v>1280</v>
      </c>
      <c r="T510" s="13">
        <f>VLOOKUP($B510,   MBI_LastBuy!$A$3:E$13199,2,FALSE)</f>
        <v>0.53</v>
      </c>
      <c r="U510" s="13" t="str">
        <f>VLOOKUP($B510,   MBI_LastBuy!$A$3:E$13199,5,FALSE)</f>
        <v>USD</v>
      </c>
      <c r="V510" s="15">
        <f>VLOOKUP($B510,   MBI_LastBuy!$A$3:E$13199,4,FALSE)</f>
        <v>44113</v>
      </c>
    </row>
    <row r="511" spans="1:22" x14ac:dyDescent="0.25">
      <c r="A511" s="11" t="s">
        <v>3568</v>
      </c>
      <c r="B511" s="11">
        <v>956002</v>
      </c>
      <c r="C511" s="11" t="str">
        <f>VLOOKUP(B511,Towary_i_uslugi!$A$4:$B$1500,2)</f>
        <v>nowość!!! więcej info dla klienta</v>
      </c>
      <c r="D511" s="11" t="s">
        <v>3721</v>
      </c>
      <c r="E511" s="11">
        <f>VLOOKUP(B511,Towary_i_uslugi!$A$3:$T$1500,3,FALSE)</f>
        <v>0</v>
      </c>
      <c r="F511" s="11" t="str">
        <f>VLOOKUP(B511,Towary_i_uslugi!$A$3:$T$1500,20,FALSE)</f>
        <v>color carton box + sticker</v>
      </c>
      <c r="G511" s="11">
        <f>VLOOKUP(B511,MBI_Dostawcy_towarów!$A$4:$C$1399,3,FALSE)</f>
        <v>0.435</v>
      </c>
      <c r="H511" s="11">
        <v>0</v>
      </c>
      <c r="I511" s="11">
        <v>50</v>
      </c>
      <c r="J511" s="11">
        <v>80</v>
      </c>
      <c r="K511" s="11">
        <f>_xlfn.IFNA(VLOOKUP(B511,Towary_na_zamówieniach!$A$4:$C$1500,2,FALSE),0)</f>
        <v>60</v>
      </c>
      <c r="L511" s="11">
        <f>_xlfn.IFNA(VLOOKUP(B511,Towary_na_zamówieniach!$A$4:$C$1500,3,FALSE),0)</f>
        <v>714.6</v>
      </c>
      <c r="M511" s="11">
        <f>_xlfn.IFNA(VLOOKUP(B511,MBI_Dostawcy_towarów!$A$4:$C$2000,2,FALSE),"N/A")</f>
        <v>90</v>
      </c>
      <c r="N511" s="11" t="str">
        <f>IF(VLOOKUP(B511,Towary_i_uslugi!$A$3:$T$1500,17,FALSE)=0,"!NO SUPPLIER",VLOOKUP(B511,Towary_i_uslugi!$A$3:$T$1500,17))</f>
        <v>HT rozrachunki</v>
      </c>
      <c r="O511" s="11" t="str">
        <f>IF(VLOOKUP(B511,Towary_i_uslugi!$A$4:$U$1200,21,FALSE)&gt;0,VLOOKUP(B511,Towary_i_uslugi!$A$4:$U$1200,21,FALSE),"")</f>
        <v/>
      </c>
      <c r="P511" s="11" t="e">
        <f t="shared" si="21"/>
        <v>#DIV/0!</v>
      </c>
      <c r="Q511" s="11" t="e">
        <f t="shared" si="22"/>
        <v>#DIV/0!</v>
      </c>
      <c r="R511" s="17" t="e">
        <f t="shared" si="23"/>
        <v>#DIV/0!</v>
      </c>
      <c r="S511" s="17">
        <f>VLOOKUP($B511,   MBI_LastBuy!$A$3:E$13199,3,FALSE)</f>
        <v>60</v>
      </c>
      <c r="T511" s="13">
        <f>VLOOKUP($B511,   MBI_LastBuy!$A$3:E$13199,2,FALSE)</f>
        <v>11.91</v>
      </c>
      <c r="U511" s="13" t="str">
        <f>VLOOKUP($B511,   MBI_LastBuy!$A$3:E$13199,5,FALSE)</f>
        <v>USD</v>
      </c>
      <c r="V511" s="15">
        <f>VLOOKUP($B511,   MBI_LastBuy!$A$3:E$13199,4,FALSE)</f>
        <v>44134</v>
      </c>
    </row>
    <row r="512" spans="1:22" x14ac:dyDescent="0.25">
      <c r="A512" s="11" t="s">
        <v>3568</v>
      </c>
      <c r="B512" s="11">
        <v>956020</v>
      </c>
      <c r="C512" s="11" t="str">
        <f>VLOOKUP(B512,Towary_i_uslugi!$A$4:$B$1500,2)</f>
        <v>nowość!!! więcej info dla klienta</v>
      </c>
      <c r="D512" s="11" t="s">
        <v>3722</v>
      </c>
      <c r="E512" s="11">
        <f>VLOOKUP(B512,Towary_i_uslugi!$A$3:$T$1500,3,FALSE)</f>
        <v>4</v>
      </c>
      <c r="F512" s="11" t="str">
        <f>VLOOKUP(B512,Towary_i_uslugi!$A$3:$T$1500,20,FALSE)</f>
        <v>color carton box + sticker</v>
      </c>
      <c r="G512" s="11">
        <f>VLOOKUP(B512,MBI_Dostawcy_towarów!$A$4:$C$1399,3,FALSE)</f>
        <v>3.875</v>
      </c>
      <c r="H512" s="11">
        <v>1</v>
      </c>
      <c r="I512" s="11">
        <v>960</v>
      </c>
      <c r="J512" s="11">
        <v>100</v>
      </c>
      <c r="K512" s="11">
        <f>_xlfn.IFNA(VLOOKUP(B512,Towary_na_zamówieniach!$A$4:$C$1500,2,FALSE),0)</f>
        <v>960</v>
      </c>
      <c r="L512" s="11">
        <f>_xlfn.IFNA(VLOOKUP(B512,Towary_na_zamówieniach!$A$4:$C$1500,3,FALSE),0)</f>
        <v>27600</v>
      </c>
      <c r="M512" s="11">
        <f>_xlfn.IFNA(VLOOKUP(B512,MBI_Dostawcy_towarów!$A$4:$C$2000,2,FALSE),"N/A")</f>
        <v>90</v>
      </c>
      <c r="N512" s="11" t="str">
        <f>IF(VLOOKUP(B512,Towary_i_uslugi!$A$3:$T$1500,17,FALSE)=0,"!NO SUPPLIER",VLOOKUP(B512,Towary_i_uslugi!$A$3:$T$1500,17))</f>
        <v>HT rozrachunki</v>
      </c>
      <c r="O512" s="11" t="str">
        <f>IF(VLOOKUP(B512,Towary_i_uslugi!$A$4:$U$1200,21,FALSE)&gt;0,VLOOKUP(B512,Towary_i_uslugi!$A$4:$U$1200,21,FALSE),"")</f>
        <v/>
      </c>
      <c r="P512" s="11">
        <f t="shared" si="21"/>
        <v>25</v>
      </c>
      <c r="Q512" s="11">
        <f t="shared" si="22"/>
        <v>100</v>
      </c>
      <c r="R512" s="17">
        <f t="shared" si="23"/>
        <v>2875</v>
      </c>
      <c r="S512" s="17">
        <f>VLOOKUP($B512,   MBI_LastBuy!$A$3:E$13199,3,FALSE)</f>
        <v>960</v>
      </c>
      <c r="T512" s="13">
        <f>VLOOKUP($B512,   MBI_LastBuy!$A$3:E$13199,2,FALSE)</f>
        <v>28.75</v>
      </c>
      <c r="U512" s="13" t="str">
        <f>VLOOKUP($B512,   MBI_LastBuy!$A$3:E$13199,5,FALSE)</f>
        <v>USD</v>
      </c>
      <c r="V512" s="15">
        <f>VLOOKUP($B512,   MBI_LastBuy!$A$3:E$13199,4,FALSE)</f>
        <v>44134</v>
      </c>
    </row>
    <row r="513" spans="1:22" x14ac:dyDescent="0.25">
      <c r="A513" s="11" t="s">
        <v>3568</v>
      </c>
      <c r="B513" s="11">
        <v>956030</v>
      </c>
      <c r="C513" s="11" t="str">
        <f>VLOOKUP(B513,Towary_i_uslugi!$A$4:$B$1500,2)</f>
        <v>nowość!!! więcej info dla klienta</v>
      </c>
      <c r="D513" s="11" t="s">
        <v>2920</v>
      </c>
      <c r="E513" s="11">
        <f>VLOOKUP(B513,Towary_i_uslugi!$A$3:$T$1500,3,FALSE)</f>
        <v>4</v>
      </c>
      <c r="F513" s="11" t="str">
        <f>VLOOKUP(B513,Towary_i_uslugi!$A$3:$T$1500,20,FALSE)</f>
        <v>color box</v>
      </c>
      <c r="G513" s="11">
        <f>VLOOKUP(B513,MBI_Dostawcy_towarów!$A$4:$C$1399,3,FALSE)</f>
        <v>1.05</v>
      </c>
      <c r="H513" s="11">
        <v>1</v>
      </c>
      <c r="I513" s="11">
        <v>0</v>
      </c>
      <c r="J513" s="11">
        <v>150</v>
      </c>
      <c r="K513" s="11">
        <f>_xlfn.IFNA(VLOOKUP(B513,Towary_na_zamówieniach!$A$4:$C$1500,2,FALSE),0)</f>
        <v>0</v>
      </c>
      <c r="L513" s="11">
        <f>_xlfn.IFNA(VLOOKUP(B513,Towary_na_zamówieniach!$A$4:$C$1500,3,FALSE),0)</f>
        <v>0</v>
      </c>
      <c r="M513" s="11">
        <f>_xlfn.IFNA(VLOOKUP(B513,MBI_Dostawcy_towarów!$A$4:$C$2000,2,FALSE),"N/A")</f>
        <v>90</v>
      </c>
      <c r="N513" s="11" t="str">
        <f>IF(VLOOKUP(B513,Towary_i_uslugi!$A$3:$T$1500,17,FALSE)=0,"!NO SUPPLIER",VLOOKUP(B513,Towary_i_uslugi!$A$3:$T$1500,17))</f>
        <v>HT rozrachunki</v>
      </c>
      <c r="O513" s="11" t="str">
        <f>IF(VLOOKUP(B513,Towary_i_uslugi!$A$4:$U$1200,21,FALSE)&gt;0,VLOOKUP(B513,Towary_i_uslugi!$A$4:$U$1200,21,FALSE),"")</f>
        <v/>
      </c>
      <c r="P513" s="11">
        <f t="shared" si="21"/>
        <v>38</v>
      </c>
      <c r="Q513" s="11">
        <f t="shared" si="22"/>
        <v>152</v>
      </c>
      <c r="R513" s="17">
        <f t="shared" si="23"/>
        <v>1887.84</v>
      </c>
      <c r="S513" s="17">
        <f>VLOOKUP($B513,   MBI_LastBuy!$A$3:E$13199,3,FALSE)</f>
        <v>300</v>
      </c>
      <c r="T513" s="13">
        <f>VLOOKUP($B513,   MBI_LastBuy!$A$3:E$13199,2,FALSE)</f>
        <v>12.42</v>
      </c>
      <c r="U513" s="13" t="str">
        <f>VLOOKUP($B513,   MBI_LastBuy!$A$3:E$13199,5,FALSE)</f>
        <v>USD</v>
      </c>
      <c r="V513" s="15">
        <f>VLOOKUP($B513,   MBI_LastBuy!$A$3:E$13199,4,FALSE)</f>
        <v>43990</v>
      </c>
    </row>
    <row r="514" spans="1:22" x14ac:dyDescent="0.25">
      <c r="A514" s="11" t="s">
        <v>3569</v>
      </c>
      <c r="B514" s="11">
        <v>960155</v>
      </c>
      <c r="C514" s="11" t="str">
        <f>VLOOKUP(B514,Towary_i_uslugi!$A$4:$B$1500,2)</f>
        <v>(brak)</v>
      </c>
      <c r="D514" s="11" t="s">
        <v>2921</v>
      </c>
      <c r="E514" s="11">
        <f>VLOOKUP(B514,Towary_i_uslugi!$A$3:$T$1500,3,FALSE)</f>
        <v>18</v>
      </c>
      <c r="F514" s="11" t="str">
        <f>VLOOKUP(B514,Towary_i_uslugi!$A$3:$T$1500,20,FALSE)</f>
        <v>polybag + sticker</v>
      </c>
      <c r="G514" s="11">
        <f>VLOOKUP(B514,MBI_Dostawcy_towarów!$A$4:$C$1399,3,FALSE)</f>
        <v>0.8</v>
      </c>
      <c r="H514" s="11">
        <v>0</v>
      </c>
      <c r="I514" s="11">
        <v>0</v>
      </c>
      <c r="J514" s="11">
        <v>10</v>
      </c>
      <c r="K514" s="11">
        <f>_xlfn.IFNA(VLOOKUP(B514,Towary_na_zamówieniach!$A$4:$C$1500,2,FALSE),0)</f>
        <v>18</v>
      </c>
      <c r="L514" s="11">
        <f>_xlfn.IFNA(VLOOKUP(B514,Towary_na_zamówieniach!$A$4:$C$1500,3,FALSE),0)</f>
        <v>430.2</v>
      </c>
      <c r="M514" s="11">
        <f>_xlfn.IFNA(VLOOKUP(B514,MBI_Dostawcy_towarów!$A$4:$C$2000,2,FALSE),"N/A")</f>
        <v>7</v>
      </c>
      <c r="N514" s="11" t="str">
        <f>IF(VLOOKUP(B514,Towary_i_uslugi!$A$3:$T$1500,17,FALSE)=0,"!NO SUPPLIER",VLOOKUP(B514,Towary_i_uslugi!$A$3:$T$1500,17))</f>
        <v>ANGERMAN</v>
      </c>
      <c r="O514" s="11" t="str">
        <f>IF(VLOOKUP(B514,Towary_i_uslugi!$A$4:$U$1200,21,FALSE)&gt;0,VLOOKUP(B514,Towary_i_uslugi!$A$4:$U$1200,21,FALSE),"")</f>
        <v/>
      </c>
      <c r="P514" s="11">
        <f t="shared" si="21"/>
        <v>0</v>
      </c>
      <c r="Q514" s="11">
        <f t="shared" si="22"/>
        <v>0</v>
      </c>
      <c r="R514" s="17">
        <f t="shared" si="23"/>
        <v>0</v>
      </c>
      <c r="S514" s="17">
        <f>VLOOKUP($B514,   MBI_LastBuy!$A$3:E$13199,3,FALSE)</f>
        <v>36</v>
      </c>
      <c r="T514" s="13">
        <f>VLOOKUP($B514,   MBI_LastBuy!$A$3:E$13199,2,FALSE)</f>
        <v>23.9</v>
      </c>
      <c r="U514" s="13" t="str">
        <f>VLOOKUP($B514,   MBI_LastBuy!$A$3:E$13199,5,FALSE)</f>
        <v>PLN</v>
      </c>
      <c r="V514" s="15">
        <f>VLOOKUP($B514,   MBI_LastBuy!$A$3:E$13199,4,FALSE)</f>
        <v>43951</v>
      </c>
    </row>
    <row r="515" spans="1:22" x14ac:dyDescent="0.25">
      <c r="A515" s="11" t="s">
        <v>3569</v>
      </c>
      <c r="B515" s="11">
        <v>960159</v>
      </c>
      <c r="C515" s="11" t="str">
        <f>VLOOKUP(B515,Towary_i_uslugi!$A$4:$B$1500,2)</f>
        <v>nowość!!! więcej info dla klienta</v>
      </c>
      <c r="D515" s="11" t="s">
        <v>2921</v>
      </c>
      <c r="E515" s="11">
        <f>VLOOKUP(B515,Towary_i_uslugi!$A$3:$T$1500,3,FALSE)</f>
        <v>6</v>
      </c>
      <c r="F515" s="11" t="str">
        <f>VLOOKUP(B515,Towary_i_uslugi!$A$3:$T$1500,20,FALSE)</f>
        <v>polybag + sticker</v>
      </c>
      <c r="G515" s="11">
        <f>VLOOKUP(B515,MBI_Dostawcy_towarów!$A$4:$C$1399,3,FALSE)</f>
        <v>0.8</v>
      </c>
      <c r="H515" s="11">
        <v>0</v>
      </c>
      <c r="I515" s="11">
        <v>0</v>
      </c>
      <c r="J515" s="11">
        <v>10</v>
      </c>
      <c r="K515" s="11">
        <f>_xlfn.IFNA(VLOOKUP(B515,Towary_na_zamówieniach!$A$4:$C$1500,2,FALSE),0)</f>
        <v>12</v>
      </c>
      <c r="L515" s="11">
        <f>_xlfn.IFNA(VLOOKUP(B515,Towary_na_zamówieniach!$A$4:$C$1500,3,FALSE),0)</f>
        <v>349.56</v>
      </c>
      <c r="M515" s="11">
        <f>_xlfn.IFNA(VLOOKUP(B515,MBI_Dostawcy_towarów!$A$4:$C$2000,2,FALSE),"N/A")</f>
        <v>7</v>
      </c>
      <c r="N515" s="11" t="str">
        <f>IF(VLOOKUP(B515,Towary_i_uslugi!$A$3:$T$1500,17,FALSE)=0,"!NO SUPPLIER",VLOOKUP(B515,Towary_i_uslugi!$A$3:$T$1500,17))</f>
        <v>ANGERMAN</v>
      </c>
      <c r="O515" s="11" t="str">
        <f>IF(VLOOKUP(B515,Towary_i_uslugi!$A$4:$U$1200,21,FALSE)&gt;0,VLOOKUP(B515,Towary_i_uslugi!$A$4:$U$1200,21,FALSE),"")</f>
        <v/>
      </c>
      <c r="P515" s="11">
        <f t="shared" ref="P515:P526" si="24">IF(K515=0,ROUNDUP(J515/E515,0),IF((K515+H515-I515)/J515&lt;1,ROUNDUP(J515/E515,0),0))</f>
        <v>0</v>
      </c>
      <c r="Q515" s="11">
        <f t="shared" ref="Q515:Q526" si="25">P515*E515</f>
        <v>0</v>
      </c>
      <c r="R515" s="17">
        <f t="shared" ref="R515:R526" si="26">Q515*T515</f>
        <v>0</v>
      </c>
      <c r="S515" s="17">
        <f>VLOOKUP($B515,   MBI_LastBuy!$A$3:E$13199,3,FALSE)</f>
        <v>12</v>
      </c>
      <c r="T515" s="13">
        <f>VLOOKUP($B515,   MBI_LastBuy!$A$3:E$13199,2,FALSE)</f>
        <v>29.13</v>
      </c>
      <c r="U515" s="13" t="str">
        <f>VLOOKUP($B515,   MBI_LastBuy!$A$3:E$13199,5,FALSE)</f>
        <v>PLN</v>
      </c>
      <c r="V515" s="15">
        <f>VLOOKUP($B515,   MBI_LastBuy!$A$3:E$13199,4,FALSE)</f>
        <v>44109</v>
      </c>
    </row>
    <row r="516" spans="1:22" x14ac:dyDescent="0.25">
      <c r="A516" s="11" t="s">
        <v>3570</v>
      </c>
      <c r="B516" s="11">
        <v>976000</v>
      </c>
      <c r="C516" s="11" t="str">
        <f>VLOOKUP(B516,Towary_i_uslugi!$A$4:$B$1500,2)</f>
        <v>(brak)</v>
      </c>
      <c r="D516" s="11" t="s">
        <v>2716</v>
      </c>
      <c r="E516" s="11">
        <f>VLOOKUP(B516,Towary_i_uslugi!$A$3:$T$1500,3,FALSE)</f>
        <v>30</v>
      </c>
      <c r="F516" s="11" t="str">
        <f>VLOOKUP(B516,Towary_i_uslugi!$A$3:$T$1500,20,FALSE)</f>
        <v>polybag header</v>
      </c>
      <c r="G516" s="11">
        <f>VLOOKUP(B516,MBI_Dostawcy_towarów!$A$4:$C$1399,3,FALSE)</f>
        <v>0.23699999999999999</v>
      </c>
      <c r="H516" s="11">
        <v>33</v>
      </c>
      <c r="I516" s="11">
        <v>12</v>
      </c>
      <c r="J516" s="11">
        <v>30</v>
      </c>
      <c r="K516" s="11">
        <f>_xlfn.IFNA(VLOOKUP(B516,Towary_na_zamówieniach!$A$4:$C$1500,2,FALSE),0)</f>
        <v>0</v>
      </c>
      <c r="L516" s="11">
        <f>_xlfn.IFNA(VLOOKUP(B516,Towary_na_zamówieniach!$A$4:$C$1500,3,FALSE),0)</f>
        <v>0</v>
      </c>
      <c r="M516" s="11">
        <f>_xlfn.IFNA(VLOOKUP(B516,MBI_Dostawcy_towarów!$A$4:$C$2000,2,FALSE),"N/A")</f>
        <v>7</v>
      </c>
      <c r="N516" s="11" t="str">
        <f>IF(VLOOKUP(B516,Towary_i_uslugi!$A$3:$T$1500,17,FALSE)=0,"!NO SUPPLIER",VLOOKUP(B516,Towary_i_uslugi!$A$3:$T$1500,17))</f>
        <v>VODAR</v>
      </c>
      <c r="O516" s="11" t="str">
        <f>IF(VLOOKUP(B516,Towary_i_uslugi!$A$4:$U$1200,21,FALSE)&gt;0,VLOOKUP(B516,Towary_i_uslugi!$A$4:$U$1200,21,FALSE),"")</f>
        <v/>
      </c>
      <c r="P516" s="11">
        <f t="shared" si="24"/>
        <v>1</v>
      </c>
      <c r="Q516" s="11">
        <f t="shared" si="25"/>
        <v>30</v>
      </c>
      <c r="R516" s="17">
        <f t="shared" si="26"/>
        <v>37.5</v>
      </c>
      <c r="S516" s="17">
        <f>VLOOKUP($B516,   MBI_LastBuy!$A$3:E$13199,3,FALSE)</f>
        <v>600</v>
      </c>
      <c r="T516" s="13">
        <f>VLOOKUP($B516,   MBI_LastBuy!$A$3:E$13199,2,FALSE)</f>
        <v>1.25</v>
      </c>
      <c r="U516" s="13" t="str">
        <f>VLOOKUP($B516,   MBI_LastBuy!$A$3:E$13199,5,FALSE)</f>
        <v>USD</v>
      </c>
      <c r="V516" s="15">
        <f>VLOOKUP($B516,   MBI_LastBuy!$A$3:E$13199,4,FALSE)</f>
        <v>43784</v>
      </c>
    </row>
    <row r="517" spans="1:22" x14ac:dyDescent="0.25">
      <c r="A517" s="11" t="s">
        <v>3570</v>
      </c>
      <c r="B517" s="11">
        <v>976050</v>
      </c>
      <c r="C517" s="11" t="str">
        <f>VLOOKUP(B517,Towary_i_uslugi!$A$4:$B$1500,2)</f>
        <v>(brak)</v>
      </c>
      <c r="D517" s="11" t="s">
        <v>3723</v>
      </c>
      <c r="E517" s="11">
        <f>VLOOKUP(B517,Towary_i_uslugi!$A$3:$T$1500,3,FALSE)</f>
        <v>6</v>
      </c>
      <c r="F517" s="11" t="str">
        <f>VLOOKUP(B517,Towary_i_uslugi!$A$3:$T$1500,20,FALSE)</f>
        <v>photo color box</v>
      </c>
      <c r="G517" s="11">
        <f>VLOOKUP(B517,MBI_Dostawcy_towarów!$A$4:$C$1399,3,FALSE)</f>
        <v>1.583</v>
      </c>
      <c r="H517" s="11">
        <v>49</v>
      </c>
      <c r="I517" s="11">
        <v>12</v>
      </c>
      <c r="J517" s="11">
        <v>60</v>
      </c>
      <c r="K517" s="11">
        <f>_xlfn.IFNA(VLOOKUP(B517,Towary_na_zamówieniach!$A$4:$C$1500,2,FALSE),0)</f>
        <v>0</v>
      </c>
      <c r="L517" s="11">
        <f>_xlfn.IFNA(VLOOKUP(B517,Towary_na_zamówieniach!$A$4:$C$1500,3,FALSE),0)</f>
        <v>0</v>
      </c>
      <c r="M517" s="11">
        <f>_xlfn.IFNA(VLOOKUP(B517,MBI_Dostawcy_towarów!$A$4:$C$2000,2,FALSE),"N/A")</f>
        <v>7</v>
      </c>
      <c r="N517" s="11" t="str">
        <f>IF(VLOOKUP(B517,Towary_i_uslugi!$A$3:$T$1500,17,FALSE)=0,"!NO SUPPLIER",VLOOKUP(B517,Towary_i_uslugi!$A$3:$T$1500,17))</f>
        <v>VODAR</v>
      </c>
      <c r="O517" s="11" t="str">
        <f>IF(VLOOKUP(B517,Towary_i_uslugi!$A$4:$U$1200,21,FALSE)&gt;0,VLOOKUP(B517,Towary_i_uslugi!$A$4:$U$1200,21,FALSE),"")</f>
        <v/>
      </c>
      <c r="P517" s="11">
        <f t="shared" si="24"/>
        <v>10</v>
      </c>
      <c r="Q517" s="11">
        <f t="shared" si="25"/>
        <v>60</v>
      </c>
      <c r="R517" s="17">
        <f t="shared" si="26"/>
        <v>1478.4</v>
      </c>
      <c r="S517" s="17">
        <f>VLOOKUP($B517,   MBI_LastBuy!$A$3:E$13199,3,FALSE)</f>
        <v>96</v>
      </c>
      <c r="T517" s="13">
        <f>VLOOKUP($B517,   MBI_LastBuy!$A$3:E$13199,2,FALSE)</f>
        <v>24.64</v>
      </c>
      <c r="U517" s="13" t="str">
        <f>VLOOKUP($B517,   MBI_LastBuy!$A$3:E$13199,5,FALSE)</f>
        <v>PLN</v>
      </c>
      <c r="V517" s="15">
        <f>VLOOKUP($B517,   MBI_LastBuy!$A$3:E$13199,4,FALSE)</f>
        <v>43973</v>
      </c>
    </row>
    <row r="518" spans="1:22" x14ac:dyDescent="0.25">
      <c r="A518" s="11" t="s">
        <v>3552</v>
      </c>
      <c r="B518" s="11">
        <v>996100</v>
      </c>
      <c r="C518" s="11" t="str">
        <f>VLOOKUP(B518,Towary_i_uslugi!$A$4:$B$1500,2)</f>
        <v>(brak)</v>
      </c>
      <c r="D518" s="11" t="s">
        <v>2922</v>
      </c>
      <c r="E518" s="11">
        <f>VLOOKUP(B518,Towary_i_uslugi!$A$3:$T$1500,3,FALSE)</f>
        <v>80</v>
      </c>
      <c r="F518" s="11" t="str">
        <f>VLOOKUP(B518,Towary_i_uslugi!$A$3:$T$1500,20,FALSE)</f>
        <v>double blister</v>
      </c>
      <c r="G518" s="11">
        <f>VLOOKUP(B518,MBI_Dostawcy_towarów!$A$4:$C$1399,3,FALSE)</f>
        <v>0.108</v>
      </c>
      <c r="H518" s="11">
        <v>111</v>
      </c>
      <c r="I518" s="11">
        <v>0</v>
      </c>
      <c r="J518" s="11">
        <v>400</v>
      </c>
      <c r="K518" s="11">
        <f>_xlfn.IFNA(VLOOKUP(B518,Towary_na_zamówieniach!$A$4:$C$1500,2,FALSE),0)</f>
        <v>1120</v>
      </c>
      <c r="L518" s="11">
        <f>_xlfn.IFNA(VLOOKUP(B518,Towary_na_zamówieniach!$A$4:$C$1500,3,FALSE),0)</f>
        <v>682.08</v>
      </c>
      <c r="M518" s="11">
        <f>_xlfn.IFNA(VLOOKUP(B518,MBI_Dostawcy_towarów!$A$4:$C$2000,2,FALSE),"N/A")</f>
        <v>100</v>
      </c>
      <c r="N518" s="11" t="str">
        <f>IF(VLOOKUP(B518,Towary_i_uslugi!$A$3:$T$1500,17,FALSE)=0,"!NO SUPPLIER",VLOOKUP(B518,Towary_i_uslugi!$A$3:$T$1500,17))</f>
        <v>XM</v>
      </c>
      <c r="O518" s="11" t="str">
        <f>IF(VLOOKUP(B518,Towary_i_uslugi!$A$4:$U$1200,21,FALSE)&gt;0,VLOOKUP(B518,Towary_i_uslugi!$A$4:$U$1200,21,FALSE),"")</f>
        <v/>
      </c>
      <c r="P518" s="11">
        <f t="shared" si="24"/>
        <v>0</v>
      </c>
      <c r="Q518" s="11">
        <f t="shared" si="25"/>
        <v>0</v>
      </c>
      <c r="R518" s="17">
        <f t="shared" si="26"/>
        <v>0</v>
      </c>
      <c r="S518" s="17">
        <f>VLOOKUP($B518,   MBI_LastBuy!$A$3:E$13199,3,FALSE)</f>
        <v>1120</v>
      </c>
      <c r="T518" s="13">
        <f>VLOOKUP($B518,   MBI_LastBuy!$A$3:E$13199,2,FALSE)</f>
        <v>0.60899999999999999</v>
      </c>
      <c r="U518" s="13" t="str">
        <f>VLOOKUP($B518,   MBI_LastBuy!$A$3:E$13199,5,FALSE)</f>
        <v>USD</v>
      </c>
      <c r="V518" s="15">
        <f>VLOOKUP($B518,   MBI_LastBuy!$A$3:E$13199,4,FALSE)</f>
        <v>44068</v>
      </c>
    </row>
    <row r="519" spans="1:22" x14ac:dyDescent="0.25">
      <c r="A519" s="11" t="s">
        <v>3556</v>
      </c>
      <c r="B519" s="11">
        <v>996151</v>
      </c>
      <c r="C519" s="11" t="str">
        <f>VLOOKUP(B519,Towary_i_uslugi!$A$4:$B$1500,2)</f>
        <v>(brak)</v>
      </c>
      <c r="D519" s="11" t="s">
        <v>2923</v>
      </c>
      <c r="E519" s="11">
        <f>VLOOKUP(B519,Towary_i_uslugi!$A$3:$T$1500,3,FALSE)</f>
        <v>36</v>
      </c>
      <c r="F519" s="11" t="str">
        <f>VLOOKUP(B519,Towary_i_uslugi!$A$3:$T$1500,20,FALSE)</f>
        <v>double blister</v>
      </c>
      <c r="G519" s="11">
        <f>VLOOKUP(B519,MBI_Dostawcy_towarów!$A$4:$C$1399,3,FALSE)</f>
        <v>0.219</v>
      </c>
      <c r="H519" s="11">
        <v>1</v>
      </c>
      <c r="I519" s="11">
        <v>0</v>
      </c>
      <c r="J519" s="11">
        <v>300</v>
      </c>
      <c r="K519" s="11">
        <f>_xlfn.IFNA(VLOOKUP(B519,Towary_na_zamówieniach!$A$4:$C$1500,2,FALSE),0)</f>
        <v>577</v>
      </c>
      <c r="L519" s="11">
        <f>_xlfn.IFNA(VLOOKUP(B519,Towary_na_zamówieniach!$A$4:$C$1500,3,FALSE),0)</f>
        <v>797.76</v>
      </c>
      <c r="M519" s="11">
        <f>_xlfn.IFNA(VLOOKUP(B519,MBI_Dostawcy_towarów!$A$4:$C$2000,2,FALSE),"N/A")</f>
        <v>100</v>
      </c>
      <c r="N519" s="11" t="str">
        <f>IF(VLOOKUP(B519,Towary_i_uslugi!$A$3:$T$1500,17,FALSE)=0,"!NO SUPPLIER",VLOOKUP(B519,Towary_i_uslugi!$A$3:$T$1500,17))</f>
        <v xml:space="preserve">LF rozrachunki </v>
      </c>
      <c r="O519" s="11" t="str">
        <f>IF(VLOOKUP(B519,Towary_i_uslugi!$A$4:$U$1200,21,FALSE)&gt;0,VLOOKUP(B519,Towary_i_uslugi!$A$4:$U$1200,21,FALSE),"")</f>
        <v/>
      </c>
      <c r="P519" s="11">
        <f t="shared" si="24"/>
        <v>0</v>
      </c>
      <c r="Q519" s="11">
        <f t="shared" si="25"/>
        <v>0</v>
      </c>
      <c r="R519" s="17">
        <f t="shared" si="26"/>
        <v>0</v>
      </c>
      <c r="S519" s="17">
        <f>VLOOKUP($B519,   MBI_LastBuy!$A$3:E$13199,3,FALSE)</f>
        <v>576</v>
      </c>
      <c r="T519" s="13">
        <f>VLOOKUP($B519,   MBI_LastBuy!$A$3:E$13199,2,FALSE)</f>
        <v>1.385</v>
      </c>
      <c r="U519" s="13" t="str">
        <f>VLOOKUP($B519,   MBI_LastBuy!$A$3:E$13199,5,FALSE)</f>
        <v>USD</v>
      </c>
      <c r="V519" s="15">
        <f>VLOOKUP($B519,   MBI_LastBuy!$A$3:E$13199,4,FALSE)</f>
        <v>44025</v>
      </c>
    </row>
    <row r="520" spans="1:22" x14ac:dyDescent="0.25">
      <c r="A520" s="11" t="s">
        <v>3556</v>
      </c>
      <c r="B520" s="11">
        <v>996155</v>
      </c>
      <c r="C520" s="11" t="str">
        <f>VLOOKUP(B520,Towary_i_uslugi!$A$4:$B$1500,2)</f>
        <v>(brak)</v>
      </c>
      <c r="D520" s="11" t="s">
        <v>2467</v>
      </c>
      <c r="E520" s="11">
        <f>VLOOKUP(B520,Towary_i_uslugi!$A$3:$T$1500,3,FALSE)</f>
        <v>12</v>
      </c>
      <c r="F520" s="11" t="str">
        <f>VLOOKUP(B520,Towary_i_uslugi!$A$3:$T$1500,20,FALSE)</f>
        <v>blister card</v>
      </c>
      <c r="G520" s="11">
        <f>VLOOKUP(B520,MBI_Dostawcy_towarów!$A$4:$C$1399,3,FALSE)</f>
        <v>0.49299999999999999</v>
      </c>
      <c r="H520" s="11">
        <v>1</v>
      </c>
      <c r="I520" s="11">
        <v>1</v>
      </c>
      <c r="J520" s="11">
        <v>150</v>
      </c>
      <c r="K520" s="11">
        <f>_xlfn.IFNA(VLOOKUP(B520,Towary_na_zamówieniach!$A$4:$C$1500,2,FALSE),0)</f>
        <v>157</v>
      </c>
      <c r="L520" s="11">
        <f>_xlfn.IFNA(VLOOKUP(B520,Towary_na_zamówieniach!$A$4:$C$1500,3,FALSE),0)</f>
        <v>851.76</v>
      </c>
      <c r="M520" s="11">
        <f>_xlfn.IFNA(VLOOKUP(B520,MBI_Dostawcy_towarów!$A$4:$C$2000,2,FALSE),"N/A")</f>
        <v>100</v>
      </c>
      <c r="N520" s="11" t="str">
        <f>IF(VLOOKUP(B520,Towary_i_uslugi!$A$3:$T$1500,17,FALSE)=0,"!NO SUPPLIER",VLOOKUP(B520,Towary_i_uslugi!$A$3:$T$1500,17))</f>
        <v xml:space="preserve">LF rozrachunki </v>
      </c>
      <c r="O520" s="11" t="str">
        <f>IF(VLOOKUP(B520,Towary_i_uslugi!$A$4:$U$1200,21,FALSE)&gt;0,VLOOKUP(B520,Towary_i_uslugi!$A$4:$U$1200,21,FALSE),"")</f>
        <v/>
      </c>
      <c r="P520" s="11">
        <f t="shared" si="24"/>
        <v>0</v>
      </c>
      <c r="Q520" s="11">
        <f t="shared" si="25"/>
        <v>0</v>
      </c>
      <c r="R520" s="17">
        <f t="shared" si="26"/>
        <v>0</v>
      </c>
      <c r="S520" s="17">
        <f>VLOOKUP($B520,   MBI_LastBuy!$A$3:E$13199,3,FALSE)</f>
        <v>156</v>
      </c>
      <c r="T520" s="13">
        <f>VLOOKUP($B520,   MBI_LastBuy!$A$3:E$13199,2,FALSE)</f>
        <v>5.46</v>
      </c>
      <c r="U520" s="13" t="str">
        <f>VLOOKUP($B520,   MBI_LastBuy!$A$3:E$13199,5,FALSE)</f>
        <v>USD</v>
      </c>
      <c r="V520" s="15">
        <f>VLOOKUP($B520,   MBI_LastBuy!$A$3:E$13199,4,FALSE)</f>
        <v>43936</v>
      </c>
    </row>
    <row r="521" spans="1:22" x14ac:dyDescent="0.25">
      <c r="A521" s="11" t="s">
        <v>3571</v>
      </c>
      <c r="B521" s="11">
        <v>997070</v>
      </c>
      <c r="C521" s="11" t="str">
        <f>VLOOKUP(B521,Towary_i_uslugi!$A$4:$B$1500,2)</f>
        <v>nowość!!! więcej info dla klienta</v>
      </c>
      <c r="D521" s="11" t="s">
        <v>2717</v>
      </c>
      <c r="E521" s="11">
        <f>VLOOKUP(B521,Towary_i_uslugi!$A$3:$T$1500,3,FALSE)</f>
        <v>100</v>
      </c>
      <c r="F521" s="11" t="str">
        <f>VLOOKUP(B521,Towary_i_uslugi!$A$3:$T$1500,20,FALSE)</f>
        <v>polybag+sticker</v>
      </c>
      <c r="G521" s="11">
        <f>VLOOKUP(B521,MBI_Dostawcy_towarów!$A$4:$C$1399,3,FALSE)</f>
        <v>0.28999999999999998</v>
      </c>
      <c r="H521" s="11">
        <v>543</v>
      </c>
      <c r="I521" s="11">
        <v>0</v>
      </c>
      <c r="J521" s="11">
        <v>1000</v>
      </c>
      <c r="K521" s="11">
        <f>_xlfn.IFNA(VLOOKUP(B521,Towary_na_zamówieniach!$A$4:$C$1500,2,FALSE),0)</f>
        <v>0</v>
      </c>
      <c r="L521" s="11">
        <f>_xlfn.IFNA(VLOOKUP(B521,Towary_na_zamówieniach!$A$4:$C$1500,3,FALSE),0)</f>
        <v>0</v>
      </c>
      <c r="M521" s="11">
        <f>_xlfn.IFNA(VLOOKUP(B521,MBI_Dostawcy_towarów!$A$4:$C$2000,2,FALSE),"N/A")</f>
        <v>60</v>
      </c>
      <c r="N521" s="11" t="str">
        <f>IF(VLOOKUP(B521,Towary_i_uslugi!$A$3:$T$1500,17,FALSE)=0,"!NO SUPPLIER",VLOOKUP(B521,Towary_i_uslugi!$A$3:$T$1500,17))</f>
        <v xml:space="preserve">CH przyjecie towaru </v>
      </c>
      <c r="O521" s="11" t="str">
        <f>IF(VLOOKUP(B521,Towary_i_uslugi!$A$4:$U$1200,21,FALSE)&gt;0,VLOOKUP(B521,Towary_i_uslugi!$A$4:$U$1200,21,FALSE),"")</f>
        <v/>
      </c>
      <c r="P521" s="11">
        <f t="shared" si="24"/>
        <v>10</v>
      </c>
      <c r="Q521" s="11">
        <f t="shared" si="25"/>
        <v>1000</v>
      </c>
      <c r="R521" s="17">
        <f t="shared" si="26"/>
        <v>1202</v>
      </c>
      <c r="S521" s="17">
        <f>VLOOKUP($B521,   MBI_LastBuy!$A$3:E$13199,3,FALSE)</f>
        <v>2000</v>
      </c>
      <c r="T521" s="13">
        <f>VLOOKUP($B521,   MBI_LastBuy!$A$3:E$13199,2,FALSE)</f>
        <v>1.202</v>
      </c>
      <c r="U521" s="13" t="str">
        <f>VLOOKUP($B521,   MBI_LastBuy!$A$3:E$13199,5,FALSE)</f>
        <v>USD</v>
      </c>
      <c r="V521" s="15">
        <f>VLOOKUP($B521,   MBI_LastBuy!$A$3:E$13199,4,FALSE)</f>
        <v>43635</v>
      </c>
    </row>
    <row r="522" spans="1:22" x14ac:dyDescent="0.25">
      <c r="A522" s="11" t="s">
        <v>3571</v>
      </c>
      <c r="B522" s="11">
        <v>997071</v>
      </c>
      <c r="C522" s="11" t="str">
        <f>VLOOKUP(B522,Towary_i_uslugi!$A$4:$B$1500,2)</f>
        <v>nowość!!! więcej info dla klienta</v>
      </c>
      <c r="D522" s="11" t="s">
        <v>2718</v>
      </c>
      <c r="E522" s="11">
        <f>VLOOKUP(B522,Towary_i_uslugi!$A$3:$T$1500,3,FALSE)</f>
        <v>100</v>
      </c>
      <c r="F522" s="11" t="str">
        <f>VLOOKUP(B522,Towary_i_uslugi!$A$3:$T$1500,20,FALSE)</f>
        <v>polybag + sticker</v>
      </c>
      <c r="G522" s="11">
        <f>VLOOKUP(B522,MBI_Dostawcy_towarów!$A$4:$C$1399,3,FALSE)</f>
        <v>0.27500000000000002</v>
      </c>
      <c r="H522" s="11">
        <v>372</v>
      </c>
      <c r="I522" s="11">
        <v>0</v>
      </c>
      <c r="J522" s="11">
        <v>1000</v>
      </c>
      <c r="K522" s="11">
        <f>_xlfn.IFNA(VLOOKUP(B522,Towary_na_zamówieniach!$A$4:$C$1500,2,FALSE),0)</f>
        <v>0</v>
      </c>
      <c r="L522" s="11">
        <f>_xlfn.IFNA(VLOOKUP(B522,Towary_na_zamówieniach!$A$4:$C$1500,3,FALSE),0)</f>
        <v>0</v>
      </c>
      <c r="M522" s="11">
        <f>_xlfn.IFNA(VLOOKUP(B522,MBI_Dostawcy_towarów!$A$4:$C$2000,2,FALSE),"N/A")</f>
        <v>60</v>
      </c>
      <c r="N522" s="11" t="str">
        <f>IF(VLOOKUP(B522,Towary_i_uslugi!$A$3:$T$1500,17,FALSE)=0,"!NO SUPPLIER",VLOOKUP(B522,Towary_i_uslugi!$A$3:$T$1500,17))</f>
        <v xml:space="preserve">CH przyjecie towaru </v>
      </c>
      <c r="O522" s="11" t="str">
        <f>IF(VLOOKUP(B522,Towary_i_uslugi!$A$4:$U$1200,21,FALSE)&gt;0,VLOOKUP(B522,Towary_i_uslugi!$A$4:$U$1200,21,FALSE),"")</f>
        <v/>
      </c>
      <c r="P522" s="11">
        <f t="shared" si="24"/>
        <v>10</v>
      </c>
      <c r="Q522" s="11">
        <f t="shared" si="25"/>
        <v>1000</v>
      </c>
      <c r="R522" s="17">
        <f t="shared" si="26"/>
        <v>1120</v>
      </c>
      <c r="S522" s="17">
        <f>VLOOKUP($B522,   MBI_LastBuy!$A$3:E$13199,3,FALSE)</f>
        <v>2000</v>
      </c>
      <c r="T522" s="13">
        <f>VLOOKUP($B522,   MBI_LastBuy!$A$3:E$13199,2,FALSE)</f>
        <v>1.1200000000000001</v>
      </c>
      <c r="U522" s="13" t="str">
        <f>VLOOKUP($B522,   MBI_LastBuy!$A$3:E$13199,5,FALSE)</f>
        <v>USD</v>
      </c>
      <c r="V522" s="15">
        <f>VLOOKUP($B522,   MBI_LastBuy!$A$3:E$13199,4,FALSE)</f>
        <v>43635</v>
      </c>
    </row>
    <row r="523" spans="1:22" x14ac:dyDescent="0.25">
      <c r="A523" s="11" t="s">
        <v>3571</v>
      </c>
      <c r="B523" s="11">
        <v>997072</v>
      </c>
      <c r="C523" s="11" t="str">
        <f>VLOOKUP(B523,Towary_i_uslugi!$A$4:$B$1500,2)</f>
        <v>nowość!!! więcej info dla klienta</v>
      </c>
      <c r="D523" s="11" t="s">
        <v>2719</v>
      </c>
      <c r="E523" s="11">
        <f>VLOOKUP(B523,Towary_i_uslugi!$A$3:$T$1500,3,FALSE)</f>
        <v>100</v>
      </c>
      <c r="F523" s="11" t="str">
        <f>VLOOKUP(B523,Towary_i_uslugi!$A$3:$T$1500,20,FALSE)</f>
        <v>polybag + sticker</v>
      </c>
      <c r="G523" s="11">
        <f>VLOOKUP(B523,MBI_Dostawcy_towarów!$A$4:$C$1399,3,FALSE)</f>
        <v>0.27</v>
      </c>
      <c r="H523" s="11">
        <v>367</v>
      </c>
      <c r="I523" s="11">
        <v>0</v>
      </c>
      <c r="J523" s="11">
        <v>1000</v>
      </c>
      <c r="K523" s="11">
        <f>_xlfn.IFNA(VLOOKUP(B523,Towary_na_zamówieniach!$A$4:$C$1500,2,FALSE),0)</f>
        <v>0</v>
      </c>
      <c r="L523" s="11">
        <f>_xlfn.IFNA(VLOOKUP(B523,Towary_na_zamówieniach!$A$4:$C$1500,3,FALSE),0)</f>
        <v>0</v>
      </c>
      <c r="M523" s="11">
        <f>_xlfn.IFNA(VLOOKUP(B523,MBI_Dostawcy_towarów!$A$4:$C$2000,2,FALSE),"N/A")</f>
        <v>60</v>
      </c>
      <c r="N523" s="11" t="str">
        <f>IF(VLOOKUP(B523,Towary_i_uslugi!$A$3:$T$1500,17,FALSE)=0,"!NO SUPPLIER",VLOOKUP(B523,Towary_i_uslugi!$A$3:$T$1500,17))</f>
        <v xml:space="preserve">CH przyjecie towaru </v>
      </c>
      <c r="O523" s="11" t="str">
        <f>IF(VLOOKUP(B523,Towary_i_uslugi!$A$4:$U$1200,21,FALSE)&gt;0,VLOOKUP(B523,Towary_i_uslugi!$A$4:$U$1200,21,FALSE),"")</f>
        <v/>
      </c>
      <c r="P523" s="11">
        <f t="shared" si="24"/>
        <v>10</v>
      </c>
      <c r="Q523" s="11">
        <f t="shared" si="25"/>
        <v>1000</v>
      </c>
      <c r="R523" s="17">
        <f t="shared" si="26"/>
        <v>1169</v>
      </c>
      <c r="S523" s="17">
        <f>VLOOKUP($B523,   MBI_LastBuy!$A$3:E$13199,3,FALSE)</f>
        <v>2000</v>
      </c>
      <c r="T523" s="13">
        <f>VLOOKUP($B523,   MBI_LastBuy!$A$3:E$13199,2,FALSE)</f>
        <v>1.169</v>
      </c>
      <c r="U523" s="13" t="str">
        <f>VLOOKUP($B523,   MBI_LastBuy!$A$3:E$13199,5,FALSE)</f>
        <v>USD</v>
      </c>
      <c r="V523" s="15">
        <f>VLOOKUP($B523,   MBI_LastBuy!$A$3:E$13199,4,FALSE)</f>
        <v>43635</v>
      </c>
    </row>
    <row r="524" spans="1:22" x14ac:dyDescent="0.25">
      <c r="A524" s="11" t="s">
        <v>3572</v>
      </c>
      <c r="B524" s="11">
        <v>998000</v>
      </c>
      <c r="C524" s="11" t="str">
        <f>VLOOKUP(B524,Towary_i_uslugi!$A$4:$B$1500,2)</f>
        <v>(brak)</v>
      </c>
      <c r="E524" s="11">
        <f>VLOOKUP(B524,Towary_i_uslugi!$A$3:$T$1500,3,FALSE)</f>
        <v>1</v>
      </c>
      <c r="F524" s="11">
        <f>VLOOKUP(B524,Towary_i_uslugi!$A$3:$T$1500,20,FALSE)</f>
        <v>0</v>
      </c>
      <c r="G524" s="11">
        <f>VLOOKUP(B524,MBI_Dostawcy_towarów!$A$4:$C$1399,3,FALSE)</f>
        <v>16</v>
      </c>
      <c r="H524" s="11">
        <v>0</v>
      </c>
      <c r="I524" s="11">
        <v>0</v>
      </c>
      <c r="J524" s="11">
        <v>1</v>
      </c>
      <c r="K524" s="11">
        <f>_xlfn.IFNA(VLOOKUP(B524,Towary_na_zamówieniach!$A$4:$C$1500,2,FALSE),0)</f>
        <v>0</v>
      </c>
      <c r="L524" s="11">
        <f>_xlfn.IFNA(VLOOKUP(B524,Towary_na_zamówieniach!$A$4:$C$1500,3,FALSE),0)</f>
        <v>0</v>
      </c>
      <c r="M524" s="11">
        <f>_xlfn.IFNA(VLOOKUP(B524,MBI_Dostawcy_towarów!$A$4:$C$2000,2,FALSE),"N/A")</f>
        <v>7</v>
      </c>
      <c r="N524" s="11" t="str">
        <f>IF(VLOOKUP(B524,Towary_i_uslugi!$A$3:$T$1500,17,FALSE)=0,"!NO SUPPLIER",VLOOKUP(B524,Towary_i_uslugi!$A$3:$T$1500,17))</f>
        <v>DREWMET Końskie</v>
      </c>
      <c r="O524" s="11" t="str">
        <f>IF(VLOOKUP(B524,Towary_i_uslugi!$A$4:$U$1200,21,FALSE)&gt;0,VLOOKUP(B524,Towary_i_uslugi!$A$4:$U$1200,21,FALSE),"")</f>
        <v/>
      </c>
      <c r="P524" s="11">
        <f t="shared" si="24"/>
        <v>1</v>
      </c>
      <c r="Q524" s="11">
        <f t="shared" si="25"/>
        <v>1</v>
      </c>
      <c r="R524" s="17">
        <f t="shared" si="26"/>
        <v>200</v>
      </c>
      <c r="S524" s="17">
        <f>VLOOKUP($B524,   MBI_LastBuy!$A$3:E$13199,3,FALSE)</f>
        <v>6</v>
      </c>
      <c r="T524" s="13">
        <f>VLOOKUP($B524,   MBI_LastBuy!$A$3:E$13199,2,FALSE)</f>
        <v>200</v>
      </c>
      <c r="U524" s="13" t="str">
        <f>VLOOKUP($B524,   MBI_LastBuy!$A$3:E$13199,5,FALSE)</f>
        <v>PLN</v>
      </c>
      <c r="V524" s="15">
        <f>VLOOKUP($B524,   MBI_LastBuy!$A$3:E$13199,4,FALSE)</f>
        <v>43887</v>
      </c>
    </row>
    <row r="525" spans="1:22" x14ac:dyDescent="0.25">
      <c r="A525" s="11" t="s">
        <v>3572</v>
      </c>
      <c r="B525" s="11">
        <v>998002</v>
      </c>
      <c r="C525" s="11" t="str">
        <f>VLOOKUP(B525,Towary_i_uslugi!$A$4:$B$1500,2)</f>
        <v>(brak)</v>
      </c>
      <c r="E525" s="11">
        <f>VLOOKUP(B525,Towary_i_uslugi!$A$3:$T$1500,3,FALSE)</f>
        <v>1</v>
      </c>
      <c r="F525" s="11">
        <f>VLOOKUP(B525,Towary_i_uslugi!$A$3:$T$1500,20,FALSE)</f>
        <v>0</v>
      </c>
      <c r="G525" s="11">
        <f>VLOOKUP(B525,MBI_Dostawcy_towarów!$A$4:$C$1399,3,FALSE)</f>
        <v>16</v>
      </c>
      <c r="H525" s="11">
        <v>0</v>
      </c>
      <c r="I525" s="11">
        <v>0</v>
      </c>
      <c r="J525" s="11">
        <v>1</v>
      </c>
      <c r="K525" s="11">
        <f>_xlfn.IFNA(VLOOKUP(B525,Towary_na_zamówieniach!$A$4:$C$1500,2,FALSE),0)</f>
        <v>0</v>
      </c>
      <c r="L525" s="11">
        <f>_xlfn.IFNA(VLOOKUP(B525,Towary_na_zamówieniach!$A$4:$C$1500,3,FALSE),0)</f>
        <v>0</v>
      </c>
      <c r="M525" s="11">
        <f>_xlfn.IFNA(VLOOKUP(B525,MBI_Dostawcy_towarów!$A$4:$C$2000,2,FALSE),"N/A")</f>
        <v>7</v>
      </c>
      <c r="N525" s="11" t="str">
        <f>IF(VLOOKUP(B525,Towary_i_uslugi!$A$3:$T$1500,17,FALSE)=0,"!NO SUPPLIER",VLOOKUP(B525,Towary_i_uslugi!$A$3:$T$1500,17))</f>
        <v>DREWMET Końskie</v>
      </c>
      <c r="O525" s="11" t="str">
        <f>IF(VLOOKUP(B525,Towary_i_uslugi!$A$4:$U$1200,21,FALSE)&gt;0,VLOOKUP(B525,Towary_i_uslugi!$A$4:$U$1200,21,FALSE),"")</f>
        <v/>
      </c>
      <c r="P525" s="11">
        <f t="shared" si="24"/>
        <v>1</v>
      </c>
      <c r="Q525" s="11">
        <f t="shared" si="25"/>
        <v>1</v>
      </c>
      <c r="R525" s="17">
        <f t="shared" si="26"/>
        <v>175</v>
      </c>
      <c r="S525" s="17">
        <f>VLOOKUP($B525,   MBI_LastBuy!$A$3:E$13199,3,FALSE)</f>
        <v>1</v>
      </c>
      <c r="T525" s="13">
        <f>VLOOKUP($B525,   MBI_LastBuy!$A$3:E$13199,2,FALSE)</f>
        <v>175</v>
      </c>
      <c r="U525" s="13" t="str">
        <f>VLOOKUP($B525,   MBI_LastBuy!$A$3:E$13199,5,FALSE)</f>
        <v>PLN</v>
      </c>
      <c r="V525" s="15">
        <f>VLOOKUP($B525,   MBI_LastBuy!$A$3:E$13199,4,FALSE)</f>
        <v>42846</v>
      </c>
    </row>
    <row r="526" spans="1:22" x14ac:dyDescent="0.25">
      <c r="A526" s="11" t="s">
        <v>3572</v>
      </c>
      <c r="B526" s="11">
        <v>998028</v>
      </c>
      <c r="C526" s="11" t="str">
        <f>VLOOKUP(B526,Towary_i_uslugi!$A$4:$B$1500,2)</f>
        <v>(brak)</v>
      </c>
      <c r="D526" s="11" t="s">
        <v>1602</v>
      </c>
      <c r="E526" s="11">
        <f>VLOOKUP(B526,Towary_i_uslugi!$A$3:$T$1500,3,FALSE)</f>
        <v>1</v>
      </c>
      <c r="F526" s="11">
        <f>VLOOKUP(B526,Towary_i_uslugi!$A$3:$T$1500,20,FALSE)</f>
        <v>0</v>
      </c>
      <c r="G526" s="11">
        <f>VLOOKUP(B526,MBI_Dostawcy_towarów!$A$4:$C$1399,3,FALSE)</f>
        <v>14</v>
      </c>
      <c r="H526" s="11">
        <v>0</v>
      </c>
      <c r="I526" s="11">
        <v>0</v>
      </c>
      <c r="J526" s="11">
        <v>1</v>
      </c>
      <c r="K526" s="11">
        <f>_xlfn.IFNA(VLOOKUP(B526,Towary_na_zamówieniach!$A$4:$C$1500,2,FALSE),0)</f>
        <v>0</v>
      </c>
      <c r="L526" s="11">
        <f>_xlfn.IFNA(VLOOKUP(B526,Towary_na_zamówieniach!$A$4:$C$1500,3,FALSE),0)</f>
        <v>0</v>
      </c>
      <c r="M526" s="11">
        <f>_xlfn.IFNA(VLOOKUP(B526,MBI_Dostawcy_towarów!$A$4:$C$2000,2,FALSE),"N/A")</f>
        <v>7</v>
      </c>
      <c r="N526" s="11" t="str">
        <f>IF(VLOOKUP(B526,Towary_i_uslugi!$A$3:$T$1500,17,FALSE)=0,"!NO SUPPLIER",VLOOKUP(B526,Towary_i_uslugi!$A$3:$T$1500,17))</f>
        <v>DREWMET Końskie</v>
      </c>
      <c r="O526" s="11" t="str">
        <f>IF(VLOOKUP(B526,Towary_i_uslugi!$A$4:$U$1200,21,FALSE)&gt;0,VLOOKUP(B526,Towary_i_uslugi!$A$4:$U$1200,21,FALSE),"")</f>
        <v/>
      </c>
      <c r="P526" s="11">
        <f t="shared" si="24"/>
        <v>1</v>
      </c>
      <c r="Q526" s="11">
        <f t="shared" si="25"/>
        <v>1</v>
      </c>
      <c r="R526" s="17">
        <f t="shared" si="26"/>
        <v>125</v>
      </c>
      <c r="S526" s="17">
        <f>VLOOKUP($B526,   MBI_LastBuy!$A$3:E$13199,3,FALSE)</f>
        <v>1</v>
      </c>
      <c r="T526" s="13">
        <f>VLOOKUP($B526,   MBI_LastBuy!$A$3:E$13199,2,FALSE)</f>
        <v>125</v>
      </c>
      <c r="U526" s="13" t="str">
        <f>VLOOKUP($B526,   MBI_LastBuy!$A$3:E$13199,5,FALSE)</f>
        <v>PLN</v>
      </c>
      <c r="V526" s="15">
        <f>VLOOKUP($B526,   MBI_LastBuy!$A$3:E$13199,4,FALSE)</f>
        <v>43228</v>
      </c>
    </row>
  </sheetData>
  <autoFilter ref="A1:Y52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ro3">
                <anchor>
                  <from>
                    <xdr:col>26</xdr:col>
                    <xdr:colOff>180975</xdr:colOff>
                    <xdr:row>3</xdr:row>
                    <xdr:rowOff>66675</xdr:rowOff>
                  </from>
                  <to>
                    <xdr:col>28</xdr:col>
                    <xdr:colOff>180975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akro2">
                <anchor>
                  <from>
                    <xdr:col>23</xdr:col>
                    <xdr:colOff>752475</xdr:colOff>
                    <xdr:row>1</xdr:row>
                    <xdr:rowOff>57150</xdr:rowOff>
                  </from>
                  <to>
                    <xdr:col>26</xdr:col>
                    <xdr:colOff>9525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Makro4">
                <anchor>
                  <from>
                    <xdr:col>26</xdr:col>
                    <xdr:colOff>180975</xdr:colOff>
                    <xdr:row>1</xdr:row>
                    <xdr:rowOff>66675</xdr:rowOff>
                  </from>
                  <to>
                    <xdr:col>28</xdr:col>
                    <xdr:colOff>180975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ItemToXLS">
                <anchor>
                  <from>
                    <xdr:col>24</xdr:col>
                    <xdr:colOff>57150</xdr:colOff>
                    <xdr:row>5</xdr:row>
                    <xdr:rowOff>152400</xdr:rowOff>
                  </from>
                  <to>
                    <xdr:col>26</xdr:col>
                    <xdr:colOff>85725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O528"/>
  <sheetViews>
    <sheetView workbookViewId="0">
      <selection activeCell="A3" sqref="A3:E528"/>
    </sheetView>
  </sheetViews>
  <sheetFormatPr defaultRowHeight="15" x14ac:dyDescent="0.25"/>
  <cols>
    <col min="1" max="1" width="10.42578125" bestFit="1" customWidth="1"/>
    <col min="2" max="2" width="32.7109375" customWidth="1"/>
    <col min="4" max="4" width="11" bestFit="1" customWidth="1"/>
    <col min="5" max="5" width="16.28515625" bestFit="1" customWidth="1"/>
    <col min="6" max="6" width="16.140625" bestFit="1" customWidth="1"/>
  </cols>
  <sheetData>
    <row r="1" spans="1:15" x14ac:dyDescent="0.25">
      <c r="A1" s="4">
        <v>44148</v>
      </c>
    </row>
    <row r="2" spans="1:15" s="3" customFormat="1" x14ac:dyDescent="0.25">
      <c r="A2" s="5" t="s">
        <v>0</v>
      </c>
      <c r="B2" s="5" t="s">
        <v>7</v>
      </c>
      <c r="C2" s="5" t="s">
        <v>8</v>
      </c>
      <c r="D2" s="5" t="s">
        <v>10</v>
      </c>
      <c r="E2" s="5" t="s">
        <v>9</v>
      </c>
    </row>
    <row r="3" spans="1:15" s="7" customFormat="1" x14ac:dyDescent="0.25">
      <c r="A3" s="7" t="s">
        <v>0</v>
      </c>
      <c r="B3" s="7" t="s">
        <v>7</v>
      </c>
      <c r="C3" s="7" t="s">
        <v>8</v>
      </c>
      <c r="D3" s="7" t="s">
        <v>10</v>
      </c>
      <c r="E3" s="7" t="s">
        <v>9</v>
      </c>
    </row>
    <row r="4" spans="1:15" x14ac:dyDescent="0.25">
      <c r="A4">
        <v>101010</v>
      </c>
      <c r="B4" t="s">
        <v>2396</v>
      </c>
      <c r="C4">
        <v>49</v>
      </c>
      <c r="D4">
        <v>48</v>
      </c>
      <c r="E4">
        <v>1400</v>
      </c>
      <c r="H4" s="1"/>
      <c r="I4" s="1"/>
      <c r="J4" s="1"/>
      <c r="K4" s="1"/>
      <c r="L4" s="1"/>
      <c r="M4" s="1"/>
      <c r="N4" s="1"/>
      <c r="O4" s="1"/>
    </row>
    <row r="5" spans="1:15" x14ac:dyDescent="0.25">
      <c r="A5">
        <v>101012</v>
      </c>
      <c r="B5" t="s">
        <v>3582</v>
      </c>
      <c r="C5">
        <v>2</v>
      </c>
      <c r="D5">
        <v>11</v>
      </c>
      <c r="E5">
        <v>256</v>
      </c>
      <c r="H5" s="1"/>
      <c r="I5" s="1"/>
      <c r="J5" s="1"/>
      <c r="K5" s="1"/>
      <c r="L5" s="1"/>
      <c r="M5" s="1"/>
      <c r="N5" s="1"/>
      <c r="O5" s="1"/>
    </row>
    <row r="6" spans="1:15" x14ac:dyDescent="0.25">
      <c r="A6">
        <v>102010</v>
      </c>
      <c r="B6" t="s">
        <v>2760</v>
      </c>
      <c r="C6">
        <v>204</v>
      </c>
      <c r="D6">
        <v>73</v>
      </c>
      <c r="E6">
        <v>490</v>
      </c>
      <c r="H6" s="1"/>
      <c r="I6" s="1"/>
      <c r="J6" s="1"/>
      <c r="K6" s="1"/>
      <c r="L6" s="1"/>
      <c r="M6" s="1"/>
      <c r="N6" s="1"/>
      <c r="O6" s="1"/>
    </row>
    <row r="7" spans="1:15" x14ac:dyDescent="0.25">
      <c r="A7">
        <v>103010</v>
      </c>
      <c r="B7" t="s">
        <v>3583</v>
      </c>
      <c r="C7">
        <v>718</v>
      </c>
      <c r="D7">
        <v>49</v>
      </c>
      <c r="E7">
        <v>750</v>
      </c>
      <c r="H7" s="1"/>
      <c r="I7" s="1"/>
      <c r="J7" s="1"/>
      <c r="K7" s="1"/>
      <c r="L7" s="1"/>
      <c r="M7" s="1"/>
      <c r="N7" s="1"/>
      <c r="O7" s="1"/>
    </row>
    <row r="8" spans="1:15" x14ac:dyDescent="0.25">
      <c r="A8">
        <v>104010</v>
      </c>
      <c r="B8" t="s">
        <v>2761</v>
      </c>
      <c r="C8">
        <v>192</v>
      </c>
      <c r="D8">
        <v>50</v>
      </c>
      <c r="E8">
        <v>450</v>
      </c>
      <c r="H8" s="1"/>
      <c r="I8" s="1"/>
      <c r="J8" s="1"/>
      <c r="K8" s="1"/>
      <c r="L8" s="1"/>
      <c r="M8" s="1"/>
      <c r="N8" s="1"/>
      <c r="O8" s="1"/>
    </row>
    <row r="9" spans="1:15" x14ac:dyDescent="0.25">
      <c r="A9">
        <v>105010</v>
      </c>
      <c r="B9" t="s">
        <v>11</v>
      </c>
      <c r="C9">
        <v>1</v>
      </c>
      <c r="D9">
        <v>0</v>
      </c>
      <c r="E9">
        <v>600</v>
      </c>
      <c r="H9" s="1"/>
      <c r="I9" s="1"/>
      <c r="J9" s="1"/>
      <c r="K9" s="1"/>
      <c r="L9" s="1"/>
      <c r="M9" s="1"/>
      <c r="N9" s="1"/>
      <c r="O9" s="1"/>
    </row>
    <row r="10" spans="1:15" x14ac:dyDescent="0.25">
      <c r="A10">
        <v>106010</v>
      </c>
      <c r="B10" t="s">
        <v>2601</v>
      </c>
      <c r="C10">
        <v>88</v>
      </c>
      <c r="D10">
        <v>25</v>
      </c>
      <c r="E10">
        <v>350</v>
      </c>
      <c r="H10" s="1"/>
      <c r="I10" s="1"/>
      <c r="J10" s="1"/>
      <c r="K10" s="1"/>
      <c r="L10" s="1"/>
      <c r="M10" s="1"/>
      <c r="N10" s="1"/>
      <c r="O10" s="1"/>
    </row>
    <row r="11" spans="1:15" x14ac:dyDescent="0.25">
      <c r="A11">
        <v>108010</v>
      </c>
      <c r="B11" t="s">
        <v>3584</v>
      </c>
      <c r="C11">
        <v>133</v>
      </c>
      <c r="D11">
        <v>25</v>
      </c>
      <c r="E11">
        <v>150</v>
      </c>
      <c r="H11" s="1"/>
      <c r="I11" s="1"/>
      <c r="J11" s="1"/>
      <c r="K11" s="1"/>
      <c r="L11" s="1"/>
      <c r="M11" s="1"/>
      <c r="N11" s="1"/>
      <c r="O11" s="1"/>
    </row>
    <row r="12" spans="1:15" x14ac:dyDescent="0.25">
      <c r="A12">
        <v>110010</v>
      </c>
      <c r="B12" t="s">
        <v>2670</v>
      </c>
      <c r="C12">
        <v>1</v>
      </c>
      <c r="D12">
        <v>0</v>
      </c>
      <c r="E12">
        <v>200</v>
      </c>
      <c r="H12" s="1"/>
      <c r="I12" s="1"/>
      <c r="J12" s="1"/>
      <c r="K12" s="1"/>
      <c r="L12" s="1"/>
      <c r="M12" s="1"/>
      <c r="N12" s="1"/>
      <c r="O12" s="1"/>
    </row>
    <row r="13" spans="1:15" x14ac:dyDescent="0.25">
      <c r="A13">
        <v>110012</v>
      </c>
      <c r="B13" t="s">
        <v>3585</v>
      </c>
      <c r="C13">
        <v>26</v>
      </c>
      <c r="D13">
        <v>25</v>
      </c>
      <c r="E13">
        <v>120</v>
      </c>
      <c r="H13" s="1"/>
      <c r="I13" s="1"/>
      <c r="J13" s="1"/>
      <c r="K13" s="1"/>
      <c r="L13" s="1"/>
      <c r="M13" s="1"/>
      <c r="N13" s="1"/>
      <c r="O13" s="1"/>
    </row>
    <row r="14" spans="1:15" x14ac:dyDescent="0.25">
      <c r="A14">
        <v>115010</v>
      </c>
      <c r="B14" t="s">
        <v>2671</v>
      </c>
      <c r="C14">
        <v>192</v>
      </c>
      <c r="D14">
        <v>4</v>
      </c>
      <c r="E14">
        <v>220</v>
      </c>
      <c r="H14" s="1"/>
      <c r="I14" s="1"/>
      <c r="J14" s="1"/>
      <c r="K14" s="1"/>
      <c r="L14" s="1"/>
      <c r="M14" s="1"/>
      <c r="N14" s="1"/>
      <c r="O14" s="1"/>
    </row>
    <row r="15" spans="1:15" x14ac:dyDescent="0.25">
      <c r="A15">
        <v>116010</v>
      </c>
      <c r="B15" t="s">
        <v>12</v>
      </c>
      <c r="C15">
        <v>205</v>
      </c>
      <c r="D15">
        <v>1</v>
      </c>
      <c r="E15">
        <v>420</v>
      </c>
      <c r="H15" s="1"/>
      <c r="I15" s="1"/>
      <c r="J15" s="1"/>
      <c r="K15" s="1"/>
      <c r="L15" s="1"/>
      <c r="M15" s="1"/>
      <c r="N15" s="1"/>
      <c r="O15" s="1"/>
    </row>
    <row r="16" spans="1:15" x14ac:dyDescent="0.25">
      <c r="A16">
        <v>121010</v>
      </c>
      <c r="B16" t="s">
        <v>2762</v>
      </c>
      <c r="C16">
        <v>1</v>
      </c>
      <c r="D16">
        <v>0</v>
      </c>
      <c r="E16">
        <v>100</v>
      </c>
      <c r="H16" s="1"/>
      <c r="I16" s="1"/>
      <c r="J16" s="1"/>
      <c r="K16" s="1"/>
      <c r="L16" s="1"/>
      <c r="M16" s="1"/>
      <c r="N16" s="1"/>
      <c r="O16" s="1"/>
    </row>
    <row r="17" spans="1:15" x14ac:dyDescent="0.25">
      <c r="A17">
        <v>121012</v>
      </c>
      <c r="B17" t="s">
        <v>2672</v>
      </c>
      <c r="C17">
        <v>7</v>
      </c>
      <c r="D17">
        <v>2</v>
      </c>
      <c r="E17">
        <v>60</v>
      </c>
      <c r="H17" s="1"/>
      <c r="I17" s="1"/>
      <c r="J17" s="1"/>
      <c r="K17" s="1"/>
      <c r="L17" s="1"/>
      <c r="M17" s="1"/>
      <c r="N17" s="1"/>
      <c r="O17" s="1"/>
    </row>
    <row r="18" spans="1:15" x14ac:dyDescent="0.25">
      <c r="A18">
        <v>132390</v>
      </c>
      <c r="B18" t="s">
        <v>3586</v>
      </c>
      <c r="C18">
        <v>127</v>
      </c>
      <c r="D18">
        <v>1</v>
      </c>
      <c r="E18">
        <v>200</v>
      </c>
      <c r="H18" s="1"/>
      <c r="I18" s="1"/>
      <c r="J18" s="1"/>
      <c r="K18" s="1"/>
      <c r="L18" s="1"/>
      <c r="M18" s="1"/>
      <c r="N18" s="1"/>
      <c r="O18" s="1"/>
    </row>
    <row r="19" spans="1:15" x14ac:dyDescent="0.25">
      <c r="A19">
        <v>136022</v>
      </c>
      <c r="B19" t="s">
        <v>3587</v>
      </c>
      <c r="C19">
        <v>241</v>
      </c>
      <c r="D19">
        <v>3</v>
      </c>
      <c r="E19">
        <v>300</v>
      </c>
    </row>
    <row r="20" spans="1:15" x14ac:dyDescent="0.25">
      <c r="A20">
        <v>136222</v>
      </c>
      <c r="B20" t="s">
        <v>2602</v>
      </c>
      <c r="C20">
        <v>1</v>
      </c>
      <c r="D20">
        <v>0</v>
      </c>
      <c r="E20">
        <v>100</v>
      </c>
    </row>
    <row r="21" spans="1:15" x14ac:dyDescent="0.25">
      <c r="A21">
        <v>136320</v>
      </c>
      <c r="B21" t="s">
        <v>2514</v>
      </c>
      <c r="C21">
        <v>209</v>
      </c>
      <c r="D21">
        <v>0</v>
      </c>
      <c r="E21">
        <v>260</v>
      </c>
    </row>
    <row r="22" spans="1:15" x14ac:dyDescent="0.25">
      <c r="A22">
        <v>136550</v>
      </c>
      <c r="B22" t="s">
        <v>3588</v>
      </c>
      <c r="C22">
        <v>374</v>
      </c>
      <c r="D22">
        <v>0</v>
      </c>
      <c r="E22">
        <v>400</v>
      </c>
    </row>
    <row r="23" spans="1:15" x14ac:dyDescent="0.25">
      <c r="A23">
        <v>136600</v>
      </c>
      <c r="B23" t="s">
        <v>3589</v>
      </c>
      <c r="C23">
        <v>236</v>
      </c>
      <c r="D23">
        <v>0</v>
      </c>
      <c r="E23">
        <v>260</v>
      </c>
    </row>
    <row r="24" spans="1:15" x14ac:dyDescent="0.25">
      <c r="A24">
        <v>136650</v>
      </c>
      <c r="B24" t="s">
        <v>2421</v>
      </c>
      <c r="C24">
        <v>1</v>
      </c>
      <c r="D24">
        <v>0</v>
      </c>
      <c r="E24">
        <v>700</v>
      </c>
    </row>
    <row r="25" spans="1:15" x14ac:dyDescent="0.25">
      <c r="A25">
        <v>136660</v>
      </c>
      <c r="B25" t="s">
        <v>1635</v>
      </c>
      <c r="C25">
        <v>381</v>
      </c>
      <c r="D25">
        <v>0</v>
      </c>
      <c r="E25">
        <v>450</v>
      </c>
    </row>
    <row r="26" spans="1:15" x14ac:dyDescent="0.25">
      <c r="A26">
        <v>136691</v>
      </c>
      <c r="B26" t="s">
        <v>3590</v>
      </c>
      <c r="C26">
        <v>421</v>
      </c>
      <c r="D26">
        <v>0</v>
      </c>
      <c r="E26">
        <v>500</v>
      </c>
    </row>
    <row r="27" spans="1:15" x14ac:dyDescent="0.25">
      <c r="A27">
        <v>136865</v>
      </c>
      <c r="B27" t="s">
        <v>2427</v>
      </c>
      <c r="C27">
        <v>17</v>
      </c>
      <c r="D27">
        <v>1</v>
      </c>
      <c r="E27">
        <v>300</v>
      </c>
    </row>
    <row r="28" spans="1:15" x14ac:dyDescent="0.25">
      <c r="A28">
        <v>136892</v>
      </c>
      <c r="B28" t="s">
        <v>2603</v>
      </c>
      <c r="C28">
        <v>1</v>
      </c>
      <c r="D28">
        <v>0</v>
      </c>
      <c r="E28">
        <v>200</v>
      </c>
    </row>
    <row r="29" spans="1:15" x14ac:dyDescent="0.25">
      <c r="A29">
        <v>136900</v>
      </c>
      <c r="B29" t="s">
        <v>1578</v>
      </c>
      <c r="C29">
        <v>1</v>
      </c>
      <c r="D29">
        <v>0</v>
      </c>
      <c r="E29">
        <v>720</v>
      </c>
    </row>
    <row r="30" spans="1:15" x14ac:dyDescent="0.25">
      <c r="A30">
        <v>136920</v>
      </c>
      <c r="B30" t="s">
        <v>13</v>
      </c>
      <c r="C30">
        <v>1</v>
      </c>
      <c r="D30">
        <v>0</v>
      </c>
      <c r="E30">
        <v>700</v>
      </c>
    </row>
    <row r="31" spans="1:15" x14ac:dyDescent="0.25">
      <c r="A31">
        <v>136930</v>
      </c>
      <c r="B31" t="s">
        <v>2763</v>
      </c>
      <c r="C31">
        <v>1</v>
      </c>
      <c r="D31">
        <v>0</v>
      </c>
      <c r="E31">
        <v>600</v>
      </c>
    </row>
    <row r="32" spans="1:15" x14ac:dyDescent="0.25">
      <c r="A32">
        <v>136950</v>
      </c>
      <c r="B32" t="s">
        <v>3591</v>
      </c>
      <c r="C32">
        <v>179</v>
      </c>
      <c r="D32">
        <v>72</v>
      </c>
      <c r="E32">
        <v>130</v>
      </c>
    </row>
    <row r="33" spans="1:5" x14ac:dyDescent="0.25">
      <c r="A33">
        <v>137300</v>
      </c>
      <c r="B33" t="s">
        <v>2515</v>
      </c>
      <c r="C33">
        <v>1</v>
      </c>
      <c r="D33">
        <v>0</v>
      </c>
      <c r="E33">
        <v>1200</v>
      </c>
    </row>
    <row r="34" spans="1:5" x14ac:dyDescent="0.25">
      <c r="A34">
        <v>137600</v>
      </c>
      <c r="B34" t="s">
        <v>2674</v>
      </c>
      <c r="C34">
        <v>234</v>
      </c>
      <c r="D34">
        <v>25</v>
      </c>
      <c r="E34">
        <v>700</v>
      </c>
    </row>
    <row r="35" spans="1:5" x14ac:dyDescent="0.25">
      <c r="A35">
        <v>140060</v>
      </c>
      <c r="B35" t="s">
        <v>2675</v>
      </c>
      <c r="C35">
        <v>205</v>
      </c>
      <c r="D35">
        <v>10</v>
      </c>
      <c r="E35">
        <v>360</v>
      </c>
    </row>
    <row r="36" spans="1:5" x14ac:dyDescent="0.25">
      <c r="A36">
        <v>140080</v>
      </c>
      <c r="B36" t="s">
        <v>14</v>
      </c>
      <c r="C36">
        <v>541</v>
      </c>
      <c r="D36">
        <v>1</v>
      </c>
      <c r="E36">
        <v>800</v>
      </c>
    </row>
    <row r="37" spans="1:5" x14ac:dyDescent="0.25">
      <c r="A37">
        <v>140160</v>
      </c>
      <c r="B37" t="s">
        <v>2764</v>
      </c>
      <c r="C37">
        <v>276</v>
      </c>
      <c r="D37">
        <v>0</v>
      </c>
      <c r="E37">
        <v>650</v>
      </c>
    </row>
    <row r="38" spans="1:5" x14ac:dyDescent="0.25">
      <c r="A38">
        <v>141160</v>
      </c>
      <c r="B38" t="s">
        <v>2676</v>
      </c>
      <c r="C38">
        <v>275</v>
      </c>
      <c r="D38">
        <v>0</v>
      </c>
      <c r="E38">
        <v>300</v>
      </c>
    </row>
    <row r="39" spans="1:5" x14ac:dyDescent="0.25">
      <c r="A39">
        <v>156140</v>
      </c>
      <c r="B39" t="s">
        <v>2765</v>
      </c>
      <c r="C39">
        <v>1</v>
      </c>
      <c r="D39">
        <v>0</v>
      </c>
      <c r="E39">
        <v>264</v>
      </c>
    </row>
    <row r="40" spans="1:5" x14ac:dyDescent="0.25">
      <c r="A40">
        <v>156490</v>
      </c>
      <c r="B40" t="s">
        <v>2766</v>
      </c>
      <c r="C40">
        <v>285</v>
      </c>
      <c r="D40">
        <v>72</v>
      </c>
      <c r="E40">
        <v>800</v>
      </c>
    </row>
    <row r="41" spans="1:5" x14ac:dyDescent="0.25">
      <c r="A41">
        <v>156494</v>
      </c>
      <c r="B41" t="s">
        <v>2414</v>
      </c>
      <c r="C41">
        <v>126</v>
      </c>
      <c r="D41">
        <v>67</v>
      </c>
      <c r="E41">
        <v>600</v>
      </c>
    </row>
    <row r="42" spans="1:5" x14ac:dyDescent="0.25">
      <c r="A42">
        <v>156600</v>
      </c>
      <c r="B42" t="s">
        <v>15</v>
      </c>
      <c r="C42">
        <v>1</v>
      </c>
      <c r="D42">
        <v>0</v>
      </c>
      <c r="E42">
        <v>1200</v>
      </c>
    </row>
    <row r="43" spans="1:5" x14ac:dyDescent="0.25">
      <c r="A43">
        <v>156630</v>
      </c>
      <c r="B43" t="s">
        <v>2767</v>
      </c>
      <c r="C43">
        <v>210</v>
      </c>
      <c r="D43">
        <v>0</v>
      </c>
      <c r="E43">
        <v>600</v>
      </c>
    </row>
    <row r="44" spans="1:5" x14ac:dyDescent="0.25">
      <c r="A44">
        <v>162500</v>
      </c>
      <c r="B44" t="s">
        <v>16</v>
      </c>
      <c r="C44">
        <v>504</v>
      </c>
      <c r="D44">
        <v>0</v>
      </c>
      <c r="E44">
        <v>800</v>
      </c>
    </row>
    <row r="45" spans="1:5" x14ac:dyDescent="0.25">
      <c r="A45">
        <v>162502</v>
      </c>
      <c r="B45" t="s">
        <v>3592</v>
      </c>
      <c r="C45">
        <v>61</v>
      </c>
      <c r="D45">
        <v>0</v>
      </c>
      <c r="E45">
        <v>100</v>
      </c>
    </row>
    <row r="46" spans="1:5" x14ac:dyDescent="0.25">
      <c r="A46">
        <v>162506</v>
      </c>
      <c r="B46" t="s">
        <v>3593</v>
      </c>
      <c r="C46">
        <v>47</v>
      </c>
      <c r="D46">
        <v>0</v>
      </c>
      <c r="E46">
        <v>130</v>
      </c>
    </row>
    <row r="47" spans="1:5" x14ac:dyDescent="0.25">
      <c r="A47">
        <v>170150</v>
      </c>
      <c r="B47" t="s">
        <v>2768</v>
      </c>
      <c r="C47">
        <v>89</v>
      </c>
      <c r="D47">
        <v>0</v>
      </c>
      <c r="E47">
        <v>180</v>
      </c>
    </row>
    <row r="48" spans="1:5" x14ac:dyDescent="0.25">
      <c r="A48">
        <v>170200</v>
      </c>
      <c r="B48" t="s">
        <v>2455</v>
      </c>
      <c r="C48">
        <v>1</v>
      </c>
      <c r="D48">
        <v>0</v>
      </c>
      <c r="E48">
        <v>80</v>
      </c>
    </row>
    <row r="49" spans="1:5" x14ac:dyDescent="0.25">
      <c r="A49">
        <v>172100</v>
      </c>
      <c r="B49" t="s">
        <v>2769</v>
      </c>
      <c r="C49">
        <v>25</v>
      </c>
      <c r="D49">
        <v>0</v>
      </c>
      <c r="E49">
        <v>160</v>
      </c>
    </row>
    <row r="50" spans="1:5" x14ac:dyDescent="0.25">
      <c r="A50">
        <v>172150</v>
      </c>
      <c r="B50" t="s">
        <v>3594</v>
      </c>
      <c r="C50">
        <v>35</v>
      </c>
      <c r="D50">
        <v>10</v>
      </c>
      <c r="E50">
        <v>90</v>
      </c>
    </row>
    <row r="51" spans="1:5" x14ac:dyDescent="0.25">
      <c r="A51">
        <v>180192</v>
      </c>
      <c r="B51" t="s">
        <v>3595</v>
      </c>
      <c r="C51">
        <v>285</v>
      </c>
      <c r="D51">
        <v>20</v>
      </c>
      <c r="E51">
        <v>280</v>
      </c>
    </row>
    <row r="52" spans="1:5" x14ac:dyDescent="0.25">
      <c r="A52">
        <v>180194</v>
      </c>
      <c r="B52" t="s">
        <v>2770</v>
      </c>
      <c r="C52">
        <v>132</v>
      </c>
      <c r="D52">
        <v>0</v>
      </c>
      <c r="E52">
        <v>250</v>
      </c>
    </row>
    <row r="53" spans="1:5" x14ac:dyDescent="0.25">
      <c r="A53">
        <v>181170</v>
      </c>
      <c r="B53" t="s">
        <v>2456</v>
      </c>
      <c r="C53">
        <v>70</v>
      </c>
      <c r="D53">
        <v>48</v>
      </c>
      <c r="E53">
        <v>210</v>
      </c>
    </row>
    <row r="54" spans="1:5" x14ac:dyDescent="0.25">
      <c r="A54">
        <v>182000</v>
      </c>
      <c r="B54" t="s">
        <v>2604</v>
      </c>
      <c r="C54">
        <v>174</v>
      </c>
      <c r="D54">
        <v>1</v>
      </c>
      <c r="E54">
        <v>720</v>
      </c>
    </row>
    <row r="55" spans="1:5" x14ac:dyDescent="0.25">
      <c r="A55">
        <v>182060</v>
      </c>
      <c r="B55" t="s">
        <v>3596</v>
      </c>
      <c r="C55">
        <v>519</v>
      </c>
      <c r="D55">
        <v>141</v>
      </c>
      <c r="E55">
        <v>400</v>
      </c>
    </row>
    <row r="56" spans="1:5" x14ac:dyDescent="0.25">
      <c r="A56">
        <v>183010</v>
      </c>
      <c r="B56" t="s">
        <v>2771</v>
      </c>
      <c r="C56">
        <v>61</v>
      </c>
      <c r="D56">
        <v>3</v>
      </c>
      <c r="E56">
        <v>110</v>
      </c>
    </row>
    <row r="57" spans="1:5" x14ac:dyDescent="0.25">
      <c r="A57">
        <v>183650</v>
      </c>
      <c r="B57" t="s">
        <v>1579</v>
      </c>
      <c r="C57">
        <v>345</v>
      </c>
      <c r="D57">
        <v>72</v>
      </c>
      <c r="E57">
        <v>960</v>
      </c>
    </row>
    <row r="58" spans="1:5" x14ac:dyDescent="0.25">
      <c r="A58">
        <v>194000</v>
      </c>
      <c r="B58" t="s">
        <v>3597</v>
      </c>
      <c r="C58">
        <v>291</v>
      </c>
      <c r="D58">
        <v>0</v>
      </c>
      <c r="E58">
        <v>350</v>
      </c>
    </row>
    <row r="59" spans="1:5" x14ac:dyDescent="0.25">
      <c r="A59">
        <v>194141</v>
      </c>
      <c r="B59" t="s">
        <v>3598</v>
      </c>
      <c r="C59">
        <v>338</v>
      </c>
      <c r="D59">
        <v>161</v>
      </c>
      <c r="E59">
        <v>800</v>
      </c>
    </row>
    <row r="60" spans="1:5" x14ac:dyDescent="0.25">
      <c r="A60">
        <v>195012</v>
      </c>
      <c r="B60" t="s">
        <v>3599</v>
      </c>
      <c r="C60">
        <v>87</v>
      </c>
      <c r="D60">
        <v>51</v>
      </c>
      <c r="E60">
        <v>80</v>
      </c>
    </row>
    <row r="61" spans="1:5" x14ac:dyDescent="0.25">
      <c r="A61">
        <v>195013</v>
      </c>
      <c r="B61" t="s">
        <v>2772</v>
      </c>
      <c r="C61">
        <v>32</v>
      </c>
      <c r="D61">
        <v>0</v>
      </c>
      <c r="E61">
        <v>40</v>
      </c>
    </row>
    <row r="62" spans="1:5" x14ac:dyDescent="0.25">
      <c r="A62">
        <v>195014</v>
      </c>
      <c r="B62" t="s">
        <v>17</v>
      </c>
      <c r="C62">
        <v>46</v>
      </c>
      <c r="D62">
        <v>1</v>
      </c>
      <c r="E62">
        <v>200</v>
      </c>
    </row>
    <row r="63" spans="1:5" x14ac:dyDescent="0.25">
      <c r="A63">
        <v>195310</v>
      </c>
      <c r="B63" t="s">
        <v>3600</v>
      </c>
      <c r="C63">
        <v>1007</v>
      </c>
      <c r="D63">
        <v>70</v>
      </c>
      <c r="E63">
        <v>1300</v>
      </c>
    </row>
    <row r="64" spans="1:5" x14ac:dyDescent="0.25">
      <c r="A64">
        <v>198190</v>
      </c>
      <c r="B64" t="s">
        <v>3601</v>
      </c>
      <c r="C64">
        <v>2453</v>
      </c>
      <c r="D64">
        <v>10</v>
      </c>
      <c r="E64">
        <v>2500</v>
      </c>
    </row>
    <row r="65" spans="1:5" x14ac:dyDescent="0.25">
      <c r="A65">
        <v>198390</v>
      </c>
      <c r="B65" t="s">
        <v>3602</v>
      </c>
      <c r="C65">
        <v>1885</v>
      </c>
      <c r="D65">
        <v>10</v>
      </c>
      <c r="E65">
        <v>2500</v>
      </c>
    </row>
    <row r="66" spans="1:5" x14ac:dyDescent="0.25">
      <c r="A66">
        <v>199160</v>
      </c>
      <c r="B66" t="s">
        <v>3603</v>
      </c>
      <c r="C66">
        <v>257</v>
      </c>
      <c r="D66">
        <v>0</v>
      </c>
      <c r="E66">
        <v>500</v>
      </c>
    </row>
    <row r="67" spans="1:5" x14ac:dyDescent="0.25">
      <c r="A67">
        <v>199260</v>
      </c>
      <c r="B67" t="s">
        <v>3604</v>
      </c>
      <c r="C67">
        <v>205</v>
      </c>
      <c r="D67">
        <v>0</v>
      </c>
      <c r="E67">
        <v>210</v>
      </c>
    </row>
    <row r="68" spans="1:5" x14ac:dyDescent="0.25">
      <c r="A68">
        <v>214052</v>
      </c>
      <c r="B68" t="s">
        <v>3605</v>
      </c>
      <c r="C68">
        <v>30</v>
      </c>
      <c r="D68">
        <v>10</v>
      </c>
      <c r="E68">
        <v>130</v>
      </c>
    </row>
    <row r="69" spans="1:5" x14ac:dyDescent="0.25">
      <c r="A69">
        <v>214082</v>
      </c>
      <c r="B69" t="s">
        <v>3606</v>
      </c>
      <c r="C69">
        <v>74</v>
      </c>
      <c r="D69">
        <v>10</v>
      </c>
      <c r="E69">
        <v>80</v>
      </c>
    </row>
    <row r="70" spans="1:5" x14ac:dyDescent="0.25">
      <c r="A70">
        <v>230015</v>
      </c>
      <c r="B70" t="s">
        <v>2605</v>
      </c>
      <c r="C70">
        <v>3</v>
      </c>
      <c r="D70">
        <v>0</v>
      </c>
      <c r="E70">
        <v>500</v>
      </c>
    </row>
    <row r="71" spans="1:5" x14ac:dyDescent="0.25">
      <c r="A71">
        <v>230016</v>
      </c>
      <c r="B71" t="s">
        <v>2605</v>
      </c>
      <c r="C71">
        <v>1</v>
      </c>
      <c r="D71">
        <v>0</v>
      </c>
      <c r="E71">
        <v>140</v>
      </c>
    </row>
    <row r="72" spans="1:5" x14ac:dyDescent="0.25">
      <c r="A72">
        <v>230018</v>
      </c>
      <c r="B72" t="s">
        <v>2605</v>
      </c>
      <c r="C72">
        <v>1</v>
      </c>
      <c r="D72">
        <v>0</v>
      </c>
      <c r="E72">
        <v>60</v>
      </c>
    </row>
    <row r="73" spans="1:5" x14ac:dyDescent="0.25">
      <c r="A73">
        <v>230030</v>
      </c>
      <c r="B73" t="s">
        <v>2773</v>
      </c>
      <c r="C73">
        <v>4</v>
      </c>
      <c r="D73">
        <v>3</v>
      </c>
      <c r="E73">
        <v>800</v>
      </c>
    </row>
    <row r="74" spans="1:5" x14ac:dyDescent="0.25">
      <c r="A74">
        <v>240101</v>
      </c>
      <c r="B74" t="s">
        <v>18</v>
      </c>
      <c r="C74">
        <v>443</v>
      </c>
      <c r="D74">
        <v>29</v>
      </c>
      <c r="E74">
        <v>2300</v>
      </c>
    </row>
    <row r="75" spans="1:5" x14ac:dyDescent="0.25">
      <c r="A75">
        <v>240106</v>
      </c>
      <c r="B75" t="s">
        <v>19</v>
      </c>
      <c r="C75">
        <v>0</v>
      </c>
      <c r="D75">
        <v>0</v>
      </c>
      <c r="E75">
        <v>400</v>
      </c>
    </row>
    <row r="76" spans="1:5" x14ac:dyDescent="0.25">
      <c r="A76">
        <v>240401</v>
      </c>
      <c r="B76" t="s">
        <v>1580</v>
      </c>
      <c r="C76">
        <v>2252</v>
      </c>
      <c r="D76">
        <v>132</v>
      </c>
      <c r="E76">
        <v>3000</v>
      </c>
    </row>
    <row r="77" spans="1:5" x14ac:dyDescent="0.25">
      <c r="A77">
        <v>241110</v>
      </c>
      <c r="B77" t="s">
        <v>2774</v>
      </c>
      <c r="C77">
        <v>565</v>
      </c>
      <c r="D77">
        <v>100</v>
      </c>
      <c r="E77">
        <v>1400</v>
      </c>
    </row>
    <row r="78" spans="1:5" x14ac:dyDescent="0.25">
      <c r="A78">
        <v>241200</v>
      </c>
      <c r="B78" t="s">
        <v>2606</v>
      </c>
      <c r="C78">
        <v>887</v>
      </c>
      <c r="D78">
        <v>0</v>
      </c>
      <c r="E78">
        <v>1800</v>
      </c>
    </row>
    <row r="79" spans="1:5" x14ac:dyDescent="0.25">
      <c r="A79">
        <v>250055</v>
      </c>
      <c r="B79" t="s">
        <v>3607</v>
      </c>
      <c r="C79">
        <v>0</v>
      </c>
      <c r="D79">
        <v>0</v>
      </c>
      <c r="E79">
        <v>12</v>
      </c>
    </row>
    <row r="80" spans="1:5" x14ac:dyDescent="0.25">
      <c r="A80">
        <v>250057</v>
      </c>
      <c r="B80" t="s">
        <v>3608</v>
      </c>
      <c r="C80">
        <v>0</v>
      </c>
      <c r="D80">
        <v>0</v>
      </c>
      <c r="E80">
        <v>12</v>
      </c>
    </row>
    <row r="81" spans="1:5" x14ac:dyDescent="0.25">
      <c r="A81">
        <v>250058</v>
      </c>
      <c r="B81" t="s">
        <v>3609</v>
      </c>
      <c r="C81">
        <v>0</v>
      </c>
      <c r="D81">
        <v>0</v>
      </c>
      <c r="E81">
        <v>12</v>
      </c>
    </row>
    <row r="82" spans="1:5" x14ac:dyDescent="0.25">
      <c r="A82">
        <v>250230</v>
      </c>
      <c r="B82" t="s">
        <v>3610</v>
      </c>
      <c r="C82">
        <v>118</v>
      </c>
      <c r="D82">
        <v>57</v>
      </c>
      <c r="E82">
        <v>1000</v>
      </c>
    </row>
    <row r="83" spans="1:5" x14ac:dyDescent="0.25">
      <c r="A83">
        <v>250340</v>
      </c>
      <c r="B83" t="s">
        <v>2607</v>
      </c>
      <c r="C83">
        <v>0</v>
      </c>
      <c r="D83">
        <v>0</v>
      </c>
      <c r="E83">
        <v>4000</v>
      </c>
    </row>
    <row r="84" spans="1:5" x14ac:dyDescent="0.25">
      <c r="A84">
        <v>250350</v>
      </c>
      <c r="B84" t="s">
        <v>2677</v>
      </c>
      <c r="C84">
        <v>0</v>
      </c>
      <c r="D84">
        <v>0</v>
      </c>
      <c r="E84">
        <v>400</v>
      </c>
    </row>
    <row r="85" spans="1:5" x14ac:dyDescent="0.25">
      <c r="A85">
        <v>250760</v>
      </c>
      <c r="B85" t="s">
        <v>3611</v>
      </c>
      <c r="C85">
        <v>48</v>
      </c>
      <c r="D85">
        <v>0</v>
      </c>
      <c r="E85">
        <v>70</v>
      </c>
    </row>
    <row r="86" spans="1:5" x14ac:dyDescent="0.25">
      <c r="A86">
        <v>250800</v>
      </c>
      <c r="B86" t="s">
        <v>2457</v>
      </c>
      <c r="C86">
        <v>21</v>
      </c>
      <c r="D86">
        <v>0</v>
      </c>
      <c r="E86">
        <v>80</v>
      </c>
    </row>
    <row r="87" spans="1:5" x14ac:dyDescent="0.25">
      <c r="A87">
        <v>250820</v>
      </c>
      <c r="B87" t="s">
        <v>2458</v>
      </c>
      <c r="C87">
        <v>0</v>
      </c>
      <c r="D87">
        <v>0</v>
      </c>
      <c r="E87">
        <v>70</v>
      </c>
    </row>
    <row r="88" spans="1:5" x14ac:dyDescent="0.25">
      <c r="A88">
        <v>250900</v>
      </c>
      <c r="B88" t="s">
        <v>2608</v>
      </c>
      <c r="C88">
        <v>0</v>
      </c>
      <c r="D88">
        <v>0</v>
      </c>
      <c r="E88">
        <v>60</v>
      </c>
    </row>
    <row r="89" spans="1:5" x14ac:dyDescent="0.25">
      <c r="A89">
        <v>250950</v>
      </c>
      <c r="B89" t="s">
        <v>3612</v>
      </c>
      <c r="C89">
        <v>41</v>
      </c>
      <c r="D89">
        <v>0</v>
      </c>
      <c r="E89">
        <v>50</v>
      </c>
    </row>
    <row r="90" spans="1:5" x14ac:dyDescent="0.25">
      <c r="A90">
        <v>250960</v>
      </c>
      <c r="B90" t="s">
        <v>2609</v>
      </c>
      <c r="C90">
        <v>0</v>
      </c>
      <c r="D90">
        <v>0</v>
      </c>
      <c r="E90">
        <v>5</v>
      </c>
    </row>
    <row r="91" spans="1:5" x14ac:dyDescent="0.25">
      <c r="A91">
        <v>252340</v>
      </c>
      <c r="B91" t="s">
        <v>3613</v>
      </c>
      <c r="C91">
        <v>82</v>
      </c>
      <c r="D91">
        <v>0</v>
      </c>
      <c r="E91">
        <v>100</v>
      </c>
    </row>
    <row r="92" spans="1:5" x14ac:dyDescent="0.25">
      <c r="A92">
        <v>252700</v>
      </c>
      <c r="B92" t="s">
        <v>2775</v>
      </c>
      <c r="C92">
        <v>18</v>
      </c>
      <c r="D92">
        <v>0</v>
      </c>
      <c r="E92">
        <v>20</v>
      </c>
    </row>
    <row r="93" spans="1:5" x14ac:dyDescent="0.25">
      <c r="A93">
        <v>256035</v>
      </c>
      <c r="B93" t="s">
        <v>2776</v>
      </c>
      <c r="C93">
        <v>41</v>
      </c>
      <c r="D93">
        <v>41</v>
      </c>
      <c r="E93">
        <v>100</v>
      </c>
    </row>
    <row r="94" spans="1:5" x14ac:dyDescent="0.25">
      <c r="A94">
        <v>256121</v>
      </c>
      <c r="B94" t="s">
        <v>3614</v>
      </c>
      <c r="C94">
        <v>89</v>
      </c>
      <c r="D94">
        <v>76</v>
      </c>
      <c r="E94">
        <v>200</v>
      </c>
    </row>
    <row r="95" spans="1:5" x14ac:dyDescent="0.25">
      <c r="A95">
        <v>262000</v>
      </c>
      <c r="B95" t="s">
        <v>512</v>
      </c>
      <c r="C95">
        <v>4</v>
      </c>
      <c r="D95">
        <v>3</v>
      </c>
      <c r="E95">
        <v>2500</v>
      </c>
    </row>
    <row r="96" spans="1:5" x14ac:dyDescent="0.25">
      <c r="A96">
        <v>262002</v>
      </c>
      <c r="B96" t="s">
        <v>2777</v>
      </c>
      <c r="C96">
        <v>18</v>
      </c>
      <c r="D96">
        <v>3</v>
      </c>
      <c r="E96">
        <v>350</v>
      </c>
    </row>
    <row r="97" spans="1:5" x14ac:dyDescent="0.25">
      <c r="A97">
        <v>300000</v>
      </c>
      <c r="B97" t="s">
        <v>2610</v>
      </c>
      <c r="C97">
        <v>241</v>
      </c>
      <c r="D97">
        <v>0</v>
      </c>
      <c r="E97">
        <v>1000</v>
      </c>
    </row>
    <row r="98" spans="1:5" x14ac:dyDescent="0.25">
      <c r="A98">
        <v>300013</v>
      </c>
      <c r="B98" t="s">
        <v>2611</v>
      </c>
      <c r="C98">
        <v>85</v>
      </c>
      <c r="D98">
        <v>124</v>
      </c>
      <c r="E98">
        <v>800</v>
      </c>
    </row>
    <row r="99" spans="1:5" x14ac:dyDescent="0.25">
      <c r="A99">
        <v>300070</v>
      </c>
      <c r="B99" t="s">
        <v>2778</v>
      </c>
      <c r="C99">
        <v>81</v>
      </c>
      <c r="D99">
        <v>0</v>
      </c>
      <c r="E99">
        <v>210</v>
      </c>
    </row>
    <row r="100" spans="1:5" x14ac:dyDescent="0.25">
      <c r="A100">
        <v>300110</v>
      </c>
      <c r="B100" t="s">
        <v>3615</v>
      </c>
      <c r="C100">
        <v>204</v>
      </c>
      <c r="D100">
        <v>1</v>
      </c>
      <c r="E100">
        <v>240</v>
      </c>
    </row>
    <row r="101" spans="1:5" x14ac:dyDescent="0.25">
      <c r="A101">
        <v>300130</v>
      </c>
      <c r="B101" t="s">
        <v>3616</v>
      </c>
      <c r="C101">
        <v>133</v>
      </c>
      <c r="D101">
        <v>0</v>
      </c>
      <c r="E101">
        <v>240</v>
      </c>
    </row>
    <row r="102" spans="1:5" x14ac:dyDescent="0.25">
      <c r="A102">
        <v>300380</v>
      </c>
      <c r="B102" t="s">
        <v>3617</v>
      </c>
      <c r="C102">
        <v>236</v>
      </c>
      <c r="D102">
        <v>0</v>
      </c>
      <c r="E102">
        <v>350</v>
      </c>
    </row>
    <row r="103" spans="1:5" x14ac:dyDescent="0.25">
      <c r="A103">
        <v>300400</v>
      </c>
      <c r="B103" t="s">
        <v>1581</v>
      </c>
      <c r="C103">
        <v>132</v>
      </c>
      <c r="D103">
        <v>12</v>
      </c>
      <c r="E103">
        <v>420</v>
      </c>
    </row>
    <row r="104" spans="1:5" x14ac:dyDescent="0.25">
      <c r="A104">
        <v>300420</v>
      </c>
      <c r="B104" t="s">
        <v>1582</v>
      </c>
      <c r="C104">
        <v>78</v>
      </c>
      <c r="D104">
        <v>12</v>
      </c>
      <c r="E104">
        <v>260</v>
      </c>
    </row>
    <row r="105" spans="1:5" x14ac:dyDescent="0.25">
      <c r="A105">
        <v>300710</v>
      </c>
      <c r="B105" t="s">
        <v>2779</v>
      </c>
      <c r="C105">
        <v>1</v>
      </c>
      <c r="D105">
        <v>0</v>
      </c>
      <c r="E105">
        <v>160</v>
      </c>
    </row>
    <row r="106" spans="1:5" x14ac:dyDescent="0.25">
      <c r="A106">
        <v>300712</v>
      </c>
      <c r="B106" t="s">
        <v>2612</v>
      </c>
      <c r="C106">
        <v>98</v>
      </c>
      <c r="D106">
        <v>0</v>
      </c>
      <c r="E106">
        <v>150</v>
      </c>
    </row>
    <row r="107" spans="1:5" x14ac:dyDescent="0.25">
      <c r="A107">
        <v>310060</v>
      </c>
      <c r="B107" t="s">
        <v>2780</v>
      </c>
      <c r="C107">
        <v>50</v>
      </c>
      <c r="D107">
        <v>13</v>
      </c>
      <c r="E107">
        <v>320</v>
      </c>
    </row>
    <row r="108" spans="1:5" x14ac:dyDescent="0.25">
      <c r="A108">
        <v>310080</v>
      </c>
      <c r="B108" t="s">
        <v>1583</v>
      </c>
      <c r="C108">
        <v>50</v>
      </c>
      <c r="D108">
        <v>0</v>
      </c>
      <c r="E108">
        <v>270</v>
      </c>
    </row>
    <row r="109" spans="1:5" x14ac:dyDescent="0.25">
      <c r="A109">
        <v>310190</v>
      </c>
      <c r="B109" t="s">
        <v>2397</v>
      </c>
      <c r="C109">
        <v>54</v>
      </c>
      <c r="D109">
        <v>0</v>
      </c>
      <c r="E109">
        <v>200</v>
      </c>
    </row>
    <row r="110" spans="1:5" x14ac:dyDescent="0.25">
      <c r="A110">
        <v>311180</v>
      </c>
      <c r="B110" t="s">
        <v>1584</v>
      </c>
      <c r="C110">
        <v>210</v>
      </c>
      <c r="D110">
        <v>0</v>
      </c>
      <c r="E110">
        <v>350</v>
      </c>
    </row>
    <row r="111" spans="1:5" x14ac:dyDescent="0.25">
      <c r="A111">
        <v>312060</v>
      </c>
      <c r="B111" t="s">
        <v>1585</v>
      </c>
      <c r="C111">
        <v>112</v>
      </c>
      <c r="D111">
        <v>1</v>
      </c>
      <c r="E111">
        <v>420</v>
      </c>
    </row>
    <row r="112" spans="1:5" x14ac:dyDescent="0.25">
      <c r="A112">
        <v>312180</v>
      </c>
      <c r="B112" t="s">
        <v>20</v>
      </c>
      <c r="C112">
        <v>123</v>
      </c>
      <c r="D112">
        <v>3</v>
      </c>
      <c r="E112">
        <v>450</v>
      </c>
    </row>
    <row r="113" spans="1:5" x14ac:dyDescent="0.25">
      <c r="A113">
        <v>312220</v>
      </c>
      <c r="B113" t="s">
        <v>21</v>
      </c>
      <c r="C113">
        <v>189</v>
      </c>
      <c r="D113">
        <v>1</v>
      </c>
      <c r="E113">
        <v>300</v>
      </c>
    </row>
    <row r="114" spans="1:5" x14ac:dyDescent="0.25">
      <c r="A114">
        <v>312230</v>
      </c>
      <c r="B114" t="s">
        <v>2613</v>
      </c>
      <c r="C114">
        <v>66</v>
      </c>
      <c r="D114">
        <v>1</v>
      </c>
      <c r="E114">
        <v>260</v>
      </c>
    </row>
    <row r="115" spans="1:5" x14ac:dyDescent="0.25">
      <c r="A115">
        <v>312261</v>
      </c>
      <c r="B115" t="s">
        <v>3618</v>
      </c>
      <c r="C115">
        <v>218</v>
      </c>
      <c r="D115">
        <v>20</v>
      </c>
      <c r="E115">
        <v>200</v>
      </c>
    </row>
    <row r="116" spans="1:5" x14ac:dyDescent="0.25">
      <c r="A116">
        <v>314020</v>
      </c>
      <c r="B116" t="s">
        <v>2614</v>
      </c>
      <c r="C116">
        <v>4</v>
      </c>
      <c r="D116">
        <v>0</v>
      </c>
      <c r="E116">
        <v>560</v>
      </c>
    </row>
    <row r="117" spans="1:5" x14ac:dyDescent="0.25">
      <c r="A117">
        <v>314023</v>
      </c>
      <c r="B117" t="s">
        <v>2781</v>
      </c>
      <c r="C117">
        <v>222</v>
      </c>
      <c r="D117">
        <v>0</v>
      </c>
      <c r="E117">
        <v>530</v>
      </c>
    </row>
    <row r="118" spans="1:5" x14ac:dyDescent="0.25">
      <c r="A118">
        <v>314060</v>
      </c>
      <c r="B118" t="s">
        <v>2782</v>
      </c>
      <c r="C118">
        <v>82</v>
      </c>
      <c r="D118">
        <v>1</v>
      </c>
      <c r="E118">
        <v>100</v>
      </c>
    </row>
    <row r="119" spans="1:5" x14ac:dyDescent="0.25">
      <c r="A119">
        <v>320080</v>
      </c>
      <c r="B119" t="s">
        <v>2422</v>
      </c>
      <c r="C119">
        <v>1191</v>
      </c>
      <c r="D119">
        <v>120</v>
      </c>
      <c r="E119">
        <v>1900</v>
      </c>
    </row>
    <row r="120" spans="1:5" x14ac:dyDescent="0.25">
      <c r="A120">
        <v>321091</v>
      </c>
      <c r="B120" t="s">
        <v>3619</v>
      </c>
      <c r="C120">
        <v>505</v>
      </c>
      <c r="D120">
        <v>210</v>
      </c>
      <c r="E120">
        <v>400</v>
      </c>
    </row>
    <row r="121" spans="1:5" x14ac:dyDescent="0.25">
      <c r="A121">
        <v>321092</v>
      </c>
      <c r="B121" t="s">
        <v>2783</v>
      </c>
      <c r="C121">
        <v>375</v>
      </c>
      <c r="D121">
        <v>0</v>
      </c>
      <c r="E121">
        <v>800</v>
      </c>
    </row>
    <row r="122" spans="1:5" x14ac:dyDescent="0.25">
      <c r="A122">
        <v>321192</v>
      </c>
      <c r="B122" t="s">
        <v>2784</v>
      </c>
      <c r="C122">
        <v>313</v>
      </c>
      <c r="D122">
        <v>1</v>
      </c>
      <c r="E122">
        <v>800</v>
      </c>
    </row>
    <row r="123" spans="1:5" x14ac:dyDescent="0.25">
      <c r="A123">
        <v>322219</v>
      </c>
      <c r="B123" t="s">
        <v>1586</v>
      </c>
      <c r="C123">
        <v>1</v>
      </c>
      <c r="D123">
        <v>0</v>
      </c>
      <c r="E123">
        <v>220</v>
      </c>
    </row>
    <row r="124" spans="1:5" x14ac:dyDescent="0.25">
      <c r="A124">
        <v>330140</v>
      </c>
      <c r="B124" t="s">
        <v>2785</v>
      </c>
      <c r="C124">
        <v>121</v>
      </c>
      <c r="D124">
        <v>0</v>
      </c>
      <c r="E124">
        <v>290</v>
      </c>
    </row>
    <row r="125" spans="1:5" x14ac:dyDescent="0.25">
      <c r="A125">
        <v>333251</v>
      </c>
      <c r="B125" t="s">
        <v>2786</v>
      </c>
      <c r="C125">
        <v>2</v>
      </c>
      <c r="D125">
        <v>1</v>
      </c>
      <c r="E125">
        <v>180</v>
      </c>
    </row>
    <row r="126" spans="1:5" x14ac:dyDescent="0.25">
      <c r="A126">
        <v>340008</v>
      </c>
      <c r="B126" t="s">
        <v>2787</v>
      </c>
      <c r="C126">
        <v>200</v>
      </c>
      <c r="D126">
        <v>30</v>
      </c>
      <c r="E126">
        <v>450</v>
      </c>
    </row>
    <row r="127" spans="1:5" x14ac:dyDescent="0.25">
      <c r="A127">
        <v>340010</v>
      </c>
      <c r="B127" t="s">
        <v>2788</v>
      </c>
      <c r="C127">
        <v>0</v>
      </c>
      <c r="D127">
        <v>0</v>
      </c>
      <c r="E127">
        <v>75</v>
      </c>
    </row>
    <row r="128" spans="1:5" x14ac:dyDescent="0.25">
      <c r="A128">
        <v>340011</v>
      </c>
      <c r="B128" t="s">
        <v>2789</v>
      </c>
      <c r="C128">
        <v>0</v>
      </c>
      <c r="D128">
        <v>0</v>
      </c>
      <c r="E128">
        <v>150</v>
      </c>
    </row>
    <row r="129" spans="1:5" x14ac:dyDescent="0.25">
      <c r="A129">
        <v>340012</v>
      </c>
      <c r="B129" t="s">
        <v>2790</v>
      </c>
      <c r="C129">
        <v>0</v>
      </c>
      <c r="D129">
        <v>0</v>
      </c>
      <c r="E129">
        <v>120</v>
      </c>
    </row>
    <row r="130" spans="1:5" x14ac:dyDescent="0.25">
      <c r="A130">
        <v>340042</v>
      </c>
      <c r="B130" t="s">
        <v>1615</v>
      </c>
      <c r="C130">
        <v>1</v>
      </c>
      <c r="D130">
        <v>0</v>
      </c>
      <c r="E130">
        <v>450</v>
      </c>
    </row>
    <row r="131" spans="1:5" x14ac:dyDescent="0.25">
      <c r="A131">
        <v>340170</v>
      </c>
      <c r="B131" t="s">
        <v>2791</v>
      </c>
      <c r="C131">
        <v>4</v>
      </c>
      <c r="D131">
        <v>0</v>
      </c>
      <c r="E131">
        <v>320</v>
      </c>
    </row>
    <row r="132" spans="1:5" x14ac:dyDescent="0.25">
      <c r="A132">
        <v>340181</v>
      </c>
      <c r="B132" t="s">
        <v>1587</v>
      </c>
      <c r="C132">
        <v>1</v>
      </c>
      <c r="D132">
        <v>0</v>
      </c>
      <c r="E132">
        <v>270</v>
      </c>
    </row>
    <row r="133" spans="1:5" x14ac:dyDescent="0.25">
      <c r="A133">
        <v>340190</v>
      </c>
      <c r="B133" t="s">
        <v>22</v>
      </c>
      <c r="C133">
        <v>167</v>
      </c>
      <c r="D133">
        <v>10</v>
      </c>
      <c r="E133">
        <v>300</v>
      </c>
    </row>
    <row r="134" spans="1:5" x14ac:dyDescent="0.25">
      <c r="A134">
        <v>340194</v>
      </c>
      <c r="B134" t="s">
        <v>23</v>
      </c>
      <c r="C134">
        <v>141</v>
      </c>
      <c r="D134">
        <v>0</v>
      </c>
      <c r="E134">
        <v>200</v>
      </c>
    </row>
    <row r="135" spans="1:5" x14ac:dyDescent="0.25">
      <c r="A135">
        <v>340211</v>
      </c>
      <c r="B135" t="s">
        <v>2615</v>
      </c>
      <c r="C135">
        <v>17</v>
      </c>
      <c r="D135">
        <v>0</v>
      </c>
      <c r="E135">
        <v>50</v>
      </c>
    </row>
    <row r="136" spans="1:5" x14ac:dyDescent="0.25">
      <c r="A136">
        <v>340212</v>
      </c>
      <c r="B136" t="s">
        <v>2516</v>
      </c>
      <c r="C136">
        <v>14</v>
      </c>
      <c r="D136">
        <v>0</v>
      </c>
      <c r="E136">
        <v>50</v>
      </c>
    </row>
    <row r="137" spans="1:5" x14ac:dyDescent="0.25">
      <c r="A137">
        <v>340262</v>
      </c>
      <c r="B137" t="s">
        <v>1621</v>
      </c>
      <c r="C137">
        <v>1</v>
      </c>
      <c r="D137">
        <v>0</v>
      </c>
      <c r="E137">
        <v>150</v>
      </c>
    </row>
    <row r="138" spans="1:5" x14ac:dyDescent="0.25">
      <c r="A138">
        <v>340270</v>
      </c>
      <c r="B138" t="s">
        <v>2792</v>
      </c>
      <c r="C138">
        <v>0</v>
      </c>
      <c r="D138">
        <v>0</v>
      </c>
      <c r="E138">
        <v>160</v>
      </c>
    </row>
    <row r="139" spans="1:5" x14ac:dyDescent="0.25">
      <c r="A139">
        <v>340272</v>
      </c>
      <c r="B139" t="s">
        <v>24</v>
      </c>
      <c r="C139">
        <v>1</v>
      </c>
      <c r="D139">
        <v>0</v>
      </c>
      <c r="E139">
        <v>160</v>
      </c>
    </row>
    <row r="140" spans="1:5" x14ac:dyDescent="0.25">
      <c r="A140">
        <v>340290</v>
      </c>
      <c r="B140" t="s">
        <v>25</v>
      </c>
      <c r="C140">
        <v>1</v>
      </c>
      <c r="D140">
        <v>0</v>
      </c>
      <c r="E140">
        <v>100</v>
      </c>
    </row>
    <row r="141" spans="1:5" x14ac:dyDescent="0.25">
      <c r="A141">
        <v>340499</v>
      </c>
      <c r="B141" t="s">
        <v>2678</v>
      </c>
      <c r="C141">
        <v>56</v>
      </c>
      <c r="D141">
        <v>0</v>
      </c>
      <c r="E141">
        <v>80</v>
      </c>
    </row>
    <row r="142" spans="1:5" x14ac:dyDescent="0.25">
      <c r="A142">
        <v>340932</v>
      </c>
      <c r="B142" t="s">
        <v>2616</v>
      </c>
      <c r="C142">
        <v>1</v>
      </c>
      <c r="D142">
        <v>0</v>
      </c>
      <c r="E142">
        <v>100</v>
      </c>
    </row>
    <row r="143" spans="1:5" x14ac:dyDescent="0.25">
      <c r="A143">
        <v>341082</v>
      </c>
      <c r="B143" t="s">
        <v>2793</v>
      </c>
      <c r="C143">
        <v>1</v>
      </c>
      <c r="D143">
        <v>0</v>
      </c>
      <c r="E143">
        <v>160</v>
      </c>
    </row>
    <row r="144" spans="1:5" x14ac:dyDescent="0.25">
      <c r="A144">
        <v>341504</v>
      </c>
      <c r="B144" t="s">
        <v>26</v>
      </c>
      <c r="C144">
        <v>1</v>
      </c>
      <c r="D144">
        <v>0</v>
      </c>
      <c r="E144">
        <v>18</v>
      </c>
    </row>
    <row r="145" spans="1:5" x14ac:dyDescent="0.25">
      <c r="A145">
        <v>341710</v>
      </c>
      <c r="B145" t="s">
        <v>2794</v>
      </c>
      <c r="C145">
        <v>0</v>
      </c>
      <c r="D145">
        <v>0</v>
      </c>
      <c r="E145">
        <v>25</v>
      </c>
    </row>
    <row r="146" spans="1:5" x14ac:dyDescent="0.25">
      <c r="A146">
        <v>350007</v>
      </c>
      <c r="B146" t="s">
        <v>2795</v>
      </c>
      <c r="C146">
        <v>45</v>
      </c>
      <c r="D146">
        <v>15</v>
      </c>
      <c r="E146">
        <v>40</v>
      </c>
    </row>
    <row r="147" spans="1:5" x14ac:dyDescent="0.25">
      <c r="A147">
        <v>350012</v>
      </c>
      <c r="B147" t="s">
        <v>2517</v>
      </c>
      <c r="C147">
        <v>1</v>
      </c>
      <c r="D147">
        <v>0</v>
      </c>
      <c r="E147">
        <v>240</v>
      </c>
    </row>
    <row r="148" spans="1:5" x14ac:dyDescent="0.25">
      <c r="A148">
        <v>350019</v>
      </c>
      <c r="B148" t="s">
        <v>2796</v>
      </c>
      <c r="C148">
        <v>64</v>
      </c>
      <c r="D148">
        <v>10</v>
      </c>
      <c r="E148">
        <v>150</v>
      </c>
    </row>
    <row r="149" spans="1:5" x14ac:dyDescent="0.25">
      <c r="A149">
        <v>350029</v>
      </c>
      <c r="B149" t="s">
        <v>3620</v>
      </c>
      <c r="C149">
        <v>14</v>
      </c>
      <c r="D149">
        <v>0</v>
      </c>
      <c r="E149">
        <v>25</v>
      </c>
    </row>
    <row r="150" spans="1:5" x14ac:dyDescent="0.25">
      <c r="A150">
        <v>350055</v>
      </c>
      <c r="B150" t="s">
        <v>2518</v>
      </c>
      <c r="C150">
        <v>1</v>
      </c>
      <c r="D150">
        <v>0</v>
      </c>
      <c r="E150">
        <v>40</v>
      </c>
    </row>
    <row r="151" spans="1:5" x14ac:dyDescent="0.25">
      <c r="A151">
        <v>350067</v>
      </c>
      <c r="B151" t="s">
        <v>2797</v>
      </c>
      <c r="C151">
        <v>25</v>
      </c>
      <c r="D151">
        <v>0</v>
      </c>
      <c r="E151">
        <v>50</v>
      </c>
    </row>
    <row r="152" spans="1:5" x14ac:dyDescent="0.25">
      <c r="A152">
        <v>350131</v>
      </c>
      <c r="B152" t="s">
        <v>2798</v>
      </c>
      <c r="C152">
        <v>6</v>
      </c>
      <c r="D152">
        <v>5</v>
      </c>
      <c r="E152">
        <v>30</v>
      </c>
    </row>
    <row r="153" spans="1:5" x14ac:dyDescent="0.25">
      <c r="A153">
        <v>350300</v>
      </c>
      <c r="B153" t="s">
        <v>3621</v>
      </c>
      <c r="C153">
        <v>125</v>
      </c>
      <c r="D153">
        <v>51</v>
      </c>
      <c r="E153">
        <v>120</v>
      </c>
    </row>
    <row r="154" spans="1:5" x14ac:dyDescent="0.25">
      <c r="A154">
        <v>350421</v>
      </c>
      <c r="B154" t="s">
        <v>2799</v>
      </c>
      <c r="C154">
        <v>1</v>
      </c>
      <c r="D154">
        <v>0</v>
      </c>
      <c r="E154">
        <v>240</v>
      </c>
    </row>
    <row r="155" spans="1:5" x14ac:dyDescent="0.25">
      <c r="A155">
        <v>350435</v>
      </c>
      <c r="B155" t="s">
        <v>2617</v>
      </c>
      <c r="C155">
        <v>20</v>
      </c>
      <c r="D155">
        <v>0</v>
      </c>
      <c r="E155">
        <v>30</v>
      </c>
    </row>
    <row r="156" spans="1:5" x14ac:dyDescent="0.25">
      <c r="A156">
        <v>350440</v>
      </c>
      <c r="B156" t="s">
        <v>2800</v>
      </c>
      <c r="C156">
        <v>0</v>
      </c>
      <c r="D156">
        <v>0</v>
      </c>
      <c r="E156">
        <v>30</v>
      </c>
    </row>
    <row r="157" spans="1:5" x14ac:dyDescent="0.25">
      <c r="A157">
        <v>350441</v>
      </c>
      <c r="B157" t="s">
        <v>2801</v>
      </c>
      <c r="C157">
        <v>39</v>
      </c>
      <c r="D157">
        <v>40</v>
      </c>
      <c r="E157">
        <v>20</v>
      </c>
    </row>
    <row r="158" spans="1:5" x14ac:dyDescent="0.25">
      <c r="A158">
        <v>350515</v>
      </c>
      <c r="B158" t="s">
        <v>2802</v>
      </c>
      <c r="C158">
        <v>1</v>
      </c>
      <c r="D158">
        <v>0</v>
      </c>
      <c r="E158">
        <v>15</v>
      </c>
    </row>
    <row r="159" spans="1:5" x14ac:dyDescent="0.25">
      <c r="A159">
        <v>350517</v>
      </c>
      <c r="B159" t="s">
        <v>2803</v>
      </c>
      <c r="C159">
        <v>9</v>
      </c>
      <c r="D159">
        <v>0</v>
      </c>
      <c r="E159">
        <v>15</v>
      </c>
    </row>
    <row r="160" spans="1:5" x14ac:dyDescent="0.25">
      <c r="A160">
        <v>350520</v>
      </c>
      <c r="B160" t="s">
        <v>2804</v>
      </c>
      <c r="C160">
        <v>7</v>
      </c>
      <c r="D160">
        <v>0</v>
      </c>
      <c r="E160">
        <v>15</v>
      </c>
    </row>
    <row r="161" spans="1:5" x14ac:dyDescent="0.25">
      <c r="A161">
        <v>350539</v>
      </c>
      <c r="B161" t="s">
        <v>2805</v>
      </c>
      <c r="C161">
        <v>0</v>
      </c>
      <c r="D161">
        <v>0</v>
      </c>
      <c r="E161">
        <v>25</v>
      </c>
    </row>
    <row r="162" spans="1:5" x14ac:dyDescent="0.25">
      <c r="A162">
        <v>350550</v>
      </c>
      <c r="B162" t="s">
        <v>2618</v>
      </c>
      <c r="C162">
        <v>13</v>
      </c>
      <c r="D162">
        <v>0</v>
      </c>
      <c r="E162">
        <v>25</v>
      </c>
    </row>
    <row r="163" spans="1:5" x14ac:dyDescent="0.25">
      <c r="A163">
        <v>350624</v>
      </c>
      <c r="B163" t="s">
        <v>2806</v>
      </c>
      <c r="C163">
        <v>1</v>
      </c>
      <c r="D163">
        <v>0</v>
      </c>
      <c r="E163">
        <v>30</v>
      </c>
    </row>
    <row r="164" spans="1:5" x14ac:dyDescent="0.25">
      <c r="A164">
        <v>350802</v>
      </c>
      <c r="B164" t="s">
        <v>2807</v>
      </c>
      <c r="C164">
        <v>0</v>
      </c>
      <c r="D164">
        <v>0</v>
      </c>
      <c r="E164">
        <v>25</v>
      </c>
    </row>
    <row r="165" spans="1:5" x14ac:dyDescent="0.25">
      <c r="A165">
        <v>350809</v>
      </c>
      <c r="B165" t="s">
        <v>2808</v>
      </c>
      <c r="C165">
        <v>0</v>
      </c>
      <c r="D165">
        <v>0</v>
      </c>
      <c r="E165">
        <v>12</v>
      </c>
    </row>
    <row r="166" spans="1:5" x14ac:dyDescent="0.25">
      <c r="A166">
        <v>350823</v>
      </c>
      <c r="B166" t="s">
        <v>1637</v>
      </c>
      <c r="C166">
        <v>36</v>
      </c>
      <c r="D166">
        <v>35</v>
      </c>
      <c r="E166">
        <v>100</v>
      </c>
    </row>
    <row r="167" spans="1:5" x14ac:dyDescent="0.25">
      <c r="A167">
        <v>350910</v>
      </c>
      <c r="B167" t="s">
        <v>2809</v>
      </c>
      <c r="C167">
        <v>15</v>
      </c>
      <c r="D167">
        <v>14</v>
      </c>
      <c r="E167">
        <v>72</v>
      </c>
    </row>
    <row r="168" spans="1:5" x14ac:dyDescent="0.25">
      <c r="A168">
        <v>401145</v>
      </c>
      <c r="B168" t="s">
        <v>2810</v>
      </c>
      <c r="C168">
        <v>38</v>
      </c>
      <c r="D168">
        <v>1</v>
      </c>
      <c r="E168">
        <v>480</v>
      </c>
    </row>
    <row r="169" spans="1:5" x14ac:dyDescent="0.25">
      <c r="A169">
        <v>402270</v>
      </c>
      <c r="B169" t="s">
        <v>2619</v>
      </c>
      <c r="C169">
        <v>1</v>
      </c>
      <c r="D169">
        <v>0</v>
      </c>
      <c r="E169">
        <v>45</v>
      </c>
    </row>
    <row r="170" spans="1:5" x14ac:dyDescent="0.25">
      <c r="A170">
        <v>403005</v>
      </c>
      <c r="B170" t="s">
        <v>2620</v>
      </c>
      <c r="C170">
        <v>1</v>
      </c>
      <c r="D170">
        <v>0</v>
      </c>
      <c r="E170">
        <v>100</v>
      </c>
    </row>
    <row r="171" spans="1:5" x14ac:dyDescent="0.25">
      <c r="A171">
        <v>410091</v>
      </c>
      <c r="B171" t="s">
        <v>2811</v>
      </c>
      <c r="C171">
        <v>0</v>
      </c>
      <c r="D171">
        <v>0</v>
      </c>
      <c r="E171">
        <v>24</v>
      </c>
    </row>
    <row r="172" spans="1:5" x14ac:dyDescent="0.25">
      <c r="A172">
        <v>410320</v>
      </c>
      <c r="B172" t="s">
        <v>3622</v>
      </c>
      <c r="C172">
        <v>45</v>
      </c>
      <c r="D172">
        <v>1</v>
      </c>
      <c r="E172">
        <v>60</v>
      </c>
    </row>
    <row r="173" spans="1:5" x14ac:dyDescent="0.25">
      <c r="A173">
        <v>410340</v>
      </c>
      <c r="B173" t="s">
        <v>27</v>
      </c>
      <c r="C173">
        <v>7</v>
      </c>
      <c r="D173">
        <v>1</v>
      </c>
      <c r="E173">
        <v>270</v>
      </c>
    </row>
    <row r="174" spans="1:5" x14ac:dyDescent="0.25">
      <c r="A174">
        <v>410520</v>
      </c>
      <c r="B174" t="s">
        <v>1639</v>
      </c>
      <c r="C174">
        <v>111</v>
      </c>
      <c r="D174">
        <v>0</v>
      </c>
      <c r="E174">
        <v>170</v>
      </c>
    </row>
    <row r="175" spans="1:5" x14ac:dyDescent="0.25">
      <c r="A175">
        <v>410525</v>
      </c>
      <c r="B175" t="s">
        <v>3623</v>
      </c>
      <c r="C175">
        <v>119</v>
      </c>
      <c r="D175">
        <v>0</v>
      </c>
      <c r="E175">
        <v>120</v>
      </c>
    </row>
    <row r="176" spans="1:5" x14ac:dyDescent="0.25">
      <c r="A176">
        <v>410526</v>
      </c>
      <c r="B176" t="s">
        <v>2812</v>
      </c>
      <c r="C176">
        <v>41</v>
      </c>
      <c r="D176">
        <v>0</v>
      </c>
      <c r="E176">
        <v>140</v>
      </c>
    </row>
    <row r="177" spans="1:5" x14ac:dyDescent="0.25">
      <c r="A177">
        <v>410540</v>
      </c>
      <c r="B177" t="s">
        <v>2621</v>
      </c>
      <c r="C177">
        <v>30</v>
      </c>
      <c r="D177">
        <v>505</v>
      </c>
      <c r="E177">
        <v>600</v>
      </c>
    </row>
    <row r="178" spans="1:5" x14ac:dyDescent="0.25">
      <c r="A178">
        <v>410631</v>
      </c>
      <c r="B178" t="s">
        <v>2813</v>
      </c>
      <c r="C178">
        <v>209</v>
      </c>
      <c r="D178">
        <v>0</v>
      </c>
      <c r="E178">
        <v>500</v>
      </c>
    </row>
    <row r="179" spans="1:5" x14ac:dyDescent="0.25">
      <c r="A179">
        <v>410633</v>
      </c>
      <c r="B179" t="s">
        <v>3624</v>
      </c>
      <c r="C179">
        <v>699</v>
      </c>
      <c r="D179">
        <v>1</v>
      </c>
      <c r="E179">
        <v>950</v>
      </c>
    </row>
    <row r="180" spans="1:5" x14ac:dyDescent="0.25">
      <c r="A180">
        <v>410770</v>
      </c>
      <c r="B180" t="s">
        <v>2814</v>
      </c>
      <c r="C180">
        <v>1</v>
      </c>
      <c r="D180">
        <v>0</v>
      </c>
      <c r="E180">
        <v>150</v>
      </c>
    </row>
    <row r="181" spans="1:5" x14ac:dyDescent="0.25">
      <c r="A181">
        <v>410874</v>
      </c>
      <c r="B181" t="s">
        <v>3625</v>
      </c>
      <c r="C181">
        <v>0</v>
      </c>
      <c r="D181">
        <v>0</v>
      </c>
      <c r="E181">
        <v>400</v>
      </c>
    </row>
    <row r="182" spans="1:5" x14ac:dyDescent="0.25">
      <c r="A182">
        <v>420090</v>
      </c>
      <c r="B182" t="s">
        <v>3626</v>
      </c>
      <c r="C182">
        <v>260</v>
      </c>
      <c r="D182">
        <v>10</v>
      </c>
      <c r="E182">
        <v>350</v>
      </c>
    </row>
    <row r="183" spans="1:5" x14ac:dyDescent="0.25">
      <c r="A183">
        <v>420105</v>
      </c>
      <c r="B183" t="s">
        <v>3627</v>
      </c>
      <c r="C183">
        <v>11</v>
      </c>
      <c r="D183">
        <v>0</v>
      </c>
      <c r="E183">
        <v>100</v>
      </c>
    </row>
    <row r="184" spans="1:5" x14ac:dyDescent="0.25">
      <c r="A184">
        <v>420113</v>
      </c>
      <c r="B184" t="s">
        <v>1588</v>
      </c>
      <c r="C184">
        <v>1</v>
      </c>
      <c r="D184">
        <v>0</v>
      </c>
      <c r="E184">
        <v>100</v>
      </c>
    </row>
    <row r="185" spans="1:5" x14ac:dyDescent="0.25">
      <c r="A185">
        <v>430030</v>
      </c>
      <c r="B185" t="s">
        <v>3628</v>
      </c>
      <c r="C185">
        <v>864</v>
      </c>
      <c r="D185">
        <v>30</v>
      </c>
      <c r="E185">
        <v>1200</v>
      </c>
    </row>
    <row r="186" spans="1:5" x14ac:dyDescent="0.25">
      <c r="A186">
        <v>430070</v>
      </c>
      <c r="B186" t="s">
        <v>28</v>
      </c>
      <c r="C186">
        <v>138</v>
      </c>
      <c r="D186">
        <v>560</v>
      </c>
      <c r="E186">
        <v>2600</v>
      </c>
    </row>
    <row r="187" spans="1:5" x14ac:dyDescent="0.25">
      <c r="A187">
        <v>440060</v>
      </c>
      <c r="B187" t="s">
        <v>3629</v>
      </c>
      <c r="C187">
        <v>1004</v>
      </c>
      <c r="D187">
        <v>0</v>
      </c>
      <c r="E187">
        <v>1200</v>
      </c>
    </row>
    <row r="188" spans="1:5" x14ac:dyDescent="0.25">
      <c r="A188">
        <v>440063</v>
      </c>
      <c r="B188" t="s">
        <v>2815</v>
      </c>
      <c r="C188">
        <v>1</v>
      </c>
      <c r="D188">
        <v>0</v>
      </c>
      <c r="E188">
        <v>50</v>
      </c>
    </row>
    <row r="189" spans="1:5" x14ac:dyDescent="0.25">
      <c r="A189">
        <v>440150</v>
      </c>
      <c r="B189" t="s">
        <v>2622</v>
      </c>
      <c r="C189">
        <v>117</v>
      </c>
      <c r="D189">
        <v>0</v>
      </c>
      <c r="E189">
        <v>250</v>
      </c>
    </row>
    <row r="190" spans="1:5" x14ac:dyDescent="0.25">
      <c r="A190">
        <v>440320</v>
      </c>
      <c r="B190" t="s">
        <v>3630</v>
      </c>
      <c r="C190">
        <v>15</v>
      </c>
      <c r="D190">
        <v>0</v>
      </c>
      <c r="E190">
        <v>30</v>
      </c>
    </row>
    <row r="191" spans="1:5" x14ac:dyDescent="0.25">
      <c r="A191">
        <v>440322</v>
      </c>
      <c r="B191" t="s">
        <v>2679</v>
      </c>
      <c r="C191">
        <v>1</v>
      </c>
      <c r="D191">
        <v>0</v>
      </c>
      <c r="E191">
        <v>40</v>
      </c>
    </row>
    <row r="192" spans="1:5" x14ac:dyDescent="0.25">
      <c r="A192">
        <v>440352</v>
      </c>
      <c r="B192" t="s">
        <v>29</v>
      </c>
      <c r="C192">
        <v>1</v>
      </c>
      <c r="D192">
        <v>0</v>
      </c>
      <c r="E192">
        <v>30</v>
      </c>
    </row>
    <row r="193" spans="1:5" x14ac:dyDescent="0.25">
      <c r="A193">
        <v>450180</v>
      </c>
      <c r="B193" t="s">
        <v>2816</v>
      </c>
      <c r="C193">
        <v>105</v>
      </c>
      <c r="D193">
        <v>0</v>
      </c>
      <c r="E193">
        <v>250</v>
      </c>
    </row>
    <row r="194" spans="1:5" x14ac:dyDescent="0.25">
      <c r="A194">
        <v>500750</v>
      </c>
      <c r="B194" t="s">
        <v>3631</v>
      </c>
      <c r="C194">
        <v>1</v>
      </c>
      <c r="D194">
        <v>0</v>
      </c>
      <c r="E194">
        <v>20</v>
      </c>
    </row>
    <row r="195" spans="1:5" x14ac:dyDescent="0.25">
      <c r="A195">
        <v>501000</v>
      </c>
      <c r="B195" t="s">
        <v>30</v>
      </c>
      <c r="C195">
        <v>13</v>
      </c>
      <c r="D195">
        <v>1</v>
      </c>
      <c r="E195">
        <v>50</v>
      </c>
    </row>
    <row r="196" spans="1:5" x14ac:dyDescent="0.25">
      <c r="A196">
        <v>501250</v>
      </c>
      <c r="B196" t="s">
        <v>31</v>
      </c>
      <c r="C196">
        <v>1</v>
      </c>
      <c r="D196">
        <v>0</v>
      </c>
      <c r="E196">
        <v>70</v>
      </c>
    </row>
    <row r="197" spans="1:5" x14ac:dyDescent="0.25">
      <c r="A197">
        <v>501500</v>
      </c>
      <c r="B197" t="s">
        <v>32</v>
      </c>
      <c r="C197">
        <v>1</v>
      </c>
      <c r="D197">
        <v>0</v>
      </c>
      <c r="E197">
        <v>40</v>
      </c>
    </row>
    <row r="198" spans="1:5" x14ac:dyDescent="0.25">
      <c r="A198">
        <v>511000</v>
      </c>
      <c r="B198" t="s">
        <v>2817</v>
      </c>
      <c r="C198">
        <v>25</v>
      </c>
      <c r="D198">
        <v>0</v>
      </c>
      <c r="E198">
        <v>30</v>
      </c>
    </row>
    <row r="199" spans="1:5" x14ac:dyDescent="0.25">
      <c r="A199">
        <v>511250</v>
      </c>
      <c r="B199" t="s">
        <v>2623</v>
      </c>
      <c r="C199">
        <v>1</v>
      </c>
      <c r="D199">
        <v>0</v>
      </c>
      <c r="E199">
        <v>40</v>
      </c>
    </row>
    <row r="200" spans="1:5" x14ac:dyDescent="0.25">
      <c r="A200">
        <v>511500</v>
      </c>
      <c r="B200" t="s">
        <v>33</v>
      </c>
      <c r="C200">
        <v>1</v>
      </c>
      <c r="D200">
        <v>0</v>
      </c>
      <c r="E200">
        <v>25</v>
      </c>
    </row>
    <row r="201" spans="1:5" x14ac:dyDescent="0.25">
      <c r="A201">
        <v>520400</v>
      </c>
      <c r="B201" t="s">
        <v>1589</v>
      </c>
      <c r="C201">
        <v>166</v>
      </c>
      <c r="D201">
        <v>0</v>
      </c>
      <c r="E201">
        <v>260</v>
      </c>
    </row>
    <row r="202" spans="1:5" x14ac:dyDescent="0.25">
      <c r="A202">
        <v>520450</v>
      </c>
      <c r="B202" t="s">
        <v>3632</v>
      </c>
      <c r="C202">
        <v>173</v>
      </c>
      <c r="D202">
        <v>0</v>
      </c>
      <c r="E202">
        <v>190</v>
      </c>
    </row>
    <row r="203" spans="1:5" x14ac:dyDescent="0.25">
      <c r="A203">
        <v>520800</v>
      </c>
      <c r="B203" t="s">
        <v>2680</v>
      </c>
      <c r="C203">
        <v>1</v>
      </c>
      <c r="D203">
        <v>0</v>
      </c>
      <c r="E203">
        <v>130</v>
      </c>
    </row>
    <row r="204" spans="1:5" x14ac:dyDescent="0.25">
      <c r="A204">
        <v>531400</v>
      </c>
      <c r="B204" t="s">
        <v>2818</v>
      </c>
      <c r="C204">
        <v>1</v>
      </c>
      <c r="D204">
        <v>0</v>
      </c>
      <c r="E204">
        <v>480</v>
      </c>
    </row>
    <row r="205" spans="1:5" x14ac:dyDescent="0.25">
      <c r="A205">
        <v>531450</v>
      </c>
      <c r="B205" t="s">
        <v>2819</v>
      </c>
      <c r="C205">
        <v>1</v>
      </c>
      <c r="D205">
        <v>0</v>
      </c>
      <c r="E205">
        <v>460</v>
      </c>
    </row>
    <row r="206" spans="1:5" x14ac:dyDescent="0.25">
      <c r="A206">
        <v>531500</v>
      </c>
      <c r="B206" t="s">
        <v>2624</v>
      </c>
      <c r="C206">
        <v>2</v>
      </c>
      <c r="D206">
        <v>1</v>
      </c>
      <c r="E206">
        <v>240</v>
      </c>
    </row>
    <row r="207" spans="1:5" x14ac:dyDescent="0.25">
      <c r="A207">
        <v>531520</v>
      </c>
      <c r="B207" t="s">
        <v>2820</v>
      </c>
      <c r="C207">
        <v>12</v>
      </c>
      <c r="D207">
        <v>5</v>
      </c>
      <c r="E207">
        <v>1000</v>
      </c>
    </row>
    <row r="208" spans="1:5" x14ac:dyDescent="0.25">
      <c r="A208">
        <v>531530</v>
      </c>
      <c r="B208" t="s">
        <v>2519</v>
      </c>
      <c r="C208">
        <v>2</v>
      </c>
      <c r="D208">
        <v>1</v>
      </c>
      <c r="E208">
        <v>1100</v>
      </c>
    </row>
    <row r="209" spans="1:5" x14ac:dyDescent="0.25">
      <c r="A209">
        <v>531540</v>
      </c>
      <c r="B209" t="s">
        <v>2821</v>
      </c>
      <c r="C209">
        <v>268</v>
      </c>
      <c r="D209">
        <v>6</v>
      </c>
      <c r="E209">
        <v>680</v>
      </c>
    </row>
    <row r="210" spans="1:5" x14ac:dyDescent="0.25">
      <c r="A210">
        <v>531550</v>
      </c>
      <c r="B210" t="s">
        <v>2681</v>
      </c>
      <c r="C210">
        <v>1</v>
      </c>
      <c r="D210">
        <v>0</v>
      </c>
      <c r="E210">
        <v>240</v>
      </c>
    </row>
    <row r="211" spans="1:5" x14ac:dyDescent="0.25">
      <c r="A211">
        <v>543010</v>
      </c>
      <c r="B211" t="s">
        <v>2682</v>
      </c>
      <c r="C211">
        <v>161</v>
      </c>
      <c r="D211">
        <v>73</v>
      </c>
      <c r="E211">
        <v>720</v>
      </c>
    </row>
    <row r="212" spans="1:5" x14ac:dyDescent="0.25">
      <c r="A212">
        <v>552500</v>
      </c>
      <c r="B212" t="s">
        <v>2683</v>
      </c>
      <c r="C212">
        <v>1</v>
      </c>
      <c r="D212">
        <v>0</v>
      </c>
      <c r="E212">
        <v>580</v>
      </c>
    </row>
    <row r="213" spans="1:5" x14ac:dyDescent="0.25">
      <c r="A213">
        <v>553000</v>
      </c>
      <c r="B213" t="s">
        <v>2520</v>
      </c>
      <c r="C213">
        <v>3</v>
      </c>
      <c r="D213">
        <v>2</v>
      </c>
      <c r="E213">
        <v>1000</v>
      </c>
    </row>
    <row r="214" spans="1:5" x14ac:dyDescent="0.25">
      <c r="A214">
        <v>553500</v>
      </c>
      <c r="B214" t="s">
        <v>2822</v>
      </c>
      <c r="C214">
        <v>962</v>
      </c>
      <c r="D214">
        <v>21</v>
      </c>
      <c r="E214">
        <v>1300</v>
      </c>
    </row>
    <row r="215" spans="1:5" x14ac:dyDescent="0.25">
      <c r="A215">
        <v>554000</v>
      </c>
      <c r="B215" t="s">
        <v>2823</v>
      </c>
      <c r="C215">
        <v>226</v>
      </c>
      <c r="D215">
        <v>21</v>
      </c>
      <c r="E215">
        <v>800</v>
      </c>
    </row>
    <row r="216" spans="1:5" x14ac:dyDescent="0.25">
      <c r="A216">
        <v>563102</v>
      </c>
      <c r="B216" t="s">
        <v>2824</v>
      </c>
      <c r="C216">
        <v>79</v>
      </c>
      <c r="D216">
        <v>25</v>
      </c>
      <c r="E216">
        <v>400</v>
      </c>
    </row>
    <row r="217" spans="1:5" x14ac:dyDescent="0.25">
      <c r="A217">
        <v>580010</v>
      </c>
      <c r="B217" t="s">
        <v>2825</v>
      </c>
      <c r="C217">
        <v>935</v>
      </c>
      <c r="D217">
        <v>10</v>
      </c>
      <c r="E217">
        <v>1800</v>
      </c>
    </row>
    <row r="218" spans="1:5" x14ac:dyDescent="0.25">
      <c r="A218">
        <v>580020</v>
      </c>
      <c r="B218" t="s">
        <v>2826</v>
      </c>
      <c r="C218">
        <v>1</v>
      </c>
      <c r="D218">
        <v>0</v>
      </c>
      <c r="E218">
        <v>1450</v>
      </c>
    </row>
    <row r="219" spans="1:5" x14ac:dyDescent="0.25">
      <c r="A219">
        <v>588040</v>
      </c>
      <c r="B219" t="s">
        <v>1640</v>
      </c>
      <c r="C219">
        <v>434</v>
      </c>
      <c r="D219">
        <v>24</v>
      </c>
      <c r="E219">
        <v>950</v>
      </c>
    </row>
    <row r="220" spans="1:5" x14ac:dyDescent="0.25">
      <c r="A220">
        <v>588110</v>
      </c>
      <c r="B220" t="s">
        <v>2625</v>
      </c>
      <c r="C220">
        <v>353</v>
      </c>
      <c r="D220">
        <v>20</v>
      </c>
      <c r="E220">
        <v>530</v>
      </c>
    </row>
    <row r="221" spans="1:5" x14ac:dyDescent="0.25">
      <c r="A221">
        <v>595000</v>
      </c>
      <c r="B221" t="s">
        <v>1590</v>
      </c>
      <c r="C221">
        <v>1</v>
      </c>
      <c r="D221">
        <v>0</v>
      </c>
      <c r="E221">
        <v>700</v>
      </c>
    </row>
    <row r="222" spans="1:5" x14ac:dyDescent="0.25">
      <c r="A222">
        <v>595050</v>
      </c>
      <c r="B222" t="s">
        <v>3633</v>
      </c>
      <c r="C222">
        <v>527</v>
      </c>
      <c r="D222">
        <v>324</v>
      </c>
      <c r="E222">
        <v>540</v>
      </c>
    </row>
    <row r="223" spans="1:5" x14ac:dyDescent="0.25">
      <c r="A223">
        <v>595500</v>
      </c>
      <c r="B223" t="s">
        <v>2827</v>
      </c>
      <c r="C223">
        <v>1</v>
      </c>
      <c r="D223">
        <v>0</v>
      </c>
      <c r="E223">
        <v>90</v>
      </c>
    </row>
    <row r="224" spans="1:5" x14ac:dyDescent="0.25">
      <c r="A224">
        <v>597015</v>
      </c>
      <c r="B224" t="s">
        <v>3634</v>
      </c>
      <c r="C224">
        <v>0</v>
      </c>
      <c r="D224">
        <v>0</v>
      </c>
      <c r="E224">
        <v>100</v>
      </c>
    </row>
    <row r="225" spans="1:5" x14ac:dyDescent="0.25">
      <c r="A225">
        <v>597040</v>
      </c>
      <c r="B225" t="s">
        <v>3635</v>
      </c>
      <c r="C225">
        <v>0</v>
      </c>
      <c r="D225">
        <v>0</v>
      </c>
      <c r="E225">
        <v>100</v>
      </c>
    </row>
    <row r="226" spans="1:5" x14ac:dyDescent="0.25">
      <c r="A226">
        <v>598130</v>
      </c>
      <c r="B226" t="s">
        <v>2415</v>
      </c>
      <c r="C226">
        <v>200</v>
      </c>
      <c r="D226">
        <v>73</v>
      </c>
      <c r="E226">
        <v>360</v>
      </c>
    </row>
    <row r="227" spans="1:5" x14ac:dyDescent="0.25">
      <c r="A227">
        <v>598140</v>
      </c>
      <c r="B227" t="s">
        <v>2828</v>
      </c>
      <c r="C227">
        <v>1</v>
      </c>
      <c r="D227">
        <v>0</v>
      </c>
      <c r="E227">
        <v>320</v>
      </c>
    </row>
    <row r="228" spans="1:5" x14ac:dyDescent="0.25">
      <c r="A228">
        <v>598240</v>
      </c>
      <c r="B228" t="s">
        <v>2626</v>
      </c>
      <c r="C228">
        <v>611</v>
      </c>
      <c r="D228">
        <v>60</v>
      </c>
      <c r="E228">
        <v>1500</v>
      </c>
    </row>
    <row r="229" spans="1:5" x14ac:dyDescent="0.25">
      <c r="A229">
        <v>598262</v>
      </c>
      <c r="B229" t="s">
        <v>3636</v>
      </c>
      <c r="C229">
        <v>709</v>
      </c>
      <c r="D229">
        <v>72</v>
      </c>
      <c r="E229">
        <v>1300</v>
      </c>
    </row>
    <row r="230" spans="1:5" x14ac:dyDescent="0.25">
      <c r="A230">
        <v>598272</v>
      </c>
      <c r="B230" t="s">
        <v>3637</v>
      </c>
      <c r="C230">
        <v>646</v>
      </c>
      <c r="D230">
        <v>72</v>
      </c>
      <c r="E230">
        <v>1000</v>
      </c>
    </row>
    <row r="231" spans="1:5" x14ac:dyDescent="0.25">
      <c r="A231">
        <v>598274</v>
      </c>
      <c r="B231" t="s">
        <v>3638</v>
      </c>
      <c r="C231">
        <v>775</v>
      </c>
      <c r="D231">
        <v>72</v>
      </c>
      <c r="E231">
        <v>1152</v>
      </c>
    </row>
    <row r="232" spans="1:5" x14ac:dyDescent="0.25">
      <c r="A232">
        <v>598281</v>
      </c>
      <c r="B232" t="s">
        <v>3639</v>
      </c>
      <c r="C232">
        <v>142</v>
      </c>
      <c r="D232">
        <v>84</v>
      </c>
      <c r="E232">
        <v>360</v>
      </c>
    </row>
    <row r="233" spans="1:5" x14ac:dyDescent="0.25">
      <c r="A233">
        <v>598282</v>
      </c>
      <c r="B233" t="s">
        <v>2829</v>
      </c>
      <c r="C233">
        <v>1</v>
      </c>
      <c r="D233">
        <v>0</v>
      </c>
      <c r="E233">
        <v>400</v>
      </c>
    </row>
    <row r="234" spans="1:5" x14ac:dyDescent="0.25">
      <c r="A234">
        <v>600030</v>
      </c>
      <c r="B234" t="s">
        <v>2830</v>
      </c>
      <c r="C234">
        <v>1</v>
      </c>
      <c r="D234">
        <v>0</v>
      </c>
      <c r="E234">
        <v>360</v>
      </c>
    </row>
    <row r="235" spans="1:5" x14ac:dyDescent="0.25">
      <c r="A235">
        <v>600031</v>
      </c>
      <c r="B235" t="s">
        <v>2831</v>
      </c>
      <c r="C235">
        <v>0</v>
      </c>
      <c r="D235">
        <v>0</v>
      </c>
      <c r="E235">
        <v>360</v>
      </c>
    </row>
    <row r="236" spans="1:5" x14ac:dyDescent="0.25">
      <c r="A236">
        <v>600032</v>
      </c>
      <c r="B236" t="s">
        <v>2832</v>
      </c>
      <c r="C236">
        <v>1</v>
      </c>
      <c r="D236">
        <v>0</v>
      </c>
      <c r="E236">
        <v>240</v>
      </c>
    </row>
    <row r="237" spans="1:5" x14ac:dyDescent="0.25">
      <c r="A237">
        <v>600110</v>
      </c>
      <c r="B237" t="s">
        <v>3640</v>
      </c>
      <c r="C237">
        <v>395</v>
      </c>
      <c r="D237">
        <v>36</v>
      </c>
      <c r="E237">
        <v>420</v>
      </c>
    </row>
    <row r="238" spans="1:5" x14ac:dyDescent="0.25">
      <c r="A238">
        <v>600401</v>
      </c>
      <c r="B238" t="s">
        <v>2684</v>
      </c>
      <c r="C238">
        <v>228</v>
      </c>
      <c r="D238">
        <v>0</v>
      </c>
      <c r="E238">
        <v>700</v>
      </c>
    </row>
    <row r="239" spans="1:5" x14ac:dyDescent="0.25">
      <c r="A239">
        <v>610182</v>
      </c>
      <c r="B239" t="s">
        <v>2459</v>
      </c>
      <c r="C239">
        <v>12</v>
      </c>
      <c r="D239">
        <v>5533</v>
      </c>
      <c r="E239">
        <v>25000</v>
      </c>
    </row>
    <row r="240" spans="1:5" x14ac:dyDescent="0.25">
      <c r="A240">
        <v>611180</v>
      </c>
      <c r="B240" t="s">
        <v>3641</v>
      </c>
      <c r="C240">
        <v>3249</v>
      </c>
      <c r="D240">
        <v>1</v>
      </c>
      <c r="E240">
        <v>5000</v>
      </c>
    </row>
    <row r="241" spans="1:5" x14ac:dyDescent="0.25">
      <c r="A241">
        <v>611182</v>
      </c>
      <c r="B241" t="s">
        <v>3642</v>
      </c>
      <c r="C241">
        <v>3473</v>
      </c>
      <c r="D241">
        <v>2</v>
      </c>
      <c r="E241">
        <v>4200</v>
      </c>
    </row>
    <row r="242" spans="1:5" x14ac:dyDescent="0.25">
      <c r="A242">
        <v>611191</v>
      </c>
      <c r="B242" t="s">
        <v>2833</v>
      </c>
      <c r="C242">
        <v>4483</v>
      </c>
      <c r="D242">
        <v>552</v>
      </c>
      <c r="E242">
        <v>6000</v>
      </c>
    </row>
    <row r="243" spans="1:5" x14ac:dyDescent="0.25">
      <c r="A243">
        <v>620040</v>
      </c>
      <c r="B243" t="s">
        <v>1591</v>
      </c>
      <c r="C243">
        <v>292</v>
      </c>
      <c r="D243">
        <v>0</v>
      </c>
      <c r="E243">
        <v>1000</v>
      </c>
    </row>
    <row r="244" spans="1:5" x14ac:dyDescent="0.25">
      <c r="A244">
        <v>620050</v>
      </c>
      <c r="B244" t="s">
        <v>2834</v>
      </c>
      <c r="C244">
        <v>1</v>
      </c>
      <c r="D244">
        <v>0</v>
      </c>
      <c r="E244">
        <v>350</v>
      </c>
    </row>
    <row r="245" spans="1:5" x14ac:dyDescent="0.25">
      <c r="A245">
        <v>620169</v>
      </c>
      <c r="B245" t="s">
        <v>2835</v>
      </c>
      <c r="C245">
        <v>62</v>
      </c>
      <c r="D245">
        <v>4</v>
      </c>
      <c r="E245">
        <v>140</v>
      </c>
    </row>
    <row r="246" spans="1:5" x14ac:dyDescent="0.25">
      <c r="A246">
        <v>620174</v>
      </c>
      <c r="B246" t="s">
        <v>2685</v>
      </c>
      <c r="C246">
        <v>1</v>
      </c>
      <c r="D246">
        <v>0</v>
      </c>
      <c r="E246">
        <v>420</v>
      </c>
    </row>
    <row r="247" spans="1:5" x14ac:dyDescent="0.25">
      <c r="A247">
        <v>621100</v>
      </c>
      <c r="B247" t="s">
        <v>1592</v>
      </c>
      <c r="C247">
        <v>49</v>
      </c>
      <c r="D247">
        <v>0</v>
      </c>
      <c r="E247">
        <v>420</v>
      </c>
    </row>
    <row r="248" spans="1:5" x14ac:dyDescent="0.25">
      <c r="A248">
        <v>622250</v>
      </c>
      <c r="B248" t="s">
        <v>2836</v>
      </c>
      <c r="C248">
        <v>1</v>
      </c>
      <c r="D248">
        <v>0</v>
      </c>
      <c r="E248">
        <v>480</v>
      </c>
    </row>
    <row r="249" spans="1:5" x14ac:dyDescent="0.25">
      <c r="A249">
        <v>622300</v>
      </c>
      <c r="B249" t="s">
        <v>2837</v>
      </c>
      <c r="C249">
        <v>494</v>
      </c>
      <c r="D249">
        <v>0</v>
      </c>
      <c r="E249">
        <v>800</v>
      </c>
    </row>
    <row r="250" spans="1:5" x14ac:dyDescent="0.25">
      <c r="A250">
        <v>622400</v>
      </c>
      <c r="B250" t="s">
        <v>1622</v>
      </c>
      <c r="C250">
        <v>169</v>
      </c>
      <c r="D250">
        <v>0</v>
      </c>
      <c r="E250">
        <v>1500</v>
      </c>
    </row>
    <row r="251" spans="1:5" x14ac:dyDescent="0.25">
      <c r="A251">
        <v>622410</v>
      </c>
      <c r="B251" t="s">
        <v>2838</v>
      </c>
      <c r="C251">
        <v>34</v>
      </c>
      <c r="D251">
        <v>0</v>
      </c>
      <c r="E251">
        <v>200</v>
      </c>
    </row>
    <row r="252" spans="1:5" x14ac:dyDescent="0.25">
      <c r="A252">
        <v>622600</v>
      </c>
      <c r="B252" t="s">
        <v>34</v>
      </c>
      <c r="C252">
        <v>1</v>
      </c>
      <c r="D252">
        <v>0</v>
      </c>
      <c r="E252">
        <v>840</v>
      </c>
    </row>
    <row r="253" spans="1:5" x14ac:dyDescent="0.25">
      <c r="A253">
        <v>622624</v>
      </c>
      <c r="B253" t="s">
        <v>35</v>
      </c>
      <c r="C253">
        <v>128</v>
      </c>
      <c r="D253">
        <v>0</v>
      </c>
      <c r="E253">
        <v>420</v>
      </c>
    </row>
    <row r="254" spans="1:5" x14ac:dyDescent="0.25">
      <c r="A254">
        <v>623012</v>
      </c>
      <c r="B254" t="s">
        <v>2839</v>
      </c>
      <c r="C254">
        <v>2</v>
      </c>
      <c r="D254">
        <v>1</v>
      </c>
      <c r="E254">
        <v>220</v>
      </c>
    </row>
    <row r="255" spans="1:5" x14ac:dyDescent="0.25">
      <c r="A255">
        <v>623071</v>
      </c>
      <c r="B255" t="s">
        <v>2840</v>
      </c>
      <c r="C255">
        <v>1</v>
      </c>
      <c r="D255">
        <v>0</v>
      </c>
      <c r="E255">
        <v>32</v>
      </c>
    </row>
    <row r="256" spans="1:5" x14ac:dyDescent="0.25">
      <c r="A256">
        <v>623090</v>
      </c>
      <c r="B256" t="s">
        <v>2460</v>
      </c>
      <c r="C256">
        <v>2</v>
      </c>
      <c r="D256">
        <v>1</v>
      </c>
      <c r="E256">
        <v>140</v>
      </c>
    </row>
    <row r="257" spans="1:5" x14ac:dyDescent="0.25">
      <c r="A257">
        <v>624241</v>
      </c>
      <c r="B257" t="s">
        <v>36</v>
      </c>
      <c r="C257">
        <v>1</v>
      </c>
      <c r="D257">
        <v>0</v>
      </c>
      <c r="E257">
        <v>160</v>
      </c>
    </row>
    <row r="258" spans="1:5" x14ac:dyDescent="0.25">
      <c r="A258">
        <v>624400</v>
      </c>
      <c r="B258" t="s">
        <v>3643</v>
      </c>
      <c r="C258">
        <v>217</v>
      </c>
      <c r="D258">
        <v>0</v>
      </c>
      <c r="E258">
        <v>220</v>
      </c>
    </row>
    <row r="259" spans="1:5" x14ac:dyDescent="0.25">
      <c r="A259">
        <v>624600</v>
      </c>
      <c r="B259" t="s">
        <v>37</v>
      </c>
      <c r="C259">
        <v>3</v>
      </c>
      <c r="D259">
        <v>0</v>
      </c>
      <c r="E259">
        <v>200</v>
      </c>
    </row>
    <row r="260" spans="1:5" x14ac:dyDescent="0.25">
      <c r="A260">
        <v>625121</v>
      </c>
      <c r="B260" t="s">
        <v>3644</v>
      </c>
      <c r="C260">
        <v>1</v>
      </c>
      <c r="D260">
        <v>0</v>
      </c>
      <c r="E260">
        <v>240</v>
      </c>
    </row>
    <row r="261" spans="1:5" x14ac:dyDescent="0.25">
      <c r="A261">
        <v>626905</v>
      </c>
      <c r="B261" t="s">
        <v>2398</v>
      </c>
      <c r="C261">
        <v>115</v>
      </c>
      <c r="D261">
        <v>50</v>
      </c>
      <c r="E261">
        <v>450</v>
      </c>
    </row>
    <row r="262" spans="1:5" x14ac:dyDescent="0.25">
      <c r="A262">
        <v>627031</v>
      </c>
      <c r="B262" t="s">
        <v>2627</v>
      </c>
      <c r="C262">
        <v>223</v>
      </c>
      <c r="D262">
        <v>20</v>
      </c>
      <c r="E262">
        <v>800</v>
      </c>
    </row>
    <row r="263" spans="1:5" x14ac:dyDescent="0.25">
      <c r="A263">
        <v>627200</v>
      </c>
      <c r="B263" t="s">
        <v>3645</v>
      </c>
      <c r="C263">
        <v>711</v>
      </c>
      <c r="D263">
        <v>221</v>
      </c>
      <c r="E263">
        <v>1000</v>
      </c>
    </row>
    <row r="264" spans="1:5" x14ac:dyDescent="0.25">
      <c r="A264">
        <v>627531</v>
      </c>
      <c r="B264" t="s">
        <v>3646</v>
      </c>
      <c r="C264">
        <v>0</v>
      </c>
      <c r="D264">
        <v>0</v>
      </c>
      <c r="E264">
        <v>180</v>
      </c>
    </row>
    <row r="265" spans="1:5" x14ac:dyDescent="0.25">
      <c r="A265">
        <v>628350</v>
      </c>
      <c r="B265" t="s">
        <v>1593</v>
      </c>
      <c r="C265">
        <v>1</v>
      </c>
      <c r="D265">
        <v>0</v>
      </c>
      <c r="E265">
        <v>4000</v>
      </c>
    </row>
    <row r="266" spans="1:5" x14ac:dyDescent="0.25">
      <c r="A266">
        <v>628365</v>
      </c>
      <c r="B266" t="s">
        <v>2686</v>
      </c>
      <c r="C266">
        <v>2</v>
      </c>
      <c r="D266">
        <v>1</v>
      </c>
      <c r="E266">
        <v>700</v>
      </c>
    </row>
    <row r="267" spans="1:5" x14ac:dyDescent="0.25">
      <c r="A267">
        <v>628401</v>
      </c>
      <c r="B267" t="s">
        <v>3647</v>
      </c>
      <c r="C267">
        <v>1033</v>
      </c>
      <c r="D267">
        <v>80</v>
      </c>
      <c r="E267">
        <v>1200</v>
      </c>
    </row>
    <row r="268" spans="1:5" x14ac:dyDescent="0.25">
      <c r="A268">
        <v>628407</v>
      </c>
      <c r="B268" t="s">
        <v>2841</v>
      </c>
      <c r="C268">
        <v>212</v>
      </c>
      <c r="D268">
        <v>10</v>
      </c>
      <c r="E268">
        <v>520</v>
      </c>
    </row>
    <row r="269" spans="1:5" x14ac:dyDescent="0.25">
      <c r="A269">
        <v>628600</v>
      </c>
      <c r="B269" t="s">
        <v>2423</v>
      </c>
      <c r="C269">
        <v>346</v>
      </c>
      <c r="D269">
        <v>0</v>
      </c>
      <c r="E269">
        <v>900</v>
      </c>
    </row>
    <row r="270" spans="1:5" x14ac:dyDescent="0.25">
      <c r="A270">
        <v>632011</v>
      </c>
      <c r="B270" t="s">
        <v>2687</v>
      </c>
      <c r="C270">
        <v>1</v>
      </c>
      <c r="D270">
        <v>0</v>
      </c>
      <c r="E270">
        <v>280</v>
      </c>
    </row>
    <row r="271" spans="1:5" x14ac:dyDescent="0.25">
      <c r="A271">
        <v>632021</v>
      </c>
      <c r="B271" t="s">
        <v>2628</v>
      </c>
      <c r="C271">
        <v>3</v>
      </c>
      <c r="D271">
        <v>2</v>
      </c>
      <c r="E271">
        <v>640</v>
      </c>
    </row>
    <row r="272" spans="1:5" x14ac:dyDescent="0.25">
      <c r="A272">
        <v>632030</v>
      </c>
      <c r="B272" t="s">
        <v>2461</v>
      </c>
      <c r="C272">
        <v>351</v>
      </c>
      <c r="D272">
        <v>11</v>
      </c>
      <c r="E272">
        <v>460</v>
      </c>
    </row>
    <row r="273" spans="1:5" x14ac:dyDescent="0.25">
      <c r="A273">
        <v>633228</v>
      </c>
      <c r="B273" t="s">
        <v>2688</v>
      </c>
      <c r="C273">
        <v>2</v>
      </c>
      <c r="D273">
        <v>1</v>
      </c>
      <c r="E273">
        <v>100</v>
      </c>
    </row>
    <row r="274" spans="1:5" x14ac:dyDescent="0.25">
      <c r="A274">
        <v>633230</v>
      </c>
      <c r="B274" t="s">
        <v>2688</v>
      </c>
      <c r="C274">
        <v>6</v>
      </c>
      <c r="D274">
        <v>5</v>
      </c>
      <c r="E274">
        <v>80</v>
      </c>
    </row>
    <row r="275" spans="1:5" x14ac:dyDescent="0.25">
      <c r="A275">
        <v>634190</v>
      </c>
      <c r="B275" t="s">
        <v>3648</v>
      </c>
      <c r="C275">
        <v>221</v>
      </c>
      <c r="D275">
        <v>32</v>
      </c>
      <c r="E275">
        <v>240</v>
      </c>
    </row>
    <row r="276" spans="1:5" x14ac:dyDescent="0.25">
      <c r="A276">
        <v>634250</v>
      </c>
      <c r="B276" t="s">
        <v>2842</v>
      </c>
      <c r="C276">
        <v>1</v>
      </c>
      <c r="D276">
        <v>0</v>
      </c>
      <c r="E276">
        <v>160</v>
      </c>
    </row>
    <row r="277" spans="1:5" x14ac:dyDescent="0.25">
      <c r="A277">
        <v>634310</v>
      </c>
      <c r="B277" t="s">
        <v>2689</v>
      </c>
      <c r="C277">
        <v>3</v>
      </c>
      <c r="D277">
        <v>5</v>
      </c>
      <c r="E277">
        <v>120</v>
      </c>
    </row>
    <row r="278" spans="1:5" x14ac:dyDescent="0.25">
      <c r="A278">
        <v>635030</v>
      </c>
      <c r="B278" t="s">
        <v>2843</v>
      </c>
      <c r="C278">
        <v>206</v>
      </c>
      <c r="D278">
        <v>3</v>
      </c>
      <c r="E278">
        <v>250</v>
      </c>
    </row>
    <row r="279" spans="1:5" x14ac:dyDescent="0.25">
      <c r="A279">
        <v>635034</v>
      </c>
      <c r="B279" t="s">
        <v>3649</v>
      </c>
      <c r="C279">
        <v>306</v>
      </c>
      <c r="D279">
        <v>3</v>
      </c>
      <c r="E279">
        <v>480</v>
      </c>
    </row>
    <row r="280" spans="1:5" x14ac:dyDescent="0.25">
      <c r="A280">
        <v>635040</v>
      </c>
      <c r="B280" t="s">
        <v>2844</v>
      </c>
      <c r="C280">
        <v>24</v>
      </c>
      <c r="D280">
        <v>0</v>
      </c>
      <c r="E280">
        <v>30</v>
      </c>
    </row>
    <row r="281" spans="1:5" x14ac:dyDescent="0.25">
      <c r="A281">
        <v>642310</v>
      </c>
      <c r="B281" t="s">
        <v>1594</v>
      </c>
      <c r="C281">
        <v>927</v>
      </c>
      <c r="D281">
        <v>81</v>
      </c>
      <c r="E281">
        <v>2000</v>
      </c>
    </row>
    <row r="282" spans="1:5" x14ac:dyDescent="0.25">
      <c r="A282">
        <v>643400</v>
      </c>
      <c r="B282" t="s">
        <v>3650</v>
      </c>
      <c r="C282">
        <v>57</v>
      </c>
      <c r="D282">
        <v>0</v>
      </c>
      <c r="E282">
        <v>80</v>
      </c>
    </row>
    <row r="283" spans="1:5" x14ac:dyDescent="0.25">
      <c r="A283">
        <v>645000</v>
      </c>
      <c r="B283" t="s">
        <v>1616</v>
      </c>
      <c r="C283">
        <v>0</v>
      </c>
      <c r="D283">
        <v>0</v>
      </c>
      <c r="E283">
        <v>680</v>
      </c>
    </row>
    <row r="284" spans="1:5" x14ac:dyDescent="0.25">
      <c r="A284">
        <v>651105</v>
      </c>
      <c r="B284" t="s">
        <v>2845</v>
      </c>
      <c r="C284">
        <v>770</v>
      </c>
      <c r="D284">
        <v>1</v>
      </c>
      <c r="E284">
        <v>1100</v>
      </c>
    </row>
    <row r="285" spans="1:5" x14ac:dyDescent="0.25">
      <c r="A285">
        <v>651200</v>
      </c>
      <c r="B285" t="s">
        <v>2846</v>
      </c>
      <c r="C285">
        <v>2</v>
      </c>
      <c r="D285">
        <v>0</v>
      </c>
      <c r="E285">
        <v>3400</v>
      </c>
    </row>
    <row r="286" spans="1:5" x14ac:dyDescent="0.25">
      <c r="A286">
        <v>651201</v>
      </c>
      <c r="B286" t="s">
        <v>38</v>
      </c>
      <c r="C286">
        <v>1</v>
      </c>
      <c r="D286">
        <v>0</v>
      </c>
      <c r="E286">
        <v>240</v>
      </c>
    </row>
    <row r="287" spans="1:5" x14ac:dyDescent="0.25">
      <c r="A287">
        <v>651207</v>
      </c>
      <c r="B287" t="s">
        <v>2629</v>
      </c>
      <c r="C287">
        <v>8</v>
      </c>
      <c r="D287">
        <v>7</v>
      </c>
      <c r="E287">
        <v>800</v>
      </c>
    </row>
    <row r="288" spans="1:5" x14ac:dyDescent="0.25">
      <c r="A288">
        <v>651300</v>
      </c>
      <c r="B288" t="s">
        <v>3651</v>
      </c>
      <c r="C288">
        <v>1095</v>
      </c>
      <c r="D288">
        <v>5</v>
      </c>
      <c r="E288">
        <v>1200</v>
      </c>
    </row>
    <row r="289" spans="1:5" x14ac:dyDescent="0.25">
      <c r="A289">
        <v>651401</v>
      </c>
      <c r="B289" t="s">
        <v>2443</v>
      </c>
      <c r="C289">
        <v>138</v>
      </c>
      <c r="D289">
        <v>24</v>
      </c>
      <c r="E289">
        <v>800</v>
      </c>
    </row>
    <row r="290" spans="1:5" x14ac:dyDescent="0.25">
      <c r="A290">
        <v>651402</v>
      </c>
      <c r="B290" t="s">
        <v>2521</v>
      </c>
      <c r="C290">
        <v>2</v>
      </c>
      <c r="D290">
        <v>240</v>
      </c>
      <c r="E290">
        <v>2100</v>
      </c>
    </row>
    <row r="291" spans="1:5" x14ac:dyDescent="0.25">
      <c r="A291">
        <v>651404</v>
      </c>
      <c r="B291" t="s">
        <v>39</v>
      </c>
      <c r="C291">
        <v>1</v>
      </c>
      <c r="D291">
        <v>0</v>
      </c>
      <c r="E291">
        <v>320</v>
      </c>
    </row>
    <row r="292" spans="1:5" x14ac:dyDescent="0.25">
      <c r="A292">
        <v>652050</v>
      </c>
      <c r="B292" t="s">
        <v>2630</v>
      </c>
      <c r="C292">
        <v>1136</v>
      </c>
      <c r="D292">
        <v>10</v>
      </c>
      <c r="E292">
        <v>2500</v>
      </c>
    </row>
    <row r="293" spans="1:5" x14ac:dyDescent="0.25">
      <c r="A293">
        <v>652058</v>
      </c>
      <c r="B293" t="s">
        <v>1623</v>
      </c>
      <c r="C293">
        <v>4</v>
      </c>
      <c r="D293">
        <v>0</v>
      </c>
      <c r="E293">
        <v>1000</v>
      </c>
    </row>
    <row r="294" spans="1:5" x14ac:dyDescent="0.25">
      <c r="A294">
        <v>652060</v>
      </c>
      <c r="B294" t="s">
        <v>2399</v>
      </c>
      <c r="C294">
        <v>230</v>
      </c>
      <c r="D294">
        <v>10</v>
      </c>
      <c r="E294">
        <v>800</v>
      </c>
    </row>
    <row r="295" spans="1:5" x14ac:dyDescent="0.25">
      <c r="A295">
        <v>652070</v>
      </c>
      <c r="B295" t="s">
        <v>2847</v>
      </c>
      <c r="C295">
        <v>114</v>
      </c>
      <c r="D295">
        <v>10</v>
      </c>
      <c r="E295">
        <v>160</v>
      </c>
    </row>
    <row r="296" spans="1:5" x14ac:dyDescent="0.25">
      <c r="A296">
        <v>660050</v>
      </c>
      <c r="B296" t="s">
        <v>2848</v>
      </c>
      <c r="C296">
        <v>346</v>
      </c>
      <c r="D296">
        <v>10</v>
      </c>
      <c r="E296">
        <v>1100</v>
      </c>
    </row>
    <row r="297" spans="1:5" x14ac:dyDescent="0.25">
      <c r="A297">
        <v>660100</v>
      </c>
      <c r="B297" t="s">
        <v>2690</v>
      </c>
      <c r="C297">
        <v>869</v>
      </c>
      <c r="D297">
        <v>0</v>
      </c>
      <c r="E297">
        <v>1500</v>
      </c>
    </row>
    <row r="298" spans="1:5" x14ac:dyDescent="0.25">
      <c r="A298">
        <v>660121</v>
      </c>
      <c r="B298" t="s">
        <v>3652</v>
      </c>
      <c r="C298">
        <v>107</v>
      </c>
      <c r="D298">
        <v>101</v>
      </c>
      <c r="E298">
        <v>10</v>
      </c>
    </row>
    <row r="299" spans="1:5" x14ac:dyDescent="0.25">
      <c r="A299">
        <v>661050</v>
      </c>
      <c r="B299" t="s">
        <v>3653</v>
      </c>
      <c r="C299">
        <v>404</v>
      </c>
      <c r="D299">
        <v>0</v>
      </c>
      <c r="E299">
        <v>420</v>
      </c>
    </row>
    <row r="300" spans="1:5" x14ac:dyDescent="0.25">
      <c r="A300">
        <v>661150</v>
      </c>
      <c r="B300" t="s">
        <v>2849</v>
      </c>
      <c r="C300">
        <v>5</v>
      </c>
      <c r="D300">
        <v>4</v>
      </c>
      <c r="E300">
        <v>1200</v>
      </c>
    </row>
    <row r="301" spans="1:5" x14ac:dyDescent="0.25">
      <c r="A301">
        <v>662073</v>
      </c>
      <c r="B301" t="s">
        <v>3654</v>
      </c>
      <c r="C301">
        <v>16</v>
      </c>
      <c r="D301">
        <v>16</v>
      </c>
      <c r="E301">
        <v>10</v>
      </c>
    </row>
    <row r="302" spans="1:5" x14ac:dyDescent="0.25">
      <c r="A302">
        <v>662090</v>
      </c>
      <c r="B302" t="s">
        <v>2416</v>
      </c>
      <c r="C302">
        <v>455</v>
      </c>
      <c r="D302">
        <v>320</v>
      </c>
      <c r="E302">
        <v>1300</v>
      </c>
    </row>
    <row r="303" spans="1:5" x14ac:dyDescent="0.25">
      <c r="A303">
        <v>662093</v>
      </c>
      <c r="B303" t="s">
        <v>3655</v>
      </c>
      <c r="C303">
        <v>103</v>
      </c>
      <c r="D303">
        <v>103</v>
      </c>
      <c r="E303">
        <v>10</v>
      </c>
    </row>
    <row r="304" spans="1:5" x14ac:dyDescent="0.25">
      <c r="A304">
        <v>662133</v>
      </c>
      <c r="B304" t="s">
        <v>3656</v>
      </c>
      <c r="C304">
        <v>11</v>
      </c>
      <c r="D304">
        <v>10</v>
      </c>
      <c r="E304">
        <v>10</v>
      </c>
    </row>
    <row r="305" spans="1:5" x14ac:dyDescent="0.25">
      <c r="A305">
        <v>662144</v>
      </c>
      <c r="B305" t="s">
        <v>3657</v>
      </c>
      <c r="C305">
        <v>16</v>
      </c>
      <c r="D305">
        <v>10</v>
      </c>
      <c r="E305">
        <v>10</v>
      </c>
    </row>
    <row r="306" spans="1:5" x14ac:dyDescent="0.25">
      <c r="A306">
        <v>662321</v>
      </c>
      <c r="B306" t="s">
        <v>2850</v>
      </c>
      <c r="C306">
        <v>307</v>
      </c>
      <c r="D306">
        <v>60</v>
      </c>
      <c r="E306">
        <v>420</v>
      </c>
    </row>
    <row r="307" spans="1:5" x14ac:dyDescent="0.25">
      <c r="A307">
        <v>662350</v>
      </c>
      <c r="B307" t="s">
        <v>2691</v>
      </c>
      <c r="C307">
        <v>645</v>
      </c>
      <c r="D307">
        <v>24</v>
      </c>
      <c r="E307">
        <v>1000</v>
      </c>
    </row>
    <row r="308" spans="1:5" x14ac:dyDescent="0.25">
      <c r="A308">
        <v>662550</v>
      </c>
      <c r="B308" t="s">
        <v>2692</v>
      </c>
      <c r="C308">
        <v>1</v>
      </c>
      <c r="D308">
        <v>0</v>
      </c>
      <c r="E308">
        <v>700</v>
      </c>
    </row>
    <row r="309" spans="1:5" x14ac:dyDescent="0.25">
      <c r="A309">
        <v>664800</v>
      </c>
      <c r="B309" t="s">
        <v>2454</v>
      </c>
      <c r="C309">
        <v>228</v>
      </c>
      <c r="D309">
        <v>96</v>
      </c>
      <c r="E309">
        <v>1200</v>
      </c>
    </row>
    <row r="310" spans="1:5" x14ac:dyDescent="0.25">
      <c r="A310">
        <v>664810</v>
      </c>
      <c r="B310" t="s">
        <v>2851</v>
      </c>
      <c r="C310">
        <v>1</v>
      </c>
      <c r="D310">
        <v>0</v>
      </c>
      <c r="E310">
        <v>280</v>
      </c>
    </row>
    <row r="311" spans="1:5" x14ac:dyDescent="0.25">
      <c r="A311">
        <v>664812</v>
      </c>
      <c r="B311" t="s">
        <v>2852</v>
      </c>
      <c r="C311">
        <v>50</v>
      </c>
      <c r="D311">
        <v>1</v>
      </c>
      <c r="E311">
        <v>220</v>
      </c>
    </row>
    <row r="312" spans="1:5" x14ac:dyDescent="0.25">
      <c r="A312">
        <v>664830</v>
      </c>
      <c r="B312" t="s">
        <v>2400</v>
      </c>
      <c r="C312">
        <v>1</v>
      </c>
      <c r="D312">
        <v>0</v>
      </c>
      <c r="E312">
        <v>180</v>
      </c>
    </row>
    <row r="313" spans="1:5" x14ac:dyDescent="0.25">
      <c r="A313">
        <v>664937</v>
      </c>
      <c r="B313" t="s">
        <v>2853</v>
      </c>
      <c r="C313">
        <v>3</v>
      </c>
      <c r="D313">
        <v>0</v>
      </c>
      <c r="E313">
        <v>40</v>
      </c>
    </row>
    <row r="314" spans="1:5" x14ac:dyDescent="0.25">
      <c r="A314">
        <v>664948</v>
      </c>
      <c r="B314" t="s">
        <v>3658</v>
      </c>
      <c r="C314">
        <v>240</v>
      </c>
      <c r="D314">
        <v>240</v>
      </c>
      <c r="E314">
        <v>40</v>
      </c>
    </row>
    <row r="315" spans="1:5" x14ac:dyDescent="0.25">
      <c r="A315">
        <v>665040</v>
      </c>
      <c r="B315" t="s">
        <v>3659</v>
      </c>
      <c r="C315">
        <v>2</v>
      </c>
      <c r="D315">
        <v>0</v>
      </c>
      <c r="E315">
        <v>20</v>
      </c>
    </row>
    <row r="316" spans="1:5" x14ac:dyDescent="0.25">
      <c r="A316">
        <v>667115</v>
      </c>
      <c r="B316" t="s">
        <v>3660</v>
      </c>
      <c r="C316">
        <v>0</v>
      </c>
      <c r="D316">
        <v>0</v>
      </c>
      <c r="E316">
        <v>1</v>
      </c>
    </row>
    <row r="317" spans="1:5" x14ac:dyDescent="0.25">
      <c r="A317">
        <v>680020</v>
      </c>
      <c r="B317" t="s">
        <v>2693</v>
      </c>
      <c r="C317">
        <v>81</v>
      </c>
      <c r="D317">
        <v>0</v>
      </c>
      <c r="E317">
        <v>520</v>
      </c>
    </row>
    <row r="318" spans="1:5" x14ac:dyDescent="0.25">
      <c r="A318">
        <v>682500</v>
      </c>
      <c r="B318" t="s">
        <v>2854</v>
      </c>
      <c r="C318">
        <v>27</v>
      </c>
      <c r="D318">
        <v>1</v>
      </c>
      <c r="E318">
        <v>360</v>
      </c>
    </row>
    <row r="319" spans="1:5" x14ac:dyDescent="0.25">
      <c r="A319">
        <v>682512</v>
      </c>
      <c r="B319" t="s">
        <v>3661</v>
      </c>
      <c r="C319">
        <v>2</v>
      </c>
      <c r="D319">
        <v>1</v>
      </c>
      <c r="E319">
        <v>90</v>
      </c>
    </row>
    <row r="320" spans="1:5" x14ac:dyDescent="0.25">
      <c r="A320">
        <v>683000</v>
      </c>
      <c r="B320" t="s">
        <v>3662</v>
      </c>
      <c r="C320">
        <v>1389</v>
      </c>
      <c r="D320">
        <v>1</v>
      </c>
      <c r="E320">
        <v>1800</v>
      </c>
    </row>
    <row r="321" spans="1:5" x14ac:dyDescent="0.25">
      <c r="A321">
        <v>683012</v>
      </c>
      <c r="B321" t="s">
        <v>2855</v>
      </c>
      <c r="C321">
        <v>12</v>
      </c>
      <c r="D321">
        <v>1</v>
      </c>
      <c r="E321">
        <v>120</v>
      </c>
    </row>
    <row r="322" spans="1:5" x14ac:dyDescent="0.25">
      <c r="A322">
        <v>683500</v>
      </c>
      <c r="B322" t="s">
        <v>2522</v>
      </c>
      <c r="C322">
        <v>519</v>
      </c>
      <c r="D322">
        <v>1</v>
      </c>
      <c r="E322">
        <v>1400</v>
      </c>
    </row>
    <row r="323" spans="1:5" x14ac:dyDescent="0.25">
      <c r="A323">
        <v>683510</v>
      </c>
      <c r="B323" t="s">
        <v>2856</v>
      </c>
      <c r="C323">
        <v>2</v>
      </c>
      <c r="D323">
        <v>1</v>
      </c>
      <c r="E323">
        <v>320</v>
      </c>
    </row>
    <row r="324" spans="1:5" x14ac:dyDescent="0.25">
      <c r="A324">
        <v>683542</v>
      </c>
      <c r="B324" t="s">
        <v>3663</v>
      </c>
      <c r="C324">
        <v>5</v>
      </c>
      <c r="D324">
        <v>1</v>
      </c>
      <c r="E324">
        <v>240</v>
      </c>
    </row>
    <row r="325" spans="1:5" x14ac:dyDescent="0.25">
      <c r="A325">
        <v>684000</v>
      </c>
      <c r="B325" t="s">
        <v>2857</v>
      </c>
      <c r="C325">
        <v>197</v>
      </c>
      <c r="D325">
        <v>0</v>
      </c>
      <c r="E325">
        <v>900</v>
      </c>
    </row>
    <row r="326" spans="1:5" x14ac:dyDescent="0.25">
      <c r="A326">
        <v>684005</v>
      </c>
      <c r="B326" t="s">
        <v>2694</v>
      </c>
      <c r="C326">
        <v>1</v>
      </c>
      <c r="D326">
        <v>0</v>
      </c>
      <c r="E326">
        <v>600</v>
      </c>
    </row>
    <row r="327" spans="1:5" x14ac:dyDescent="0.25">
      <c r="A327">
        <v>686100</v>
      </c>
      <c r="B327" t="s">
        <v>3664</v>
      </c>
      <c r="C327">
        <v>12</v>
      </c>
      <c r="D327">
        <v>0</v>
      </c>
      <c r="E327">
        <v>20</v>
      </c>
    </row>
    <row r="328" spans="1:5" x14ac:dyDescent="0.25">
      <c r="A328">
        <v>686200</v>
      </c>
      <c r="B328" t="s">
        <v>3665</v>
      </c>
      <c r="C328">
        <v>26</v>
      </c>
      <c r="D328">
        <v>11</v>
      </c>
      <c r="E328">
        <v>20</v>
      </c>
    </row>
    <row r="329" spans="1:5" x14ac:dyDescent="0.25">
      <c r="A329">
        <v>686300</v>
      </c>
      <c r="B329" t="s">
        <v>2858</v>
      </c>
      <c r="C329">
        <v>1</v>
      </c>
      <c r="D329">
        <v>0</v>
      </c>
      <c r="E329">
        <v>160</v>
      </c>
    </row>
    <row r="330" spans="1:5" x14ac:dyDescent="0.25">
      <c r="A330">
        <v>690400</v>
      </c>
      <c r="B330" t="s">
        <v>2631</v>
      </c>
      <c r="C330">
        <v>1</v>
      </c>
      <c r="D330">
        <v>0</v>
      </c>
      <c r="E330">
        <v>150</v>
      </c>
    </row>
    <row r="331" spans="1:5" x14ac:dyDescent="0.25">
      <c r="A331">
        <v>690600</v>
      </c>
      <c r="B331" t="s">
        <v>2462</v>
      </c>
      <c r="C331">
        <v>1</v>
      </c>
      <c r="D331">
        <v>0</v>
      </c>
      <c r="E331">
        <v>250</v>
      </c>
    </row>
    <row r="332" spans="1:5" x14ac:dyDescent="0.25">
      <c r="A332">
        <v>690800</v>
      </c>
      <c r="B332" t="s">
        <v>2444</v>
      </c>
      <c r="C332">
        <v>1</v>
      </c>
      <c r="D332">
        <v>0</v>
      </c>
      <c r="E332">
        <v>200</v>
      </c>
    </row>
    <row r="333" spans="1:5" x14ac:dyDescent="0.25">
      <c r="A333">
        <v>700024</v>
      </c>
      <c r="B333" t="s">
        <v>3666</v>
      </c>
      <c r="C333">
        <v>3265</v>
      </c>
      <c r="D333">
        <v>0</v>
      </c>
      <c r="E333">
        <v>3800</v>
      </c>
    </row>
    <row r="334" spans="1:5" x14ac:dyDescent="0.25">
      <c r="A334">
        <v>700100</v>
      </c>
      <c r="B334" t="s">
        <v>2859</v>
      </c>
      <c r="C334">
        <v>108</v>
      </c>
      <c r="D334">
        <v>0</v>
      </c>
      <c r="E334">
        <v>220</v>
      </c>
    </row>
    <row r="335" spans="1:5" x14ac:dyDescent="0.25">
      <c r="A335">
        <v>700160</v>
      </c>
      <c r="B335" t="s">
        <v>2523</v>
      </c>
      <c r="C335">
        <v>1</v>
      </c>
      <c r="D335">
        <v>0</v>
      </c>
      <c r="E335">
        <v>510</v>
      </c>
    </row>
    <row r="336" spans="1:5" x14ac:dyDescent="0.25">
      <c r="A336">
        <v>700280</v>
      </c>
      <c r="B336" t="s">
        <v>2695</v>
      </c>
      <c r="C336">
        <v>1</v>
      </c>
      <c r="D336">
        <v>0</v>
      </c>
      <c r="E336">
        <v>500</v>
      </c>
    </row>
    <row r="337" spans="1:5" x14ac:dyDescent="0.25">
      <c r="A337">
        <v>700282</v>
      </c>
      <c r="B337" t="s">
        <v>2860</v>
      </c>
      <c r="C337">
        <v>1</v>
      </c>
      <c r="D337">
        <v>0</v>
      </c>
      <c r="E337">
        <v>2000</v>
      </c>
    </row>
    <row r="338" spans="1:5" x14ac:dyDescent="0.25">
      <c r="A338">
        <v>700285</v>
      </c>
      <c r="B338" t="s">
        <v>2861</v>
      </c>
      <c r="C338">
        <v>1</v>
      </c>
      <c r="D338">
        <v>30</v>
      </c>
      <c r="E338">
        <v>500</v>
      </c>
    </row>
    <row r="339" spans="1:5" x14ac:dyDescent="0.25">
      <c r="A339">
        <v>700286</v>
      </c>
      <c r="B339" t="s">
        <v>2862</v>
      </c>
      <c r="C339">
        <v>1</v>
      </c>
      <c r="D339">
        <v>0</v>
      </c>
      <c r="E339">
        <v>200</v>
      </c>
    </row>
    <row r="340" spans="1:5" x14ac:dyDescent="0.25">
      <c r="A340">
        <v>700296</v>
      </c>
      <c r="B340" t="s">
        <v>2863</v>
      </c>
      <c r="C340">
        <v>31</v>
      </c>
      <c r="D340">
        <v>12</v>
      </c>
      <c r="E340">
        <v>700</v>
      </c>
    </row>
    <row r="341" spans="1:5" x14ac:dyDescent="0.25">
      <c r="A341">
        <v>700332</v>
      </c>
      <c r="B341" t="s">
        <v>2696</v>
      </c>
      <c r="C341">
        <v>125</v>
      </c>
      <c r="D341">
        <v>33</v>
      </c>
      <c r="E341">
        <v>480</v>
      </c>
    </row>
    <row r="342" spans="1:5" x14ac:dyDescent="0.25">
      <c r="A342">
        <v>700333</v>
      </c>
      <c r="B342" t="s">
        <v>1595</v>
      </c>
      <c r="C342">
        <v>2</v>
      </c>
      <c r="D342">
        <v>1</v>
      </c>
      <c r="E342">
        <v>270</v>
      </c>
    </row>
    <row r="343" spans="1:5" x14ac:dyDescent="0.25">
      <c r="A343">
        <v>700336</v>
      </c>
      <c r="B343" t="s">
        <v>3667</v>
      </c>
      <c r="C343">
        <v>249</v>
      </c>
      <c r="D343">
        <v>1</v>
      </c>
      <c r="E343">
        <v>300</v>
      </c>
    </row>
    <row r="344" spans="1:5" x14ac:dyDescent="0.25">
      <c r="A344">
        <v>700339</v>
      </c>
      <c r="B344" t="s">
        <v>1596</v>
      </c>
      <c r="C344">
        <v>107</v>
      </c>
      <c r="D344">
        <v>1</v>
      </c>
      <c r="E344">
        <v>200</v>
      </c>
    </row>
    <row r="345" spans="1:5" x14ac:dyDescent="0.25">
      <c r="A345">
        <v>701173</v>
      </c>
      <c r="B345" t="s">
        <v>3668</v>
      </c>
      <c r="C345">
        <v>198</v>
      </c>
      <c r="D345">
        <v>192</v>
      </c>
      <c r="E345">
        <v>100</v>
      </c>
    </row>
    <row r="346" spans="1:5" x14ac:dyDescent="0.25">
      <c r="A346">
        <v>701210</v>
      </c>
      <c r="B346" t="s">
        <v>2524</v>
      </c>
      <c r="C346">
        <v>250</v>
      </c>
      <c r="D346">
        <v>0</v>
      </c>
      <c r="E346">
        <v>500</v>
      </c>
    </row>
    <row r="347" spans="1:5" x14ac:dyDescent="0.25">
      <c r="A347">
        <v>712015</v>
      </c>
      <c r="B347" t="s">
        <v>3669</v>
      </c>
      <c r="C347">
        <v>126</v>
      </c>
      <c r="D347">
        <v>0</v>
      </c>
      <c r="E347">
        <v>200</v>
      </c>
    </row>
    <row r="348" spans="1:5" x14ac:dyDescent="0.25">
      <c r="A348">
        <v>712376</v>
      </c>
      <c r="B348" t="s">
        <v>3670</v>
      </c>
      <c r="C348">
        <v>143</v>
      </c>
      <c r="D348">
        <v>1</v>
      </c>
      <c r="E348">
        <v>200</v>
      </c>
    </row>
    <row r="349" spans="1:5" x14ac:dyDescent="0.25">
      <c r="A349">
        <v>712377</v>
      </c>
      <c r="B349" t="s">
        <v>2697</v>
      </c>
      <c r="C349">
        <v>122</v>
      </c>
      <c r="D349">
        <v>2</v>
      </c>
      <c r="E349">
        <v>240</v>
      </c>
    </row>
    <row r="350" spans="1:5" x14ac:dyDescent="0.25">
      <c r="A350">
        <v>712560</v>
      </c>
      <c r="B350" t="s">
        <v>2698</v>
      </c>
      <c r="C350">
        <v>335</v>
      </c>
      <c r="D350">
        <v>10</v>
      </c>
      <c r="E350">
        <v>1100</v>
      </c>
    </row>
    <row r="351" spans="1:5" x14ac:dyDescent="0.25">
      <c r="A351">
        <v>712702</v>
      </c>
      <c r="B351" t="s">
        <v>2632</v>
      </c>
      <c r="C351">
        <v>1</v>
      </c>
      <c r="D351">
        <v>0</v>
      </c>
      <c r="E351">
        <v>400</v>
      </c>
    </row>
    <row r="352" spans="1:5" x14ac:dyDescent="0.25">
      <c r="A352">
        <v>713235</v>
      </c>
      <c r="B352" t="s">
        <v>1624</v>
      </c>
      <c r="C352">
        <v>1</v>
      </c>
      <c r="D352">
        <v>0</v>
      </c>
      <c r="E352">
        <v>2500</v>
      </c>
    </row>
    <row r="353" spans="1:5" x14ac:dyDescent="0.25">
      <c r="A353">
        <v>713241</v>
      </c>
      <c r="B353" t="s">
        <v>3671</v>
      </c>
      <c r="C353">
        <v>2</v>
      </c>
      <c r="D353">
        <v>0</v>
      </c>
      <c r="E353">
        <v>400</v>
      </c>
    </row>
    <row r="354" spans="1:5" x14ac:dyDescent="0.25">
      <c r="A354">
        <v>713650</v>
      </c>
      <c r="B354" t="s">
        <v>2864</v>
      </c>
      <c r="C354">
        <v>3</v>
      </c>
      <c r="D354">
        <v>1</v>
      </c>
      <c r="E354">
        <v>1000</v>
      </c>
    </row>
    <row r="355" spans="1:5" x14ac:dyDescent="0.25">
      <c r="A355">
        <v>713670</v>
      </c>
      <c r="B355" t="s">
        <v>2865</v>
      </c>
      <c r="C355">
        <v>122</v>
      </c>
      <c r="D355">
        <v>0</v>
      </c>
      <c r="E355">
        <v>470</v>
      </c>
    </row>
    <row r="356" spans="1:5" x14ac:dyDescent="0.25">
      <c r="A356">
        <v>713673</v>
      </c>
      <c r="B356" t="s">
        <v>2866</v>
      </c>
      <c r="C356">
        <v>154</v>
      </c>
      <c r="D356">
        <v>0</v>
      </c>
      <c r="E356">
        <v>200</v>
      </c>
    </row>
    <row r="357" spans="1:5" x14ac:dyDescent="0.25">
      <c r="A357">
        <v>713677</v>
      </c>
      <c r="B357" t="s">
        <v>2633</v>
      </c>
      <c r="C357">
        <v>1</v>
      </c>
      <c r="D357">
        <v>0</v>
      </c>
      <c r="E357">
        <v>850</v>
      </c>
    </row>
    <row r="358" spans="1:5" x14ac:dyDescent="0.25">
      <c r="A358">
        <v>714070</v>
      </c>
      <c r="B358" t="s">
        <v>2699</v>
      </c>
      <c r="C358">
        <v>81</v>
      </c>
      <c r="D358">
        <v>0</v>
      </c>
      <c r="E358">
        <v>800</v>
      </c>
    </row>
    <row r="359" spans="1:5" x14ac:dyDescent="0.25">
      <c r="A359">
        <v>714110</v>
      </c>
      <c r="B359" t="s">
        <v>2867</v>
      </c>
      <c r="C359">
        <v>1</v>
      </c>
      <c r="D359">
        <v>0</v>
      </c>
      <c r="E359">
        <v>680</v>
      </c>
    </row>
    <row r="360" spans="1:5" x14ac:dyDescent="0.25">
      <c r="A360">
        <v>714431</v>
      </c>
      <c r="B360" t="s">
        <v>2463</v>
      </c>
      <c r="C360">
        <v>42</v>
      </c>
      <c r="D360">
        <v>1</v>
      </c>
      <c r="E360">
        <v>1600</v>
      </c>
    </row>
    <row r="361" spans="1:5" x14ac:dyDescent="0.25">
      <c r="A361">
        <v>714432</v>
      </c>
      <c r="B361" t="s">
        <v>2868</v>
      </c>
      <c r="C361">
        <v>277</v>
      </c>
      <c r="D361">
        <v>11</v>
      </c>
      <c r="E361">
        <v>1000</v>
      </c>
    </row>
    <row r="362" spans="1:5" x14ac:dyDescent="0.25">
      <c r="A362">
        <v>730340</v>
      </c>
      <c r="B362" t="s">
        <v>2525</v>
      </c>
      <c r="C362">
        <v>16</v>
      </c>
      <c r="D362">
        <v>14</v>
      </c>
      <c r="E362">
        <v>600</v>
      </c>
    </row>
    <row r="363" spans="1:5" x14ac:dyDescent="0.25">
      <c r="A363">
        <v>731060</v>
      </c>
      <c r="B363" t="s">
        <v>2869</v>
      </c>
      <c r="C363">
        <v>1</v>
      </c>
      <c r="D363">
        <v>0</v>
      </c>
      <c r="E363">
        <v>600</v>
      </c>
    </row>
    <row r="364" spans="1:5" x14ac:dyDescent="0.25">
      <c r="A364">
        <v>732060</v>
      </c>
      <c r="B364" t="s">
        <v>2870</v>
      </c>
      <c r="C364">
        <v>41</v>
      </c>
      <c r="D364">
        <v>20</v>
      </c>
      <c r="E364">
        <v>1000</v>
      </c>
    </row>
    <row r="365" spans="1:5" x14ac:dyDescent="0.25">
      <c r="A365">
        <v>732080</v>
      </c>
      <c r="B365" t="s">
        <v>2871</v>
      </c>
      <c r="C365">
        <v>582</v>
      </c>
      <c r="D365">
        <v>1</v>
      </c>
      <c r="E365">
        <v>950</v>
      </c>
    </row>
    <row r="366" spans="1:5" x14ac:dyDescent="0.25">
      <c r="A366">
        <v>732090</v>
      </c>
      <c r="B366" t="s">
        <v>2634</v>
      </c>
      <c r="C366">
        <v>1</v>
      </c>
      <c r="D366">
        <v>0</v>
      </c>
      <c r="E366">
        <v>400</v>
      </c>
    </row>
    <row r="367" spans="1:5" x14ac:dyDescent="0.25">
      <c r="A367">
        <v>733510</v>
      </c>
      <c r="B367" t="s">
        <v>2872</v>
      </c>
      <c r="C367">
        <v>2</v>
      </c>
      <c r="D367">
        <v>1</v>
      </c>
      <c r="E367">
        <v>2000</v>
      </c>
    </row>
    <row r="368" spans="1:5" x14ac:dyDescent="0.25">
      <c r="A368">
        <v>733511</v>
      </c>
      <c r="B368" t="s">
        <v>2873</v>
      </c>
      <c r="C368">
        <v>0</v>
      </c>
      <c r="D368">
        <v>0</v>
      </c>
      <c r="E368">
        <v>500</v>
      </c>
    </row>
    <row r="369" spans="1:5" x14ac:dyDescent="0.25">
      <c r="A369">
        <v>733520</v>
      </c>
      <c r="B369" t="s">
        <v>2526</v>
      </c>
      <c r="C369">
        <v>30</v>
      </c>
      <c r="D369">
        <v>29</v>
      </c>
      <c r="E369">
        <v>2800</v>
      </c>
    </row>
    <row r="370" spans="1:5" x14ac:dyDescent="0.25">
      <c r="A370">
        <v>733525</v>
      </c>
      <c r="B370" t="s">
        <v>2700</v>
      </c>
      <c r="C370">
        <v>890</v>
      </c>
      <c r="D370">
        <v>101</v>
      </c>
      <c r="E370">
        <v>1000</v>
      </c>
    </row>
    <row r="371" spans="1:5" x14ac:dyDescent="0.25">
      <c r="A371">
        <v>733540</v>
      </c>
      <c r="B371" t="s">
        <v>3672</v>
      </c>
      <c r="C371">
        <v>838</v>
      </c>
      <c r="D371">
        <v>500</v>
      </c>
      <c r="E371">
        <v>1300</v>
      </c>
    </row>
    <row r="372" spans="1:5" x14ac:dyDescent="0.25">
      <c r="A372">
        <v>734050</v>
      </c>
      <c r="B372" t="s">
        <v>2464</v>
      </c>
      <c r="C372">
        <v>1356</v>
      </c>
      <c r="D372">
        <v>0</v>
      </c>
      <c r="E372">
        <v>5100</v>
      </c>
    </row>
    <row r="373" spans="1:5" x14ac:dyDescent="0.25">
      <c r="A373">
        <v>734059</v>
      </c>
      <c r="B373" t="s">
        <v>2465</v>
      </c>
      <c r="C373">
        <v>232</v>
      </c>
      <c r="D373">
        <v>0</v>
      </c>
      <c r="E373">
        <v>1600</v>
      </c>
    </row>
    <row r="374" spans="1:5" x14ac:dyDescent="0.25">
      <c r="A374">
        <v>734100</v>
      </c>
      <c r="B374" t="s">
        <v>3673</v>
      </c>
      <c r="C374">
        <v>52</v>
      </c>
      <c r="D374">
        <v>0</v>
      </c>
      <c r="E374">
        <v>180</v>
      </c>
    </row>
    <row r="375" spans="1:5" x14ac:dyDescent="0.25">
      <c r="A375">
        <v>735011</v>
      </c>
      <c r="B375" t="s">
        <v>1597</v>
      </c>
      <c r="C375">
        <v>1</v>
      </c>
      <c r="D375">
        <v>0</v>
      </c>
      <c r="E375">
        <v>2400</v>
      </c>
    </row>
    <row r="376" spans="1:5" x14ac:dyDescent="0.25">
      <c r="A376">
        <v>735056</v>
      </c>
      <c r="B376" t="s">
        <v>40</v>
      </c>
      <c r="C376">
        <v>1</v>
      </c>
      <c r="D376">
        <v>0</v>
      </c>
      <c r="E376">
        <v>1000</v>
      </c>
    </row>
    <row r="377" spans="1:5" x14ac:dyDescent="0.25">
      <c r="A377">
        <v>735071</v>
      </c>
      <c r="B377" t="s">
        <v>1598</v>
      </c>
      <c r="C377">
        <v>2</v>
      </c>
      <c r="D377">
        <v>1</v>
      </c>
      <c r="E377">
        <v>2450</v>
      </c>
    </row>
    <row r="378" spans="1:5" x14ac:dyDescent="0.25">
      <c r="A378">
        <v>735076</v>
      </c>
      <c r="B378" t="s">
        <v>2874</v>
      </c>
      <c r="C378">
        <v>6</v>
      </c>
      <c r="D378">
        <v>0</v>
      </c>
      <c r="E378">
        <v>900</v>
      </c>
    </row>
    <row r="379" spans="1:5" x14ac:dyDescent="0.25">
      <c r="A379">
        <v>738434</v>
      </c>
      <c r="B379" t="s">
        <v>2635</v>
      </c>
      <c r="C379">
        <v>6</v>
      </c>
      <c r="D379">
        <v>0</v>
      </c>
      <c r="E379">
        <v>350</v>
      </c>
    </row>
    <row r="380" spans="1:5" x14ac:dyDescent="0.25">
      <c r="A380">
        <v>738438</v>
      </c>
      <c r="B380" t="s">
        <v>3674</v>
      </c>
      <c r="C380">
        <v>15</v>
      </c>
      <c r="D380">
        <v>0</v>
      </c>
      <c r="E380">
        <v>250</v>
      </c>
    </row>
    <row r="381" spans="1:5" x14ac:dyDescent="0.25">
      <c r="A381">
        <v>738536</v>
      </c>
      <c r="B381" t="s">
        <v>2875</v>
      </c>
      <c r="C381">
        <v>43</v>
      </c>
      <c r="D381">
        <v>0</v>
      </c>
      <c r="E381">
        <v>400</v>
      </c>
    </row>
    <row r="382" spans="1:5" x14ac:dyDescent="0.25">
      <c r="A382">
        <v>738538</v>
      </c>
      <c r="B382" t="s">
        <v>3675</v>
      </c>
      <c r="C382">
        <v>425</v>
      </c>
      <c r="D382">
        <v>0</v>
      </c>
      <c r="E382">
        <v>500</v>
      </c>
    </row>
    <row r="383" spans="1:5" x14ac:dyDescent="0.25">
      <c r="A383">
        <v>739534</v>
      </c>
      <c r="B383" t="s">
        <v>2876</v>
      </c>
      <c r="C383">
        <v>1</v>
      </c>
      <c r="D383">
        <v>0</v>
      </c>
      <c r="E383">
        <v>350</v>
      </c>
    </row>
    <row r="384" spans="1:5" x14ac:dyDescent="0.25">
      <c r="A384">
        <v>740050</v>
      </c>
      <c r="B384" t="s">
        <v>2877</v>
      </c>
      <c r="C384">
        <v>244</v>
      </c>
      <c r="D384">
        <v>0</v>
      </c>
      <c r="E384">
        <v>300</v>
      </c>
    </row>
    <row r="385" spans="1:5" x14ac:dyDescent="0.25">
      <c r="A385">
        <v>740100</v>
      </c>
      <c r="B385" t="s">
        <v>2701</v>
      </c>
      <c r="C385">
        <v>72</v>
      </c>
      <c r="D385">
        <v>200</v>
      </c>
      <c r="E385">
        <v>450</v>
      </c>
    </row>
    <row r="386" spans="1:5" x14ac:dyDescent="0.25">
      <c r="A386">
        <v>740101</v>
      </c>
      <c r="B386" t="s">
        <v>2878</v>
      </c>
      <c r="C386">
        <v>1</v>
      </c>
      <c r="D386">
        <v>20</v>
      </c>
      <c r="E386">
        <v>700</v>
      </c>
    </row>
    <row r="387" spans="1:5" x14ac:dyDescent="0.25">
      <c r="A387">
        <v>740102</v>
      </c>
      <c r="B387" t="s">
        <v>2636</v>
      </c>
      <c r="C387">
        <v>1</v>
      </c>
      <c r="D387">
        <v>120</v>
      </c>
      <c r="E387">
        <v>750</v>
      </c>
    </row>
    <row r="388" spans="1:5" x14ac:dyDescent="0.25">
      <c r="A388">
        <v>741011</v>
      </c>
      <c r="B388" t="s">
        <v>2879</v>
      </c>
      <c r="C388">
        <v>479</v>
      </c>
      <c r="D388">
        <v>0</v>
      </c>
      <c r="E388">
        <v>850</v>
      </c>
    </row>
    <row r="389" spans="1:5" x14ac:dyDescent="0.25">
      <c r="A389">
        <v>741120</v>
      </c>
      <c r="B389" t="s">
        <v>2637</v>
      </c>
      <c r="C389">
        <v>2</v>
      </c>
      <c r="D389">
        <v>80</v>
      </c>
      <c r="E389">
        <v>500</v>
      </c>
    </row>
    <row r="390" spans="1:5" x14ac:dyDescent="0.25">
      <c r="A390">
        <v>741121</v>
      </c>
      <c r="B390" t="s">
        <v>2880</v>
      </c>
      <c r="C390">
        <v>560</v>
      </c>
      <c r="D390">
        <v>64</v>
      </c>
      <c r="E390">
        <v>700</v>
      </c>
    </row>
    <row r="391" spans="1:5" x14ac:dyDescent="0.25">
      <c r="A391">
        <v>741122</v>
      </c>
      <c r="B391" t="s">
        <v>2881</v>
      </c>
      <c r="C391">
        <v>1</v>
      </c>
      <c r="D391">
        <v>96</v>
      </c>
      <c r="E391">
        <v>1100</v>
      </c>
    </row>
    <row r="392" spans="1:5" x14ac:dyDescent="0.25">
      <c r="A392">
        <v>750030</v>
      </c>
      <c r="B392" t="s">
        <v>3676</v>
      </c>
      <c r="C392">
        <v>1243</v>
      </c>
      <c r="D392">
        <v>20</v>
      </c>
      <c r="E392">
        <v>1500</v>
      </c>
    </row>
    <row r="393" spans="1:5" x14ac:dyDescent="0.25">
      <c r="A393">
        <v>750040</v>
      </c>
      <c r="B393" t="s">
        <v>1606</v>
      </c>
      <c r="C393">
        <v>425</v>
      </c>
      <c r="D393">
        <v>6</v>
      </c>
      <c r="E393">
        <v>700</v>
      </c>
    </row>
    <row r="394" spans="1:5" x14ac:dyDescent="0.25">
      <c r="A394">
        <v>750100</v>
      </c>
      <c r="B394" t="s">
        <v>2882</v>
      </c>
      <c r="C394">
        <v>1</v>
      </c>
      <c r="D394">
        <v>0</v>
      </c>
      <c r="E394">
        <v>4000</v>
      </c>
    </row>
    <row r="395" spans="1:5" x14ac:dyDescent="0.25">
      <c r="A395">
        <v>750130</v>
      </c>
      <c r="B395" t="s">
        <v>41</v>
      </c>
      <c r="C395">
        <v>390</v>
      </c>
      <c r="D395">
        <v>0</v>
      </c>
      <c r="E395">
        <v>750</v>
      </c>
    </row>
    <row r="396" spans="1:5" x14ac:dyDescent="0.25">
      <c r="A396">
        <v>750140</v>
      </c>
      <c r="B396" t="s">
        <v>42</v>
      </c>
      <c r="C396">
        <v>634</v>
      </c>
      <c r="D396">
        <v>0</v>
      </c>
      <c r="E396">
        <v>2800</v>
      </c>
    </row>
    <row r="397" spans="1:5" x14ac:dyDescent="0.25">
      <c r="A397">
        <v>750160</v>
      </c>
      <c r="B397" t="s">
        <v>2445</v>
      </c>
      <c r="C397">
        <v>1</v>
      </c>
      <c r="D397">
        <v>0</v>
      </c>
      <c r="E397">
        <v>1000</v>
      </c>
    </row>
    <row r="398" spans="1:5" x14ac:dyDescent="0.25">
      <c r="A398">
        <v>770010</v>
      </c>
      <c r="B398" t="s">
        <v>2883</v>
      </c>
      <c r="C398">
        <v>1</v>
      </c>
      <c r="D398">
        <v>0</v>
      </c>
      <c r="E398">
        <v>2500</v>
      </c>
    </row>
    <row r="399" spans="1:5" x14ac:dyDescent="0.25">
      <c r="A399">
        <v>771100</v>
      </c>
      <c r="B399" t="s">
        <v>3677</v>
      </c>
      <c r="C399">
        <v>1609</v>
      </c>
      <c r="D399">
        <v>510</v>
      </c>
      <c r="E399">
        <v>2000</v>
      </c>
    </row>
    <row r="400" spans="1:5" x14ac:dyDescent="0.25">
      <c r="A400">
        <v>771102</v>
      </c>
      <c r="B400" t="s">
        <v>2884</v>
      </c>
      <c r="C400">
        <v>0</v>
      </c>
      <c r="D400">
        <v>0</v>
      </c>
      <c r="E400">
        <v>500</v>
      </c>
    </row>
    <row r="401" spans="1:5" x14ac:dyDescent="0.25">
      <c r="A401">
        <v>771104</v>
      </c>
      <c r="B401" t="s">
        <v>2885</v>
      </c>
      <c r="C401">
        <v>0</v>
      </c>
      <c r="D401">
        <v>0</v>
      </c>
      <c r="E401">
        <v>200</v>
      </c>
    </row>
    <row r="402" spans="1:5" x14ac:dyDescent="0.25">
      <c r="A402">
        <v>771105</v>
      </c>
      <c r="B402" t="s">
        <v>2886</v>
      </c>
      <c r="C402">
        <v>0</v>
      </c>
      <c r="D402">
        <v>0</v>
      </c>
      <c r="E402">
        <v>100</v>
      </c>
    </row>
    <row r="403" spans="1:5" x14ac:dyDescent="0.25">
      <c r="A403">
        <v>771200</v>
      </c>
      <c r="B403" t="s">
        <v>2705</v>
      </c>
      <c r="C403">
        <v>212</v>
      </c>
      <c r="D403">
        <v>211</v>
      </c>
      <c r="E403">
        <v>6000</v>
      </c>
    </row>
    <row r="404" spans="1:5" x14ac:dyDescent="0.25">
      <c r="A404">
        <v>771202</v>
      </c>
      <c r="B404" t="s">
        <v>2424</v>
      </c>
      <c r="C404">
        <v>7</v>
      </c>
      <c r="D404">
        <v>1</v>
      </c>
      <c r="E404">
        <v>2500</v>
      </c>
    </row>
    <row r="405" spans="1:5" x14ac:dyDescent="0.25">
      <c r="A405">
        <v>771301</v>
      </c>
      <c r="B405" t="s">
        <v>2887</v>
      </c>
      <c r="C405">
        <v>66</v>
      </c>
      <c r="D405">
        <v>0</v>
      </c>
      <c r="E405">
        <v>100</v>
      </c>
    </row>
    <row r="406" spans="1:5" x14ac:dyDescent="0.25">
      <c r="A406">
        <v>771303</v>
      </c>
      <c r="B406" t="s">
        <v>3678</v>
      </c>
      <c r="C406">
        <v>32</v>
      </c>
      <c r="D406">
        <v>0</v>
      </c>
      <c r="E406">
        <v>50</v>
      </c>
    </row>
    <row r="407" spans="1:5" x14ac:dyDescent="0.25">
      <c r="A407">
        <v>772001</v>
      </c>
      <c r="B407" t="s">
        <v>2708</v>
      </c>
      <c r="C407">
        <v>13</v>
      </c>
      <c r="D407">
        <v>0</v>
      </c>
      <c r="E407">
        <v>30</v>
      </c>
    </row>
    <row r="408" spans="1:5" x14ac:dyDescent="0.25">
      <c r="A408">
        <v>772100</v>
      </c>
      <c r="B408" t="s">
        <v>3679</v>
      </c>
      <c r="C408">
        <v>338</v>
      </c>
      <c r="D408">
        <v>3</v>
      </c>
      <c r="E408">
        <v>2000</v>
      </c>
    </row>
    <row r="409" spans="1:5" x14ac:dyDescent="0.25">
      <c r="A409">
        <v>772105</v>
      </c>
      <c r="B409" t="s">
        <v>2888</v>
      </c>
      <c r="C409">
        <v>1</v>
      </c>
      <c r="D409">
        <v>0</v>
      </c>
      <c r="E409">
        <v>1200</v>
      </c>
    </row>
    <row r="410" spans="1:5" x14ac:dyDescent="0.25">
      <c r="A410">
        <v>772120</v>
      </c>
      <c r="B410" t="s">
        <v>2638</v>
      </c>
      <c r="C410">
        <v>1</v>
      </c>
      <c r="D410">
        <v>0</v>
      </c>
      <c r="E410">
        <v>550</v>
      </c>
    </row>
    <row r="411" spans="1:5" x14ac:dyDescent="0.25">
      <c r="A411">
        <v>772210</v>
      </c>
      <c r="B411" t="s">
        <v>2639</v>
      </c>
      <c r="C411">
        <v>1</v>
      </c>
      <c r="D411">
        <v>0</v>
      </c>
      <c r="E411">
        <v>1200</v>
      </c>
    </row>
    <row r="412" spans="1:5" x14ac:dyDescent="0.25">
      <c r="A412">
        <v>779000</v>
      </c>
      <c r="B412" t="s">
        <v>3680</v>
      </c>
      <c r="C412">
        <v>0</v>
      </c>
      <c r="D412">
        <v>0</v>
      </c>
      <c r="E412">
        <v>500</v>
      </c>
    </row>
    <row r="413" spans="1:5" x14ac:dyDescent="0.25">
      <c r="A413">
        <v>779001</v>
      </c>
      <c r="B413" t="s">
        <v>3681</v>
      </c>
      <c r="C413">
        <v>0</v>
      </c>
      <c r="D413">
        <v>0</v>
      </c>
      <c r="E413">
        <v>500</v>
      </c>
    </row>
    <row r="414" spans="1:5" x14ac:dyDescent="0.25">
      <c r="A414">
        <v>786000</v>
      </c>
      <c r="B414" t="s">
        <v>2709</v>
      </c>
      <c r="C414">
        <v>1</v>
      </c>
      <c r="D414">
        <v>0</v>
      </c>
      <c r="E414">
        <v>700</v>
      </c>
    </row>
    <row r="415" spans="1:5" x14ac:dyDescent="0.25">
      <c r="A415">
        <v>786005</v>
      </c>
      <c r="B415" t="s">
        <v>3682</v>
      </c>
      <c r="C415">
        <v>0</v>
      </c>
      <c r="D415">
        <v>0</v>
      </c>
      <c r="E415">
        <v>400</v>
      </c>
    </row>
    <row r="416" spans="1:5" x14ac:dyDescent="0.25">
      <c r="A416">
        <v>786007</v>
      </c>
      <c r="B416" t="s">
        <v>2889</v>
      </c>
      <c r="C416">
        <v>1</v>
      </c>
      <c r="D416">
        <v>0</v>
      </c>
      <c r="E416">
        <v>350</v>
      </c>
    </row>
    <row r="417" spans="1:5" x14ac:dyDescent="0.25">
      <c r="A417">
        <v>786030</v>
      </c>
      <c r="B417" t="s">
        <v>2890</v>
      </c>
      <c r="C417">
        <v>154</v>
      </c>
      <c r="D417">
        <v>0</v>
      </c>
      <c r="E417">
        <v>250</v>
      </c>
    </row>
    <row r="418" spans="1:5" x14ac:dyDescent="0.25">
      <c r="A418">
        <v>786035</v>
      </c>
      <c r="B418" t="s">
        <v>2891</v>
      </c>
      <c r="C418">
        <v>11</v>
      </c>
      <c r="D418">
        <v>0</v>
      </c>
      <c r="E418">
        <v>130</v>
      </c>
    </row>
    <row r="419" spans="1:5" x14ac:dyDescent="0.25">
      <c r="A419">
        <v>800525</v>
      </c>
      <c r="B419" t="s">
        <v>1599</v>
      </c>
      <c r="C419">
        <v>4</v>
      </c>
      <c r="D419">
        <v>0</v>
      </c>
      <c r="E419">
        <v>20</v>
      </c>
    </row>
    <row r="420" spans="1:5" x14ac:dyDescent="0.25">
      <c r="A420">
        <v>800620</v>
      </c>
      <c r="B420" t="s">
        <v>2892</v>
      </c>
      <c r="C420">
        <v>1</v>
      </c>
      <c r="D420">
        <v>0</v>
      </c>
      <c r="E420">
        <v>200</v>
      </c>
    </row>
    <row r="421" spans="1:5" x14ac:dyDescent="0.25">
      <c r="A421">
        <v>812500</v>
      </c>
      <c r="B421" t="s">
        <v>2893</v>
      </c>
      <c r="C421">
        <v>1</v>
      </c>
      <c r="D421">
        <v>0</v>
      </c>
      <c r="E421">
        <v>1000</v>
      </c>
    </row>
    <row r="422" spans="1:5" x14ac:dyDescent="0.25">
      <c r="A422">
        <v>812502</v>
      </c>
      <c r="B422" t="s">
        <v>2894</v>
      </c>
      <c r="C422">
        <v>4</v>
      </c>
      <c r="D422">
        <v>3</v>
      </c>
      <c r="E422">
        <v>1000</v>
      </c>
    </row>
    <row r="423" spans="1:5" x14ac:dyDescent="0.25">
      <c r="A423">
        <v>812950</v>
      </c>
      <c r="B423" t="s">
        <v>3683</v>
      </c>
      <c r="C423">
        <v>345</v>
      </c>
      <c r="D423">
        <v>289</v>
      </c>
      <c r="E423">
        <v>100</v>
      </c>
    </row>
    <row r="424" spans="1:5" x14ac:dyDescent="0.25">
      <c r="A424">
        <v>820000</v>
      </c>
      <c r="B424" t="s">
        <v>2895</v>
      </c>
      <c r="C424">
        <v>132</v>
      </c>
      <c r="D424">
        <v>0</v>
      </c>
      <c r="E424">
        <v>250</v>
      </c>
    </row>
    <row r="425" spans="1:5" x14ac:dyDescent="0.25">
      <c r="A425">
        <v>820500</v>
      </c>
      <c r="B425" t="s">
        <v>2640</v>
      </c>
      <c r="C425">
        <v>71</v>
      </c>
      <c r="D425">
        <v>70</v>
      </c>
      <c r="E425">
        <v>200</v>
      </c>
    </row>
    <row r="426" spans="1:5" x14ac:dyDescent="0.25">
      <c r="A426">
        <v>820705</v>
      </c>
      <c r="B426" t="s">
        <v>3684</v>
      </c>
      <c r="C426">
        <v>105</v>
      </c>
      <c r="D426">
        <v>30</v>
      </c>
      <c r="E426">
        <v>150</v>
      </c>
    </row>
    <row r="427" spans="1:5" x14ac:dyDescent="0.25">
      <c r="A427">
        <v>830250</v>
      </c>
      <c r="B427" t="s">
        <v>2896</v>
      </c>
      <c r="C427">
        <v>85</v>
      </c>
      <c r="D427">
        <v>20</v>
      </c>
      <c r="E427">
        <v>400</v>
      </c>
    </row>
    <row r="428" spans="1:5" x14ac:dyDescent="0.25">
      <c r="A428">
        <v>831030</v>
      </c>
      <c r="B428" t="s">
        <v>2527</v>
      </c>
      <c r="C428">
        <v>1</v>
      </c>
      <c r="D428">
        <v>0</v>
      </c>
      <c r="E428">
        <v>1600</v>
      </c>
    </row>
    <row r="429" spans="1:5" x14ac:dyDescent="0.25">
      <c r="A429">
        <v>831033</v>
      </c>
      <c r="B429" t="s">
        <v>1617</v>
      </c>
      <c r="C429">
        <v>1</v>
      </c>
      <c r="D429">
        <v>0</v>
      </c>
      <c r="E429">
        <v>1050</v>
      </c>
    </row>
    <row r="430" spans="1:5" x14ac:dyDescent="0.25">
      <c r="A430">
        <v>832000</v>
      </c>
      <c r="B430" t="s">
        <v>6</v>
      </c>
      <c r="C430">
        <v>43</v>
      </c>
      <c r="D430">
        <v>0</v>
      </c>
      <c r="E430">
        <v>350</v>
      </c>
    </row>
    <row r="431" spans="1:5" x14ac:dyDescent="0.25">
      <c r="A431">
        <v>832005</v>
      </c>
      <c r="B431" t="s">
        <v>1287</v>
      </c>
      <c r="C431">
        <v>48</v>
      </c>
      <c r="D431">
        <v>0</v>
      </c>
      <c r="E431">
        <v>380</v>
      </c>
    </row>
    <row r="432" spans="1:5" x14ac:dyDescent="0.25">
      <c r="A432">
        <v>833053</v>
      </c>
      <c r="B432" t="s">
        <v>3685</v>
      </c>
      <c r="C432">
        <v>344</v>
      </c>
      <c r="D432">
        <v>50</v>
      </c>
      <c r="E432">
        <v>400</v>
      </c>
    </row>
    <row r="433" spans="1:5" x14ac:dyDescent="0.25">
      <c r="A433">
        <v>833054</v>
      </c>
      <c r="B433" t="s">
        <v>3686</v>
      </c>
      <c r="C433">
        <v>300</v>
      </c>
      <c r="D433">
        <v>300</v>
      </c>
      <c r="E433">
        <v>50</v>
      </c>
    </row>
    <row r="434" spans="1:5" x14ac:dyDescent="0.25">
      <c r="A434">
        <v>833064</v>
      </c>
      <c r="B434" t="s">
        <v>2710</v>
      </c>
      <c r="C434">
        <v>367</v>
      </c>
      <c r="D434">
        <v>216</v>
      </c>
      <c r="E434">
        <v>900</v>
      </c>
    </row>
    <row r="435" spans="1:5" x14ac:dyDescent="0.25">
      <c r="A435">
        <v>833070</v>
      </c>
      <c r="B435" t="s">
        <v>2898</v>
      </c>
      <c r="C435">
        <v>44</v>
      </c>
      <c r="D435">
        <v>5</v>
      </c>
      <c r="E435">
        <v>120</v>
      </c>
    </row>
    <row r="436" spans="1:5" x14ac:dyDescent="0.25">
      <c r="A436">
        <v>833076</v>
      </c>
      <c r="B436" t="s">
        <v>2899</v>
      </c>
      <c r="C436">
        <v>36</v>
      </c>
      <c r="D436">
        <v>0</v>
      </c>
      <c r="E436">
        <v>200</v>
      </c>
    </row>
    <row r="437" spans="1:5" x14ac:dyDescent="0.25">
      <c r="A437">
        <v>833082</v>
      </c>
      <c r="B437" t="s">
        <v>2711</v>
      </c>
      <c r="C437">
        <v>142</v>
      </c>
      <c r="D437">
        <v>0</v>
      </c>
      <c r="E437">
        <v>200</v>
      </c>
    </row>
    <row r="438" spans="1:5" x14ac:dyDescent="0.25">
      <c r="A438">
        <v>840240</v>
      </c>
      <c r="B438" t="s">
        <v>3687</v>
      </c>
      <c r="C438">
        <v>519</v>
      </c>
      <c r="D438">
        <v>515</v>
      </c>
      <c r="E438">
        <v>20</v>
      </c>
    </row>
    <row r="439" spans="1:5" x14ac:dyDescent="0.25">
      <c r="A439">
        <v>841104</v>
      </c>
      <c r="B439" t="s">
        <v>3688</v>
      </c>
      <c r="C439">
        <v>72</v>
      </c>
      <c r="D439">
        <v>68</v>
      </c>
      <c r="E439">
        <v>550</v>
      </c>
    </row>
    <row r="440" spans="1:5" x14ac:dyDescent="0.25">
      <c r="A440">
        <v>841202</v>
      </c>
      <c r="B440" t="s">
        <v>3689</v>
      </c>
      <c r="C440">
        <v>1290</v>
      </c>
      <c r="D440">
        <v>240</v>
      </c>
      <c r="E440">
        <v>1200</v>
      </c>
    </row>
    <row r="441" spans="1:5" x14ac:dyDescent="0.25">
      <c r="A441">
        <v>841307</v>
      </c>
      <c r="B441" t="s">
        <v>3690</v>
      </c>
      <c r="C441">
        <v>58</v>
      </c>
      <c r="D441">
        <v>0</v>
      </c>
      <c r="E441">
        <v>80</v>
      </c>
    </row>
    <row r="442" spans="1:5" x14ac:dyDescent="0.25">
      <c r="A442">
        <v>841340</v>
      </c>
      <c r="B442" t="s">
        <v>3691</v>
      </c>
      <c r="C442">
        <v>43</v>
      </c>
      <c r="D442">
        <v>10</v>
      </c>
      <c r="E442">
        <v>50</v>
      </c>
    </row>
    <row r="443" spans="1:5" x14ac:dyDescent="0.25">
      <c r="A443">
        <v>841402</v>
      </c>
      <c r="B443" t="s">
        <v>3692</v>
      </c>
      <c r="C443">
        <v>21</v>
      </c>
      <c r="D443">
        <v>0</v>
      </c>
      <c r="E443">
        <v>80</v>
      </c>
    </row>
    <row r="444" spans="1:5" x14ac:dyDescent="0.25">
      <c r="A444">
        <v>844180</v>
      </c>
      <c r="B444" t="s">
        <v>2446</v>
      </c>
      <c r="C444">
        <v>295</v>
      </c>
      <c r="D444">
        <v>20</v>
      </c>
      <c r="E444">
        <v>750</v>
      </c>
    </row>
    <row r="445" spans="1:5" x14ac:dyDescent="0.25">
      <c r="A445">
        <v>844290</v>
      </c>
      <c r="B445" t="s">
        <v>3693</v>
      </c>
      <c r="C445">
        <v>632</v>
      </c>
      <c r="D445">
        <v>0</v>
      </c>
      <c r="E445">
        <v>900</v>
      </c>
    </row>
    <row r="446" spans="1:5" x14ac:dyDescent="0.25">
      <c r="A446">
        <v>850010</v>
      </c>
      <c r="B446" t="s">
        <v>43</v>
      </c>
      <c r="C446">
        <v>1</v>
      </c>
      <c r="D446">
        <v>0</v>
      </c>
      <c r="E446">
        <v>550</v>
      </c>
    </row>
    <row r="447" spans="1:5" x14ac:dyDescent="0.25">
      <c r="A447">
        <v>850020</v>
      </c>
      <c r="B447" t="s">
        <v>2712</v>
      </c>
      <c r="C447">
        <v>1</v>
      </c>
      <c r="D447">
        <v>0</v>
      </c>
      <c r="E447">
        <v>150</v>
      </c>
    </row>
    <row r="448" spans="1:5" x14ac:dyDescent="0.25">
      <c r="A448">
        <v>850101</v>
      </c>
      <c r="B448" t="s">
        <v>3694</v>
      </c>
      <c r="C448">
        <v>438</v>
      </c>
      <c r="D448">
        <v>300</v>
      </c>
      <c r="E448">
        <v>200</v>
      </c>
    </row>
    <row r="449" spans="1:5" x14ac:dyDescent="0.25">
      <c r="A449">
        <v>870130</v>
      </c>
      <c r="B449" t="s">
        <v>2900</v>
      </c>
      <c r="C449">
        <v>2</v>
      </c>
      <c r="D449">
        <v>1</v>
      </c>
      <c r="E449">
        <v>650</v>
      </c>
    </row>
    <row r="450" spans="1:5" x14ac:dyDescent="0.25">
      <c r="A450">
        <v>870261</v>
      </c>
      <c r="B450" t="s">
        <v>2641</v>
      </c>
      <c r="C450">
        <v>628</v>
      </c>
      <c r="D450">
        <v>50</v>
      </c>
      <c r="E450">
        <v>960</v>
      </c>
    </row>
    <row r="451" spans="1:5" x14ac:dyDescent="0.25">
      <c r="A451">
        <v>870280</v>
      </c>
      <c r="B451" t="s">
        <v>2642</v>
      </c>
      <c r="C451">
        <v>386</v>
      </c>
      <c r="D451">
        <v>1</v>
      </c>
      <c r="E451">
        <v>1200</v>
      </c>
    </row>
    <row r="452" spans="1:5" x14ac:dyDescent="0.25">
      <c r="A452">
        <v>870282</v>
      </c>
      <c r="B452" t="s">
        <v>2713</v>
      </c>
      <c r="C452">
        <v>1</v>
      </c>
      <c r="D452">
        <v>0</v>
      </c>
      <c r="E452">
        <v>1700</v>
      </c>
    </row>
    <row r="453" spans="1:5" x14ac:dyDescent="0.25">
      <c r="A453">
        <v>870286</v>
      </c>
      <c r="B453" t="s">
        <v>3695</v>
      </c>
      <c r="C453">
        <v>1674</v>
      </c>
      <c r="D453">
        <v>30</v>
      </c>
      <c r="E453">
        <v>1650</v>
      </c>
    </row>
    <row r="454" spans="1:5" x14ac:dyDescent="0.25">
      <c r="A454">
        <v>871000</v>
      </c>
      <c r="B454" t="s">
        <v>2428</v>
      </c>
      <c r="C454">
        <v>147</v>
      </c>
      <c r="D454">
        <v>0</v>
      </c>
      <c r="E454">
        <v>1800</v>
      </c>
    </row>
    <row r="455" spans="1:5" x14ac:dyDescent="0.25">
      <c r="A455">
        <v>871100</v>
      </c>
      <c r="B455" t="s">
        <v>3696</v>
      </c>
      <c r="C455">
        <v>1348</v>
      </c>
      <c r="D455">
        <v>1040</v>
      </c>
      <c r="E455">
        <v>2000</v>
      </c>
    </row>
    <row r="456" spans="1:5" x14ac:dyDescent="0.25">
      <c r="A456">
        <v>884000</v>
      </c>
      <c r="B456" t="s">
        <v>1600</v>
      </c>
      <c r="C456">
        <v>1</v>
      </c>
      <c r="D456">
        <v>0</v>
      </c>
      <c r="E456">
        <v>9500</v>
      </c>
    </row>
    <row r="457" spans="1:5" x14ac:dyDescent="0.25">
      <c r="A457">
        <v>884002</v>
      </c>
      <c r="B457" t="s">
        <v>1402</v>
      </c>
      <c r="C457">
        <v>1</v>
      </c>
      <c r="D457">
        <v>0</v>
      </c>
      <c r="E457">
        <v>360</v>
      </c>
    </row>
    <row r="458" spans="1:5" x14ac:dyDescent="0.25">
      <c r="A458">
        <v>884003</v>
      </c>
      <c r="B458" t="s">
        <v>2901</v>
      </c>
      <c r="C458">
        <v>494</v>
      </c>
      <c r="D458">
        <v>5</v>
      </c>
      <c r="E458">
        <v>1500</v>
      </c>
    </row>
    <row r="459" spans="1:5" x14ac:dyDescent="0.25">
      <c r="A459">
        <v>884004</v>
      </c>
      <c r="B459" t="s">
        <v>2902</v>
      </c>
      <c r="C459">
        <v>249</v>
      </c>
      <c r="D459">
        <v>0</v>
      </c>
      <c r="E459">
        <v>1500</v>
      </c>
    </row>
    <row r="460" spans="1:5" x14ac:dyDescent="0.25">
      <c r="A460">
        <v>884005</v>
      </c>
      <c r="B460" t="s">
        <v>2903</v>
      </c>
      <c r="C460">
        <v>490</v>
      </c>
      <c r="D460">
        <v>0</v>
      </c>
      <c r="E460">
        <v>1500</v>
      </c>
    </row>
    <row r="461" spans="1:5" x14ac:dyDescent="0.25">
      <c r="A461">
        <v>884006</v>
      </c>
      <c r="B461" t="s">
        <v>2904</v>
      </c>
      <c r="C461">
        <v>476</v>
      </c>
      <c r="D461">
        <v>3</v>
      </c>
      <c r="E461">
        <v>1500</v>
      </c>
    </row>
    <row r="462" spans="1:5" x14ac:dyDescent="0.25">
      <c r="A462">
        <v>885070</v>
      </c>
      <c r="B462" t="s">
        <v>2714</v>
      </c>
      <c r="C462">
        <v>232</v>
      </c>
      <c r="D462">
        <v>0</v>
      </c>
      <c r="E462">
        <v>500</v>
      </c>
    </row>
    <row r="463" spans="1:5" x14ac:dyDescent="0.25">
      <c r="A463">
        <v>885071</v>
      </c>
      <c r="B463" t="s">
        <v>2715</v>
      </c>
      <c r="C463">
        <v>74</v>
      </c>
      <c r="D463">
        <v>10</v>
      </c>
      <c r="E463">
        <v>250</v>
      </c>
    </row>
    <row r="464" spans="1:5" x14ac:dyDescent="0.25">
      <c r="A464">
        <v>885086</v>
      </c>
      <c r="B464" t="s">
        <v>2905</v>
      </c>
      <c r="C464">
        <v>467</v>
      </c>
      <c r="D464">
        <v>0</v>
      </c>
      <c r="E464">
        <v>800</v>
      </c>
    </row>
    <row r="465" spans="1:5" x14ac:dyDescent="0.25">
      <c r="A465">
        <v>893050</v>
      </c>
      <c r="B465" t="s">
        <v>3697</v>
      </c>
      <c r="C465">
        <v>0</v>
      </c>
      <c r="D465">
        <v>0</v>
      </c>
      <c r="E465">
        <v>100</v>
      </c>
    </row>
    <row r="466" spans="1:5" x14ac:dyDescent="0.25">
      <c r="A466">
        <v>893056</v>
      </c>
      <c r="B466" t="s">
        <v>3698</v>
      </c>
      <c r="C466">
        <v>0</v>
      </c>
      <c r="D466">
        <v>0</v>
      </c>
      <c r="E466">
        <v>100</v>
      </c>
    </row>
    <row r="467" spans="1:5" x14ac:dyDescent="0.25">
      <c r="A467">
        <v>900000</v>
      </c>
      <c r="B467" t="s">
        <v>1601</v>
      </c>
      <c r="C467">
        <v>721</v>
      </c>
      <c r="D467">
        <v>1</v>
      </c>
      <c r="E467">
        <v>1200</v>
      </c>
    </row>
    <row r="468" spans="1:5" x14ac:dyDescent="0.25">
      <c r="A468">
        <v>900100</v>
      </c>
      <c r="B468" t="s">
        <v>3699</v>
      </c>
      <c r="C468">
        <v>28</v>
      </c>
      <c r="D468">
        <v>0</v>
      </c>
      <c r="E468">
        <v>700</v>
      </c>
    </row>
    <row r="469" spans="1:5" x14ac:dyDescent="0.25">
      <c r="A469">
        <v>900110</v>
      </c>
      <c r="B469" t="s">
        <v>2528</v>
      </c>
      <c r="C469">
        <v>363</v>
      </c>
      <c r="D469">
        <v>0</v>
      </c>
      <c r="E469">
        <v>600</v>
      </c>
    </row>
    <row r="470" spans="1:5" x14ac:dyDescent="0.25">
      <c r="A470">
        <v>900112</v>
      </c>
      <c r="B470" t="s">
        <v>2906</v>
      </c>
      <c r="C470">
        <v>1</v>
      </c>
      <c r="D470">
        <v>0</v>
      </c>
      <c r="E470">
        <v>420</v>
      </c>
    </row>
    <row r="471" spans="1:5" x14ac:dyDescent="0.25">
      <c r="A471">
        <v>900159</v>
      </c>
      <c r="B471" t="s">
        <v>2907</v>
      </c>
      <c r="C471">
        <v>1</v>
      </c>
      <c r="D471">
        <v>1</v>
      </c>
      <c r="E471">
        <v>25</v>
      </c>
    </row>
    <row r="472" spans="1:5" x14ac:dyDescent="0.25">
      <c r="A472">
        <v>900162</v>
      </c>
      <c r="B472" t="s">
        <v>3700</v>
      </c>
      <c r="C472">
        <v>43</v>
      </c>
      <c r="D472">
        <v>0</v>
      </c>
      <c r="E472">
        <v>48</v>
      </c>
    </row>
    <row r="473" spans="1:5" x14ac:dyDescent="0.25">
      <c r="A473">
        <v>900164</v>
      </c>
      <c r="B473" t="s">
        <v>3701</v>
      </c>
      <c r="C473">
        <v>199</v>
      </c>
      <c r="D473">
        <v>70</v>
      </c>
      <c r="E473">
        <v>240</v>
      </c>
    </row>
    <row r="474" spans="1:5" x14ac:dyDescent="0.25">
      <c r="A474">
        <v>900165</v>
      </c>
      <c r="B474" t="s">
        <v>3702</v>
      </c>
      <c r="C474">
        <v>94</v>
      </c>
      <c r="D474">
        <v>30</v>
      </c>
      <c r="E474">
        <v>80</v>
      </c>
    </row>
    <row r="475" spans="1:5" x14ac:dyDescent="0.25">
      <c r="A475">
        <v>900178</v>
      </c>
      <c r="B475" t="s">
        <v>3703</v>
      </c>
      <c r="C475">
        <v>0</v>
      </c>
      <c r="D475">
        <v>0</v>
      </c>
      <c r="E475">
        <v>100</v>
      </c>
    </row>
    <row r="476" spans="1:5" x14ac:dyDescent="0.25">
      <c r="A476">
        <v>900200</v>
      </c>
      <c r="B476" t="s">
        <v>2908</v>
      </c>
      <c r="C476">
        <v>41</v>
      </c>
      <c r="D476">
        <v>40</v>
      </c>
      <c r="E476">
        <v>1000</v>
      </c>
    </row>
    <row r="477" spans="1:5" x14ac:dyDescent="0.25">
      <c r="A477">
        <v>900300</v>
      </c>
      <c r="B477" t="s">
        <v>2643</v>
      </c>
      <c r="C477">
        <v>776</v>
      </c>
      <c r="D477">
        <v>144</v>
      </c>
      <c r="E477">
        <v>1500</v>
      </c>
    </row>
    <row r="478" spans="1:5" x14ac:dyDescent="0.25">
      <c r="A478">
        <v>900500</v>
      </c>
      <c r="B478" t="s">
        <v>2909</v>
      </c>
      <c r="C478">
        <v>1</v>
      </c>
      <c r="D478">
        <v>0</v>
      </c>
      <c r="E478">
        <v>1200</v>
      </c>
    </row>
    <row r="479" spans="1:5" x14ac:dyDescent="0.25">
      <c r="A479">
        <v>900600</v>
      </c>
      <c r="B479" t="s">
        <v>2466</v>
      </c>
      <c r="C479">
        <v>161</v>
      </c>
      <c r="D479">
        <v>160</v>
      </c>
      <c r="E479">
        <v>2200</v>
      </c>
    </row>
    <row r="480" spans="1:5" x14ac:dyDescent="0.25">
      <c r="A480">
        <v>901050</v>
      </c>
      <c r="B480" t="s">
        <v>3704</v>
      </c>
      <c r="C480">
        <v>0</v>
      </c>
      <c r="D480">
        <v>0</v>
      </c>
      <c r="E480">
        <v>50</v>
      </c>
    </row>
    <row r="481" spans="1:5" x14ac:dyDescent="0.25">
      <c r="A481">
        <v>901060</v>
      </c>
      <c r="B481" t="s">
        <v>3705</v>
      </c>
      <c r="C481">
        <v>0</v>
      </c>
      <c r="D481">
        <v>0</v>
      </c>
      <c r="E481">
        <v>50</v>
      </c>
    </row>
    <row r="482" spans="1:5" x14ac:dyDescent="0.25">
      <c r="A482">
        <v>901062</v>
      </c>
      <c r="B482" t="s">
        <v>3706</v>
      </c>
      <c r="C482">
        <v>0</v>
      </c>
      <c r="D482">
        <v>0</v>
      </c>
      <c r="E482">
        <v>50</v>
      </c>
    </row>
    <row r="483" spans="1:5" x14ac:dyDescent="0.25">
      <c r="A483">
        <v>901070</v>
      </c>
      <c r="B483" t="s">
        <v>3707</v>
      </c>
      <c r="C483">
        <v>0</v>
      </c>
      <c r="D483">
        <v>0</v>
      </c>
      <c r="E483">
        <v>40</v>
      </c>
    </row>
    <row r="484" spans="1:5" x14ac:dyDescent="0.25">
      <c r="A484">
        <v>901075</v>
      </c>
      <c r="B484" t="s">
        <v>3708</v>
      </c>
      <c r="C484">
        <v>0</v>
      </c>
      <c r="D484">
        <v>0</v>
      </c>
      <c r="E484">
        <v>40</v>
      </c>
    </row>
    <row r="485" spans="1:5" x14ac:dyDescent="0.25">
      <c r="A485">
        <v>901080</v>
      </c>
      <c r="B485" t="s">
        <v>3709</v>
      </c>
      <c r="C485">
        <v>0</v>
      </c>
      <c r="D485">
        <v>0</v>
      </c>
      <c r="E485">
        <v>100</v>
      </c>
    </row>
    <row r="486" spans="1:5" x14ac:dyDescent="0.25">
      <c r="A486">
        <v>901102</v>
      </c>
      <c r="B486" t="s">
        <v>3710</v>
      </c>
      <c r="C486">
        <v>0</v>
      </c>
      <c r="D486">
        <v>0</v>
      </c>
      <c r="E486">
        <v>200</v>
      </c>
    </row>
    <row r="487" spans="1:5" x14ac:dyDescent="0.25">
      <c r="A487">
        <v>901103</v>
      </c>
      <c r="B487" t="s">
        <v>3711</v>
      </c>
      <c r="C487">
        <v>0</v>
      </c>
      <c r="D487">
        <v>0</v>
      </c>
      <c r="E487">
        <v>200</v>
      </c>
    </row>
    <row r="488" spans="1:5" x14ac:dyDescent="0.25">
      <c r="A488">
        <v>901104</v>
      </c>
      <c r="B488" t="s">
        <v>3712</v>
      </c>
      <c r="C488">
        <v>0</v>
      </c>
      <c r="D488">
        <v>0</v>
      </c>
      <c r="E488">
        <v>100</v>
      </c>
    </row>
    <row r="489" spans="1:5" x14ac:dyDescent="0.25">
      <c r="A489">
        <v>901105</v>
      </c>
      <c r="B489" t="s">
        <v>3713</v>
      </c>
      <c r="C489">
        <v>0</v>
      </c>
      <c r="D489">
        <v>0</v>
      </c>
      <c r="E489">
        <v>200</v>
      </c>
    </row>
    <row r="490" spans="1:5" x14ac:dyDescent="0.25">
      <c r="A490">
        <v>901121</v>
      </c>
      <c r="B490" t="s">
        <v>3714</v>
      </c>
      <c r="C490">
        <v>0</v>
      </c>
      <c r="D490">
        <v>0</v>
      </c>
      <c r="E490">
        <v>200</v>
      </c>
    </row>
    <row r="491" spans="1:5" x14ac:dyDescent="0.25">
      <c r="A491">
        <v>901122</v>
      </c>
      <c r="B491" t="s">
        <v>3715</v>
      </c>
      <c r="C491">
        <v>0</v>
      </c>
      <c r="D491">
        <v>0</v>
      </c>
      <c r="E491">
        <v>200</v>
      </c>
    </row>
    <row r="492" spans="1:5" x14ac:dyDescent="0.25">
      <c r="A492">
        <v>920110</v>
      </c>
      <c r="B492" t="s">
        <v>2910</v>
      </c>
      <c r="C492">
        <v>0</v>
      </c>
      <c r="D492">
        <v>0</v>
      </c>
      <c r="E492">
        <v>1</v>
      </c>
    </row>
    <row r="493" spans="1:5" x14ac:dyDescent="0.25">
      <c r="A493">
        <v>920380</v>
      </c>
      <c r="B493" t="s">
        <v>3716</v>
      </c>
      <c r="C493">
        <v>132</v>
      </c>
      <c r="D493">
        <v>132</v>
      </c>
      <c r="E493">
        <v>264</v>
      </c>
    </row>
    <row r="494" spans="1:5" x14ac:dyDescent="0.25">
      <c r="A494">
        <v>920381</v>
      </c>
      <c r="B494" t="s">
        <v>3717</v>
      </c>
      <c r="C494">
        <v>132</v>
      </c>
      <c r="D494">
        <v>132</v>
      </c>
      <c r="E494">
        <v>264</v>
      </c>
    </row>
    <row r="495" spans="1:5" x14ac:dyDescent="0.25">
      <c r="A495">
        <v>920382</v>
      </c>
      <c r="B495" t="s">
        <v>3718</v>
      </c>
      <c r="C495">
        <v>73</v>
      </c>
      <c r="D495">
        <v>73</v>
      </c>
      <c r="E495">
        <v>144</v>
      </c>
    </row>
    <row r="496" spans="1:5" x14ac:dyDescent="0.25">
      <c r="A496">
        <v>920401</v>
      </c>
      <c r="B496" t="s">
        <v>2911</v>
      </c>
      <c r="C496">
        <v>134</v>
      </c>
      <c r="D496">
        <v>0</v>
      </c>
      <c r="E496">
        <v>480</v>
      </c>
    </row>
    <row r="497" spans="1:5" x14ac:dyDescent="0.25">
      <c r="A497">
        <v>930620</v>
      </c>
      <c r="B497" t="s">
        <v>2912</v>
      </c>
      <c r="C497">
        <v>490</v>
      </c>
      <c r="D497">
        <v>0</v>
      </c>
      <c r="E497">
        <v>600</v>
      </c>
    </row>
    <row r="498" spans="1:5" x14ac:dyDescent="0.25">
      <c r="A498">
        <v>931260</v>
      </c>
      <c r="B498" t="s">
        <v>2913</v>
      </c>
      <c r="C498">
        <v>81</v>
      </c>
      <c r="D498">
        <v>0</v>
      </c>
      <c r="E498">
        <v>140</v>
      </c>
    </row>
    <row r="499" spans="1:5" x14ac:dyDescent="0.25">
      <c r="A499">
        <v>940000</v>
      </c>
      <c r="B499" t="s">
        <v>2914</v>
      </c>
      <c r="C499">
        <v>6</v>
      </c>
      <c r="D499">
        <v>0</v>
      </c>
      <c r="E499">
        <v>850</v>
      </c>
    </row>
    <row r="500" spans="1:5" x14ac:dyDescent="0.25">
      <c r="A500">
        <v>940035</v>
      </c>
      <c r="B500" t="s">
        <v>2644</v>
      </c>
      <c r="C500">
        <v>143</v>
      </c>
      <c r="D500">
        <v>0</v>
      </c>
      <c r="E500">
        <v>200</v>
      </c>
    </row>
    <row r="501" spans="1:5" x14ac:dyDescent="0.25">
      <c r="A501">
        <v>941200</v>
      </c>
      <c r="B501" t="s">
        <v>3719</v>
      </c>
      <c r="C501">
        <v>942</v>
      </c>
      <c r="D501">
        <v>1</v>
      </c>
      <c r="E501">
        <v>1100</v>
      </c>
    </row>
    <row r="502" spans="1:5" x14ac:dyDescent="0.25">
      <c r="A502">
        <v>947091</v>
      </c>
      <c r="C502">
        <v>0</v>
      </c>
      <c r="D502">
        <v>0</v>
      </c>
      <c r="E502">
        <v>8</v>
      </c>
    </row>
    <row r="503" spans="1:5" x14ac:dyDescent="0.25">
      <c r="A503">
        <v>947096</v>
      </c>
      <c r="C503">
        <v>0</v>
      </c>
      <c r="D503">
        <v>0</v>
      </c>
      <c r="E503">
        <v>8</v>
      </c>
    </row>
    <row r="504" spans="1:5" x14ac:dyDescent="0.25">
      <c r="A504">
        <v>947097</v>
      </c>
      <c r="C504">
        <v>0</v>
      </c>
      <c r="D504">
        <v>0</v>
      </c>
      <c r="E504">
        <v>8</v>
      </c>
    </row>
    <row r="505" spans="1:5" x14ac:dyDescent="0.25">
      <c r="A505">
        <v>947098</v>
      </c>
      <c r="C505">
        <v>0</v>
      </c>
      <c r="D505">
        <v>0</v>
      </c>
      <c r="E505">
        <v>8</v>
      </c>
    </row>
    <row r="506" spans="1:5" x14ac:dyDescent="0.25">
      <c r="A506">
        <v>947099</v>
      </c>
      <c r="C506">
        <v>0</v>
      </c>
      <c r="D506">
        <v>0</v>
      </c>
      <c r="E506">
        <v>8</v>
      </c>
    </row>
    <row r="507" spans="1:5" x14ac:dyDescent="0.25">
      <c r="A507">
        <v>955024</v>
      </c>
      <c r="B507" t="s">
        <v>2915</v>
      </c>
      <c r="C507">
        <v>1</v>
      </c>
      <c r="D507">
        <v>0</v>
      </c>
      <c r="E507">
        <v>900</v>
      </c>
    </row>
    <row r="508" spans="1:5" x14ac:dyDescent="0.25">
      <c r="A508">
        <v>955025</v>
      </c>
      <c r="B508" t="s">
        <v>3720</v>
      </c>
      <c r="C508">
        <v>334</v>
      </c>
      <c r="D508">
        <v>0</v>
      </c>
      <c r="E508">
        <v>500</v>
      </c>
    </row>
    <row r="509" spans="1:5" x14ac:dyDescent="0.25">
      <c r="A509">
        <v>955030</v>
      </c>
      <c r="B509" t="s">
        <v>2916</v>
      </c>
      <c r="C509">
        <v>199</v>
      </c>
      <c r="D509">
        <v>0</v>
      </c>
      <c r="E509">
        <v>500</v>
      </c>
    </row>
    <row r="510" spans="1:5" x14ac:dyDescent="0.25">
      <c r="A510">
        <v>955031</v>
      </c>
      <c r="B510" t="s">
        <v>2917</v>
      </c>
      <c r="C510">
        <v>1</v>
      </c>
      <c r="D510">
        <v>0</v>
      </c>
      <c r="E510">
        <v>350</v>
      </c>
    </row>
    <row r="511" spans="1:5" x14ac:dyDescent="0.25">
      <c r="A511">
        <v>955130</v>
      </c>
      <c r="B511" t="s">
        <v>2918</v>
      </c>
      <c r="C511">
        <v>2</v>
      </c>
      <c r="D511">
        <v>1</v>
      </c>
      <c r="E511">
        <v>500</v>
      </c>
    </row>
    <row r="512" spans="1:5" x14ac:dyDescent="0.25">
      <c r="A512">
        <v>955230</v>
      </c>
      <c r="B512" t="s">
        <v>2919</v>
      </c>
      <c r="C512">
        <v>1</v>
      </c>
      <c r="D512">
        <v>0</v>
      </c>
      <c r="E512">
        <v>200</v>
      </c>
    </row>
    <row r="513" spans="1:5" x14ac:dyDescent="0.25">
      <c r="A513">
        <v>956002</v>
      </c>
      <c r="B513" t="s">
        <v>3721</v>
      </c>
      <c r="C513">
        <v>0</v>
      </c>
      <c r="D513">
        <v>50</v>
      </c>
      <c r="E513">
        <v>80</v>
      </c>
    </row>
    <row r="514" spans="1:5" x14ac:dyDescent="0.25">
      <c r="A514">
        <v>956020</v>
      </c>
      <c r="B514" t="s">
        <v>3722</v>
      </c>
      <c r="C514">
        <v>1</v>
      </c>
      <c r="D514">
        <v>960</v>
      </c>
      <c r="E514">
        <v>100</v>
      </c>
    </row>
    <row r="515" spans="1:5" x14ac:dyDescent="0.25">
      <c r="A515">
        <v>956030</v>
      </c>
      <c r="B515" t="s">
        <v>2920</v>
      </c>
      <c r="C515">
        <v>1</v>
      </c>
      <c r="D515">
        <v>0</v>
      </c>
      <c r="E515">
        <v>150</v>
      </c>
    </row>
    <row r="516" spans="1:5" x14ac:dyDescent="0.25">
      <c r="A516">
        <v>960155</v>
      </c>
      <c r="B516" t="s">
        <v>2921</v>
      </c>
      <c r="C516">
        <v>0</v>
      </c>
      <c r="D516">
        <v>0</v>
      </c>
      <c r="E516">
        <v>10</v>
      </c>
    </row>
    <row r="517" spans="1:5" x14ac:dyDescent="0.25">
      <c r="A517">
        <v>960159</v>
      </c>
      <c r="B517" t="s">
        <v>2921</v>
      </c>
      <c r="C517">
        <v>0</v>
      </c>
      <c r="D517">
        <v>0</v>
      </c>
      <c r="E517">
        <v>10</v>
      </c>
    </row>
    <row r="518" spans="1:5" x14ac:dyDescent="0.25">
      <c r="A518">
        <v>976000</v>
      </c>
      <c r="B518" t="s">
        <v>2716</v>
      </c>
      <c r="C518">
        <v>33</v>
      </c>
      <c r="D518">
        <v>12</v>
      </c>
      <c r="E518">
        <v>30</v>
      </c>
    </row>
    <row r="519" spans="1:5" x14ac:dyDescent="0.25">
      <c r="A519">
        <v>976050</v>
      </c>
      <c r="B519" t="s">
        <v>3723</v>
      </c>
      <c r="C519">
        <v>49</v>
      </c>
      <c r="D519">
        <v>12</v>
      </c>
      <c r="E519">
        <v>60</v>
      </c>
    </row>
    <row r="520" spans="1:5" x14ac:dyDescent="0.25">
      <c r="A520">
        <v>996100</v>
      </c>
      <c r="B520" t="s">
        <v>2922</v>
      </c>
      <c r="C520">
        <v>111</v>
      </c>
      <c r="D520">
        <v>0</v>
      </c>
      <c r="E520">
        <v>400</v>
      </c>
    </row>
    <row r="521" spans="1:5" x14ac:dyDescent="0.25">
      <c r="A521">
        <v>996151</v>
      </c>
      <c r="B521" t="s">
        <v>2923</v>
      </c>
      <c r="C521">
        <v>1</v>
      </c>
      <c r="D521">
        <v>0</v>
      </c>
      <c r="E521">
        <v>300</v>
      </c>
    </row>
    <row r="522" spans="1:5" x14ac:dyDescent="0.25">
      <c r="A522">
        <v>996155</v>
      </c>
      <c r="B522" t="s">
        <v>2467</v>
      </c>
      <c r="C522">
        <v>1</v>
      </c>
      <c r="D522">
        <v>1</v>
      </c>
      <c r="E522">
        <v>150</v>
      </c>
    </row>
    <row r="523" spans="1:5" x14ac:dyDescent="0.25">
      <c r="A523">
        <v>997070</v>
      </c>
      <c r="B523" t="s">
        <v>2717</v>
      </c>
      <c r="C523">
        <v>543</v>
      </c>
      <c r="D523">
        <v>0</v>
      </c>
      <c r="E523">
        <v>1000</v>
      </c>
    </row>
    <row r="524" spans="1:5" x14ac:dyDescent="0.25">
      <c r="A524">
        <v>997071</v>
      </c>
      <c r="B524" t="s">
        <v>2718</v>
      </c>
      <c r="C524">
        <v>372</v>
      </c>
      <c r="D524">
        <v>0</v>
      </c>
      <c r="E524">
        <v>1000</v>
      </c>
    </row>
    <row r="525" spans="1:5" x14ac:dyDescent="0.25">
      <c r="A525">
        <v>997072</v>
      </c>
      <c r="B525" t="s">
        <v>2719</v>
      </c>
      <c r="C525">
        <v>367</v>
      </c>
      <c r="D525">
        <v>0</v>
      </c>
      <c r="E525">
        <v>1000</v>
      </c>
    </row>
    <row r="526" spans="1:5" x14ac:dyDescent="0.25">
      <c r="A526">
        <v>998000</v>
      </c>
      <c r="C526">
        <v>0</v>
      </c>
      <c r="D526">
        <v>0</v>
      </c>
      <c r="E526">
        <v>1</v>
      </c>
    </row>
    <row r="527" spans="1:5" x14ac:dyDescent="0.25">
      <c r="A527">
        <v>998002</v>
      </c>
      <c r="C527">
        <v>0</v>
      </c>
      <c r="D527">
        <v>0</v>
      </c>
      <c r="E527">
        <v>1</v>
      </c>
    </row>
    <row r="528" spans="1:5" x14ac:dyDescent="0.25">
      <c r="A528">
        <v>998028</v>
      </c>
      <c r="B528" t="s">
        <v>1602</v>
      </c>
      <c r="C528">
        <v>0</v>
      </c>
      <c r="D528">
        <v>0</v>
      </c>
      <c r="E528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Makro1">
                <anchor>
                  <from>
                    <xdr:col>1</xdr:col>
                    <xdr:colOff>28575</xdr:colOff>
                    <xdr:row>0</xdr:row>
                    <xdr:rowOff>0</xdr:rowOff>
                  </from>
                  <to>
                    <xdr:col>1</xdr:col>
                    <xdr:colOff>1228725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/>
  <dimension ref="A1:J507"/>
  <sheetViews>
    <sheetView workbookViewId="0">
      <selection activeCell="A3" sqref="A3:D507"/>
    </sheetView>
  </sheetViews>
  <sheetFormatPr defaultRowHeight="15" x14ac:dyDescent="0.25"/>
  <cols>
    <col min="1" max="1" width="10.42578125" bestFit="1" customWidth="1"/>
    <col min="3" max="3" width="13.5703125" bestFit="1" customWidth="1"/>
    <col min="9" max="9" width="14.28515625" customWidth="1"/>
  </cols>
  <sheetData>
    <row r="1" spans="1:10" x14ac:dyDescent="0.25">
      <c r="A1" s="4">
        <v>44148</v>
      </c>
    </row>
    <row r="2" spans="1:10" s="2" customFormat="1" x14ac:dyDescent="0.25">
      <c r="A2" s="6" t="s">
        <v>0</v>
      </c>
      <c r="B2" s="6" t="s">
        <v>1</v>
      </c>
      <c r="C2" s="6" t="s">
        <v>279</v>
      </c>
      <c r="D2"/>
      <c r="E2"/>
      <c r="F2"/>
      <c r="G2"/>
      <c r="H2"/>
      <c r="I2"/>
      <c r="J2"/>
    </row>
    <row r="3" spans="1:10" x14ac:dyDescent="0.25">
      <c r="A3" t="s">
        <v>0</v>
      </c>
      <c r="B3" t="s">
        <v>1</v>
      </c>
      <c r="C3" t="s">
        <v>279</v>
      </c>
      <c r="D3" t="s">
        <v>1641</v>
      </c>
    </row>
    <row r="4" spans="1:10" x14ac:dyDescent="0.25">
      <c r="A4">
        <v>101010</v>
      </c>
      <c r="B4">
        <v>2592</v>
      </c>
      <c r="C4">
        <v>1529.28</v>
      </c>
      <c r="D4" t="s">
        <v>2720</v>
      </c>
    </row>
    <row r="5" spans="1:10" x14ac:dyDescent="0.25">
      <c r="A5">
        <v>102010</v>
      </c>
      <c r="B5">
        <v>1008</v>
      </c>
      <c r="C5">
        <v>771.12</v>
      </c>
      <c r="D5" t="s">
        <v>1698</v>
      </c>
    </row>
    <row r="6" spans="1:10" x14ac:dyDescent="0.25">
      <c r="A6">
        <v>103010</v>
      </c>
      <c r="B6">
        <v>768</v>
      </c>
      <c r="C6">
        <v>698.88</v>
      </c>
      <c r="D6" t="s">
        <v>308</v>
      </c>
    </row>
    <row r="7" spans="1:10" x14ac:dyDescent="0.25">
      <c r="A7">
        <v>104010</v>
      </c>
      <c r="B7">
        <v>672</v>
      </c>
      <c r="C7">
        <v>712.32</v>
      </c>
      <c r="D7" t="s">
        <v>1699</v>
      </c>
    </row>
    <row r="8" spans="1:10" x14ac:dyDescent="0.25">
      <c r="A8">
        <v>105010</v>
      </c>
      <c r="B8">
        <v>1368</v>
      </c>
      <c r="C8">
        <v>1594.8</v>
      </c>
      <c r="D8" t="s">
        <v>309</v>
      </c>
    </row>
    <row r="9" spans="1:10" x14ac:dyDescent="0.25">
      <c r="A9">
        <v>106010</v>
      </c>
      <c r="B9">
        <v>576</v>
      </c>
      <c r="C9">
        <v>794.88</v>
      </c>
      <c r="D9" t="s">
        <v>310</v>
      </c>
    </row>
    <row r="10" spans="1:10" x14ac:dyDescent="0.25">
      <c r="A10">
        <v>108010</v>
      </c>
      <c r="B10">
        <v>432</v>
      </c>
      <c r="C10">
        <v>725.76</v>
      </c>
      <c r="D10" t="s">
        <v>312</v>
      </c>
    </row>
    <row r="11" spans="1:10" x14ac:dyDescent="0.25">
      <c r="A11">
        <v>110010</v>
      </c>
      <c r="B11">
        <v>384</v>
      </c>
      <c r="C11">
        <v>775.68</v>
      </c>
      <c r="D11" t="s">
        <v>313</v>
      </c>
    </row>
    <row r="12" spans="1:10" x14ac:dyDescent="0.25">
      <c r="A12">
        <v>115010</v>
      </c>
      <c r="B12">
        <v>300</v>
      </c>
      <c r="C12">
        <v>756</v>
      </c>
      <c r="D12" t="s">
        <v>314</v>
      </c>
    </row>
    <row r="13" spans="1:10" x14ac:dyDescent="0.25">
      <c r="A13">
        <v>116010</v>
      </c>
      <c r="B13">
        <v>360</v>
      </c>
      <c r="C13">
        <v>1170</v>
      </c>
      <c r="D13" t="s">
        <v>316</v>
      </c>
    </row>
    <row r="14" spans="1:10" x14ac:dyDescent="0.25">
      <c r="A14">
        <v>121010</v>
      </c>
      <c r="B14">
        <v>384</v>
      </c>
      <c r="C14">
        <v>721.92</v>
      </c>
      <c r="D14" t="s">
        <v>318</v>
      </c>
    </row>
    <row r="15" spans="1:10" x14ac:dyDescent="0.25">
      <c r="A15">
        <v>121510</v>
      </c>
      <c r="B15">
        <v>360</v>
      </c>
      <c r="C15">
        <v>972</v>
      </c>
      <c r="D15" t="s">
        <v>320</v>
      </c>
    </row>
    <row r="16" spans="1:10" x14ac:dyDescent="0.25">
      <c r="A16">
        <v>132390</v>
      </c>
      <c r="B16">
        <v>576</v>
      </c>
      <c r="C16">
        <v>927.36</v>
      </c>
      <c r="D16" t="s">
        <v>322</v>
      </c>
    </row>
    <row r="17" spans="1:4" x14ac:dyDescent="0.25">
      <c r="A17">
        <v>136022</v>
      </c>
      <c r="B17">
        <v>312</v>
      </c>
      <c r="C17">
        <v>667.68</v>
      </c>
      <c r="D17" t="s">
        <v>327</v>
      </c>
    </row>
    <row r="18" spans="1:4" x14ac:dyDescent="0.25">
      <c r="A18">
        <v>136222</v>
      </c>
      <c r="B18">
        <v>360</v>
      </c>
      <c r="C18">
        <v>786.6</v>
      </c>
      <c r="D18" t="s">
        <v>330</v>
      </c>
    </row>
    <row r="19" spans="1:4" x14ac:dyDescent="0.25">
      <c r="A19">
        <v>136320</v>
      </c>
      <c r="B19">
        <v>648</v>
      </c>
      <c r="C19">
        <v>623.38</v>
      </c>
      <c r="D19" t="s">
        <v>334</v>
      </c>
    </row>
    <row r="20" spans="1:4" x14ac:dyDescent="0.25">
      <c r="A20">
        <v>136600</v>
      </c>
      <c r="B20">
        <v>1080</v>
      </c>
      <c r="C20">
        <v>745.2</v>
      </c>
      <c r="D20" t="s">
        <v>342</v>
      </c>
    </row>
    <row r="21" spans="1:4" x14ac:dyDescent="0.25">
      <c r="A21">
        <v>136650</v>
      </c>
      <c r="B21">
        <v>864</v>
      </c>
      <c r="C21">
        <v>768.96</v>
      </c>
      <c r="D21" t="s">
        <v>343</v>
      </c>
    </row>
    <row r="22" spans="1:4" x14ac:dyDescent="0.25">
      <c r="A22">
        <v>136660</v>
      </c>
      <c r="B22">
        <v>576</v>
      </c>
      <c r="C22">
        <v>456.19</v>
      </c>
      <c r="D22" t="s">
        <v>344</v>
      </c>
    </row>
    <row r="23" spans="1:4" x14ac:dyDescent="0.25">
      <c r="A23">
        <v>136691</v>
      </c>
      <c r="B23">
        <v>504</v>
      </c>
      <c r="C23">
        <v>739.87</v>
      </c>
      <c r="D23" t="s">
        <v>345</v>
      </c>
    </row>
    <row r="24" spans="1:4" x14ac:dyDescent="0.25">
      <c r="A24">
        <v>136865</v>
      </c>
      <c r="B24">
        <v>432</v>
      </c>
      <c r="C24">
        <v>676.94</v>
      </c>
      <c r="D24" t="s">
        <v>346</v>
      </c>
    </row>
    <row r="25" spans="1:4" x14ac:dyDescent="0.25">
      <c r="A25">
        <v>136892</v>
      </c>
      <c r="B25">
        <v>512</v>
      </c>
      <c r="C25">
        <v>815.1</v>
      </c>
      <c r="D25" t="s">
        <v>1642</v>
      </c>
    </row>
    <row r="26" spans="1:4" x14ac:dyDescent="0.25">
      <c r="A26">
        <v>136900</v>
      </c>
      <c r="B26">
        <v>1440</v>
      </c>
      <c r="C26">
        <v>1872</v>
      </c>
      <c r="D26" t="s">
        <v>347</v>
      </c>
    </row>
    <row r="27" spans="1:4" x14ac:dyDescent="0.25">
      <c r="A27">
        <v>136920</v>
      </c>
      <c r="B27">
        <v>1200</v>
      </c>
      <c r="C27">
        <v>2280</v>
      </c>
      <c r="D27" t="s">
        <v>350</v>
      </c>
    </row>
    <row r="28" spans="1:4" x14ac:dyDescent="0.25">
      <c r="A28">
        <v>136930</v>
      </c>
      <c r="B28">
        <v>1200</v>
      </c>
      <c r="C28">
        <v>2112</v>
      </c>
      <c r="D28" t="s">
        <v>2452</v>
      </c>
    </row>
    <row r="29" spans="1:4" x14ac:dyDescent="0.25">
      <c r="A29">
        <v>137300</v>
      </c>
      <c r="B29">
        <v>1536</v>
      </c>
      <c r="C29">
        <v>906.24</v>
      </c>
      <c r="D29" t="s">
        <v>358</v>
      </c>
    </row>
    <row r="30" spans="1:4" x14ac:dyDescent="0.25">
      <c r="A30">
        <v>137600</v>
      </c>
      <c r="B30">
        <v>750</v>
      </c>
      <c r="C30">
        <v>922.5</v>
      </c>
      <c r="D30" t="s">
        <v>364</v>
      </c>
    </row>
    <row r="31" spans="1:4" x14ac:dyDescent="0.25">
      <c r="A31">
        <v>140060</v>
      </c>
      <c r="B31">
        <v>960</v>
      </c>
      <c r="C31">
        <v>1017.6</v>
      </c>
      <c r="D31" t="s">
        <v>367</v>
      </c>
    </row>
    <row r="32" spans="1:4" x14ac:dyDescent="0.25">
      <c r="A32">
        <v>140080</v>
      </c>
      <c r="B32">
        <v>960</v>
      </c>
      <c r="C32">
        <v>1248</v>
      </c>
      <c r="D32" t="s">
        <v>372</v>
      </c>
    </row>
    <row r="33" spans="1:4" x14ac:dyDescent="0.25">
      <c r="A33">
        <v>140160</v>
      </c>
      <c r="B33">
        <v>1200</v>
      </c>
      <c r="C33">
        <v>1296</v>
      </c>
      <c r="D33" t="s">
        <v>373</v>
      </c>
    </row>
    <row r="34" spans="1:4" x14ac:dyDescent="0.25">
      <c r="A34">
        <v>141160</v>
      </c>
      <c r="B34">
        <v>960</v>
      </c>
      <c r="C34">
        <v>899.52</v>
      </c>
      <c r="D34" t="s">
        <v>367</v>
      </c>
    </row>
    <row r="35" spans="1:4" x14ac:dyDescent="0.25">
      <c r="A35">
        <v>154060</v>
      </c>
      <c r="B35">
        <v>960</v>
      </c>
      <c r="C35">
        <v>960</v>
      </c>
      <c r="D35" t="s">
        <v>367</v>
      </c>
    </row>
    <row r="36" spans="1:4" x14ac:dyDescent="0.25">
      <c r="A36">
        <v>156140</v>
      </c>
      <c r="B36">
        <v>576</v>
      </c>
      <c r="C36">
        <v>1486.08</v>
      </c>
      <c r="D36" t="s">
        <v>381</v>
      </c>
    </row>
    <row r="37" spans="1:4" x14ac:dyDescent="0.25">
      <c r="A37">
        <v>156600</v>
      </c>
      <c r="B37">
        <v>1920</v>
      </c>
      <c r="C37">
        <v>2169.6</v>
      </c>
      <c r="D37" t="s">
        <v>388</v>
      </c>
    </row>
    <row r="38" spans="1:4" x14ac:dyDescent="0.25">
      <c r="A38">
        <v>156630</v>
      </c>
      <c r="B38">
        <v>1392</v>
      </c>
      <c r="C38">
        <v>3243.17</v>
      </c>
      <c r="D38" t="s">
        <v>1643</v>
      </c>
    </row>
    <row r="39" spans="1:4" x14ac:dyDescent="0.25">
      <c r="A39">
        <v>162500</v>
      </c>
      <c r="B39">
        <v>840</v>
      </c>
      <c r="C39">
        <v>949.2</v>
      </c>
      <c r="D39" t="s">
        <v>393</v>
      </c>
    </row>
    <row r="40" spans="1:4" x14ac:dyDescent="0.25">
      <c r="A40">
        <v>162502</v>
      </c>
      <c r="B40">
        <v>480</v>
      </c>
      <c r="C40">
        <v>547.20000000000005</v>
      </c>
      <c r="D40" t="s">
        <v>396</v>
      </c>
    </row>
    <row r="41" spans="1:4" x14ac:dyDescent="0.25">
      <c r="A41">
        <v>162504</v>
      </c>
      <c r="B41">
        <v>270</v>
      </c>
      <c r="C41">
        <v>572.4</v>
      </c>
      <c r="D41" t="s">
        <v>398</v>
      </c>
    </row>
    <row r="42" spans="1:4" x14ac:dyDescent="0.25">
      <c r="A42">
        <v>162506</v>
      </c>
      <c r="B42">
        <v>300</v>
      </c>
      <c r="C42">
        <v>540</v>
      </c>
      <c r="D42" t="s">
        <v>399</v>
      </c>
    </row>
    <row r="43" spans="1:4" x14ac:dyDescent="0.25">
      <c r="A43">
        <v>170100</v>
      </c>
      <c r="B43">
        <v>360</v>
      </c>
      <c r="C43">
        <v>831.6</v>
      </c>
      <c r="D43" t="s">
        <v>402</v>
      </c>
    </row>
    <row r="44" spans="1:4" x14ac:dyDescent="0.25">
      <c r="A44">
        <v>170150</v>
      </c>
      <c r="B44">
        <v>280</v>
      </c>
      <c r="C44">
        <v>882</v>
      </c>
      <c r="D44" t="s">
        <v>1706</v>
      </c>
    </row>
    <row r="45" spans="1:4" x14ac:dyDescent="0.25">
      <c r="A45">
        <v>170200</v>
      </c>
      <c r="B45">
        <v>100</v>
      </c>
      <c r="C45">
        <v>460</v>
      </c>
      <c r="D45" t="s">
        <v>405</v>
      </c>
    </row>
    <row r="46" spans="1:4" x14ac:dyDescent="0.25">
      <c r="A46">
        <v>172100</v>
      </c>
      <c r="B46">
        <v>240</v>
      </c>
      <c r="C46">
        <v>595.20000000000005</v>
      </c>
      <c r="D46" t="s">
        <v>406</v>
      </c>
    </row>
    <row r="47" spans="1:4" x14ac:dyDescent="0.25">
      <c r="A47">
        <v>172150</v>
      </c>
      <c r="B47">
        <v>240</v>
      </c>
      <c r="C47">
        <v>933.12</v>
      </c>
      <c r="D47" t="s">
        <v>409</v>
      </c>
    </row>
    <row r="48" spans="1:4" x14ac:dyDescent="0.25">
      <c r="A48">
        <v>180192</v>
      </c>
      <c r="B48">
        <v>720</v>
      </c>
      <c r="C48">
        <v>828</v>
      </c>
      <c r="D48" t="s">
        <v>412</v>
      </c>
    </row>
    <row r="49" spans="1:4" x14ac:dyDescent="0.25">
      <c r="A49">
        <v>180194</v>
      </c>
      <c r="B49">
        <v>600</v>
      </c>
      <c r="C49">
        <v>744</v>
      </c>
      <c r="D49" t="s">
        <v>393</v>
      </c>
    </row>
    <row r="50" spans="1:4" x14ac:dyDescent="0.25">
      <c r="A50">
        <v>182000</v>
      </c>
      <c r="B50">
        <v>1200</v>
      </c>
      <c r="C50">
        <v>1644</v>
      </c>
      <c r="D50" t="s">
        <v>1711</v>
      </c>
    </row>
    <row r="51" spans="1:4" x14ac:dyDescent="0.25">
      <c r="A51">
        <v>183650</v>
      </c>
      <c r="B51">
        <v>1200</v>
      </c>
      <c r="C51">
        <v>1200</v>
      </c>
      <c r="D51" t="s">
        <v>434</v>
      </c>
    </row>
    <row r="52" spans="1:4" x14ac:dyDescent="0.25">
      <c r="A52">
        <v>194000</v>
      </c>
      <c r="B52">
        <v>640</v>
      </c>
      <c r="C52">
        <v>1056</v>
      </c>
      <c r="D52" t="s">
        <v>438</v>
      </c>
    </row>
    <row r="53" spans="1:4" x14ac:dyDescent="0.25">
      <c r="A53">
        <v>194141</v>
      </c>
      <c r="B53">
        <v>800</v>
      </c>
      <c r="C53">
        <v>1960</v>
      </c>
      <c r="D53" t="s">
        <v>441</v>
      </c>
    </row>
    <row r="54" spans="1:4" x14ac:dyDescent="0.25">
      <c r="A54">
        <v>195012</v>
      </c>
      <c r="B54">
        <v>201</v>
      </c>
      <c r="C54">
        <v>301.52999999999997</v>
      </c>
      <c r="D54" t="s">
        <v>444</v>
      </c>
    </row>
    <row r="55" spans="1:4" x14ac:dyDescent="0.25">
      <c r="A55">
        <v>195013</v>
      </c>
      <c r="B55">
        <v>1</v>
      </c>
      <c r="C55">
        <v>6.06</v>
      </c>
      <c r="D55" t="s">
        <v>1713</v>
      </c>
    </row>
    <row r="56" spans="1:4" x14ac:dyDescent="0.25">
      <c r="A56">
        <v>195014</v>
      </c>
      <c r="B56">
        <v>251</v>
      </c>
      <c r="C56">
        <v>414.15</v>
      </c>
      <c r="D56" t="s">
        <v>448</v>
      </c>
    </row>
    <row r="57" spans="1:4" x14ac:dyDescent="0.25">
      <c r="A57">
        <v>195310</v>
      </c>
      <c r="B57">
        <v>1440</v>
      </c>
      <c r="C57">
        <v>738.72</v>
      </c>
      <c r="D57" t="s">
        <v>1715</v>
      </c>
    </row>
    <row r="58" spans="1:4" x14ac:dyDescent="0.25">
      <c r="A58">
        <v>198190</v>
      </c>
      <c r="B58">
        <v>3000</v>
      </c>
      <c r="C58">
        <v>765</v>
      </c>
      <c r="D58" t="s">
        <v>452</v>
      </c>
    </row>
    <row r="59" spans="1:4" x14ac:dyDescent="0.25">
      <c r="A59">
        <v>198300</v>
      </c>
      <c r="B59">
        <v>1500</v>
      </c>
      <c r="C59">
        <v>829.5</v>
      </c>
      <c r="D59" t="s">
        <v>1716</v>
      </c>
    </row>
    <row r="60" spans="1:4" x14ac:dyDescent="0.25">
      <c r="A60">
        <v>198390</v>
      </c>
      <c r="B60">
        <v>1200</v>
      </c>
      <c r="C60">
        <v>436.8</v>
      </c>
      <c r="D60" t="s">
        <v>453</v>
      </c>
    </row>
    <row r="61" spans="1:4" x14ac:dyDescent="0.25">
      <c r="A61">
        <v>198400</v>
      </c>
      <c r="B61">
        <v>2100</v>
      </c>
      <c r="C61">
        <v>1161.3</v>
      </c>
      <c r="D61" t="s">
        <v>454</v>
      </c>
    </row>
    <row r="62" spans="1:4" x14ac:dyDescent="0.25">
      <c r="A62">
        <v>198502</v>
      </c>
      <c r="B62">
        <v>1140</v>
      </c>
      <c r="C62">
        <v>820.8</v>
      </c>
      <c r="D62" t="s">
        <v>456</v>
      </c>
    </row>
    <row r="63" spans="1:4" x14ac:dyDescent="0.25">
      <c r="A63">
        <v>199160</v>
      </c>
      <c r="B63">
        <v>1200</v>
      </c>
      <c r="C63">
        <v>600</v>
      </c>
      <c r="D63" t="s">
        <v>460</v>
      </c>
    </row>
    <row r="64" spans="1:4" x14ac:dyDescent="0.25">
      <c r="A64">
        <v>214052</v>
      </c>
      <c r="B64">
        <v>140</v>
      </c>
      <c r="C64">
        <v>700</v>
      </c>
      <c r="D64" t="s">
        <v>467</v>
      </c>
    </row>
    <row r="65" spans="1:4" x14ac:dyDescent="0.25">
      <c r="A65">
        <v>214082</v>
      </c>
      <c r="B65">
        <v>120</v>
      </c>
      <c r="C65">
        <v>684</v>
      </c>
      <c r="D65" t="s">
        <v>468</v>
      </c>
    </row>
    <row r="66" spans="1:4" x14ac:dyDescent="0.25">
      <c r="A66">
        <v>230015</v>
      </c>
      <c r="B66">
        <v>1000</v>
      </c>
      <c r="C66">
        <v>870</v>
      </c>
      <c r="D66" t="s">
        <v>470</v>
      </c>
    </row>
    <row r="67" spans="1:4" x14ac:dyDescent="0.25">
      <c r="A67">
        <v>230016</v>
      </c>
      <c r="B67">
        <v>144</v>
      </c>
      <c r="C67">
        <v>1116</v>
      </c>
      <c r="D67" t="s">
        <v>473</v>
      </c>
    </row>
    <row r="68" spans="1:4" x14ac:dyDescent="0.25">
      <c r="A68">
        <v>230018</v>
      </c>
      <c r="B68">
        <v>192</v>
      </c>
      <c r="C68">
        <v>691.2</v>
      </c>
      <c r="D68" t="s">
        <v>1720</v>
      </c>
    </row>
    <row r="69" spans="1:4" x14ac:dyDescent="0.25">
      <c r="A69">
        <v>230030</v>
      </c>
      <c r="B69">
        <v>1040</v>
      </c>
      <c r="C69">
        <v>1456</v>
      </c>
      <c r="D69" t="s">
        <v>476</v>
      </c>
    </row>
    <row r="70" spans="1:4" x14ac:dyDescent="0.25">
      <c r="A70">
        <v>240101</v>
      </c>
      <c r="B70">
        <v>2305</v>
      </c>
      <c r="C70">
        <v>2073.6</v>
      </c>
      <c r="D70" t="s">
        <v>480</v>
      </c>
    </row>
    <row r="71" spans="1:4" x14ac:dyDescent="0.25">
      <c r="A71">
        <v>240106</v>
      </c>
      <c r="B71">
        <v>576</v>
      </c>
      <c r="C71">
        <v>1267.2</v>
      </c>
      <c r="D71" t="s">
        <v>484</v>
      </c>
    </row>
    <row r="72" spans="1:4" x14ac:dyDescent="0.25">
      <c r="A72">
        <v>240401</v>
      </c>
      <c r="B72">
        <v>4704</v>
      </c>
      <c r="C72">
        <v>6538.56</v>
      </c>
      <c r="D72" t="s">
        <v>485</v>
      </c>
    </row>
    <row r="73" spans="1:4" x14ac:dyDescent="0.25">
      <c r="A73">
        <v>241110</v>
      </c>
      <c r="B73">
        <v>2400</v>
      </c>
      <c r="C73">
        <v>624</v>
      </c>
      <c r="D73" t="s">
        <v>490</v>
      </c>
    </row>
    <row r="74" spans="1:4" x14ac:dyDescent="0.25">
      <c r="A74">
        <v>241200</v>
      </c>
      <c r="B74">
        <v>1200</v>
      </c>
      <c r="C74">
        <v>1416</v>
      </c>
      <c r="D74" t="s">
        <v>492</v>
      </c>
    </row>
    <row r="75" spans="1:4" x14ac:dyDescent="0.25">
      <c r="A75">
        <v>250002</v>
      </c>
      <c r="B75">
        <v>1300</v>
      </c>
      <c r="C75">
        <v>3380</v>
      </c>
      <c r="D75" t="s">
        <v>1726</v>
      </c>
    </row>
    <row r="76" spans="1:4" x14ac:dyDescent="0.25">
      <c r="A76">
        <v>250230</v>
      </c>
      <c r="B76">
        <v>5000</v>
      </c>
      <c r="C76">
        <v>3200</v>
      </c>
      <c r="D76" t="s">
        <v>501</v>
      </c>
    </row>
    <row r="77" spans="1:4" x14ac:dyDescent="0.25">
      <c r="A77">
        <v>250340</v>
      </c>
      <c r="B77">
        <v>7500</v>
      </c>
      <c r="C77">
        <v>9675</v>
      </c>
      <c r="D77" t="s">
        <v>504</v>
      </c>
    </row>
    <row r="78" spans="1:4" x14ac:dyDescent="0.25">
      <c r="A78">
        <v>250350</v>
      </c>
      <c r="B78">
        <v>2400</v>
      </c>
      <c r="C78">
        <v>3864</v>
      </c>
      <c r="D78" t="s">
        <v>505</v>
      </c>
    </row>
    <row r="79" spans="1:4" x14ac:dyDescent="0.25">
      <c r="A79">
        <v>250760</v>
      </c>
      <c r="B79">
        <v>70</v>
      </c>
      <c r="C79">
        <v>541.1</v>
      </c>
      <c r="D79" t="s">
        <v>1735</v>
      </c>
    </row>
    <row r="80" spans="1:4" x14ac:dyDescent="0.25">
      <c r="A80">
        <v>250800</v>
      </c>
      <c r="B80">
        <v>80</v>
      </c>
      <c r="C80">
        <v>687.2</v>
      </c>
      <c r="D80" t="s">
        <v>1736</v>
      </c>
    </row>
    <row r="81" spans="1:4" x14ac:dyDescent="0.25">
      <c r="A81">
        <v>250820</v>
      </c>
      <c r="B81">
        <v>70</v>
      </c>
      <c r="C81">
        <v>721.7</v>
      </c>
      <c r="D81" t="s">
        <v>1737</v>
      </c>
    </row>
    <row r="82" spans="1:4" x14ac:dyDescent="0.25">
      <c r="A82">
        <v>250900</v>
      </c>
      <c r="B82">
        <v>60</v>
      </c>
      <c r="C82">
        <v>773.4</v>
      </c>
      <c r="D82" t="s">
        <v>507</v>
      </c>
    </row>
    <row r="83" spans="1:4" x14ac:dyDescent="0.25">
      <c r="A83">
        <v>252340</v>
      </c>
      <c r="B83">
        <v>100</v>
      </c>
      <c r="C83">
        <v>301</v>
      </c>
      <c r="D83" t="s">
        <v>1740</v>
      </c>
    </row>
    <row r="84" spans="1:4" x14ac:dyDescent="0.25">
      <c r="A84">
        <v>252700</v>
      </c>
      <c r="B84">
        <v>20</v>
      </c>
      <c r="C84">
        <v>301.39999999999998</v>
      </c>
      <c r="D84" t="s">
        <v>1748</v>
      </c>
    </row>
    <row r="85" spans="1:4" x14ac:dyDescent="0.25">
      <c r="A85">
        <v>256035</v>
      </c>
      <c r="B85">
        <v>200</v>
      </c>
      <c r="C85">
        <v>450</v>
      </c>
      <c r="D85" t="s">
        <v>3039</v>
      </c>
    </row>
    <row r="86" spans="1:4" x14ac:dyDescent="0.25">
      <c r="A86">
        <v>256121</v>
      </c>
      <c r="B86">
        <v>600</v>
      </c>
      <c r="C86">
        <v>2340</v>
      </c>
      <c r="D86" t="s">
        <v>1752</v>
      </c>
    </row>
    <row r="87" spans="1:4" x14ac:dyDescent="0.25">
      <c r="A87">
        <v>262000</v>
      </c>
      <c r="B87">
        <v>3000</v>
      </c>
      <c r="C87">
        <v>5070</v>
      </c>
      <c r="D87" t="s">
        <v>2926</v>
      </c>
    </row>
    <row r="88" spans="1:4" x14ac:dyDescent="0.25">
      <c r="A88">
        <v>262002</v>
      </c>
      <c r="B88">
        <v>300</v>
      </c>
      <c r="C88">
        <v>1185</v>
      </c>
      <c r="D88" t="s">
        <v>2927</v>
      </c>
    </row>
    <row r="89" spans="1:4" x14ac:dyDescent="0.25">
      <c r="A89">
        <v>300000</v>
      </c>
      <c r="B89">
        <v>1152</v>
      </c>
      <c r="C89">
        <v>518.4</v>
      </c>
      <c r="D89" t="s">
        <v>516</v>
      </c>
    </row>
    <row r="90" spans="1:4" x14ac:dyDescent="0.25">
      <c r="A90">
        <v>300013</v>
      </c>
      <c r="B90">
        <v>1344</v>
      </c>
      <c r="C90">
        <v>430.08</v>
      </c>
      <c r="D90" t="s">
        <v>1756</v>
      </c>
    </row>
    <row r="91" spans="1:4" x14ac:dyDescent="0.25">
      <c r="A91">
        <v>300070</v>
      </c>
      <c r="B91">
        <v>576</v>
      </c>
      <c r="C91">
        <v>587.52</v>
      </c>
      <c r="D91" t="s">
        <v>520</v>
      </c>
    </row>
    <row r="92" spans="1:4" x14ac:dyDescent="0.25">
      <c r="A92">
        <v>300110</v>
      </c>
      <c r="B92">
        <v>504</v>
      </c>
      <c r="C92">
        <v>730.8</v>
      </c>
      <c r="D92" t="s">
        <v>393</v>
      </c>
    </row>
    <row r="93" spans="1:4" x14ac:dyDescent="0.25">
      <c r="A93">
        <v>300130</v>
      </c>
      <c r="B93">
        <v>432</v>
      </c>
      <c r="C93">
        <v>829.44</v>
      </c>
      <c r="D93" t="s">
        <v>523</v>
      </c>
    </row>
    <row r="94" spans="1:4" x14ac:dyDescent="0.25">
      <c r="A94">
        <v>300380</v>
      </c>
      <c r="B94">
        <v>576</v>
      </c>
      <c r="C94">
        <v>766.08</v>
      </c>
      <c r="D94" t="s">
        <v>524</v>
      </c>
    </row>
    <row r="95" spans="1:4" x14ac:dyDescent="0.25">
      <c r="A95">
        <v>300400</v>
      </c>
      <c r="B95">
        <v>432</v>
      </c>
      <c r="C95">
        <v>799.2</v>
      </c>
      <c r="D95" t="s">
        <v>525</v>
      </c>
    </row>
    <row r="96" spans="1:4" x14ac:dyDescent="0.25">
      <c r="A96">
        <v>300420</v>
      </c>
      <c r="B96">
        <v>288</v>
      </c>
      <c r="C96">
        <v>676.8</v>
      </c>
      <c r="D96" t="s">
        <v>526</v>
      </c>
    </row>
    <row r="97" spans="1:4" x14ac:dyDescent="0.25">
      <c r="A97">
        <v>300710</v>
      </c>
      <c r="B97">
        <v>360</v>
      </c>
      <c r="C97">
        <v>756</v>
      </c>
      <c r="D97" t="s">
        <v>529</v>
      </c>
    </row>
    <row r="98" spans="1:4" x14ac:dyDescent="0.25">
      <c r="A98">
        <v>300712</v>
      </c>
      <c r="B98">
        <v>252</v>
      </c>
      <c r="C98">
        <v>819</v>
      </c>
      <c r="D98" t="s">
        <v>532</v>
      </c>
    </row>
    <row r="99" spans="1:4" x14ac:dyDescent="0.25">
      <c r="A99">
        <v>310060</v>
      </c>
      <c r="B99">
        <v>360</v>
      </c>
      <c r="C99">
        <v>324</v>
      </c>
      <c r="D99" t="s">
        <v>1758</v>
      </c>
    </row>
    <row r="100" spans="1:4" x14ac:dyDescent="0.25">
      <c r="A100">
        <v>310080</v>
      </c>
      <c r="B100">
        <v>240</v>
      </c>
      <c r="C100">
        <v>352.8</v>
      </c>
      <c r="D100" t="s">
        <v>536</v>
      </c>
    </row>
    <row r="101" spans="1:4" x14ac:dyDescent="0.25">
      <c r="A101">
        <v>310190</v>
      </c>
      <c r="B101">
        <v>140</v>
      </c>
      <c r="C101">
        <v>477.4</v>
      </c>
      <c r="D101" t="s">
        <v>1759</v>
      </c>
    </row>
    <row r="102" spans="1:4" x14ac:dyDescent="0.25">
      <c r="A102">
        <v>311180</v>
      </c>
      <c r="B102">
        <v>200</v>
      </c>
      <c r="C102">
        <v>622</v>
      </c>
      <c r="D102" t="s">
        <v>536</v>
      </c>
    </row>
    <row r="103" spans="1:4" x14ac:dyDescent="0.25">
      <c r="A103">
        <v>312060</v>
      </c>
      <c r="B103">
        <v>320</v>
      </c>
      <c r="C103">
        <v>387.2</v>
      </c>
      <c r="D103" t="s">
        <v>546</v>
      </c>
    </row>
    <row r="104" spans="1:4" x14ac:dyDescent="0.25">
      <c r="A104">
        <v>312180</v>
      </c>
      <c r="B104">
        <v>576</v>
      </c>
      <c r="C104">
        <v>921.6</v>
      </c>
      <c r="D104" t="s">
        <v>549</v>
      </c>
    </row>
    <row r="105" spans="1:4" x14ac:dyDescent="0.25">
      <c r="A105">
        <v>312220</v>
      </c>
      <c r="B105">
        <v>180</v>
      </c>
      <c r="C105">
        <v>435.6</v>
      </c>
      <c r="D105" t="s">
        <v>552</v>
      </c>
    </row>
    <row r="106" spans="1:4" x14ac:dyDescent="0.25">
      <c r="A106">
        <v>312230</v>
      </c>
      <c r="B106">
        <v>200</v>
      </c>
      <c r="C106">
        <v>911.4</v>
      </c>
      <c r="D106" t="s">
        <v>553</v>
      </c>
    </row>
    <row r="107" spans="1:4" x14ac:dyDescent="0.25">
      <c r="A107">
        <v>314020</v>
      </c>
      <c r="B107">
        <v>600</v>
      </c>
      <c r="C107">
        <v>169.8</v>
      </c>
      <c r="D107" t="s">
        <v>1766</v>
      </c>
    </row>
    <row r="108" spans="1:4" x14ac:dyDescent="0.25">
      <c r="A108">
        <v>314023</v>
      </c>
      <c r="B108">
        <v>600</v>
      </c>
      <c r="C108">
        <v>202.8</v>
      </c>
      <c r="D108" t="s">
        <v>1767</v>
      </c>
    </row>
    <row r="109" spans="1:4" x14ac:dyDescent="0.25">
      <c r="A109">
        <v>320080</v>
      </c>
      <c r="B109">
        <v>1920</v>
      </c>
      <c r="C109">
        <v>576</v>
      </c>
      <c r="D109" t="s">
        <v>563</v>
      </c>
    </row>
    <row r="110" spans="1:4" x14ac:dyDescent="0.25">
      <c r="A110">
        <v>321090</v>
      </c>
      <c r="B110">
        <v>2160</v>
      </c>
      <c r="C110">
        <v>1814.4</v>
      </c>
      <c r="D110" t="s">
        <v>568</v>
      </c>
    </row>
    <row r="111" spans="1:4" x14ac:dyDescent="0.25">
      <c r="A111">
        <v>321091</v>
      </c>
      <c r="B111">
        <v>840</v>
      </c>
      <c r="C111">
        <v>672</v>
      </c>
      <c r="D111" t="s">
        <v>1770</v>
      </c>
    </row>
    <row r="112" spans="1:4" x14ac:dyDescent="0.25">
      <c r="A112">
        <v>321092</v>
      </c>
      <c r="B112">
        <v>1440</v>
      </c>
      <c r="C112">
        <v>979.2</v>
      </c>
      <c r="D112" t="s">
        <v>570</v>
      </c>
    </row>
    <row r="113" spans="1:4" x14ac:dyDescent="0.25">
      <c r="A113">
        <v>321190</v>
      </c>
      <c r="B113">
        <v>1440</v>
      </c>
      <c r="C113">
        <v>1224</v>
      </c>
      <c r="D113" t="s">
        <v>572</v>
      </c>
    </row>
    <row r="114" spans="1:4" x14ac:dyDescent="0.25">
      <c r="A114">
        <v>321192</v>
      </c>
      <c r="B114">
        <v>1440</v>
      </c>
      <c r="C114">
        <v>907.2</v>
      </c>
      <c r="D114" t="s">
        <v>576</v>
      </c>
    </row>
    <row r="115" spans="1:4" x14ac:dyDescent="0.25">
      <c r="A115">
        <v>322219</v>
      </c>
      <c r="B115">
        <v>300</v>
      </c>
      <c r="C115">
        <v>1014</v>
      </c>
      <c r="D115" t="s">
        <v>582</v>
      </c>
    </row>
    <row r="116" spans="1:4" x14ac:dyDescent="0.25">
      <c r="A116">
        <v>330140</v>
      </c>
      <c r="B116">
        <v>960</v>
      </c>
      <c r="C116">
        <v>902.4</v>
      </c>
      <c r="D116" t="s">
        <v>589</v>
      </c>
    </row>
    <row r="117" spans="1:4" x14ac:dyDescent="0.25">
      <c r="A117">
        <v>333251</v>
      </c>
      <c r="B117">
        <v>360</v>
      </c>
      <c r="C117">
        <v>468</v>
      </c>
      <c r="D117" t="s">
        <v>594</v>
      </c>
    </row>
    <row r="118" spans="1:4" x14ac:dyDescent="0.25">
      <c r="A118">
        <v>340170</v>
      </c>
      <c r="B118">
        <v>432</v>
      </c>
      <c r="C118">
        <v>626.4</v>
      </c>
      <c r="D118" t="s">
        <v>602</v>
      </c>
    </row>
    <row r="119" spans="1:4" x14ac:dyDescent="0.25">
      <c r="A119">
        <v>340181</v>
      </c>
      <c r="B119">
        <v>540</v>
      </c>
      <c r="C119">
        <v>2700</v>
      </c>
      <c r="D119" t="s">
        <v>1618</v>
      </c>
    </row>
    <row r="120" spans="1:4" x14ac:dyDescent="0.25">
      <c r="A120">
        <v>340190</v>
      </c>
      <c r="B120">
        <v>600</v>
      </c>
      <c r="C120">
        <v>4312.8</v>
      </c>
      <c r="D120" t="s">
        <v>605</v>
      </c>
    </row>
    <row r="121" spans="1:4" x14ac:dyDescent="0.25">
      <c r="A121">
        <v>340194</v>
      </c>
      <c r="B121">
        <v>400</v>
      </c>
      <c r="C121">
        <v>3031.2</v>
      </c>
      <c r="D121" t="s">
        <v>606</v>
      </c>
    </row>
    <row r="122" spans="1:4" x14ac:dyDescent="0.25">
      <c r="A122">
        <v>340211</v>
      </c>
      <c r="B122">
        <v>40</v>
      </c>
      <c r="C122">
        <v>1140</v>
      </c>
      <c r="D122" t="s">
        <v>2475</v>
      </c>
    </row>
    <row r="123" spans="1:4" x14ac:dyDescent="0.25">
      <c r="A123">
        <v>340262</v>
      </c>
      <c r="B123">
        <v>300</v>
      </c>
      <c r="C123">
        <v>3843.9</v>
      </c>
      <c r="D123" t="s">
        <v>608</v>
      </c>
    </row>
    <row r="124" spans="1:4" x14ac:dyDescent="0.25">
      <c r="A124">
        <v>340270</v>
      </c>
      <c r="B124">
        <v>320</v>
      </c>
      <c r="C124">
        <v>1600</v>
      </c>
      <c r="D124" t="s">
        <v>2932</v>
      </c>
    </row>
    <row r="125" spans="1:4" x14ac:dyDescent="0.25">
      <c r="A125">
        <v>340290</v>
      </c>
      <c r="B125">
        <v>200</v>
      </c>
      <c r="C125">
        <v>1153.2</v>
      </c>
      <c r="D125" t="s">
        <v>610</v>
      </c>
    </row>
    <row r="126" spans="1:4" x14ac:dyDescent="0.25">
      <c r="A126">
        <v>340400</v>
      </c>
      <c r="B126">
        <v>300</v>
      </c>
      <c r="C126">
        <v>819</v>
      </c>
      <c r="D126" t="s">
        <v>1783</v>
      </c>
    </row>
    <row r="127" spans="1:4" x14ac:dyDescent="0.25">
      <c r="A127">
        <v>340932</v>
      </c>
      <c r="B127">
        <v>200</v>
      </c>
      <c r="C127">
        <v>3718.8</v>
      </c>
      <c r="D127" t="s">
        <v>1647</v>
      </c>
    </row>
    <row r="128" spans="1:4" x14ac:dyDescent="0.25">
      <c r="A128">
        <v>341082</v>
      </c>
      <c r="B128">
        <v>320</v>
      </c>
      <c r="C128">
        <v>6049.92</v>
      </c>
      <c r="D128" t="s">
        <v>1611</v>
      </c>
    </row>
    <row r="129" spans="1:4" x14ac:dyDescent="0.25">
      <c r="A129">
        <v>341710</v>
      </c>
      <c r="B129">
        <v>200</v>
      </c>
      <c r="C129">
        <v>7472</v>
      </c>
      <c r="D129" t="s">
        <v>2933</v>
      </c>
    </row>
    <row r="130" spans="1:4" x14ac:dyDescent="0.25">
      <c r="A130">
        <v>350012</v>
      </c>
      <c r="B130">
        <v>480</v>
      </c>
      <c r="C130">
        <v>2431.1999999999998</v>
      </c>
      <c r="D130" t="s">
        <v>614</v>
      </c>
    </row>
    <row r="131" spans="1:4" x14ac:dyDescent="0.25">
      <c r="A131">
        <v>350019</v>
      </c>
      <c r="B131">
        <v>200</v>
      </c>
      <c r="C131">
        <v>1270</v>
      </c>
      <c r="D131" t="s">
        <v>1785</v>
      </c>
    </row>
    <row r="132" spans="1:4" x14ac:dyDescent="0.25">
      <c r="A132">
        <v>350029</v>
      </c>
      <c r="B132">
        <v>50</v>
      </c>
      <c r="C132">
        <v>1160</v>
      </c>
      <c r="D132" t="s">
        <v>625</v>
      </c>
    </row>
    <row r="133" spans="1:4" x14ac:dyDescent="0.25">
      <c r="A133">
        <v>350055</v>
      </c>
      <c r="B133">
        <v>120</v>
      </c>
      <c r="C133">
        <v>936</v>
      </c>
      <c r="D133" t="s">
        <v>638</v>
      </c>
    </row>
    <row r="134" spans="1:4" x14ac:dyDescent="0.25">
      <c r="A134">
        <v>350067</v>
      </c>
      <c r="B134">
        <v>150</v>
      </c>
      <c r="C134">
        <v>1230</v>
      </c>
      <c r="D134" t="s">
        <v>1812</v>
      </c>
    </row>
    <row r="135" spans="1:4" x14ac:dyDescent="0.25">
      <c r="A135">
        <v>350131</v>
      </c>
      <c r="B135">
        <v>100</v>
      </c>
      <c r="C135">
        <v>2000</v>
      </c>
      <c r="D135" t="s">
        <v>644</v>
      </c>
    </row>
    <row r="136" spans="1:4" x14ac:dyDescent="0.25">
      <c r="A136">
        <v>350300</v>
      </c>
      <c r="B136">
        <v>120</v>
      </c>
      <c r="C136">
        <v>1194</v>
      </c>
      <c r="D136" t="s">
        <v>648</v>
      </c>
    </row>
    <row r="137" spans="1:4" x14ac:dyDescent="0.25">
      <c r="A137">
        <v>350823</v>
      </c>
      <c r="B137">
        <v>200</v>
      </c>
      <c r="C137">
        <v>998</v>
      </c>
      <c r="D137" t="s">
        <v>1660</v>
      </c>
    </row>
    <row r="138" spans="1:4" x14ac:dyDescent="0.25">
      <c r="A138">
        <v>401145</v>
      </c>
      <c r="B138">
        <v>960</v>
      </c>
      <c r="C138">
        <v>854.4</v>
      </c>
      <c r="D138" t="s">
        <v>658</v>
      </c>
    </row>
    <row r="139" spans="1:4" x14ac:dyDescent="0.25">
      <c r="A139">
        <v>401200</v>
      </c>
      <c r="B139">
        <v>400</v>
      </c>
      <c r="C139">
        <v>857.2</v>
      </c>
      <c r="D139" t="s">
        <v>1847</v>
      </c>
    </row>
    <row r="140" spans="1:4" x14ac:dyDescent="0.25">
      <c r="A140">
        <v>402190</v>
      </c>
      <c r="B140">
        <v>920</v>
      </c>
      <c r="C140">
        <v>2599</v>
      </c>
      <c r="D140" t="s">
        <v>660</v>
      </c>
    </row>
    <row r="141" spans="1:4" x14ac:dyDescent="0.25">
      <c r="A141">
        <v>402270</v>
      </c>
      <c r="B141">
        <v>45</v>
      </c>
      <c r="C141">
        <v>964.31</v>
      </c>
      <c r="D141" t="s">
        <v>662</v>
      </c>
    </row>
    <row r="142" spans="1:4" x14ac:dyDescent="0.25">
      <c r="A142">
        <v>403005</v>
      </c>
      <c r="B142">
        <v>300</v>
      </c>
      <c r="C142">
        <v>288</v>
      </c>
      <c r="D142" t="s">
        <v>1848</v>
      </c>
    </row>
    <row r="143" spans="1:4" x14ac:dyDescent="0.25">
      <c r="A143">
        <v>403013</v>
      </c>
      <c r="B143">
        <v>300</v>
      </c>
      <c r="C143">
        <v>561.9</v>
      </c>
      <c r="D143" t="s">
        <v>664</v>
      </c>
    </row>
    <row r="144" spans="1:4" x14ac:dyDescent="0.25">
      <c r="A144">
        <v>410091</v>
      </c>
      <c r="B144">
        <v>320</v>
      </c>
      <c r="C144">
        <v>380.8</v>
      </c>
      <c r="D144" t="s">
        <v>2957</v>
      </c>
    </row>
    <row r="145" spans="1:4" x14ac:dyDescent="0.25">
      <c r="A145">
        <v>410320</v>
      </c>
      <c r="B145">
        <v>120</v>
      </c>
      <c r="C145">
        <v>923.76</v>
      </c>
      <c r="D145" t="s">
        <v>666</v>
      </c>
    </row>
    <row r="146" spans="1:4" x14ac:dyDescent="0.25">
      <c r="A146">
        <v>410340</v>
      </c>
      <c r="B146">
        <v>520</v>
      </c>
      <c r="C146">
        <v>748.28</v>
      </c>
      <c r="D146" t="s">
        <v>669</v>
      </c>
    </row>
    <row r="147" spans="1:4" x14ac:dyDescent="0.25">
      <c r="A147">
        <v>410520</v>
      </c>
      <c r="B147">
        <v>288</v>
      </c>
      <c r="C147">
        <v>1656</v>
      </c>
      <c r="D147" t="s">
        <v>1857</v>
      </c>
    </row>
    <row r="148" spans="1:4" x14ac:dyDescent="0.25">
      <c r="A148">
        <v>410525</v>
      </c>
      <c r="B148">
        <v>300</v>
      </c>
      <c r="C148">
        <v>810</v>
      </c>
      <c r="D148" t="s">
        <v>1862</v>
      </c>
    </row>
    <row r="149" spans="1:4" x14ac:dyDescent="0.25">
      <c r="A149">
        <v>410526</v>
      </c>
      <c r="B149">
        <v>400</v>
      </c>
      <c r="C149">
        <v>792</v>
      </c>
      <c r="D149" t="s">
        <v>1865</v>
      </c>
    </row>
    <row r="150" spans="1:4" x14ac:dyDescent="0.25">
      <c r="A150">
        <v>410527</v>
      </c>
      <c r="B150">
        <v>300</v>
      </c>
      <c r="C150">
        <v>277.8</v>
      </c>
      <c r="D150" t="s">
        <v>673</v>
      </c>
    </row>
    <row r="151" spans="1:4" x14ac:dyDescent="0.25">
      <c r="A151">
        <v>410530</v>
      </c>
      <c r="B151">
        <v>1200</v>
      </c>
      <c r="C151">
        <v>1618.8</v>
      </c>
      <c r="D151" t="s">
        <v>676</v>
      </c>
    </row>
    <row r="152" spans="1:4" x14ac:dyDescent="0.25">
      <c r="A152">
        <v>410540</v>
      </c>
      <c r="B152">
        <v>720</v>
      </c>
      <c r="C152">
        <v>2188.8000000000002</v>
      </c>
      <c r="D152" t="s">
        <v>678</v>
      </c>
    </row>
    <row r="153" spans="1:4" x14ac:dyDescent="0.25">
      <c r="A153">
        <v>410620</v>
      </c>
      <c r="B153">
        <v>350</v>
      </c>
      <c r="C153">
        <v>324.10000000000002</v>
      </c>
      <c r="D153" t="s">
        <v>680</v>
      </c>
    </row>
    <row r="154" spans="1:4" x14ac:dyDescent="0.25">
      <c r="A154">
        <v>410631</v>
      </c>
      <c r="B154">
        <v>960</v>
      </c>
      <c r="C154">
        <v>516.48</v>
      </c>
      <c r="D154" t="s">
        <v>1866</v>
      </c>
    </row>
    <row r="155" spans="1:4" x14ac:dyDescent="0.25">
      <c r="A155">
        <v>410633</v>
      </c>
      <c r="B155">
        <v>768</v>
      </c>
      <c r="C155">
        <v>434.69</v>
      </c>
      <c r="D155" t="s">
        <v>684</v>
      </c>
    </row>
    <row r="156" spans="1:4" x14ac:dyDescent="0.25">
      <c r="A156">
        <v>410770</v>
      </c>
      <c r="B156">
        <v>250</v>
      </c>
      <c r="C156">
        <v>1050</v>
      </c>
      <c r="D156" t="s">
        <v>2529</v>
      </c>
    </row>
    <row r="157" spans="1:4" x14ac:dyDescent="0.25">
      <c r="A157">
        <v>410830</v>
      </c>
      <c r="B157">
        <v>2160</v>
      </c>
      <c r="C157">
        <v>2916</v>
      </c>
      <c r="D157" t="s">
        <v>690</v>
      </c>
    </row>
    <row r="158" spans="1:4" x14ac:dyDescent="0.25">
      <c r="A158">
        <v>410870</v>
      </c>
      <c r="B158">
        <v>2304</v>
      </c>
      <c r="C158">
        <v>3409.92</v>
      </c>
      <c r="D158" t="s">
        <v>693</v>
      </c>
    </row>
    <row r="159" spans="1:4" x14ac:dyDescent="0.25">
      <c r="A159">
        <v>410874</v>
      </c>
      <c r="B159">
        <v>1080</v>
      </c>
      <c r="C159">
        <v>2138.4</v>
      </c>
      <c r="D159" t="s">
        <v>3724</v>
      </c>
    </row>
    <row r="160" spans="1:4" x14ac:dyDescent="0.25">
      <c r="A160">
        <v>420090</v>
      </c>
      <c r="B160">
        <v>800</v>
      </c>
      <c r="C160">
        <v>488</v>
      </c>
      <c r="D160" t="s">
        <v>699</v>
      </c>
    </row>
    <row r="161" spans="1:4" x14ac:dyDescent="0.25">
      <c r="A161">
        <v>420105</v>
      </c>
      <c r="B161">
        <v>800</v>
      </c>
      <c r="C161">
        <v>520</v>
      </c>
      <c r="D161" t="s">
        <v>700</v>
      </c>
    </row>
    <row r="162" spans="1:4" x14ac:dyDescent="0.25">
      <c r="A162">
        <v>420113</v>
      </c>
      <c r="B162">
        <v>720</v>
      </c>
      <c r="C162">
        <v>1080</v>
      </c>
      <c r="D162" t="s">
        <v>701</v>
      </c>
    </row>
    <row r="163" spans="1:4" x14ac:dyDescent="0.25">
      <c r="A163">
        <v>430030</v>
      </c>
      <c r="B163">
        <v>1200</v>
      </c>
      <c r="C163">
        <v>1224</v>
      </c>
      <c r="D163" t="s">
        <v>702</v>
      </c>
    </row>
    <row r="164" spans="1:4" x14ac:dyDescent="0.25">
      <c r="A164">
        <v>430070</v>
      </c>
      <c r="B164">
        <v>3200</v>
      </c>
      <c r="C164">
        <v>5704</v>
      </c>
      <c r="D164" t="s">
        <v>703</v>
      </c>
    </row>
    <row r="165" spans="1:4" x14ac:dyDescent="0.25">
      <c r="A165">
        <v>440060</v>
      </c>
      <c r="B165">
        <v>1280</v>
      </c>
      <c r="C165">
        <v>1320.96</v>
      </c>
      <c r="D165" t="s">
        <v>705</v>
      </c>
    </row>
    <row r="166" spans="1:4" x14ac:dyDescent="0.25">
      <c r="A166">
        <v>440063</v>
      </c>
      <c r="B166">
        <v>550</v>
      </c>
      <c r="C166">
        <v>2827.6</v>
      </c>
      <c r="D166" t="s">
        <v>708</v>
      </c>
    </row>
    <row r="167" spans="1:4" x14ac:dyDescent="0.25">
      <c r="A167">
        <v>440150</v>
      </c>
      <c r="B167">
        <v>321</v>
      </c>
      <c r="C167">
        <v>1100.8</v>
      </c>
      <c r="D167" t="s">
        <v>712</v>
      </c>
    </row>
    <row r="168" spans="1:4" x14ac:dyDescent="0.25">
      <c r="A168">
        <v>440320</v>
      </c>
      <c r="B168">
        <v>200</v>
      </c>
      <c r="C168">
        <v>1260</v>
      </c>
      <c r="D168" t="s">
        <v>1665</v>
      </c>
    </row>
    <row r="169" spans="1:4" x14ac:dyDescent="0.25">
      <c r="A169">
        <v>440322</v>
      </c>
      <c r="B169">
        <v>160</v>
      </c>
      <c r="C169">
        <v>1376</v>
      </c>
      <c r="D169" t="s">
        <v>717</v>
      </c>
    </row>
    <row r="170" spans="1:4" x14ac:dyDescent="0.25">
      <c r="A170">
        <v>440352</v>
      </c>
      <c r="B170">
        <v>30</v>
      </c>
      <c r="C170">
        <v>1310.4000000000001</v>
      </c>
      <c r="D170" t="s">
        <v>720</v>
      </c>
    </row>
    <row r="171" spans="1:4" x14ac:dyDescent="0.25">
      <c r="A171">
        <v>450180</v>
      </c>
      <c r="B171">
        <v>480</v>
      </c>
      <c r="C171">
        <v>614.4</v>
      </c>
      <c r="D171" t="s">
        <v>723</v>
      </c>
    </row>
    <row r="172" spans="1:4" x14ac:dyDescent="0.25">
      <c r="A172">
        <v>500750</v>
      </c>
      <c r="B172">
        <v>40</v>
      </c>
      <c r="C172">
        <v>372</v>
      </c>
      <c r="D172" t="s">
        <v>734</v>
      </c>
    </row>
    <row r="173" spans="1:4" x14ac:dyDescent="0.25">
      <c r="A173">
        <v>501000</v>
      </c>
      <c r="B173">
        <v>40</v>
      </c>
      <c r="C173">
        <v>432.8</v>
      </c>
      <c r="D173" t="s">
        <v>737</v>
      </c>
    </row>
    <row r="174" spans="1:4" x14ac:dyDescent="0.25">
      <c r="A174">
        <v>501250</v>
      </c>
      <c r="B174">
        <v>72</v>
      </c>
      <c r="C174">
        <v>858.96</v>
      </c>
      <c r="D174" t="s">
        <v>738</v>
      </c>
    </row>
    <row r="175" spans="1:4" x14ac:dyDescent="0.25">
      <c r="A175">
        <v>501500</v>
      </c>
      <c r="B175">
        <v>40</v>
      </c>
      <c r="C175">
        <v>666.4</v>
      </c>
      <c r="D175" t="s">
        <v>739</v>
      </c>
    </row>
    <row r="176" spans="1:4" x14ac:dyDescent="0.25">
      <c r="A176">
        <v>511000</v>
      </c>
      <c r="B176">
        <v>30</v>
      </c>
      <c r="C176">
        <v>343.5</v>
      </c>
      <c r="D176" t="s">
        <v>741</v>
      </c>
    </row>
    <row r="177" spans="1:4" x14ac:dyDescent="0.25">
      <c r="A177">
        <v>511250</v>
      </c>
      <c r="B177">
        <v>40</v>
      </c>
      <c r="C177">
        <v>556.4</v>
      </c>
      <c r="D177" t="s">
        <v>744</v>
      </c>
    </row>
    <row r="178" spans="1:4" x14ac:dyDescent="0.25">
      <c r="A178">
        <v>511500</v>
      </c>
      <c r="B178">
        <v>28</v>
      </c>
      <c r="C178">
        <v>540.4</v>
      </c>
      <c r="D178" t="s">
        <v>746</v>
      </c>
    </row>
    <row r="179" spans="1:4" x14ac:dyDescent="0.25">
      <c r="A179">
        <v>520600</v>
      </c>
      <c r="B179">
        <v>240</v>
      </c>
      <c r="C179">
        <v>566.4</v>
      </c>
      <c r="D179" t="s">
        <v>752</v>
      </c>
    </row>
    <row r="180" spans="1:4" x14ac:dyDescent="0.25">
      <c r="A180">
        <v>520800</v>
      </c>
      <c r="B180">
        <v>161</v>
      </c>
      <c r="C180">
        <v>648</v>
      </c>
      <c r="D180" t="s">
        <v>755</v>
      </c>
    </row>
    <row r="181" spans="1:4" x14ac:dyDescent="0.25">
      <c r="A181">
        <v>531400</v>
      </c>
      <c r="B181">
        <v>960</v>
      </c>
      <c r="C181">
        <v>681.6</v>
      </c>
      <c r="D181" t="s">
        <v>758</v>
      </c>
    </row>
    <row r="182" spans="1:4" x14ac:dyDescent="0.25">
      <c r="A182">
        <v>531450</v>
      </c>
      <c r="B182">
        <v>960</v>
      </c>
      <c r="C182">
        <v>768</v>
      </c>
      <c r="D182" t="s">
        <v>1872</v>
      </c>
    </row>
    <row r="183" spans="1:4" x14ac:dyDescent="0.25">
      <c r="A183">
        <v>531500</v>
      </c>
      <c r="B183">
        <v>961</v>
      </c>
      <c r="C183">
        <v>757.44</v>
      </c>
      <c r="D183" t="s">
        <v>1873</v>
      </c>
    </row>
    <row r="184" spans="1:4" x14ac:dyDescent="0.25">
      <c r="A184">
        <v>531520</v>
      </c>
      <c r="B184">
        <v>1009</v>
      </c>
      <c r="C184">
        <v>971.71</v>
      </c>
      <c r="D184" t="s">
        <v>761</v>
      </c>
    </row>
    <row r="185" spans="1:4" x14ac:dyDescent="0.25">
      <c r="A185">
        <v>531530</v>
      </c>
      <c r="B185">
        <v>2209</v>
      </c>
      <c r="C185">
        <v>2272.04</v>
      </c>
      <c r="D185" t="s">
        <v>763</v>
      </c>
    </row>
    <row r="186" spans="1:4" x14ac:dyDescent="0.25">
      <c r="A186">
        <v>531540</v>
      </c>
      <c r="B186">
        <v>672</v>
      </c>
      <c r="C186">
        <v>741.89</v>
      </c>
      <c r="D186" t="s">
        <v>764</v>
      </c>
    </row>
    <row r="187" spans="1:4" x14ac:dyDescent="0.25">
      <c r="A187">
        <v>531550</v>
      </c>
      <c r="B187">
        <v>481</v>
      </c>
      <c r="C187">
        <v>598.08000000000004</v>
      </c>
      <c r="D187" t="s">
        <v>765</v>
      </c>
    </row>
    <row r="188" spans="1:4" x14ac:dyDescent="0.25">
      <c r="A188">
        <v>543010</v>
      </c>
      <c r="B188">
        <v>1008</v>
      </c>
      <c r="C188">
        <v>1159.2</v>
      </c>
      <c r="D188" t="s">
        <v>520</v>
      </c>
    </row>
    <row r="189" spans="1:4" x14ac:dyDescent="0.25">
      <c r="A189">
        <v>553000</v>
      </c>
      <c r="B189">
        <v>960</v>
      </c>
      <c r="C189">
        <v>720</v>
      </c>
      <c r="D189" t="s">
        <v>523</v>
      </c>
    </row>
    <row r="190" spans="1:4" x14ac:dyDescent="0.25">
      <c r="A190">
        <v>553500</v>
      </c>
      <c r="B190">
        <v>1320</v>
      </c>
      <c r="C190">
        <v>1214.4000000000001</v>
      </c>
      <c r="D190" t="s">
        <v>773</v>
      </c>
    </row>
    <row r="191" spans="1:4" x14ac:dyDescent="0.25">
      <c r="A191">
        <v>554000</v>
      </c>
      <c r="B191">
        <v>1200</v>
      </c>
      <c r="C191">
        <v>624</v>
      </c>
      <c r="D191" t="s">
        <v>523</v>
      </c>
    </row>
    <row r="192" spans="1:4" x14ac:dyDescent="0.25">
      <c r="A192">
        <v>563000</v>
      </c>
      <c r="B192">
        <v>640</v>
      </c>
      <c r="C192">
        <v>384</v>
      </c>
      <c r="D192" t="s">
        <v>779</v>
      </c>
    </row>
    <row r="193" spans="1:4" x14ac:dyDescent="0.25">
      <c r="A193">
        <v>563102</v>
      </c>
      <c r="B193">
        <v>721</v>
      </c>
      <c r="C193">
        <v>731.52</v>
      </c>
      <c r="D193" t="s">
        <v>781</v>
      </c>
    </row>
    <row r="194" spans="1:4" x14ac:dyDescent="0.25">
      <c r="A194">
        <v>580010</v>
      </c>
      <c r="B194">
        <v>1921</v>
      </c>
      <c r="C194">
        <v>1211.52</v>
      </c>
      <c r="D194" t="s">
        <v>784</v>
      </c>
    </row>
    <row r="195" spans="1:4" x14ac:dyDescent="0.25">
      <c r="A195">
        <v>580020</v>
      </c>
      <c r="B195">
        <v>1501</v>
      </c>
      <c r="C195">
        <v>1146</v>
      </c>
      <c r="D195" t="s">
        <v>786</v>
      </c>
    </row>
    <row r="196" spans="1:4" x14ac:dyDescent="0.25">
      <c r="A196">
        <v>588040</v>
      </c>
      <c r="B196">
        <v>961</v>
      </c>
      <c r="C196">
        <v>1395.84</v>
      </c>
      <c r="D196" t="s">
        <v>787</v>
      </c>
    </row>
    <row r="197" spans="1:4" x14ac:dyDescent="0.25">
      <c r="A197">
        <v>588110</v>
      </c>
      <c r="B197">
        <v>1141</v>
      </c>
      <c r="C197">
        <v>1855.8</v>
      </c>
      <c r="D197" t="s">
        <v>789</v>
      </c>
    </row>
    <row r="198" spans="1:4" x14ac:dyDescent="0.25">
      <c r="A198">
        <v>588115</v>
      </c>
      <c r="B198">
        <v>600</v>
      </c>
      <c r="C198">
        <v>1089.5999999999999</v>
      </c>
      <c r="D198" t="s">
        <v>790</v>
      </c>
    </row>
    <row r="199" spans="1:4" x14ac:dyDescent="0.25">
      <c r="A199">
        <v>595000</v>
      </c>
      <c r="B199">
        <v>721</v>
      </c>
      <c r="C199">
        <v>1202.4000000000001</v>
      </c>
      <c r="D199" t="s">
        <v>792</v>
      </c>
    </row>
    <row r="200" spans="1:4" x14ac:dyDescent="0.25">
      <c r="A200">
        <v>595050</v>
      </c>
      <c r="B200">
        <v>720</v>
      </c>
      <c r="C200">
        <v>655.92</v>
      </c>
      <c r="D200" t="s">
        <v>795</v>
      </c>
    </row>
    <row r="201" spans="1:4" x14ac:dyDescent="0.25">
      <c r="A201">
        <v>595500</v>
      </c>
      <c r="B201">
        <v>120</v>
      </c>
      <c r="C201">
        <v>1302</v>
      </c>
      <c r="D201" t="s">
        <v>798</v>
      </c>
    </row>
    <row r="202" spans="1:4" x14ac:dyDescent="0.25">
      <c r="A202">
        <v>597002</v>
      </c>
      <c r="B202">
        <v>90</v>
      </c>
      <c r="C202">
        <v>1098</v>
      </c>
      <c r="D202" t="s">
        <v>1880</v>
      </c>
    </row>
    <row r="203" spans="1:4" x14ac:dyDescent="0.25">
      <c r="A203">
        <v>598120</v>
      </c>
      <c r="B203">
        <v>960</v>
      </c>
      <c r="C203">
        <v>768</v>
      </c>
      <c r="D203" t="s">
        <v>802</v>
      </c>
    </row>
    <row r="204" spans="1:4" x14ac:dyDescent="0.25">
      <c r="A204">
        <v>598130</v>
      </c>
      <c r="B204">
        <v>432</v>
      </c>
      <c r="C204">
        <v>397.44</v>
      </c>
      <c r="D204" t="s">
        <v>804</v>
      </c>
    </row>
    <row r="205" spans="1:4" x14ac:dyDescent="0.25">
      <c r="A205">
        <v>598140</v>
      </c>
      <c r="B205">
        <v>960</v>
      </c>
      <c r="C205">
        <v>844.8</v>
      </c>
      <c r="D205" t="s">
        <v>806</v>
      </c>
    </row>
    <row r="206" spans="1:4" x14ac:dyDescent="0.25">
      <c r="A206">
        <v>598240</v>
      </c>
      <c r="B206">
        <v>1800</v>
      </c>
      <c r="C206">
        <v>1062</v>
      </c>
      <c r="D206" t="s">
        <v>2645</v>
      </c>
    </row>
    <row r="207" spans="1:4" x14ac:dyDescent="0.25">
      <c r="A207">
        <v>598262</v>
      </c>
      <c r="B207">
        <v>1440</v>
      </c>
      <c r="C207">
        <v>424.8</v>
      </c>
      <c r="D207" t="s">
        <v>811</v>
      </c>
    </row>
    <row r="208" spans="1:4" x14ac:dyDescent="0.25">
      <c r="A208">
        <v>598272</v>
      </c>
      <c r="B208">
        <v>1152</v>
      </c>
      <c r="C208">
        <v>339.84</v>
      </c>
      <c r="D208" t="s">
        <v>816</v>
      </c>
    </row>
    <row r="209" spans="1:4" x14ac:dyDescent="0.25">
      <c r="A209">
        <v>598274</v>
      </c>
      <c r="B209">
        <v>1440</v>
      </c>
      <c r="C209">
        <v>424.8</v>
      </c>
      <c r="D209" t="s">
        <v>1882</v>
      </c>
    </row>
    <row r="210" spans="1:4" x14ac:dyDescent="0.25">
      <c r="A210">
        <v>598281</v>
      </c>
      <c r="B210">
        <v>432</v>
      </c>
      <c r="C210">
        <v>192.67</v>
      </c>
      <c r="D210" t="s">
        <v>1884</v>
      </c>
    </row>
    <row r="211" spans="1:4" x14ac:dyDescent="0.25">
      <c r="A211">
        <v>598282</v>
      </c>
      <c r="B211">
        <v>432</v>
      </c>
      <c r="C211">
        <v>192.67</v>
      </c>
      <c r="D211" t="s">
        <v>818</v>
      </c>
    </row>
    <row r="212" spans="1:4" x14ac:dyDescent="0.25">
      <c r="A212">
        <v>600030</v>
      </c>
      <c r="B212">
        <v>1920</v>
      </c>
      <c r="C212">
        <v>614.4</v>
      </c>
      <c r="D212" t="s">
        <v>645</v>
      </c>
    </row>
    <row r="213" spans="1:4" x14ac:dyDescent="0.25">
      <c r="A213">
        <v>600031</v>
      </c>
      <c r="B213">
        <v>600</v>
      </c>
      <c r="C213">
        <v>288</v>
      </c>
      <c r="D213" t="s">
        <v>2960</v>
      </c>
    </row>
    <row r="214" spans="1:4" x14ac:dyDescent="0.25">
      <c r="A214">
        <v>600032</v>
      </c>
      <c r="B214">
        <v>2420</v>
      </c>
      <c r="C214">
        <v>2332</v>
      </c>
      <c r="D214" t="s">
        <v>821</v>
      </c>
    </row>
    <row r="215" spans="1:4" x14ac:dyDescent="0.25">
      <c r="A215">
        <v>600110</v>
      </c>
      <c r="B215">
        <v>1200</v>
      </c>
      <c r="C215">
        <v>900</v>
      </c>
      <c r="D215" t="s">
        <v>1888</v>
      </c>
    </row>
    <row r="216" spans="1:4" x14ac:dyDescent="0.25">
      <c r="A216">
        <v>600401</v>
      </c>
      <c r="B216">
        <v>1200</v>
      </c>
      <c r="C216">
        <v>1176</v>
      </c>
      <c r="D216" t="s">
        <v>824</v>
      </c>
    </row>
    <row r="217" spans="1:4" x14ac:dyDescent="0.25">
      <c r="A217">
        <v>610182</v>
      </c>
      <c r="B217">
        <v>36480</v>
      </c>
      <c r="C217">
        <v>4519.68</v>
      </c>
      <c r="D217" t="s">
        <v>1896</v>
      </c>
    </row>
    <row r="218" spans="1:4" x14ac:dyDescent="0.25">
      <c r="A218">
        <v>611180</v>
      </c>
      <c r="B218">
        <v>7680</v>
      </c>
      <c r="C218">
        <v>960</v>
      </c>
      <c r="D218" t="s">
        <v>1898</v>
      </c>
    </row>
    <row r="219" spans="1:4" x14ac:dyDescent="0.25">
      <c r="A219">
        <v>611182</v>
      </c>
      <c r="B219">
        <v>4320</v>
      </c>
      <c r="C219">
        <v>1771.2</v>
      </c>
      <c r="D219" t="s">
        <v>1900</v>
      </c>
    </row>
    <row r="220" spans="1:4" x14ac:dyDescent="0.25">
      <c r="A220">
        <v>611191</v>
      </c>
      <c r="B220">
        <v>6000</v>
      </c>
      <c r="C220">
        <v>1290</v>
      </c>
      <c r="D220" t="s">
        <v>827</v>
      </c>
    </row>
    <row r="221" spans="1:4" x14ac:dyDescent="0.25">
      <c r="A221">
        <v>613000</v>
      </c>
      <c r="B221">
        <v>3000</v>
      </c>
      <c r="C221">
        <v>1497</v>
      </c>
      <c r="D221" t="s">
        <v>1902</v>
      </c>
    </row>
    <row r="222" spans="1:4" x14ac:dyDescent="0.25">
      <c r="A222">
        <v>614018</v>
      </c>
      <c r="B222">
        <v>600</v>
      </c>
      <c r="C222">
        <v>502.2</v>
      </c>
      <c r="D222" t="s">
        <v>1906</v>
      </c>
    </row>
    <row r="223" spans="1:4" x14ac:dyDescent="0.25">
      <c r="A223">
        <v>620040</v>
      </c>
      <c r="B223">
        <v>1000</v>
      </c>
      <c r="C223">
        <v>1550</v>
      </c>
      <c r="D223" t="s">
        <v>835</v>
      </c>
    </row>
    <row r="224" spans="1:4" x14ac:dyDescent="0.25">
      <c r="A224">
        <v>620050</v>
      </c>
      <c r="B224">
        <v>640</v>
      </c>
      <c r="C224">
        <v>1292.8</v>
      </c>
      <c r="D224" t="s">
        <v>838</v>
      </c>
    </row>
    <row r="225" spans="1:4" x14ac:dyDescent="0.25">
      <c r="A225">
        <v>620169</v>
      </c>
      <c r="B225">
        <v>500</v>
      </c>
      <c r="C225">
        <v>780</v>
      </c>
      <c r="D225" t="s">
        <v>1913</v>
      </c>
    </row>
    <row r="226" spans="1:4" x14ac:dyDescent="0.25">
      <c r="A226">
        <v>620174</v>
      </c>
      <c r="B226">
        <v>840</v>
      </c>
      <c r="C226">
        <v>1050</v>
      </c>
      <c r="D226" t="s">
        <v>846</v>
      </c>
    </row>
    <row r="227" spans="1:4" x14ac:dyDescent="0.25">
      <c r="A227">
        <v>621100</v>
      </c>
      <c r="B227">
        <v>420</v>
      </c>
      <c r="C227">
        <v>861</v>
      </c>
      <c r="D227" t="s">
        <v>852</v>
      </c>
    </row>
    <row r="228" spans="1:4" x14ac:dyDescent="0.25">
      <c r="A228">
        <v>622250</v>
      </c>
      <c r="B228">
        <v>480</v>
      </c>
      <c r="C228">
        <v>254.4</v>
      </c>
      <c r="D228" t="s">
        <v>855</v>
      </c>
    </row>
    <row r="229" spans="1:4" x14ac:dyDescent="0.25">
      <c r="A229">
        <v>622400</v>
      </c>
      <c r="B229">
        <v>1152</v>
      </c>
      <c r="C229">
        <v>1002.24</v>
      </c>
      <c r="D229" t="s">
        <v>862</v>
      </c>
    </row>
    <row r="230" spans="1:4" x14ac:dyDescent="0.25">
      <c r="A230">
        <v>622410</v>
      </c>
      <c r="B230">
        <v>288</v>
      </c>
      <c r="C230">
        <v>250.56</v>
      </c>
      <c r="D230" t="s">
        <v>863</v>
      </c>
    </row>
    <row r="231" spans="1:4" x14ac:dyDescent="0.25">
      <c r="A231">
        <v>622624</v>
      </c>
      <c r="B231">
        <v>400</v>
      </c>
      <c r="C231">
        <v>440</v>
      </c>
      <c r="D231" t="s">
        <v>867</v>
      </c>
    </row>
    <row r="232" spans="1:4" x14ac:dyDescent="0.25">
      <c r="A232">
        <v>623012</v>
      </c>
      <c r="B232">
        <v>420</v>
      </c>
      <c r="C232">
        <v>474.6</v>
      </c>
      <c r="D232" t="s">
        <v>872</v>
      </c>
    </row>
    <row r="233" spans="1:4" x14ac:dyDescent="0.25">
      <c r="A233">
        <v>623071</v>
      </c>
      <c r="B233">
        <v>64</v>
      </c>
      <c r="C233">
        <v>758.4</v>
      </c>
      <c r="D233" t="s">
        <v>875</v>
      </c>
    </row>
    <row r="234" spans="1:4" x14ac:dyDescent="0.25">
      <c r="A234">
        <v>623090</v>
      </c>
      <c r="B234">
        <v>308</v>
      </c>
      <c r="C234">
        <v>4477.2</v>
      </c>
      <c r="D234" t="s">
        <v>878</v>
      </c>
    </row>
    <row r="235" spans="1:4" x14ac:dyDescent="0.25">
      <c r="A235">
        <v>624241</v>
      </c>
      <c r="B235">
        <v>160</v>
      </c>
      <c r="C235">
        <v>1376</v>
      </c>
      <c r="D235" t="s">
        <v>889</v>
      </c>
    </row>
    <row r="236" spans="1:4" x14ac:dyDescent="0.25">
      <c r="A236">
        <v>624600</v>
      </c>
      <c r="B236">
        <v>241</v>
      </c>
      <c r="C236">
        <v>4046.4</v>
      </c>
      <c r="D236" t="s">
        <v>893</v>
      </c>
    </row>
    <row r="237" spans="1:4" x14ac:dyDescent="0.25">
      <c r="A237">
        <v>625000</v>
      </c>
      <c r="B237">
        <v>960</v>
      </c>
      <c r="C237">
        <v>892.8</v>
      </c>
      <c r="D237" t="s">
        <v>898</v>
      </c>
    </row>
    <row r="238" spans="1:4" x14ac:dyDescent="0.25">
      <c r="A238">
        <v>626905</v>
      </c>
      <c r="B238">
        <v>500</v>
      </c>
      <c r="C238">
        <v>675</v>
      </c>
      <c r="D238" t="s">
        <v>1922</v>
      </c>
    </row>
    <row r="239" spans="1:4" x14ac:dyDescent="0.25">
      <c r="A239">
        <v>627014</v>
      </c>
      <c r="B239">
        <v>640</v>
      </c>
      <c r="C239">
        <v>3961.6</v>
      </c>
      <c r="D239" t="s">
        <v>1667</v>
      </c>
    </row>
    <row r="240" spans="1:4" x14ac:dyDescent="0.25">
      <c r="A240">
        <v>627030</v>
      </c>
      <c r="B240">
        <v>5760</v>
      </c>
      <c r="C240">
        <v>1278.72</v>
      </c>
      <c r="D240" t="s">
        <v>1926</v>
      </c>
    </row>
    <row r="241" spans="1:4" x14ac:dyDescent="0.25">
      <c r="A241">
        <v>627031</v>
      </c>
      <c r="B241">
        <v>1200</v>
      </c>
      <c r="C241">
        <v>790.8</v>
      </c>
      <c r="D241" t="s">
        <v>911</v>
      </c>
    </row>
    <row r="242" spans="1:4" x14ac:dyDescent="0.25">
      <c r="A242">
        <v>627325</v>
      </c>
      <c r="B242">
        <v>480</v>
      </c>
      <c r="C242">
        <v>2688</v>
      </c>
      <c r="D242" t="s">
        <v>2429</v>
      </c>
    </row>
    <row r="243" spans="1:4" x14ac:dyDescent="0.25">
      <c r="A243">
        <v>628350</v>
      </c>
      <c r="B243">
        <v>6720</v>
      </c>
      <c r="C243">
        <v>4433.76</v>
      </c>
      <c r="D243" t="s">
        <v>928</v>
      </c>
    </row>
    <row r="244" spans="1:4" x14ac:dyDescent="0.25">
      <c r="A244">
        <v>628365</v>
      </c>
      <c r="B244">
        <v>1040</v>
      </c>
      <c r="C244">
        <v>1612</v>
      </c>
      <c r="D244" t="s">
        <v>930</v>
      </c>
    </row>
    <row r="245" spans="1:4" x14ac:dyDescent="0.25">
      <c r="A245">
        <v>628401</v>
      </c>
      <c r="B245">
        <v>1200</v>
      </c>
      <c r="C245">
        <v>2304</v>
      </c>
      <c r="D245" t="s">
        <v>931</v>
      </c>
    </row>
    <row r="246" spans="1:4" x14ac:dyDescent="0.25">
      <c r="A246">
        <v>628407</v>
      </c>
      <c r="B246">
        <v>800</v>
      </c>
      <c r="C246">
        <v>2200</v>
      </c>
      <c r="D246" t="s">
        <v>933</v>
      </c>
    </row>
    <row r="247" spans="1:4" x14ac:dyDescent="0.25">
      <c r="A247">
        <v>628600</v>
      </c>
      <c r="B247">
        <v>900</v>
      </c>
      <c r="C247">
        <v>2952</v>
      </c>
      <c r="D247" t="s">
        <v>934</v>
      </c>
    </row>
    <row r="248" spans="1:4" x14ac:dyDescent="0.25">
      <c r="A248">
        <v>632011</v>
      </c>
      <c r="B248">
        <v>577</v>
      </c>
      <c r="C248">
        <v>486.72</v>
      </c>
      <c r="D248" t="s">
        <v>936</v>
      </c>
    </row>
    <row r="249" spans="1:4" x14ac:dyDescent="0.25">
      <c r="A249">
        <v>632021</v>
      </c>
      <c r="B249">
        <v>1081</v>
      </c>
      <c r="C249">
        <v>1036.8</v>
      </c>
      <c r="D249" t="s">
        <v>2478</v>
      </c>
    </row>
    <row r="250" spans="1:4" x14ac:dyDescent="0.25">
      <c r="A250">
        <v>632030</v>
      </c>
      <c r="B250">
        <v>720</v>
      </c>
      <c r="C250">
        <v>1245.5999999999999</v>
      </c>
      <c r="D250" t="s">
        <v>2468</v>
      </c>
    </row>
    <row r="251" spans="1:4" x14ac:dyDescent="0.25">
      <c r="A251">
        <v>633228</v>
      </c>
      <c r="B251">
        <v>288</v>
      </c>
      <c r="C251">
        <v>662.4</v>
      </c>
      <c r="D251" t="s">
        <v>945</v>
      </c>
    </row>
    <row r="252" spans="1:4" x14ac:dyDescent="0.25">
      <c r="A252">
        <v>633230</v>
      </c>
      <c r="B252">
        <v>288</v>
      </c>
      <c r="C252">
        <v>748.8</v>
      </c>
      <c r="D252" t="s">
        <v>947</v>
      </c>
    </row>
    <row r="253" spans="1:4" x14ac:dyDescent="0.25">
      <c r="A253">
        <v>634190</v>
      </c>
      <c r="B253">
        <v>400</v>
      </c>
      <c r="C253">
        <v>1452</v>
      </c>
      <c r="D253" t="s">
        <v>1938</v>
      </c>
    </row>
    <row r="254" spans="1:4" x14ac:dyDescent="0.25">
      <c r="A254">
        <v>634250</v>
      </c>
      <c r="B254">
        <v>200</v>
      </c>
      <c r="C254">
        <v>1000</v>
      </c>
      <c r="D254" t="s">
        <v>1668</v>
      </c>
    </row>
    <row r="255" spans="1:4" x14ac:dyDescent="0.25">
      <c r="A255">
        <v>634310</v>
      </c>
      <c r="B255">
        <v>525</v>
      </c>
      <c r="C255">
        <v>3675</v>
      </c>
      <c r="D255" t="s">
        <v>951</v>
      </c>
    </row>
    <row r="256" spans="1:4" x14ac:dyDescent="0.25">
      <c r="A256">
        <v>634370</v>
      </c>
      <c r="B256">
        <v>200</v>
      </c>
      <c r="C256">
        <v>1840</v>
      </c>
      <c r="D256" t="s">
        <v>1669</v>
      </c>
    </row>
    <row r="257" spans="1:4" x14ac:dyDescent="0.25">
      <c r="A257">
        <v>635030</v>
      </c>
      <c r="B257">
        <v>360</v>
      </c>
      <c r="C257">
        <v>1422</v>
      </c>
      <c r="D257" t="s">
        <v>953</v>
      </c>
    </row>
    <row r="258" spans="1:4" x14ac:dyDescent="0.25">
      <c r="A258">
        <v>635034</v>
      </c>
      <c r="B258">
        <v>600</v>
      </c>
      <c r="C258">
        <v>780</v>
      </c>
      <c r="D258" t="s">
        <v>956</v>
      </c>
    </row>
    <row r="259" spans="1:4" x14ac:dyDescent="0.25">
      <c r="A259">
        <v>635040</v>
      </c>
      <c r="B259">
        <v>81</v>
      </c>
      <c r="C259">
        <v>728</v>
      </c>
      <c r="D259" t="s">
        <v>1941</v>
      </c>
    </row>
    <row r="260" spans="1:4" x14ac:dyDescent="0.25">
      <c r="A260">
        <v>642310</v>
      </c>
      <c r="B260">
        <v>3360</v>
      </c>
      <c r="C260">
        <v>2899.68</v>
      </c>
      <c r="D260" t="s">
        <v>959</v>
      </c>
    </row>
    <row r="261" spans="1:4" x14ac:dyDescent="0.25">
      <c r="A261">
        <v>643400</v>
      </c>
      <c r="B261">
        <v>120</v>
      </c>
      <c r="C261">
        <v>936</v>
      </c>
      <c r="D261" t="s">
        <v>961</v>
      </c>
    </row>
    <row r="262" spans="1:4" x14ac:dyDescent="0.25">
      <c r="A262">
        <v>645000</v>
      </c>
      <c r="B262">
        <v>1200</v>
      </c>
      <c r="C262">
        <v>492</v>
      </c>
      <c r="D262" t="s">
        <v>968</v>
      </c>
    </row>
    <row r="263" spans="1:4" x14ac:dyDescent="0.25">
      <c r="A263">
        <v>651100</v>
      </c>
      <c r="B263">
        <v>1600</v>
      </c>
      <c r="C263">
        <v>752</v>
      </c>
      <c r="D263" t="s">
        <v>412</v>
      </c>
    </row>
    <row r="264" spans="1:4" x14ac:dyDescent="0.25">
      <c r="A264">
        <v>651105</v>
      </c>
      <c r="B264">
        <v>1440</v>
      </c>
      <c r="C264">
        <v>1123.2</v>
      </c>
      <c r="D264" t="s">
        <v>1984</v>
      </c>
    </row>
    <row r="265" spans="1:4" x14ac:dyDescent="0.25">
      <c r="A265">
        <v>651200</v>
      </c>
      <c r="B265">
        <v>6400</v>
      </c>
      <c r="C265">
        <v>4747.2</v>
      </c>
      <c r="D265" t="s">
        <v>412</v>
      </c>
    </row>
    <row r="266" spans="1:4" x14ac:dyDescent="0.25">
      <c r="A266">
        <v>651201</v>
      </c>
      <c r="B266">
        <v>600</v>
      </c>
      <c r="C266">
        <v>660</v>
      </c>
      <c r="D266" t="s">
        <v>985</v>
      </c>
    </row>
    <row r="267" spans="1:4" x14ac:dyDescent="0.25">
      <c r="A267">
        <v>651207</v>
      </c>
      <c r="B267">
        <v>1152</v>
      </c>
      <c r="C267">
        <v>725.76</v>
      </c>
      <c r="D267" t="s">
        <v>986</v>
      </c>
    </row>
    <row r="268" spans="1:4" x14ac:dyDescent="0.25">
      <c r="A268">
        <v>651300</v>
      </c>
      <c r="B268">
        <v>1440</v>
      </c>
      <c r="C268">
        <v>2736</v>
      </c>
      <c r="D268" t="s">
        <v>989</v>
      </c>
    </row>
    <row r="269" spans="1:4" x14ac:dyDescent="0.25">
      <c r="A269">
        <v>651401</v>
      </c>
      <c r="B269">
        <v>1080</v>
      </c>
      <c r="C269">
        <v>1533.6</v>
      </c>
      <c r="D269" t="s">
        <v>992</v>
      </c>
    </row>
    <row r="270" spans="1:4" x14ac:dyDescent="0.25">
      <c r="A270">
        <v>651402</v>
      </c>
      <c r="B270">
        <v>4560</v>
      </c>
      <c r="C270">
        <v>5896.8</v>
      </c>
      <c r="D270" t="s">
        <v>993</v>
      </c>
    </row>
    <row r="271" spans="1:4" x14ac:dyDescent="0.25">
      <c r="A271">
        <v>651404</v>
      </c>
      <c r="B271">
        <v>504</v>
      </c>
      <c r="C271">
        <v>1356.77</v>
      </c>
      <c r="D271" t="s">
        <v>994</v>
      </c>
    </row>
    <row r="272" spans="1:4" x14ac:dyDescent="0.25">
      <c r="A272">
        <v>652050</v>
      </c>
      <c r="B272">
        <v>4500</v>
      </c>
      <c r="C272">
        <v>12809</v>
      </c>
      <c r="D272" t="s">
        <v>1670</v>
      </c>
    </row>
    <row r="273" spans="1:4" x14ac:dyDescent="0.25">
      <c r="A273">
        <v>652051</v>
      </c>
      <c r="B273">
        <v>500</v>
      </c>
      <c r="C273">
        <v>1297.5</v>
      </c>
      <c r="D273" t="s">
        <v>1985</v>
      </c>
    </row>
    <row r="274" spans="1:4" x14ac:dyDescent="0.25">
      <c r="A274">
        <v>652058</v>
      </c>
      <c r="B274">
        <v>1200</v>
      </c>
      <c r="C274">
        <v>696</v>
      </c>
      <c r="D274" t="s">
        <v>1003</v>
      </c>
    </row>
    <row r="275" spans="1:4" x14ac:dyDescent="0.25">
      <c r="A275">
        <v>652060</v>
      </c>
      <c r="B275">
        <v>1000</v>
      </c>
      <c r="C275">
        <v>4656</v>
      </c>
      <c r="D275" t="s">
        <v>1671</v>
      </c>
    </row>
    <row r="276" spans="1:4" x14ac:dyDescent="0.25">
      <c r="A276">
        <v>660050</v>
      </c>
      <c r="B276">
        <v>1536</v>
      </c>
      <c r="C276">
        <v>735.74</v>
      </c>
      <c r="D276" t="s">
        <v>1010</v>
      </c>
    </row>
    <row r="277" spans="1:4" x14ac:dyDescent="0.25">
      <c r="A277">
        <v>660100</v>
      </c>
      <c r="B277">
        <v>1536</v>
      </c>
      <c r="C277">
        <v>1362.43</v>
      </c>
      <c r="D277" t="s">
        <v>1620</v>
      </c>
    </row>
    <row r="278" spans="1:4" x14ac:dyDescent="0.25">
      <c r="A278">
        <v>660111</v>
      </c>
      <c r="B278">
        <v>120</v>
      </c>
      <c r="C278">
        <v>176.4</v>
      </c>
      <c r="D278" t="s">
        <v>1991</v>
      </c>
    </row>
    <row r="279" spans="1:4" x14ac:dyDescent="0.25">
      <c r="A279">
        <v>660115</v>
      </c>
      <c r="B279">
        <v>120</v>
      </c>
      <c r="C279">
        <v>195.6</v>
      </c>
      <c r="D279" t="s">
        <v>1993</v>
      </c>
    </row>
    <row r="280" spans="1:4" x14ac:dyDescent="0.25">
      <c r="A280">
        <v>660121</v>
      </c>
      <c r="B280">
        <v>120</v>
      </c>
      <c r="C280">
        <v>222</v>
      </c>
      <c r="D280" t="s">
        <v>1994</v>
      </c>
    </row>
    <row r="281" spans="1:4" x14ac:dyDescent="0.25">
      <c r="A281">
        <v>660125</v>
      </c>
      <c r="B281">
        <v>120</v>
      </c>
      <c r="C281">
        <v>296.39999999999998</v>
      </c>
      <c r="D281" t="s">
        <v>1995</v>
      </c>
    </row>
    <row r="282" spans="1:4" x14ac:dyDescent="0.25">
      <c r="A282">
        <v>660131</v>
      </c>
      <c r="B282">
        <v>120</v>
      </c>
      <c r="C282">
        <v>363.6</v>
      </c>
      <c r="D282" t="s">
        <v>1013</v>
      </c>
    </row>
    <row r="283" spans="1:4" x14ac:dyDescent="0.25">
      <c r="A283">
        <v>661050</v>
      </c>
      <c r="B283">
        <v>960</v>
      </c>
      <c r="C283">
        <v>670.08</v>
      </c>
      <c r="D283" t="s">
        <v>1015</v>
      </c>
    </row>
    <row r="284" spans="1:4" x14ac:dyDescent="0.25">
      <c r="A284">
        <v>661150</v>
      </c>
      <c r="B284">
        <v>1440</v>
      </c>
      <c r="C284">
        <v>820.8</v>
      </c>
      <c r="D284" t="s">
        <v>1996</v>
      </c>
    </row>
    <row r="285" spans="1:4" x14ac:dyDescent="0.25">
      <c r="A285">
        <v>662073</v>
      </c>
      <c r="B285">
        <v>80</v>
      </c>
      <c r="C285">
        <v>207.2</v>
      </c>
      <c r="D285" t="s">
        <v>1021</v>
      </c>
    </row>
    <row r="286" spans="1:4" x14ac:dyDescent="0.25">
      <c r="A286">
        <v>662090</v>
      </c>
      <c r="B286">
        <v>1920</v>
      </c>
      <c r="C286">
        <v>1297.92</v>
      </c>
      <c r="D286" t="s">
        <v>625</v>
      </c>
    </row>
    <row r="287" spans="1:4" x14ac:dyDescent="0.25">
      <c r="A287">
        <v>662093</v>
      </c>
      <c r="B287">
        <v>160</v>
      </c>
      <c r="C287">
        <v>440</v>
      </c>
      <c r="D287" t="s">
        <v>1023</v>
      </c>
    </row>
    <row r="288" spans="1:4" x14ac:dyDescent="0.25">
      <c r="A288">
        <v>662133</v>
      </c>
      <c r="B288">
        <v>80</v>
      </c>
      <c r="C288">
        <v>312.8</v>
      </c>
      <c r="D288" t="s">
        <v>2008</v>
      </c>
    </row>
    <row r="289" spans="1:4" x14ac:dyDescent="0.25">
      <c r="A289">
        <v>662144</v>
      </c>
      <c r="B289">
        <v>80</v>
      </c>
      <c r="C289">
        <v>408</v>
      </c>
      <c r="D289" t="s">
        <v>2010</v>
      </c>
    </row>
    <row r="290" spans="1:4" x14ac:dyDescent="0.25">
      <c r="A290">
        <v>662155</v>
      </c>
      <c r="B290">
        <v>70</v>
      </c>
      <c r="C290">
        <v>471.8</v>
      </c>
      <c r="D290" t="s">
        <v>2011</v>
      </c>
    </row>
    <row r="291" spans="1:4" x14ac:dyDescent="0.25">
      <c r="A291">
        <v>662350</v>
      </c>
      <c r="B291">
        <v>1008</v>
      </c>
      <c r="C291">
        <v>681.41</v>
      </c>
      <c r="D291" t="s">
        <v>2531</v>
      </c>
    </row>
    <row r="292" spans="1:4" x14ac:dyDescent="0.25">
      <c r="A292">
        <v>662545</v>
      </c>
      <c r="B292">
        <v>1152</v>
      </c>
      <c r="C292">
        <v>576</v>
      </c>
      <c r="D292" t="s">
        <v>2534</v>
      </c>
    </row>
    <row r="293" spans="1:4" x14ac:dyDescent="0.25">
      <c r="A293">
        <v>662550</v>
      </c>
      <c r="B293">
        <v>1900</v>
      </c>
      <c r="C293">
        <v>1756.5</v>
      </c>
      <c r="D293" t="s">
        <v>2535</v>
      </c>
    </row>
    <row r="294" spans="1:4" x14ac:dyDescent="0.25">
      <c r="A294">
        <v>664800</v>
      </c>
      <c r="B294">
        <v>1345</v>
      </c>
      <c r="C294">
        <v>1008</v>
      </c>
      <c r="D294" t="s">
        <v>1029</v>
      </c>
    </row>
    <row r="295" spans="1:4" x14ac:dyDescent="0.25">
      <c r="A295">
        <v>664810</v>
      </c>
      <c r="B295">
        <v>1000</v>
      </c>
      <c r="C295">
        <v>1250</v>
      </c>
      <c r="D295" t="s">
        <v>2016</v>
      </c>
    </row>
    <row r="296" spans="1:4" x14ac:dyDescent="0.25">
      <c r="A296">
        <v>664812</v>
      </c>
      <c r="B296">
        <v>1400</v>
      </c>
      <c r="C296">
        <v>1190</v>
      </c>
      <c r="D296" t="s">
        <v>1033</v>
      </c>
    </row>
    <row r="297" spans="1:4" x14ac:dyDescent="0.25">
      <c r="A297">
        <v>664830</v>
      </c>
      <c r="B297">
        <v>241</v>
      </c>
      <c r="C297">
        <v>412.8</v>
      </c>
      <c r="D297" t="s">
        <v>645</v>
      </c>
    </row>
    <row r="298" spans="1:4" x14ac:dyDescent="0.25">
      <c r="A298">
        <v>664834</v>
      </c>
      <c r="B298">
        <v>500</v>
      </c>
      <c r="C298">
        <v>2090</v>
      </c>
      <c r="D298" t="s">
        <v>1037</v>
      </c>
    </row>
    <row r="299" spans="1:4" x14ac:dyDescent="0.25">
      <c r="A299">
        <v>664836</v>
      </c>
      <c r="B299">
        <v>220</v>
      </c>
      <c r="C299">
        <v>1051.5999999999999</v>
      </c>
      <c r="D299" t="s">
        <v>1039</v>
      </c>
    </row>
    <row r="300" spans="1:4" x14ac:dyDescent="0.25">
      <c r="A300">
        <v>664937</v>
      </c>
      <c r="B300">
        <v>480</v>
      </c>
      <c r="C300">
        <v>830.4</v>
      </c>
      <c r="D300" t="s">
        <v>2024</v>
      </c>
    </row>
    <row r="301" spans="1:4" x14ac:dyDescent="0.25">
      <c r="A301">
        <v>664947</v>
      </c>
      <c r="B301">
        <v>720</v>
      </c>
      <c r="C301">
        <v>1605.6</v>
      </c>
      <c r="D301" t="s">
        <v>1672</v>
      </c>
    </row>
    <row r="302" spans="1:4" x14ac:dyDescent="0.25">
      <c r="A302">
        <v>664948</v>
      </c>
      <c r="B302">
        <v>768</v>
      </c>
      <c r="C302">
        <v>906.24</v>
      </c>
      <c r="D302" t="s">
        <v>2028</v>
      </c>
    </row>
    <row r="303" spans="1:4" x14ac:dyDescent="0.25">
      <c r="A303">
        <v>665040</v>
      </c>
      <c r="B303">
        <v>170</v>
      </c>
      <c r="C303">
        <v>1122</v>
      </c>
      <c r="D303" t="s">
        <v>2039</v>
      </c>
    </row>
    <row r="304" spans="1:4" x14ac:dyDescent="0.25">
      <c r="A304">
        <v>665065</v>
      </c>
      <c r="B304">
        <v>70</v>
      </c>
      <c r="C304">
        <v>532</v>
      </c>
      <c r="D304" t="s">
        <v>2041</v>
      </c>
    </row>
    <row r="305" spans="1:4" x14ac:dyDescent="0.25">
      <c r="A305">
        <v>665090</v>
      </c>
      <c r="B305">
        <v>60</v>
      </c>
      <c r="C305">
        <v>576</v>
      </c>
      <c r="D305" t="s">
        <v>2043</v>
      </c>
    </row>
    <row r="306" spans="1:4" x14ac:dyDescent="0.25">
      <c r="A306">
        <v>667115</v>
      </c>
      <c r="B306">
        <v>5</v>
      </c>
      <c r="C306">
        <v>73.599999999999994</v>
      </c>
      <c r="D306" t="s">
        <v>2053</v>
      </c>
    </row>
    <row r="307" spans="1:4" x14ac:dyDescent="0.25">
      <c r="A307">
        <v>680010</v>
      </c>
      <c r="B307">
        <v>2000</v>
      </c>
      <c r="C307">
        <v>798</v>
      </c>
      <c r="D307" t="s">
        <v>2646</v>
      </c>
    </row>
    <row r="308" spans="1:4" x14ac:dyDescent="0.25">
      <c r="A308">
        <v>680020</v>
      </c>
      <c r="B308">
        <v>960</v>
      </c>
      <c r="C308">
        <v>649.91999999999996</v>
      </c>
      <c r="D308" t="s">
        <v>2745</v>
      </c>
    </row>
    <row r="309" spans="1:4" x14ac:dyDescent="0.25">
      <c r="A309">
        <v>682500</v>
      </c>
      <c r="B309">
        <v>960</v>
      </c>
      <c r="C309">
        <v>355.2</v>
      </c>
      <c r="D309" t="s">
        <v>393</v>
      </c>
    </row>
    <row r="310" spans="1:4" x14ac:dyDescent="0.25">
      <c r="A310">
        <v>683000</v>
      </c>
      <c r="B310">
        <v>1800</v>
      </c>
      <c r="C310">
        <v>828</v>
      </c>
      <c r="D310" t="s">
        <v>523</v>
      </c>
    </row>
    <row r="311" spans="1:4" x14ac:dyDescent="0.25">
      <c r="A311">
        <v>683012</v>
      </c>
      <c r="B311">
        <v>240</v>
      </c>
      <c r="C311">
        <v>384</v>
      </c>
      <c r="D311" t="s">
        <v>1059</v>
      </c>
    </row>
    <row r="312" spans="1:4" x14ac:dyDescent="0.25">
      <c r="A312">
        <v>683500</v>
      </c>
      <c r="B312">
        <v>1440</v>
      </c>
      <c r="C312">
        <v>686.88</v>
      </c>
      <c r="D312" t="s">
        <v>1060</v>
      </c>
    </row>
    <row r="313" spans="1:4" x14ac:dyDescent="0.25">
      <c r="A313">
        <v>683510</v>
      </c>
      <c r="B313">
        <v>1200</v>
      </c>
      <c r="C313">
        <v>2297.4</v>
      </c>
      <c r="D313" t="s">
        <v>2065</v>
      </c>
    </row>
    <row r="314" spans="1:4" x14ac:dyDescent="0.25">
      <c r="A314">
        <v>683512</v>
      </c>
      <c r="B314">
        <v>360</v>
      </c>
      <c r="C314">
        <v>528.84</v>
      </c>
      <c r="D314" t="s">
        <v>1061</v>
      </c>
    </row>
    <row r="315" spans="1:4" x14ac:dyDescent="0.25">
      <c r="A315">
        <v>683542</v>
      </c>
      <c r="B315">
        <v>300</v>
      </c>
      <c r="C315">
        <v>487.5</v>
      </c>
      <c r="D315" t="s">
        <v>2066</v>
      </c>
    </row>
    <row r="316" spans="1:4" x14ac:dyDescent="0.25">
      <c r="A316">
        <v>684000</v>
      </c>
      <c r="B316">
        <v>1152</v>
      </c>
      <c r="C316">
        <v>1002.24</v>
      </c>
      <c r="D316" t="s">
        <v>1063</v>
      </c>
    </row>
    <row r="317" spans="1:4" x14ac:dyDescent="0.25">
      <c r="A317">
        <v>684005</v>
      </c>
      <c r="B317">
        <v>1300</v>
      </c>
      <c r="C317">
        <v>910</v>
      </c>
      <c r="D317" t="s">
        <v>1003</v>
      </c>
    </row>
    <row r="318" spans="1:4" x14ac:dyDescent="0.25">
      <c r="A318">
        <v>686100</v>
      </c>
      <c r="B318">
        <v>320</v>
      </c>
      <c r="C318">
        <v>312.32</v>
      </c>
      <c r="D318" t="s">
        <v>1072</v>
      </c>
    </row>
    <row r="319" spans="1:4" x14ac:dyDescent="0.25">
      <c r="A319">
        <v>686200</v>
      </c>
      <c r="B319">
        <v>320</v>
      </c>
      <c r="C319">
        <v>280.32</v>
      </c>
      <c r="D319" t="s">
        <v>1074</v>
      </c>
    </row>
    <row r="320" spans="1:4" x14ac:dyDescent="0.25">
      <c r="A320">
        <v>690400</v>
      </c>
      <c r="B320">
        <v>180</v>
      </c>
      <c r="C320">
        <v>135.9</v>
      </c>
      <c r="D320" t="s">
        <v>961</v>
      </c>
    </row>
    <row r="321" spans="1:4" x14ac:dyDescent="0.25">
      <c r="A321">
        <v>690600</v>
      </c>
      <c r="B321">
        <v>300</v>
      </c>
      <c r="C321">
        <v>277.8</v>
      </c>
      <c r="D321" t="s">
        <v>2072</v>
      </c>
    </row>
    <row r="322" spans="1:4" x14ac:dyDescent="0.25">
      <c r="A322">
        <v>690800</v>
      </c>
      <c r="B322">
        <v>240</v>
      </c>
      <c r="C322">
        <v>266.16000000000003</v>
      </c>
      <c r="D322" t="s">
        <v>2075</v>
      </c>
    </row>
    <row r="323" spans="1:4" x14ac:dyDescent="0.25">
      <c r="A323">
        <v>700024</v>
      </c>
      <c r="B323">
        <v>3840</v>
      </c>
      <c r="C323">
        <v>979.2</v>
      </c>
      <c r="D323" t="s">
        <v>1085</v>
      </c>
    </row>
    <row r="324" spans="1:4" x14ac:dyDescent="0.25">
      <c r="A324">
        <v>700090</v>
      </c>
      <c r="B324">
        <v>1200</v>
      </c>
      <c r="C324">
        <v>697.2</v>
      </c>
      <c r="D324" t="s">
        <v>1091</v>
      </c>
    </row>
    <row r="325" spans="1:4" x14ac:dyDescent="0.25">
      <c r="A325">
        <v>700160</v>
      </c>
      <c r="B325">
        <v>600</v>
      </c>
      <c r="C325">
        <v>609.6</v>
      </c>
      <c r="D325" t="s">
        <v>1092</v>
      </c>
    </row>
    <row r="326" spans="1:4" x14ac:dyDescent="0.25">
      <c r="A326">
        <v>700280</v>
      </c>
      <c r="B326">
        <v>1401</v>
      </c>
      <c r="C326">
        <v>910</v>
      </c>
      <c r="D326" t="s">
        <v>1095</v>
      </c>
    </row>
    <row r="327" spans="1:4" x14ac:dyDescent="0.25">
      <c r="A327">
        <v>700282</v>
      </c>
      <c r="B327">
        <v>4000</v>
      </c>
      <c r="C327">
        <v>880</v>
      </c>
      <c r="D327" t="s">
        <v>2080</v>
      </c>
    </row>
    <row r="328" spans="1:4" x14ac:dyDescent="0.25">
      <c r="A328">
        <v>700285</v>
      </c>
      <c r="B328">
        <v>1000</v>
      </c>
      <c r="C328">
        <v>1200</v>
      </c>
      <c r="D328" t="s">
        <v>2536</v>
      </c>
    </row>
    <row r="329" spans="1:4" x14ac:dyDescent="0.25">
      <c r="A329">
        <v>700286</v>
      </c>
      <c r="B329">
        <v>2201</v>
      </c>
      <c r="C329">
        <v>1582</v>
      </c>
      <c r="D329" t="s">
        <v>2082</v>
      </c>
    </row>
    <row r="330" spans="1:4" x14ac:dyDescent="0.25">
      <c r="A330">
        <v>700296</v>
      </c>
      <c r="B330">
        <v>1081</v>
      </c>
      <c r="C330">
        <v>1782</v>
      </c>
      <c r="D330" t="s">
        <v>1098</v>
      </c>
    </row>
    <row r="331" spans="1:4" x14ac:dyDescent="0.25">
      <c r="A331">
        <v>700332</v>
      </c>
      <c r="B331">
        <v>480</v>
      </c>
      <c r="C331">
        <v>1392</v>
      </c>
      <c r="D331" t="s">
        <v>1099</v>
      </c>
    </row>
    <row r="332" spans="1:4" x14ac:dyDescent="0.25">
      <c r="A332">
        <v>700333</v>
      </c>
      <c r="B332">
        <v>500</v>
      </c>
      <c r="C332">
        <v>560</v>
      </c>
      <c r="D332" t="s">
        <v>1101</v>
      </c>
    </row>
    <row r="333" spans="1:4" x14ac:dyDescent="0.25">
      <c r="A333">
        <v>700336</v>
      </c>
      <c r="B333">
        <v>432</v>
      </c>
      <c r="C333">
        <v>1041.1199999999999</v>
      </c>
      <c r="D333" t="s">
        <v>1102</v>
      </c>
    </row>
    <row r="334" spans="1:4" x14ac:dyDescent="0.25">
      <c r="A334">
        <v>700339</v>
      </c>
      <c r="B334">
        <v>216</v>
      </c>
      <c r="C334">
        <v>609.12</v>
      </c>
      <c r="D334" t="s">
        <v>1104</v>
      </c>
    </row>
    <row r="335" spans="1:4" x14ac:dyDescent="0.25">
      <c r="A335">
        <v>701210</v>
      </c>
      <c r="B335">
        <v>1020</v>
      </c>
      <c r="C335">
        <v>642.6</v>
      </c>
      <c r="D335" t="s">
        <v>621</v>
      </c>
    </row>
    <row r="336" spans="1:4" x14ac:dyDescent="0.25">
      <c r="A336">
        <v>712015</v>
      </c>
      <c r="B336">
        <v>480</v>
      </c>
      <c r="C336">
        <v>552</v>
      </c>
      <c r="D336" t="s">
        <v>1110</v>
      </c>
    </row>
    <row r="337" spans="1:4" x14ac:dyDescent="0.25">
      <c r="A337">
        <v>712250</v>
      </c>
      <c r="B337">
        <v>1200</v>
      </c>
      <c r="C337">
        <v>798</v>
      </c>
      <c r="D337" t="s">
        <v>639</v>
      </c>
    </row>
    <row r="338" spans="1:4" x14ac:dyDescent="0.25">
      <c r="A338">
        <v>712376</v>
      </c>
      <c r="B338">
        <v>480</v>
      </c>
      <c r="C338">
        <v>1670.4</v>
      </c>
      <c r="D338" t="s">
        <v>1124</v>
      </c>
    </row>
    <row r="339" spans="1:4" x14ac:dyDescent="0.25">
      <c r="A339">
        <v>712377</v>
      </c>
      <c r="B339">
        <v>720</v>
      </c>
      <c r="C339">
        <v>1412.64</v>
      </c>
      <c r="D339" t="s">
        <v>1127</v>
      </c>
    </row>
    <row r="340" spans="1:4" x14ac:dyDescent="0.25">
      <c r="A340">
        <v>712560</v>
      </c>
      <c r="B340">
        <v>1160</v>
      </c>
      <c r="C340">
        <v>1332.84</v>
      </c>
      <c r="D340" t="s">
        <v>1129</v>
      </c>
    </row>
    <row r="341" spans="1:4" x14ac:dyDescent="0.25">
      <c r="A341">
        <v>713235</v>
      </c>
      <c r="B341">
        <v>3240</v>
      </c>
      <c r="C341">
        <v>673.92</v>
      </c>
      <c r="D341" t="s">
        <v>1131</v>
      </c>
    </row>
    <row r="342" spans="1:4" x14ac:dyDescent="0.25">
      <c r="A342">
        <v>713241</v>
      </c>
      <c r="B342">
        <v>1080</v>
      </c>
      <c r="C342">
        <v>162</v>
      </c>
      <c r="D342" t="s">
        <v>1678</v>
      </c>
    </row>
    <row r="343" spans="1:4" x14ac:dyDescent="0.25">
      <c r="A343">
        <v>713650</v>
      </c>
      <c r="B343">
        <v>2200</v>
      </c>
      <c r="C343">
        <v>3129.6</v>
      </c>
      <c r="D343" t="s">
        <v>2966</v>
      </c>
    </row>
    <row r="344" spans="1:4" x14ac:dyDescent="0.25">
      <c r="A344">
        <v>713670</v>
      </c>
      <c r="B344">
        <v>720</v>
      </c>
      <c r="C344">
        <v>223.2</v>
      </c>
      <c r="D344" t="s">
        <v>1134</v>
      </c>
    </row>
    <row r="345" spans="1:4" x14ac:dyDescent="0.25">
      <c r="A345">
        <v>713673</v>
      </c>
      <c r="B345">
        <v>960</v>
      </c>
      <c r="C345">
        <v>436.8</v>
      </c>
      <c r="D345" t="s">
        <v>2099</v>
      </c>
    </row>
    <row r="346" spans="1:4" x14ac:dyDescent="0.25">
      <c r="A346">
        <v>713677</v>
      </c>
      <c r="B346">
        <v>1200</v>
      </c>
      <c r="C346">
        <v>318</v>
      </c>
      <c r="D346" t="s">
        <v>1138</v>
      </c>
    </row>
    <row r="347" spans="1:4" x14ac:dyDescent="0.25">
      <c r="A347">
        <v>713678</v>
      </c>
      <c r="B347">
        <v>960</v>
      </c>
      <c r="C347">
        <v>415.68</v>
      </c>
      <c r="D347" t="s">
        <v>2100</v>
      </c>
    </row>
    <row r="348" spans="1:4" x14ac:dyDescent="0.25">
      <c r="A348">
        <v>714070</v>
      </c>
      <c r="B348">
        <v>2161</v>
      </c>
      <c r="C348">
        <v>1001.81</v>
      </c>
      <c r="D348" t="s">
        <v>1127</v>
      </c>
    </row>
    <row r="349" spans="1:4" x14ac:dyDescent="0.25">
      <c r="A349">
        <v>714110</v>
      </c>
      <c r="B349">
        <v>1729</v>
      </c>
      <c r="C349">
        <v>999.65</v>
      </c>
      <c r="D349" t="s">
        <v>1141</v>
      </c>
    </row>
    <row r="350" spans="1:4" x14ac:dyDescent="0.25">
      <c r="A350">
        <v>714431</v>
      </c>
      <c r="B350">
        <v>1920</v>
      </c>
      <c r="C350">
        <v>1363.2</v>
      </c>
      <c r="D350" t="s">
        <v>2113</v>
      </c>
    </row>
    <row r="351" spans="1:4" x14ac:dyDescent="0.25">
      <c r="A351">
        <v>714432</v>
      </c>
      <c r="B351">
        <v>1200</v>
      </c>
      <c r="C351">
        <v>1200</v>
      </c>
      <c r="D351" t="s">
        <v>2115</v>
      </c>
    </row>
    <row r="352" spans="1:4" x14ac:dyDescent="0.25">
      <c r="A352">
        <v>730340</v>
      </c>
      <c r="B352">
        <v>1440</v>
      </c>
      <c r="C352">
        <v>1653.5</v>
      </c>
      <c r="D352" t="s">
        <v>1147</v>
      </c>
    </row>
    <row r="353" spans="1:4" x14ac:dyDescent="0.25">
      <c r="A353">
        <v>731060</v>
      </c>
      <c r="B353">
        <v>1200</v>
      </c>
      <c r="C353">
        <v>816</v>
      </c>
      <c r="D353" t="s">
        <v>2121</v>
      </c>
    </row>
    <row r="354" spans="1:4" x14ac:dyDescent="0.25">
      <c r="A354">
        <v>732060</v>
      </c>
      <c r="B354">
        <v>1001</v>
      </c>
      <c r="C354">
        <v>255</v>
      </c>
      <c r="D354" t="s">
        <v>1153</v>
      </c>
    </row>
    <row r="355" spans="1:4" x14ac:dyDescent="0.25">
      <c r="A355">
        <v>732080</v>
      </c>
      <c r="B355">
        <v>961</v>
      </c>
      <c r="C355">
        <v>216</v>
      </c>
      <c r="D355" t="s">
        <v>1155</v>
      </c>
    </row>
    <row r="356" spans="1:4" x14ac:dyDescent="0.25">
      <c r="A356">
        <v>732090</v>
      </c>
      <c r="B356">
        <v>801</v>
      </c>
      <c r="C356">
        <v>323.2</v>
      </c>
      <c r="D356" t="s">
        <v>1158</v>
      </c>
    </row>
    <row r="357" spans="1:4" x14ac:dyDescent="0.25">
      <c r="A357">
        <v>733510</v>
      </c>
      <c r="B357">
        <v>3500</v>
      </c>
      <c r="C357">
        <v>1505</v>
      </c>
      <c r="D357" t="s">
        <v>1161</v>
      </c>
    </row>
    <row r="358" spans="1:4" x14ac:dyDescent="0.25">
      <c r="A358">
        <v>733511</v>
      </c>
      <c r="B358">
        <v>1000</v>
      </c>
      <c r="C358">
        <v>650</v>
      </c>
      <c r="D358" t="s">
        <v>2969</v>
      </c>
    </row>
    <row r="359" spans="1:4" x14ac:dyDescent="0.25">
      <c r="A359">
        <v>733520</v>
      </c>
      <c r="B359">
        <v>6000</v>
      </c>
      <c r="C359">
        <v>3120</v>
      </c>
      <c r="D359" t="s">
        <v>1164</v>
      </c>
    </row>
    <row r="360" spans="1:4" x14ac:dyDescent="0.25">
      <c r="A360">
        <v>733525</v>
      </c>
      <c r="B360">
        <v>1000</v>
      </c>
      <c r="C360">
        <v>750</v>
      </c>
      <c r="D360" t="s">
        <v>2747</v>
      </c>
    </row>
    <row r="361" spans="1:4" x14ac:dyDescent="0.25">
      <c r="A361">
        <v>733540</v>
      </c>
      <c r="B361">
        <v>1800</v>
      </c>
      <c r="C361">
        <v>1098</v>
      </c>
      <c r="D361" t="s">
        <v>2125</v>
      </c>
    </row>
    <row r="362" spans="1:4" x14ac:dyDescent="0.25">
      <c r="A362">
        <v>734050</v>
      </c>
      <c r="B362">
        <v>5040</v>
      </c>
      <c r="C362">
        <v>1864.8</v>
      </c>
      <c r="D362" t="s">
        <v>639</v>
      </c>
    </row>
    <row r="363" spans="1:4" x14ac:dyDescent="0.25">
      <c r="A363">
        <v>734059</v>
      </c>
      <c r="B363">
        <v>1920</v>
      </c>
      <c r="C363">
        <v>1190.4000000000001</v>
      </c>
      <c r="D363" t="s">
        <v>638</v>
      </c>
    </row>
    <row r="364" spans="1:4" x14ac:dyDescent="0.25">
      <c r="A364">
        <v>734100</v>
      </c>
      <c r="B364">
        <v>250</v>
      </c>
      <c r="C364">
        <v>912.5</v>
      </c>
      <c r="D364" t="s">
        <v>1170</v>
      </c>
    </row>
    <row r="365" spans="1:4" x14ac:dyDescent="0.25">
      <c r="A365">
        <v>735011</v>
      </c>
      <c r="B365">
        <v>7200</v>
      </c>
      <c r="C365">
        <v>1203.2</v>
      </c>
      <c r="D365" t="s">
        <v>1174</v>
      </c>
    </row>
    <row r="366" spans="1:4" x14ac:dyDescent="0.25">
      <c r="A366">
        <v>735056</v>
      </c>
      <c r="B366">
        <v>4000</v>
      </c>
      <c r="C366">
        <v>760</v>
      </c>
      <c r="D366" t="s">
        <v>1176</v>
      </c>
    </row>
    <row r="367" spans="1:4" x14ac:dyDescent="0.25">
      <c r="A367">
        <v>735071</v>
      </c>
      <c r="B367">
        <v>8500</v>
      </c>
      <c r="C367">
        <v>1587.5</v>
      </c>
      <c r="D367" t="s">
        <v>1178</v>
      </c>
    </row>
    <row r="368" spans="1:4" x14ac:dyDescent="0.25">
      <c r="A368">
        <v>735076</v>
      </c>
      <c r="B368">
        <v>2000</v>
      </c>
      <c r="C368">
        <v>366</v>
      </c>
      <c r="D368" t="s">
        <v>1179</v>
      </c>
    </row>
    <row r="369" spans="1:4" x14ac:dyDescent="0.25">
      <c r="A369">
        <v>738434</v>
      </c>
      <c r="B369">
        <v>480</v>
      </c>
      <c r="C369">
        <v>514.55999999999995</v>
      </c>
      <c r="D369" t="s">
        <v>1181</v>
      </c>
    </row>
    <row r="370" spans="1:4" x14ac:dyDescent="0.25">
      <c r="A370">
        <v>738436</v>
      </c>
      <c r="B370">
        <v>480</v>
      </c>
      <c r="C370">
        <v>496.8</v>
      </c>
      <c r="D370" t="s">
        <v>2135</v>
      </c>
    </row>
    <row r="371" spans="1:4" x14ac:dyDescent="0.25">
      <c r="A371">
        <v>738438</v>
      </c>
      <c r="B371">
        <v>480</v>
      </c>
      <c r="C371">
        <v>468.96</v>
      </c>
      <c r="D371" t="s">
        <v>2136</v>
      </c>
    </row>
    <row r="372" spans="1:4" x14ac:dyDescent="0.25">
      <c r="A372">
        <v>738440</v>
      </c>
      <c r="B372">
        <v>480</v>
      </c>
      <c r="C372">
        <v>468.96</v>
      </c>
      <c r="D372" t="s">
        <v>2138</v>
      </c>
    </row>
    <row r="373" spans="1:4" x14ac:dyDescent="0.25">
      <c r="A373">
        <v>738534</v>
      </c>
      <c r="B373">
        <v>640</v>
      </c>
      <c r="C373">
        <v>777.6</v>
      </c>
      <c r="D373" t="s">
        <v>2140</v>
      </c>
    </row>
    <row r="374" spans="1:4" x14ac:dyDescent="0.25">
      <c r="A374">
        <v>738536</v>
      </c>
      <c r="B374">
        <v>1280</v>
      </c>
      <c r="C374">
        <v>1546.88</v>
      </c>
      <c r="D374" t="s">
        <v>2142</v>
      </c>
    </row>
    <row r="375" spans="1:4" x14ac:dyDescent="0.25">
      <c r="A375">
        <v>738538</v>
      </c>
      <c r="B375">
        <v>480</v>
      </c>
      <c r="C375">
        <v>537.12</v>
      </c>
      <c r="D375" t="s">
        <v>1679</v>
      </c>
    </row>
    <row r="376" spans="1:4" x14ac:dyDescent="0.25">
      <c r="A376">
        <v>739534</v>
      </c>
      <c r="B376">
        <v>1280</v>
      </c>
      <c r="C376">
        <v>1686.4</v>
      </c>
      <c r="D376" t="s">
        <v>1185</v>
      </c>
    </row>
    <row r="377" spans="1:4" x14ac:dyDescent="0.25">
      <c r="A377">
        <v>739536</v>
      </c>
      <c r="B377">
        <v>480</v>
      </c>
      <c r="C377">
        <v>560.16</v>
      </c>
      <c r="D377" t="s">
        <v>1187</v>
      </c>
    </row>
    <row r="378" spans="1:4" x14ac:dyDescent="0.25">
      <c r="A378">
        <v>739538</v>
      </c>
      <c r="B378">
        <v>480</v>
      </c>
      <c r="C378">
        <v>537.12</v>
      </c>
      <c r="D378" t="s">
        <v>1189</v>
      </c>
    </row>
    <row r="379" spans="1:4" x14ac:dyDescent="0.25">
      <c r="A379">
        <v>740011</v>
      </c>
      <c r="B379">
        <v>1000</v>
      </c>
      <c r="C379">
        <v>730</v>
      </c>
      <c r="D379" t="s">
        <v>1195</v>
      </c>
    </row>
    <row r="380" spans="1:4" x14ac:dyDescent="0.25">
      <c r="A380">
        <v>740050</v>
      </c>
      <c r="B380">
        <v>672</v>
      </c>
      <c r="C380">
        <v>766.08</v>
      </c>
      <c r="D380" t="s">
        <v>2149</v>
      </c>
    </row>
    <row r="381" spans="1:4" x14ac:dyDescent="0.25">
      <c r="A381">
        <v>740100</v>
      </c>
      <c r="B381">
        <v>1200</v>
      </c>
      <c r="C381">
        <v>720</v>
      </c>
      <c r="D381" t="s">
        <v>1196</v>
      </c>
    </row>
    <row r="382" spans="1:4" x14ac:dyDescent="0.25">
      <c r="A382">
        <v>740101</v>
      </c>
      <c r="B382">
        <v>1000</v>
      </c>
      <c r="C382">
        <v>710</v>
      </c>
      <c r="D382" t="s">
        <v>1680</v>
      </c>
    </row>
    <row r="383" spans="1:4" x14ac:dyDescent="0.25">
      <c r="A383">
        <v>740102</v>
      </c>
      <c r="B383">
        <v>1200</v>
      </c>
      <c r="C383">
        <v>996</v>
      </c>
      <c r="D383" t="s">
        <v>1198</v>
      </c>
    </row>
    <row r="384" spans="1:4" x14ac:dyDescent="0.25">
      <c r="A384">
        <v>741011</v>
      </c>
      <c r="B384">
        <v>1440</v>
      </c>
      <c r="C384">
        <v>792</v>
      </c>
      <c r="D384" t="s">
        <v>1201</v>
      </c>
    </row>
    <row r="385" spans="1:4" x14ac:dyDescent="0.25">
      <c r="A385">
        <v>741120</v>
      </c>
      <c r="B385">
        <v>1000</v>
      </c>
      <c r="C385">
        <v>410</v>
      </c>
      <c r="D385" t="s">
        <v>1202</v>
      </c>
    </row>
    <row r="386" spans="1:4" x14ac:dyDescent="0.25">
      <c r="A386">
        <v>741121</v>
      </c>
      <c r="B386">
        <v>1280</v>
      </c>
      <c r="C386">
        <v>537.6</v>
      </c>
      <c r="D386" t="s">
        <v>1203</v>
      </c>
    </row>
    <row r="387" spans="1:4" x14ac:dyDescent="0.25">
      <c r="A387">
        <v>741122</v>
      </c>
      <c r="B387">
        <v>2304</v>
      </c>
      <c r="C387">
        <v>1059.8399999999999</v>
      </c>
      <c r="D387" t="s">
        <v>1204</v>
      </c>
    </row>
    <row r="388" spans="1:4" x14ac:dyDescent="0.25">
      <c r="A388">
        <v>750030</v>
      </c>
      <c r="B388">
        <v>1440</v>
      </c>
      <c r="C388">
        <v>542.88</v>
      </c>
      <c r="D388" t="s">
        <v>2156</v>
      </c>
    </row>
    <row r="389" spans="1:4" x14ac:dyDescent="0.25">
      <c r="A389">
        <v>750040</v>
      </c>
      <c r="B389">
        <v>720</v>
      </c>
      <c r="C389">
        <v>468</v>
      </c>
      <c r="D389" t="s">
        <v>1208</v>
      </c>
    </row>
    <row r="390" spans="1:4" x14ac:dyDescent="0.25">
      <c r="A390">
        <v>750100</v>
      </c>
      <c r="B390">
        <v>6480</v>
      </c>
      <c r="C390">
        <v>2138.4</v>
      </c>
      <c r="D390" t="s">
        <v>1211</v>
      </c>
    </row>
    <row r="391" spans="1:4" x14ac:dyDescent="0.25">
      <c r="A391">
        <v>750130</v>
      </c>
      <c r="B391">
        <v>756</v>
      </c>
      <c r="C391">
        <v>491.4</v>
      </c>
      <c r="D391" t="s">
        <v>1213</v>
      </c>
    </row>
    <row r="392" spans="1:4" x14ac:dyDescent="0.25">
      <c r="A392">
        <v>750140</v>
      </c>
      <c r="B392">
        <v>2880</v>
      </c>
      <c r="C392">
        <v>665.28</v>
      </c>
      <c r="D392" t="s">
        <v>1216</v>
      </c>
    </row>
    <row r="393" spans="1:4" x14ac:dyDescent="0.25">
      <c r="A393">
        <v>750160</v>
      </c>
      <c r="B393">
        <v>1200</v>
      </c>
      <c r="C393">
        <v>338.4</v>
      </c>
      <c r="D393" t="s">
        <v>1219</v>
      </c>
    </row>
    <row r="394" spans="1:4" x14ac:dyDescent="0.25">
      <c r="A394">
        <v>770010</v>
      </c>
      <c r="B394">
        <v>5000</v>
      </c>
      <c r="C394">
        <v>4475</v>
      </c>
      <c r="D394" t="s">
        <v>1222</v>
      </c>
    </row>
    <row r="395" spans="1:4" x14ac:dyDescent="0.25">
      <c r="A395">
        <v>771100</v>
      </c>
      <c r="B395">
        <v>3200</v>
      </c>
      <c r="C395">
        <v>1676.8</v>
      </c>
      <c r="D395" t="s">
        <v>2158</v>
      </c>
    </row>
    <row r="396" spans="1:4" x14ac:dyDescent="0.25">
      <c r="A396">
        <v>771200</v>
      </c>
      <c r="B396">
        <v>6001</v>
      </c>
      <c r="C396">
        <v>2430</v>
      </c>
      <c r="D396" t="s">
        <v>1228</v>
      </c>
    </row>
    <row r="397" spans="1:4" x14ac:dyDescent="0.25">
      <c r="A397">
        <v>771202</v>
      </c>
      <c r="B397">
        <v>2601</v>
      </c>
      <c r="C397">
        <v>1196</v>
      </c>
      <c r="D397" t="s">
        <v>1228</v>
      </c>
    </row>
    <row r="398" spans="1:4" x14ac:dyDescent="0.25">
      <c r="A398">
        <v>772100</v>
      </c>
      <c r="B398">
        <v>7000</v>
      </c>
      <c r="C398">
        <v>2226</v>
      </c>
      <c r="D398" t="s">
        <v>638</v>
      </c>
    </row>
    <row r="399" spans="1:4" x14ac:dyDescent="0.25">
      <c r="A399">
        <v>772120</v>
      </c>
      <c r="B399">
        <v>960</v>
      </c>
      <c r="C399">
        <v>508.8</v>
      </c>
      <c r="D399" t="s">
        <v>1614</v>
      </c>
    </row>
    <row r="400" spans="1:4" x14ac:dyDescent="0.25">
      <c r="A400">
        <v>772210</v>
      </c>
      <c r="B400">
        <v>2304</v>
      </c>
      <c r="C400">
        <v>1640.44</v>
      </c>
      <c r="D400" t="s">
        <v>1238</v>
      </c>
    </row>
    <row r="401" spans="1:4" x14ac:dyDescent="0.25">
      <c r="A401">
        <v>779000</v>
      </c>
      <c r="B401">
        <v>5000</v>
      </c>
      <c r="C401">
        <v>17250</v>
      </c>
      <c r="D401" t="s">
        <v>3725</v>
      </c>
    </row>
    <row r="402" spans="1:4" x14ac:dyDescent="0.25">
      <c r="A402">
        <v>779001</v>
      </c>
      <c r="B402">
        <v>2000</v>
      </c>
      <c r="C402">
        <v>12500</v>
      </c>
      <c r="D402" t="s">
        <v>3726</v>
      </c>
    </row>
    <row r="403" spans="1:4" x14ac:dyDescent="0.25">
      <c r="A403">
        <v>786000</v>
      </c>
      <c r="B403">
        <v>1441</v>
      </c>
      <c r="C403">
        <v>1022.4</v>
      </c>
      <c r="D403" t="s">
        <v>1242</v>
      </c>
    </row>
    <row r="404" spans="1:4" x14ac:dyDescent="0.25">
      <c r="A404">
        <v>786030</v>
      </c>
      <c r="B404">
        <v>1000</v>
      </c>
      <c r="C404">
        <v>900</v>
      </c>
      <c r="D404" t="s">
        <v>2168</v>
      </c>
    </row>
    <row r="405" spans="1:4" x14ac:dyDescent="0.25">
      <c r="A405">
        <v>786036</v>
      </c>
      <c r="B405">
        <v>360</v>
      </c>
      <c r="C405">
        <v>2520</v>
      </c>
      <c r="D405" t="s">
        <v>2971</v>
      </c>
    </row>
    <row r="406" spans="1:4" x14ac:dyDescent="0.25">
      <c r="A406">
        <v>800620</v>
      </c>
      <c r="B406">
        <v>560</v>
      </c>
      <c r="C406">
        <v>728</v>
      </c>
      <c r="D406" t="s">
        <v>752</v>
      </c>
    </row>
    <row r="407" spans="1:4" x14ac:dyDescent="0.25">
      <c r="A407">
        <v>812500</v>
      </c>
      <c r="B407">
        <v>2020</v>
      </c>
      <c r="C407">
        <v>3461.6</v>
      </c>
      <c r="D407" t="s">
        <v>1261</v>
      </c>
    </row>
    <row r="408" spans="1:4" x14ac:dyDescent="0.25">
      <c r="A408">
        <v>812502</v>
      </c>
      <c r="B408">
        <v>2008</v>
      </c>
      <c r="C408">
        <v>4505.12</v>
      </c>
      <c r="D408" t="s">
        <v>1264</v>
      </c>
    </row>
    <row r="409" spans="1:4" x14ac:dyDescent="0.25">
      <c r="A409">
        <v>820000</v>
      </c>
      <c r="B409">
        <v>360</v>
      </c>
      <c r="C409">
        <v>990</v>
      </c>
      <c r="D409" t="s">
        <v>1272</v>
      </c>
    </row>
    <row r="410" spans="1:4" x14ac:dyDescent="0.25">
      <c r="A410">
        <v>820500</v>
      </c>
      <c r="B410">
        <v>160</v>
      </c>
      <c r="C410">
        <v>300.8</v>
      </c>
      <c r="D410" t="s">
        <v>1682</v>
      </c>
    </row>
    <row r="411" spans="1:4" x14ac:dyDescent="0.25">
      <c r="A411">
        <v>820614</v>
      </c>
      <c r="B411">
        <v>300</v>
      </c>
      <c r="C411">
        <v>2670</v>
      </c>
      <c r="D411" t="s">
        <v>2973</v>
      </c>
    </row>
    <row r="412" spans="1:4" x14ac:dyDescent="0.25">
      <c r="A412">
        <v>830250</v>
      </c>
      <c r="B412">
        <v>400</v>
      </c>
      <c r="C412">
        <v>2008</v>
      </c>
      <c r="D412" t="s">
        <v>393</v>
      </c>
    </row>
    <row r="413" spans="1:4" x14ac:dyDescent="0.25">
      <c r="A413">
        <v>831030</v>
      </c>
      <c r="B413">
        <v>2600</v>
      </c>
      <c r="C413">
        <v>11180</v>
      </c>
      <c r="D413" t="s">
        <v>2974</v>
      </c>
    </row>
    <row r="414" spans="1:4" x14ac:dyDescent="0.25">
      <c r="A414">
        <v>831033</v>
      </c>
      <c r="B414">
        <v>1280</v>
      </c>
      <c r="C414">
        <v>5580.8</v>
      </c>
      <c r="D414" t="s">
        <v>2975</v>
      </c>
    </row>
    <row r="415" spans="1:4" x14ac:dyDescent="0.25">
      <c r="A415">
        <v>832000</v>
      </c>
      <c r="B415">
        <v>400</v>
      </c>
      <c r="C415">
        <v>236</v>
      </c>
    </row>
    <row r="416" spans="1:4" x14ac:dyDescent="0.25">
      <c r="A416">
        <v>832005</v>
      </c>
      <c r="B416">
        <v>500</v>
      </c>
      <c r="C416">
        <v>505</v>
      </c>
      <c r="D416" t="s">
        <v>1288</v>
      </c>
    </row>
    <row r="417" spans="1:4" x14ac:dyDescent="0.25">
      <c r="A417">
        <v>833013</v>
      </c>
      <c r="B417">
        <v>360</v>
      </c>
      <c r="C417">
        <v>669.6</v>
      </c>
      <c r="D417" t="s">
        <v>1299</v>
      </c>
    </row>
    <row r="418" spans="1:4" x14ac:dyDescent="0.25">
      <c r="A418">
        <v>833053</v>
      </c>
      <c r="B418">
        <v>600</v>
      </c>
      <c r="C418">
        <v>438</v>
      </c>
      <c r="D418" t="s">
        <v>2203</v>
      </c>
    </row>
    <row r="419" spans="1:4" x14ac:dyDescent="0.25">
      <c r="A419">
        <v>833064</v>
      </c>
      <c r="B419">
        <v>1488</v>
      </c>
      <c r="C419">
        <v>4612.8</v>
      </c>
      <c r="D419" t="s">
        <v>1305</v>
      </c>
    </row>
    <row r="420" spans="1:4" x14ac:dyDescent="0.25">
      <c r="A420">
        <v>833070</v>
      </c>
      <c r="B420">
        <v>192</v>
      </c>
      <c r="C420">
        <v>984.96</v>
      </c>
      <c r="D420" t="s">
        <v>1307</v>
      </c>
    </row>
    <row r="421" spans="1:4" x14ac:dyDescent="0.25">
      <c r="A421">
        <v>833076</v>
      </c>
      <c r="B421">
        <v>288</v>
      </c>
      <c r="C421">
        <v>599.04</v>
      </c>
      <c r="D421" t="s">
        <v>1311</v>
      </c>
    </row>
    <row r="422" spans="1:4" x14ac:dyDescent="0.25">
      <c r="A422">
        <v>833082</v>
      </c>
      <c r="B422">
        <v>288</v>
      </c>
      <c r="C422">
        <v>555.84</v>
      </c>
      <c r="D422" t="s">
        <v>1317</v>
      </c>
    </row>
    <row r="423" spans="1:4" x14ac:dyDescent="0.25">
      <c r="A423">
        <v>840240</v>
      </c>
      <c r="B423">
        <v>600</v>
      </c>
      <c r="C423">
        <v>828</v>
      </c>
      <c r="D423" t="s">
        <v>1684</v>
      </c>
    </row>
    <row r="424" spans="1:4" x14ac:dyDescent="0.25">
      <c r="A424">
        <v>841104</v>
      </c>
      <c r="B424">
        <v>720</v>
      </c>
      <c r="C424">
        <v>972</v>
      </c>
      <c r="D424" t="s">
        <v>1328</v>
      </c>
    </row>
    <row r="425" spans="1:4" x14ac:dyDescent="0.25">
      <c r="A425">
        <v>841202</v>
      </c>
      <c r="B425">
        <v>1440</v>
      </c>
      <c r="C425">
        <v>2304</v>
      </c>
      <c r="D425" t="s">
        <v>2220</v>
      </c>
    </row>
    <row r="426" spans="1:4" x14ac:dyDescent="0.25">
      <c r="A426">
        <v>841262</v>
      </c>
      <c r="B426">
        <v>1200</v>
      </c>
      <c r="C426">
        <v>4380</v>
      </c>
      <c r="D426" t="s">
        <v>2223</v>
      </c>
    </row>
    <row r="427" spans="1:4" x14ac:dyDescent="0.25">
      <c r="A427">
        <v>841402</v>
      </c>
      <c r="B427">
        <v>200</v>
      </c>
      <c r="C427">
        <v>400</v>
      </c>
      <c r="D427" t="s">
        <v>2246</v>
      </c>
    </row>
    <row r="428" spans="1:4" x14ac:dyDescent="0.25">
      <c r="A428">
        <v>844180</v>
      </c>
      <c r="B428">
        <v>720</v>
      </c>
      <c r="C428">
        <v>1168.56</v>
      </c>
      <c r="D428" t="s">
        <v>1368</v>
      </c>
    </row>
    <row r="429" spans="1:4" x14ac:dyDescent="0.25">
      <c r="A429">
        <v>844290</v>
      </c>
      <c r="B429">
        <v>1080</v>
      </c>
      <c r="C429">
        <v>2160</v>
      </c>
      <c r="D429" t="s">
        <v>2271</v>
      </c>
    </row>
    <row r="430" spans="1:4" x14ac:dyDescent="0.25">
      <c r="A430">
        <v>870130</v>
      </c>
      <c r="B430">
        <v>1920</v>
      </c>
      <c r="C430">
        <v>710.4</v>
      </c>
      <c r="D430" t="s">
        <v>1376</v>
      </c>
    </row>
    <row r="431" spans="1:4" x14ac:dyDescent="0.25">
      <c r="A431">
        <v>870261</v>
      </c>
      <c r="B431">
        <v>1280</v>
      </c>
      <c r="C431">
        <v>780.8</v>
      </c>
      <c r="D431" t="s">
        <v>2281</v>
      </c>
    </row>
    <row r="432" spans="1:4" x14ac:dyDescent="0.25">
      <c r="A432">
        <v>870280</v>
      </c>
      <c r="B432">
        <v>1201</v>
      </c>
      <c r="C432">
        <v>650.4</v>
      </c>
      <c r="D432" t="s">
        <v>1382</v>
      </c>
    </row>
    <row r="433" spans="1:4" x14ac:dyDescent="0.25">
      <c r="A433">
        <v>870282</v>
      </c>
      <c r="B433">
        <v>4320</v>
      </c>
      <c r="C433">
        <v>1330.56</v>
      </c>
      <c r="D433" t="s">
        <v>2282</v>
      </c>
    </row>
    <row r="434" spans="1:4" x14ac:dyDescent="0.25">
      <c r="A434">
        <v>870286</v>
      </c>
      <c r="B434">
        <v>2400</v>
      </c>
      <c r="C434">
        <v>1512</v>
      </c>
      <c r="D434" t="s">
        <v>1385</v>
      </c>
    </row>
    <row r="435" spans="1:4" x14ac:dyDescent="0.25">
      <c r="A435">
        <v>871000</v>
      </c>
      <c r="B435">
        <v>3720</v>
      </c>
      <c r="C435">
        <v>2326.8000000000002</v>
      </c>
      <c r="D435" t="s">
        <v>1387</v>
      </c>
    </row>
    <row r="436" spans="1:4" x14ac:dyDescent="0.25">
      <c r="A436">
        <v>871100</v>
      </c>
      <c r="B436">
        <v>2000</v>
      </c>
      <c r="C436">
        <v>1100</v>
      </c>
      <c r="D436" t="s">
        <v>1687</v>
      </c>
    </row>
    <row r="437" spans="1:4" x14ac:dyDescent="0.25">
      <c r="A437">
        <v>871170</v>
      </c>
      <c r="B437">
        <v>384</v>
      </c>
      <c r="C437">
        <v>1036.8</v>
      </c>
      <c r="D437" t="s">
        <v>1396</v>
      </c>
    </row>
    <row r="438" spans="1:4" x14ac:dyDescent="0.25">
      <c r="A438">
        <v>884002</v>
      </c>
      <c r="B438">
        <v>600</v>
      </c>
      <c r="C438">
        <v>1620</v>
      </c>
      <c r="D438" t="s">
        <v>1403</v>
      </c>
    </row>
    <row r="439" spans="1:4" x14ac:dyDescent="0.25">
      <c r="A439">
        <v>885086</v>
      </c>
      <c r="B439">
        <v>1200</v>
      </c>
      <c r="C439">
        <v>324</v>
      </c>
      <c r="D439" t="s">
        <v>2295</v>
      </c>
    </row>
    <row r="440" spans="1:4" x14ac:dyDescent="0.25">
      <c r="A440">
        <v>900000</v>
      </c>
      <c r="B440">
        <v>1452</v>
      </c>
      <c r="C440">
        <v>1087.5</v>
      </c>
      <c r="D440" t="s">
        <v>1408</v>
      </c>
    </row>
    <row r="441" spans="1:4" x14ac:dyDescent="0.25">
      <c r="A441">
        <v>900100</v>
      </c>
      <c r="B441">
        <v>601</v>
      </c>
      <c r="C441">
        <v>681.6</v>
      </c>
      <c r="D441" t="s">
        <v>1411</v>
      </c>
    </row>
    <row r="442" spans="1:4" x14ac:dyDescent="0.25">
      <c r="A442">
        <v>900110</v>
      </c>
      <c r="B442">
        <v>600</v>
      </c>
      <c r="C442">
        <v>1013.4</v>
      </c>
      <c r="D442" t="s">
        <v>1413</v>
      </c>
    </row>
    <row r="443" spans="1:4" x14ac:dyDescent="0.25">
      <c r="A443">
        <v>900112</v>
      </c>
      <c r="B443">
        <v>864</v>
      </c>
      <c r="C443">
        <v>1391.04</v>
      </c>
      <c r="D443" t="s">
        <v>1416</v>
      </c>
    </row>
    <row r="444" spans="1:4" x14ac:dyDescent="0.25">
      <c r="A444">
        <v>900162</v>
      </c>
      <c r="B444">
        <v>120</v>
      </c>
      <c r="C444">
        <v>423.6</v>
      </c>
      <c r="D444" t="s">
        <v>2324</v>
      </c>
    </row>
    <row r="445" spans="1:4" x14ac:dyDescent="0.25">
      <c r="A445">
        <v>900163</v>
      </c>
      <c r="B445">
        <v>100</v>
      </c>
      <c r="C445">
        <v>366</v>
      </c>
      <c r="D445" t="s">
        <v>2326</v>
      </c>
    </row>
    <row r="446" spans="1:4" x14ac:dyDescent="0.25">
      <c r="A446">
        <v>900164</v>
      </c>
      <c r="B446">
        <v>200</v>
      </c>
      <c r="C446">
        <v>876</v>
      </c>
      <c r="D446" t="s">
        <v>2327</v>
      </c>
    </row>
    <row r="447" spans="1:4" x14ac:dyDescent="0.25">
      <c r="A447">
        <v>900165</v>
      </c>
      <c r="B447">
        <v>200</v>
      </c>
      <c r="C447">
        <v>1068</v>
      </c>
      <c r="D447" t="s">
        <v>2328</v>
      </c>
    </row>
    <row r="448" spans="1:4" x14ac:dyDescent="0.25">
      <c r="A448">
        <v>900180</v>
      </c>
      <c r="B448">
        <v>400</v>
      </c>
      <c r="C448">
        <v>2200</v>
      </c>
      <c r="D448" t="s">
        <v>2984</v>
      </c>
    </row>
    <row r="449" spans="1:4" x14ac:dyDescent="0.25">
      <c r="A449">
        <v>900200</v>
      </c>
      <c r="B449">
        <v>1440</v>
      </c>
      <c r="C449">
        <v>1396.8</v>
      </c>
      <c r="D449" t="s">
        <v>1428</v>
      </c>
    </row>
    <row r="450" spans="1:4" x14ac:dyDescent="0.25">
      <c r="A450">
        <v>900300</v>
      </c>
      <c r="B450">
        <v>2304</v>
      </c>
      <c r="C450">
        <v>645.12</v>
      </c>
      <c r="D450" t="s">
        <v>1431</v>
      </c>
    </row>
    <row r="451" spans="1:4" x14ac:dyDescent="0.25">
      <c r="A451">
        <v>900500</v>
      </c>
      <c r="B451">
        <v>2304</v>
      </c>
      <c r="C451">
        <v>691.2</v>
      </c>
      <c r="D451" t="s">
        <v>1435</v>
      </c>
    </row>
    <row r="452" spans="1:4" x14ac:dyDescent="0.25">
      <c r="A452">
        <v>900600</v>
      </c>
      <c r="B452">
        <v>4800</v>
      </c>
      <c r="C452">
        <v>1561.6</v>
      </c>
      <c r="D452" t="s">
        <v>1436</v>
      </c>
    </row>
    <row r="453" spans="1:4" x14ac:dyDescent="0.25">
      <c r="A453">
        <v>901102</v>
      </c>
      <c r="B453">
        <v>350</v>
      </c>
      <c r="C453">
        <v>2345</v>
      </c>
      <c r="D453" t="s">
        <v>3727</v>
      </c>
    </row>
    <row r="454" spans="1:4" x14ac:dyDescent="0.25">
      <c r="A454">
        <v>901103</v>
      </c>
      <c r="B454">
        <v>200</v>
      </c>
      <c r="C454">
        <v>1500</v>
      </c>
      <c r="D454" t="s">
        <v>3728</v>
      </c>
    </row>
    <row r="455" spans="1:4" x14ac:dyDescent="0.25">
      <c r="A455">
        <v>901104</v>
      </c>
      <c r="B455">
        <v>200</v>
      </c>
      <c r="C455">
        <v>1680</v>
      </c>
      <c r="D455" t="s">
        <v>3729</v>
      </c>
    </row>
    <row r="456" spans="1:4" x14ac:dyDescent="0.25">
      <c r="A456">
        <v>901121</v>
      </c>
      <c r="B456">
        <v>250</v>
      </c>
      <c r="C456">
        <v>1787.5</v>
      </c>
      <c r="D456" t="s">
        <v>3730</v>
      </c>
    </row>
    <row r="457" spans="1:4" x14ac:dyDescent="0.25">
      <c r="A457">
        <v>901122</v>
      </c>
      <c r="B457">
        <v>200</v>
      </c>
      <c r="C457">
        <v>2040</v>
      </c>
      <c r="D457" t="s">
        <v>3731</v>
      </c>
    </row>
    <row r="458" spans="1:4" x14ac:dyDescent="0.25">
      <c r="A458">
        <v>920110</v>
      </c>
      <c r="B458">
        <v>1</v>
      </c>
      <c r="C458">
        <v>2.75</v>
      </c>
      <c r="D458" t="s">
        <v>1444</v>
      </c>
    </row>
    <row r="459" spans="1:4" x14ac:dyDescent="0.25">
      <c r="A459">
        <v>920120</v>
      </c>
      <c r="B459">
        <v>1</v>
      </c>
      <c r="C459">
        <v>2.25</v>
      </c>
      <c r="D459" t="s">
        <v>1449</v>
      </c>
    </row>
    <row r="460" spans="1:4" x14ac:dyDescent="0.25">
      <c r="A460">
        <v>920130</v>
      </c>
      <c r="B460">
        <v>1</v>
      </c>
      <c r="C460">
        <v>8</v>
      </c>
      <c r="D460" t="s">
        <v>1689</v>
      </c>
    </row>
    <row r="461" spans="1:4" x14ac:dyDescent="0.25">
      <c r="A461">
        <v>920131</v>
      </c>
      <c r="B461">
        <v>1</v>
      </c>
      <c r="C461">
        <v>12.5</v>
      </c>
      <c r="D461" t="s">
        <v>1453</v>
      </c>
    </row>
    <row r="462" spans="1:4" x14ac:dyDescent="0.25">
      <c r="A462">
        <v>920200</v>
      </c>
      <c r="B462">
        <v>1</v>
      </c>
      <c r="C462">
        <v>1.9</v>
      </c>
      <c r="D462" t="s">
        <v>1455</v>
      </c>
    </row>
    <row r="463" spans="1:4" x14ac:dyDescent="0.25">
      <c r="A463">
        <v>920201</v>
      </c>
      <c r="B463">
        <v>1</v>
      </c>
      <c r="C463">
        <v>2.8</v>
      </c>
      <c r="D463" t="s">
        <v>1456</v>
      </c>
    </row>
    <row r="464" spans="1:4" x14ac:dyDescent="0.25">
      <c r="A464">
        <v>920202</v>
      </c>
      <c r="B464">
        <v>1</v>
      </c>
      <c r="C464">
        <v>2.8</v>
      </c>
      <c r="D464" t="s">
        <v>1457</v>
      </c>
    </row>
    <row r="465" spans="1:4" x14ac:dyDescent="0.25">
      <c r="A465">
        <v>920203</v>
      </c>
      <c r="B465">
        <v>1</v>
      </c>
      <c r="C465">
        <v>2.8</v>
      </c>
      <c r="D465" t="s">
        <v>1458</v>
      </c>
    </row>
    <row r="466" spans="1:4" x14ac:dyDescent="0.25">
      <c r="A466">
        <v>920230</v>
      </c>
      <c r="B466">
        <v>1</v>
      </c>
      <c r="C466">
        <v>2.7</v>
      </c>
      <c r="D466" t="s">
        <v>1460</v>
      </c>
    </row>
    <row r="467" spans="1:4" x14ac:dyDescent="0.25">
      <c r="A467">
        <v>920240</v>
      </c>
      <c r="B467">
        <v>1</v>
      </c>
      <c r="C467">
        <v>3.3</v>
      </c>
      <c r="D467" t="s">
        <v>1690</v>
      </c>
    </row>
    <row r="468" spans="1:4" x14ac:dyDescent="0.25">
      <c r="A468">
        <v>920300</v>
      </c>
      <c r="B468">
        <v>1</v>
      </c>
      <c r="C468">
        <v>3.6</v>
      </c>
      <c r="D468" t="s">
        <v>1463</v>
      </c>
    </row>
    <row r="469" spans="1:4" x14ac:dyDescent="0.25">
      <c r="A469">
        <v>920302</v>
      </c>
      <c r="B469">
        <v>1</v>
      </c>
      <c r="C469">
        <v>5.2</v>
      </c>
      <c r="D469" t="s">
        <v>1465</v>
      </c>
    </row>
    <row r="470" spans="1:4" x14ac:dyDescent="0.25">
      <c r="A470">
        <v>920350</v>
      </c>
      <c r="B470">
        <v>1</v>
      </c>
      <c r="C470">
        <v>7.75</v>
      </c>
      <c r="D470" t="s">
        <v>1467</v>
      </c>
    </row>
    <row r="471" spans="1:4" x14ac:dyDescent="0.25">
      <c r="A471">
        <v>920351</v>
      </c>
      <c r="B471">
        <v>1</v>
      </c>
      <c r="C471">
        <v>7.75</v>
      </c>
      <c r="D471" t="s">
        <v>1469</v>
      </c>
    </row>
    <row r="472" spans="1:4" x14ac:dyDescent="0.25">
      <c r="A472">
        <v>920352</v>
      </c>
      <c r="B472">
        <v>1</v>
      </c>
      <c r="C472">
        <v>7.75</v>
      </c>
      <c r="D472" t="s">
        <v>1471</v>
      </c>
    </row>
    <row r="473" spans="1:4" x14ac:dyDescent="0.25">
      <c r="A473">
        <v>920353</v>
      </c>
      <c r="B473">
        <v>1</v>
      </c>
      <c r="C473">
        <v>7.75</v>
      </c>
      <c r="D473" t="s">
        <v>1472</v>
      </c>
    </row>
    <row r="474" spans="1:4" x14ac:dyDescent="0.25">
      <c r="A474">
        <v>920360</v>
      </c>
      <c r="B474">
        <v>1</v>
      </c>
      <c r="C474">
        <v>8.8000000000000007</v>
      </c>
      <c r="D474" t="s">
        <v>1474</v>
      </c>
    </row>
    <row r="475" spans="1:4" x14ac:dyDescent="0.25">
      <c r="A475">
        <v>920361</v>
      </c>
      <c r="B475">
        <v>1</v>
      </c>
      <c r="C475">
        <v>8.8000000000000007</v>
      </c>
      <c r="D475" t="s">
        <v>1475</v>
      </c>
    </row>
    <row r="476" spans="1:4" x14ac:dyDescent="0.25">
      <c r="A476">
        <v>920362</v>
      </c>
      <c r="B476">
        <v>1</v>
      </c>
      <c r="C476">
        <v>8.8000000000000007</v>
      </c>
      <c r="D476" t="s">
        <v>1477</v>
      </c>
    </row>
    <row r="477" spans="1:4" x14ac:dyDescent="0.25">
      <c r="A477">
        <v>920370</v>
      </c>
      <c r="B477">
        <v>1</v>
      </c>
      <c r="C477">
        <v>9.5</v>
      </c>
      <c r="D477" t="s">
        <v>1479</v>
      </c>
    </row>
    <row r="478" spans="1:4" x14ac:dyDescent="0.25">
      <c r="A478">
        <v>920371</v>
      </c>
      <c r="B478">
        <v>1</v>
      </c>
      <c r="C478">
        <v>9.5</v>
      </c>
      <c r="D478" t="s">
        <v>1481</v>
      </c>
    </row>
    <row r="479" spans="1:4" x14ac:dyDescent="0.25">
      <c r="A479">
        <v>920372</v>
      </c>
      <c r="B479">
        <v>1</v>
      </c>
      <c r="C479">
        <v>9.5</v>
      </c>
      <c r="D479" t="s">
        <v>1482</v>
      </c>
    </row>
    <row r="480" spans="1:4" x14ac:dyDescent="0.25">
      <c r="A480">
        <v>920373</v>
      </c>
      <c r="B480">
        <v>1</v>
      </c>
      <c r="C480">
        <v>9.5</v>
      </c>
      <c r="D480" t="s">
        <v>1483</v>
      </c>
    </row>
    <row r="481" spans="1:4" x14ac:dyDescent="0.25">
      <c r="A481">
        <v>920380</v>
      </c>
      <c r="B481">
        <v>265</v>
      </c>
      <c r="C481">
        <v>588.13</v>
      </c>
      <c r="D481" t="s">
        <v>1486</v>
      </c>
    </row>
    <row r="482" spans="1:4" x14ac:dyDescent="0.25">
      <c r="A482">
        <v>920381</v>
      </c>
      <c r="B482">
        <v>265</v>
      </c>
      <c r="C482">
        <v>614.63</v>
      </c>
      <c r="D482" t="s">
        <v>1490</v>
      </c>
    </row>
    <row r="483" spans="1:4" x14ac:dyDescent="0.25">
      <c r="A483">
        <v>920382</v>
      </c>
      <c r="B483">
        <v>145</v>
      </c>
      <c r="C483">
        <v>399.89</v>
      </c>
      <c r="D483" t="s">
        <v>1691</v>
      </c>
    </row>
    <row r="484" spans="1:4" x14ac:dyDescent="0.25">
      <c r="A484">
        <v>920401</v>
      </c>
      <c r="B484">
        <v>1008</v>
      </c>
      <c r="C484">
        <v>1088.6400000000001</v>
      </c>
      <c r="D484" t="s">
        <v>2343</v>
      </c>
    </row>
    <row r="485" spans="1:4" x14ac:dyDescent="0.25">
      <c r="A485">
        <v>930620</v>
      </c>
      <c r="B485">
        <v>721</v>
      </c>
      <c r="C485">
        <v>1764</v>
      </c>
      <c r="D485" t="s">
        <v>1498</v>
      </c>
    </row>
    <row r="486" spans="1:4" x14ac:dyDescent="0.25">
      <c r="A486">
        <v>931260</v>
      </c>
      <c r="B486">
        <v>193</v>
      </c>
      <c r="C486">
        <v>864</v>
      </c>
      <c r="D486" t="s">
        <v>1502</v>
      </c>
    </row>
    <row r="487" spans="1:4" x14ac:dyDescent="0.25">
      <c r="A487">
        <v>940000</v>
      </c>
      <c r="B487">
        <v>1200</v>
      </c>
      <c r="C487">
        <v>1044</v>
      </c>
      <c r="D487" t="s">
        <v>1347</v>
      </c>
    </row>
    <row r="488" spans="1:4" x14ac:dyDescent="0.25">
      <c r="A488">
        <v>940035</v>
      </c>
      <c r="B488">
        <v>96</v>
      </c>
      <c r="C488">
        <v>207.36</v>
      </c>
      <c r="D488" t="s">
        <v>1512</v>
      </c>
    </row>
    <row r="489" spans="1:4" x14ac:dyDescent="0.25">
      <c r="A489">
        <v>941200</v>
      </c>
      <c r="B489">
        <v>1200</v>
      </c>
      <c r="C489">
        <v>1476</v>
      </c>
      <c r="D489" t="s">
        <v>522</v>
      </c>
    </row>
    <row r="490" spans="1:4" x14ac:dyDescent="0.25">
      <c r="A490">
        <v>947091</v>
      </c>
      <c r="B490">
        <v>8</v>
      </c>
      <c r="C490">
        <v>136.16</v>
      </c>
      <c r="D490" t="s">
        <v>1536</v>
      </c>
    </row>
    <row r="491" spans="1:4" x14ac:dyDescent="0.25">
      <c r="A491">
        <v>947096</v>
      </c>
      <c r="B491">
        <v>25</v>
      </c>
      <c r="C491">
        <v>483</v>
      </c>
      <c r="D491" t="s">
        <v>1423</v>
      </c>
    </row>
    <row r="492" spans="1:4" x14ac:dyDescent="0.25">
      <c r="A492">
        <v>947097</v>
      </c>
      <c r="B492">
        <v>25</v>
      </c>
      <c r="C492">
        <v>519.75</v>
      </c>
      <c r="D492" t="s">
        <v>1541</v>
      </c>
    </row>
    <row r="493" spans="1:4" x14ac:dyDescent="0.25">
      <c r="A493">
        <v>947098</v>
      </c>
      <c r="B493">
        <v>25</v>
      </c>
      <c r="C493">
        <v>538.25</v>
      </c>
      <c r="D493" t="s">
        <v>1425</v>
      </c>
    </row>
    <row r="494" spans="1:4" x14ac:dyDescent="0.25">
      <c r="A494">
        <v>947099</v>
      </c>
      <c r="B494">
        <v>25</v>
      </c>
      <c r="C494">
        <v>563.5</v>
      </c>
      <c r="D494" t="s">
        <v>1543</v>
      </c>
    </row>
    <row r="495" spans="1:4" x14ac:dyDescent="0.25">
      <c r="A495">
        <v>955024</v>
      </c>
      <c r="B495">
        <v>1200</v>
      </c>
      <c r="C495">
        <v>552</v>
      </c>
      <c r="D495" t="s">
        <v>2363</v>
      </c>
    </row>
    <row r="496" spans="1:4" x14ac:dyDescent="0.25">
      <c r="A496">
        <v>955025</v>
      </c>
      <c r="B496">
        <v>1440</v>
      </c>
      <c r="C496">
        <v>936</v>
      </c>
      <c r="D496" t="s">
        <v>2365</v>
      </c>
    </row>
    <row r="497" spans="1:4" x14ac:dyDescent="0.25">
      <c r="A497">
        <v>955030</v>
      </c>
      <c r="B497">
        <v>1280</v>
      </c>
      <c r="C497">
        <v>857.6</v>
      </c>
      <c r="D497" t="s">
        <v>2366</v>
      </c>
    </row>
    <row r="498" spans="1:4" x14ac:dyDescent="0.25">
      <c r="A498">
        <v>955031</v>
      </c>
      <c r="B498">
        <v>1280</v>
      </c>
      <c r="C498">
        <v>1216</v>
      </c>
      <c r="D498" t="s">
        <v>2367</v>
      </c>
    </row>
    <row r="499" spans="1:4" x14ac:dyDescent="0.25">
      <c r="A499">
        <v>955130</v>
      </c>
      <c r="B499">
        <v>1120</v>
      </c>
      <c r="C499">
        <v>817.6</v>
      </c>
      <c r="D499" t="s">
        <v>2368</v>
      </c>
    </row>
    <row r="500" spans="1:4" x14ac:dyDescent="0.25">
      <c r="A500">
        <v>955230</v>
      </c>
      <c r="B500">
        <v>1280</v>
      </c>
      <c r="C500">
        <v>678.4</v>
      </c>
      <c r="D500" t="s">
        <v>2369</v>
      </c>
    </row>
    <row r="501" spans="1:4" x14ac:dyDescent="0.25">
      <c r="A501">
        <v>956002</v>
      </c>
      <c r="B501">
        <v>60</v>
      </c>
      <c r="C501">
        <v>714.6</v>
      </c>
      <c r="D501" t="s">
        <v>3732</v>
      </c>
    </row>
    <row r="502" spans="1:4" x14ac:dyDescent="0.25">
      <c r="A502">
        <v>956020</v>
      </c>
      <c r="B502">
        <v>960</v>
      </c>
      <c r="C502">
        <v>27600</v>
      </c>
      <c r="D502" t="s">
        <v>3517</v>
      </c>
    </row>
    <row r="503" spans="1:4" x14ac:dyDescent="0.25">
      <c r="A503">
        <v>960155</v>
      </c>
      <c r="B503">
        <v>18</v>
      </c>
      <c r="C503">
        <v>430.2</v>
      </c>
      <c r="D503" t="s">
        <v>1546</v>
      </c>
    </row>
    <row r="504" spans="1:4" x14ac:dyDescent="0.25">
      <c r="A504">
        <v>960159</v>
      </c>
      <c r="B504">
        <v>12</v>
      </c>
      <c r="C504">
        <v>349.56</v>
      </c>
      <c r="D504" t="s">
        <v>3528</v>
      </c>
    </row>
    <row r="505" spans="1:4" x14ac:dyDescent="0.25">
      <c r="A505">
        <v>996100</v>
      </c>
      <c r="B505">
        <v>1120</v>
      </c>
      <c r="C505">
        <v>682.08</v>
      </c>
      <c r="D505" t="s">
        <v>2380</v>
      </c>
    </row>
    <row r="506" spans="1:4" x14ac:dyDescent="0.25">
      <c r="A506">
        <v>996151</v>
      </c>
      <c r="B506">
        <v>577</v>
      </c>
      <c r="C506">
        <v>797.76</v>
      </c>
      <c r="D506" t="s">
        <v>1564</v>
      </c>
    </row>
    <row r="507" spans="1:4" x14ac:dyDescent="0.25">
      <c r="A507">
        <v>996155</v>
      </c>
      <c r="B507">
        <v>157</v>
      </c>
      <c r="C507">
        <v>851.76</v>
      </c>
      <c r="D507" t="s">
        <v>1567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Makro1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/>
  <dimension ref="A1:G1543"/>
  <sheetViews>
    <sheetView workbookViewId="0">
      <selection activeCell="D10" sqref="D10"/>
    </sheetView>
  </sheetViews>
  <sheetFormatPr defaultRowHeight="15" x14ac:dyDescent="0.25"/>
  <cols>
    <col min="1" max="1" width="12.7109375" bestFit="1" customWidth="1"/>
    <col min="4" max="4" width="22.140625" customWidth="1"/>
  </cols>
  <sheetData>
    <row r="1" spans="1:7" x14ac:dyDescent="0.25">
      <c r="A1" s="4">
        <v>44148</v>
      </c>
    </row>
    <row r="2" spans="1:7" s="3" customFormat="1" x14ac:dyDescent="0.25">
      <c r="A2" s="7" t="s">
        <v>44</v>
      </c>
      <c r="B2" s="7" t="s">
        <v>282</v>
      </c>
      <c r="C2" s="7" t="s">
        <v>2425</v>
      </c>
      <c r="D2" s="7" t="s">
        <v>281</v>
      </c>
      <c r="E2" s="7" t="s">
        <v>45</v>
      </c>
      <c r="F2" s="7" t="s">
        <v>280</v>
      </c>
      <c r="G2" t="s">
        <v>46</v>
      </c>
    </row>
    <row r="3" spans="1:7" x14ac:dyDescent="0.25">
      <c r="A3" t="s">
        <v>44</v>
      </c>
      <c r="B3" t="s">
        <v>282</v>
      </c>
      <c r="C3" t="s">
        <v>2425</v>
      </c>
      <c r="D3" t="s">
        <v>281</v>
      </c>
      <c r="E3" t="s">
        <v>45</v>
      </c>
      <c r="F3" t="s">
        <v>280</v>
      </c>
      <c r="G3" t="s">
        <v>46</v>
      </c>
    </row>
    <row r="4" spans="1:7" x14ac:dyDescent="0.25">
      <c r="A4">
        <v>101010</v>
      </c>
      <c r="B4">
        <v>90</v>
      </c>
      <c r="C4">
        <v>0.152</v>
      </c>
      <c r="D4" t="s">
        <v>2</v>
      </c>
      <c r="E4">
        <v>2809</v>
      </c>
      <c r="F4">
        <v>1400</v>
      </c>
      <c r="G4">
        <v>2</v>
      </c>
    </row>
    <row r="5" spans="1:7" x14ac:dyDescent="0.25">
      <c r="A5">
        <v>101012</v>
      </c>
      <c r="B5">
        <v>90</v>
      </c>
      <c r="C5">
        <v>0.153</v>
      </c>
      <c r="D5" t="s">
        <v>4</v>
      </c>
      <c r="E5">
        <v>2809</v>
      </c>
      <c r="F5">
        <v>256</v>
      </c>
      <c r="G5">
        <v>2</v>
      </c>
    </row>
    <row r="6" spans="1:7" x14ac:dyDescent="0.25">
      <c r="A6">
        <v>102010</v>
      </c>
      <c r="B6">
        <v>90</v>
      </c>
      <c r="C6">
        <v>0.28000000000000003</v>
      </c>
      <c r="D6" t="s">
        <v>2</v>
      </c>
      <c r="F6">
        <v>490</v>
      </c>
      <c r="G6">
        <v>2</v>
      </c>
    </row>
    <row r="7" spans="1:7" x14ac:dyDescent="0.25">
      <c r="A7">
        <v>102012</v>
      </c>
      <c r="B7">
        <v>90</v>
      </c>
      <c r="C7">
        <v>0.28999999999999998</v>
      </c>
      <c r="D7" t="s">
        <v>4</v>
      </c>
      <c r="F7">
        <v>190</v>
      </c>
      <c r="G7">
        <v>2</v>
      </c>
    </row>
    <row r="8" spans="1:7" x14ac:dyDescent="0.25">
      <c r="A8">
        <v>103000</v>
      </c>
      <c r="B8">
        <v>90</v>
      </c>
      <c r="C8">
        <v>0.38600000000000001</v>
      </c>
      <c r="D8" t="s">
        <v>2</v>
      </c>
      <c r="F8">
        <v>190</v>
      </c>
      <c r="G8">
        <v>2</v>
      </c>
    </row>
    <row r="9" spans="1:7" x14ac:dyDescent="0.25">
      <c r="A9">
        <v>103010</v>
      </c>
      <c r="B9">
        <v>90</v>
      </c>
      <c r="C9">
        <v>0.42</v>
      </c>
      <c r="D9" t="s">
        <v>2</v>
      </c>
      <c r="F9">
        <v>750</v>
      </c>
      <c r="G9">
        <v>2</v>
      </c>
    </row>
    <row r="10" spans="1:7" x14ac:dyDescent="0.25">
      <c r="A10">
        <v>103012</v>
      </c>
      <c r="B10">
        <v>90</v>
      </c>
      <c r="C10">
        <v>0.42199999999999999</v>
      </c>
      <c r="D10" t="s">
        <v>4</v>
      </c>
      <c r="F10">
        <v>120</v>
      </c>
      <c r="G10">
        <v>2</v>
      </c>
    </row>
    <row r="11" spans="1:7" x14ac:dyDescent="0.25">
      <c r="A11">
        <v>104010</v>
      </c>
      <c r="B11">
        <v>90</v>
      </c>
      <c r="C11">
        <v>0.52</v>
      </c>
      <c r="D11" t="s">
        <v>2</v>
      </c>
      <c r="F11">
        <v>450</v>
      </c>
      <c r="G11">
        <v>2</v>
      </c>
    </row>
    <row r="12" spans="1:7" x14ac:dyDescent="0.25">
      <c r="A12">
        <v>104012</v>
      </c>
      <c r="B12">
        <v>90</v>
      </c>
      <c r="C12">
        <v>0.55600000000000005</v>
      </c>
      <c r="D12" t="s">
        <v>4</v>
      </c>
      <c r="F12">
        <v>120</v>
      </c>
      <c r="G12">
        <v>2</v>
      </c>
    </row>
    <row r="13" spans="1:7" x14ac:dyDescent="0.25">
      <c r="A13">
        <v>105010</v>
      </c>
      <c r="B13">
        <v>90</v>
      </c>
      <c r="C13">
        <v>0.61299999999999999</v>
      </c>
      <c r="D13" t="s">
        <v>2</v>
      </c>
      <c r="E13">
        <v>2789</v>
      </c>
      <c r="F13">
        <v>600</v>
      </c>
      <c r="G13">
        <v>2</v>
      </c>
    </row>
    <row r="14" spans="1:7" x14ac:dyDescent="0.25">
      <c r="A14">
        <v>105012</v>
      </c>
      <c r="B14">
        <v>90</v>
      </c>
      <c r="C14">
        <v>0.66300000000000003</v>
      </c>
      <c r="D14" t="s">
        <v>4</v>
      </c>
      <c r="E14">
        <v>2789</v>
      </c>
      <c r="F14">
        <v>120</v>
      </c>
      <c r="G14">
        <v>2</v>
      </c>
    </row>
    <row r="15" spans="1:7" x14ac:dyDescent="0.25">
      <c r="A15">
        <v>106010</v>
      </c>
      <c r="B15">
        <v>90</v>
      </c>
      <c r="C15">
        <v>0.72299999999999998</v>
      </c>
      <c r="D15" t="s">
        <v>2</v>
      </c>
      <c r="F15">
        <v>350</v>
      </c>
      <c r="G15">
        <v>2</v>
      </c>
    </row>
    <row r="16" spans="1:7" x14ac:dyDescent="0.25">
      <c r="A16">
        <v>108010</v>
      </c>
      <c r="B16">
        <v>90</v>
      </c>
      <c r="C16">
        <v>0.98199999999999998</v>
      </c>
      <c r="D16" t="s">
        <v>2</v>
      </c>
      <c r="E16">
        <v>2789</v>
      </c>
      <c r="F16">
        <v>150</v>
      </c>
      <c r="G16">
        <v>2</v>
      </c>
    </row>
    <row r="17" spans="1:7" x14ac:dyDescent="0.25">
      <c r="A17">
        <v>108012</v>
      </c>
      <c r="B17">
        <v>90</v>
      </c>
      <c r="C17">
        <v>1.0900000000000001</v>
      </c>
      <c r="D17" t="s">
        <v>4</v>
      </c>
      <c r="E17">
        <v>2789</v>
      </c>
      <c r="F17">
        <v>120</v>
      </c>
      <c r="G17">
        <v>2</v>
      </c>
    </row>
    <row r="18" spans="1:7" x14ac:dyDescent="0.25">
      <c r="A18">
        <v>110010</v>
      </c>
      <c r="B18">
        <v>90</v>
      </c>
      <c r="C18">
        <v>1.157</v>
      </c>
      <c r="D18" t="s">
        <v>2</v>
      </c>
      <c r="E18">
        <v>6448</v>
      </c>
      <c r="F18">
        <v>200</v>
      </c>
      <c r="G18">
        <v>2</v>
      </c>
    </row>
    <row r="19" spans="1:7" x14ac:dyDescent="0.25">
      <c r="A19">
        <v>110012</v>
      </c>
      <c r="B19">
        <v>90</v>
      </c>
      <c r="C19">
        <v>1.284</v>
      </c>
      <c r="D19" t="s">
        <v>4</v>
      </c>
      <c r="E19">
        <v>6448</v>
      </c>
      <c r="F19">
        <v>120</v>
      </c>
      <c r="G19">
        <v>2</v>
      </c>
    </row>
    <row r="20" spans="1:7" x14ac:dyDescent="0.25">
      <c r="A20">
        <v>115010</v>
      </c>
      <c r="B20">
        <v>90</v>
      </c>
      <c r="C20">
        <v>1.6379999999999999</v>
      </c>
      <c r="D20" t="s">
        <v>2542</v>
      </c>
      <c r="E20">
        <v>2791</v>
      </c>
      <c r="F20">
        <v>220</v>
      </c>
      <c r="G20">
        <v>2</v>
      </c>
    </row>
    <row r="21" spans="1:7" x14ac:dyDescent="0.25">
      <c r="A21">
        <v>116010</v>
      </c>
      <c r="B21">
        <v>90</v>
      </c>
      <c r="C21">
        <v>2.323</v>
      </c>
      <c r="D21" t="s">
        <v>2542</v>
      </c>
      <c r="E21">
        <v>2791</v>
      </c>
      <c r="F21">
        <v>420</v>
      </c>
      <c r="G21">
        <v>2</v>
      </c>
    </row>
    <row r="22" spans="1:7" x14ac:dyDescent="0.25">
      <c r="A22">
        <v>121010</v>
      </c>
      <c r="B22">
        <v>90</v>
      </c>
      <c r="C22">
        <v>1.125</v>
      </c>
      <c r="D22" t="s">
        <v>2</v>
      </c>
      <c r="E22">
        <v>6448</v>
      </c>
      <c r="F22">
        <v>100</v>
      </c>
      <c r="G22">
        <v>2</v>
      </c>
    </row>
    <row r="23" spans="1:7" x14ac:dyDescent="0.25">
      <c r="A23">
        <v>121012</v>
      </c>
      <c r="B23">
        <v>90</v>
      </c>
      <c r="C23">
        <v>1.1599999999999999</v>
      </c>
      <c r="D23" t="s">
        <v>4</v>
      </c>
      <c r="E23">
        <v>6448</v>
      </c>
      <c r="F23">
        <v>60</v>
      </c>
      <c r="G23">
        <v>2</v>
      </c>
    </row>
    <row r="24" spans="1:7" x14ac:dyDescent="0.25">
      <c r="A24">
        <v>121510</v>
      </c>
      <c r="B24">
        <v>90</v>
      </c>
      <c r="C24">
        <v>1.6619999999999999</v>
      </c>
      <c r="D24" t="s">
        <v>2542</v>
      </c>
      <c r="E24">
        <v>2791</v>
      </c>
      <c r="F24">
        <v>240</v>
      </c>
      <c r="G24">
        <v>2</v>
      </c>
    </row>
    <row r="25" spans="1:7" x14ac:dyDescent="0.25">
      <c r="A25">
        <v>121512</v>
      </c>
      <c r="B25">
        <v>90</v>
      </c>
      <c r="C25">
        <v>1.6319999999999999</v>
      </c>
      <c r="D25" t="s">
        <v>4</v>
      </c>
      <c r="E25">
        <v>2791</v>
      </c>
      <c r="F25">
        <v>60</v>
      </c>
      <c r="G25">
        <v>2</v>
      </c>
    </row>
    <row r="26" spans="1:7" x14ac:dyDescent="0.25">
      <c r="A26">
        <v>132390</v>
      </c>
      <c r="B26">
        <v>90</v>
      </c>
      <c r="C26">
        <v>0.72299999999999998</v>
      </c>
      <c r="D26" t="s">
        <v>2</v>
      </c>
      <c r="E26">
        <v>6448</v>
      </c>
      <c r="F26">
        <v>200</v>
      </c>
      <c r="G26">
        <v>2</v>
      </c>
    </row>
    <row r="27" spans="1:7" x14ac:dyDescent="0.25">
      <c r="A27">
        <v>133000</v>
      </c>
      <c r="B27">
        <v>90</v>
      </c>
      <c r="C27">
        <v>0.33500000000000002</v>
      </c>
      <c r="D27" t="s">
        <v>4</v>
      </c>
      <c r="F27">
        <v>75</v>
      </c>
      <c r="G27">
        <v>2</v>
      </c>
    </row>
    <row r="28" spans="1:7" x14ac:dyDescent="0.25">
      <c r="A28">
        <v>136010</v>
      </c>
      <c r="B28">
        <v>90</v>
      </c>
      <c r="C28">
        <v>0.86599999999999999</v>
      </c>
      <c r="D28" t="s">
        <v>2</v>
      </c>
      <c r="E28">
        <v>14276</v>
      </c>
      <c r="F28">
        <v>120</v>
      </c>
      <c r="G28">
        <v>2</v>
      </c>
    </row>
    <row r="29" spans="1:7" x14ac:dyDescent="0.25">
      <c r="A29">
        <v>136022</v>
      </c>
      <c r="B29">
        <v>90</v>
      </c>
      <c r="C29">
        <v>0.83799999999999997</v>
      </c>
      <c r="D29" t="s">
        <v>2</v>
      </c>
      <c r="E29">
        <v>14276</v>
      </c>
      <c r="F29">
        <v>300</v>
      </c>
      <c r="G29">
        <v>2</v>
      </c>
    </row>
    <row r="30" spans="1:7" x14ac:dyDescent="0.25">
      <c r="A30">
        <v>136210</v>
      </c>
      <c r="B30">
        <v>90</v>
      </c>
      <c r="C30">
        <v>0.90600000000000003</v>
      </c>
      <c r="D30" t="s">
        <v>2</v>
      </c>
      <c r="F30">
        <v>120</v>
      </c>
      <c r="G30">
        <v>2</v>
      </c>
    </row>
    <row r="31" spans="1:7" x14ac:dyDescent="0.25">
      <c r="A31">
        <v>136222</v>
      </c>
      <c r="B31">
        <v>90</v>
      </c>
      <c r="C31">
        <v>0.84399999999999997</v>
      </c>
      <c r="D31" t="s">
        <v>2</v>
      </c>
      <c r="E31">
        <v>6448</v>
      </c>
      <c r="F31">
        <v>100</v>
      </c>
      <c r="G31">
        <v>2</v>
      </c>
    </row>
    <row r="32" spans="1:7" x14ac:dyDescent="0.25">
      <c r="A32">
        <v>136320</v>
      </c>
      <c r="B32">
        <v>90</v>
      </c>
      <c r="C32">
        <v>0.22600000000000001</v>
      </c>
      <c r="D32" t="s">
        <v>47</v>
      </c>
      <c r="E32">
        <v>14276</v>
      </c>
      <c r="F32">
        <v>260</v>
      </c>
      <c r="G32">
        <v>2</v>
      </c>
    </row>
    <row r="33" spans="1:7" x14ac:dyDescent="0.25">
      <c r="A33">
        <v>136450</v>
      </c>
      <c r="B33">
        <v>90</v>
      </c>
      <c r="C33">
        <v>0.27800000000000002</v>
      </c>
      <c r="D33" t="s">
        <v>47</v>
      </c>
      <c r="E33">
        <v>14276</v>
      </c>
      <c r="F33">
        <v>500</v>
      </c>
      <c r="G33">
        <v>2</v>
      </c>
    </row>
    <row r="34" spans="1:7" x14ac:dyDescent="0.25">
      <c r="A34">
        <v>136550</v>
      </c>
      <c r="B34">
        <v>90</v>
      </c>
      <c r="C34">
        <v>0.375</v>
      </c>
      <c r="D34" t="s">
        <v>47</v>
      </c>
      <c r="E34">
        <v>14276</v>
      </c>
      <c r="F34">
        <v>400</v>
      </c>
      <c r="G34">
        <v>2</v>
      </c>
    </row>
    <row r="35" spans="1:7" x14ac:dyDescent="0.25">
      <c r="A35">
        <v>136600</v>
      </c>
      <c r="B35">
        <v>90</v>
      </c>
      <c r="C35">
        <v>0.47299999999999998</v>
      </c>
      <c r="D35" t="s">
        <v>2985</v>
      </c>
      <c r="E35">
        <v>17917</v>
      </c>
      <c r="F35">
        <v>260</v>
      </c>
      <c r="G35">
        <v>2</v>
      </c>
    </row>
    <row r="36" spans="1:7" x14ac:dyDescent="0.25">
      <c r="A36">
        <v>136650</v>
      </c>
      <c r="B36">
        <v>90</v>
      </c>
      <c r="C36">
        <v>0.66700000000000004</v>
      </c>
      <c r="D36" t="s">
        <v>47</v>
      </c>
      <c r="E36">
        <v>14276</v>
      </c>
      <c r="F36">
        <v>700</v>
      </c>
      <c r="G36">
        <v>2</v>
      </c>
    </row>
    <row r="37" spans="1:7" x14ac:dyDescent="0.25">
      <c r="A37">
        <v>136660</v>
      </c>
      <c r="B37">
        <v>90</v>
      </c>
      <c r="C37">
        <v>0.5</v>
      </c>
      <c r="D37" t="s">
        <v>2725</v>
      </c>
      <c r="E37">
        <v>19529</v>
      </c>
      <c r="F37">
        <v>450</v>
      </c>
      <c r="G37">
        <v>2</v>
      </c>
    </row>
    <row r="38" spans="1:7" x14ac:dyDescent="0.25">
      <c r="A38">
        <v>136691</v>
      </c>
      <c r="B38">
        <v>90</v>
      </c>
      <c r="C38">
        <v>1.238</v>
      </c>
      <c r="D38" t="s">
        <v>47</v>
      </c>
      <c r="E38">
        <v>14276</v>
      </c>
      <c r="F38">
        <v>500</v>
      </c>
      <c r="G38">
        <v>2</v>
      </c>
    </row>
    <row r="39" spans="1:7" x14ac:dyDescent="0.25">
      <c r="A39">
        <v>136865</v>
      </c>
      <c r="B39">
        <v>90</v>
      </c>
      <c r="C39">
        <v>0.59099999999999997</v>
      </c>
      <c r="D39" t="s">
        <v>47</v>
      </c>
      <c r="E39">
        <v>258</v>
      </c>
      <c r="F39">
        <v>300</v>
      </c>
      <c r="G39">
        <v>2</v>
      </c>
    </row>
    <row r="40" spans="1:7" x14ac:dyDescent="0.25">
      <c r="A40">
        <v>136892</v>
      </c>
      <c r="B40">
        <v>90</v>
      </c>
      <c r="C40">
        <v>1.339</v>
      </c>
      <c r="D40" t="s">
        <v>2985</v>
      </c>
      <c r="E40">
        <v>17621</v>
      </c>
      <c r="F40">
        <v>200</v>
      </c>
      <c r="G40">
        <v>2</v>
      </c>
    </row>
    <row r="41" spans="1:7" x14ac:dyDescent="0.25">
      <c r="A41">
        <v>136900</v>
      </c>
      <c r="B41">
        <v>90</v>
      </c>
      <c r="C41">
        <v>1.242</v>
      </c>
      <c r="D41" t="s">
        <v>2985</v>
      </c>
      <c r="E41">
        <v>17917</v>
      </c>
      <c r="F41">
        <v>720</v>
      </c>
      <c r="G41">
        <v>2</v>
      </c>
    </row>
    <row r="42" spans="1:7" x14ac:dyDescent="0.25">
      <c r="A42">
        <v>136920</v>
      </c>
      <c r="B42">
        <v>90</v>
      </c>
      <c r="C42">
        <v>0.40899999999999997</v>
      </c>
      <c r="D42" t="s">
        <v>2725</v>
      </c>
      <c r="E42">
        <v>19529</v>
      </c>
      <c r="F42">
        <v>700</v>
      </c>
      <c r="G42">
        <v>2</v>
      </c>
    </row>
    <row r="43" spans="1:7" x14ac:dyDescent="0.25">
      <c r="A43">
        <v>136930</v>
      </c>
      <c r="B43">
        <v>90</v>
      </c>
      <c r="C43">
        <v>0.183</v>
      </c>
      <c r="D43" t="s">
        <v>2542</v>
      </c>
      <c r="E43">
        <v>17621</v>
      </c>
      <c r="F43">
        <v>600</v>
      </c>
      <c r="G43">
        <v>2</v>
      </c>
    </row>
    <row r="44" spans="1:7" x14ac:dyDescent="0.25">
      <c r="A44">
        <v>136950</v>
      </c>
      <c r="B44">
        <v>90</v>
      </c>
      <c r="C44">
        <v>0.41699999999999998</v>
      </c>
      <c r="D44" t="s">
        <v>2727</v>
      </c>
      <c r="E44">
        <v>19529</v>
      </c>
      <c r="F44">
        <v>130</v>
      </c>
      <c r="G44">
        <v>2</v>
      </c>
    </row>
    <row r="45" spans="1:7" x14ac:dyDescent="0.25">
      <c r="A45">
        <v>137300</v>
      </c>
      <c r="B45">
        <v>120</v>
      </c>
      <c r="C45">
        <v>0.378</v>
      </c>
      <c r="D45" t="s">
        <v>4</v>
      </c>
      <c r="F45">
        <v>1200</v>
      </c>
      <c r="G45">
        <v>2</v>
      </c>
    </row>
    <row r="46" spans="1:7" x14ac:dyDescent="0.25">
      <c r="A46">
        <v>137380</v>
      </c>
      <c r="B46">
        <v>120</v>
      </c>
      <c r="C46">
        <v>0.54500000000000004</v>
      </c>
      <c r="D46" t="s">
        <v>4</v>
      </c>
      <c r="F46">
        <v>300</v>
      </c>
      <c r="G46">
        <v>2</v>
      </c>
    </row>
    <row r="47" spans="1:7" x14ac:dyDescent="0.25">
      <c r="A47">
        <v>137600</v>
      </c>
      <c r="B47">
        <v>90</v>
      </c>
      <c r="C47">
        <v>0.75</v>
      </c>
      <c r="D47" t="s">
        <v>2</v>
      </c>
      <c r="E47">
        <v>13024</v>
      </c>
      <c r="F47">
        <v>700</v>
      </c>
      <c r="G47">
        <v>2</v>
      </c>
    </row>
    <row r="48" spans="1:7" x14ac:dyDescent="0.25">
      <c r="A48">
        <v>137618</v>
      </c>
      <c r="B48">
        <v>90</v>
      </c>
      <c r="C48">
        <v>1.3</v>
      </c>
      <c r="D48" t="s">
        <v>4</v>
      </c>
      <c r="E48">
        <v>13024</v>
      </c>
      <c r="F48">
        <v>100</v>
      </c>
      <c r="G48">
        <v>2</v>
      </c>
    </row>
    <row r="49" spans="1:7" x14ac:dyDescent="0.25">
      <c r="A49">
        <v>140060</v>
      </c>
      <c r="B49">
        <v>90</v>
      </c>
      <c r="C49">
        <v>0.22900000000000001</v>
      </c>
      <c r="D49" t="s">
        <v>2542</v>
      </c>
      <c r="F49">
        <v>360</v>
      </c>
      <c r="G49">
        <v>2</v>
      </c>
    </row>
    <row r="50" spans="1:7" x14ac:dyDescent="0.25">
      <c r="A50">
        <v>140062</v>
      </c>
      <c r="B50">
        <v>90</v>
      </c>
      <c r="C50">
        <v>0.22900000000000001</v>
      </c>
      <c r="D50" t="s">
        <v>4</v>
      </c>
      <c r="F50">
        <v>160</v>
      </c>
      <c r="G50">
        <v>2</v>
      </c>
    </row>
    <row r="51" spans="1:7" x14ac:dyDescent="0.25">
      <c r="A51">
        <v>140070</v>
      </c>
      <c r="B51">
        <v>90</v>
      </c>
      <c r="C51">
        <v>0.26100000000000001</v>
      </c>
      <c r="D51" t="s">
        <v>2542</v>
      </c>
      <c r="F51">
        <v>420</v>
      </c>
      <c r="G51">
        <v>2</v>
      </c>
    </row>
    <row r="52" spans="1:7" x14ac:dyDescent="0.25">
      <c r="A52">
        <v>140072</v>
      </c>
      <c r="B52">
        <v>90</v>
      </c>
      <c r="C52">
        <v>0.255</v>
      </c>
      <c r="D52" t="s">
        <v>4</v>
      </c>
      <c r="F52">
        <v>160</v>
      </c>
      <c r="G52">
        <v>2</v>
      </c>
    </row>
    <row r="53" spans="1:7" x14ac:dyDescent="0.25">
      <c r="A53">
        <v>140080</v>
      </c>
      <c r="B53">
        <v>90</v>
      </c>
      <c r="C53">
        <v>0.36699999999999999</v>
      </c>
      <c r="D53" t="s">
        <v>2542</v>
      </c>
      <c r="F53">
        <v>800</v>
      </c>
      <c r="G53">
        <v>2</v>
      </c>
    </row>
    <row r="54" spans="1:7" x14ac:dyDescent="0.25">
      <c r="A54">
        <v>140082</v>
      </c>
      <c r="B54">
        <v>90</v>
      </c>
      <c r="C54">
        <v>0.373</v>
      </c>
      <c r="D54" t="s">
        <v>4</v>
      </c>
      <c r="F54">
        <v>160</v>
      </c>
      <c r="G54">
        <v>2</v>
      </c>
    </row>
    <row r="55" spans="1:7" x14ac:dyDescent="0.25">
      <c r="A55">
        <v>140160</v>
      </c>
      <c r="B55">
        <v>90</v>
      </c>
      <c r="C55">
        <v>0.247</v>
      </c>
      <c r="D55" t="s">
        <v>2542</v>
      </c>
      <c r="F55">
        <v>650</v>
      </c>
      <c r="G55">
        <v>2</v>
      </c>
    </row>
    <row r="56" spans="1:7" x14ac:dyDescent="0.25">
      <c r="A56">
        <v>140170</v>
      </c>
      <c r="B56">
        <v>90</v>
      </c>
      <c r="C56">
        <v>0.24099999999999999</v>
      </c>
      <c r="D56" t="s">
        <v>2542</v>
      </c>
      <c r="F56">
        <v>550</v>
      </c>
      <c r="G56">
        <v>2</v>
      </c>
    </row>
    <row r="57" spans="1:7" x14ac:dyDescent="0.25">
      <c r="A57">
        <v>141160</v>
      </c>
      <c r="B57">
        <v>90</v>
      </c>
      <c r="C57">
        <v>0.193</v>
      </c>
      <c r="D57" t="s">
        <v>2727</v>
      </c>
      <c r="E57">
        <v>19530</v>
      </c>
      <c r="F57">
        <v>300</v>
      </c>
      <c r="G57">
        <v>2</v>
      </c>
    </row>
    <row r="58" spans="1:7" x14ac:dyDescent="0.25">
      <c r="A58">
        <v>141162</v>
      </c>
      <c r="B58">
        <v>90</v>
      </c>
      <c r="C58">
        <v>0.193</v>
      </c>
      <c r="D58" t="s">
        <v>4</v>
      </c>
      <c r="F58">
        <v>160</v>
      </c>
      <c r="G58">
        <v>2</v>
      </c>
    </row>
    <row r="59" spans="1:7" x14ac:dyDescent="0.25">
      <c r="A59">
        <v>154060</v>
      </c>
      <c r="B59">
        <v>90</v>
      </c>
      <c r="C59">
        <v>0.22600000000000001</v>
      </c>
      <c r="D59" t="s">
        <v>2542</v>
      </c>
      <c r="F59">
        <v>300</v>
      </c>
      <c r="G59">
        <v>2</v>
      </c>
    </row>
    <row r="60" spans="1:7" x14ac:dyDescent="0.25">
      <c r="A60">
        <v>154062</v>
      </c>
      <c r="B60">
        <v>90</v>
      </c>
      <c r="C60">
        <v>0.216</v>
      </c>
      <c r="D60" t="s">
        <v>4</v>
      </c>
      <c r="F60">
        <v>160</v>
      </c>
      <c r="G60">
        <v>2</v>
      </c>
    </row>
    <row r="61" spans="1:7" x14ac:dyDescent="0.25">
      <c r="A61">
        <v>154070</v>
      </c>
      <c r="B61">
        <v>90</v>
      </c>
      <c r="C61">
        <v>0.218</v>
      </c>
      <c r="D61" t="s">
        <v>2542</v>
      </c>
      <c r="F61">
        <v>700</v>
      </c>
      <c r="G61">
        <v>2</v>
      </c>
    </row>
    <row r="62" spans="1:7" x14ac:dyDescent="0.25">
      <c r="A62">
        <v>154100</v>
      </c>
      <c r="B62">
        <v>90</v>
      </c>
      <c r="C62">
        <v>0.33300000000000002</v>
      </c>
      <c r="D62" t="s">
        <v>2542</v>
      </c>
      <c r="F62">
        <v>330</v>
      </c>
      <c r="G62">
        <v>2</v>
      </c>
    </row>
    <row r="63" spans="1:7" x14ac:dyDescent="0.25">
      <c r="A63">
        <v>156140</v>
      </c>
      <c r="B63">
        <v>90</v>
      </c>
      <c r="C63">
        <v>0.30399999999999999</v>
      </c>
      <c r="D63" t="s">
        <v>2542</v>
      </c>
      <c r="E63">
        <v>14276</v>
      </c>
      <c r="F63">
        <v>264</v>
      </c>
      <c r="G63">
        <v>2</v>
      </c>
    </row>
    <row r="64" spans="1:7" x14ac:dyDescent="0.25">
      <c r="A64">
        <v>156490</v>
      </c>
      <c r="B64">
        <v>90</v>
      </c>
      <c r="C64">
        <v>0.434</v>
      </c>
      <c r="D64" t="s">
        <v>4</v>
      </c>
      <c r="F64">
        <v>800</v>
      </c>
      <c r="G64">
        <v>2</v>
      </c>
    </row>
    <row r="65" spans="1:7" x14ac:dyDescent="0.25">
      <c r="A65">
        <v>156494</v>
      </c>
      <c r="B65">
        <v>90</v>
      </c>
      <c r="C65">
        <v>0.42299999999999999</v>
      </c>
      <c r="D65" t="s">
        <v>4</v>
      </c>
      <c r="E65">
        <v>2789</v>
      </c>
      <c r="F65">
        <v>600</v>
      </c>
      <c r="G65">
        <v>2</v>
      </c>
    </row>
    <row r="66" spans="1:7" x14ac:dyDescent="0.25">
      <c r="A66">
        <v>156600</v>
      </c>
      <c r="B66">
        <v>90</v>
      </c>
      <c r="C66">
        <v>0.38100000000000001</v>
      </c>
      <c r="D66" t="s">
        <v>4</v>
      </c>
      <c r="F66">
        <v>1200</v>
      </c>
      <c r="G66">
        <v>2</v>
      </c>
    </row>
    <row r="67" spans="1:7" x14ac:dyDescent="0.25">
      <c r="A67">
        <v>156630</v>
      </c>
      <c r="B67">
        <v>90</v>
      </c>
      <c r="C67">
        <v>0.60599999999999998</v>
      </c>
      <c r="D67" t="s">
        <v>4</v>
      </c>
      <c r="E67">
        <v>5195</v>
      </c>
      <c r="F67">
        <v>600</v>
      </c>
      <c r="G67">
        <v>2</v>
      </c>
    </row>
    <row r="68" spans="1:7" x14ac:dyDescent="0.25">
      <c r="A68">
        <v>162500</v>
      </c>
      <c r="B68">
        <v>90</v>
      </c>
      <c r="C68">
        <v>0.45500000000000002</v>
      </c>
      <c r="D68" t="s">
        <v>2</v>
      </c>
      <c r="E68">
        <v>2789</v>
      </c>
      <c r="F68">
        <v>800</v>
      </c>
      <c r="G68">
        <v>2</v>
      </c>
    </row>
    <row r="69" spans="1:7" x14ac:dyDescent="0.25">
      <c r="A69">
        <v>162502</v>
      </c>
      <c r="B69">
        <v>90</v>
      </c>
      <c r="C69">
        <v>0.34399999999999997</v>
      </c>
      <c r="D69" t="s">
        <v>2</v>
      </c>
      <c r="E69">
        <v>2789</v>
      </c>
      <c r="F69">
        <v>100</v>
      </c>
      <c r="G69">
        <v>2</v>
      </c>
    </row>
    <row r="70" spans="1:7" x14ac:dyDescent="0.25">
      <c r="A70">
        <v>162504</v>
      </c>
      <c r="B70">
        <v>90</v>
      </c>
      <c r="C70">
        <v>0.82099999999999995</v>
      </c>
      <c r="D70" t="s">
        <v>2</v>
      </c>
      <c r="E70">
        <v>2789</v>
      </c>
      <c r="F70">
        <v>250</v>
      </c>
      <c r="G70">
        <v>2</v>
      </c>
    </row>
    <row r="71" spans="1:7" x14ac:dyDescent="0.25">
      <c r="A71" t="s">
        <v>2432</v>
      </c>
      <c r="B71">
        <v>90</v>
      </c>
      <c r="C71">
        <v>0.82099999999999995</v>
      </c>
      <c r="D71" t="s">
        <v>2</v>
      </c>
      <c r="E71">
        <v>2789</v>
      </c>
      <c r="F71">
        <v>250</v>
      </c>
      <c r="G71">
        <v>2</v>
      </c>
    </row>
    <row r="72" spans="1:7" x14ac:dyDescent="0.25">
      <c r="A72">
        <v>162506</v>
      </c>
      <c r="B72">
        <v>90</v>
      </c>
      <c r="C72">
        <v>0.69299999999999995</v>
      </c>
      <c r="D72" t="s">
        <v>2</v>
      </c>
      <c r="E72">
        <v>2789</v>
      </c>
      <c r="F72">
        <v>130</v>
      </c>
      <c r="G72">
        <v>2</v>
      </c>
    </row>
    <row r="73" spans="1:7" x14ac:dyDescent="0.25">
      <c r="A73">
        <v>162508</v>
      </c>
      <c r="B73">
        <v>90</v>
      </c>
      <c r="C73">
        <v>0.47199999999999998</v>
      </c>
      <c r="D73" t="s">
        <v>1694</v>
      </c>
      <c r="E73">
        <v>2789</v>
      </c>
      <c r="F73">
        <v>60</v>
      </c>
      <c r="G73">
        <v>2</v>
      </c>
    </row>
    <row r="74" spans="1:7" x14ac:dyDescent="0.25">
      <c r="A74">
        <v>170100</v>
      </c>
      <c r="B74">
        <v>90</v>
      </c>
      <c r="C74">
        <v>0.755</v>
      </c>
      <c r="D74" t="s">
        <v>2</v>
      </c>
      <c r="E74">
        <v>14276</v>
      </c>
      <c r="F74">
        <v>300</v>
      </c>
      <c r="G74">
        <v>2</v>
      </c>
    </row>
    <row r="75" spans="1:7" x14ac:dyDescent="0.25">
      <c r="A75">
        <v>170150</v>
      </c>
      <c r="B75">
        <v>90</v>
      </c>
      <c r="C75">
        <v>1.1559999999999999</v>
      </c>
      <c r="D75" t="s">
        <v>2</v>
      </c>
      <c r="E75">
        <v>14276</v>
      </c>
      <c r="F75">
        <v>180</v>
      </c>
      <c r="G75">
        <v>2</v>
      </c>
    </row>
    <row r="76" spans="1:7" x14ac:dyDescent="0.25">
      <c r="A76">
        <v>170200</v>
      </c>
      <c r="B76">
        <v>90</v>
      </c>
      <c r="C76">
        <v>1.8440000000000001</v>
      </c>
      <c r="D76" t="s">
        <v>2</v>
      </c>
      <c r="E76">
        <v>14276</v>
      </c>
      <c r="F76">
        <v>80</v>
      </c>
      <c r="G76">
        <v>2</v>
      </c>
    </row>
    <row r="77" spans="1:7" x14ac:dyDescent="0.25">
      <c r="A77">
        <v>172100</v>
      </c>
      <c r="B77">
        <v>90</v>
      </c>
      <c r="C77">
        <v>0.74199999999999999</v>
      </c>
      <c r="D77" t="s">
        <v>2</v>
      </c>
      <c r="E77">
        <v>2789</v>
      </c>
      <c r="F77">
        <v>160</v>
      </c>
      <c r="G77">
        <v>2</v>
      </c>
    </row>
    <row r="78" spans="1:7" x14ac:dyDescent="0.25">
      <c r="A78">
        <v>172150</v>
      </c>
      <c r="B78">
        <v>90</v>
      </c>
      <c r="C78">
        <v>1.407</v>
      </c>
      <c r="D78" t="s">
        <v>2</v>
      </c>
      <c r="E78">
        <v>2789</v>
      </c>
      <c r="F78">
        <v>90</v>
      </c>
      <c r="G78">
        <v>2</v>
      </c>
    </row>
    <row r="79" spans="1:7" x14ac:dyDescent="0.25">
      <c r="A79">
        <v>172200</v>
      </c>
      <c r="B79">
        <v>90</v>
      </c>
      <c r="C79">
        <v>2.242</v>
      </c>
      <c r="D79" t="s">
        <v>2</v>
      </c>
      <c r="E79">
        <v>2789</v>
      </c>
      <c r="F79">
        <v>40</v>
      </c>
      <c r="G79">
        <v>2</v>
      </c>
    </row>
    <row r="80" spans="1:7" x14ac:dyDescent="0.25">
      <c r="A80">
        <v>180192</v>
      </c>
      <c r="B80">
        <v>90</v>
      </c>
      <c r="C80">
        <v>0.40200000000000002</v>
      </c>
      <c r="D80" t="s">
        <v>2</v>
      </c>
      <c r="E80">
        <v>14276</v>
      </c>
      <c r="F80">
        <v>280</v>
      </c>
      <c r="G80">
        <v>2</v>
      </c>
    </row>
    <row r="81" spans="1:7" x14ac:dyDescent="0.25">
      <c r="A81">
        <v>180194</v>
      </c>
      <c r="B81">
        <v>90</v>
      </c>
      <c r="C81">
        <v>0.48299999999999998</v>
      </c>
      <c r="D81" t="s">
        <v>2</v>
      </c>
      <c r="F81">
        <v>250</v>
      </c>
      <c r="G81">
        <v>2</v>
      </c>
    </row>
    <row r="82" spans="1:7" x14ac:dyDescent="0.25">
      <c r="A82">
        <v>181170</v>
      </c>
      <c r="B82">
        <v>90</v>
      </c>
      <c r="C82">
        <v>0.315</v>
      </c>
      <c r="D82" t="s">
        <v>4</v>
      </c>
      <c r="F82">
        <v>210</v>
      </c>
      <c r="G82">
        <v>2</v>
      </c>
    </row>
    <row r="83" spans="1:7" x14ac:dyDescent="0.25">
      <c r="A83">
        <v>182000</v>
      </c>
      <c r="B83">
        <v>90</v>
      </c>
      <c r="C83">
        <v>0.56200000000000006</v>
      </c>
      <c r="D83" t="s">
        <v>2542</v>
      </c>
      <c r="E83">
        <v>2791</v>
      </c>
      <c r="F83">
        <v>720</v>
      </c>
      <c r="G83">
        <v>2</v>
      </c>
    </row>
    <row r="84" spans="1:7" x14ac:dyDescent="0.25">
      <c r="A84">
        <v>182060</v>
      </c>
      <c r="B84">
        <v>90</v>
      </c>
      <c r="C84">
        <v>0.47599999999999998</v>
      </c>
      <c r="D84" t="s">
        <v>2542</v>
      </c>
      <c r="E84">
        <v>2789</v>
      </c>
      <c r="F84">
        <v>400</v>
      </c>
      <c r="G84">
        <v>2</v>
      </c>
    </row>
    <row r="85" spans="1:7" x14ac:dyDescent="0.25">
      <c r="A85">
        <v>182070</v>
      </c>
      <c r="B85">
        <v>90</v>
      </c>
      <c r="C85">
        <v>0.90800000000000003</v>
      </c>
      <c r="D85" t="s">
        <v>2542</v>
      </c>
      <c r="F85">
        <v>100</v>
      </c>
      <c r="G85">
        <v>2</v>
      </c>
    </row>
    <row r="86" spans="1:7" x14ac:dyDescent="0.25">
      <c r="A86">
        <v>182500</v>
      </c>
      <c r="B86">
        <v>90</v>
      </c>
      <c r="C86">
        <v>0.52700000000000002</v>
      </c>
      <c r="D86" t="s">
        <v>2542</v>
      </c>
      <c r="E86">
        <v>2791</v>
      </c>
      <c r="F86">
        <v>320</v>
      </c>
      <c r="G86">
        <v>2</v>
      </c>
    </row>
    <row r="87" spans="1:7" x14ac:dyDescent="0.25">
      <c r="A87">
        <v>183000</v>
      </c>
      <c r="B87">
        <v>90</v>
      </c>
      <c r="C87">
        <v>0.66300000000000003</v>
      </c>
      <c r="D87" t="s">
        <v>2542</v>
      </c>
      <c r="E87">
        <v>2789</v>
      </c>
      <c r="F87">
        <v>200</v>
      </c>
      <c r="G87">
        <v>2</v>
      </c>
    </row>
    <row r="88" spans="1:7" x14ac:dyDescent="0.25">
      <c r="A88">
        <v>183010</v>
      </c>
      <c r="B88">
        <v>90</v>
      </c>
      <c r="C88">
        <v>0.55600000000000005</v>
      </c>
      <c r="D88" t="s">
        <v>1694</v>
      </c>
      <c r="E88">
        <v>2785</v>
      </c>
      <c r="F88">
        <v>110</v>
      </c>
      <c r="G88">
        <v>2</v>
      </c>
    </row>
    <row r="89" spans="1:7" x14ac:dyDescent="0.25">
      <c r="A89">
        <v>183502</v>
      </c>
      <c r="B89">
        <v>90</v>
      </c>
      <c r="C89">
        <v>0.47</v>
      </c>
      <c r="D89" t="s">
        <v>1694</v>
      </c>
      <c r="E89">
        <v>14276</v>
      </c>
      <c r="F89">
        <v>260</v>
      </c>
      <c r="G89">
        <v>2</v>
      </c>
    </row>
    <row r="90" spans="1:7" x14ac:dyDescent="0.25">
      <c r="A90">
        <v>183650</v>
      </c>
      <c r="B90">
        <v>90</v>
      </c>
      <c r="C90">
        <v>0.20799999999999999</v>
      </c>
      <c r="D90" t="s">
        <v>2542</v>
      </c>
      <c r="E90">
        <v>6448</v>
      </c>
      <c r="F90">
        <v>960</v>
      </c>
      <c r="G90">
        <v>2</v>
      </c>
    </row>
    <row r="91" spans="1:7" x14ac:dyDescent="0.25">
      <c r="A91">
        <v>194000</v>
      </c>
      <c r="B91">
        <v>90</v>
      </c>
      <c r="C91">
        <v>0.46800000000000003</v>
      </c>
      <c r="D91" t="s">
        <v>2</v>
      </c>
      <c r="E91">
        <v>14276</v>
      </c>
      <c r="F91">
        <v>350</v>
      </c>
      <c r="G91">
        <v>2</v>
      </c>
    </row>
    <row r="92" spans="1:7" x14ac:dyDescent="0.25">
      <c r="A92">
        <v>194140</v>
      </c>
      <c r="B92">
        <v>90</v>
      </c>
      <c r="C92">
        <v>0.57999999999999996</v>
      </c>
      <c r="D92" t="s">
        <v>2</v>
      </c>
      <c r="E92">
        <v>14276</v>
      </c>
      <c r="F92">
        <v>1650</v>
      </c>
      <c r="G92">
        <v>2</v>
      </c>
    </row>
    <row r="93" spans="1:7" x14ac:dyDescent="0.25">
      <c r="A93">
        <v>194141</v>
      </c>
      <c r="B93">
        <v>90</v>
      </c>
      <c r="C93">
        <v>0.71499999999999997</v>
      </c>
      <c r="D93" t="s">
        <v>2</v>
      </c>
      <c r="E93">
        <v>14276</v>
      </c>
      <c r="F93">
        <v>800</v>
      </c>
      <c r="G93">
        <v>2</v>
      </c>
    </row>
    <row r="94" spans="1:7" x14ac:dyDescent="0.25">
      <c r="A94">
        <v>195012</v>
      </c>
      <c r="B94">
        <v>90</v>
      </c>
      <c r="C94">
        <v>0.44</v>
      </c>
      <c r="D94" t="s">
        <v>2542</v>
      </c>
      <c r="E94">
        <v>13021</v>
      </c>
      <c r="F94">
        <v>80</v>
      </c>
      <c r="G94">
        <v>2</v>
      </c>
    </row>
    <row r="95" spans="1:7" x14ac:dyDescent="0.25">
      <c r="A95">
        <v>195013</v>
      </c>
      <c r="B95">
        <v>90</v>
      </c>
      <c r="C95">
        <v>0.44600000000000001</v>
      </c>
      <c r="D95" t="s">
        <v>2</v>
      </c>
      <c r="F95">
        <v>40</v>
      </c>
      <c r="G95">
        <v>2</v>
      </c>
    </row>
    <row r="96" spans="1:7" x14ac:dyDescent="0.25">
      <c r="A96">
        <v>195014</v>
      </c>
      <c r="B96">
        <v>90</v>
      </c>
      <c r="C96">
        <v>0.20799999999999999</v>
      </c>
      <c r="D96" t="s">
        <v>1695</v>
      </c>
      <c r="E96">
        <v>13022</v>
      </c>
      <c r="F96">
        <v>200</v>
      </c>
      <c r="G96">
        <v>2</v>
      </c>
    </row>
    <row r="97" spans="1:7" x14ac:dyDescent="0.25">
      <c r="A97">
        <v>195015</v>
      </c>
      <c r="B97">
        <v>90</v>
      </c>
      <c r="C97">
        <v>0.14799999999999999</v>
      </c>
      <c r="D97" t="s">
        <v>1694</v>
      </c>
      <c r="F97">
        <v>120</v>
      </c>
      <c r="G97">
        <v>2</v>
      </c>
    </row>
    <row r="98" spans="1:7" x14ac:dyDescent="0.25">
      <c r="A98">
        <v>195310</v>
      </c>
      <c r="B98">
        <v>90</v>
      </c>
      <c r="C98">
        <v>9.2999999999999999E-2</v>
      </c>
      <c r="D98" t="s">
        <v>1695</v>
      </c>
      <c r="E98">
        <v>258</v>
      </c>
      <c r="F98">
        <v>1300</v>
      </c>
      <c r="G98">
        <v>2</v>
      </c>
    </row>
    <row r="99" spans="1:7" x14ac:dyDescent="0.25">
      <c r="A99">
        <v>198190</v>
      </c>
      <c r="B99">
        <v>90</v>
      </c>
      <c r="C99">
        <v>7.4999999999999997E-2</v>
      </c>
      <c r="D99" t="s">
        <v>1695</v>
      </c>
      <c r="E99">
        <v>2791</v>
      </c>
      <c r="F99">
        <v>2500</v>
      </c>
      <c r="G99">
        <v>2</v>
      </c>
    </row>
    <row r="100" spans="1:7" x14ac:dyDescent="0.25">
      <c r="A100">
        <v>198300</v>
      </c>
      <c r="B100">
        <v>90</v>
      </c>
      <c r="C100">
        <v>0.113</v>
      </c>
      <c r="D100" t="s">
        <v>1695</v>
      </c>
      <c r="E100">
        <v>13021</v>
      </c>
      <c r="F100">
        <v>2400</v>
      </c>
      <c r="G100">
        <v>2</v>
      </c>
    </row>
    <row r="101" spans="1:7" x14ac:dyDescent="0.25">
      <c r="A101">
        <v>198390</v>
      </c>
      <c r="B101">
        <v>90</v>
      </c>
      <c r="C101">
        <v>7.6999999999999999E-2</v>
      </c>
      <c r="D101" t="s">
        <v>1695</v>
      </c>
      <c r="E101">
        <v>14276</v>
      </c>
      <c r="F101">
        <v>2500</v>
      </c>
      <c r="G101">
        <v>2</v>
      </c>
    </row>
    <row r="102" spans="1:7" x14ac:dyDescent="0.25">
      <c r="A102">
        <v>198400</v>
      </c>
      <c r="B102">
        <v>90</v>
      </c>
      <c r="C102">
        <v>0.114</v>
      </c>
      <c r="D102" t="s">
        <v>1695</v>
      </c>
      <c r="E102">
        <v>13021</v>
      </c>
      <c r="F102">
        <v>2400</v>
      </c>
      <c r="G102">
        <v>2</v>
      </c>
    </row>
    <row r="103" spans="1:7" x14ac:dyDescent="0.25">
      <c r="A103">
        <v>198501</v>
      </c>
      <c r="B103">
        <v>90</v>
      </c>
      <c r="C103">
        <v>0.128</v>
      </c>
      <c r="D103" t="s">
        <v>1695</v>
      </c>
      <c r="E103">
        <v>14276</v>
      </c>
      <c r="F103">
        <v>1800</v>
      </c>
      <c r="G103">
        <v>2</v>
      </c>
    </row>
    <row r="104" spans="1:7" x14ac:dyDescent="0.25">
      <c r="A104">
        <v>198502</v>
      </c>
      <c r="B104">
        <v>90</v>
      </c>
      <c r="C104">
        <v>0.128</v>
      </c>
      <c r="D104" t="s">
        <v>1695</v>
      </c>
      <c r="E104">
        <v>14276</v>
      </c>
      <c r="F104">
        <v>1800</v>
      </c>
      <c r="G104">
        <v>2</v>
      </c>
    </row>
    <row r="105" spans="1:7" x14ac:dyDescent="0.25">
      <c r="A105">
        <v>198571</v>
      </c>
      <c r="B105">
        <v>90</v>
      </c>
      <c r="C105">
        <v>0.11600000000000001</v>
      </c>
      <c r="D105" t="s">
        <v>1695</v>
      </c>
      <c r="E105">
        <v>2791</v>
      </c>
      <c r="F105">
        <v>700</v>
      </c>
      <c r="G105">
        <v>2</v>
      </c>
    </row>
    <row r="106" spans="1:7" x14ac:dyDescent="0.25">
      <c r="A106">
        <v>198572</v>
      </c>
      <c r="B106">
        <v>90</v>
      </c>
      <c r="C106">
        <v>0.14000000000000001</v>
      </c>
      <c r="D106" t="s">
        <v>1695</v>
      </c>
      <c r="E106">
        <v>2791</v>
      </c>
      <c r="F106">
        <v>700</v>
      </c>
      <c r="G106">
        <v>2</v>
      </c>
    </row>
    <row r="107" spans="1:7" x14ac:dyDescent="0.25">
      <c r="A107">
        <v>199160</v>
      </c>
      <c r="B107">
        <v>90</v>
      </c>
      <c r="C107">
        <v>0.09</v>
      </c>
      <c r="D107" t="s">
        <v>2542</v>
      </c>
      <c r="F107">
        <v>500</v>
      </c>
      <c r="G107">
        <v>2</v>
      </c>
    </row>
    <row r="108" spans="1:7" x14ac:dyDescent="0.25">
      <c r="A108">
        <v>199180</v>
      </c>
      <c r="B108">
        <v>90</v>
      </c>
      <c r="C108">
        <v>0.124</v>
      </c>
      <c r="D108" t="s">
        <v>2542</v>
      </c>
      <c r="E108">
        <v>2791</v>
      </c>
      <c r="F108">
        <v>700</v>
      </c>
      <c r="G108">
        <v>2</v>
      </c>
    </row>
    <row r="109" spans="1:7" x14ac:dyDescent="0.25">
      <c r="A109">
        <v>199260</v>
      </c>
      <c r="B109">
        <v>90</v>
      </c>
      <c r="C109">
        <v>0.27800000000000002</v>
      </c>
      <c r="D109" t="s">
        <v>2542</v>
      </c>
      <c r="E109">
        <v>2791</v>
      </c>
      <c r="F109">
        <v>210</v>
      </c>
      <c r="G109">
        <v>2</v>
      </c>
    </row>
    <row r="110" spans="1:7" x14ac:dyDescent="0.25">
      <c r="A110">
        <v>214032</v>
      </c>
      <c r="B110">
        <v>90</v>
      </c>
      <c r="C110">
        <v>1.73</v>
      </c>
      <c r="D110" t="s">
        <v>2985</v>
      </c>
      <c r="E110">
        <v>14276</v>
      </c>
      <c r="F110">
        <v>160</v>
      </c>
      <c r="G110">
        <v>2</v>
      </c>
    </row>
    <row r="111" spans="1:7" x14ac:dyDescent="0.25">
      <c r="A111">
        <v>214052</v>
      </c>
      <c r="B111">
        <v>90</v>
      </c>
      <c r="C111">
        <v>2.0590000000000002</v>
      </c>
      <c r="D111" t="s">
        <v>2542</v>
      </c>
      <c r="F111">
        <v>130</v>
      </c>
      <c r="G111">
        <v>2</v>
      </c>
    </row>
    <row r="112" spans="1:7" x14ac:dyDescent="0.25">
      <c r="A112">
        <v>214082</v>
      </c>
      <c r="B112">
        <v>90</v>
      </c>
      <c r="C112">
        <v>2.5499999999999998</v>
      </c>
      <c r="D112" t="s">
        <v>2542</v>
      </c>
      <c r="E112">
        <v>14276</v>
      </c>
      <c r="F112">
        <v>80</v>
      </c>
      <c r="G112">
        <v>2</v>
      </c>
    </row>
    <row r="113" spans="1:7" x14ac:dyDescent="0.25">
      <c r="A113">
        <v>230015</v>
      </c>
      <c r="B113">
        <v>90</v>
      </c>
      <c r="C113">
        <v>0.15</v>
      </c>
      <c r="D113" t="s">
        <v>2542</v>
      </c>
      <c r="F113">
        <v>500</v>
      </c>
      <c r="G113">
        <v>2</v>
      </c>
    </row>
    <row r="114" spans="1:7" x14ac:dyDescent="0.25">
      <c r="A114">
        <v>230016</v>
      </c>
      <c r="B114">
        <v>90</v>
      </c>
      <c r="C114">
        <v>0.91500000000000004</v>
      </c>
      <c r="D114" t="s">
        <v>2542</v>
      </c>
      <c r="F114">
        <v>140</v>
      </c>
      <c r="G114">
        <v>2</v>
      </c>
    </row>
    <row r="115" spans="1:7" x14ac:dyDescent="0.25">
      <c r="A115">
        <v>230018</v>
      </c>
      <c r="B115">
        <v>90</v>
      </c>
      <c r="C115">
        <v>0.5</v>
      </c>
      <c r="D115" t="s">
        <v>2542</v>
      </c>
      <c r="E115">
        <v>14276</v>
      </c>
      <c r="F115">
        <v>60</v>
      </c>
      <c r="G115">
        <v>2</v>
      </c>
    </row>
    <row r="116" spans="1:7" x14ac:dyDescent="0.25">
      <c r="A116">
        <v>230030</v>
      </c>
      <c r="B116">
        <v>90</v>
      </c>
      <c r="C116">
        <v>0.38</v>
      </c>
      <c r="D116" t="s">
        <v>2725</v>
      </c>
      <c r="E116">
        <v>2789</v>
      </c>
      <c r="F116">
        <v>800</v>
      </c>
      <c r="G116">
        <v>2</v>
      </c>
    </row>
    <row r="117" spans="1:7" x14ac:dyDescent="0.25">
      <c r="A117">
        <v>240101</v>
      </c>
      <c r="B117">
        <v>90</v>
      </c>
      <c r="C117">
        <v>0.158</v>
      </c>
      <c r="D117" t="s">
        <v>47</v>
      </c>
      <c r="E117">
        <v>14276</v>
      </c>
      <c r="F117">
        <v>2300</v>
      </c>
      <c r="G117">
        <v>2</v>
      </c>
    </row>
    <row r="118" spans="1:7" x14ac:dyDescent="0.25">
      <c r="A118">
        <v>240103</v>
      </c>
      <c r="B118">
        <v>90</v>
      </c>
      <c r="C118">
        <v>0.151</v>
      </c>
      <c r="D118" t="s">
        <v>47</v>
      </c>
      <c r="F118">
        <v>400</v>
      </c>
      <c r="G118">
        <v>2</v>
      </c>
    </row>
    <row r="119" spans="1:7" x14ac:dyDescent="0.25">
      <c r="A119">
        <v>240106</v>
      </c>
      <c r="B119">
        <v>90</v>
      </c>
      <c r="C119">
        <v>0.26700000000000002</v>
      </c>
      <c r="D119" t="s">
        <v>47</v>
      </c>
      <c r="F119">
        <v>400</v>
      </c>
      <c r="G119">
        <v>2</v>
      </c>
    </row>
    <row r="120" spans="1:7" x14ac:dyDescent="0.25">
      <c r="A120">
        <v>240401</v>
      </c>
      <c r="B120">
        <v>90</v>
      </c>
      <c r="C120">
        <v>0.23799999999999999</v>
      </c>
      <c r="D120" t="s">
        <v>47</v>
      </c>
      <c r="E120">
        <v>2789</v>
      </c>
      <c r="F120">
        <v>3000</v>
      </c>
      <c r="G120">
        <v>2</v>
      </c>
    </row>
    <row r="121" spans="1:7" x14ac:dyDescent="0.25">
      <c r="A121">
        <v>241080</v>
      </c>
      <c r="B121">
        <v>90</v>
      </c>
      <c r="C121">
        <v>0.03</v>
      </c>
      <c r="D121" t="s">
        <v>2542</v>
      </c>
      <c r="E121">
        <v>2789</v>
      </c>
      <c r="F121">
        <v>2000</v>
      </c>
      <c r="G121">
        <v>2</v>
      </c>
    </row>
    <row r="122" spans="1:7" x14ac:dyDescent="0.25">
      <c r="A122">
        <v>241082</v>
      </c>
      <c r="B122">
        <v>90</v>
      </c>
      <c r="C122">
        <v>3.2000000000000001E-2</v>
      </c>
      <c r="D122" t="s">
        <v>47</v>
      </c>
      <c r="E122">
        <v>6448</v>
      </c>
      <c r="F122">
        <v>1200</v>
      </c>
      <c r="G122">
        <v>2</v>
      </c>
    </row>
    <row r="123" spans="1:7" x14ac:dyDescent="0.25">
      <c r="A123">
        <v>241110</v>
      </c>
      <c r="B123">
        <v>90</v>
      </c>
      <c r="C123">
        <v>6.5000000000000002E-2</v>
      </c>
      <c r="D123" t="s">
        <v>2542</v>
      </c>
      <c r="E123">
        <v>14276</v>
      </c>
      <c r="F123">
        <v>1400</v>
      </c>
      <c r="G123">
        <v>2</v>
      </c>
    </row>
    <row r="124" spans="1:7" x14ac:dyDescent="0.25">
      <c r="A124">
        <v>241112</v>
      </c>
      <c r="B124">
        <v>90</v>
      </c>
      <c r="C124">
        <v>6.7000000000000004E-2</v>
      </c>
      <c r="D124" t="s">
        <v>47</v>
      </c>
      <c r="E124">
        <v>6448</v>
      </c>
      <c r="F124">
        <v>1400</v>
      </c>
      <c r="G124">
        <v>2</v>
      </c>
    </row>
    <row r="125" spans="1:7" x14ac:dyDescent="0.25">
      <c r="A125">
        <v>241200</v>
      </c>
      <c r="B125">
        <v>90</v>
      </c>
      <c r="C125">
        <v>0.40300000000000002</v>
      </c>
      <c r="D125" t="s">
        <v>2542</v>
      </c>
      <c r="E125">
        <v>2789</v>
      </c>
      <c r="F125">
        <v>1800</v>
      </c>
      <c r="G125">
        <v>2</v>
      </c>
    </row>
    <row r="126" spans="1:7" x14ac:dyDescent="0.25">
      <c r="A126">
        <v>250000</v>
      </c>
      <c r="B126">
        <v>30</v>
      </c>
      <c r="C126">
        <v>7.4999999999999997E-2</v>
      </c>
      <c r="D126">
        <v>2710</v>
      </c>
      <c r="F126">
        <v>1500</v>
      </c>
      <c r="G126">
        <v>2</v>
      </c>
    </row>
    <row r="127" spans="1:7" x14ac:dyDescent="0.25">
      <c r="A127">
        <v>250002</v>
      </c>
      <c r="B127">
        <v>14</v>
      </c>
      <c r="C127">
        <v>0.46</v>
      </c>
      <c r="D127">
        <v>2710</v>
      </c>
      <c r="F127">
        <v>450</v>
      </c>
      <c r="G127">
        <v>2</v>
      </c>
    </row>
    <row r="128" spans="1:7" x14ac:dyDescent="0.25">
      <c r="A128">
        <v>250005</v>
      </c>
      <c r="B128">
        <v>14</v>
      </c>
      <c r="C128">
        <v>0.9</v>
      </c>
      <c r="D128" t="s">
        <v>49</v>
      </c>
      <c r="F128">
        <v>16</v>
      </c>
      <c r="G128">
        <v>2</v>
      </c>
    </row>
    <row r="129" spans="1:7" x14ac:dyDescent="0.25">
      <c r="A129">
        <v>250010</v>
      </c>
      <c r="B129">
        <v>30</v>
      </c>
      <c r="C129">
        <v>0.08</v>
      </c>
      <c r="D129">
        <v>2710</v>
      </c>
      <c r="F129">
        <v>1000</v>
      </c>
      <c r="G129">
        <v>2</v>
      </c>
    </row>
    <row r="130" spans="1:7" x14ac:dyDescent="0.25">
      <c r="A130">
        <v>250055</v>
      </c>
      <c r="B130">
        <v>7</v>
      </c>
      <c r="C130">
        <v>0.90300000000000002</v>
      </c>
      <c r="D130">
        <v>916</v>
      </c>
      <c r="F130">
        <v>0</v>
      </c>
      <c r="G130">
        <v>2</v>
      </c>
    </row>
    <row r="131" spans="1:7" x14ac:dyDescent="0.25">
      <c r="A131">
        <v>250057</v>
      </c>
      <c r="B131">
        <v>7</v>
      </c>
      <c r="C131">
        <v>2.2000000000000002</v>
      </c>
      <c r="D131">
        <v>916</v>
      </c>
      <c r="F131">
        <v>0</v>
      </c>
      <c r="G131">
        <v>2</v>
      </c>
    </row>
    <row r="132" spans="1:7" x14ac:dyDescent="0.25">
      <c r="A132">
        <v>250058</v>
      </c>
      <c r="B132">
        <v>7</v>
      </c>
      <c r="C132">
        <v>2.319</v>
      </c>
      <c r="D132">
        <v>916</v>
      </c>
      <c r="F132">
        <v>0</v>
      </c>
      <c r="G132">
        <v>2</v>
      </c>
    </row>
    <row r="133" spans="1:7" x14ac:dyDescent="0.25">
      <c r="A133">
        <v>250230</v>
      </c>
      <c r="B133">
        <v>80</v>
      </c>
      <c r="C133">
        <v>0.30099999999999999</v>
      </c>
      <c r="D133" t="s">
        <v>50</v>
      </c>
      <c r="F133">
        <v>1000</v>
      </c>
      <c r="G133">
        <v>2</v>
      </c>
    </row>
    <row r="134" spans="1:7" x14ac:dyDescent="0.25">
      <c r="A134">
        <v>250340</v>
      </c>
      <c r="B134">
        <v>80</v>
      </c>
      <c r="C134">
        <v>0.57199999999999995</v>
      </c>
      <c r="D134" t="s">
        <v>50</v>
      </c>
      <c r="F134">
        <v>4000</v>
      </c>
      <c r="G134">
        <v>2</v>
      </c>
    </row>
    <row r="135" spans="1:7" x14ac:dyDescent="0.25">
      <c r="A135">
        <v>250350</v>
      </c>
      <c r="B135">
        <v>80</v>
      </c>
      <c r="C135">
        <v>0.68799999999999994</v>
      </c>
      <c r="D135" t="s">
        <v>50</v>
      </c>
      <c r="F135">
        <v>400</v>
      </c>
      <c r="G135">
        <v>2</v>
      </c>
    </row>
    <row r="136" spans="1:7" x14ac:dyDescent="0.25">
      <c r="A136">
        <v>250450</v>
      </c>
      <c r="B136">
        <v>80</v>
      </c>
      <c r="C136">
        <v>0.89600000000000002</v>
      </c>
      <c r="D136" t="s">
        <v>50</v>
      </c>
      <c r="F136">
        <v>450</v>
      </c>
      <c r="G136">
        <v>2</v>
      </c>
    </row>
    <row r="137" spans="1:7" x14ac:dyDescent="0.25">
      <c r="A137">
        <v>250460</v>
      </c>
      <c r="B137">
        <v>80</v>
      </c>
      <c r="C137">
        <v>1.089</v>
      </c>
      <c r="D137" t="s">
        <v>50</v>
      </c>
      <c r="F137">
        <v>380</v>
      </c>
      <c r="G137">
        <v>2</v>
      </c>
    </row>
    <row r="138" spans="1:7" x14ac:dyDescent="0.25">
      <c r="A138">
        <v>250480</v>
      </c>
      <c r="B138">
        <v>80</v>
      </c>
      <c r="C138">
        <v>1.452</v>
      </c>
      <c r="D138" t="s">
        <v>50</v>
      </c>
      <c r="F138">
        <v>300</v>
      </c>
      <c r="G138">
        <v>2</v>
      </c>
    </row>
    <row r="139" spans="1:7" x14ac:dyDescent="0.25">
      <c r="A139">
        <v>250560</v>
      </c>
      <c r="B139">
        <v>80</v>
      </c>
      <c r="C139">
        <v>1.36</v>
      </c>
      <c r="D139" t="s">
        <v>50</v>
      </c>
      <c r="F139">
        <v>220</v>
      </c>
      <c r="G139">
        <v>2</v>
      </c>
    </row>
    <row r="140" spans="1:7" x14ac:dyDescent="0.25">
      <c r="A140">
        <v>250580</v>
      </c>
      <c r="B140">
        <v>80</v>
      </c>
      <c r="C140">
        <v>1.798</v>
      </c>
      <c r="D140" t="s">
        <v>50</v>
      </c>
      <c r="F140">
        <v>260</v>
      </c>
      <c r="G140">
        <v>2</v>
      </c>
    </row>
    <row r="141" spans="1:7" x14ac:dyDescent="0.25">
      <c r="A141">
        <v>250680</v>
      </c>
      <c r="B141">
        <v>80</v>
      </c>
      <c r="C141">
        <v>2.073</v>
      </c>
      <c r="D141" t="s">
        <v>50</v>
      </c>
      <c r="F141">
        <v>120</v>
      </c>
      <c r="G141">
        <v>2</v>
      </c>
    </row>
    <row r="142" spans="1:7" x14ac:dyDescent="0.25">
      <c r="A142">
        <v>250700</v>
      </c>
      <c r="B142">
        <v>80</v>
      </c>
      <c r="C142">
        <v>2.7080000000000002</v>
      </c>
      <c r="D142" t="s">
        <v>50</v>
      </c>
      <c r="F142">
        <v>150</v>
      </c>
      <c r="G142">
        <v>2</v>
      </c>
    </row>
    <row r="143" spans="1:7" x14ac:dyDescent="0.25">
      <c r="A143">
        <v>250760</v>
      </c>
      <c r="B143">
        <v>80</v>
      </c>
      <c r="C143">
        <v>3.044</v>
      </c>
      <c r="D143" t="s">
        <v>50</v>
      </c>
      <c r="F143">
        <v>70</v>
      </c>
      <c r="G143">
        <v>2</v>
      </c>
    </row>
    <row r="144" spans="1:7" x14ac:dyDescent="0.25">
      <c r="A144">
        <v>250800</v>
      </c>
      <c r="B144">
        <v>80</v>
      </c>
      <c r="C144">
        <v>3.456</v>
      </c>
      <c r="D144" t="s">
        <v>50</v>
      </c>
      <c r="F144">
        <v>80</v>
      </c>
      <c r="G144">
        <v>2</v>
      </c>
    </row>
    <row r="145" spans="1:7" x14ac:dyDescent="0.25">
      <c r="A145">
        <v>250820</v>
      </c>
      <c r="B145">
        <v>80</v>
      </c>
      <c r="C145">
        <v>4.04</v>
      </c>
      <c r="D145" t="s">
        <v>50</v>
      </c>
      <c r="F145">
        <v>70</v>
      </c>
      <c r="G145">
        <v>2</v>
      </c>
    </row>
    <row r="146" spans="1:7" x14ac:dyDescent="0.25">
      <c r="A146">
        <v>250900</v>
      </c>
      <c r="B146">
        <v>80</v>
      </c>
      <c r="C146">
        <v>5.0330000000000004</v>
      </c>
      <c r="D146" t="s">
        <v>50</v>
      </c>
      <c r="F146">
        <v>60</v>
      </c>
      <c r="G146">
        <v>2</v>
      </c>
    </row>
    <row r="147" spans="1:7" x14ac:dyDescent="0.25">
      <c r="A147">
        <v>250940</v>
      </c>
      <c r="B147">
        <v>80</v>
      </c>
      <c r="C147">
        <v>7.12</v>
      </c>
      <c r="D147" t="s">
        <v>50</v>
      </c>
      <c r="F147">
        <v>15</v>
      </c>
      <c r="G147">
        <v>2</v>
      </c>
    </row>
    <row r="148" spans="1:7" x14ac:dyDescent="0.25">
      <c r="A148">
        <v>250950</v>
      </c>
      <c r="B148">
        <v>80</v>
      </c>
      <c r="C148">
        <v>7.08</v>
      </c>
      <c r="D148" t="s">
        <v>50</v>
      </c>
      <c r="F148">
        <v>50</v>
      </c>
      <c r="G148">
        <v>2</v>
      </c>
    </row>
    <row r="149" spans="1:7" x14ac:dyDescent="0.25">
      <c r="A149">
        <v>250960</v>
      </c>
      <c r="B149">
        <v>80</v>
      </c>
      <c r="C149">
        <v>11.26</v>
      </c>
      <c r="D149" t="s">
        <v>50</v>
      </c>
      <c r="F149">
        <v>5</v>
      </c>
      <c r="G149">
        <v>2</v>
      </c>
    </row>
    <row r="150" spans="1:7" x14ac:dyDescent="0.25">
      <c r="A150">
        <v>250980</v>
      </c>
      <c r="B150">
        <v>80</v>
      </c>
      <c r="C150">
        <v>13.96</v>
      </c>
      <c r="D150" t="s">
        <v>50</v>
      </c>
      <c r="F150">
        <v>25</v>
      </c>
      <c r="G150">
        <v>2</v>
      </c>
    </row>
    <row r="151" spans="1:7" x14ac:dyDescent="0.25">
      <c r="A151">
        <v>250990</v>
      </c>
      <c r="B151">
        <v>80</v>
      </c>
      <c r="C151">
        <v>19.32</v>
      </c>
      <c r="D151" t="s">
        <v>50</v>
      </c>
      <c r="F151">
        <v>4</v>
      </c>
      <c r="G151">
        <v>2</v>
      </c>
    </row>
    <row r="152" spans="1:7" x14ac:dyDescent="0.25">
      <c r="A152">
        <v>252340</v>
      </c>
      <c r="B152">
        <v>80</v>
      </c>
      <c r="C152">
        <v>1.6539999999999999</v>
      </c>
      <c r="D152" t="s">
        <v>50</v>
      </c>
      <c r="F152">
        <v>100</v>
      </c>
      <c r="G152">
        <v>2</v>
      </c>
    </row>
    <row r="153" spans="1:7" x14ac:dyDescent="0.25">
      <c r="A153">
        <v>252460</v>
      </c>
      <c r="B153">
        <v>80</v>
      </c>
      <c r="C153">
        <v>3.3119999999999998</v>
      </c>
      <c r="D153" t="s">
        <v>50</v>
      </c>
      <c r="F153">
        <v>120</v>
      </c>
      <c r="G153">
        <v>2</v>
      </c>
    </row>
    <row r="154" spans="1:7" x14ac:dyDescent="0.25">
      <c r="A154">
        <v>252580</v>
      </c>
      <c r="B154">
        <v>80</v>
      </c>
      <c r="C154">
        <v>5.508</v>
      </c>
      <c r="D154" t="s">
        <v>50</v>
      </c>
      <c r="F154">
        <v>120</v>
      </c>
      <c r="G154">
        <v>2</v>
      </c>
    </row>
    <row r="155" spans="1:7" x14ac:dyDescent="0.25">
      <c r="A155">
        <v>252700</v>
      </c>
      <c r="B155">
        <v>80</v>
      </c>
      <c r="C155">
        <v>7.34</v>
      </c>
      <c r="D155" t="s">
        <v>50</v>
      </c>
      <c r="F155">
        <v>20</v>
      </c>
      <c r="G155">
        <v>2</v>
      </c>
    </row>
    <row r="156" spans="1:7" x14ac:dyDescent="0.25">
      <c r="A156">
        <v>252820</v>
      </c>
      <c r="B156">
        <v>80</v>
      </c>
      <c r="C156">
        <v>13.04</v>
      </c>
      <c r="D156" t="s">
        <v>50</v>
      </c>
      <c r="F156">
        <v>6</v>
      </c>
      <c r="G156">
        <v>2</v>
      </c>
    </row>
    <row r="157" spans="1:7" x14ac:dyDescent="0.25">
      <c r="A157">
        <v>253820</v>
      </c>
      <c r="B157">
        <v>3</v>
      </c>
      <c r="C157">
        <v>12.48</v>
      </c>
      <c r="D157">
        <v>578</v>
      </c>
      <c r="F157">
        <v>0</v>
      </c>
      <c r="G157">
        <v>2</v>
      </c>
    </row>
    <row r="158" spans="1:7" x14ac:dyDescent="0.25">
      <c r="A158">
        <v>256035</v>
      </c>
      <c r="B158">
        <v>7</v>
      </c>
      <c r="C158">
        <v>0.4</v>
      </c>
      <c r="D158">
        <v>2922</v>
      </c>
      <c r="F158">
        <v>100</v>
      </c>
      <c r="G158">
        <v>2</v>
      </c>
    </row>
    <row r="159" spans="1:7" x14ac:dyDescent="0.25">
      <c r="A159">
        <v>256060</v>
      </c>
      <c r="B159">
        <v>7</v>
      </c>
      <c r="C159">
        <v>0.7</v>
      </c>
      <c r="D159">
        <v>2922</v>
      </c>
      <c r="F159">
        <v>100</v>
      </c>
      <c r="G159">
        <v>2</v>
      </c>
    </row>
    <row r="160" spans="1:7" x14ac:dyDescent="0.25">
      <c r="A160">
        <v>256121</v>
      </c>
      <c r="B160">
        <v>30</v>
      </c>
      <c r="C160">
        <v>0.87</v>
      </c>
      <c r="D160">
        <v>2922</v>
      </c>
      <c r="F160">
        <v>200</v>
      </c>
      <c r="G160">
        <v>2</v>
      </c>
    </row>
    <row r="161" spans="1:7" x14ac:dyDescent="0.25">
      <c r="A161">
        <v>262000</v>
      </c>
      <c r="B161">
        <v>90</v>
      </c>
      <c r="C161">
        <v>0.32500000000000001</v>
      </c>
      <c r="D161" t="s">
        <v>4</v>
      </c>
      <c r="F161">
        <v>2500</v>
      </c>
      <c r="G161">
        <v>2</v>
      </c>
    </row>
    <row r="162" spans="1:7" x14ac:dyDescent="0.25">
      <c r="A162">
        <v>262002</v>
      </c>
      <c r="B162">
        <v>90</v>
      </c>
      <c r="C162">
        <v>0.67700000000000005</v>
      </c>
      <c r="D162" t="s">
        <v>4</v>
      </c>
      <c r="F162">
        <v>350</v>
      </c>
      <c r="G162">
        <v>2</v>
      </c>
    </row>
    <row r="163" spans="1:7" x14ac:dyDescent="0.25">
      <c r="A163">
        <v>300000</v>
      </c>
      <c r="B163">
        <v>90</v>
      </c>
      <c r="C163">
        <v>8.3000000000000004E-2</v>
      </c>
      <c r="D163" t="s">
        <v>2542</v>
      </c>
      <c r="F163">
        <v>1000</v>
      </c>
      <c r="G163">
        <v>2</v>
      </c>
    </row>
    <row r="164" spans="1:7" x14ac:dyDescent="0.25">
      <c r="A164">
        <v>300013</v>
      </c>
      <c r="B164">
        <v>90</v>
      </c>
      <c r="C164">
        <v>4.8000000000000001E-2</v>
      </c>
      <c r="D164" t="s">
        <v>2542</v>
      </c>
      <c r="F164">
        <v>800</v>
      </c>
      <c r="G164">
        <v>2</v>
      </c>
    </row>
    <row r="165" spans="1:7" x14ac:dyDescent="0.25">
      <c r="A165">
        <v>300070</v>
      </c>
      <c r="B165">
        <v>90</v>
      </c>
      <c r="C165">
        <v>0.13500000000000001</v>
      </c>
      <c r="D165" t="s">
        <v>2542</v>
      </c>
      <c r="F165">
        <v>210</v>
      </c>
      <c r="G165">
        <v>2</v>
      </c>
    </row>
    <row r="166" spans="1:7" x14ac:dyDescent="0.25">
      <c r="A166">
        <v>300072</v>
      </c>
      <c r="B166">
        <v>90</v>
      </c>
      <c r="C166">
        <v>0.14499999999999999</v>
      </c>
      <c r="D166" t="s">
        <v>4</v>
      </c>
      <c r="F166">
        <v>170</v>
      </c>
      <c r="G166">
        <v>2</v>
      </c>
    </row>
    <row r="167" spans="1:7" x14ac:dyDescent="0.25">
      <c r="A167">
        <v>300090</v>
      </c>
      <c r="B167">
        <v>90</v>
      </c>
      <c r="C167">
        <v>0.224</v>
      </c>
      <c r="D167" t="s">
        <v>2542</v>
      </c>
      <c r="F167">
        <v>240</v>
      </c>
      <c r="G167">
        <v>2</v>
      </c>
    </row>
    <row r="168" spans="1:7" x14ac:dyDescent="0.25">
      <c r="A168">
        <v>300092</v>
      </c>
      <c r="B168">
        <v>90</v>
      </c>
      <c r="C168">
        <v>0.214</v>
      </c>
      <c r="D168" t="s">
        <v>4</v>
      </c>
      <c r="F168">
        <v>130</v>
      </c>
      <c r="G168">
        <v>2</v>
      </c>
    </row>
    <row r="169" spans="1:7" x14ac:dyDescent="0.25">
      <c r="A169">
        <v>300110</v>
      </c>
      <c r="B169">
        <v>0</v>
      </c>
      <c r="C169">
        <v>0.35099999999999998</v>
      </c>
      <c r="D169" t="s">
        <v>2542</v>
      </c>
      <c r="F169">
        <v>240</v>
      </c>
      <c r="G169">
        <v>2</v>
      </c>
    </row>
    <row r="170" spans="1:7" x14ac:dyDescent="0.25">
      <c r="A170">
        <v>300112</v>
      </c>
      <c r="B170">
        <v>0</v>
      </c>
      <c r="C170">
        <v>0.47</v>
      </c>
      <c r="D170" t="s">
        <v>4</v>
      </c>
      <c r="F170">
        <v>100</v>
      </c>
      <c r="G170">
        <v>2</v>
      </c>
    </row>
    <row r="171" spans="1:7" x14ac:dyDescent="0.25">
      <c r="A171">
        <v>300130</v>
      </c>
      <c r="B171">
        <v>90</v>
      </c>
      <c r="C171">
        <v>0.58799999999999997</v>
      </c>
      <c r="D171" t="s">
        <v>2542</v>
      </c>
      <c r="F171">
        <v>240</v>
      </c>
      <c r="G171">
        <v>2</v>
      </c>
    </row>
    <row r="172" spans="1:7" x14ac:dyDescent="0.25">
      <c r="A172">
        <v>300132</v>
      </c>
      <c r="B172">
        <v>90</v>
      </c>
      <c r="C172">
        <v>0.74299999999999999</v>
      </c>
      <c r="D172" t="s">
        <v>4</v>
      </c>
      <c r="F172">
        <v>75</v>
      </c>
      <c r="G172">
        <v>2</v>
      </c>
    </row>
    <row r="173" spans="1:7" x14ac:dyDescent="0.25">
      <c r="A173">
        <v>300380</v>
      </c>
      <c r="B173">
        <v>90</v>
      </c>
      <c r="C173">
        <v>0.316</v>
      </c>
      <c r="D173" t="s">
        <v>2542</v>
      </c>
      <c r="E173">
        <v>14276</v>
      </c>
      <c r="F173">
        <v>350</v>
      </c>
      <c r="G173">
        <v>2</v>
      </c>
    </row>
    <row r="174" spans="1:7" x14ac:dyDescent="0.25">
      <c r="A174">
        <v>300400</v>
      </c>
      <c r="B174">
        <v>90</v>
      </c>
      <c r="C174">
        <v>0.54600000000000004</v>
      </c>
      <c r="D174" t="s">
        <v>2542</v>
      </c>
      <c r="E174">
        <v>14276</v>
      </c>
      <c r="F174">
        <v>420</v>
      </c>
      <c r="G174">
        <v>2</v>
      </c>
    </row>
    <row r="175" spans="1:7" x14ac:dyDescent="0.25">
      <c r="A175">
        <v>300420</v>
      </c>
      <c r="B175">
        <v>90</v>
      </c>
      <c r="C175">
        <v>0.80900000000000005</v>
      </c>
      <c r="D175" t="s">
        <v>2542</v>
      </c>
      <c r="E175">
        <v>14276</v>
      </c>
      <c r="F175">
        <v>260</v>
      </c>
      <c r="G175">
        <v>2</v>
      </c>
    </row>
    <row r="176" spans="1:7" x14ac:dyDescent="0.25">
      <c r="A176">
        <v>300710</v>
      </c>
      <c r="B176">
        <v>90</v>
      </c>
      <c r="C176">
        <v>0.39</v>
      </c>
      <c r="D176" t="s">
        <v>2542</v>
      </c>
      <c r="F176">
        <v>160</v>
      </c>
      <c r="G176">
        <v>2</v>
      </c>
    </row>
    <row r="177" spans="1:7" x14ac:dyDescent="0.25">
      <c r="A177">
        <v>300712</v>
      </c>
      <c r="B177">
        <v>90</v>
      </c>
      <c r="C177">
        <v>0.872</v>
      </c>
      <c r="D177" t="s">
        <v>2542</v>
      </c>
      <c r="F177">
        <v>150</v>
      </c>
      <c r="G177">
        <v>2</v>
      </c>
    </row>
    <row r="178" spans="1:7" x14ac:dyDescent="0.25">
      <c r="A178">
        <v>310060</v>
      </c>
      <c r="B178">
        <v>90</v>
      </c>
      <c r="C178">
        <v>0.25900000000000001</v>
      </c>
      <c r="D178" t="s">
        <v>4</v>
      </c>
      <c r="F178">
        <v>320</v>
      </c>
      <c r="G178">
        <v>2</v>
      </c>
    </row>
    <row r="179" spans="1:7" x14ac:dyDescent="0.25">
      <c r="A179">
        <v>310080</v>
      </c>
      <c r="B179">
        <v>90</v>
      </c>
      <c r="C179">
        <v>0.42499999999999999</v>
      </c>
      <c r="D179" t="s">
        <v>4</v>
      </c>
      <c r="F179">
        <v>270</v>
      </c>
      <c r="G179">
        <v>2</v>
      </c>
    </row>
    <row r="180" spans="1:7" x14ac:dyDescent="0.25">
      <c r="A180">
        <v>310190</v>
      </c>
      <c r="B180">
        <v>90</v>
      </c>
      <c r="C180">
        <v>1.008</v>
      </c>
      <c r="D180" t="s">
        <v>4</v>
      </c>
      <c r="F180">
        <v>200</v>
      </c>
      <c r="G180">
        <v>2</v>
      </c>
    </row>
    <row r="181" spans="1:7" x14ac:dyDescent="0.25">
      <c r="A181">
        <v>310221</v>
      </c>
      <c r="B181">
        <v>90</v>
      </c>
      <c r="C181">
        <v>2.2850000000000001</v>
      </c>
      <c r="D181" t="s">
        <v>4</v>
      </c>
      <c r="F181">
        <v>170</v>
      </c>
      <c r="G181">
        <v>2</v>
      </c>
    </row>
    <row r="182" spans="1:7" x14ac:dyDescent="0.25">
      <c r="A182">
        <v>310222</v>
      </c>
      <c r="B182">
        <v>0</v>
      </c>
      <c r="C182">
        <v>0.106</v>
      </c>
      <c r="D182" t="s">
        <v>4</v>
      </c>
      <c r="F182">
        <v>150</v>
      </c>
      <c r="G182">
        <v>2</v>
      </c>
    </row>
    <row r="183" spans="1:7" x14ac:dyDescent="0.25">
      <c r="A183">
        <v>311180</v>
      </c>
      <c r="B183">
        <v>90</v>
      </c>
      <c r="C183">
        <v>1.0529999999999999</v>
      </c>
      <c r="D183" t="s">
        <v>4</v>
      </c>
      <c r="F183">
        <v>350</v>
      </c>
      <c r="G183">
        <v>2</v>
      </c>
    </row>
    <row r="184" spans="1:7" x14ac:dyDescent="0.25">
      <c r="A184">
        <v>312060</v>
      </c>
      <c r="B184">
        <v>90</v>
      </c>
      <c r="C184">
        <v>0.35099999999999998</v>
      </c>
      <c r="D184" t="s">
        <v>4</v>
      </c>
      <c r="F184">
        <v>420</v>
      </c>
      <c r="G184">
        <v>2</v>
      </c>
    </row>
    <row r="185" spans="1:7" x14ac:dyDescent="0.25">
      <c r="A185">
        <v>312180</v>
      </c>
      <c r="B185">
        <v>90</v>
      </c>
      <c r="C185">
        <v>0.48899999999999999</v>
      </c>
      <c r="D185" t="s">
        <v>4</v>
      </c>
      <c r="F185">
        <v>450</v>
      </c>
      <c r="G185">
        <v>2</v>
      </c>
    </row>
    <row r="186" spans="1:7" x14ac:dyDescent="0.25">
      <c r="A186">
        <v>312181</v>
      </c>
      <c r="B186">
        <v>90</v>
      </c>
      <c r="C186">
        <v>0.60199999999999998</v>
      </c>
      <c r="D186" t="s">
        <v>4</v>
      </c>
      <c r="F186">
        <v>130</v>
      </c>
      <c r="G186">
        <v>2</v>
      </c>
    </row>
    <row r="187" spans="1:7" x14ac:dyDescent="0.25">
      <c r="A187">
        <v>312220</v>
      </c>
      <c r="B187">
        <v>90</v>
      </c>
      <c r="C187">
        <v>0.72</v>
      </c>
      <c r="D187" t="s">
        <v>4</v>
      </c>
      <c r="F187">
        <v>300</v>
      </c>
      <c r="G187">
        <v>2</v>
      </c>
    </row>
    <row r="188" spans="1:7" x14ac:dyDescent="0.25">
      <c r="A188">
        <v>312230</v>
      </c>
      <c r="B188">
        <v>90</v>
      </c>
      <c r="C188">
        <v>1.1080000000000001</v>
      </c>
      <c r="D188" t="s">
        <v>4</v>
      </c>
      <c r="F188">
        <v>260</v>
      </c>
      <c r="G188">
        <v>2</v>
      </c>
    </row>
    <row r="189" spans="1:7" x14ac:dyDescent="0.25">
      <c r="A189">
        <v>312250</v>
      </c>
      <c r="B189">
        <v>90</v>
      </c>
      <c r="C189">
        <v>5.03</v>
      </c>
      <c r="D189" t="s">
        <v>4</v>
      </c>
      <c r="F189">
        <v>35</v>
      </c>
      <c r="G189">
        <v>2</v>
      </c>
    </row>
    <row r="190" spans="1:7" x14ac:dyDescent="0.25">
      <c r="A190">
        <v>312257</v>
      </c>
      <c r="B190">
        <v>90</v>
      </c>
      <c r="C190">
        <v>3.0680000000000001</v>
      </c>
      <c r="D190" t="s">
        <v>4</v>
      </c>
      <c r="F190">
        <v>70</v>
      </c>
      <c r="G190">
        <v>2</v>
      </c>
    </row>
    <row r="191" spans="1:7" x14ac:dyDescent="0.25">
      <c r="A191">
        <v>312258</v>
      </c>
      <c r="B191">
        <v>0</v>
      </c>
      <c r="C191">
        <v>0.16300000000000001</v>
      </c>
      <c r="D191" t="s">
        <v>4</v>
      </c>
      <c r="F191">
        <v>200</v>
      </c>
      <c r="G191">
        <v>2</v>
      </c>
    </row>
    <row r="192" spans="1:7" x14ac:dyDescent="0.25">
      <c r="A192">
        <v>312260</v>
      </c>
      <c r="B192">
        <v>90</v>
      </c>
      <c r="C192">
        <v>4.08</v>
      </c>
      <c r="D192" t="s">
        <v>4</v>
      </c>
      <c r="F192">
        <v>25</v>
      </c>
      <c r="G192">
        <v>2</v>
      </c>
    </row>
    <row r="193" spans="1:7" x14ac:dyDescent="0.25">
      <c r="A193">
        <v>312261</v>
      </c>
      <c r="B193">
        <v>0</v>
      </c>
      <c r="C193">
        <v>0.215</v>
      </c>
      <c r="D193" t="s">
        <v>4</v>
      </c>
      <c r="F193">
        <v>200</v>
      </c>
      <c r="G193">
        <v>2</v>
      </c>
    </row>
    <row r="194" spans="1:7" x14ac:dyDescent="0.25">
      <c r="A194">
        <v>313429</v>
      </c>
      <c r="B194">
        <v>90</v>
      </c>
      <c r="C194">
        <v>0.246</v>
      </c>
      <c r="D194" t="s">
        <v>51</v>
      </c>
      <c r="F194">
        <v>0</v>
      </c>
      <c r="G194">
        <v>2</v>
      </c>
    </row>
    <row r="195" spans="1:7" x14ac:dyDescent="0.25">
      <c r="A195">
        <v>314020</v>
      </c>
      <c r="B195">
        <v>90</v>
      </c>
      <c r="C195">
        <v>4.7E-2</v>
      </c>
      <c r="D195" t="s">
        <v>4</v>
      </c>
      <c r="F195">
        <v>560</v>
      </c>
      <c r="G195">
        <v>2</v>
      </c>
    </row>
    <row r="196" spans="1:7" x14ac:dyDescent="0.25">
      <c r="A196">
        <v>314023</v>
      </c>
      <c r="B196">
        <v>90</v>
      </c>
      <c r="C196">
        <v>0.08</v>
      </c>
      <c r="D196" t="s">
        <v>4</v>
      </c>
      <c r="F196">
        <v>530</v>
      </c>
      <c r="G196">
        <v>2</v>
      </c>
    </row>
    <row r="197" spans="1:7" x14ac:dyDescent="0.25">
      <c r="A197">
        <v>314027</v>
      </c>
      <c r="B197">
        <v>90</v>
      </c>
      <c r="C197">
        <v>0.127</v>
      </c>
      <c r="D197" t="s">
        <v>4</v>
      </c>
      <c r="F197">
        <v>330</v>
      </c>
      <c r="G197">
        <v>2</v>
      </c>
    </row>
    <row r="198" spans="1:7" x14ac:dyDescent="0.25">
      <c r="A198">
        <v>314029</v>
      </c>
      <c r="B198">
        <v>90</v>
      </c>
      <c r="C198">
        <v>0.161</v>
      </c>
      <c r="D198" t="s">
        <v>4</v>
      </c>
      <c r="F198">
        <v>220</v>
      </c>
      <c r="G198">
        <v>2</v>
      </c>
    </row>
    <row r="199" spans="1:7" x14ac:dyDescent="0.25">
      <c r="A199">
        <v>314060</v>
      </c>
      <c r="B199">
        <v>90</v>
      </c>
      <c r="C199">
        <v>0.98199999999999998</v>
      </c>
      <c r="D199" t="s">
        <v>4</v>
      </c>
      <c r="F199">
        <v>100</v>
      </c>
      <c r="G199">
        <v>2</v>
      </c>
    </row>
    <row r="200" spans="1:7" x14ac:dyDescent="0.25">
      <c r="A200">
        <v>320080</v>
      </c>
      <c r="B200">
        <v>90</v>
      </c>
      <c r="C200">
        <v>0.157</v>
      </c>
      <c r="D200" t="s">
        <v>2</v>
      </c>
      <c r="F200">
        <v>1900</v>
      </c>
      <c r="G200">
        <v>2</v>
      </c>
    </row>
    <row r="201" spans="1:7" x14ac:dyDescent="0.25">
      <c r="A201">
        <v>321090</v>
      </c>
      <c r="B201">
        <v>90</v>
      </c>
      <c r="C201">
        <v>0.39400000000000002</v>
      </c>
      <c r="D201" t="s">
        <v>2</v>
      </c>
      <c r="E201">
        <v>6448</v>
      </c>
      <c r="F201">
        <v>1800</v>
      </c>
      <c r="G201">
        <v>2</v>
      </c>
    </row>
    <row r="202" spans="1:7" x14ac:dyDescent="0.25">
      <c r="A202">
        <v>321091</v>
      </c>
      <c r="B202">
        <v>90</v>
      </c>
      <c r="C202">
        <v>0.32800000000000001</v>
      </c>
      <c r="D202" t="s">
        <v>2</v>
      </c>
      <c r="E202">
        <v>6448</v>
      </c>
      <c r="F202">
        <v>400</v>
      </c>
      <c r="G202">
        <v>2</v>
      </c>
    </row>
    <row r="203" spans="1:7" x14ac:dyDescent="0.25">
      <c r="A203">
        <v>321092</v>
      </c>
      <c r="B203">
        <v>90</v>
      </c>
      <c r="C203">
        <v>0.249</v>
      </c>
      <c r="D203" t="s">
        <v>2</v>
      </c>
      <c r="E203">
        <v>6448</v>
      </c>
      <c r="F203">
        <v>800</v>
      </c>
      <c r="G203">
        <v>2</v>
      </c>
    </row>
    <row r="204" spans="1:7" x14ac:dyDescent="0.25">
      <c r="A204">
        <v>321170</v>
      </c>
      <c r="B204">
        <v>90</v>
      </c>
      <c r="C204">
        <v>0.39600000000000002</v>
      </c>
      <c r="D204" t="s">
        <v>2</v>
      </c>
      <c r="E204">
        <v>17917</v>
      </c>
      <c r="F204">
        <v>250</v>
      </c>
      <c r="G204">
        <v>2</v>
      </c>
    </row>
    <row r="205" spans="1:7" x14ac:dyDescent="0.25">
      <c r="A205">
        <v>321190</v>
      </c>
      <c r="B205">
        <v>90</v>
      </c>
      <c r="C205">
        <v>0.40699999999999997</v>
      </c>
      <c r="D205" t="s">
        <v>2</v>
      </c>
      <c r="E205">
        <v>2785</v>
      </c>
      <c r="F205">
        <v>1400</v>
      </c>
      <c r="G205">
        <v>2</v>
      </c>
    </row>
    <row r="206" spans="1:7" x14ac:dyDescent="0.25">
      <c r="A206">
        <v>321191</v>
      </c>
      <c r="B206">
        <v>90</v>
      </c>
      <c r="C206">
        <v>0.316</v>
      </c>
      <c r="D206" t="s">
        <v>2</v>
      </c>
      <c r="E206">
        <v>6448</v>
      </c>
      <c r="F206">
        <v>500</v>
      </c>
      <c r="G206">
        <v>2</v>
      </c>
    </row>
    <row r="207" spans="1:7" x14ac:dyDescent="0.25">
      <c r="A207">
        <v>321192</v>
      </c>
      <c r="B207">
        <v>90</v>
      </c>
      <c r="C207">
        <v>0.24</v>
      </c>
      <c r="D207" t="s">
        <v>2</v>
      </c>
      <c r="E207">
        <v>2785</v>
      </c>
      <c r="F207">
        <v>800</v>
      </c>
      <c r="G207">
        <v>2</v>
      </c>
    </row>
    <row r="208" spans="1:7" x14ac:dyDescent="0.25">
      <c r="A208">
        <v>321201</v>
      </c>
      <c r="B208">
        <v>90</v>
      </c>
      <c r="C208">
        <v>0.17899999999999999</v>
      </c>
      <c r="D208" t="s">
        <v>2</v>
      </c>
      <c r="E208">
        <v>14276</v>
      </c>
      <c r="F208">
        <v>670</v>
      </c>
      <c r="G208">
        <v>2</v>
      </c>
    </row>
    <row r="209" spans="1:7" x14ac:dyDescent="0.25">
      <c r="A209">
        <v>322219</v>
      </c>
      <c r="B209">
        <v>0</v>
      </c>
      <c r="C209">
        <v>0.81899999999999995</v>
      </c>
      <c r="D209" t="s">
        <v>2542</v>
      </c>
      <c r="E209">
        <v>2795</v>
      </c>
      <c r="F209">
        <v>220</v>
      </c>
      <c r="G209">
        <v>2</v>
      </c>
    </row>
    <row r="210" spans="1:7" x14ac:dyDescent="0.25">
      <c r="A210">
        <v>322270</v>
      </c>
      <c r="B210">
        <v>90</v>
      </c>
      <c r="C210">
        <v>9.9000000000000005E-2</v>
      </c>
      <c r="D210" t="s">
        <v>2</v>
      </c>
      <c r="F210">
        <v>500</v>
      </c>
      <c r="G210">
        <v>2</v>
      </c>
    </row>
    <row r="211" spans="1:7" x14ac:dyDescent="0.25">
      <c r="A211">
        <v>330140</v>
      </c>
      <c r="B211">
        <v>90</v>
      </c>
      <c r="C211">
        <v>0.161</v>
      </c>
      <c r="D211" t="s">
        <v>2542</v>
      </c>
      <c r="E211">
        <v>2789</v>
      </c>
      <c r="F211">
        <v>290</v>
      </c>
      <c r="G211">
        <v>2</v>
      </c>
    </row>
    <row r="212" spans="1:7" x14ac:dyDescent="0.25">
      <c r="A212">
        <v>330500</v>
      </c>
      <c r="B212">
        <v>90</v>
      </c>
      <c r="C212">
        <v>0.3</v>
      </c>
      <c r="D212" t="s">
        <v>2542</v>
      </c>
      <c r="F212">
        <v>490</v>
      </c>
      <c r="G212">
        <v>2</v>
      </c>
    </row>
    <row r="213" spans="1:7" x14ac:dyDescent="0.25">
      <c r="A213">
        <v>330526</v>
      </c>
      <c r="B213">
        <v>49</v>
      </c>
      <c r="C213">
        <v>1.0129999999999999</v>
      </c>
      <c r="D213" t="s">
        <v>2542</v>
      </c>
      <c r="E213">
        <v>14276</v>
      </c>
      <c r="F213">
        <v>40</v>
      </c>
      <c r="G213">
        <v>2</v>
      </c>
    </row>
    <row r="214" spans="1:7" x14ac:dyDescent="0.25">
      <c r="A214">
        <v>331048</v>
      </c>
      <c r="B214">
        <v>90</v>
      </c>
      <c r="C214">
        <v>0.30499999999999999</v>
      </c>
      <c r="D214" t="s">
        <v>2542</v>
      </c>
      <c r="F214">
        <v>100</v>
      </c>
      <c r="G214">
        <v>2</v>
      </c>
    </row>
    <row r="215" spans="1:7" x14ac:dyDescent="0.25">
      <c r="A215">
        <v>333251</v>
      </c>
      <c r="B215">
        <v>90</v>
      </c>
      <c r="C215">
        <v>0.36399999999999999</v>
      </c>
      <c r="D215" t="s">
        <v>2542</v>
      </c>
      <c r="E215">
        <v>2795</v>
      </c>
      <c r="F215">
        <v>180</v>
      </c>
      <c r="G215">
        <v>2</v>
      </c>
    </row>
    <row r="216" spans="1:7" x14ac:dyDescent="0.25">
      <c r="A216">
        <v>340006</v>
      </c>
      <c r="B216">
        <v>90</v>
      </c>
      <c r="C216">
        <v>0.62</v>
      </c>
      <c r="D216" t="s">
        <v>1694</v>
      </c>
      <c r="E216">
        <v>2789</v>
      </c>
      <c r="F216">
        <v>100</v>
      </c>
      <c r="G216">
        <v>2</v>
      </c>
    </row>
    <row r="217" spans="1:7" x14ac:dyDescent="0.25">
      <c r="A217">
        <v>340008</v>
      </c>
      <c r="B217">
        <v>90</v>
      </c>
      <c r="C217">
        <v>0.54</v>
      </c>
      <c r="D217" t="s">
        <v>1694</v>
      </c>
      <c r="F217">
        <v>450</v>
      </c>
      <c r="G217">
        <v>2</v>
      </c>
    </row>
    <row r="218" spans="1:7" x14ac:dyDescent="0.25">
      <c r="A218">
        <v>340010</v>
      </c>
      <c r="B218">
        <v>90</v>
      </c>
      <c r="C218">
        <v>1</v>
      </c>
      <c r="D218" t="s">
        <v>1694</v>
      </c>
      <c r="F218">
        <v>75</v>
      </c>
      <c r="G218">
        <v>2</v>
      </c>
    </row>
    <row r="219" spans="1:7" x14ac:dyDescent="0.25">
      <c r="A219">
        <v>340011</v>
      </c>
      <c r="B219">
        <v>90</v>
      </c>
      <c r="C219">
        <v>0.375</v>
      </c>
      <c r="D219" t="s">
        <v>1694</v>
      </c>
      <c r="F219">
        <v>150</v>
      </c>
      <c r="G219">
        <v>2</v>
      </c>
    </row>
    <row r="220" spans="1:7" x14ac:dyDescent="0.25">
      <c r="A220">
        <v>340012</v>
      </c>
      <c r="B220">
        <v>90</v>
      </c>
      <c r="C220">
        <v>0.61299999999999999</v>
      </c>
      <c r="D220" t="s">
        <v>1694</v>
      </c>
      <c r="F220">
        <v>120</v>
      </c>
      <c r="G220">
        <v>2</v>
      </c>
    </row>
    <row r="221" spans="1:7" x14ac:dyDescent="0.25">
      <c r="A221">
        <v>340019</v>
      </c>
      <c r="B221">
        <v>90</v>
      </c>
      <c r="C221">
        <v>1.65</v>
      </c>
      <c r="D221" t="s">
        <v>1694</v>
      </c>
      <c r="F221">
        <v>30</v>
      </c>
      <c r="G221">
        <v>2</v>
      </c>
    </row>
    <row r="222" spans="1:7" x14ac:dyDescent="0.25">
      <c r="A222">
        <v>340020</v>
      </c>
      <c r="B222">
        <v>90</v>
      </c>
      <c r="C222">
        <v>2.2000000000000002</v>
      </c>
      <c r="D222" t="s">
        <v>2727</v>
      </c>
      <c r="E222">
        <v>19167</v>
      </c>
      <c r="F222">
        <v>50</v>
      </c>
      <c r="G222">
        <v>2</v>
      </c>
    </row>
    <row r="223" spans="1:7" x14ac:dyDescent="0.25">
      <c r="A223">
        <v>340030</v>
      </c>
      <c r="B223">
        <v>90</v>
      </c>
      <c r="C223">
        <v>5.1929999999999996</v>
      </c>
      <c r="D223" t="s">
        <v>1694</v>
      </c>
      <c r="F223">
        <v>30</v>
      </c>
      <c r="G223">
        <v>2</v>
      </c>
    </row>
    <row r="224" spans="1:7" x14ac:dyDescent="0.25">
      <c r="A224">
        <v>340034</v>
      </c>
      <c r="B224">
        <v>90</v>
      </c>
      <c r="C224">
        <v>1.1599999999999999</v>
      </c>
      <c r="D224" t="s">
        <v>2727</v>
      </c>
      <c r="E224">
        <v>19167</v>
      </c>
      <c r="F224">
        <v>50</v>
      </c>
      <c r="G224">
        <v>2</v>
      </c>
    </row>
    <row r="225" spans="1:7" x14ac:dyDescent="0.25">
      <c r="A225">
        <v>340042</v>
      </c>
      <c r="B225">
        <v>42</v>
      </c>
      <c r="C225">
        <v>0.28299999999999997</v>
      </c>
      <c r="D225" t="s">
        <v>3</v>
      </c>
      <c r="F225">
        <v>450</v>
      </c>
      <c r="G225">
        <v>2</v>
      </c>
    </row>
    <row r="226" spans="1:7" x14ac:dyDescent="0.25">
      <c r="A226">
        <v>340051</v>
      </c>
      <c r="B226">
        <v>90</v>
      </c>
      <c r="C226">
        <v>0.65</v>
      </c>
      <c r="D226" t="s">
        <v>1694</v>
      </c>
      <c r="F226">
        <v>50</v>
      </c>
      <c r="G226">
        <v>2</v>
      </c>
    </row>
    <row r="227" spans="1:7" x14ac:dyDescent="0.25">
      <c r="A227">
        <v>340052</v>
      </c>
      <c r="B227">
        <v>90</v>
      </c>
      <c r="C227">
        <v>1.1000000000000001</v>
      </c>
      <c r="D227" t="s">
        <v>1694</v>
      </c>
      <c r="F227">
        <v>50</v>
      </c>
      <c r="G227">
        <v>2</v>
      </c>
    </row>
    <row r="228" spans="1:7" x14ac:dyDescent="0.25">
      <c r="A228">
        <v>340140</v>
      </c>
      <c r="B228">
        <v>90</v>
      </c>
      <c r="C228">
        <v>10.06</v>
      </c>
      <c r="D228" t="s">
        <v>2</v>
      </c>
      <c r="F228">
        <v>40</v>
      </c>
      <c r="G228">
        <v>2</v>
      </c>
    </row>
    <row r="229" spans="1:7" x14ac:dyDescent="0.25">
      <c r="A229">
        <v>340142</v>
      </c>
      <c r="B229">
        <v>90</v>
      </c>
      <c r="C229">
        <v>9.84</v>
      </c>
      <c r="D229" t="s">
        <v>2727</v>
      </c>
      <c r="E229">
        <v>13021</v>
      </c>
      <c r="F229">
        <v>40</v>
      </c>
      <c r="G229">
        <v>2</v>
      </c>
    </row>
    <row r="230" spans="1:7" x14ac:dyDescent="0.25">
      <c r="A230">
        <v>340170</v>
      </c>
      <c r="B230">
        <v>90</v>
      </c>
      <c r="C230">
        <v>0.432</v>
      </c>
      <c r="D230" t="s">
        <v>2542</v>
      </c>
      <c r="E230">
        <v>2789</v>
      </c>
      <c r="F230">
        <v>320</v>
      </c>
      <c r="G230">
        <v>2</v>
      </c>
    </row>
    <row r="231" spans="1:7" x14ac:dyDescent="0.25">
      <c r="A231">
        <v>340181</v>
      </c>
      <c r="B231">
        <v>90</v>
      </c>
      <c r="C231">
        <v>1.5</v>
      </c>
      <c r="D231" t="s">
        <v>2727</v>
      </c>
      <c r="E231">
        <v>258</v>
      </c>
      <c r="F231">
        <v>270</v>
      </c>
      <c r="G231">
        <v>2</v>
      </c>
    </row>
    <row r="232" spans="1:7" x14ac:dyDescent="0.25">
      <c r="A232">
        <v>340190</v>
      </c>
      <c r="B232">
        <v>90</v>
      </c>
      <c r="C232">
        <v>2.5499999999999998</v>
      </c>
      <c r="D232" t="s">
        <v>2727</v>
      </c>
      <c r="E232">
        <v>258</v>
      </c>
      <c r="F232">
        <v>300</v>
      </c>
      <c r="G232">
        <v>2</v>
      </c>
    </row>
    <row r="233" spans="1:7" x14ac:dyDescent="0.25">
      <c r="A233">
        <v>340194</v>
      </c>
      <c r="B233">
        <v>90</v>
      </c>
      <c r="C233">
        <v>2.1160000000000001</v>
      </c>
      <c r="D233" t="s">
        <v>2727</v>
      </c>
      <c r="E233">
        <v>258</v>
      </c>
      <c r="F233">
        <v>200</v>
      </c>
      <c r="G233">
        <v>2</v>
      </c>
    </row>
    <row r="234" spans="1:7" x14ac:dyDescent="0.25">
      <c r="A234">
        <v>340211</v>
      </c>
      <c r="B234">
        <v>90</v>
      </c>
      <c r="C234">
        <v>12.05</v>
      </c>
      <c r="D234" t="s">
        <v>2</v>
      </c>
      <c r="F234">
        <v>50</v>
      </c>
      <c r="G234">
        <v>2</v>
      </c>
    </row>
    <row r="235" spans="1:7" x14ac:dyDescent="0.25">
      <c r="A235">
        <v>340212</v>
      </c>
      <c r="B235">
        <v>90</v>
      </c>
      <c r="C235">
        <v>11.89</v>
      </c>
      <c r="D235" t="s">
        <v>2727</v>
      </c>
      <c r="E235">
        <v>13021</v>
      </c>
      <c r="F235">
        <v>50</v>
      </c>
      <c r="G235">
        <v>2</v>
      </c>
    </row>
    <row r="236" spans="1:7" x14ac:dyDescent="0.25">
      <c r="A236">
        <v>340240</v>
      </c>
      <c r="B236">
        <v>90</v>
      </c>
      <c r="C236">
        <v>3.7839999999999998</v>
      </c>
      <c r="D236" t="s">
        <v>2542</v>
      </c>
      <c r="E236">
        <v>2789</v>
      </c>
      <c r="F236">
        <v>80</v>
      </c>
      <c r="G236">
        <v>2</v>
      </c>
    </row>
    <row r="237" spans="1:7" x14ac:dyDescent="0.25">
      <c r="A237">
        <v>340262</v>
      </c>
      <c r="B237">
        <v>49</v>
      </c>
      <c r="C237">
        <v>4.2050000000000001</v>
      </c>
      <c r="D237" t="s">
        <v>2727</v>
      </c>
      <c r="F237">
        <v>150</v>
      </c>
      <c r="G237">
        <v>2</v>
      </c>
    </row>
    <row r="238" spans="1:7" x14ac:dyDescent="0.25">
      <c r="A238">
        <v>340290</v>
      </c>
      <c r="B238">
        <v>49</v>
      </c>
      <c r="C238">
        <v>0.94199999999999995</v>
      </c>
      <c r="D238" t="s">
        <v>2727</v>
      </c>
      <c r="F238">
        <v>100</v>
      </c>
      <c r="G238">
        <v>2</v>
      </c>
    </row>
    <row r="239" spans="1:7" x14ac:dyDescent="0.25">
      <c r="A239">
        <v>340400</v>
      </c>
      <c r="B239">
        <v>90</v>
      </c>
      <c r="C239">
        <v>1.0840000000000001</v>
      </c>
      <c r="D239" t="s">
        <v>2542</v>
      </c>
      <c r="E239">
        <v>2789</v>
      </c>
      <c r="F239">
        <v>200</v>
      </c>
      <c r="G239">
        <v>2</v>
      </c>
    </row>
    <row r="240" spans="1:7" x14ac:dyDescent="0.25">
      <c r="A240">
        <v>340460</v>
      </c>
      <c r="B240">
        <v>90</v>
      </c>
      <c r="C240">
        <v>1.1779999999999999</v>
      </c>
      <c r="D240" t="s">
        <v>2727</v>
      </c>
      <c r="E240">
        <v>2789</v>
      </c>
      <c r="F240">
        <v>16</v>
      </c>
      <c r="G240">
        <v>2</v>
      </c>
    </row>
    <row r="241" spans="1:7" x14ac:dyDescent="0.25">
      <c r="A241">
        <v>340499</v>
      </c>
      <c r="B241">
        <v>90</v>
      </c>
      <c r="C241">
        <v>0.74099999999999999</v>
      </c>
      <c r="D241" t="s">
        <v>1694</v>
      </c>
      <c r="E241">
        <v>13024</v>
      </c>
      <c r="F241">
        <v>80</v>
      </c>
      <c r="G241">
        <v>2</v>
      </c>
    </row>
    <row r="242" spans="1:7" x14ac:dyDescent="0.25">
      <c r="A242">
        <v>340932</v>
      </c>
      <c r="B242">
        <v>7</v>
      </c>
      <c r="C242">
        <v>5.74</v>
      </c>
      <c r="D242" t="s">
        <v>2727</v>
      </c>
      <c r="E242">
        <v>13022</v>
      </c>
      <c r="F242">
        <v>100</v>
      </c>
      <c r="G242">
        <v>2</v>
      </c>
    </row>
    <row r="243" spans="1:7" x14ac:dyDescent="0.25">
      <c r="A243">
        <v>341082</v>
      </c>
      <c r="B243">
        <v>7</v>
      </c>
      <c r="C243">
        <v>7.11</v>
      </c>
      <c r="D243" t="s">
        <v>2727</v>
      </c>
      <c r="E243">
        <v>13022</v>
      </c>
      <c r="F243">
        <v>160</v>
      </c>
      <c r="G243">
        <v>2</v>
      </c>
    </row>
    <row r="244" spans="1:7" x14ac:dyDescent="0.25">
      <c r="A244">
        <v>341504</v>
      </c>
      <c r="B244">
        <v>42</v>
      </c>
      <c r="C244">
        <v>8.9499999999999993</v>
      </c>
      <c r="D244" t="s">
        <v>3</v>
      </c>
      <c r="F244">
        <v>18</v>
      </c>
      <c r="G244">
        <v>2</v>
      </c>
    </row>
    <row r="245" spans="1:7" x14ac:dyDescent="0.25">
      <c r="A245">
        <v>341710</v>
      </c>
      <c r="B245">
        <v>90</v>
      </c>
      <c r="C245">
        <v>9.5579999999999998</v>
      </c>
      <c r="D245" t="s">
        <v>2727</v>
      </c>
      <c r="F245">
        <v>25</v>
      </c>
      <c r="G245">
        <v>2</v>
      </c>
    </row>
    <row r="246" spans="1:7" x14ac:dyDescent="0.25">
      <c r="A246">
        <v>350007</v>
      </c>
      <c r="B246">
        <v>90</v>
      </c>
      <c r="C246">
        <v>1.3580000000000001</v>
      </c>
      <c r="D246" t="s">
        <v>1694</v>
      </c>
      <c r="E246">
        <v>13024</v>
      </c>
      <c r="F246">
        <v>40</v>
      </c>
      <c r="G246">
        <v>2</v>
      </c>
    </row>
    <row r="247" spans="1:7" x14ac:dyDescent="0.25">
      <c r="A247">
        <v>350008</v>
      </c>
      <c r="B247">
        <v>90</v>
      </c>
      <c r="C247">
        <v>0</v>
      </c>
      <c r="D247" t="s">
        <v>1694</v>
      </c>
      <c r="F247">
        <v>50</v>
      </c>
      <c r="G247">
        <v>2</v>
      </c>
    </row>
    <row r="248" spans="1:7" x14ac:dyDescent="0.25">
      <c r="A248">
        <v>350012</v>
      </c>
      <c r="B248">
        <v>90</v>
      </c>
      <c r="C248">
        <v>1.6879999999999999</v>
      </c>
      <c r="D248" t="s">
        <v>2</v>
      </c>
      <c r="E248">
        <v>14276</v>
      </c>
      <c r="F248">
        <v>240</v>
      </c>
      <c r="G248">
        <v>2</v>
      </c>
    </row>
    <row r="249" spans="1:7" x14ac:dyDescent="0.25">
      <c r="A249">
        <v>350019</v>
      </c>
      <c r="B249">
        <v>90</v>
      </c>
      <c r="C249">
        <v>2.2040000000000002</v>
      </c>
      <c r="D249" t="s">
        <v>2542</v>
      </c>
      <c r="E249">
        <v>1953</v>
      </c>
      <c r="F249">
        <v>150</v>
      </c>
      <c r="G249">
        <v>2</v>
      </c>
    </row>
    <row r="250" spans="1:7" x14ac:dyDescent="0.25">
      <c r="A250">
        <v>350020</v>
      </c>
      <c r="B250">
        <v>90</v>
      </c>
      <c r="C250">
        <v>1.8979999999999999</v>
      </c>
      <c r="D250" t="s">
        <v>2542</v>
      </c>
      <c r="F250">
        <v>200</v>
      </c>
      <c r="G250">
        <v>2</v>
      </c>
    </row>
    <row r="251" spans="1:7" x14ac:dyDescent="0.25">
      <c r="A251">
        <v>350021</v>
      </c>
      <c r="B251">
        <v>90</v>
      </c>
      <c r="C251">
        <v>2.6280000000000001</v>
      </c>
      <c r="D251" t="s">
        <v>2</v>
      </c>
      <c r="E251">
        <v>6448</v>
      </c>
      <c r="F251">
        <v>240</v>
      </c>
      <c r="G251">
        <v>2</v>
      </c>
    </row>
    <row r="252" spans="1:7" x14ac:dyDescent="0.25">
      <c r="A252">
        <v>350022</v>
      </c>
      <c r="B252">
        <v>90</v>
      </c>
      <c r="C252">
        <v>16</v>
      </c>
      <c r="D252" t="s">
        <v>2986</v>
      </c>
      <c r="F252">
        <v>20</v>
      </c>
      <c r="G252">
        <v>2</v>
      </c>
    </row>
    <row r="253" spans="1:7" x14ac:dyDescent="0.25">
      <c r="A253">
        <v>350024</v>
      </c>
      <c r="B253">
        <v>90</v>
      </c>
      <c r="C253">
        <v>5.5919999999999996</v>
      </c>
      <c r="D253" t="s">
        <v>2986</v>
      </c>
      <c r="F253">
        <v>30</v>
      </c>
      <c r="G253">
        <v>2</v>
      </c>
    </row>
    <row r="254" spans="1:7" x14ac:dyDescent="0.25">
      <c r="A254">
        <v>350028</v>
      </c>
      <c r="B254">
        <v>90</v>
      </c>
      <c r="C254">
        <v>0.47499999999999998</v>
      </c>
      <c r="D254" t="s">
        <v>1694</v>
      </c>
      <c r="E254">
        <v>14276</v>
      </c>
      <c r="F254">
        <v>80</v>
      </c>
      <c r="G254">
        <v>2</v>
      </c>
    </row>
    <row r="255" spans="1:7" x14ac:dyDescent="0.25">
      <c r="A255">
        <v>350029</v>
      </c>
      <c r="B255">
        <v>90</v>
      </c>
      <c r="C255">
        <v>3.3959999999999999</v>
      </c>
      <c r="D255" t="s">
        <v>2542</v>
      </c>
      <c r="E255">
        <v>14276</v>
      </c>
      <c r="F255">
        <v>25</v>
      </c>
      <c r="G255">
        <v>2</v>
      </c>
    </row>
    <row r="256" spans="1:7" x14ac:dyDescent="0.25">
      <c r="A256">
        <v>350031</v>
      </c>
      <c r="B256">
        <v>90</v>
      </c>
      <c r="C256">
        <v>1.833</v>
      </c>
      <c r="D256" t="s">
        <v>2542</v>
      </c>
      <c r="F256">
        <v>20</v>
      </c>
      <c r="G256">
        <v>2</v>
      </c>
    </row>
    <row r="257" spans="1:7" x14ac:dyDescent="0.25">
      <c r="A257">
        <v>350034</v>
      </c>
      <c r="B257">
        <v>90</v>
      </c>
      <c r="C257">
        <v>4.43</v>
      </c>
      <c r="D257" t="s">
        <v>2986</v>
      </c>
      <c r="F257">
        <v>25</v>
      </c>
      <c r="G257">
        <v>2</v>
      </c>
    </row>
    <row r="258" spans="1:7" x14ac:dyDescent="0.25">
      <c r="A258">
        <v>350035</v>
      </c>
      <c r="B258">
        <v>0</v>
      </c>
      <c r="C258">
        <v>0.45500000000000002</v>
      </c>
      <c r="D258" t="s">
        <v>2986</v>
      </c>
      <c r="F258">
        <v>50</v>
      </c>
      <c r="G258">
        <v>2</v>
      </c>
    </row>
    <row r="259" spans="1:7" x14ac:dyDescent="0.25">
      <c r="A259">
        <v>350039</v>
      </c>
      <c r="B259">
        <v>90</v>
      </c>
      <c r="C259">
        <v>4.84</v>
      </c>
      <c r="D259" t="s">
        <v>2986</v>
      </c>
      <c r="F259">
        <v>25</v>
      </c>
      <c r="G259">
        <v>2</v>
      </c>
    </row>
    <row r="260" spans="1:7" x14ac:dyDescent="0.25">
      <c r="A260">
        <v>350044</v>
      </c>
      <c r="B260">
        <v>90</v>
      </c>
      <c r="C260">
        <v>1.2</v>
      </c>
      <c r="D260" t="s">
        <v>2542</v>
      </c>
      <c r="F260">
        <v>25</v>
      </c>
      <c r="G260">
        <v>2</v>
      </c>
    </row>
    <row r="261" spans="1:7" x14ac:dyDescent="0.25">
      <c r="A261">
        <v>350046</v>
      </c>
      <c r="B261">
        <v>90</v>
      </c>
      <c r="C261">
        <v>1.35</v>
      </c>
      <c r="D261" t="s">
        <v>1694</v>
      </c>
      <c r="E261">
        <v>14276</v>
      </c>
      <c r="F261">
        <v>20</v>
      </c>
      <c r="G261">
        <v>2</v>
      </c>
    </row>
    <row r="262" spans="1:7" x14ac:dyDescent="0.25">
      <c r="A262">
        <v>350047</v>
      </c>
      <c r="B262">
        <v>90</v>
      </c>
      <c r="C262">
        <v>1.3680000000000001</v>
      </c>
      <c r="D262" t="s">
        <v>2986</v>
      </c>
      <c r="F262">
        <v>40</v>
      </c>
      <c r="G262">
        <v>2</v>
      </c>
    </row>
    <row r="263" spans="1:7" x14ac:dyDescent="0.25">
      <c r="A263">
        <v>350050</v>
      </c>
      <c r="B263">
        <v>0</v>
      </c>
      <c r="C263">
        <v>0.75</v>
      </c>
      <c r="D263" t="s">
        <v>1694</v>
      </c>
      <c r="F263">
        <v>40</v>
      </c>
      <c r="G263">
        <v>2</v>
      </c>
    </row>
    <row r="264" spans="1:7" x14ac:dyDescent="0.25">
      <c r="A264">
        <v>350055</v>
      </c>
      <c r="B264">
        <v>0</v>
      </c>
      <c r="C264">
        <v>1.4</v>
      </c>
      <c r="D264" t="s">
        <v>2542</v>
      </c>
      <c r="F264">
        <v>40</v>
      </c>
      <c r="G264">
        <v>2</v>
      </c>
    </row>
    <row r="265" spans="1:7" x14ac:dyDescent="0.25">
      <c r="A265">
        <v>350060</v>
      </c>
      <c r="B265">
        <v>0</v>
      </c>
      <c r="C265">
        <v>2.2000000000000002</v>
      </c>
      <c r="D265" t="s">
        <v>2986</v>
      </c>
      <c r="F265">
        <v>20</v>
      </c>
      <c r="G265">
        <v>2</v>
      </c>
    </row>
    <row r="266" spans="1:7" x14ac:dyDescent="0.25">
      <c r="A266">
        <v>350061</v>
      </c>
      <c r="B266">
        <v>0</v>
      </c>
      <c r="C266">
        <v>0.44</v>
      </c>
      <c r="D266" t="s">
        <v>2986</v>
      </c>
      <c r="F266">
        <v>20</v>
      </c>
      <c r="G266">
        <v>2</v>
      </c>
    </row>
    <row r="267" spans="1:7" x14ac:dyDescent="0.25">
      <c r="A267">
        <v>350065</v>
      </c>
      <c r="B267">
        <v>0</v>
      </c>
      <c r="C267">
        <v>0.316</v>
      </c>
      <c r="D267" t="s">
        <v>2542</v>
      </c>
      <c r="F267">
        <v>80</v>
      </c>
      <c r="G267">
        <v>2</v>
      </c>
    </row>
    <row r="268" spans="1:7" x14ac:dyDescent="0.25">
      <c r="A268">
        <v>350066</v>
      </c>
      <c r="B268">
        <v>0</v>
      </c>
      <c r="C268">
        <v>0.17499999999999999</v>
      </c>
      <c r="D268" t="s">
        <v>2986</v>
      </c>
      <c r="F268">
        <v>140</v>
      </c>
      <c r="G268">
        <v>2</v>
      </c>
    </row>
    <row r="269" spans="1:7" x14ac:dyDescent="0.25">
      <c r="A269">
        <v>350067</v>
      </c>
      <c r="B269">
        <v>0</v>
      </c>
      <c r="C269">
        <v>1.206</v>
      </c>
      <c r="D269" t="s">
        <v>2542</v>
      </c>
      <c r="F269">
        <v>50</v>
      </c>
      <c r="G269">
        <v>2</v>
      </c>
    </row>
    <row r="270" spans="1:7" x14ac:dyDescent="0.25">
      <c r="A270">
        <v>350088</v>
      </c>
      <c r="B270">
        <v>90</v>
      </c>
      <c r="C270">
        <v>1.07</v>
      </c>
      <c r="D270" t="s">
        <v>2986</v>
      </c>
      <c r="F270">
        <v>20</v>
      </c>
      <c r="G270">
        <v>2</v>
      </c>
    </row>
    <row r="271" spans="1:7" x14ac:dyDescent="0.25">
      <c r="A271">
        <v>350131</v>
      </c>
      <c r="B271">
        <v>90</v>
      </c>
      <c r="C271">
        <v>2.1</v>
      </c>
      <c r="D271" t="s">
        <v>2</v>
      </c>
      <c r="E271">
        <v>19657</v>
      </c>
      <c r="F271">
        <v>30</v>
      </c>
      <c r="G271">
        <v>2</v>
      </c>
    </row>
    <row r="272" spans="1:7" x14ac:dyDescent="0.25">
      <c r="A272">
        <v>350140</v>
      </c>
      <c r="B272">
        <v>0</v>
      </c>
      <c r="C272">
        <v>0.3</v>
      </c>
      <c r="D272" t="s">
        <v>2542</v>
      </c>
      <c r="F272">
        <v>20</v>
      </c>
      <c r="G272">
        <v>2</v>
      </c>
    </row>
    <row r="273" spans="1:7" x14ac:dyDescent="0.25">
      <c r="A273">
        <v>350141</v>
      </c>
      <c r="B273">
        <v>90</v>
      </c>
      <c r="C273">
        <v>0.14000000000000001</v>
      </c>
      <c r="D273" t="s">
        <v>1694</v>
      </c>
      <c r="F273">
        <v>75</v>
      </c>
      <c r="G273">
        <v>2</v>
      </c>
    </row>
    <row r="274" spans="1:7" x14ac:dyDescent="0.25">
      <c r="A274">
        <v>350143</v>
      </c>
      <c r="B274">
        <v>90</v>
      </c>
      <c r="C274">
        <v>0.32800000000000001</v>
      </c>
      <c r="D274" t="s">
        <v>2542</v>
      </c>
      <c r="F274">
        <v>100</v>
      </c>
      <c r="G274">
        <v>2</v>
      </c>
    </row>
    <row r="275" spans="1:7" x14ac:dyDescent="0.25">
      <c r="A275">
        <v>350300</v>
      </c>
      <c r="B275">
        <v>0</v>
      </c>
      <c r="C275">
        <v>1.52</v>
      </c>
      <c r="D275" t="s">
        <v>2542</v>
      </c>
      <c r="F275">
        <v>120</v>
      </c>
      <c r="G275">
        <v>2</v>
      </c>
    </row>
    <row r="276" spans="1:7" x14ac:dyDescent="0.25">
      <c r="A276">
        <v>350420</v>
      </c>
      <c r="B276">
        <v>90</v>
      </c>
      <c r="C276">
        <v>1.35</v>
      </c>
      <c r="D276" t="s">
        <v>1694</v>
      </c>
      <c r="E276">
        <v>13021</v>
      </c>
      <c r="F276">
        <v>50</v>
      </c>
      <c r="G276">
        <v>2</v>
      </c>
    </row>
    <row r="277" spans="1:7" x14ac:dyDescent="0.25">
      <c r="A277">
        <v>350421</v>
      </c>
      <c r="B277">
        <v>90</v>
      </c>
      <c r="C277">
        <v>2.6880000000000002</v>
      </c>
      <c r="D277" t="s">
        <v>1694</v>
      </c>
      <c r="E277">
        <v>13021</v>
      </c>
      <c r="F277">
        <v>240</v>
      </c>
      <c r="G277">
        <v>2</v>
      </c>
    </row>
    <row r="278" spans="1:7" x14ac:dyDescent="0.25">
      <c r="A278">
        <v>350435</v>
      </c>
      <c r="B278">
        <v>90</v>
      </c>
      <c r="C278">
        <v>4.4000000000000004</v>
      </c>
      <c r="D278" t="s">
        <v>1694</v>
      </c>
      <c r="F278">
        <v>30</v>
      </c>
      <c r="G278">
        <v>2</v>
      </c>
    </row>
    <row r="279" spans="1:7" x14ac:dyDescent="0.25">
      <c r="A279">
        <v>350440</v>
      </c>
      <c r="B279">
        <v>90</v>
      </c>
      <c r="C279">
        <v>0.75</v>
      </c>
      <c r="D279" t="s">
        <v>1694</v>
      </c>
      <c r="E279">
        <v>13024</v>
      </c>
      <c r="F279">
        <v>30</v>
      </c>
      <c r="G279">
        <v>2</v>
      </c>
    </row>
    <row r="280" spans="1:7" x14ac:dyDescent="0.25">
      <c r="A280">
        <v>350441</v>
      </c>
      <c r="B280">
        <v>90</v>
      </c>
      <c r="C280">
        <v>1.08</v>
      </c>
      <c r="D280" t="s">
        <v>1694</v>
      </c>
      <c r="E280">
        <v>13024</v>
      </c>
      <c r="F280">
        <v>20</v>
      </c>
      <c r="G280">
        <v>2</v>
      </c>
    </row>
    <row r="281" spans="1:7" x14ac:dyDescent="0.25">
      <c r="A281">
        <v>350475</v>
      </c>
      <c r="B281">
        <v>90</v>
      </c>
      <c r="C281">
        <v>0.8</v>
      </c>
      <c r="D281" t="s">
        <v>1694</v>
      </c>
      <c r="F281">
        <v>30</v>
      </c>
      <c r="G281">
        <v>2</v>
      </c>
    </row>
    <row r="282" spans="1:7" x14ac:dyDescent="0.25">
      <c r="A282">
        <v>350476</v>
      </c>
      <c r="B282">
        <v>90</v>
      </c>
      <c r="C282">
        <v>0.4</v>
      </c>
      <c r="D282" t="s">
        <v>1694</v>
      </c>
      <c r="F282">
        <v>100</v>
      </c>
      <c r="G282">
        <v>2</v>
      </c>
    </row>
    <row r="283" spans="1:7" x14ac:dyDescent="0.25">
      <c r="A283">
        <v>350479</v>
      </c>
      <c r="B283">
        <v>90</v>
      </c>
      <c r="C283">
        <v>0.7</v>
      </c>
      <c r="D283" t="s">
        <v>1694</v>
      </c>
      <c r="F283">
        <v>60</v>
      </c>
      <c r="G283">
        <v>2</v>
      </c>
    </row>
    <row r="284" spans="1:7" x14ac:dyDescent="0.25">
      <c r="A284">
        <v>350500</v>
      </c>
      <c r="B284">
        <v>90</v>
      </c>
      <c r="C284">
        <v>4</v>
      </c>
      <c r="D284" t="s">
        <v>1694</v>
      </c>
      <c r="E284">
        <v>14276</v>
      </c>
      <c r="F284">
        <v>20</v>
      </c>
      <c r="G284">
        <v>2</v>
      </c>
    </row>
    <row r="285" spans="1:7" x14ac:dyDescent="0.25">
      <c r="A285">
        <v>350510</v>
      </c>
      <c r="B285">
        <v>90</v>
      </c>
      <c r="C285">
        <v>1.5880000000000001</v>
      </c>
      <c r="D285" t="s">
        <v>1694</v>
      </c>
      <c r="F285">
        <v>15</v>
      </c>
      <c r="G285">
        <v>2</v>
      </c>
    </row>
    <row r="286" spans="1:7" x14ac:dyDescent="0.25">
      <c r="A286">
        <v>350511</v>
      </c>
      <c r="B286">
        <v>90</v>
      </c>
      <c r="C286">
        <v>4.68</v>
      </c>
      <c r="D286" t="s">
        <v>1694</v>
      </c>
      <c r="F286">
        <v>20</v>
      </c>
      <c r="G286">
        <v>2</v>
      </c>
    </row>
    <row r="287" spans="1:7" x14ac:dyDescent="0.25">
      <c r="A287">
        <v>350515</v>
      </c>
      <c r="B287">
        <v>90</v>
      </c>
      <c r="C287">
        <v>8.34</v>
      </c>
      <c r="D287" t="s">
        <v>1694</v>
      </c>
      <c r="F287">
        <v>15</v>
      </c>
      <c r="G287">
        <v>2</v>
      </c>
    </row>
    <row r="288" spans="1:7" x14ac:dyDescent="0.25">
      <c r="A288">
        <v>350517</v>
      </c>
      <c r="B288">
        <v>90</v>
      </c>
      <c r="C288">
        <v>4.3419999999999996</v>
      </c>
      <c r="D288" t="s">
        <v>1694</v>
      </c>
      <c r="F288">
        <v>15</v>
      </c>
      <c r="G288">
        <v>2</v>
      </c>
    </row>
    <row r="289" spans="1:7" x14ac:dyDescent="0.25">
      <c r="A289">
        <v>350520</v>
      </c>
      <c r="B289">
        <v>90</v>
      </c>
      <c r="C289">
        <v>2.0920000000000001</v>
      </c>
      <c r="D289" t="s">
        <v>1694</v>
      </c>
      <c r="F289">
        <v>15</v>
      </c>
      <c r="G289">
        <v>2</v>
      </c>
    </row>
    <row r="290" spans="1:7" x14ac:dyDescent="0.25">
      <c r="A290">
        <v>350521</v>
      </c>
      <c r="B290">
        <v>90</v>
      </c>
      <c r="C290">
        <v>1.75</v>
      </c>
      <c r="D290" t="s">
        <v>1694</v>
      </c>
      <c r="F290">
        <v>20</v>
      </c>
      <c r="G290">
        <v>2</v>
      </c>
    </row>
    <row r="291" spans="1:7" x14ac:dyDescent="0.25">
      <c r="A291">
        <v>350522</v>
      </c>
      <c r="B291">
        <v>90</v>
      </c>
      <c r="C291">
        <v>2.4</v>
      </c>
      <c r="D291" t="s">
        <v>1694</v>
      </c>
      <c r="F291">
        <v>20</v>
      </c>
      <c r="G291">
        <v>2</v>
      </c>
    </row>
    <row r="292" spans="1:7" x14ac:dyDescent="0.25">
      <c r="A292">
        <v>350523</v>
      </c>
      <c r="B292">
        <v>90</v>
      </c>
      <c r="C292">
        <v>0.246</v>
      </c>
      <c r="D292" t="s">
        <v>1694</v>
      </c>
      <c r="F292">
        <v>15</v>
      </c>
      <c r="G292">
        <v>2</v>
      </c>
    </row>
    <row r="293" spans="1:7" x14ac:dyDescent="0.25">
      <c r="A293">
        <v>350534</v>
      </c>
      <c r="B293">
        <v>90</v>
      </c>
      <c r="C293">
        <v>4.4649999999999999</v>
      </c>
      <c r="D293" t="s">
        <v>1694</v>
      </c>
      <c r="F293">
        <v>25</v>
      </c>
      <c r="G293">
        <v>2</v>
      </c>
    </row>
    <row r="294" spans="1:7" x14ac:dyDescent="0.25">
      <c r="A294">
        <v>350535</v>
      </c>
      <c r="B294">
        <v>90</v>
      </c>
      <c r="C294">
        <v>0.47499999999999998</v>
      </c>
      <c r="D294" t="s">
        <v>1694</v>
      </c>
      <c r="F294">
        <v>50</v>
      </c>
      <c r="G294">
        <v>2</v>
      </c>
    </row>
    <row r="295" spans="1:7" x14ac:dyDescent="0.25">
      <c r="A295">
        <v>350539</v>
      </c>
      <c r="B295">
        <v>90</v>
      </c>
      <c r="C295">
        <v>3.56</v>
      </c>
      <c r="D295" t="s">
        <v>1694</v>
      </c>
      <c r="F295">
        <v>25</v>
      </c>
      <c r="G295">
        <v>2</v>
      </c>
    </row>
    <row r="296" spans="1:7" x14ac:dyDescent="0.25">
      <c r="A296">
        <v>350540</v>
      </c>
      <c r="B296">
        <v>90</v>
      </c>
      <c r="C296">
        <v>4.625</v>
      </c>
      <c r="D296" t="s">
        <v>1694</v>
      </c>
      <c r="F296">
        <v>25</v>
      </c>
      <c r="G296">
        <v>2</v>
      </c>
    </row>
    <row r="297" spans="1:7" x14ac:dyDescent="0.25">
      <c r="A297">
        <v>350541</v>
      </c>
      <c r="B297">
        <v>90</v>
      </c>
      <c r="C297">
        <v>1.3</v>
      </c>
      <c r="D297" t="s">
        <v>1694</v>
      </c>
      <c r="F297">
        <v>20</v>
      </c>
      <c r="G297">
        <v>2</v>
      </c>
    </row>
    <row r="298" spans="1:7" x14ac:dyDescent="0.25">
      <c r="A298">
        <v>350550</v>
      </c>
      <c r="B298">
        <v>90</v>
      </c>
      <c r="C298">
        <v>5.085</v>
      </c>
      <c r="D298" t="s">
        <v>1694</v>
      </c>
      <c r="F298">
        <v>25</v>
      </c>
      <c r="G298">
        <v>2</v>
      </c>
    </row>
    <row r="299" spans="1:7" x14ac:dyDescent="0.25">
      <c r="A299">
        <v>350560</v>
      </c>
      <c r="B299">
        <v>90</v>
      </c>
      <c r="C299">
        <v>5.41</v>
      </c>
      <c r="D299" t="s">
        <v>1694</v>
      </c>
      <c r="F299">
        <v>15</v>
      </c>
      <c r="G299">
        <v>2</v>
      </c>
    </row>
    <row r="300" spans="1:7" x14ac:dyDescent="0.25">
      <c r="A300">
        <v>350570</v>
      </c>
      <c r="B300">
        <v>90</v>
      </c>
      <c r="C300">
        <v>1.069</v>
      </c>
      <c r="D300" t="s">
        <v>1694</v>
      </c>
      <c r="F300">
        <v>30</v>
      </c>
      <c r="G300">
        <v>2</v>
      </c>
    </row>
    <row r="301" spans="1:7" x14ac:dyDescent="0.25">
      <c r="A301">
        <v>350575</v>
      </c>
      <c r="B301">
        <v>90</v>
      </c>
      <c r="C301">
        <v>4.4999999999999998E-2</v>
      </c>
      <c r="D301" t="s">
        <v>1694</v>
      </c>
      <c r="F301">
        <v>150</v>
      </c>
      <c r="G301">
        <v>2</v>
      </c>
    </row>
    <row r="302" spans="1:7" x14ac:dyDescent="0.25">
      <c r="A302">
        <v>350580</v>
      </c>
      <c r="B302">
        <v>90</v>
      </c>
      <c r="C302">
        <v>0.25</v>
      </c>
      <c r="D302" t="s">
        <v>1694</v>
      </c>
      <c r="F302">
        <v>150</v>
      </c>
      <c r="G302">
        <v>2</v>
      </c>
    </row>
    <row r="303" spans="1:7" x14ac:dyDescent="0.25">
      <c r="A303">
        <v>350605</v>
      </c>
      <c r="B303">
        <v>90</v>
      </c>
      <c r="C303">
        <v>0.79500000000000004</v>
      </c>
      <c r="D303" t="s">
        <v>1694</v>
      </c>
      <c r="F303">
        <v>100</v>
      </c>
      <c r="G303">
        <v>2</v>
      </c>
    </row>
    <row r="304" spans="1:7" x14ac:dyDescent="0.25">
      <c r="A304">
        <v>350624</v>
      </c>
      <c r="B304">
        <v>90</v>
      </c>
      <c r="C304">
        <v>5.53</v>
      </c>
      <c r="D304" t="s">
        <v>1694</v>
      </c>
      <c r="E304">
        <v>13024</v>
      </c>
      <c r="F304">
        <v>30</v>
      </c>
      <c r="G304">
        <v>2</v>
      </c>
    </row>
    <row r="305" spans="1:7" x14ac:dyDescent="0.25">
      <c r="A305">
        <v>350627</v>
      </c>
      <c r="B305">
        <v>90</v>
      </c>
      <c r="C305">
        <v>18.34</v>
      </c>
      <c r="D305" t="s">
        <v>1694</v>
      </c>
      <c r="F305">
        <v>15</v>
      </c>
      <c r="G305">
        <v>2</v>
      </c>
    </row>
    <row r="306" spans="1:7" x14ac:dyDescent="0.25">
      <c r="A306">
        <v>350655</v>
      </c>
      <c r="B306">
        <v>0</v>
      </c>
      <c r="C306">
        <v>2</v>
      </c>
      <c r="D306" t="s">
        <v>1694</v>
      </c>
      <c r="E306">
        <v>13024</v>
      </c>
      <c r="F306">
        <v>20</v>
      </c>
      <c r="G306">
        <v>2</v>
      </c>
    </row>
    <row r="307" spans="1:7" x14ac:dyDescent="0.25">
      <c r="A307">
        <v>350661</v>
      </c>
      <c r="B307">
        <v>0</v>
      </c>
      <c r="C307">
        <v>0.39900000000000002</v>
      </c>
      <c r="D307" t="s">
        <v>1694</v>
      </c>
      <c r="F307">
        <v>20</v>
      </c>
      <c r="G307">
        <v>2</v>
      </c>
    </row>
    <row r="308" spans="1:7" x14ac:dyDescent="0.25">
      <c r="A308">
        <v>350672</v>
      </c>
      <c r="B308">
        <v>90</v>
      </c>
      <c r="C308">
        <v>15.12</v>
      </c>
      <c r="D308" t="s">
        <v>1694</v>
      </c>
      <c r="F308">
        <v>20</v>
      </c>
      <c r="G308">
        <v>2</v>
      </c>
    </row>
    <row r="309" spans="1:7" x14ac:dyDescent="0.25">
      <c r="A309">
        <v>350766</v>
      </c>
      <c r="B309">
        <v>0</v>
      </c>
      <c r="C309">
        <v>0.158</v>
      </c>
      <c r="D309" t="s">
        <v>1694</v>
      </c>
      <c r="F309">
        <v>140</v>
      </c>
      <c r="G309">
        <v>2</v>
      </c>
    </row>
    <row r="310" spans="1:7" x14ac:dyDescent="0.25">
      <c r="A310">
        <v>350800</v>
      </c>
      <c r="B310">
        <v>90</v>
      </c>
      <c r="C310">
        <v>0.92500000000000004</v>
      </c>
      <c r="D310" t="s">
        <v>1694</v>
      </c>
      <c r="F310">
        <v>50</v>
      </c>
      <c r="G310">
        <v>2</v>
      </c>
    </row>
    <row r="311" spans="1:7" x14ac:dyDescent="0.25">
      <c r="A311">
        <v>350802</v>
      </c>
      <c r="B311">
        <v>90</v>
      </c>
      <c r="C311">
        <v>0.65</v>
      </c>
      <c r="D311" t="s">
        <v>1694</v>
      </c>
      <c r="F311">
        <v>25</v>
      </c>
      <c r="G311">
        <v>2</v>
      </c>
    </row>
    <row r="312" spans="1:7" x14ac:dyDescent="0.25">
      <c r="A312">
        <v>350804</v>
      </c>
      <c r="B312">
        <v>90</v>
      </c>
      <c r="C312">
        <v>1.718</v>
      </c>
      <c r="D312" t="s">
        <v>1694</v>
      </c>
      <c r="F312">
        <v>15</v>
      </c>
      <c r="G312">
        <v>2</v>
      </c>
    </row>
    <row r="313" spans="1:7" x14ac:dyDescent="0.25">
      <c r="A313">
        <v>350805</v>
      </c>
      <c r="B313">
        <v>90</v>
      </c>
      <c r="C313">
        <v>0.14499999999999999</v>
      </c>
      <c r="D313" t="s">
        <v>1694</v>
      </c>
      <c r="F313">
        <v>150</v>
      </c>
      <c r="G313">
        <v>2</v>
      </c>
    </row>
    <row r="314" spans="1:7" x14ac:dyDescent="0.25">
      <c r="A314">
        <v>350806</v>
      </c>
      <c r="B314">
        <v>90</v>
      </c>
      <c r="C314">
        <v>0.48399999999999999</v>
      </c>
      <c r="D314" t="s">
        <v>1694</v>
      </c>
      <c r="F314">
        <v>50</v>
      </c>
      <c r="G314">
        <v>2</v>
      </c>
    </row>
    <row r="315" spans="1:7" x14ac:dyDescent="0.25">
      <c r="A315">
        <v>350808</v>
      </c>
      <c r="B315">
        <v>90</v>
      </c>
      <c r="C315">
        <v>1.294</v>
      </c>
      <c r="D315" t="s">
        <v>1694</v>
      </c>
      <c r="E315">
        <v>13024</v>
      </c>
      <c r="F315">
        <v>20</v>
      </c>
      <c r="G315">
        <v>2</v>
      </c>
    </row>
    <row r="316" spans="1:7" x14ac:dyDescent="0.25">
      <c r="A316">
        <v>350809</v>
      </c>
      <c r="B316">
        <v>90</v>
      </c>
      <c r="C316">
        <v>1.7</v>
      </c>
      <c r="D316" t="s">
        <v>1694</v>
      </c>
      <c r="F316">
        <v>12</v>
      </c>
      <c r="G316">
        <v>2</v>
      </c>
    </row>
    <row r="317" spans="1:7" x14ac:dyDescent="0.25">
      <c r="A317">
        <v>350823</v>
      </c>
      <c r="B317">
        <v>90</v>
      </c>
      <c r="C317">
        <v>0.317</v>
      </c>
      <c r="D317" t="s">
        <v>2542</v>
      </c>
      <c r="F317">
        <v>100</v>
      </c>
      <c r="G317">
        <v>2</v>
      </c>
    </row>
    <row r="318" spans="1:7" x14ac:dyDescent="0.25">
      <c r="A318">
        <v>350830</v>
      </c>
      <c r="B318">
        <v>90</v>
      </c>
      <c r="C318">
        <v>1.18</v>
      </c>
      <c r="D318" t="s">
        <v>1694</v>
      </c>
      <c r="F318">
        <v>15</v>
      </c>
      <c r="G318">
        <v>2</v>
      </c>
    </row>
    <row r="319" spans="1:7" x14ac:dyDescent="0.25">
      <c r="A319">
        <v>350840</v>
      </c>
      <c r="B319">
        <v>90</v>
      </c>
      <c r="C319">
        <v>1.84</v>
      </c>
      <c r="D319" t="s">
        <v>1694</v>
      </c>
      <c r="F319">
        <v>15</v>
      </c>
      <c r="G319">
        <v>2</v>
      </c>
    </row>
    <row r="320" spans="1:7" x14ac:dyDescent="0.25">
      <c r="A320">
        <v>350841</v>
      </c>
      <c r="B320">
        <v>90</v>
      </c>
      <c r="C320">
        <v>0.8</v>
      </c>
      <c r="D320" t="s">
        <v>1694</v>
      </c>
      <c r="F320">
        <v>20</v>
      </c>
      <c r="G320">
        <v>2</v>
      </c>
    </row>
    <row r="321" spans="1:7" x14ac:dyDescent="0.25">
      <c r="A321">
        <v>350842</v>
      </c>
      <c r="B321">
        <v>90</v>
      </c>
      <c r="C321">
        <v>2.8</v>
      </c>
      <c r="D321" t="s">
        <v>1694</v>
      </c>
      <c r="F321">
        <v>20</v>
      </c>
      <c r="G321">
        <v>2</v>
      </c>
    </row>
    <row r="322" spans="1:7" x14ac:dyDescent="0.25">
      <c r="A322">
        <v>350846</v>
      </c>
      <c r="B322">
        <v>90</v>
      </c>
      <c r="C322">
        <v>1.03</v>
      </c>
      <c r="D322" t="s">
        <v>1694</v>
      </c>
      <c r="F322">
        <v>15</v>
      </c>
      <c r="G322">
        <v>2</v>
      </c>
    </row>
    <row r="323" spans="1:7" x14ac:dyDescent="0.25">
      <c r="A323">
        <v>350850</v>
      </c>
      <c r="B323">
        <v>90</v>
      </c>
      <c r="C323">
        <v>0.28999999999999998</v>
      </c>
      <c r="D323" t="s">
        <v>1694</v>
      </c>
      <c r="F323">
        <v>150</v>
      </c>
      <c r="G323">
        <v>2</v>
      </c>
    </row>
    <row r="324" spans="1:7" x14ac:dyDescent="0.25">
      <c r="A324">
        <v>350855</v>
      </c>
      <c r="B324">
        <v>90</v>
      </c>
      <c r="C324">
        <v>0.55000000000000004</v>
      </c>
      <c r="D324" t="s">
        <v>1694</v>
      </c>
      <c r="F324">
        <v>50</v>
      </c>
      <c r="G324">
        <v>2</v>
      </c>
    </row>
    <row r="325" spans="1:7" x14ac:dyDescent="0.25">
      <c r="A325">
        <v>350860</v>
      </c>
      <c r="B325">
        <v>90</v>
      </c>
      <c r="C325">
        <v>1.05</v>
      </c>
      <c r="D325" t="s">
        <v>1694</v>
      </c>
      <c r="F325">
        <v>50</v>
      </c>
      <c r="G325">
        <v>2</v>
      </c>
    </row>
    <row r="326" spans="1:7" x14ac:dyDescent="0.25">
      <c r="A326">
        <v>350861</v>
      </c>
      <c r="B326">
        <v>90</v>
      </c>
      <c r="C326">
        <v>1.9</v>
      </c>
      <c r="D326" t="s">
        <v>1694</v>
      </c>
      <c r="F326">
        <v>15</v>
      </c>
      <c r="G326">
        <v>2</v>
      </c>
    </row>
    <row r="327" spans="1:7" x14ac:dyDescent="0.25">
      <c r="A327">
        <v>350900</v>
      </c>
      <c r="B327">
        <v>90</v>
      </c>
      <c r="C327">
        <v>0.159</v>
      </c>
      <c r="D327" t="s">
        <v>1694</v>
      </c>
      <c r="F327">
        <v>75</v>
      </c>
      <c r="G327">
        <v>2</v>
      </c>
    </row>
    <row r="328" spans="1:7" x14ac:dyDescent="0.25">
      <c r="A328">
        <v>350910</v>
      </c>
      <c r="B328">
        <v>90</v>
      </c>
      <c r="C328">
        <v>0.21199999999999999</v>
      </c>
      <c r="D328" t="s">
        <v>1694</v>
      </c>
      <c r="F328">
        <v>72</v>
      </c>
      <c r="G328">
        <v>2</v>
      </c>
    </row>
    <row r="329" spans="1:7" x14ac:dyDescent="0.25">
      <c r="A329">
        <v>350911</v>
      </c>
      <c r="B329">
        <v>90</v>
      </c>
      <c r="C329">
        <v>7.625</v>
      </c>
      <c r="D329" t="s">
        <v>1694</v>
      </c>
      <c r="F329">
        <v>20</v>
      </c>
      <c r="G329">
        <v>2</v>
      </c>
    </row>
    <row r="330" spans="1:7" x14ac:dyDescent="0.25">
      <c r="A330">
        <v>350959</v>
      </c>
      <c r="B330">
        <v>0</v>
      </c>
      <c r="C330">
        <v>0.39400000000000002</v>
      </c>
      <c r="D330" t="s">
        <v>1694</v>
      </c>
      <c r="F330">
        <v>50</v>
      </c>
      <c r="G330">
        <v>2</v>
      </c>
    </row>
    <row r="331" spans="1:7" x14ac:dyDescent="0.25">
      <c r="A331">
        <v>400111</v>
      </c>
      <c r="B331">
        <v>90</v>
      </c>
      <c r="C331">
        <v>0.375</v>
      </c>
      <c r="D331" t="s">
        <v>1694</v>
      </c>
      <c r="F331">
        <v>200</v>
      </c>
      <c r="G331">
        <v>2</v>
      </c>
    </row>
    <row r="332" spans="1:7" x14ac:dyDescent="0.25">
      <c r="A332">
        <v>400120</v>
      </c>
      <c r="B332">
        <v>90</v>
      </c>
      <c r="C332">
        <v>0.14000000000000001</v>
      </c>
      <c r="D332" t="s">
        <v>2</v>
      </c>
      <c r="F332">
        <v>400</v>
      </c>
      <c r="G332">
        <v>2</v>
      </c>
    </row>
    <row r="333" spans="1:7" x14ac:dyDescent="0.25">
      <c r="A333">
        <v>400130</v>
      </c>
      <c r="B333">
        <v>90</v>
      </c>
      <c r="C333">
        <v>0.11600000000000001</v>
      </c>
      <c r="D333" t="s">
        <v>2</v>
      </c>
      <c r="F333">
        <v>300</v>
      </c>
      <c r="G333">
        <v>2</v>
      </c>
    </row>
    <row r="334" spans="1:7" x14ac:dyDescent="0.25">
      <c r="A334">
        <v>401140</v>
      </c>
      <c r="B334">
        <v>90</v>
      </c>
      <c r="C334">
        <v>0.188</v>
      </c>
      <c r="D334" t="s">
        <v>2</v>
      </c>
      <c r="E334">
        <v>258</v>
      </c>
      <c r="F334">
        <v>270</v>
      </c>
      <c r="G334">
        <v>2</v>
      </c>
    </row>
    <row r="335" spans="1:7" x14ac:dyDescent="0.25">
      <c r="A335">
        <v>401145</v>
      </c>
      <c r="B335">
        <v>90</v>
      </c>
      <c r="C335">
        <v>0.124</v>
      </c>
      <c r="D335" t="s">
        <v>2542</v>
      </c>
      <c r="F335">
        <v>480</v>
      </c>
      <c r="G335">
        <v>2</v>
      </c>
    </row>
    <row r="336" spans="1:7" x14ac:dyDescent="0.25">
      <c r="A336">
        <v>401190</v>
      </c>
      <c r="B336">
        <v>90</v>
      </c>
      <c r="C336">
        <v>0.37</v>
      </c>
      <c r="D336" t="s">
        <v>2</v>
      </c>
      <c r="F336">
        <v>180</v>
      </c>
      <c r="G336">
        <v>2</v>
      </c>
    </row>
    <row r="337" spans="1:7" x14ac:dyDescent="0.25">
      <c r="A337">
        <v>401200</v>
      </c>
      <c r="B337">
        <v>90</v>
      </c>
      <c r="C337">
        <v>0.45</v>
      </c>
      <c r="D337" t="s">
        <v>2727</v>
      </c>
      <c r="E337">
        <v>13021</v>
      </c>
      <c r="F337">
        <v>80</v>
      </c>
      <c r="G337">
        <v>2</v>
      </c>
    </row>
    <row r="338" spans="1:7" x14ac:dyDescent="0.25">
      <c r="A338">
        <v>402190</v>
      </c>
      <c r="B338">
        <v>90</v>
      </c>
      <c r="C338">
        <v>0.40799999999999997</v>
      </c>
      <c r="D338" t="s">
        <v>2727</v>
      </c>
      <c r="E338">
        <v>13021</v>
      </c>
      <c r="F338">
        <v>300</v>
      </c>
      <c r="G338">
        <v>2</v>
      </c>
    </row>
    <row r="339" spans="1:7" x14ac:dyDescent="0.25">
      <c r="A339">
        <v>402270</v>
      </c>
      <c r="B339">
        <v>90</v>
      </c>
      <c r="C339">
        <v>3.68</v>
      </c>
      <c r="D339" t="s">
        <v>2727</v>
      </c>
      <c r="E339">
        <v>13021</v>
      </c>
      <c r="F339">
        <v>45</v>
      </c>
      <c r="G339">
        <v>2</v>
      </c>
    </row>
    <row r="340" spans="1:7" x14ac:dyDescent="0.25">
      <c r="A340">
        <v>403005</v>
      </c>
      <c r="B340">
        <v>90</v>
      </c>
      <c r="C340">
        <v>0.1</v>
      </c>
      <c r="D340" t="s">
        <v>2542</v>
      </c>
      <c r="F340">
        <v>100</v>
      </c>
      <c r="G340">
        <v>2</v>
      </c>
    </row>
    <row r="341" spans="1:7" x14ac:dyDescent="0.25">
      <c r="A341">
        <v>403013</v>
      </c>
      <c r="B341">
        <v>90</v>
      </c>
      <c r="C341">
        <v>0.14000000000000001</v>
      </c>
      <c r="D341" t="s">
        <v>2727</v>
      </c>
      <c r="E341">
        <v>19530</v>
      </c>
      <c r="F341">
        <v>140</v>
      </c>
      <c r="G341">
        <v>2</v>
      </c>
    </row>
    <row r="342" spans="1:7" x14ac:dyDescent="0.25">
      <c r="A342">
        <v>410090</v>
      </c>
      <c r="B342">
        <v>90</v>
      </c>
      <c r="C342">
        <v>0.17</v>
      </c>
      <c r="D342" t="s">
        <v>2</v>
      </c>
      <c r="E342">
        <v>258</v>
      </c>
      <c r="F342">
        <v>600</v>
      </c>
      <c r="G342">
        <v>2</v>
      </c>
    </row>
    <row r="343" spans="1:7" x14ac:dyDescent="0.25">
      <c r="A343">
        <v>410091</v>
      </c>
      <c r="B343">
        <v>90</v>
      </c>
      <c r="C343">
        <v>0.375</v>
      </c>
      <c r="D343" t="s">
        <v>2727</v>
      </c>
      <c r="E343">
        <v>19657</v>
      </c>
      <c r="F343">
        <v>24</v>
      </c>
      <c r="G343">
        <v>2</v>
      </c>
    </row>
    <row r="344" spans="1:7" x14ac:dyDescent="0.25">
      <c r="A344">
        <v>410320</v>
      </c>
      <c r="B344">
        <v>90</v>
      </c>
      <c r="C344">
        <v>2.4750000000000001</v>
      </c>
      <c r="D344" t="s">
        <v>2727</v>
      </c>
      <c r="E344">
        <v>19530</v>
      </c>
      <c r="F344">
        <v>60</v>
      </c>
      <c r="G344">
        <v>2</v>
      </c>
    </row>
    <row r="345" spans="1:7" x14ac:dyDescent="0.25">
      <c r="A345">
        <v>410340</v>
      </c>
      <c r="B345">
        <v>90</v>
      </c>
      <c r="C345">
        <v>0.30499999999999999</v>
      </c>
      <c r="D345" t="s">
        <v>2727</v>
      </c>
      <c r="E345">
        <v>13021</v>
      </c>
      <c r="F345">
        <v>270</v>
      </c>
      <c r="G345">
        <v>2</v>
      </c>
    </row>
    <row r="346" spans="1:7" x14ac:dyDescent="0.25">
      <c r="A346">
        <v>410409</v>
      </c>
      <c r="B346">
        <v>90</v>
      </c>
      <c r="C346">
        <v>0.7</v>
      </c>
      <c r="D346" t="s">
        <v>2542</v>
      </c>
      <c r="E346">
        <v>2789</v>
      </c>
      <c r="F346">
        <v>80</v>
      </c>
      <c r="G346">
        <v>2</v>
      </c>
    </row>
    <row r="347" spans="1:7" x14ac:dyDescent="0.25">
      <c r="A347">
        <v>410520</v>
      </c>
      <c r="B347">
        <v>90</v>
      </c>
      <c r="C347">
        <v>1.4850000000000001</v>
      </c>
      <c r="D347" t="s">
        <v>2542</v>
      </c>
      <c r="E347">
        <v>258</v>
      </c>
      <c r="F347">
        <v>170</v>
      </c>
      <c r="G347">
        <v>2</v>
      </c>
    </row>
    <row r="348" spans="1:7" x14ac:dyDescent="0.25">
      <c r="A348">
        <v>410525</v>
      </c>
      <c r="B348">
        <v>90</v>
      </c>
      <c r="C348">
        <v>0.70599999999999996</v>
      </c>
      <c r="D348" t="s">
        <v>2542</v>
      </c>
      <c r="E348">
        <v>2789</v>
      </c>
      <c r="F348">
        <v>120</v>
      </c>
      <c r="G348">
        <v>2</v>
      </c>
    </row>
    <row r="349" spans="1:7" x14ac:dyDescent="0.25">
      <c r="A349">
        <v>410526</v>
      </c>
      <c r="B349">
        <v>90</v>
      </c>
      <c r="C349">
        <v>0.54200000000000004</v>
      </c>
      <c r="D349" t="s">
        <v>2542</v>
      </c>
      <c r="E349">
        <v>2789</v>
      </c>
      <c r="F349">
        <v>140</v>
      </c>
      <c r="G349">
        <v>2</v>
      </c>
    </row>
    <row r="350" spans="1:7" x14ac:dyDescent="0.25">
      <c r="A350">
        <v>410527</v>
      </c>
      <c r="B350">
        <v>90</v>
      </c>
      <c r="C350">
        <v>0.223</v>
      </c>
      <c r="D350" t="s">
        <v>2727</v>
      </c>
      <c r="E350">
        <v>19530</v>
      </c>
      <c r="F350">
        <v>220</v>
      </c>
      <c r="G350">
        <v>2</v>
      </c>
    </row>
    <row r="351" spans="1:7" x14ac:dyDescent="0.25">
      <c r="A351">
        <v>410529</v>
      </c>
      <c r="B351">
        <v>90</v>
      </c>
      <c r="C351">
        <v>0.8</v>
      </c>
      <c r="D351">
        <v>1624</v>
      </c>
      <c r="F351">
        <v>0</v>
      </c>
      <c r="G351">
        <v>2</v>
      </c>
    </row>
    <row r="352" spans="1:7" x14ac:dyDescent="0.25">
      <c r="A352">
        <v>410530</v>
      </c>
      <c r="B352">
        <v>90</v>
      </c>
      <c r="C352">
        <v>0.32700000000000001</v>
      </c>
      <c r="D352" t="s">
        <v>2727</v>
      </c>
      <c r="E352">
        <v>19530</v>
      </c>
      <c r="F352">
        <v>400</v>
      </c>
      <c r="G352">
        <v>2</v>
      </c>
    </row>
    <row r="353" spans="1:7" x14ac:dyDescent="0.25">
      <c r="A353">
        <v>410540</v>
      </c>
      <c r="B353">
        <v>90</v>
      </c>
      <c r="C353">
        <v>0.94899999999999995</v>
      </c>
      <c r="D353" t="s">
        <v>1695</v>
      </c>
      <c r="E353">
        <v>258</v>
      </c>
      <c r="F353">
        <v>600</v>
      </c>
      <c r="G353">
        <v>2</v>
      </c>
    </row>
    <row r="354" spans="1:7" x14ac:dyDescent="0.25">
      <c r="A354">
        <v>410620</v>
      </c>
      <c r="B354">
        <v>90</v>
      </c>
      <c r="C354">
        <v>0.37</v>
      </c>
      <c r="D354" t="s">
        <v>2727</v>
      </c>
      <c r="E354">
        <v>13021</v>
      </c>
      <c r="F354">
        <v>150</v>
      </c>
      <c r="G354">
        <v>2</v>
      </c>
    </row>
    <row r="355" spans="1:7" x14ac:dyDescent="0.25">
      <c r="A355">
        <v>410631</v>
      </c>
      <c r="B355">
        <v>90</v>
      </c>
      <c r="C355">
        <v>0.251</v>
      </c>
      <c r="D355" t="s">
        <v>2</v>
      </c>
      <c r="E355">
        <v>258</v>
      </c>
      <c r="F355">
        <v>500</v>
      </c>
      <c r="G355">
        <v>2</v>
      </c>
    </row>
    <row r="356" spans="1:7" x14ac:dyDescent="0.25">
      <c r="A356">
        <v>410633</v>
      </c>
      <c r="B356">
        <v>90</v>
      </c>
      <c r="C356">
        <v>0.26600000000000001</v>
      </c>
      <c r="D356" t="s">
        <v>2727</v>
      </c>
      <c r="E356">
        <v>13021</v>
      </c>
      <c r="F356">
        <v>950</v>
      </c>
      <c r="G356">
        <v>2</v>
      </c>
    </row>
    <row r="357" spans="1:7" x14ac:dyDescent="0.25">
      <c r="A357">
        <v>410636</v>
      </c>
      <c r="B357">
        <v>90</v>
      </c>
      <c r="C357">
        <v>0.27100000000000002</v>
      </c>
      <c r="D357" t="s">
        <v>2727</v>
      </c>
      <c r="E357">
        <v>13021</v>
      </c>
      <c r="F357">
        <v>150</v>
      </c>
      <c r="G357">
        <v>2</v>
      </c>
    </row>
    <row r="358" spans="1:7" x14ac:dyDescent="0.25">
      <c r="A358">
        <v>410770</v>
      </c>
      <c r="B358">
        <v>90</v>
      </c>
      <c r="C358">
        <v>0.56399999999999995</v>
      </c>
      <c r="D358" t="s">
        <v>2727</v>
      </c>
      <c r="E358">
        <v>13021</v>
      </c>
      <c r="F358">
        <v>150</v>
      </c>
      <c r="G358">
        <v>2</v>
      </c>
    </row>
    <row r="359" spans="1:7" x14ac:dyDescent="0.25">
      <c r="A359">
        <v>410830</v>
      </c>
      <c r="B359">
        <v>90</v>
      </c>
      <c r="C359">
        <v>0.38900000000000001</v>
      </c>
      <c r="D359" t="s">
        <v>1695</v>
      </c>
      <c r="E359">
        <v>6448</v>
      </c>
      <c r="F359">
        <v>2000</v>
      </c>
      <c r="G359">
        <v>2</v>
      </c>
    </row>
    <row r="360" spans="1:7" x14ac:dyDescent="0.25">
      <c r="A360" t="s">
        <v>2724</v>
      </c>
      <c r="B360">
        <v>3</v>
      </c>
      <c r="C360">
        <v>0.38900000000000001</v>
      </c>
      <c r="D360">
        <v>9317</v>
      </c>
      <c r="E360">
        <v>6448</v>
      </c>
      <c r="F360">
        <v>100</v>
      </c>
      <c r="G360">
        <v>2</v>
      </c>
    </row>
    <row r="361" spans="1:7" x14ac:dyDescent="0.25">
      <c r="A361">
        <v>410870</v>
      </c>
      <c r="B361">
        <v>90</v>
      </c>
      <c r="C361">
        <v>0.34399999999999997</v>
      </c>
      <c r="D361" t="s">
        <v>1695</v>
      </c>
      <c r="E361">
        <v>6448</v>
      </c>
      <c r="F361">
        <v>1900</v>
      </c>
      <c r="G361">
        <v>2</v>
      </c>
    </row>
    <row r="362" spans="1:7" x14ac:dyDescent="0.25">
      <c r="A362">
        <v>410871</v>
      </c>
      <c r="B362">
        <v>90</v>
      </c>
      <c r="C362">
        <v>0.33600000000000002</v>
      </c>
      <c r="D362" t="s">
        <v>3</v>
      </c>
      <c r="F362">
        <v>12</v>
      </c>
      <c r="G362">
        <v>2</v>
      </c>
    </row>
    <row r="363" spans="1:7" x14ac:dyDescent="0.25">
      <c r="A363">
        <v>410874</v>
      </c>
      <c r="B363">
        <v>90</v>
      </c>
      <c r="C363">
        <v>0.4</v>
      </c>
      <c r="D363" t="s">
        <v>1695</v>
      </c>
      <c r="F363">
        <v>400</v>
      </c>
      <c r="G363">
        <v>2</v>
      </c>
    </row>
    <row r="364" spans="1:7" x14ac:dyDescent="0.25">
      <c r="A364">
        <v>420080</v>
      </c>
      <c r="B364">
        <v>90</v>
      </c>
      <c r="C364">
        <v>0.161</v>
      </c>
      <c r="D364" t="s">
        <v>2</v>
      </c>
      <c r="F364">
        <v>400</v>
      </c>
      <c r="G364">
        <v>2</v>
      </c>
    </row>
    <row r="365" spans="1:7" x14ac:dyDescent="0.25">
      <c r="A365">
        <v>420090</v>
      </c>
      <c r="B365">
        <v>90</v>
      </c>
      <c r="C365">
        <v>0.21199999999999999</v>
      </c>
      <c r="D365" t="s">
        <v>2</v>
      </c>
      <c r="F365">
        <v>350</v>
      </c>
      <c r="G365">
        <v>2</v>
      </c>
    </row>
    <row r="366" spans="1:7" x14ac:dyDescent="0.25">
      <c r="A366">
        <v>420101</v>
      </c>
      <c r="B366">
        <v>90</v>
      </c>
      <c r="C366">
        <v>0.375</v>
      </c>
      <c r="D366" t="s">
        <v>2727</v>
      </c>
      <c r="E366">
        <v>19657</v>
      </c>
      <c r="F366">
        <v>200</v>
      </c>
      <c r="G366">
        <v>2</v>
      </c>
    </row>
    <row r="367" spans="1:7" x14ac:dyDescent="0.25">
      <c r="A367">
        <v>420105</v>
      </c>
      <c r="B367">
        <v>90</v>
      </c>
      <c r="C367">
        <v>0.13500000000000001</v>
      </c>
      <c r="D367" t="s">
        <v>2727</v>
      </c>
      <c r="E367">
        <v>19530</v>
      </c>
      <c r="F367">
        <v>100</v>
      </c>
      <c r="G367">
        <v>2</v>
      </c>
    </row>
    <row r="368" spans="1:7" x14ac:dyDescent="0.25">
      <c r="A368">
        <v>420113</v>
      </c>
      <c r="B368">
        <v>90</v>
      </c>
      <c r="C368">
        <v>0.19800000000000001</v>
      </c>
      <c r="D368" t="s">
        <v>2727</v>
      </c>
      <c r="E368">
        <v>19530</v>
      </c>
      <c r="F368">
        <v>100</v>
      </c>
      <c r="G368">
        <v>2</v>
      </c>
    </row>
    <row r="369" spans="1:7" x14ac:dyDescent="0.25">
      <c r="A369">
        <v>430030</v>
      </c>
      <c r="B369">
        <v>90</v>
      </c>
      <c r="C369">
        <v>0.35499999999999998</v>
      </c>
      <c r="D369" t="s">
        <v>2</v>
      </c>
      <c r="E369">
        <v>258</v>
      </c>
      <c r="F369">
        <v>1200</v>
      </c>
      <c r="G369">
        <v>2</v>
      </c>
    </row>
    <row r="370" spans="1:7" x14ac:dyDescent="0.25">
      <c r="A370">
        <v>430070</v>
      </c>
      <c r="B370">
        <v>90</v>
      </c>
      <c r="C370">
        <v>0.501</v>
      </c>
      <c r="D370" t="s">
        <v>2</v>
      </c>
      <c r="F370">
        <v>2600</v>
      </c>
      <c r="G370">
        <v>2</v>
      </c>
    </row>
    <row r="371" spans="1:7" x14ac:dyDescent="0.25">
      <c r="A371">
        <v>431060</v>
      </c>
      <c r="B371">
        <v>90</v>
      </c>
      <c r="C371">
        <v>0.85</v>
      </c>
      <c r="D371">
        <v>9591</v>
      </c>
      <c r="F371">
        <v>0</v>
      </c>
      <c r="G371">
        <v>2</v>
      </c>
    </row>
    <row r="372" spans="1:7" x14ac:dyDescent="0.25">
      <c r="A372">
        <v>431080</v>
      </c>
      <c r="B372">
        <v>90</v>
      </c>
      <c r="C372">
        <v>2</v>
      </c>
      <c r="D372">
        <v>9591</v>
      </c>
      <c r="F372">
        <v>0</v>
      </c>
      <c r="G372">
        <v>2</v>
      </c>
    </row>
    <row r="373" spans="1:7" x14ac:dyDescent="0.25">
      <c r="A373">
        <v>440060</v>
      </c>
      <c r="B373">
        <v>90</v>
      </c>
      <c r="C373">
        <v>0.248</v>
      </c>
      <c r="D373" t="s">
        <v>2727</v>
      </c>
      <c r="E373">
        <v>13021</v>
      </c>
      <c r="F373">
        <v>1200</v>
      </c>
      <c r="G373">
        <v>2</v>
      </c>
    </row>
    <row r="374" spans="1:7" x14ac:dyDescent="0.25">
      <c r="A374">
        <v>440063</v>
      </c>
      <c r="B374">
        <v>90</v>
      </c>
      <c r="C374">
        <v>0.76800000000000002</v>
      </c>
      <c r="D374" t="s">
        <v>2727</v>
      </c>
      <c r="E374">
        <v>19530</v>
      </c>
      <c r="F374">
        <v>50</v>
      </c>
      <c r="G374">
        <v>2</v>
      </c>
    </row>
    <row r="375" spans="1:7" x14ac:dyDescent="0.25">
      <c r="A375">
        <v>440150</v>
      </c>
      <c r="B375">
        <v>90</v>
      </c>
      <c r="C375">
        <v>0.6</v>
      </c>
      <c r="D375" t="s">
        <v>47</v>
      </c>
      <c r="E375">
        <v>14276</v>
      </c>
      <c r="F375">
        <v>250</v>
      </c>
      <c r="G375">
        <v>2</v>
      </c>
    </row>
    <row r="376" spans="1:7" x14ac:dyDescent="0.25">
      <c r="A376">
        <v>440320</v>
      </c>
      <c r="B376">
        <v>90</v>
      </c>
      <c r="C376">
        <v>0.53900000000000003</v>
      </c>
      <c r="D376" t="s">
        <v>2542</v>
      </c>
      <c r="E376">
        <v>14276</v>
      </c>
      <c r="F376">
        <v>30</v>
      </c>
      <c r="G376">
        <v>2</v>
      </c>
    </row>
    <row r="377" spans="1:7" x14ac:dyDescent="0.25">
      <c r="A377">
        <v>440322</v>
      </c>
      <c r="B377">
        <v>90</v>
      </c>
      <c r="C377">
        <v>0.71199999999999997</v>
      </c>
      <c r="D377" t="s">
        <v>47</v>
      </c>
      <c r="E377">
        <v>14276</v>
      </c>
      <c r="F377">
        <v>40</v>
      </c>
      <c r="G377">
        <v>2</v>
      </c>
    </row>
    <row r="378" spans="1:7" x14ac:dyDescent="0.25">
      <c r="A378">
        <v>440352</v>
      </c>
      <c r="B378">
        <v>90</v>
      </c>
      <c r="C378">
        <v>3.1</v>
      </c>
      <c r="D378" t="s">
        <v>47</v>
      </c>
      <c r="E378">
        <v>14276</v>
      </c>
      <c r="F378">
        <v>30</v>
      </c>
      <c r="G378">
        <v>2</v>
      </c>
    </row>
    <row r="379" spans="1:7" x14ac:dyDescent="0.25">
      <c r="A379">
        <v>450090</v>
      </c>
      <c r="B379">
        <v>90</v>
      </c>
      <c r="C379">
        <v>0.18</v>
      </c>
      <c r="D379" t="s">
        <v>2</v>
      </c>
      <c r="F379">
        <v>300</v>
      </c>
      <c r="G379">
        <v>2</v>
      </c>
    </row>
    <row r="380" spans="1:7" x14ac:dyDescent="0.25">
      <c r="A380">
        <v>450180</v>
      </c>
      <c r="B380">
        <v>90</v>
      </c>
      <c r="C380">
        <v>0.4</v>
      </c>
      <c r="D380" t="s">
        <v>2</v>
      </c>
      <c r="F380">
        <v>250</v>
      </c>
      <c r="G380">
        <v>2</v>
      </c>
    </row>
    <row r="381" spans="1:7" x14ac:dyDescent="0.25">
      <c r="A381">
        <v>450405</v>
      </c>
      <c r="B381">
        <v>90</v>
      </c>
      <c r="C381">
        <v>0.105</v>
      </c>
      <c r="D381" t="s">
        <v>47</v>
      </c>
      <c r="E381">
        <v>2785</v>
      </c>
      <c r="F381">
        <v>280</v>
      </c>
      <c r="G381">
        <v>2</v>
      </c>
    </row>
    <row r="382" spans="1:7" x14ac:dyDescent="0.25">
      <c r="A382">
        <v>450406</v>
      </c>
      <c r="B382">
        <v>90</v>
      </c>
      <c r="C382">
        <v>0.214</v>
      </c>
      <c r="D382" t="s">
        <v>47</v>
      </c>
      <c r="F382">
        <v>80</v>
      </c>
      <c r="G382">
        <v>2</v>
      </c>
    </row>
    <row r="383" spans="1:7" x14ac:dyDescent="0.25">
      <c r="A383">
        <v>483000</v>
      </c>
      <c r="B383">
        <v>90</v>
      </c>
      <c r="C383">
        <v>0.57799999999999996</v>
      </c>
      <c r="D383" t="s">
        <v>2</v>
      </c>
      <c r="F383">
        <v>300</v>
      </c>
      <c r="G383">
        <v>2</v>
      </c>
    </row>
    <row r="384" spans="1:7" x14ac:dyDescent="0.25">
      <c r="A384">
        <v>490010</v>
      </c>
      <c r="B384">
        <v>0</v>
      </c>
      <c r="C384">
        <v>3.93</v>
      </c>
      <c r="D384" t="s">
        <v>5</v>
      </c>
      <c r="F384">
        <v>75</v>
      </c>
      <c r="G384">
        <v>2</v>
      </c>
    </row>
    <row r="385" spans="1:7" x14ac:dyDescent="0.25">
      <c r="A385">
        <v>490020</v>
      </c>
      <c r="B385">
        <v>90</v>
      </c>
      <c r="C385">
        <v>2.6669999999999998</v>
      </c>
      <c r="D385" t="s">
        <v>5</v>
      </c>
      <c r="F385">
        <v>75</v>
      </c>
      <c r="G385">
        <v>2</v>
      </c>
    </row>
    <row r="386" spans="1:7" x14ac:dyDescent="0.25">
      <c r="A386">
        <v>490030</v>
      </c>
      <c r="B386">
        <v>90</v>
      </c>
      <c r="C386">
        <v>2.5329999999999999</v>
      </c>
      <c r="D386" t="s">
        <v>5</v>
      </c>
      <c r="F386">
        <v>75</v>
      </c>
      <c r="G386">
        <v>2</v>
      </c>
    </row>
    <row r="387" spans="1:7" x14ac:dyDescent="0.25">
      <c r="A387">
        <v>490040</v>
      </c>
      <c r="B387">
        <v>90</v>
      </c>
      <c r="C387">
        <v>1.21</v>
      </c>
      <c r="D387" t="s">
        <v>5</v>
      </c>
      <c r="F387">
        <v>60</v>
      </c>
      <c r="G387">
        <v>2</v>
      </c>
    </row>
    <row r="388" spans="1:7" x14ac:dyDescent="0.25">
      <c r="A388">
        <v>490050</v>
      </c>
      <c r="B388">
        <v>90</v>
      </c>
      <c r="C388">
        <v>4.3</v>
      </c>
      <c r="D388" t="s">
        <v>5</v>
      </c>
      <c r="F388">
        <v>198</v>
      </c>
      <c r="G388">
        <v>2</v>
      </c>
    </row>
    <row r="389" spans="1:7" x14ac:dyDescent="0.25">
      <c r="A389">
        <v>500750</v>
      </c>
      <c r="B389">
        <v>90</v>
      </c>
      <c r="C389">
        <v>4.46</v>
      </c>
      <c r="D389" t="s">
        <v>4</v>
      </c>
      <c r="F389">
        <v>20</v>
      </c>
      <c r="G389">
        <v>2</v>
      </c>
    </row>
    <row r="390" spans="1:7" x14ac:dyDescent="0.25">
      <c r="A390">
        <v>501000</v>
      </c>
      <c r="B390">
        <v>90</v>
      </c>
      <c r="C390">
        <v>5.24</v>
      </c>
      <c r="D390" t="s">
        <v>4</v>
      </c>
      <c r="E390">
        <v>2785</v>
      </c>
      <c r="F390">
        <v>50</v>
      </c>
      <c r="G390">
        <v>2</v>
      </c>
    </row>
    <row r="391" spans="1:7" x14ac:dyDescent="0.25">
      <c r="A391">
        <v>501250</v>
      </c>
      <c r="B391">
        <v>90</v>
      </c>
      <c r="C391">
        <v>6.48</v>
      </c>
      <c r="D391" t="s">
        <v>4</v>
      </c>
      <c r="E391">
        <v>2785</v>
      </c>
      <c r="F391">
        <v>70</v>
      </c>
      <c r="G391">
        <v>2</v>
      </c>
    </row>
    <row r="392" spans="1:7" x14ac:dyDescent="0.25">
      <c r="A392">
        <v>501500</v>
      </c>
      <c r="B392">
        <v>90</v>
      </c>
      <c r="C392">
        <v>12.53</v>
      </c>
      <c r="D392" t="s">
        <v>4</v>
      </c>
      <c r="E392">
        <v>2785</v>
      </c>
      <c r="F392">
        <v>40</v>
      </c>
      <c r="G392">
        <v>2</v>
      </c>
    </row>
    <row r="393" spans="1:7" x14ac:dyDescent="0.25">
      <c r="A393">
        <v>511000</v>
      </c>
      <c r="B393">
        <v>90</v>
      </c>
      <c r="C393">
        <v>5.79</v>
      </c>
      <c r="D393" t="s">
        <v>4</v>
      </c>
      <c r="E393">
        <v>2785</v>
      </c>
      <c r="F393">
        <v>30</v>
      </c>
      <c r="G393">
        <v>2</v>
      </c>
    </row>
    <row r="394" spans="1:7" x14ac:dyDescent="0.25">
      <c r="A394">
        <v>511250</v>
      </c>
      <c r="B394">
        <v>90</v>
      </c>
      <c r="C394">
        <v>7.58</v>
      </c>
      <c r="D394" t="s">
        <v>4</v>
      </c>
      <c r="E394">
        <v>2785</v>
      </c>
      <c r="F394">
        <v>40</v>
      </c>
      <c r="G394">
        <v>2</v>
      </c>
    </row>
    <row r="395" spans="1:7" x14ac:dyDescent="0.25">
      <c r="A395">
        <v>511500</v>
      </c>
      <c r="B395">
        <v>90</v>
      </c>
      <c r="C395">
        <v>13.58</v>
      </c>
      <c r="D395" t="s">
        <v>4</v>
      </c>
      <c r="E395">
        <v>2785</v>
      </c>
      <c r="F395">
        <v>25</v>
      </c>
      <c r="G395">
        <v>2</v>
      </c>
    </row>
    <row r="396" spans="1:7" x14ac:dyDescent="0.25">
      <c r="A396">
        <v>512100</v>
      </c>
      <c r="B396">
        <v>90</v>
      </c>
      <c r="C396">
        <v>16</v>
      </c>
      <c r="D396" t="s">
        <v>4</v>
      </c>
      <c r="E396">
        <v>2785</v>
      </c>
      <c r="F396">
        <v>20</v>
      </c>
      <c r="G396">
        <v>2</v>
      </c>
    </row>
    <row r="397" spans="1:7" x14ac:dyDescent="0.25">
      <c r="A397">
        <v>513150</v>
      </c>
      <c r="B397">
        <v>90</v>
      </c>
      <c r="C397">
        <v>5.26</v>
      </c>
      <c r="D397" t="s">
        <v>4</v>
      </c>
      <c r="E397">
        <v>2785</v>
      </c>
      <c r="F397">
        <v>15</v>
      </c>
      <c r="G397">
        <v>2</v>
      </c>
    </row>
    <row r="398" spans="1:7" x14ac:dyDescent="0.25">
      <c r="A398">
        <v>520400</v>
      </c>
      <c r="B398">
        <v>90</v>
      </c>
      <c r="C398">
        <v>0.46800000000000003</v>
      </c>
      <c r="D398" t="s">
        <v>4</v>
      </c>
      <c r="F398">
        <v>260</v>
      </c>
      <c r="G398">
        <v>2</v>
      </c>
    </row>
    <row r="399" spans="1:7" x14ac:dyDescent="0.25">
      <c r="A399">
        <v>520450</v>
      </c>
      <c r="B399">
        <v>90</v>
      </c>
      <c r="C399">
        <v>0.69299999999999995</v>
      </c>
      <c r="D399" t="s">
        <v>4</v>
      </c>
      <c r="F399">
        <v>190</v>
      </c>
      <c r="G399">
        <v>2</v>
      </c>
    </row>
    <row r="400" spans="1:7" x14ac:dyDescent="0.25">
      <c r="A400">
        <v>520600</v>
      </c>
      <c r="B400">
        <v>90</v>
      </c>
      <c r="C400">
        <v>1.0880000000000001</v>
      </c>
      <c r="D400" t="s">
        <v>4</v>
      </c>
      <c r="F400">
        <v>150</v>
      </c>
      <c r="G400">
        <v>2</v>
      </c>
    </row>
    <row r="401" spans="1:7" x14ac:dyDescent="0.25">
      <c r="A401">
        <v>520800</v>
      </c>
      <c r="B401">
        <v>90</v>
      </c>
      <c r="C401">
        <v>1.4339999999999999</v>
      </c>
      <c r="D401" t="s">
        <v>47</v>
      </c>
      <c r="F401">
        <v>130</v>
      </c>
      <c r="G401">
        <v>2</v>
      </c>
    </row>
    <row r="402" spans="1:7" x14ac:dyDescent="0.25">
      <c r="A402">
        <v>531400</v>
      </c>
      <c r="B402">
        <v>90</v>
      </c>
      <c r="C402">
        <v>0.23699999999999999</v>
      </c>
      <c r="D402" t="s">
        <v>47</v>
      </c>
      <c r="F402">
        <v>480</v>
      </c>
      <c r="G402">
        <v>2</v>
      </c>
    </row>
    <row r="403" spans="1:7" x14ac:dyDescent="0.25">
      <c r="A403">
        <v>531450</v>
      </c>
      <c r="B403">
        <v>90</v>
      </c>
      <c r="C403">
        <v>0.26700000000000002</v>
      </c>
      <c r="D403" t="s">
        <v>47</v>
      </c>
      <c r="F403">
        <v>460</v>
      </c>
      <c r="G403">
        <v>2</v>
      </c>
    </row>
    <row r="404" spans="1:7" x14ac:dyDescent="0.25">
      <c r="A404">
        <v>531500</v>
      </c>
      <c r="B404">
        <v>90</v>
      </c>
      <c r="C404">
        <v>0.26700000000000002</v>
      </c>
      <c r="D404" t="s">
        <v>47</v>
      </c>
      <c r="F404">
        <v>240</v>
      </c>
      <c r="G404">
        <v>2</v>
      </c>
    </row>
    <row r="405" spans="1:7" x14ac:dyDescent="0.25">
      <c r="A405">
        <v>531520</v>
      </c>
      <c r="B405">
        <v>90</v>
      </c>
      <c r="C405">
        <v>0.28699999999999998</v>
      </c>
      <c r="D405" t="s">
        <v>47</v>
      </c>
      <c r="E405">
        <v>14276</v>
      </c>
      <c r="F405">
        <v>1000</v>
      </c>
      <c r="G405">
        <v>2</v>
      </c>
    </row>
    <row r="406" spans="1:7" x14ac:dyDescent="0.25">
      <c r="A406">
        <v>531530</v>
      </c>
      <c r="B406">
        <v>90</v>
      </c>
      <c r="C406">
        <v>0.311</v>
      </c>
      <c r="D406" t="s">
        <v>47</v>
      </c>
      <c r="E406">
        <v>14276</v>
      </c>
      <c r="F406">
        <v>1100</v>
      </c>
      <c r="G406">
        <v>2</v>
      </c>
    </row>
    <row r="407" spans="1:7" x14ac:dyDescent="0.25">
      <c r="A407">
        <v>531540</v>
      </c>
      <c r="B407">
        <v>90</v>
      </c>
      <c r="C407">
        <v>0.33800000000000002</v>
      </c>
      <c r="D407" t="s">
        <v>47</v>
      </c>
      <c r="E407">
        <v>14276</v>
      </c>
      <c r="F407">
        <v>680</v>
      </c>
      <c r="G407">
        <v>2</v>
      </c>
    </row>
    <row r="408" spans="1:7" x14ac:dyDescent="0.25">
      <c r="A408">
        <v>531550</v>
      </c>
      <c r="B408">
        <v>90</v>
      </c>
      <c r="C408">
        <v>0.36399999999999999</v>
      </c>
      <c r="D408" t="s">
        <v>47</v>
      </c>
      <c r="E408">
        <v>14276</v>
      </c>
      <c r="F408">
        <v>240</v>
      </c>
      <c r="G408">
        <v>2</v>
      </c>
    </row>
    <row r="409" spans="1:7" x14ac:dyDescent="0.25">
      <c r="A409">
        <v>543002</v>
      </c>
      <c r="B409">
        <v>90</v>
      </c>
      <c r="C409">
        <v>0.113</v>
      </c>
      <c r="D409" t="s">
        <v>2</v>
      </c>
      <c r="F409">
        <v>100</v>
      </c>
      <c r="G409">
        <v>2</v>
      </c>
    </row>
    <row r="410" spans="1:7" x14ac:dyDescent="0.25">
      <c r="A410">
        <v>543010</v>
      </c>
      <c r="B410">
        <v>90</v>
      </c>
      <c r="C410">
        <v>0.16400000000000001</v>
      </c>
      <c r="D410" t="s">
        <v>2542</v>
      </c>
      <c r="E410">
        <v>14276</v>
      </c>
      <c r="F410">
        <v>720</v>
      </c>
      <c r="G410">
        <v>2</v>
      </c>
    </row>
    <row r="411" spans="1:7" x14ac:dyDescent="0.25">
      <c r="A411">
        <v>543015</v>
      </c>
      <c r="B411">
        <v>90</v>
      </c>
      <c r="C411">
        <v>0.19400000000000001</v>
      </c>
      <c r="D411" t="s">
        <v>1694</v>
      </c>
      <c r="F411">
        <v>120</v>
      </c>
      <c r="G411">
        <v>2</v>
      </c>
    </row>
    <row r="412" spans="1:7" x14ac:dyDescent="0.25">
      <c r="A412">
        <v>552500</v>
      </c>
      <c r="B412">
        <v>90</v>
      </c>
      <c r="C412">
        <v>0.125</v>
      </c>
      <c r="D412" t="s">
        <v>3</v>
      </c>
      <c r="E412">
        <v>6448</v>
      </c>
      <c r="F412">
        <v>580</v>
      </c>
      <c r="G412">
        <v>2</v>
      </c>
    </row>
    <row r="413" spans="1:7" x14ac:dyDescent="0.25">
      <c r="A413">
        <v>553000</v>
      </c>
      <c r="B413">
        <v>90</v>
      </c>
      <c r="C413">
        <v>0.54300000000000004</v>
      </c>
      <c r="D413" t="s">
        <v>4</v>
      </c>
      <c r="F413">
        <v>1000</v>
      </c>
      <c r="G413">
        <v>2</v>
      </c>
    </row>
    <row r="414" spans="1:7" x14ac:dyDescent="0.25">
      <c r="A414">
        <v>553500</v>
      </c>
      <c r="B414">
        <v>90</v>
      </c>
      <c r="C414">
        <v>0.35199999999999998</v>
      </c>
      <c r="D414" t="s">
        <v>2</v>
      </c>
      <c r="E414">
        <v>14276</v>
      </c>
      <c r="F414">
        <v>1300</v>
      </c>
      <c r="G414">
        <v>2</v>
      </c>
    </row>
    <row r="415" spans="1:7" x14ac:dyDescent="0.25">
      <c r="A415">
        <v>554000</v>
      </c>
      <c r="B415">
        <v>90</v>
      </c>
      <c r="C415">
        <v>0.20300000000000001</v>
      </c>
      <c r="D415" t="s">
        <v>2</v>
      </c>
      <c r="E415">
        <v>14276</v>
      </c>
      <c r="F415">
        <v>800</v>
      </c>
      <c r="G415">
        <v>2</v>
      </c>
    </row>
    <row r="416" spans="1:7" x14ac:dyDescent="0.25">
      <c r="A416">
        <v>563000</v>
      </c>
      <c r="B416">
        <v>90</v>
      </c>
      <c r="C416">
        <v>0.221</v>
      </c>
      <c r="D416" t="s">
        <v>4</v>
      </c>
      <c r="E416">
        <v>2789</v>
      </c>
      <c r="F416">
        <v>500</v>
      </c>
      <c r="G416">
        <v>2</v>
      </c>
    </row>
    <row r="417" spans="1:7" x14ac:dyDescent="0.25">
      <c r="A417">
        <v>563102</v>
      </c>
      <c r="B417">
        <v>90</v>
      </c>
      <c r="C417">
        <v>6.0999999999999999E-2</v>
      </c>
      <c r="D417" t="s">
        <v>47</v>
      </c>
      <c r="E417">
        <v>14276</v>
      </c>
      <c r="F417">
        <v>400</v>
      </c>
      <c r="G417">
        <v>2</v>
      </c>
    </row>
    <row r="418" spans="1:7" x14ac:dyDescent="0.25">
      <c r="A418">
        <v>580010</v>
      </c>
      <c r="B418">
        <v>90</v>
      </c>
      <c r="C418">
        <v>0.13100000000000001</v>
      </c>
      <c r="D418" t="s">
        <v>47</v>
      </c>
      <c r="E418">
        <v>14276</v>
      </c>
      <c r="F418">
        <v>1800</v>
      </c>
      <c r="G418">
        <v>2</v>
      </c>
    </row>
    <row r="419" spans="1:7" x14ac:dyDescent="0.25">
      <c r="A419">
        <v>580020</v>
      </c>
      <c r="B419">
        <v>90</v>
      </c>
      <c r="C419">
        <v>0.217</v>
      </c>
      <c r="D419" t="s">
        <v>47</v>
      </c>
      <c r="E419">
        <v>14276</v>
      </c>
      <c r="F419">
        <v>1450</v>
      </c>
      <c r="G419">
        <v>2</v>
      </c>
    </row>
    <row r="420" spans="1:7" x14ac:dyDescent="0.25">
      <c r="A420">
        <v>588040</v>
      </c>
      <c r="B420">
        <v>90</v>
      </c>
      <c r="C420">
        <v>0.35799999999999998</v>
      </c>
      <c r="D420" t="s">
        <v>47</v>
      </c>
      <c r="E420">
        <v>14276</v>
      </c>
      <c r="F420">
        <v>950</v>
      </c>
      <c r="G420">
        <v>2</v>
      </c>
    </row>
    <row r="421" spans="1:7" x14ac:dyDescent="0.25">
      <c r="A421">
        <v>588110</v>
      </c>
      <c r="B421">
        <v>90</v>
      </c>
      <c r="C421">
        <v>0.55000000000000004</v>
      </c>
      <c r="D421" t="s">
        <v>2727</v>
      </c>
      <c r="E421">
        <v>17917</v>
      </c>
      <c r="F421">
        <v>530</v>
      </c>
      <c r="G421">
        <v>2</v>
      </c>
    </row>
    <row r="422" spans="1:7" x14ac:dyDescent="0.25">
      <c r="A422">
        <v>588115</v>
      </c>
      <c r="B422">
        <v>90</v>
      </c>
      <c r="C422">
        <v>0.73499999999999999</v>
      </c>
      <c r="D422" t="s">
        <v>2727</v>
      </c>
      <c r="E422">
        <v>19530</v>
      </c>
      <c r="F422">
        <v>300</v>
      </c>
      <c r="G422">
        <v>2</v>
      </c>
    </row>
    <row r="423" spans="1:7" x14ac:dyDescent="0.25">
      <c r="A423">
        <v>595000</v>
      </c>
      <c r="B423">
        <v>90</v>
      </c>
      <c r="C423">
        <v>0.43</v>
      </c>
      <c r="D423" t="s">
        <v>47</v>
      </c>
      <c r="F423">
        <v>700</v>
      </c>
      <c r="G423">
        <v>2</v>
      </c>
    </row>
    <row r="424" spans="1:7" x14ac:dyDescent="0.25">
      <c r="A424">
        <v>595050</v>
      </c>
      <c r="B424">
        <v>90</v>
      </c>
      <c r="C424">
        <v>0.3</v>
      </c>
      <c r="D424" t="s">
        <v>47</v>
      </c>
      <c r="E424">
        <v>14276</v>
      </c>
      <c r="F424">
        <v>540</v>
      </c>
      <c r="G424">
        <v>2</v>
      </c>
    </row>
    <row r="425" spans="1:7" x14ac:dyDescent="0.25">
      <c r="A425">
        <v>595500</v>
      </c>
      <c r="B425">
        <v>90</v>
      </c>
      <c r="C425">
        <v>3.3</v>
      </c>
      <c r="D425" t="s">
        <v>2</v>
      </c>
      <c r="F425">
        <v>90</v>
      </c>
      <c r="G425">
        <v>2</v>
      </c>
    </row>
    <row r="426" spans="1:7" x14ac:dyDescent="0.25">
      <c r="A426">
        <v>597002</v>
      </c>
      <c r="B426">
        <v>90</v>
      </c>
      <c r="C426">
        <v>3.15</v>
      </c>
      <c r="D426" t="s">
        <v>2</v>
      </c>
      <c r="E426">
        <v>6448</v>
      </c>
      <c r="F426">
        <v>64</v>
      </c>
      <c r="G426">
        <v>2</v>
      </c>
    </row>
    <row r="427" spans="1:7" x14ac:dyDescent="0.25">
      <c r="A427">
        <v>597015</v>
      </c>
      <c r="B427">
        <v>100</v>
      </c>
      <c r="C427">
        <v>8.6999999999999993</v>
      </c>
      <c r="D427" t="s">
        <v>3733</v>
      </c>
      <c r="E427">
        <v>6448</v>
      </c>
      <c r="F427">
        <v>100</v>
      </c>
      <c r="G427">
        <v>2</v>
      </c>
    </row>
    <row r="428" spans="1:7" x14ac:dyDescent="0.25">
      <c r="A428">
        <v>597040</v>
      </c>
      <c r="B428">
        <v>100</v>
      </c>
      <c r="C428">
        <v>20.2</v>
      </c>
      <c r="D428" t="s">
        <v>3733</v>
      </c>
      <c r="E428">
        <v>6448</v>
      </c>
      <c r="F428">
        <v>100</v>
      </c>
      <c r="G428">
        <v>2</v>
      </c>
    </row>
    <row r="429" spans="1:7" x14ac:dyDescent="0.25">
      <c r="A429">
        <v>598120</v>
      </c>
      <c r="B429">
        <v>90</v>
      </c>
      <c r="C429">
        <v>0.17499999999999999</v>
      </c>
      <c r="D429" t="s">
        <v>2542</v>
      </c>
      <c r="E429">
        <v>17917</v>
      </c>
      <c r="F429">
        <v>240</v>
      </c>
      <c r="G429">
        <v>2</v>
      </c>
    </row>
    <row r="430" spans="1:7" x14ac:dyDescent="0.25">
      <c r="A430">
        <v>598130</v>
      </c>
      <c r="B430">
        <v>90</v>
      </c>
      <c r="C430">
        <v>0.222</v>
      </c>
      <c r="D430" t="s">
        <v>2985</v>
      </c>
      <c r="E430">
        <v>17917</v>
      </c>
      <c r="F430">
        <v>360</v>
      </c>
      <c r="G430">
        <v>2</v>
      </c>
    </row>
    <row r="431" spans="1:7" x14ac:dyDescent="0.25">
      <c r="A431">
        <v>598140</v>
      </c>
      <c r="B431">
        <v>90</v>
      </c>
      <c r="C431">
        <v>0.32300000000000001</v>
      </c>
      <c r="D431" t="s">
        <v>2542</v>
      </c>
      <c r="E431">
        <v>2785</v>
      </c>
      <c r="F431">
        <v>320</v>
      </c>
      <c r="G431">
        <v>2</v>
      </c>
    </row>
    <row r="432" spans="1:7" x14ac:dyDescent="0.25">
      <c r="A432">
        <v>598150</v>
      </c>
      <c r="B432">
        <v>90</v>
      </c>
      <c r="C432">
        <v>0.23200000000000001</v>
      </c>
      <c r="D432" t="s">
        <v>2542</v>
      </c>
      <c r="E432">
        <v>2785</v>
      </c>
      <c r="F432">
        <v>560</v>
      </c>
      <c r="G432">
        <v>2</v>
      </c>
    </row>
    <row r="433" spans="1:7" x14ac:dyDescent="0.25">
      <c r="A433">
        <v>598240</v>
      </c>
      <c r="B433">
        <v>90</v>
      </c>
      <c r="C433">
        <v>7.0000000000000007E-2</v>
      </c>
      <c r="D433" t="s">
        <v>2542</v>
      </c>
      <c r="E433">
        <v>2785</v>
      </c>
      <c r="F433">
        <v>1500</v>
      </c>
      <c r="G433">
        <v>2</v>
      </c>
    </row>
    <row r="434" spans="1:7" x14ac:dyDescent="0.25">
      <c r="A434">
        <v>598242</v>
      </c>
      <c r="B434">
        <v>90</v>
      </c>
      <c r="C434">
        <v>2E-3</v>
      </c>
      <c r="D434" t="s">
        <v>2542</v>
      </c>
      <c r="E434">
        <v>2785</v>
      </c>
      <c r="F434">
        <v>16</v>
      </c>
      <c r="G434">
        <v>2</v>
      </c>
    </row>
    <row r="435" spans="1:7" x14ac:dyDescent="0.25">
      <c r="A435">
        <v>598243</v>
      </c>
      <c r="B435">
        <v>90</v>
      </c>
      <c r="C435">
        <v>2E-3</v>
      </c>
      <c r="D435" t="s">
        <v>2542</v>
      </c>
      <c r="E435">
        <v>2785</v>
      </c>
      <c r="F435">
        <v>16</v>
      </c>
      <c r="G435">
        <v>2</v>
      </c>
    </row>
    <row r="436" spans="1:7" x14ac:dyDescent="0.25">
      <c r="A436">
        <v>598262</v>
      </c>
      <c r="B436">
        <v>90</v>
      </c>
      <c r="C436">
        <v>3.5000000000000003E-2</v>
      </c>
      <c r="D436" t="s">
        <v>47</v>
      </c>
      <c r="F436">
        <v>1300</v>
      </c>
      <c r="G436">
        <v>2</v>
      </c>
    </row>
    <row r="437" spans="1:7" x14ac:dyDescent="0.25">
      <c r="A437">
        <v>598266</v>
      </c>
      <c r="B437">
        <v>90</v>
      </c>
      <c r="C437">
        <v>6.5000000000000002E-2</v>
      </c>
      <c r="D437" t="s">
        <v>47</v>
      </c>
      <c r="F437">
        <v>380</v>
      </c>
      <c r="G437">
        <v>2</v>
      </c>
    </row>
    <row r="438" spans="1:7" x14ac:dyDescent="0.25">
      <c r="A438">
        <v>598267</v>
      </c>
      <c r="B438">
        <v>90</v>
      </c>
      <c r="C438">
        <v>6.3E-2</v>
      </c>
      <c r="D438" t="s">
        <v>47</v>
      </c>
      <c r="F438">
        <v>800</v>
      </c>
      <c r="G438">
        <v>2</v>
      </c>
    </row>
    <row r="439" spans="1:7" x14ac:dyDescent="0.25">
      <c r="A439">
        <v>598272</v>
      </c>
      <c r="B439">
        <v>90</v>
      </c>
      <c r="C439">
        <v>2.8000000000000001E-2</v>
      </c>
      <c r="D439" t="s">
        <v>47</v>
      </c>
      <c r="F439">
        <v>1000</v>
      </c>
      <c r="G439">
        <v>2</v>
      </c>
    </row>
    <row r="440" spans="1:7" x14ac:dyDescent="0.25">
      <c r="A440">
        <v>598274</v>
      </c>
      <c r="B440">
        <v>90</v>
      </c>
      <c r="C440">
        <v>3.1E-2</v>
      </c>
      <c r="D440" t="s">
        <v>47</v>
      </c>
      <c r="F440">
        <v>1152</v>
      </c>
      <c r="G440">
        <v>2</v>
      </c>
    </row>
    <row r="441" spans="1:7" x14ac:dyDescent="0.25">
      <c r="A441">
        <v>598281</v>
      </c>
      <c r="B441">
        <v>90</v>
      </c>
      <c r="C441">
        <v>7.5999999999999998E-2</v>
      </c>
      <c r="D441" t="s">
        <v>47</v>
      </c>
      <c r="F441">
        <v>360</v>
      </c>
      <c r="G441">
        <v>2</v>
      </c>
    </row>
    <row r="442" spans="1:7" x14ac:dyDescent="0.25">
      <c r="A442">
        <v>598282</v>
      </c>
      <c r="B442">
        <v>90</v>
      </c>
      <c r="C442">
        <v>7.0000000000000007E-2</v>
      </c>
      <c r="D442" t="s">
        <v>47</v>
      </c>
      <c r="F442">
        <v>400</v>
      </c>
      <c r="G442">
        <v>2</v>
      </c>
    </row>
    <row r="443" spans="1:7" x14ac:dyDescent="0.25">
      <c r="A443">
        <v>600030</v>
      </c>
      <c r="B443">
        <v>90</v>
      </c>
      <c r="C443">
        <v>7.8E-2</v>
      </c>
      <c r="D443" t="s">
        <v>1695</v>
      </c>
      <c r="E443">
        <v>17621</v>
      </c>
      <c r="F443">
        <v>360</v>
      </c>
      <c r="G443">
        <v>2</v>
      </c>
    </row>
    <row r="444" spans="1:7" x14ac:dyDescent="0.25">
      <c r="A444">
        <v>600031</v>
      </c>
      <c r="B444">
        <v>90</v>
      </c>
      <c r="C444">
        <v>7.8E-2</v>
      </c>
      <c r="D444" t="s">
        <v>1695</v>
      </c>
      <c r="E444">
        <v>17621</v>
      </c>
      <c r="F444">
        <v>360</v>
      </c>
      <c r="G444">
        <v>2</v>
      </c>
    </row>
    <row r="445" spans="1:7" x14ac:dyDescent="0.25">
      <c r="A445">
        <v>600032</v>
      </c>
      <c r="B445">
        <v>90</v>
      </c>
      <c r="C445">
        <v>0.24199999999999999</v>
      </c>
      <c r="D445" t="s">
        <v>1695</v>
      </c>
      <c r="E445">
        <v>17621</v>
      </c>
      <c r="F445">
        <v>240</v>
      </c>
      <c r="G445">
        <v>2</v>
      </c>
    </row>
    <row r="446" spans="1:7" x14ac:dyDescent="0.25">
      <c r="A446">
        <v>600110</v>
      </c>
      <c r="B446">
        <v>90</v>
      </c>
      <c r="C446">
        <v>0.106</v>
      </c>
      <c r="D446" t="s">
        <v>2</v>
      </c>
      <c r="F446">
        <v>420</v>
      </c>
      <c r="G446">
        <v>2</v>
      </c>
    </row>
    <row r="447" spans="1:7" x14ac:dyDescent="0.25">
      <c r="A447">
        <v>600394</v>
      </c>
      <c r="B447">
        <v>90</v>
      </c>
      <c r="C447">
        <v>0.123</v>
      </c>
      <c r="D447" t="s">
        <v>2542</v>
      </c>
      <c r="F447">
        <v>420</v>
      </c>
      <c r="G447">
        <v>2</v>
      </c>
    </row>
    <row r="448" spans="1:7" x14ac:dyDescent="0.25">
      <c r="A448">
        <v>600401</v>
      </c>
      <c r="B448">
        <v>90</v>
      </c>
      <c r="C448">
        <v>0.11899999999999999</v>
      </c>
      <c r="D448" t="s">
        <v>2</v>
      </c>
      <c r="E448">
        <v>6448</v>
      </c>
      <c r="F448">
        <v>700</v>
      </c>
      <c r="G448">
        <v>2</v>
      </c>
    </row>
    <row r="449" spans="1:7" x14ac:dyDescent="0.25">
      <c r="A449">
        <v>610060</v>
      </c>
      <c r="B449">
        <v>90</v>
      </c>
      <c r="C449">
        <v>2.5000000000000001E-2</v>
      </c>
      <c r="D449" t="s">
        <v>47</v>
      </c>
      <c r="E449">
        <v>14276</v>
      </c>
      <c r="F449">
        <v>1200</v>
      </c>
      <c r="G449">
        <v>2</v>
      </c>
    </row>
    <row r="450" spans="1:7" x14ac:dyDescent="0.25">
      <c r="A450">
        <v>610182</v>
      </c>
      <c r="B450">
        <v>90</v>
      </c>
      <c r="C450">
        <v>6.0999999999999999E-2</v>
      </c>
      <c r="D450" t="s">
        <v>2</v>
      </c>
      <c r="E450">
        <v>2789</v>
      </c>
      <c r="F450">
        <v>25000</v>
      </c>
      <c r="G450">
        <v>2</v>
      </c>
    </row>
    <row r="451" spans="1:7" x14ac:dyDescent="0.25">
      <c r="A451">
        <v>611180</v>
      </c>
      <c r="B451">
        <v>90</v>
      </c>
      <c r="C451">
        <v>3.7999999999999999E-2</v>
      </c>
      <c r="D451" t="s">
        <v>2</v>
      </c>
      <c r="E451">
        <v>2789</v>
      </c>
      <c r="F451">
        <v>5000</v>
      </c>
      <c r="G451">
        <v>2</v>
      </c>
    </row>
    <row r="452" spans="1:7" x14ac:dyDescent="0.25">
      <c r="A452">
        <v>611182</v>
      </c>
      <c r="B452">
        <v>90</v>
      </c>
      <c r="C452">
        <v>0.09</v>
      </c>
      <c r="D452" t="s">
        <v>2</v>
      </c>
      <c r="F452">
        <v>4200</v>
      </c>
      <c r="G452">
        <v>2</v>
      </c>
    </row>
    <row r="453" spans="1:7" x14ac:dyDescent="0.25">
      <c r="A453">
        <v>611191</v>
      </c>
      <c r="B453">
        <v>90</v>
      </c>
      <c r="C453">
        <v>5.8999999999999997E-2</v>
      </c>
      <c r="D453" t="s">
        <v>2</v>
      </c>
      <c r="E453">
        <v>13024</v>
      </c>
      <c r="F453">
        <v>6000</v>
      </c>
      <c r="G453">
        <v>2</v>
      </c>
    </row>
    <row r="454" spans="1:7" x14ac:dyDescent="0.25">
      <c r="A454">
        <v>611195</v>
      </c>
      <c r="B454">
        <v>90</v>
      </c>
      <c r="C454">
        <v>0.17</v>
      </c>
      <c r="D454" t="s">
        <v>2</v>
      </c>
      <c r="E454">
        <v>14276</v>
      </c>
      <c r="F454">
        <v>1400</v>
      </c>
      <c r="G454">
        <v>2</v>
      </c>
    </row>
    <row r="455" spans="1:7" x14ac:dyDescent="0.25">
      <c r="A455">
        <v>613000</v>
      </c>
      <c r="B455">
        <v>90</v>
      </c>
      <c r="C455">
        <v>5.8000000000000003E-2</v>
      </c>
      <c r="D455" t="s">
        <v>2</v>
      </c>
      <c r="E455">
        <v>6448</v>
      </c>
      <c r="F455">
        <v>400</v>
      </c>
      <c r="G455">
        <v>2</v>
      </c>
    </row>
    <row r="456" spans="1:7" x14ac:dyDescent="0.25">
      <c r="A456">
        <v>614012</v>
      </c>
      <c r="B456">
        <v>90</v>
      </c>
      <c r="C456">
        <v>7.0999999999999994E-2</v>
      </c>
      <c r="D456" t="s">
        <v>47</v>
      </c>
      <c r="F456">
        <v>760</v>
      </c>
      <c r="G456">
        <v>2</v>
      </c>
    </row>
    <row r="457" spans="1:7" x14ac:dyDescent="0.25">
      <c r="A457">
        <v>614018</v>
      </c>
      <c r="B457">
        <v>90</v>
      </c>
      <c r="C457">
        <v>9.1999999999999998E-2</v>
      </c>
      <c r="D457" t="s">
        <v>47</v>
      </c>
      <c r="F457">
        <v>540</v>
      </c>
      <c r="G457">
        <v>2</v>
      </c>
    </row>
    <row r="458" spans="1:7" x14ac:dyDescent="0.25">
      <c r="A458">
        <v>614160</v>
      </c>
      <c r="B458">
        <v>90</v>
      </c>
      <c r="C458">
        <v>0.17499999999999999</v>
      </c>
      <c r="D458" t="s">
        <v>2542</v>
      </c>
      <c r="E458">
        <v>2789</v>
      </c>
      <c r="F458">
        <v>520</v>
      </c>
      <c r="G458">
        <v>2</v>
      </c>
    </row>
    <row r="459" spans="1:7" x14ac:dyDescent="0.25">
      <c r="A459">
        <v>620040</v>
      </c>
      <c r="B459">
        <v>90</v>
      </c>
      <c r="C459">
        <v>0.46700000000000003</v>
      </c>
      <c r="D459" t="s">
        <v>2542</v>
      </c>
      <c r="E459">
        <v>13022</v>
      </c>
      <c r="F459">
        <v>1000</v>
      </c>
      <c r="G459">
        <v>2</v>
      </c>
    </row>
    <row r="460" spans="1:7" x14ac:dyDescent="0.25">
      <c r="A460">
        <v>620050</v>
      </c>
      <c r="B460">
        <v>90</v>
      </c>
      <c r="C460">
        <v>0.53800000000000003</v>
      </c>
      <c r="D460" t="s">
        <v>2542</v>
      </c>
      <c r="F460">
        <v>350</v>
      </c>
      <c r="G460">
        <v>2</v>
      </c>
    </row>
    <row r="461" spans="1:7" x14ac:dyDescent="0.25">
      <c r="A461">
        <v>620169</v>
      </c>
      <c r="B461">
        <v>90</v>
      </c>
      <c r="C461">
        <v>0.32</v>
      </c>
      <c r="D461" t="s">
        <v>2542</v>
      </c>
      <c r="E461">
        <v>14276</v>
      </c>
      <c r="F461">
        <v>140</v>
      </c>
      <c r="G461">
        <v>2</v>
      </c>
    </row>
    <row r="462" spans="1:7" x14ac:dyDescent="0.25">
      <c r="A462">
        <v>620171</v>
      </c>
      <c r="B462">
        <v>90</v>
      </c>
      <c r="C462">
        <v>0.69399999999999995</v>
      </c>
      <c r="D462" t="s">
        <v>2542</v>
      </c>
      <c r="E462">
        <v>14276</v>
      </c>
      <c r="F462">
        <v>58</v>
      </c>
      <c r="G462">
        <v>2</v>
      </c>
    </row>
    <row r="463" spans="1:7" x14ac:dyDescent="0.25">
      <c r="A463">
        <v>620174</v>
      </c>
      <c r="B463">
        <v>90</v>
      </c>
      <c r="C463">
        <v>0.13</v>
      </c>
      <c r="D463" t="s">
        <v>2542</v>
      </c>
      <c r="F463">
        <v>420</v>
      </c>
      <c r="G463">
        <v>2</v>
      </c>
    </row>
    <row r="464" spans="1:7" x14ac:dyDescent="0.25">
      <c r="A464">
        <v>621050</v>
      </c>
      <c r="B464">
        <v>90</v>
      </c>
      <c r="C464">
        <v>0.22600000000000001</v>
      </c>
      <c r="D464" t="s">
        <v>2</v>
      </c>
      <c r="E464">
        <v>2789</v>
      </c>
      <c r="F464">
        <v>280</v>
      </c>
      <c r="G464">
        <v>2</v>
      </c>
    </row>
    <row r="465" spans="1:7" x14ac:dyDescent="0.25">
      <c r="A465">
        <v>621100</v>
      </c>
      <c r="B465">
        <v>90</v>
      </c>
      <c r="C465">
        <v>0.56899999999999995</v>
      </c>
      <c r="D465" t="s">
        <v>2</v>
      </c>
      <c r="F465">
        <v>420</v>
      </c>
      <c r="G465">
        <v>2</v>
      </c>
    </row>
    <row r="466" spans="1:7" x14ac:dyDescent="0.25">
      <c r="A466">
        <v>622250</v>
      </c>
      <c r="B466">
        <v>90</v>
      </c>
      <c r="C466">
        <v>0.41299999999999998</v>
      </c>
      <c r="D466" t="s">
        <v>4</v>
      </c>
      <c r="E466">
        <v>2789</v>
      </c>
      <c r="F466">
        <v>480</v>
      </c>
      <c r="G466">
        <v>2</v>
      </c>
    </row>
    <row r="467" spans="1:7" x14ac:dyDescent="0.25">
      <c r="A467">
        <v>622300</v>
      </c>
      <c r="B467">
        <v>90</v>
      </c>
      <c r="C467">
        <v>0.47899999999999998</v>
      </c>
      <c r="D467" t="s">
        <v>4</v>
      </c>
      <c r="E467">
        <v>2789</v>
      </c>
      <c r="F467">
        <v>800</v>
      </c>
      <c r="G467">
        <v>2</v>
      </c>
    </row>
    <row r="468" spans="1:7" x14ac:dyDescent="0.25">
      <c r="A468">
        <v>622310</v>
      </c>
      <c r="B468">
        <v>90</v>
      </c>
      <c r="C468">
        <v>0.47199999999999998</v>
      </c>
      <c r="D468" t="s">
        <v>4</v>
      </c>
      <c r="E468">
        <v>2789</v>
      </c>
      <c r="F468">
        <v>480</v>
      </c>
      <c r="G468">
        <v>2</v>
      </c>
    </row>
    <row r="469" spans="1:7" x14ac:dyDescent="0.25">
      <c r="A469">
        <v>622400</v>
      </c>
      <c r="B469">
        <v>90</v>
      </c>
      <c r="C469">
        <v>0.68</v>
      </c>
      <c r="D469" t="s">
        <v>4</v>
      </c>
      <c r="E469">
        <v>2789</v>
      </c>
      <c r="F469">
        <v>1500</v>
      </c>
      <c r="G469">
        <v>2</v>
      </c>
    </row>
    <row r="470" spans="1:7" x14ac:dyDescent="0.25">
      <c r="A470">
        <v>622410</v>
      </c>
      <c r="B470">
        <v>90</v>
      </c>
      <c r="C470">
        <v>0.66300000000000003</v>
      </c>
      <c r="D470" t="s">
        <v>4</v>
      </c>
      <c r="E470">
        <v>2789</v>
      </c>
      <c r="F470">
        <v>200</v>
      </c>
      <c r="G470">
        <v>2</v>
      </c>
    </row>
    <row r="471" spans="1:7" x14ac:dyDescent="0.25">
      <c r="A471">
        <v>622600</v>
      </c>
      <c r="B471">
        <v>90</v>
      </c>
      <c r="C471">
        <v>0.5</v>
      </c>
      <c r="D471" t="s">
        <v>4</v>
      </c>
      <c r="E471">
        <v>2789</v>
      </c>
      <c r="F471">
        <v>840</v>
      </c>
      <c r="G471">
        <v>2</v>
      </c>
    </row>
    <row r="472" spans="1:7" x14ac:dyDescent="0.25">
      <c r="A472">
        <v>622624</v>
      </c>
      <c r="B472">
        <v>90</v>
      </c>
      <c r="C472">
        <v>0.56299999999999994</v>
      </c>
      <c r="D472" t="s">
        <v>4</v>
      </c>
      <c r="E472">
        <v>2789</v>
      </c>
      <c r="F472">
        <v>420</v>
      </c>
      <c r="G472">
        <v>2</v>
      </c>
    </row>
    <row r="473" spans="1:7" x14ac:dyDescent="0.25">
      <c r="A473">
        <v>623010</v>
      </c>
      <c r="B473">
        <v>90</v>
      </c>
      <c r="C473">
        <v>0.31900000000000001</v>
      </c>
      <c r="D473" t="s">
        <v>2</v>
      </c>
      <c r="E473">
        <v>14276</v>
      </c>
      <c r="F473">
        <v>680</v>
      </c>
      <c r="G473">
        <v>2</v>
      </c>
    </row>
    <row r="474" spans="1:7" x14ac:dyDescent="0.25">
      <c r="A474">
        <v>623012</v>
      </c>
      <c r="B474">
        <v>90</v>
      </c>
      <c r="C474">
        <v>0.246</v>
      </c>
      <c r="D474" t="s">
        <v>2542</v>
      </c>
      <c r="F474">
        <v>220</v>
      </c>
      <c r="G474">
        <v>2</v>
      </c>
    </row>
    <row r="475" spans="1:7" x14ac:dyDescent="0.25">
      <c r="A475">
        <v>623071</v>
      </c>
      <c r="B475">
        <v>90</v>
      </c>
      <c r="C475">
        <v>4.79</v>
      </c>
      <c r="D475" t="s">
        <v>2</v>
      </c>
      <c r="F475">
        <v>32</v>
      </c>
      <c r="G475">
        <v>2</v>
      </c>
    </row>
    <row r="476" spans="1:7" x14ac:dyDescent="0.25">
      <c r="A476">
        <v>623090</v>
      </c>
      <c r="B476">
        <v>90</v>
      </c>
      <c r="C476">
        <v>6</v>
      </c>
      <c r="D476" t="s">
        <v>2</v>
      </c>
      <c r="F476">
        <v>140</v>
      </c>
      <c r="G476">
        <v>2</v>
      </c>
    </row>
    <row r="477" spans="1:7" x14ac:dyDescent="0.25">
      <c r="A477">
        <v>624106</v>
      </c>
      <c r="B477">
        <v>90</v>
      </c>
      <c r="C477">
        <v>0.249</v>
      </c>
      <c r="D477" t="s">
        <v>47</v>
      </c>
      <c r="E477">
        <v>14276</v>
      </c>
      <c r="F477">
        <v>100</v>
      </c>
      <c r="G477">
        <v>2</v>
      </c>
    </row>
    <row r="478" spans="1:7" x14ac:dyDescent="0.25">
      <c r="A478">
        <v>624116</v>
      </c>
      <c r="B478">
        <v>90</v>
      </c>
      <c r="C478">
        <v>0.224</v>
      </c>
      <c r="D478" t="s">
        <v>47</v>
      </c>
      <c r="E478">
        <v>14276</v>
      </c>
      <c r="F478">
        <v>60</v>
      </c>
      <c r="G478">
        <v>2</v>
      </c>
    </row>
    <row r="479" spans="1:7" x14ac:dyDescent="0.25">
      <c r="A479">
        <v>624200</v>
      </c>
      <c r="B479">
        <v>90</v>
      </c>
      <c r="C479">
        <v>0.61399999999999999</v>
      </c>
      <c r="D479" t="s">
        <v>2542</v>
      </c>
      <c r="E479">
        <v>6448</v>
      </c>
      <c r="F479">
        <v>180</v>
      </c>
      <c r="G479">
        <v>2</v>
      </c>
    </row>
    <row r="480" spans="1:7" x14ac:dyDescent="0.25">
      <c r="A480">
        <v>624241</v>
      </c>
      <c r="B480">
        <v>90</v>
      </c>
      <c r="C480">
        <v>1.0249999999999999</v>
      </c>
      <c r="D480" t="s">
        <v>47</v>
      </c>
      <c r="E480">
        <v>14276</v>
      </c>
      <c r="F480">
        <v>160</v>
      </c>
      <c r="G480">
        <v>2</v>
      </c>
    </row>
    <row r="481" spans="1:7" x14ac:dyDescent="0.25">
      <c r="A481">
        <v>624400</v>
      </c>
      <c r="B481">
        <v>90</v>
      </c>
      <c r="C481">
        <v>1.04</v>
      </c>
      <c r="D481" t="s">
        <v>2542</v>
      </c>
      <c r="E481">
        <v>6448</v>
      </c>
      <c r="F481">
        <v>220</v>
      </c>
      <c r="G481">
        <v>2</v>
      </c>
    </row>
    <row r="482" spans="1:7" x14ac:dyDescent="0.25">
      <c r="A482">
        <v>624600</v>
      </c>
      <c r="B482">
        <v>90</v>
      </c>
      <c r="C482">
        <v>2.14</v>
      </c>
      <c r="D482" t="s">
        <v>47</v>
      </c>
      <c r="E482">
        <v>6448</v>
      </c>
      <c r="F482">
        <v>200</v>
      </c>
      <c r="G482">
        <v>2</v>
      </c>
    </row>
    <row r="483" spans="1:7" x14ac:dyDescent="0.25">
      <c r="A483">
        <v>625000</v>
      </c>
      <c r="B483">
        <v>90</v>
      </c>
      <c r="C483">
        <v>0.23300000000000001</v>
      </c>
      <c r="D483" t="s">
        <v>2542</v>
      </c>
      <c r="E483">
        <v>2791</v>
      </c>
      <c r="F483">
        <v>600</v>
      </c>
      <c r="G483">
        <v>2</v>
      </c>
    </row>
    <row r="484" spans="1:7" x14ac:dyDescent="0.25">
      <c r="A484">
        <v>625002</v>
      </c>
      <c r="B484">
        <v>90</v>
      </c>
      <c r="C484">
        <v>0.11799999999999999</v>
      </c>
      <c r="D484" t="s">
        <v>2542</v>
      </c>
      <c r="F484">
        <v>480</v>
      </c>
      <c r="G484">
        <v>2</v>
      </c>
    </row>
    <row r="485" spans="1:7" x14ac:dyDescent="0.25">
      <c r="A485">
        <v>625010</v>
      </c>
      <c r="B485">
        <v>90</v>
      </c>
      <c r="C485">
        <v>0.53500000000000003</v>
      </c>
      <c r="D485" t="s">
        <v>2542</v>
      </c>
      <c r="F485">
        <v>160</v>
      </c>
      <c r="G485">
        <v>2</v>
      </c>
    </row>
    <row r="486" spans="1:7" x14ac:dyDescent="0.25">
      <c r="A486">
        <v>625121</v>
      </c>
      <c r="B486">
        <v>5</v>
      </c>
      <c r="C486">
        <v>0.13800000000000001</v>
      </c>
      <c r="D486">
        <v>9370</v>
      </c>
      <c r="E486">
        <v>13024</v>
      </c>
      <c r="F486">
        <v>0</v>
      </c>
      <c r="G486">
        <v>2</v>
      </c>
    </row>
    <row r="487" spans="1:7" x14ac:dyDescent="0.25">
      <c r="A487">
        <v>626905</v>
      </c>
      <c r="B487">
        <v>90</v>
      </c>
      <c r="C487">
        <v>0.27500000000000002</v>
      </c>
      <c r="D487" t="s">
        <v>2542</v>
      </c>
      <c r="F487">
        <v>450</v>
      </c>
      <c r="G487">
        <v>2</v>
      </c>
    </row>
    <row r="488" spans="1:7" x14ac:dyDescent="0.25">
      <c r="A488">
        <v>627010</v>
      </c>
      <c r="B488">
        <v>60</v>
      </c>
      <c r="C488">
        <v>0.21</v>
      </c>
      <c r="D488">
        <v>916</v>
      </c>
      <c r="F488">
        <v>300</v>
      </c>
      <c r="G488">
        <v>2</v>
      </c>
    </row>
    <row r="489" spans="1:7" x14ac:dyDescent="0.25">
      <c r="A489">
        <v>627014</v>
      </c>
      <c r="B489">
        <v>60</v>
      </c>
      <c r="C489">
        <v>0.52500000000000002</v>
      </c>
      <c r="D489">
        <v>916</v>
      </c>
      <c r="F489">
        <v>80</v>
      </c>
      <c r="G489">
        <v>2</v>
      </c>
    </row>
    <row r="490" spans="1:7" x14ac:dyDescent="0.25">
      <c r="A490">
        <v>627030</v>
      </c>
      <c r="B490">
        <v>90</v>
      </c>
      <c r="C490">
        <v>2.9000000000000001E-2</v>
      </c>
      <c r="D490" t="s">
        <v>2727</v>
      </c>
      <c r="E490">
        <v>17621</v>
      </c>
      <c r="F490">
        <v>1000</v>
      </c>
      <c r="G490">
        <v>2</v>
      </c>
    </row>
    <row r="491" spans="1:7" x14ac:dyDescent="0.25">
      <c r="A491">
        <v>627031</v>
      </c>
      <c r="B491">
        <v>90</v>
      </c>
      <c r="C491">
        <v>8.5999999999999993E-2</v>
      </c>
      <c r="D491" t="s">
        <v>2725</v>
      </c>
      <c r="F491">
        <v>800</v>
      </c>
      <c r="G491">
        <v>2</v>
      </c>
    </row>
    <row r="492" spans="1:7" x14ac:dyDescent="0.25">
      <c r="A492">
        <v>627051</v>
      </c>
      <c r="B492">
        <v>90</v>
      </c>
      <c r="C492">
        <v>0.125</v>
      </c>
      <c r="D492" t="s">
        <v>2</v>
      </c>
      <c r="F492">
        <v>720</v>
      </c>
      <c r="G492">
        <v>2</v>
      </c>
    </row>
    <row r="493" spans="1:7" x14ac:dyDescent="0.25">
      <c r="A493">
        <v>627052</v>
      </c>
      <c r="B493">
        <v>90</v>
      </c>
      <c r="C493">
        <v>0.27500000000000002</v>
      </c>
      <c r="D493" t="s">
        <v>1694</v>
      </c>
      <c r="F493">
        <v>250</v>
      </c>
      <c r="G493">
        <v>2</v>
      </c>
    </row>
    <row r="494" spans="1:7" x14ac:dyDescent="0.25">
      <c r="A494">
        <v>627053</v>
      </c>
      <c r="B494">
        <v>90</v>
      </c>
      <c r="C494">
        <v>0.70799999999999996</v>
      </c>
      <c r="D494" t="s">
        <v>1694</v>
      </c>
      <c r="F494">
        <v>150</v>
      </c>
      <c r="G494">
        <v>2</v>
      </c>
    </row>
    <row r="495" spans="1:7" x14ac:dyDescent="0.25">
      <c r="A495">
        <v>627060</v>
      </c>
      <c r="B495">
        <v>90</v>
      </c>
      <c r="C495">
        <v>0.09</v>
      </c>
      <c r="D495" t="s">
        <v>2</v>
      </c>
      <c r="E495">
        <v>258</v>
      </c>
      <c r="F495">
        <v>1000</v>
      </c>
      <c r="G495">
        <v>2</v>
      </c>
    </row>
    <row r="496" spans="1:7" x14ac:dyDescent="0.25">
      <c r="A496">
        <v>627100</v>
      </c>
      <c r="B496">
        <v>90</v>
      </c>
      <c r="C496">
        <v>0.42</v>
      </c>
      <c r="D496" t="s">
        <v>2</v>
      </c>
      <c r="E496">
        <v>258</v>
      </c>
      <c r="F496">
        <v>900</v>
      </c>
      <c r="G496">
        <v>2</v>
      </c>
    </row>
    <row r="497" spans="1:7" x14ac:dyDescent="0.25">
      <c r="A497">
        <v>627150</v>
      </c>
      <c r="B497">
        <v>90</v>
      </c>
      <c r="C497">
        <v>0.22</v>
      </c>
      <c r="D497" t="s">
        <v>2</v>
      </c>
      <c r="E497">
        <v>258</v>
      </c>
      <c r="F497">
        <v>1800</v>
      </c>
      <c r="G497">
        <v>2</v>
      </c>
    </row>
    <row r="498" spans="1:7" x14ac:dyDescent="0.25">
      <c r="A498">
        <v>627200</v>
      </c>
      <c r="B498">
        <v>90</v>
      </c>
      <c r="C498">
        <v>0.1</v>
      </c>
      <c r="D498" t="s">
        <v>2</v>
      </c>
      <c r="E498">
        <v>258</v>
      </c>
      <c r="F498">
        <v>1000</v>
      </c>
      <c r="G498">
        <v>2</v>
      </c>
    </row>
    <row r="499" spans="1:7" x14ac:dyDescent="0.25">
      <c r="A499">
        <v>627312</v>
      </c>
      <c r="B499">
        <v>60</v>
      </c>
      <c r="C499">
        <v>0.11</v>
      </c>
      <c r="D499">
        <v>916</v>
      </c>
      <c r="F499">
        <v>500</v>
      </c>
      <c r="G499">
        <v>2</v>
      </c>
    </row>
    <row r="500" spans="1:7" x14ac:dyDescent="0.25">
      <c r="A500" t="s">
        <v>52</v>
      </c>
      <c r="B500">
        <v>90</v>
      </c>
      <c r="C500">
        <v>0.55000000000000004</v>
      </c>
      <c r="D500">
        <v>916</v>
      </c>
      <c r="E500">
        <v>3013</v>
      </c>
      <c r="F500">
        <v>0</v>
      </c>
      <c r="G500">
        <v>2</v>
      </c>
    </row>
    <row r="501" spans="1:7" x14ac:dyDescent="0.25">
      <c r="A501">
        <v>627313</v>
      </c>
      <c r="B501">
        <v>60</v>
      </c>
      <c r="C501">
        <v>0.2</v>
      </c>
      <c r="D501">
        <v>916</v>
      </c>
      <c r="E501">
        <v>258</v>
      </c>
      <c r="F501">
        <v>180</v>
      </c>
      <c r="G501">
        <v>2</v>
      </c>
    </row>
    <row r="502" spans="1:7" x14ac:dyDescent="0.25">
      <c r="A502">
        <v>627315</v>
      </c>
      <c r="B502">
        <v>60</v>
      </c>
      <c r="C502">
        <v>0.36</v>
      </c>
      <c r="D502">
        <v>916</v>
      </c>
      <c r="F502">
        <v>210</v>
      </c>
      <c r="G502">
        <v>2</v>
      </c>
    </row>
    <row r="503" spans="1:7" x14ac:dyDescent="0.25">
      <c r="A503">
        <v>627325</v>
      </c>
      <c r="B503">
        <v>60</v>
      </c>
      <c r="C503">
        <v>0.35</v>
      </c>
      <c r="D503">
        <v>916</v>
      </c>
      <c r="F503">
        <v>100</v>
      </c>
      <c r="G503">
        <v>2</v>
      </c>
    </row>
    <row r="504" spans="1:7" x14ac:dyDescent="0.25">
      <c r="A504">
        <v>627531</v>
      </c>
      <c r="B504">
        <v>7</v>
      </c>
      <c r="C504">
        <v>0.115</v>
      </c>
      <c r="D504">
        <v>916</v>
      </c>
      <c r="F504">
        <v>0</v>
      </c>
      <c r="G504">
        <v>2</v>
      </c>
    </row>
    <row r="505" spans="1:7" x14ac:dyDescent="0.25">
      <c r="A505" t="s">
        <v>53</v>
      </c>
      <c r="B505">
        <v>7</v>
      </c>
      <c r="C505">
        <v>0.55800000000000005</v>
      </c>
      <c r="D505">
        <v>916</v>
      </c>
      <c r="F505">
        <v>0</v>
      </c>
      <c r="G505">
        <v>2</v>
      </c>
    </row>
    <row r="506" spans="1:7" x14ac:dyDescent="0.25">
      <c r="A506">
        <v>628317</v>
      </c>
      <c r="B506">
        <v>90</v>
      </c>
      <c r="C506">
        <v>0.11700000000000001</v>
      </c>
      <c r="D506" t="s">
        <v>2</v>
      </c>
      <c r="F506">
        <v>680</v>
      </c>
      <c r="G506">
        <v>2</v>
      </c>
    </row>
    <row r="507" spans="1:7" x14ac:dyDescent="0.25">
      <c r="A507">
        <v>628350</v>
      </c>
      <c r="B507">
        <v>90</v>
      </c>
      <c r="C507">
        <v>0.29299999999999998</v>
      </c>
      <c r="D507" t="s">
        <v>2</v>
      </c>
      <c r="E507">
        <v>6448</v>
      </c>
      <c r="F507">
        <v>4000</v>
      </c>
      <c r="G507">
        <v>2</v>
      </c>
    </row>
    <row r="508" spans="1:7" x14ac:dyDescent="0.25">
      <c r="A508">
        <v>628365</v>
      </c>
      <c r="B508">
        <v>7</v>
      </c>
      <c r="C508">
        <v>0.60899999999999999</v>
      </c>
      <c r="D508" t="s">
        <v>2</v>
      </c>
      <c r="E508">
        <v>6448</v>
      </c>
      <c r="F508">
        <v>700</v>
      </c>
      <c r="G508">
        <v>2</v>
      </c>
    </row>
    <row r="509" spans="1:7" x14ac:dyDescent="0.25">
      <c r="A509">
        <v>628401</v>
      </c>
      <c r="B509">
        <v>90</v>
      </c>
      <c r="C509">
        <v>1.0549999999999999</v>
      </c>
      <c r="D509" t="s">
        <v>2</v>
      </c>
      <c r="E509">
        <v>6448</v>
      </c>
      <c r="F509">
        <v>1200</v>
      </c>
      <c r="G509">
        <v>2</v>
      </c>
    </row>
    <row r="510" spans="1:7" x14ac:dyDescent="0.25">
      <c r="A510">
        <v>628407</v>
      </c>
      <c r="B510">
        <v>90</v>
      </c>
      <c r="C510">
        <v>1.6080000000000001</v>
      </c>
      <c r="D510" t="s">
        <v>2</v>
      </c>
      <c r="E510">
        <v>6448</v>
      </c>
      <c r="F510">
        <v>520</v>
      </c>
      <c r="G510">
        <v>2</v>
      </c>
    </row>
    <row r="511" spans="1:7" x14ac:dyDescent="0.25">
      <c r="A511">
        <v>628600</v>
      </c>
      <c r="B511">
        <v>90</v>
      </c>
      <c r="C511">
        <v>2.028</v>
      </c>
      <c r="D511" t="s">
        <v>2</v>
      </c>
      <c r="E511">
        <v>6448</v>
      </c>
      <c r="F511">
        <v>900</v>
      </c>
      <c r="G511">
        <v>2</v>
      </c>
    </row>
    <row r="512" spans="1:7" x14ac:dyDescent="0.25">
      <c r="A512">
        <v>632011</v>
      </c>
      <c r="B512">
        <v>90</v>
      </c>
      <c r="C512">
        <v>8.3000000000000004E-2</v>
      </c>
      <c r="D512" t="s">
        <v>47</v>
      </c>
      <c r="E512">
        <v>6448</v>
      </c>
      <c r="F512">
        <v>280</v>
      </c>
      <c r="G512">
        <v>2</v>
      </c>
    </row>
    <row r="513" spans="1:7" x14ac:dyDescent="0.25">
      <c r="A513">
        <v>632012</v>
      </c>
      <c r="B513">
        <v>90</v>
      </c>
      <c r="C513">
        <v>9.7000000000000003E-2</v>
      </c>
      <c r="D513" t="s">
        <v>47</v>
      </c>
      <c r="F513">
        <v>300</v>
      </c>
      <c r="G513">
        <v>2</v>
      </c>
    </row>
    <row r="514" spans="1:7" x14ac:dyDescent="0.25">
      <c r="A514">
        <v>632021</v>
      </c>
      <c r="B514">
        <v>90</v>
      </c>
      <c r="C514">
        <v>0.16700000000000001</v>
      </c>
      <c r="D514" t="s">
        <v>47</v>
      </c>
      <c r="F514">
        <v>640</v>
      </c>
      <c r="G514">
        <v>2</v>
      </c>
    </row>
    <row r="515" spans="1:7" x14ac:dyDescent="0.25">
      <c r="A515">
        <v>632030</v>
      </c>
      <c r="B515">
        <v>90</v>
      </c>
      <c r="C515">
        <v>0.23599999999999999</v>
      </c>
      <c r="D515" t="s">
        <v>47</v>
      </c>
      <c r="E515">
        <v>13024</v>
      </c>
      <c r="F515">
        <v>460</v>
      </c>
      <c r="G515">
        <v>2</v>
      </c>
    </row>
    <row r="516" spans="1:7" x14ac:dyDescent="0.25">
      <c r="A516">
        <v>633000</v>
      </c>
      <c r="B516">
        <v>90</v>
      </c>
      <c r="C516">
        <v>8.4000000000000005E-2</v>
      </c>
      <c r="D516" t="s">
        <v>47</v>
      </c>
      <c r="F516">
        <v>300</v>
      </c>
      <c r="G516">
        <v>2</v>
      </c>
    </row>
    <row r="517" spans="1:7" x14ac:dyDescent="0.25">
      <c r="A517">
        <v>633192</v>
      </c>
      <c r="B517">
        <v>90</v>
      </c>
      <c r="C517">
        <v>0.22</v>
      </c>
      <c r="D517" t="s">
        <v>47</v>
      </c>
      <c r="F517">
        <v>100</v>
      </c>
      <c r="G517">
        <v>2</v>
      </c>
    </row>
    <row r="518" spans="1:7" x14ac:dyDescent="0.25">
      <c r="A518">
        <v>633215</v>
      </c>
      <c r="B518">
        <v>90</v>
      </c>
      <c r="C518">
        <v>0.25</v>
      </c>
      <c r="D518" t="s">
        <v>47</v>
      </c>
      <c r="F518">
        <v>100</v>
      </c>
      <c r="G518">
        <v>2</v>
      </c>
    </row>
    <row r="519" spans="1:7" x14ac:dyDescent="0.25">
      <c r="A519">
        <v>633228</v>
      </c>
      <c r="B519">
        <v>90</v>
      </c>
      <c r="C519">
        <v>0.17</v>
      </c>
      <c r="D519" t="s">
        <v>2542</v>
      </c>
      <c r="F519">
        <v>100</v>
      </c>
      <c r="G519">
        <v>2</v>
      </c>
    </row>
    <row r="520" spans="1:7" x14ac:dyDescent="0.25">
      <c r="A520">
        <v>633230</v>
      </c>
      <c r="B520">
        <v>90</v>
      </c>
      <c r="C520">
        <v>0.22700000000000001</v>
      </c>
      <c r="D520" t="s">
        <v>2542</v>
      </c>
      <c r="F520">
        <v>80</v>
      </c>
      <c r="G520">
        <v>2</v>
      </c>
    </row>
    <row r="521" spans="1:7" x14ac:dyDescent="0.25">
      <c r="A521">
        <v>634190</v>
      </c>
      <c r="B521">
        <v>90</v>
      </c>
      <c r="C521">
        <v>1.6</v>
      </c>
      <c r="D521" t="s">
        <v>2</v>
      </c>
      <c r="E521">
        <v>5195</v>
      </c>
      <c r="F521">
        <v>240</v>
      </c>
      <c r="G521">
        <v>2</v>
      </c>
    </row>
    <row r="522" spans="1:7" x14ac:dyDescent="0.25">
      <c r="A522">
        <v>634250</v>
      </c>
      <c r="B522">
        <v>90</v>
      </c>
      <c r="C522">
        <v>2.38</v>
      </c>
      <c r="D522" t="s">
        <v>2</v>
      </c>
      <c r="E522">
        <v>5195</v>
      </c>
      <c r="F522">
        <v>160</v>
      </c>
      <c r="G522">
        <v>2</v>
      </c>
    </row>
    <row r="523" spans="1:7" x14ac:dyDescent="0.25">
      <c r="A523">
        <v>634310</v>
      </c>
      <c r="B523">
        <v>90</v>
      </c>
      <c r="C523">
        <v>3.7839999999999998</v>
      </c>
      <c r="D523" t="s">
        <v>2</v>
      </c>
      <c r="E523">
        <v>5195</v>
      </c>
      <c r="F523">
        <v>120</v>
      </c>
      <c r="G523">
        <v>2</v>
      </c>
    </row>
    <row r="524" spans="1:7" x14ac:dyDescent="0.25">
      <c r="A524">
        <v>634370</v>
      </c>
      <c r="B524">
        <v>90</v>
      </c>
      <c r="C524">
        <v>5.12</v>
      </c>
      <c r="D524" t="s">
        <v>2</v>
      </c>
      <c r="E524">
        <v>2791</v>
      </c>
      <c r="F524">
        <v>120</v>
      </c>
      <c r="G524">
        <v>2</v>
      </c>
    </row>
    <row r="525" spans="1:7" x14ac:dyDescent="0.25">
      <c r="A525">
        <v>635030</v>
      </c>
      <c r="B525">
        <v>90</v>
      </c>
      <c r="C525">
        <v>1.056</v>
      </c>
      <c r="D525" t="s">
        <v>2</v>
      </c>
      <c r="E525">
        <v>6448</v>
      </c>
      <c r="F525">
        <v>250</v>
      </c>
      <c r="G525">
        <v>2</v>
      </c>
    </row>
    <row r="526" spans="1:7" x14ac:dyDescent="0.25">
      <c r="A526">
        <v>635034</v>
      </c>
      <c r="B526">
        <v>90</v>
      </c>
      <c r="C526">
        <v>0.32700000000000001</v>
      </c>
      <c r="D526" t="s">
        <v>2</v>
      </c>
      <c r="F526">
        <v>480</v>
      </c>
      <c r="G526">
        <v>2</v>
      </c>
    </row>
    <row r="527" spans="1:7" x14ac:dyDescent="0.25">
      <c r="A527">
        <v>635040</v>
      </c>
      <c r="B527">
        <v>90</v>
      </c>
      <c r="C527">
        <v>0.53300000000000003</v>
      </c>
      <c r="D527" t="s">
        <v>47</v>
      </c>
      <c r="F527">
        <v>30</v>
      </c>
      <c r="G527">
        <v>2</v>
      </c>
    </row>
    <row r="528" spans="1:7" x14ac:dyDescent="0.25">
      <c r="A528">
        <v>642300</v>
      </c>
      <c r="B528">
        <v>90</v>
      </c>
      <c r="C528">
        <v>0.13900000000000001</v>
      </c>
      <c r="D528" t="s">
        <v>1695</v>
      </c>
      <c r="E528">
        <v>17621</v>
      </c>
      <c r="F528">
        <v>300</v>
      </c>
      <c r="G528">
        <v>2</v>
      </c>
    </row>
    <row r="529" spans="1:7" x14ac:dyDescent="0.25">
      <c r="A529">
        <v>642310</v>
      </c>
      <c r="B529">
        <v>90</v>
      </c>
      <c r="C529">
        <v>0.26400000000000001</v>
      </c>
      <c r="D529" t="s">
        <v>1695</v>
      </c>
      <c r="E529">
        <v>17621</v>
      </c>
      <c r="F529">
        <v>2000</v>
      </c>
      <c r="G529">
        <v>2</v>
      </c>
    </row>
    <row r="530" spans="1:7" x14ac:dyDescent="0.25">
      <c r="A530">
        <v>642900</v>
      </c>
      <c r="B530">
        <v>14</v>
      </c>
      <c r="C530">
        <v>3.7999999999999999E-2</v>
      </c>
      <c r="D530" t="s">
        <v>54</v>
      </c>
      <c r="F530">
        <v>220</v>
      </c>
      <c r="G530">
        <v>2</v>
      </c>
    </row>
    <row r="531" spans="1:7" x14ac:dyDescent="0.25">
      <c r="A531">
        <v>643400</v>
      </c>
      <c r="B531">
        <v>90</v>
      </c>
      <c r="C531">
        <v>1.74</v>
      </c>
      <c r="D531" t="s">
        <v>2542</v>
      </c>
      <c r="E531">
        <v>2789</v>
      </c>
      <c r="F531">
        <v>80</v>
      </c>
      <c r="G531">
        <v>2</v>
      </c>
    </row>
    <row r="532" spans="1:7" x14ac:dyDescent="0.25">
      <c r="A532">
        <v>644000</v>
      </c>
      <c r="B532">
        <v>90</v>
      </c>
      <c r="C532">
        <v>3.7850000000000001</v>
      </c>
      <c r="D532" t="s">
        <v>2542</v>
      </c>
      <c r="E532">
        <v>2789</v>
      </c>
      <c r="F532">
        <v>30</v>
      </c>
      <c r="G532">
        <v>2</v>
      </c>
    </row>
    <row r="533" spans="1:7" x14ac:dyDescent="0.25">
      <c r="A533">
        <v>644006</v>
      </c>
      <c r="B533">
        <v>90</v>
      </c>
      <c r="C533">
        <v>6.45</v>
      </c>
      <c r="D533" t="s">
        <v>2542</v>
      </c>
      <c r="E533">
        <v>2789</v>
      </c>
      <c r="F533">
        <v>30</v>
      </c>
      <c r="G533">
        <v>2</v>
      </c>
    </row>
    <row r="534" spans="1:7" x14ac:dyDescent="0.25">
      <c r="A534">
        <v>644101</v>
      </c>
      <c r="B534">
        <v>0</v>
      </c>
      <c r="C534">
        <v>0.8</v>
      </c>
      <c r="D534">
        <v>9902</v>
      </c>
      <c r="F534">
        <v>0</v>
      </c>
      <c r="G534">
        <v>2</v>
      </c>
    </row>
    <row r="535" spans="1:7" x14ac:dyDescent="0.25">
      <c r="A535">
        <v>645000</v>
      </c>
      <c r="B535">
        <v>90</v>
      </c>
      <c r="C535">
        <v>0.16500000000000001</v>
      </c>
      <c r="D535" t="s">
        <v>2542</v>
      </c>
      <c r="E535">
        <v>2789</v>
      </c>
      <c r="F535">
        <v>680</v>
      </c>
      <c r="G535">
        <v>2</v>
      </c>
    </row>
    <row r="536" spans="1:7" x14ac:dyDescent="0.25">
      <c r="A536">
        <v>645002</v>
      </c>
      <c r="B536">
        <v>90</v>
      </c>
      <c r="C536">
        <v>0.20399999999999999</v>
      </c>
      <c r="D536" t="s">
        <v>4</v>
      </c>
      <c r="E536">
        <v>2789</v>
      </c>
      <c r="F536">
        <v>100</v>
      </c>
      <c r="G536">
        <v>2</v>
      </c>
    </row>
    <row r="537" spans="1:7" x14ac:dyDescent="0.25">
      <c r="A537">
        <v>645225</v>
      </c>
      <c r="B537">
        <v>7</v>
      </c>
      <c r="C537">
        <v>0.115</v>
      </c>
      <c r="D537">
        <v>9902</v>
      </c>
      <c r="F537">
        <v>0</v>
      </c>
      <c r="G537">
        <v>2</v>
      </c>
    </row>
    <row r="538" spans="1:7" x14ac:dyDescent="0.25">
      <c r="A538">
        <v>645229</v>
      </c>
      <c r="B538">
        <v>7</v>
      </c>
      <c r="C538">
        <v>0.153</v>
      </c>
      <c r="D538">
        <v>9902</v>
      </c>
      <c r="F538">
        <v>0</v>
      </c>
      <c r="G538">
        <v>2</v>
      </c>
    </row>
    <row r="539" spans="1:7" x14ac:dyDescent="0.25">
      <c r="A539">
        <v>645244</v>
      </c>
      <c r="B539">
        <v>0</v>
      </c>
      <c r="C539">
        <v>0.9</v>
      </c>
      <c r="D539">
        <v>9902</v>
      </c>
      <c r="F539">
        <v>0</v>
      </c>
      <c r="G539">
        <v>2</v>
      </c>
    </row>
    <row r="540" spans="1:7" x14ac:dyDescent="0.25">
      <c r="A540">
        <v>645246</v>
      </c>
      <c r="B540">
        <v>0</v>
      </c>
      <c r="C540">
        <v>0.9</v>
      </c>
      <c r="D540">
        <v>9902</v>
      </c>
      <c r="F540">
        <v>0</v>
      </c>
      <c r="G540">
        <v>2</v>
      </c>
    </row>
    <row r="541" spans="1:7" x14ac:dyDescent="0.25">
      <c r="A541">
        <v>645249</v>
      </c>
      <c r="B541">
        <v>0</v>
      </c>
      <c r="C541">
        <v>0.11700000000000001</v>
      </c>
      <c r="D541">
        <v>9902</v>
      </c>
      <c r="F541">
        <v>0</v>
      </c>
      <c r="G541">
        <v>2</v>
      </c>
    </row>
    <row r="542" spans="1:7" x14ac:dyDescent="0.25">
      <c r="A542">
        <v>645253</v>
      </c>
      <c r="B542">
        <v>0</v>
      </c>
      <c r="C542">
        <v>0.8</v>
      </c>
      <c r="D542">
        <v>9902</v>
      </c>
      <c r="F542">
        <v>0</v>
      </c>
      <c r="G542">
        <v>2</v>
      </c>
    </row>
    <row r="543" spans="1:7" x14ac:dyDescent="0.25">
      <c r="A543">
        <v>645254</v>
      </c>
      <c r="B543">
        <v>0</v>
      </c>
      <c r="C543">
        <v>0.8</v>
      </c>
      <c r="D543">
        <v>9902</v>
      </c>
      <c r="F543">
        <v>0</v>
      </c>
      <c r="G543">
        <v>2</v>
      </c>
    </row>
    <row r="544" spans="1:7" x14ac:dyDescent="0.25">
      <c r="A544">
        <v>645259</v>
      </c>
      <c r="B544">
        <v>7</v>
      </c>
      <c r="C544">
        <v>0.18099999999999999</v>
      </c>
      <c r="D544">
        <v>9902</v>
      </c>
      <c r="F544">
        <v>0</v>
      </c>
      <c r="G544">
        <v>2</v>
      </c>
    </row>
    <row r="545" spans="1:7" x14ac:dyDescent="0.25">
      <c r="A545">
        <v>645263</v>
      </c>
      <c r="B545">
        <v>0</v>
      </c>
      <c r="C545">
        <v>0</v>
      </c>
      <c r="D545">
        <v>9902</v>
      </c>
      <c r="F545">
        <v>0</v>
      </c>
      <c r="G545">
        <v>2</v>
      </c>
    </row>
    <row r="546" spans="1:7" x14ac:dyDescent="0.25">
      <c r="A546">
        <v>645266</v>
      </c>
      <c r="B546">
        <v>0</v>
      </c>
      <c r="C546">
        <v>0.8</v>
      </c>
      <c r="D546">
        <v>9902</v>
      </c>
      <c r="F546">
        <v>0</v>
      </c>
      <c r="G546">
        <v>2</v>
      </c>
    </row>
    <row r="547" spans="1:7" x14ac:dyDescent="0.25">
      <c r="A547">
        <v>645268</v>
      </c>
      <c r="B547">
        <v>7</v>
      </c>
      <c r="C547">
        <v>0.251</v>
      </c>
      <c r="D547">
        <v>9902</v>
      </c>
      <c r="F547">
        <v>0</v>
      </c>
      <c r="G547">
        <v>2</v>
      </c>
    </row>
    <row r="548" spans="1:7" x14ac:dyDescent="0.25">
      <c r="A548">
        <v>645276</v>
      </c>
      <c r="B548">
        <v>7</v>
      </c>
      <c r="C548">
        <v>0.26800000000000002</v>
      </c>
      <c r="D548">
        <v>9902</v>
      </c>
      <c r="F548">
        <v>0</v>
      </c>
      <c r="G548">
        <v>2</v>
      </c>
    </row>
    <row r="549" spans="1:7" x14ac:dyDescent="0.25">
      <c r="A549">
        <v>645278</v>
      </c>
      <c r="B549">
        <v>7</v>
      </c>
      <c r="C549">
        <v>0.27800000000000002</v>
      </c>
      <c r="D549">
        <v>9902</v>
      </c>
      <c r="F549">
        <v>0</v>
      </c>
      <c r="G549">
        <v>2</v>
      </c>
    </row>
    <row r="550" spans="1:7" x14ac:dyDescent="0.25">
      <c r="A550">
        <v>645279</v>
      </c>
      <c r="B550">
        <v>7</v>
      </c>
      <c r="C550">
        <v>0.3</v>
      </c>
      <c r="D550">
        <v>9902</v>
      </c>
      <c r="F550">
        <v>0</v>
      </c>
      <c r="G550">
        <v>2</v>
      </c>
    </row>
    <row r="551" spans="1:7" x14ac:dyDescent="0.25">
      <c r="A551">
        <v>645301</v>
      </c>
      <c r="B551">
        <v>7</v>
      </c>
      <c r="C551">
        <v>0.23300000000000001</v>
      </c>
      <c r="D551">
        <v>9902</v>
      </c>
      <c r="F551">
        <v>40</v>
      </c>
      <c r="G551">
        <v>2</v>
      </c>
    </row>
    <row r="552" spans="1:7" x14ac:dyDescent="0.25">
      <c r="A552">
        <v>645302</v>
      </c>
      <c r="B552">
        <v>7</v>
      </c>
      <c r="C552">
        <v>0.217</v>
      </c>
      <c r="D552">
        <v>9902</v>
      </c>
      <c r="F552">
        <v>10</v>
      </c>
      <c r="G552">
        <v>2</v>
      </c>
    </row>
    <row r="553" spans="1:7" x14ac:dyDescent="0.25">
      <c r="A553">
        <v>645321</v>
      </c>
      <c r="B553">
        <v>7</v>
      </c>
      <c r="C553">
        <v>0.14499999999999999</v>
      </c>
      <c r="D553">
        <v>9902</v>
      </c>
      <c r="F553">
        <v>0</v>
      </c>
      <c r="G553">
        <v>2</v>
      </c>
    </row>
    <row r="554" spans="1:7" x14ac:dyDescent="0.25">
      <c r="A554">
        <v>645322</v>
      </c>
      <c r="B554">
        <v>0</v>
      </c>
      <c r="C554">
        <v>0.4</v>
      </c>
      <c r="D554">
        <v>9902</v>
      </c>
      <c r="F554">
        <v>0</v>
      </c>
      <c r="G554">
        <v>2</v>
      </c>
    </row>
    <row r="555" spans="1:7" x14ac:dyDescent="0.25">
      <c r="A555">
        <v>645323</v>
      </c>
      <c r="B555">
        <v>0</v>
      </c>
      <c r="C555">
        <v>0.16</v>
      </c>
      <c r="D555">
        <v>9902</v>
      </c>
      <c r="F555">
        <v>0</v>
      </c>
      <c r="G555">
        <v>2</v>
      </c>
    </row>
    <row r="556" spans="1:7" x14ac:dyDescent="0.25">
      <c r="A556">
        <v>645324</v>
      </c>
      <c r="B556">
        <v>0</v>
      </c>
      <c r="C556">
        <v>0.17</v>
      </c>
      <c r="D556">
        <v>9902</v>
      </c>
      <c r="F556">
        <v>0</v>
      </c>
      <c r="G556">
        <v>2</v>
      </c>
    </row>
    <row r="557" spans="1:7" x14ac:dyDescent="0.25">
      <c r="A557">
        <v>645325</v>
      </c>
      <c r="B557">
        <v>0</v>
      </c>
      <c r="C557">
        <v>0.17</v>
      </c>
      <c r="D557">
        <v>9902</v>
      </c>
      <c r="F557">
        <v>0</v>
      </c>
      <c r="G557">
        <v>2</v>
      </c>
    </row>
    <row r="558" spans="1:7" x14ac:dyDescent="0.25">
      <c r="A558">
        <v>645332</v>
      </c>
      <c r="B558">
        <v>0</v>
      </c>
      <c r="C558">
        <v>0.2</v>
      </c>
      <c r="D558">
        <v>9902</v>
      </c>
      <c r="F558">
        <v>0</v>
      </c>
      <c r="G558">
        <v>2</v>
      </c>
    </row>
    <row r="559" spans="1:7" x14ac:dyDescent="0.25">
      <c r="A559">
        <v>645334</v>
      </c>
      <c r="B559">
        <v>0</v>
      </c>
      <c r="C559">
        <v>0.2</v>
      </c>
      <c r="D559">
        <v>9902</v>
      </c>
      <c r="F559">
        <v>0</v>
      </c>
      <c r="G559">
        <v>2</v>
      </c>
    </row>
    <row r="560" spans="1:7" x14ac:dyDescent="0.25">
      <c r="A560">
        <v>645336</v>
      </c>
      <c r="B560">
        <v>0</v>
      </c>
      <c r="C560">
        <v>0.2</v>
      </c>
      <c r="D560">
        <v>9902</v>
      </c>
      <c r="F560">
        <v>0</v>
      </c>
      <c r="G560">
        <v>2</v>
      </c>
    </row>
    <row r="561" spans="1:7" x14ac:dyDescent="0.25">
      <c r="A561">
        <v>645401</v>
      </c>
      <c r="B561">
        <v>0</v>
      </c>
      <c r="C561">
        <v>0.3</v>
      </c>
      <c r="D561">
        <v>9902</v>
      </c>
      <c r="F561">
        <v>0</v>
      </c>
      <c r="G561">
        <v>2</v>
      </c>
    </row>
    <row r="562" spans="1:7" x14ac:dyDescent="0.25">
      <c r="A562">
        <v>645416</v>
      </c>
      <c r="B562">
        <v>7</v>
      </c>
      <c r="C562">
        <v>0.3</v>
      </c>
      <c r="D562">
        <v>9902</v>
      </c>
      <c r="F562">
        <v>0</v>
      </c>
      <c r="G562">
        <v>2</v>
      </c>
    </row>
    <row r="563" spans="1:7" x14ac:dyDescent="0.25">
      <c r="A563">
        <v>645418</v>
      </c>
      <c r="B563">
        <v>0</v>
      </c>
      <c r="C563">
        <v>0</v>
      </c>
      <c r="D563">
        <v>9902</v>
      </c>
      <c r="F563">
        <v>0</v>
      </c>
      <c r="G563">
        <v>2</v>
      </c>
    </row>
    <row r="564" spans="1:7" x14ac:dyDescent="0.25">
      <c r="A564">
        <v>645419</v>
      </c>
      <c r="B564">
        <v>7</v>
      </c>
      <c r="C564">
        <v>0.32300000000000001</v>
      </c>
      <c r="D564">
        <v>9902</v>
      </c>
      <c r="F564">
        <v>0</v>
      </c>
      <c r="G564">
        <v>2</v>
      </c>
    </row>
    <row r="565" spans="1:7" x14ac:dyDescent="0.25">
      <c r="A565">
        <v>645422</v>
      </c>
      <c r="B565">
        <v>7</v>
      </c>
      <c r="C565">
        <v>0.26700000000000002</v>
      </c>
      <c r="D565">
        <v>9902</v>
      </c>
      <c r="F565">
        <v>0</v>
      </c>
      <c r="G565">
        <v>2</v>
      </c>
    </row>
    <row r="566" spans="1:7" x14ac:dyDescent="0.25">
      <c r="A566">
        <v>645423</v>
      </c>
      <c r="B566">
        <v>0</v>
      </c>
      <c r="C566">
        <v>0.8</v>
      </c>
      <c r="D566">
        <v>9902</v>
      </c>
      <c r="F566">
        <v>0</v>
      </c>
      <c r="G566">
        <v>2</v>
      </c>
    </row>
    <row r="567" spans="1:7" x14ac:dyDescent="0.25">
      <c r="A567">
        <v>645424</v>
      </c>
      <c r="B567">
        <v>7</v>
      </c>
      <c r="C567">
        <v>0.3</v>
      </c>
      <c r="D567">
        <v>9902</v>
      </c>
      <c r="F567">
        <v>0</v>
      </c>
      <c r="G567">
        <v>2</v>
      </c>
    </row>
    <row r="568" spans="1:7" x14ac:dyDescent="0.25">
      <c r="A568">
        <v>645425</v>
      </c>
      <c r="B568">
        <v>0</v>
      </c>
      <c r="C568">
        <v>0</v>
      </c>
      <c r="D568">
        <v>9902</v>
      </c>
      <c r="F568">
        <v>0</v>
      </c>
      <c r="G568">
        <v>2</v>
      </c>
    </row>
    <row r="569" spans="1:7" x14ac:dyDescent="0.25">
      <c r="A569">
        <v>645432</v>
      </c>
      <c r="B569">
        <v>0</v>
      </c>
      <c r="C569">
        <v>0.36699999999999999</v>
      </c>
      <c r="D569">
        <v>9902</v>
      </c>
      <c r="F569">
        <v>0</v>
      </c>
      <c r="G569">
        <v>2</v>
      </c>
    </row>
    <row r="570" spans="1:7" x14ac:dyDescent="0.25">
      <c r="A570">
        <v>645433</v>
      </c>
      <c r="B570">
        <v>0</v>
      </c>
      <c r="C570">
        <v>0.8</v>
      </c>
      <c r="D570">
        <v>9902</v>
      </c>
      <c r="F570">
        <v>0</v>
      </c>
      <c r="G570">
        <v>2</v>
      </c>
    </row>
    <row r="571" spans="1:7" x14ac:dyDescent="0.25">
      <c r="A571">
        <v>645434</v>
      </c>
      <c r="B571">
        <v>0</v>
      </c>
      <c r="C571">
        <v>0.8</v>
      </c>
      <c r="D571">
        <v>9902</v>
      </c>
      <c r="F571">
        <v>0</v>
      </c>
      <c r="G571">
        <v>2</v>
      </c>
    </row>
    <row r="572" spans="1:7" x14ac:dyDescent="0.25">
      <c r="A572">
        <v>645435</v>
      </c>
      <c r="B572">
        <v>7</v>
      </c>
      <c r="C572">
        <v>0.66</v>
      </c>
      <c r="D572">
        <v>9902</v>
      </c>
      <c r="F572">
        <v>0</v>
      </c>
      <c r="G572">
        <v>2</v>
      </c>
    </row>
    <row r="573" spans="1:7" x14ac:dyDescent="0.25">
      <c r="A573">
        <v>645436</v>
      </c>
      <c r="B573">
        <v>7</v>
      </c>
      <c r="C573">
        <v>0</v>
      </c>
      <c r="D573">
        <v>9902</v>
      </c>
      <c r="F573">
        <v>0</v>
      </c>
      <c r="G573">
        <v>2</v>
      </c>
    </row>
    <row r="574" spans="1:7" x14ac:dyDescent="0.25">
      <c r="A574">
        <v>645437</v>
      </c>
      <c r="B574">
        <v>7</v>
      </c>
      <c r="C574">
        <v>0</v>
      </c>
      <c r="D574">
        <v>9902</v>
      </c>
      <c r="F574">
        <v>0</v>
      </c>
      <c r="G574">
        <v>2</v>
      </c>
    </row>
    <row r="575" spans="1:7" x14ac:dyDescent="0.25">
      <c r="A575">
        <v>645438</v>
      </c>
      <c r="B575">
        <v>7</v>
      </c>
      <c r="C575">
        <v>0.36699999999999999</v>
      </c>
      <c r="D575">
        <v>9902</v>
      </c>
      <c r="F575">
        <v>0</v>
      </c>
      <c r="G575">
        <v>2</v>
      </c>
    </row>
    <row r="576" spans="1:7" x14ac:dyDescent="0.25">
      <c r="A576">
        <v>645446</v>
      </c>
      <c r="B576">
        <v>7</v>
      </c>
      <c r="C576">
        <v>0</v>
      </c>
      <c r="D576">
        <v>9902</v>
      </c>
      <c r="F576">
        <v>0</v>
      </c>
      <c r="G576">
        <v>2</v>
      </c>
    </row>
    <row r="577" spans="1:7" x14ac:dyDescent="0.25">
      <c r="A577">
        <v>645448</v>
      </c>
      <c r="B577">
        <v>7</v>
      </c>
      <c r="C577">
        <v>0.26100000000000001</v>
      </c>
      <c r="D577">
        <v>9902</v>
      </c>
      <c r="F577">
        <v>0</v>
      </c>
      <c r="G577">
        <v>2</v>
      </c>
    </row>
    <row r="578" spans="1:7" x14ac:dyDescent="0.25">
      <c r="A578">
        <v>645449</v>
      </c>
      <c r="B578">
        <v>7</v>
      </c>
      <c r="C578">
        <v>0</v>
      </c>
      <c r="D578">
        <v>9902</v>
      </c>
      <c r="F578">
        <v>0</v>
      </c>
      <c r="G578">
        <v>2</v>
      </c>
    </row>
    <row r="579" spans="1:7" x14ac:dyDescent="0.25">
      <c r="A579">
        <v>645456</v>
      </c>
      <c r="B579">
        <v>7</v>
      </c>
      <c r="C579">
        <v>0</v>
      </c>
      <c r="D579">
        <v>9902</v>
      </c>
      <c r="F579">
        <v>0</v>
      </c>
      <c r="G579">
        <v>2</v>
      </c>
    </row>
    <row r="580" spans="1:7" x14ac:dyDescent="0.25">
      <c r="A580">
        <v>645458</v>
      </c>
      <c r="B580">
        <v>0</v>
      </c>
      <c r="C580">
        <v>0</v>
      </c>
      <c r="D580">
        <v>9902</v>
      </c>
      <c r="F580">
        <v>0</v>
      </c>
      <c r="G580">
        <v>2</v>
      </c>
    </row>
    <row r="581" spans="1:7" x14ac:dyDescent="0.25">
      <c r="A581">
        <v>645459</v>
      </c>
      <c r="B581">
        <v>0</v>
      </c>
      <c r="C581">
        <v>0</v>
      </c>
      <c r="D581">
        <v>9902</v>
      </c>
      <c r="F581">
        <v>0</v>
      </c>
      <c r="G581">
        <v>2</v>
      </c>
    </row>
    <row r="582" spans="1:7" x14ac:dyDescent="0.25">
      <c r="A582">
        <v>645466</v>
      </c>
      <c r="B582">
        <v>7</v>
      </c>
      <c r="C582">
        <v>0.38200000000000001</v>
      </c>
      <c r="D582">
        <v>9902</v>
      </c>
      <c r="F582">
        <v>0</v>
      </c>
      <c r="G582">
        <v>2</v>
      </c>
    </row>
    <row r="583" spans="1:7" x14ac:dyDescent="0.25">
      <c r="A583">
        <v>645468</v>
      </c>
      <c r="B583">
        <v>7</v>
      </c>
      <c r="C583">
        <v>0.38</v>
      </c>
      <c r="D583">
        <v>9902</v>
      </c>
      <c r="F583">
        <v>0</v>
      </c>
      <c r="G583">
        <v>2</v>
      </c>
    </row>
    <row r="584" spans="1:7" x14ac:dyDescent="0.25">
      <c r="A584">
        <v>645469</v>
      </c>
      <c r="B584">
        <v>7</v>
      </c>
      <c r="C584">
        <v>0.378</v>
      </c>
      <c r="D584">
        <v>9902</v>
      </c>
      <c r="F584">
        <v>0</v>
      </c>
      <c r="G584">
        <v>2</v>
      </c>
    </row>
    <row r="585" spans="1:7" x14ac:dyDescent="0.25">
      <c r="A585">
        <v>645476</v>
      </c>
      <c r="B585">
        <v>7</v>
      </c>
      <c r="C585">
        <v>0</v>
      </c>
      <c r="D585">
        <v>9902</v>
      </c>
      <c r="F585">
        <v>0</v>
      </c>
      <c r="G585">
        <v>2</v>
      </c>
    </row>
    <row r="586" spans="1:7" x14ac:dyDescent="0.25">
      <c r="A586">
        <v>645478</v>
      </c>
      <c r="B586">
        <v>7</v>
      </c>
      <c r="C586">
        <v>0</v>
      </c>
      <c r="D586">
        <v>9902</v>
      </c>
      <c r="F586">
        <v>0</v>
      </c>
      <c r="G586">
        <v>2</v>
      </c>
    </row>
    <row r="587" spans="1:7" x14ac:dyDescent="0.25">
      <c r="A587">
        <v>645479</v>
      </c>
      <c r="B587">
        <v>7</v>
      </c>
      <c r="C587">
        <v>0</v>
      </c>
      <c r="D587">
        <v>9902</v>
      </c>
      <c r="F587">
        <v>0</v>
      </c>
      <c r="G587">
        <v>2</v>
      </c>
    </row>
    <row r="588" spans="1:7" x14ac:dyDescent="0.25">
      <c r="A588">
        <v>645516</v>
      </c>
      <c r="B588">
        <v>0</v>
      </c>
      <c r="C588">
        <v>0.82699999999999996</v>
      </c>
      <c r="D588">
        <v>9902</v>
      </c>
      <c r="F588">
        <v>0</v>
      </c>
      <c r="G588">
        <v>2</v>
      </c>
    </row>
    <row r="589" spans="1:7" x14ac:dyDescent="0.25">
      <c r="A589">
        <v>645518</v>
      </c>
      <c r="B589">
        <v>0</v>
      </c>
      <c r="C589">
        <v>0.82699999999999996</v>
      </c>
      <c r="D589">
        <v>9902</v>
      </c>
      <c r="F589">
        <v>0</v>
      </c>
      <c r="G589">
        <v>2</v>
      </c>
    </row>
    <row r="590" spans="1:7" x14ac:dyDescent="0.25">
      <c r="A590">
        <v>645519</v>
      </c>
      <c r="B590">
        <v>0</v>
      </c>
      <c r="C590">
        <v>0</v>
      </c>
      <c r="D590">
        <v>9902</v>
      </c>
      <c r="F590">
        <v>0</v>
      </c>
      <c r="G590">
        <v>2</v>
      </c>
    </row>
    <row r="591" spans="1:7" x14ac:dyDescent="0.25">
      <c r="A591">
        <v>645526</v>
      </c>
      <c r="B591">
        <v>0</v>
      </c>
      <c r="C591">
        <v>0</v>
      </c>
      <c r="D591">
        <v>9902</v>
      </c>
      <c r="F591">
        <v>0</v>
      </c>
      <c r="G591">
        <v>2</v>
      </c>
    </row>
    <row r="592" spans="1:7" x14ac:dyDescent="0.25">
      <c r="A592">
        <v>645528</v>
      </c>
      <c r="B592">
        <v>0</v>
      </c>
      <c r="C592">
        <v>0</v>
      </c>
      <c r="D592">
        <v>9902</v>
      </c>
      <c r="F592">
        <v>0</v>
      </c>
      <c r="G592">
        <v>2</v>
      </c>
    </row>
    <row r="593" spans="1:7" x14ac:dyDescent="0.25">
      <c r="A593">
        <v>645529</v>
      </c>
      <c r="B593">
        <v>0</v>
      </c>
      <c r="C593">
        <v>0</v>
      </c>
      <c r="D593">
        <v>9902</v>
      </c>
      <c r="F593">
        <v>0</v>
      </c>
      <c r="G593">
        <v>2</v>
      </c>
    </row>
    <row r="594" spans="1:7" x14ac:dyDescent="0.25">
      <c r="A594">
        <v>645536</v>
      </c>
      <c r="B594">
        <v>0</v>
      </c>
      <c r="C594">
        <v>0</v>
      </c>
      <c r="D594">
        <v>9902</v>
      </c>
      <c r="F594">
        <v>0</v>
      </c>
      <c r="G594">
        <v>2</v>
      </c>
    </row>
    <row r="595" spans="1:7" x14ac:dyDescent="0.25">
      <c r="A595">
        <v>645538</v>
      </c>
      <c r="B595">
        <v>0</v>
      </c>
      <c r="C595">
        <v>0</v>
      </c>
      <c r="D595">
        <v>9902</v>
      </c>
      <c r="F595">
        <v>0</v>
      </c>
      <c r="G595">
        <v>2</v>
      </c>
    </row>
    <row r="596" spans="1:7" x14ac:dyDescent="0.25">
      <c r="A596">
        <v>645539</v>
      </c>
      <c r="B596">
        <v>0</v>
      </c>
      <c r="C596">
        <v>0</v>
      </c>
      <c r="D596">
        <v>9902</v>
      </c>
      <c r="F596">
        <v>0</v>
      </c>
      <c r="G596">
        <v>2</v>
      </c>
    </row>
    <row r="597" spans="1:7" x14ac:dyDescent="0.25">
      <c r="A597">
        <v>645546</v>
      </c>
      <c r="B597">
        <v>7</v>
      </c>
      <c r="C597">
        <v>0.51</v>
      </c>
      <c r="D597">
        <v>9902</v>
      </c>
      <c r="F597">
        <v>0</v>
      </c>
      <c r="G597">
        <v>2</v>
      </c>
    </row>
    <row r="598" spans="1:7" x14ac:dyDescent="0.25">
      <c r="A598">
        <v>645548</v>
      </c>
      <c r="B598">
        <v>7</v>
      </c>
      <c r="C598">
        <v>0.51</v>
      </c>
      <c r="D598">
        <v>9902</v>
      </c>
      <c r="F598">
        <v>0</v>
      </c>
      <c r="G598">
        <v>2</v>
      </c>
    </row>
    <row r="599" spans="1:7" x14ac:dyDescent="0.25">
      <c r="A599">
        <v>645549</v>
      </c>
      <c r="B599">
        <v>0</v>
      </c>
      <c r="C599">
        <v>0.51</v>
      </c>
      <c r="D599">
        <v>9902</v>
      </c>
      <c r="F599">
        <v>0</v>
      </c>
      <c r="G599">
        <v>2</v>
      </c>
    </row>
    <row r="600" spans="1:7" x14ac:dyDescent="0.25">
      <c r="A600">
        <v>645556</v>
      </c>
      <c r="B600">
        <v>0</v>
      </c>
      <c r="C600">
        <v>0.51</v>
      </c>
      <c r="D600">
        <v>9902</v>
      </c>
      <c r="F600">
        <v>0</v>
      </c>
      <c r="G600">
        <v>2</v>
      </c>
    </row>
    <row r="601" spans="1:7" x14ac:dyDescent="0.25">
      <c r="A601">
        <v>645558</v>
      </c>
      <c r="B601">
        <v>0</v>
      </c>
      <c r="C601">
        <v>0.51</v>
      </c>
      <c r="D601">
        <v>9902</v>
      </c>
      <c r="F601">
        <v>0</v>
      </c>
      <c r="G601">
        <v>2</v>
      </c>
    </row>
    <row r="602" spans="1:7" x14ac:dyDescent="0.25">
      <c r="A602">
        <v>645559</v>
      </c>
      <c r="B602">
        <v>0</v>
      </c>
      <c r="C602">
        <v>0.51</v>
      </c>
      <c r="D602">
        <v>9902</v>
      </c>
      <c r="F602">
        <v>0</v>
      </c>
      <c r="G602">
        <v>2</v>
      </c>
    </row>
    <row r="603" spans="1:7" x14ac:dyDescent="0.25">
      <c r="A603">
        <v>645566</v>
      </c>
      <c r="B603">
        <v>0</v>
      </c>
      <c r="C603">
        <v>0.51</v>
      </c>
      <c r="D603">
        <v>9902</v>
      </c>
      <c r="F603">
        <v>0</v>
      </c>
      <c r="G603">
        <v>2</v>
      </c>
    </row>
    <row r="604" spans="1:7" x14ac:dyDescent="0.25">
      <c r="A604">
        <v>645568</v>
      </c>
      <c r="B604">
        <v>0</v>
      </c>
      <c r="C604">
        <v>0.51</v>
      </c>
      <c r="D604">
        <v>9902</v>
      </c>
      <c r="F604">
        <v>0</v>
      </c>
      <c r="G604">
        <v>2</v>
      </c>
    </row>
    <row r="605" spans="1:7" x14ac:dyDescent="0.25">
      <c r="A605">
        <v>645569</v>
      </c>
      <c r="B605">
        <v>0</v>
      </c>
      <c r="C605">
        <v>0.51</v>
      </c>
      <c r="D605">
        <v>9902</v>
      </c>
      <c r="F605">
        <v>0</v>
      </c>
      <c r="G605">
        <v>2</v>
      </c>
    </row>
    <row r="606" spans="1:7" x14ac:dyDescent="0.25">
      <c r="A606">
        <v>645576</v>
      </c>
      <c r="B606">
        <v>0</v>
      </c>
      <c r="C606">
        <v>0.51</v>
      </c>
      <c r="D606">
        <v>9902</v>
      </c>
      <c r="F606">
        <v>0</v>
      </c>
      <c r="G606">
        <v>2</v>
      </c>
    </row>
    <row r="607" spans="1:7" x14ac:dyDescent="0.25">
      <c r="A607">
        <v>645578</v>
      </c>
      <c r="B607">
        <v>0</v>
      </c>
      <c r="C607">
        <v>0.51</v>
      </c>
      <c r="D607">
        <v>9902</v>
      </c>
      <c r="F607">
        <v>0</v>
      </c>
      <c r="G607">
        <v>2</v>
      </c>
    </row>
    <row r="608" spans="1:7" x14ac:dyDescent="0.25">
      <c r="A608">
        <v>645579</v>
      </c>
      <c r="B608">
        <v>0</v>
      </c>
      <c r="C608">
        <v>0.51</v>
      </c>
      <c r="D608">
        <v>9902</v>
      </c>
      <c r="F608">
        <v>0</v>
      </c>
      <c r="G608">
        <v>2</v>
      </c>
    </row>
    <row r="609" spans="1:7" x14ac:dyDescent="0.25">
      <c r="A609">
        <v>646000</v>
      </c>
      <c r="B609">
        <v>90</v>
      </c>
      <c r="C609">
        <v>0.14699999999999999</v>
      </c>
      <c r="D609" t="s">
        <v>2542</v>
      </c>
      <c r="F609">
        <v>2800</v>
      </c>
      <c r="G609">
        <v>2</v>
      </c>
    </row>
    <row r="610" spans="1:7" x14ac:dyDescent="0.25">
      <c r="A610">
        <v>650019</v>
      </c>
      <c r="B610">
        <v>7</v>
      </c>
      <c r="C610">
        <v>0.122</v>
      </c>
      <c r="D610">
        <v>9902</v>
      </c>
      <c r="F610">
        <v>10</v>
      </c>
      <c r="G610">
        <v>2</v>
      </c>
    </row>
    <row r="611" spans="1:7" x14ac:dyDescent="0.25">
      <c r="A611">
        <v>650021</v>
      </c>
      <c r="B611">
        <v>7</v>
      </c>
      <c r="C611">
        <v>0.3</v>
      </c>
      <c r="D611">
        <v>9902</v>
      </c>
      <c r="F611">
        <v>10</v>
      </c>
      <c r="G611">
        <v>2</v>
      </c>
    </row>
    <row r="612" spans="1:7" x14ac:dyDescent="0.25">
      <c r="A612">
        <v>650025</v>
      </c>
      <c r="B612">
        <v>7</v>
      </c>
      <c r="C612">
        <v>0.108</v>
      </c>
      <c r="D612">
        <v>9902</v>
      </c>
      <c r="F612">
        <v>10</v>
      </c>
      <c r="G612">
        <v>2</v>
      </c>
    </row>
    <row r="613" spans="1:7" x14ac:dyDescent="0.25">
      <c r="A613">
        <v>650030</v>
      </c>
      <c r="B613">
        <v>7</v>
      </c>
      <c r="C613">
        <v>0.15</v>
      </c>
      <c r="D613">
        <v>9902</v>
      </c>
      <c r="F613">
        <v>10</v>
      </c>
      <c r="G613">
        <v>2</v>
      </c>
    </row>
    <row r="614" spans="1:7" x14ac:dyDescent="0.25">
      <c r="A614">
        <v>650035</v>
      </c>
      <c r="B614">
        <v>0</v>
      </c>
      <c r="C614">
        <v>0.3</v>
      </c>
      <c r="D614">
        <v>9610</v>
      </c>
      <c r="F614">
        <v>0</v>
      </c>
      <c r="G614">
        <v>2</v>
      </c>
    </row>
    <row r="615" spans="1:7" x14ac:dyDescent="0.25">
      <c r="A615">
        <v>650045</v>
      </c>
      <c r="B615">
        <v>7</v>
      </c>
      <c r="C615">
        <v>0.36</v>
      </c>
      <c r="D615">
        <v>9902</v>
      </c>
      <c r="F615">
        <v>10</v>
      </c>
      <c r="G615">
        <v>2</v>
      </c>
    </row>
    <row r="616" spans="1:7" x14ac:dyDescent="0.25">
      <c r="A616">
        <v>650061</v>
      </c>
      <c r="B616">
        <v>7</v>
      </c>
      <c r="C616">
        <v>0.36</v>
      </c>
      <c r="D616">
        <v>9902</v>
      </c>
      <c r="F616">
        <v>10</v>
      </c>
      <c r="G616">
        <v>2</v>
      </c>
    </row>
    <row r="617" spans="1:7" x14ac:dyDescent="0.25">
      <c r="A617">
        <v>650104</v>
      </c>
      <c r="B617">
        <v>0</v>
      </c>
      <c r="C617">
        <v>0.122</v>
      </c>
      <c r="D617">
        <v>9610</v>
      </c>
      <c r="F617">
        <v>0</v>
      </c>
      <c r="G617">
        <v>2</v>
      </c>
    </row>
    <row r="618" spans="1:7" x14ac:dyDescent="0.25">
      <c r="A618">
        <v>650106</v>
      </c>
      <c r="B618">
        <v>0</v>
      </c>
      <c r="C618">
        <v>0.122</v>
      </c>
      <c r="D618">
        <v>9610</v>
      </c>
      <c r="F618">
        <v>0</v>
      </c>
      <c r="G618">
        <v>2</v>
      </c>
    </row>
    <row r="619" spans="1:7" x14ac:dyDescent="0.25">
      <c r="A619">
        <v>650108</v>
      </c>
      <c r="B619">
        <v>7</v>
      </c>
      <c r="C619">
        <v>0.122</v>
      </c>
      <c r="D619">
        <v>9610</v>
      </c>
      <c r="F619">
        <v>0</v>
      </c>
      <c r="G619">
        <v>2</v>
      </c>
    </row>
    <row r="620" spans="1:7" x14ac:dyDescent="0.25">
      <c r="A620">
        <v>650206</v>
      </c>
      <c r="B620">
        <v>7</v>
      </c>
      <c r="C620">
        <v>0.3</v>
      </c>
      <c r="D620">
        <v>9610</v>
      </c>
      <c r="F620">
        <v>0</v>
      </c>
      <c r="G620">
        <v>2</v>
      </c>
    </row>
    <row r="621" spans="1:7" x14ac:dyDescent="0.25">
      <c r="A621">
        <v>650208</v>
      </c>
      <c r="B621">
        <v>0</v>
      </c>
      <c r="C621">
        <v>0.3</v>
      </c>
      <c r="D621">
        <v>9610</v>
      </c>
      <c r="F621">
        <v>0</v>
      </c>
      <c r="G621">
        <v>2</v>
      </c>
    </row>
    <row r="622" spans="1:7" x14ac:dyDescent="0.25">
      <c r="A622">
        <v>650260</v>
      </c>
      <c r="B622">
        <v>0</v>
      </c>
      <c r="C622">
        <v>0.108</v>
      </c>
      <c r="D622">
        <v>9610</v>
      </c>
      <c r="F622">
        <v>0</v>
      </c>
      <c r="G622">
        <v>2</v>
      </c>
    </row>
    <row r="623" spans="1:7" x14ac:dyDescent="0.25">
      <c r="A623">
        <v>650280</v>
      </c>
      <c r="B623">
        <v>0</v>
      </c>
      <c r="C623">
        <v>8.3000000000000004E-2</v>
      </c>
      <c r="D623">
        <v>9610</v>
      </c>
      <c r="F623">
        <v>0</v>
      </c>
      <c r="G623">
        <v>2</v>
      </c>
    </row>
    <row r="624" spans="1:7" x14ac:dyDescent="0.25">
      <c r="A624">
        <v>650300</v>
      </c>
      <c r="B624">
        <v>0</v>
      </c>
      <c r="C624">
        <v>0.26400000000000001</v>
      </c>
      <c r="D624">
        <v>9610</v>
      </c>
      <c r="F624">
        <v>0</v>
      </c>
      <c r="G624">
        <v>2</v>
      </c>
    </row>
    <row r="625" spans="1:7" x14ac:dyDescent="0.25">
      <c r="A625">
        <v>650306</v>
      </c>
      <c r="B625">
        <v>0</v>
      </c>
      <c r="C625">
        <v>0.108</v>
      </c>
      <c r="D625">
        <v>9610</v>
      </c>
      <c r="F625">
        <v>0</v>
      </c>
      <c r="G625">
        <v>2</v>
      </c>
    </row>
    <row r="626" spans="1:7" x14ac:dyDescent="0.25">
      <c r="A626">
        <v>650308</v>
      </c>
      <c r="B626">
        <v>7</v>
      </c>
      <c r="C626">
        <v>0.108</v>
      </c>
      <c r="D626">
        <v>9610</v>
      </c>
      <c r="F626">
        <v>0</v>
      </c>
      <c r="G626">
        <v>2</v>
      </c>
    </row>
    <row r="627" spans="1:7" x14ac:dyDescent="0.25">
      <c r="A627">
        <v>650441</v>
      </c>
      <c r="B627">
        <v>7</v>
      </c>
      <c r="C627">
        <v>4.1000000000000002E-2</v>
      </c>
      <c r="D627">
        <v>9902</v>
      </c>
      <c r="F627">
        <v>10</v>
      </c>
      <c r="G627">
        <v>2</v>
      </c>
    </row>
    <row r="628" spans="1:7" x14ac:dyDescent="0.25">
      <c r="A628">
        <v>650461</v>
      </c>
      <c r="B628">
        <v>7</v>
      </c>
      <c r="C628">
        <v>5.6000000000000001E-2</v>
      </c>
      <c r="D628">
        <v>9902</v>
      </c>
      <c r="F628">
        <v>10</v>
      </c>
      <c r="G628">
        <v>2</v>
      </c>
    </row>
    <row r="629" spans="1:7" x14ac:dyDescent="0.25">
      <c r="A629">
        <v>650481</v>
      </c>
      <c r="B629">
        <v>7</v>
      </c>
      <c r="C629">
        <v>7.0999999999999994E-2</v>
      </c>
      <c r="D629">
        <v>9902</v>
      </c>
      <c r="F629">
        <v>10</v>
      </c>
      <c r="G629">
        <v>2</v>
      </c>
    </row>
    <row r="630" spans="1:7" x14ac:dyDescent="0.25">
      <c r="A630">
        <v>650499</v>
      </c>
      <c r="B630">
        <v>7</v>
      </c>
      <c r="C630">
        <v>8.1000000000000003E-2</v>
      </c>
      <c r="D630">
        <v>9902</v>
      </c>
      <c r="F630">
        <v>10</v>
      </c>
      <c r="G630">
        <v>2</v>
      </c>
    </row>
    <row r="631" spans="1:7" x14ac:dyDescent="0.25">
      <c r="A631">
        <v>650515</v>
      </c>
      <c r="B631">
        <v>7</v>
      </c>
      <c r="C631">
        <v>0.125</v>
      </c>
      <c r="D631">
        <v>9610</v>
      </c>
      <c r="F631">
        <v>0</v>
      </c>
      <c r="G631">
        <v>2</v>
      </c>
    </row>
    <row r="632" spans="1:7" x14ac:dyDescent="0.25">
      <c r="A632">
        <v>650521</v>
      </c>
      <c r="B632">
        <v>0</v>
      </c>
      <c r="C632">
        <v>0</v>
      </c>
      <c r="D632">
        <v>9610</v>
      </c>
      <c r="F632">
        <v>0</v>
      </c>
      <c r="G632">
        <v>2</v>
      </c>
    </row>
    <row r="633" spans="1:7" x14ac:dyDescent="0.25">
      <c r="A633">
        <v>650525</v>
      </c>
      <c r="B633">
        <v>7</v>
      </c>
      <c r="C633">
        <v>0.125</v>
      </c>
      <c r="D633">
        <v>9610</v>
      </c>
      <c r="F633">
        <v>0</v>
      </c>
      <c r="G633">
        <v>2</v>
      </c>
    </row>
    <row r="634" spans="1:7" x14ac:dyDescent="0.25">
      <c r="A634">
        <v>650531</v>
      </c>
      <c r="B634">
        <v>0</v>
      </c>
      <c r="C634">
        <v>0</v>
      </c>
      <c r="D634">
        <v>9610</v>
      </c>
      <c r="F634">
        <v>0</v>
      </c>
      <c r="G634">
        <v>2</v>
      </c>
    </row>
    <row r="635" spans="1:7" x14ac:dyDescent="0.25">
      <c r="A635">
        <v>651100</v>
      </c>
      <c r="B635">
        <v>90</v>
      </c>
      <c r="C635">
        <v>0.32100000000000001</v>
      </c>
      <c r="D635" t="s">
        <v>2</v>
      </c>
      <c r="E635">
        <v>13022</v>
      </c>
      <c r="F635">
        <v>2500</v>
      </c>
      <c r="G635">
        <v>2</v>
      </c>
    </row>
    <row r="636" spans="1:7" x14ac:dyDescent="0.25">
      <c r="A636">
        <v>651101</v>
      </c>
      <c r="B636">
        <v>90</v>
      </c>
      <c r="C636">
        <v>0.51200000000000001</v>
      </c>
      <c r="D636" t="s">
        <v>2</v>
      </c>
      <c r="E636">
        <v>2791</v>
      </c>
      <c r="F636">
        <v>600</v>
      </c>
      <c r="G636">
        <v>2</v>
      </c>
    </row>
    <row r="637" spans="1:7" x14ac:dyDescent="0.25">
      <c r="A637">
        <v>651105</v>
      </c>
      <c r="B637">
        <v>90</v>
      </c>
      <c r="C637">
        <v>0.32900000000000001</v>
      </c>
      <c r="D637" t="s">
        <v>2</v>
      </c>
      <c r="E637">
        <v>2791</v>
      </c>
      <c r="F637">
        <v>1100</v>
      </c>
      <c r="G637">
        <v>2</v>
      </c>
    </row>
    <row r="638" spans="1:7" x14ac:dyDescent="0.25">
      <c r="A638">
        <v>651200</v>
      </c>
      <c r="B638">
        <v>90</v>
      </c>
      <c r="C638">
        <v>0.39100000000000001</v>
      </c>
      <c r="D638" t="s">
        <v>2</v>
      </c>
      <c r="E638">
        <v>14276</v>
      </c>
      <c r="F638">
        <v>3400</v>
      </c>
      <c r="G638">
        <v>2</v>
      </c>
    </row>
    <row r="639" spans="1:7" x14ac:dyDescent="0.25">
      <c r="A639">
        <v>651201</v>
      </c>
      <c r="B639">
        <v>90</v>
      </c>
      <c r="C639">
        <v>0.47</v>
      </c>
      <c r="D639" t="s">
        <v>2</v>
      </c>
      <c r="F639">
        <v>240</v>
      </c>
      <c r="G639">
        <v>2</v>
      </c>
    </row>
    <row r="640" spans="1:7" x14ac:dyDescent="0.25">
      <c r="A640">
        <v>651207</v>
      </c>
      <c r="B640">
        <v>90</v>
      </c>
      <c r="C640">
        <v>0.32</v>
      </c>
      <c r="D640" t="s">
        <v>2</v>
      </c>
      <c r="E640">
        <v>6448</v>
      </c>
      <c r="F640">
        <v>800</v>
      </c>
      <c r="G640">
        <v>2</v>
      </c>
    </row>
    <row r="641" spans="1:7" x14ac:dyDescent="0.25">
      <c r="A641">
        <v>651300</v>
      </c>
      <c r="B641">
        <v>90</v>
      </c>
      <c r="C641">
        <v>0.56200000000000006</v>
      </c>
      <c r="D641" t="s">
        <v>2</v>
      </c>
      <c r="E641">
        <v>14276</v>
      </c>
      <c r="F641">
        <v>1200</v>
      </c>
      <c r="G641">
        <v>2</v>
      </c>
    </row>
    <row r="642" spans="1:7" x14ac:dyDescent="0.25">
      <c r="A642">
        <v>651401</v>
      </c>
      <c r="B642">
        <v>90</v>
      </c>
      <c r="C642">
        <v>0.58499999999999996</v>
      </c>
      <c r="D642" t="s">
        <v>2</v>
      </c>
      <c r="E642">
        <v>14276</v>
      </c>
      <c r="F642">
        <v>800</v>
      </c>
      <c r="G642">
        <v>2</v>
      </c>
    </row>
    <row r="643" spans="1:7" x14ac:dyDescent="0.25">
      <c r="A643">
        <v>651402</v>
      </c>
      <c r="B643">
        <v>90</v>
      </c>
      <c r="C643">
        <v>0.57499999999999996</v>
      </c>
      <c r="D643" t="s">
        <v>2</v>
      </c>
      <c r="E643">
        <v>14276</v>
      </c>
      <c r="F643">
        <v>2100</v>
      </c>
      <c r="G643">
        <v>2</v>
      </c>
    </row>
    <row r="644" spans="1:7" x14ac:dyDescent="0.25">
      <c r="A644">
        <v>651404</v>
      </c>
      <c r="B644">
        <v>90</v>
      </c>
      <c r="C644">
        <v>0.72299999999999998</v>
      </c>
      <c r="D644" t="s">
        <v>2727</v>
      </c>
      <c r="F644">
        <v>320</v>
      </c>
      <c r="G644">
        <v>2</v>
      </c>
    </row>
    <row r="645" spans="1:7" x14ac:dyDescent="0.25">
      <c r="A645">
        <v>652050</v>
      </c>
      <c r="B645">
        <v>90</v>
      </c>
      <c r="C645">
        <v>0.53700000000000003</v>
      </c>
      <c r="D645" t="s">
        <v>2</v>
      </c>
      <c r="E645">
        <v>14276</v>
      </c>
      <c r="F645">
        <v>2500</v>
      </c>
      <c r="G645">
        <v>2</v>
      </c>
    </row>
    <row r="646" spans="1:7" x14ac:dyDescent="0.25">
      <c r="A646" t="s">
        <v>2726</v>
      </c>
      <c r="B646">
        <v>4</v>
      </c>
      <c r="C646">
        <v>0.53700000000000003</v>
      </c>
      <c r="D646">
        <v>3138</v>
      </c>
      <c r="E646">
        <v>14276</v>
      </c>
      <c r="F646">
        <v>100</v>
      </c>
      <c r="G646">
        <v>2</v>
      </c>
    </row>
    <row r="647" spans="1:7" x14ac:dyDescent="0.25">
      <c r="A647">
        <v>652051</v>
      </c>
      <c r="B647">
        <v>90</v>
      </c>
      <c r="C647">
        <v>0.24</v>
      </c>
      <c r="D647" t="s">
        <v>2727</v>
      </c>
      <c r="E647">
        <v>19530</v>
      </c>
      <c r="F647">
        <v>400</v>
      </c>
      <c r="G647">
        <v>2</v>
      </c>
    </row>
    <row r="648" spans="1:7" x14ac:dyDescent="0.25">
      <c r="A648">
        <v>652052</v>
      </c>
      <c r="B648">
        <v>90</v>
      </c>
      <c r="C648">
        <v>0.223</v>
      </c>
      <c r="D648" t="s">
        <v>2</v>
      </c>
      <c r="E648">
        <v>14276</v>
      </c>
      <c r="F648">
        <v>3200</v>
      </c>
      <c r="G648">
        <v>2</v>
      </c>
    </row>
    <row r="649" spans="1:7" x14ac:dyDescent="0.25">
      <c r="A649">
        <v>652058</v>
      </c>
      <c r="B649">
        <v>90</v>
      </c>
      <c r="C649">
        <v>0.05</v>
      </c>
      <c r="D649" t="s">
        <v>2</v>
      </c>
      <c r="F649">
        <v>1000</v>
      </c>
      <c r="G649">
        <v>2</v>
      </c>
    </row>
    <row r="650" spans="1:7" x14ac:dyDescent="0.25">
      <c r="A650">
        <v>652060</v>
      </c>
      <c r="B650">
        <v>90</v>
      </c>
      <c r="C650">
        <v>0.44400000000000001</v>
      </c>
      <c r="D650" t="s">
        <v>2542</v>
      </c>
      <c r="E650">
        <v>13022</v>
      </c>
      <c r="F650">
        <v>800</v>
      </c>
      <c r="G650">
        <v>2</v>
      </c>
    </row>
    <row r="651" spans="1:7" x14ac:dyDescent="0.25">
      <c r="A651">
        <v>652062</v>
      </c>
      <c r="B651">
        <v>90</v>
      </c>
      <c r="C651">
        <v>0.50800000000000001</v>
      </c>
      <c r="D651" t="s">
        <v>2</v>
      </c>
      <c r="E651">
        <v>14276</v>
      </c>
      <c r="F651">
        <v>400</v>
      </c>
      <c r="G651">
        <v>2</v>
      </c>
    </row>
    <row r="652" spans="1:7" x14ac:dyDescent="0.25">
      <c r="A652">
        <v>652070</v>
      </c>
      <c r="B652">
        <v>90</v>
      </c>
      <c r="C652">
        <v>0.56699999999999995</v>
      </c>
      <c r="D652" t="s">
        <v>2542</v>
      </c>
      <c r="F652">
        <v>160</v>
      </c>
      <c r="G652">
        <v>2</v>
      </c>
    </row>
    <row r="653" spans="1:7" x14ac:dyDescent="0.25">
      <c r="A653">
        <v>660036</v>
      </c>
      <c r="B653">
        <v>3</v>
      </c>
      <c r="C653">
        <v>0.02</v>
      </c>
      <c r="D653" t="s">
        <v>2469</v>
      </c>
      <c r="F653">
        <v>0</v>
      </c>
      <c r="G653">
        <v>2</v>
      </c>
    </row>
    <row r="654" spans="1:7" x14ac:dyDescent="0.25">
      <c r="A654">
        <v>660050</v>
      </c>
      <c r="B654">
        <v>90</v>
      </c>
      <c r="C654">
        <v>0.14000000000000001</v>
      </c>
      <c r="D654" t="s">
        <v>2</v>
      </c>
      <c r="E654">
        <v>13024</v>
      </c>
      <c r="F654">
        <v>1100</v>
      </c>
      <c r="G654">
        <v>2</v>
      </c>
    </row>
    <row r="655" spans="1:7" x14ac:dyDescent="0.25">
      <c r="A655">
        <v>660100</v>
      </c>
      <c r="B655">
        <v>90</v>
      </c>
      <c r="C655">
        <v>0.25</v>
      </c>
      <c r="D655" t="s">
        <v>2</v>
      </c>
      <c r="E655">
        <v>13024</v>
      </c>
      <c r="F655">
        <v>1500</v>
      </c>
      <c r="G655">
        <v>2</v>
      </c>
    </row>
    <row r="656" spans="1:7" x14ac:dyDescent="0.25">
      <c r="A656">
        <v>660111</v>
      </c>
      <c r="B656">
        <v>7</v>
      </c>
      <c r="C656">
        <v>3.9E-2</v>
      </c>
      <c r="D656" t="s">
        <v>55</v>
      </c>
      <c r="E656">
        <v>3546</v>
      </c>
      <c r="F656">
        <v>10</v>
      </c>
      <c r="G656">
        <v>2</v>
      </c>
    </row>
    <row r="657" spans="1:7" x14ac:dyDescent="0.25">
      <c r="A657">
        <v>660115</v>
      </c>
      <c r="B657">
        <v>7</v>
      </c>
      <c r="C657">
        <v>3.9E-2</v>
      </c>
      <c r="D657" t="s">
        <v>55</v>
      </c>
      <c r="E657">
        <v>3546</v>
      </c>
      <c r="F657">
        <v>10</v>
      </c>
      <c r="G657">
        <v>2</v>
      </c>
    </row>
    <row r="658" spans="1:7" x14ac:dyDescent="0.25">
      <c r="A658">
        <v>660121</v>
      </c>
      <c r="B658">
        <v>7</v>
      </c>
      <c r="C658">
        <v>3.9E-2</v>
      </c>
      <c r="D658" t="s">
        <v>55</v>
      </c>
      <c r="E658">
        <v>3546</v>
      </c>
      <c r="F658">
        <v>10</v>
      </c>
      <c r="G658">
        <v>2</v>
      </c>
    </row>
    <row r="659" spans="1:7" x14ac:dyDescent="0.25">
      <c r="A659">
        <v>660125</v>
      </c>
      <c r="B659">
        <v>7</v>
      </c>
      <c r="C659">
        <v>3.9E-2</v>
      </c>
      <c r="D659" t="s">
        <v>55</v>
      </c>
      <c r="E659">
        <v>3546</v>
      </c>
      <c r="F659">
        <v>10</v>
      </c>
      <c r="G659">
        <v>2</v>
      </c>
    </row>
    <row r="660" spans="1:7" x14ac:dyDescent="0.25">
      <c r="A660">
        <v>660131</v>
      </c>
      <c r="B660">
        <v>7</v>
      </c>
      <c r="C660">
        <v>0.06</v>
      </c>
      <c r="D660" t="s">
        <v>55</v>
      </c>
      <c r="E660">
        <v>3546</v>
      </c>
      <c r="F660">
        <v>10</v>
      </c>
      <c r="G660">
        <v>2</v>
      </c>
    </row>
    <row r="661" spans="1:7" x14ac:dyDescent="0.25">
      <c r="A661">
        <v>660135</v>
      </c>
      <c r="B661">
        <v>0</v>
      </c>
      <c r="C661">
        <v>0.06</v>
      </c>
      <c r="D661" t="s">
        <v>55</v>
      </c>
      <c r="E661">
        <v>3546</v>
      </c>
      <c r="F661">
        <v>0</v>
      </c>
      <c r="G661">
        <v>2</v>
      </c>
    </row>
    <row r="662" spans="1:7" x14ac:dyDescent="0.25">
      <c r="A662">
        <v>660141</v>
      </c>
      <c r="B662">
        <v>7</v>
      </c>
      <c r="C662">
        <v>0.18</v>
      </c>
      <c r="D662" t="s">
        <v>55</v>
      </c>
      <c r="E662">
        <v>3546</v>
      </c>
      <c r="F662">
        <v>0</v>
      </c>
      <c r="G662">
        <v>2</v>
      </c>
    </row>
    <row r="663" spans="1:7" x14ac:dyDescent="0.25">
      <c r="A663">
        <v>661050</v>
      </c>
      <c r="B663">
        <v>90</v>
      </c>
      <c r="C663">
        <v>0.17299999999999999</v>
      </c>
      <c r="D663" t="s">
        <v>2</v>
      </c>
      <c r="E663">
        <v>13024</v>
      </c>
      <c r="F663">
        <v>420</v>
      </c>
      <c r="G663">
        <v>2</v>
      </c>
    </row>
    <row r="664" spans="1:7" x14ac:dyDescent="0.25">
      <c r="A664">
        <v>661150</v>
      </c>
      <c r="B664">
        <v>90</v>
      </c>
      <c r="C664">
        <v>0.125</v>
      </c>
      <c r="D664" t="s">
        <v>2</v>
      </c>
      <c r="E664">
        <v>13024</v>
      </c>
      <c r="F664">
        <v>1200</v>
      </c>
      <c r="G664">
        <v>2</v>
      </c>
    </row>
    <row r="665" spans="1:7" x14ac:dyDescent="0.25">
      <c r="A665">
        <v>661170</v>
      </c>
      <c r="B665">
        <v>90</v>
      </c>
      <c r="C665">
        <v>0.193</v>
      </c>
      <c r="D665" t="s">
        <v>2</v>
      </c>
      <c r="E665">
        <v>13024</v>
      </c>
      <c r="F665">
        <v>490</v>
      </c>
      <c r="G665">
        <v>2</v>
      </c>
    </row>
    <row r="666" spans="1:7" x14ac:dyDescent="0.25">
      <c r="A666">
        <v>661171</v>
      </c>
      <c r="B666">
        <v>90</v>
      </c>
      <c r="C666">
        <v>0.21</v>
      </c>
      <c r="D666" t="s">
        <v>2</v>
      </c>
      <c r="E666">
        <v>13024</v>
      </c>
      <c r="F666">
        <v>500</v>
      </c>
      <c r="G666">
        <v>2</v>
      </c>
    </row>
    <row r="667" spans="1:7" x14ac:dyDescent="0.25">
      <c r="A667">
        <v>661230</v>
      </c>
      <c r="B667">
        <v>90</v>
      </c>
      <c r="C667">
        <v>0.16700000000000001</v>
      </c>
      <c r="D667" t="s">
        <v>2542</v>
      </c>
      <c r="E667">
        <v>14276</v>
      </c>
      <c r="F667">
        <v>220</v>
      </c>
      <c r="G667">
        <v>2</v>
      </c>
    </row>
    <row r="668" spans="1:7" x14ac:dyDescent="0.25">
      <c r="A668">
        <v>662073</v>
      </c>
      <c r="B668">
        <v>7</v>
      </c>
      <c r="C668">
        <v>0.06</v>
      </c>
      <c r="D668" t="s">
        <v>55</v>
      </c>
      <c r="E668">
        <v>3546</v>
      </c>
      <c r="F668">
        <v>10</v>
      </c>
      <c r="G668">
        <v>2</v>
      </c>
    </row>
    <row r="669" spans="1:7" x14ac:dyDescent="0.25">
      <c r="A669">
        <v>662090</v>
      </c>
      <c r="B669">
        <v>90</v>
      </c>
      <c r="C669">
        <v>5.3999999999999999E-2</v>
      </c>
      <c r="D669" t="s">
        <v>47</v>
      </c>
      <c r="E669">
        <v>14276</v>
      </c>
      <c r="F669">
        <v>1300</v>
      </c>
      <c r="G669">
        <v>2</v>
      </c>
    </row>
    <row r="670" spans="1:7" x14ac:dyDescent="0.25">
      <c r="A670">
        <v>662093</v>
      </c>
      <c r="B670">
        <v>7</v>
      </c>
      <c r="C670">
        <v>0.06</v>
      </c>
      <c r="D670" t="s">
        <v>55</v>
      </c>
      <c r="E670">
        <v>3546</v>
      </c>
      <c r="F670">
        <v>10</v>
      </c>
      <c r="G670">
        <v>2</v>
      </c>
    </row>
    <row r="671" spans="1:7" x14ac:dyDescent="0.25">
      <c r="A671">
        <v>662103</v>
      </c>
      <c r="B671">
        <v>7</v>
      </c>
      <c r="C671">
        <v>0.06</v>
      </c>
      <c r="D671" t="s">
        <v>55</v>
      </c>
      <c r="E671">
        <v>3546</v>
      </c>
      <c r="F671">
        <v>10</v>
      </c>
      <c r="G671">
        <v>2</v>
      </c>
    </row>
    <row r="672" spans="1:7" x14ac:dyDescent="0.25">
      <c r="A672">
        <v>662120</v>
      </c>
      <c r="B672">
        <v>90</v>
      </c>
      <c r="C672">
        <v>4.4999999999999998E-2</v>
      </c>
      <c r="D672" t="s">
        <v>47</v>
      </c>
      <c r="E672">
        <v>14276</v>
      </c>
      <c r="F672">
        <v>1000</v>
      </c>
      <c r="G672">
        <v>2</v>
      </c>
    </row>
    <row r="673" spans="1:7" x14ac:dyDescent="0.25">
      <c r="A673">
        <v>662125</v>
      </c>
      <c r="B673">
        <v>90</v>
      </c>
      <c r="C673">
        <v>0.109</v>
      </c>
      <c r="D673" t="s">
        <v>2</v>
      </c>
      <c r="E673">
        <v>14276</v>
      </c>
      <c r="F673">
        <v>480</v>
      </c>
      <c r="G673">
        <v>2</v>
      </c>
    </row>
    <row r="674" spans="1:7" x14ac:dyDescent="0.25">
      <c r="A674">
        <v>662133</v>
      </c>
      <c r="B674">
        <v>7</v>
      </c>
      <c r="C674">
        <v>0.06</v>
      </c>
      <c r="D674" t="s">
        <v>55</v>
      </c>
      <c r="E674">
        <v>3546</v>
      </c>
      <c r="F674">
        <v>10</v>
      </c>
      <c r="G674">
        <v>2</v>
      </c>
    </row>
    <row r="675" spans="1:7" x14ac:dyDescent="0.25">
      <c r="A675">
        <v>662144</v>
      </c>
      <c r="B675">
        <v>7</v>
      </c>
      <c r="C675">
        <v>0.06</v>
      </c>
      <c r="D675" t="s">
        <v>55</v>
      </c>
      <c r="E675">
        <v>3546</v>
      </c>
      <c r="F675">
        <v>10</v>
      </c>
      <c r="G675">
        <v>2</v>
      </c>
    </row>
    <row r="676" spans="1:7" x14ac:dyDescent="0.25">
      <c r="A676">
        <v>662155</v>
      </c>
      <c r="B676">
        <v>7</v>
      </c>
      <c r="C676">
        <v>0.06</v>
      </c>
      <c r="D676" t="s">
        <v>55</v>
      </c>
      <c r="E676">
        <v>3546</v>
      </c>
      <c r="F676">
        <v>10</v>
      </c>
      <c r="G676">
        <v>2</v>
      </c>
    </row>
    <row r="677" spans="1:7" x14ac:dyDescent="0.25">
      <c r="A677">
        <v>662250</v>
      </c>
      <c r="B677">
        <v>90</v>
      </c>
      <c r="C677">
        <v>0.19600000000000001</v>
      </c>
      <c r="D677">
        <v>9795</v>
      </c>
      <c r="F677">
        <v>0</v>
      </c>
      <c r="G677">
        <v>2</v>
      </c>
    </row>
    <row r="678" spans="1:7" x14ac:dyDescent="0.25">
      <c r="A678">
        <v>662305</v>
      </c>
      <c r="B678">
        <v>90</v>
      </c>
      <c r="C678">
        <v>9.4E-2</v>
      </c>
      <c r="D678" t="s">
        <v>2</v>
      </c>
      <c r="F678">
        <v>300</v>
      </c>
      <c r="G678">
        <v>2</v>
      </c>
    </row>
    <row r="679" spans="1:7" x14ac:dyDescent="0.25">
      <c r="A679">
        <v>662350</v>
      </c>
      <c r="B679">
        <v>90</v>
      </c>
      <c r="C679">
        <v>0.218</v>
      </c>
      <c r="D679" t="s">
        <v>2</v>
      </c>
      <c r="F679">
        <v>1000</v>
      </c>
      <c r="G679">
        <v>2</v>
      </c>
    </row>
    <row r="680" spans="1:7" x14ac:dyDescent="0.25">
      <c r="A680">
        <v>662353</v>
      </c>
      <c r="B680">
        <v>90</v>
      </c>
      <c r="C680">
        <v>0.33800000000000002</v>
      </c>
      <c r="D680" t="s">
        <v>2</v>
      </c>
      <c r="F680">
        <v>300</v>
      </c>
      <c r="G680">
        <v>2</v>
      </c>
    </row>
    <row r="681" spans="1:7" x14ac:dyDescent="0.25">
      <c r="A681">
        <v>662381</v>
      </c>
      <c r="B681">
        <v>7</v>
      </c>
      <c r="C681">
        <v>0.35</v>
      </c>
      <c r="D681">
        <v>9795</v>
      </c>
      <c r="F681">
        <v>0</v>
      </c>
      <c r="G681">
        <v>2</v>
      </c>
    </row>
    <row r="682" spans="1:7" x14ac:dyDescent="0.25">
      <c r="A682">
        <v>662383</v>
      </c>
      <c r="B682">
        <v>7</v>
      </c>
      <c r="C682">
        <v>0.49</v>
      </c>
      <c r="D682">
        <v>9795</v>
      </c>
      <c r="F682">
        <v>0</v>
      </c>
      <c r="G682">
        <v>2</v>
      </c>
    </row>
    <row r="683" spans="1:7" x14ac:dyDescent="0.25">
      <c r="A683">
        <v>662396</v>
      </c>
      <c r="B683">
        <v>7</v>
      </c>
      <c r="C683">
        <v>0.5</v>
      </c>
      <c r="D683" t="s">
        <v>2469</v>
      </c>
      <c r="F683">
        <v>0</v>
      </c>
      <c r="G683">
        <v>2</v>
      </c>
    </row>
    <row r="684" spans="1:7" x14ac:dyDescent="0.25">
      <c r="A684">
        <v>662397</v>
      </c>
      <c r="B684">
        <v>7</v>
      </c>
      <c r="C684">
        <v>0.5</v>
      </c>
      <c r="D684" t="s">
        <v>2469</v>
      </c>
      <c r="F684">
        <v>0</v>
      </c>
      <c r="G684">
        <v>2</v>
      </c>
    </row>
    <row r="685" spans="1:7" x14ac:dyDescent="0.25">
      <c r="A685">
        <v>662405</v>
      </c>
      <c r="B685">
        <v>5</v>
      </c>
      <c r="C685">
        <v>0.2</v>
      </c>
      <c r="D685" t="s">
        <v>55</v>
      </c>
      <c r="E685">
        <v>3546</v>
      </c>
      <c r="F685">
        <v>0</v>
      </c>
      <c r="G685">
        <v>2</v>
      </c>
    </row>
    <row r="686" spans="1:7" x14ac:dyDescent="0.25">
      <c r="A686">
        <v>662426</v>
      </c>
      <c r="B686">
        <v>5</v>
      </c>
      <c r="C686">
        <v>0.2</v>
      </c>
      <c r="D686">
        <v>9795</v>
      </c>
      <c r="F686">
        <v>0</v>
      </c>
      <c r="G686">
        <v>2</v>
      </c>
    </row>
    <row r="687" spans="1:7" x14ac:dyDescent="0.25">
      <c r="A687">
        <v>662431</v>
      </c>
      <c r="B687">
        <v>0</v>
      </c>
      <c r="C687">
        <v>0.2</v>
      </c>
      <c r="D687">
        <v>9795</v>
      </c>
      <c r="F687">
        <v>0</v>
      </c>
      <c r="G687">
        <v>2</v>
      </c>
    </row>
    <row r="688" spans="1:7" x14ac:dyDescent="0.25">
      <c r="A688">
        <v>662432</v>
      </c>
      <c r="B688">
        <v>0</v>
      </c>
      <c r="C688">
        <v>0.3</v>
      </c>
      <c r="D688">
        <v>9795</v>
      </c>
      <c r="F688">
        <v>0</v>
      </c>
      <c r="G688">
        <v>2</v>
      </c>
    </row>
    <row r="689" spans="1:7" x14ac:dyDescent="0.25">
      <c r="A689">
        <v>662530</v>
      </c>
      <c r="B689">
        <v>90</v>
      </c>
      <c r="C689">
        <v>0.23400000000000001</v>
      </c>
      <c r="D689" t="s">
        <v>2</v>
      </c>
      <c r="F689">
        <v>800</v>
      </c>
      <c r="G689">
        <v>2</v>
      </c>
    </row>
    <row r="690" spans="1:7" x14ac:dyDescent="0.25">
      <c r="A690">
        <v>662545</v>
      </c>
      <c r="B690">
        <v>90</v>
      </c>
      <c r="C690">
        <v>7.8E-2</v>
      </c>
      <c r="D690" t="s">
        <v>2</v>
      </c>
      <c r="F690">
        <v>550</v>
      </c>
      <c r="G690">
        <v>2</v>
      </c>
    </row>
    <row r="691" spans="1:7" x14ac:dyDescent="0.25">
      <c r="A691">
        <v>662550</v>
      </c>
      <c r="B691">
        <v>90</v>
      </c>
      <c r="C691">
        <v>0.14499999999999999</v>
      </c>
      <c r="D691" t="s">
        <v>2</v>
      </c>
      <c r="F691">
        <v>700</v>
      </c>
      <c r="G691">
        <v>2</v>
      </c>
    </row>
    <row r="692" spans="1:7" x14ac:dyDescent="0.25">
      <c r="A692">
        <v>662623</v>
      </c>
      <c r="B692">
        <v>7</v>
      </c>
      <c r="C692">
        <v>0.35499999999999998</v>
      </c>
      <c r="D692">
        <v>9795</v>
      </c>
      <c r="F692">
        <v>0</v>
      </c>
      <c r="G692">
        <v>2</v>
      </c>
    </row>
    <row r="693" spans="1:7" x14ac:dyDescent="0.25">
      <c r="A693">
        <v>662633</v>
      </c>
      <c r="B693">
        <v>7</v>
      </c>
      <c r="C693">
        <v>0.38200000000000001</v>
      </c>
      <c r="D693">
        <v>9795</v>
      </c>
      <c r="F693">
        <v>0</v>
      </c>
      <c r="G693">
        <v>2</v>
      </c>
    </row>
    <row r="694" spans="1:7" x14ac:dyDescent="0.25">
      <c r="A694">
        <v>662635</v>
      </c>
      <c r="B694">
        <v>7</v>
      </c>
      <c r="C694">
        <v>0.47099999999999997</v>
      </c>
      <c r="D694">
        <v>9795</v>
      </c>
      <c r="F694">
        <v>0</v>
      </c>
      <c r="G694">
        <v>2</v>
      </c>
    </row>
    <row r="695" spans="1:7" x14ac:dyDescent="0.25">
      <c r="A695">
        <v>662659</v>
      </c>
      <c r="B695">
        <v>0</v>
      </c>
      <c r="C695">
        <v>0.3</v>
      </c>
      <c r="D695">
        <v>9795</v>
      </c>
      <c r="F695">
        <v>0</v>
      </c>
      <c r="G695">
        <v>2</v>
      </c>
    </row>
    <row r="696" spans="1:7" x14ac:dyDescent="0.25">
      <c r="A696" t="s">
        <v>2987</v>
      </c>
      <c r="B696">
        <v>90</v>
      </c>
      <c r="C696">
        <v>9.8000000000000004E-2</v>
      </c>
      <c r="D696">
        <v>9794</v>
      </c>
      <c r="F696">
        <v>0</v>
      </c>
      <c r="G696">
        <v>2</v>
      </c>
    </row>
    <row r="697" spans="1:7" x14ac:dyDescent="0.25">
      <c r="A697">
        <v>662983</v>
      </c>
      <c r="B697">
        <v>0</v>
      </c>
      <c r="C697">
        <v>0.4</v>
      </c>
      <c r="D697">
        <v>9795</v>
      </c>
      <c r="F697">
        <v>0</v>
      </c>
      <c r="G697">
        <v>2</v>
      </c>
    </row>
    <row r="698" spans="1:7" x14ac:dyDescent="0.25">
      <c r="A698">
        <v>664800</v>
      </c>
      <c r="B698">
        <v>90</v>
      </c>
      <c r="C698">
        <v>0.25900000000000001</v>
      </c>
      <c r="D698" t="s">
        <v>47</v>
      </c>
      <c r="F698">
        <v>1200</v>
      </c>
      <c r="G698">
        <v>2</v>
      </c>
    </row>
    <row r="699" spans="1:7" x14ac:dyDescent="0.25">
      <c r="A699">
        <v>664810</v>
      </c>
      <c r="B699">
        <v>90</v>
      </c>
      <c r="C699">
        <v>0.45800000000000002</v>
      </c>
      <c r="D699" t="s">
        <v>2</v>
      </c>
      <c r="F699">
        <v>280</v>
      </c>
      <c r="G699">
        <v>2</v>
      </c>
    </row>
    <row r="700" spans="1:7" x14ac:dyDescent="0.25">
      <c r="A700">
        <v>664812</v>
      </c>
      <c r="B700">
        <v>90</v>
      </c>
      <c r="C700">
        <v>0.503</v>
      </c>
      <c r="D700" t="s">
        <v>2</v>
      </c>
      <c r="E700">
        <v>6448</v>
      </c>
      <c r="F700">
        <v>220</v>
      </c>
      <c r="G700">
        <v>2</v>
      </c>
    </row>
    <row r="701" spans="1:7" x14ac:dyDescent="0.25">
      <c r="A701">
        <v>664830</v>
      </c>
      <c r="B701">
        <v>90</v>
      </c>
      <c r="C701">
        <v>0.56999999999999995</v>
      </c>
      <c r="D701" t="s">
        <v>47</v>
      </c>
      <c r="E701">
        <v>2785</v>
      </c>
      <c r="F701">
        <v>180</v>
      </c>
      <c r="G701">
        <v>2</v>
      </c>
    </row>
    <row r="702" spans="1:7" x14ac:dyDescent="0.25">
      <c r="A702">
        <v>664834</v>
      </c>
      <c r="B702">
        <v>60</v>
      </c>
      <c r="C702">
        <v>0.28000000000000003</v>
      </c>
      <c r="D702">
        <v>9902</v>
      </c>
      <c r="F702">
        <v>30</v>
      </c>
      <c r="G702">
        <v>2</v>
      </c>
    </row>
    <row r="703" spans="1:7" x14ac:dyDescent="0.25">
      <c r="A703">
        <v>664836</v>
      </c>
      <c r="B703">
        <v>60</v>
      </c>
      <c r="C703">
        <v>0.45600000000000002</v>
      </c>
      <c r="D703">
        <v>9902</v>
      </c>
      <c r="F703">
        <v>25</v>
      </c>
      <c r="G703">
        <v>2</v>
      </c>
    </row>
    <row r="704" spans="1:7" x14ac:dyDescent="0.25">
      <c r="A704">
        <v>664915</v>
      </c>
      <c r="B704">
        <v>7</v>
      </c>
      <c r="C704">
        <v>0.312</v>
      </c>
      <c r="D704">
        <v>916</v>
      </c>
      <c r="F704">
        <v>0</v>
      </c>
      <c r="G704">
        <v>2</v>
      </c>
    </row>
    <row r="705" spans="1:7" x14ac:dyDescent="0.25">
      <c r="A705">
        <v>664918</v>
      </c>
      <c r="B705">
        <v>60</v>
      </c>
      <c r="C705">
        <v>0.09</v>
      </c>
      <c r="D705">
        <v>916</v>
      </c>
      <c r="F705">
        <v>12</v>
      </c>
      <c r="G705">
        <v>2</v>
      </c>
    </row>
    <row r="706" spans="1:7" x14ac:dyDescent="0.25">
      <c r="A706">
        <v>664919</v>
      </c>
      <c r="B706">
        <v>60</v>
      </c>
      <c r="C706">
        <v>0.05</v>
      </c>
      <c r="D706">
        <v>916</v>
      </c>
      <c r="F706">
        <v>70</v>
      </c>
      <c r="G706">
        <v>2</v>
      </c>
    </row>
    <row r="707" spans="1:7" x14ac:dyDescent="0.25">
      <c r="A707">
        <v>664924</v>
      </c>
      <c r="B707">
        <v>60</v>
      </c>
      <c r="C707">
        <v>0.11</v>
      </c>
      <c r="D707">
        <v>916</v>
      </c>
      <c r="F707">
        <v>30</v>
      </c>
      <c r="G707">
        <v>2</v>
      </c>
    </row>
    <row r="708" spans="1:7" x14ac:dyDescent="0.25">
      <c r="A708">
        <v>664925</v>
      </c>
      <c r="B708">
        <v>60</v>
      </c>
      <c r="C708">
        <v>0.1</v>
      </c>
      <c r="D708">
        <v>916</v>
      </c>
      <c r="F708">
        <v>150</v>
      </c>
      <c r="G708">
        <v>2</v>
      </c>
    </row>
    <row r="709" spans="1:7" x14ac:dyDescent="0.25">
      <c r="A709" t="s">
        <v>56</v>
      </c>
      <c r="B709">
        <v>14</v>
      </c>
      <c r="C709">
        <v>0.9</v>
      </c>
      <c r="D709">
        <v>916</v>
      </c>
      <c r="F709">
        <v>200</v>
      </c>
      <c r="G709">
        <v>2</v>
      </c>
    </row>
    <row r="710" spans="1:7" x14ac:dyDescent="0.25">
      <c r="A710">
        <v>664937</v>
      </c>
      <c r="B710">
        <v>60</v>
      </c>
      <c r="C710">
        <v>0.16</v>
      </c>
      <c r="D710">
        <v>916</v>
      </c>
      <c r="F710">
        <v>40</v>
      </c>
      <c r="G710">
        <v>2</v>
      </c>
    </row>
    <row r="711" spans="1:7" x14ac:dyDescent="0.25">
      <c r="A711">
        <v>664938</v>
      </c>
      <c r="B711">
        <v>60</v>
      </c>
      <c r="C711">
        <v>0.1</v>
      </c>
      <c r="D711">
        <v>916</v>
      </c>
      <c r="F711">
        <v>70</v>
      </c>
      <c r="G711">
        <v>2</v>
      </c>
    </row>
    <row r="712" spans="1:7" x14ac:dyDescent="0.25">
      <c r="A712">
        <v>664945</v>
      </c>
      <c r="B712">
        <v>60</v>
      </c>
      <c r="C712">
        <v>0.2</v>
      </c>
      <c r="D712">
        <v>916</v>
      </c>
      <c r="F712">
        <v>5</v>
      </c>
      <c r="G712">
        <v>2</v>
      </c>
    </row>
    <row r="713" spans="1:7" x14ac:dyDescent="0.25">
      <c r="A713">
        <v>664946</v>
      </c>
      <c r="B713">
        <v>60</v>
      </c>
      <c r="C713">
        <v>0.14000000000000001</v>
      </c>
      <c r="D713">
        <v>916</v>
      </c>
      <c r="F713">
        <v>20</v>
      </c>
      <c r="G713">
        <v>2</v>
      </c>
    </row>
    <row r="714" spans="1:7" x14ac:dyDescent="0.25">
      <c r="A714">
        <v>664947</v>
      </c>
      <c r="B714">
        <v>60</v>
      </c>
      <c r="C714">
        <v>0.2</v>
      </c>
      <c r="D714">
        <v>916</v>
      </c>
      <c r="F714">
        <v>100</v>
      </c>
      <c r="G714">
        <v>2</v>
      </c>
    </row>
    <row r="715" spans="1:7" x14ac:dyDescent="0.25">
      <c r="A715">
        <v>664948</v>
      </c>
      <c r="B715">
        <v>60</v>
      </c>
      <c r="C715">
        <v>0.13100000000000001</v>
      </c>
      <c r="D715">
        <v>916</v>
      </c>
      <c r="F715">
        <v>40</v>
      </c>
      <c r="G715">
        <v>2</v>
      </c>
    </row>
    <row r="716" spans="1:7" x14ac:dyDescent="0.25">
      <c r="A716">
        <v>665012</v>
      </c>
      <c r="B716">
        <v>7</v>
      </c>
      <c r="C716">
        <v>0.36</v>
      </c>
      <c r="D716" t="s">
        <v>57</v>
      </c>
      <c r="F716">
        <v>140</v>
      </c>
      <c r="G716">
        <v>2</v>
      </c>
    </row>
    <row r="717" spans="1:7" x14ac:dyDescent="0.25">
      <c r="A717">
        <v>665016</v>
      </c>
      <c r="B717">
        <v>7</v>
      </c>
      <c r="C717">
        <v>0.63600000000000001</v>
      </c>
      <c r="D717" t="s">
        <v>57</v>
      </c>
      <c r="F717">
        <v>40</v>
      </c>
      <c r="G717">
        <v>2</v>
      </c>
    </row>
    <row r="718" spans="1:7" x14ac:dyDescent="0.25">
      <c r="A718">
        <v>665020</v>
      </c>
      <c r="B718">
        <v>7</v>
      </c>
      <c r="C718">
        <v>0.59599999999999997</v>
      </c>
      <c r="D718" t="s">
        <v>57</v>
      </c>
      <c r="F718">
        <v>50</v>
      </c>
      <c r="G718">
        <v>2</v>
      </c>
    </row>
    <row r="719" spans="1:7" x14ac:dyDescent="0.25">
      <c r="A719">
        <v>665040</v>
      </c>
      <c r="B719">
        <v>7</v>
      </c>
      <c r="C719">
        <v>1.204</v>
      </c>
      <c r="D719" t="s">
        <v>57</v>
      </c>
      <c r="E719">
        <v>3485</v>
      </c>
      <c r="F719">
        <v>20</v>
      </c>
      <c r="G719">
        <v>2</v>
      </c>
    </row>
    <row r="720" spans="1:7" x14ac:dyDescent="0.25">
      <c r="A720">
        <v>665065</v>
      </c>
      <c r="B720">
        <v>7</v>
      </c>
      <c r="C720">
        <v>1.63</v>
      </c>
      <c r="D720" t="s">
        <v>57</v>
      </c>
      <c r="E720">
        <v>3485</v>
      </c>
      <c r="F720">
        <v>10</v>
      </c>
      <c r="G720">
        <v>2</v>
      </c>
    </row>
    <row r="721" spans="1:7" x14ac:dyDescent="0.25">
      <c r="A721">
        <v>665090</v>
      </c>
      <c r="B721">
        <v>7</v>
      </c>
      <c r="C721">
        <v>2.024</v>
      </c>
      <c r="D721" t="s">
        <v>57</v>
      </c>
      <c r="E721">
        <v>3485</v>
      </c>
      <c r="F721">
        <v>15</v>
      </c>
      <c r="G721">
        <v>2</v>
      </c>
    </row>
    <row r="722" spans="1:7" x14ac:dyDescent="0.25">
      <c r="A722">
        <v>665140</v>
      </c>
      <c r="B722">
        <v>7</v>
      </c>
      <c r="C722">
        <v>1.0680000000000001</v>
      </c>
      <c r="D722" t="s">
        <v>57</v>
      </c>
      <c r="F722">
        <v>10</v>
      </c>
      <c r="G722">
        <v>2</v>
      </c>
    </row>
    <row r="723" spans="1:7" x14ac:dyDescent="0.25">
      <c r="A723">
        <v>665165</v>
      </c>
      <c r="B723">
        <v>7</v>
      </c>
      <c r="C723">
        <v>1.78</v>
      </c>
      <c r="D723" t="s">
        <v>57</v>
      </c>
      <c r="F723">
        <v>10</v>
      </c>
      <c r="G723">
        <v>2</v>
      </c>
    </row>
    <row r="724" spans="1:7" x14ac:dyDescent="0.25">
      <c r="A724">
        <v>665190</v>
      </c>
      <c r="B724">
        <v>7</v>
      </c>
      <c r="C724">
        <v>2.3460000000000001</v>
      </c>
      <c r="D724" t="s">
        <v>57</v>
      </c>
      <c r="F724">
        <v>10</v>
      </c>
      <c r="G724">
        <v>2</v>
      </c>
    </row>
    <row r="725" spans="1:7" x14ac:dyDescent="0.25">
      <c r="A725">
        <v>667005</v>
      </c>
      <c r="B725">
        <v>3</v>
      </c>
      <c r="C725">
        <v>0.39200000000000002</v>
      </c>
      <c r="D725">
        <v>9027</v>
      </c>
      <c r="F725">
        <v>10</v>
      </c>
      <c r="G725">
        <v>2</v>
      </c>
    </row>
    <row r="726" spans="1:7" x14ac:dyDescent="0.25">
      <c r="A726">
        <v>667007</v>
      </c>
      <c r="B726">
        <v>3</v>
      </c>
      <c r="C726">
        <v>0.74</v>
      </c>
      <c r="D726">
        <v>9027</v>
      </c>
      <c r="F726">
        <v>20</v>
      </c>
      <c r="G726">
        <v>2</v>
      </c>
    </row>
    <row r="727" spans="1:7" x14ac:dyDescent="0.25">
      <c r="A727">
        <v>667010</v>
      </c>
      <c r="B727">
        <v>3</v>
      </c>
      <c r="C727">
        <v>1.18</v>
      </c>
      <c r="D727">
        <v>9027</v>
      </c>
      <c r="F727">
        <v>15</v>
      </c>
      <c r="G727">
        <v>2</v>
      </c>
    </row>
    <row r="728" spans="1:7" x14ac:dyDescent="0.25">
      <c r="A728">
        <v>667012</v>
      </c>
      <c r="B728">
        <v>3</v>
      </c>
      <c r="C728">
        <v>0.94</v>
      </c>
      <c r="D728">
        <v>9027</v>
      </c>
      <c r="F728">
        <v>15</v>
      </c>
      <c r="G728">
        <v>2</v>
      </c>
    </row>
    <row r="729" spans="1:7" x14ac:dyDescent="0.25">
      <c r="A729">
        <v>667015</v>
      </c>
      <c r="B729">
        <v>3</v>
      </c>
      <c r="C729">
        <v>1.1160000000000001</v>
      </c>
      <c r="D729">
        <v>9027</v>
      </c>
      <c r="F729">
        <v>20</v>
      </c>
      <c r="G729">
        <v>2</v>
      </c>
    </row>
    <row r="730" spans="1:7" x14ac:dyDescent="0.25">
      <c r="A730">
        <v>667115</v>
      </c>
      <c r="B730">
        <v>3</v>
      </c>
      <c r="C730">
        <v>1.22</v>
      </c>
      <c r="D730">
        <v>9027</v>
      </c>
      <c r="F730">
        <v>1</v>
      </c>
      <c r="G730">
        <v>2</v>
      </c>
    </row>
    <row r="731" spans="1:7" x14ac:dyDescent="0.25">
      <c r="A731">
        <v>667125</v>
      </c>
      <c r="B731">
        <v>3</v>
      </c>
      <c r="C731">
        <v>2.2999999999999998</v>
      </c>
      <c r="D731">
        <v>9027</v>
      </c>
      <c r="F731">
        <v>1</v>
      </c>
      <c r="G731">
        <v>2</v>
      </c>
    </row>
    <row r="732" spans="1:7" x14ac:dyDescent="0.25">
      <c r="A732">
        <v>667132</v>
      </c>
      <c r="B732">
        <v>3</v>
      </c>
      <c r="C732">
        <v>2.19</v>
      </c>
      <c r="D732">
        <v>9027</v>
      </c>
      <c r="F732">
        <v>1</v>
      </c>
      <c r="G732">
        <v>2</v>
      </c>
    </row>
    <row r="733" spans="1:7" x14ac:dyDescent="0.25">
      <c r="A733">
        <v>667209</v>
      </c>
      <c r="B733">
        <v>14</v>
      </c>
      <c r="C733">
        <v>0.9</v>
      </c>
      <c r="D733">
        <v>1389</v>
      </c>
      <c r="F733">
        <v>0</v>
      </c>
      <c r="G733">
        <v>2</v>
      </c>
    </row>
    <row r="734" spans="1:7" x14ac:dyDescent="0.25">
      <c r="A734">
        <v>667213</v>
      </c>
      <c r="B734">
        <v>3</v>
      </c>
      <c r="C734">
        <v>1.1439999999999999</v>
      </c>
      <c r="D734">
        <v>9027</v>
      </c>
      <c r="F734">
        <v>1</v>
      </c>
      <c r="G734">
        <v>2</v>
      </c>
    </row>
    <row r="735" spans="1:7" x14ac:dyDescent="0.25">
      <c r="A735">
        <v>667221</v>
      </c>
      <c r="B735">
        <v>14</v>
      </c>
      <c r="C735">
        <v>1.5</v>
      </c>
      <c r="D735">
        <v>1389</v>
      </c>
      <c r="F735">
        <v>0</v>
      </c>
      <c r="G735">
        <v>2</v>
      </c>
    </row>
    <row r="736" spans="1:7" x14ac:dyDescent="0.25">
      <c r="A736">
        <v>667227</v>
      </c>
      <c r="B736">
        <v>3</v>
      </c>
      <c r="C736">
        <v>1.85</v>
      </c>
      <c r="D736">
        <v>9027</v>
      </c>
      <c r="F736">
        <v>1</v>
      </c>
      <c r="G736">
        <v>2</v>
      </c>
    </row>
    <row r="737" spans="1:7" x14ac:dyDescent="0.25">
      <c r="A737">
        <v>667307</v>
      </c>
      <c r="B737">
        <v>3</v>
      </c>
      <c r="C737">
        <v>3.45</v>
      </c>
      <c r="D737">
        <v>9027</v>
      </c>
      <c r="F737">
        <v>1</v>
      </c>
      <c r="G737">
        <v>2</v>
      </c>
    </row>
    <row r="738" spans="1:7" x14ac:dyDescent="0.25">
      <c r="A738">
        <v>667310</v>
      </c>
      <c r="B738">
        <v>3</v>
      </c>
      <c r="C738">
        <v>4</v>
      </c>
      <c r="D738">
        <v>9027</v>
      </c>
      <c r="F738">
        <v>1</v>
      </c>
      <c r="G738">
        <v>2</v>
      </c>
    </row>
    <row r="739" spans="1:7" x14ac:dyDescent="0.25">
      <c r="A739">
        <v>667312</v>
      </c>
      <c r="B739">
        <v>3</v>
      </c>
      <c r="C739">
        <v>4.5599999999999996</v>
      </c>
      <c r="D739">
        <v>9027</v>
      </c>
      <c r="F739">
        <v>1</v>
      </c>
      <c r="G739">
        <v>2</v>
      </c>
    </row>
    <row r="740" spans="1:7" x14ac:dyDescent="0.25">
      <c r="A740">
        <v>680010</v>
      </c>
      <c r="B740">
        <v>3</v>
      </c>
      <c r="C740">
        <v>5.8000000000000003E-2</v>
      </c>
      <c r="D740" t="s">
        <v>2727</v>
      </c>
      <c r="E740">
        <v>3521</v>
      </c>
      <c r="F740">
        <v>120</v>
      </c>
      <c r="G740">
        <v>2</v>
      </c>
    </row>
    <row r="741" spans="1:7" x14ac:dyDescent="0.25">
      <c r="A741">
        <v>680020</v>
      </c>
      <c r="B741">
        <v>90</v>
      </c>
      <c r="C741">
        <v>0.11700000000000001</v>
      </c>
      <c r="D741" t="s">
        <v>2727</v>
      </c>
      <c r="E741">
        <v>17621</v>
      </c>
      <c r="F741">
        <v>520</v>
      </c>
      <c r="G741">
        <v>2</v>
      </c>
    </row>
    <row r="742" spans="1:7" x14ac:dyDescent="0.25">
      <c r="A742">
        <v>682500</v>
      </c>
      <c r="B742">
        <v>90</v>
      </c>
      <c r="C742">
        <v>9.5000000000000001E-2</v>
      </c>
      <c r="D742" t="s">
        <v>2</v>
      </c>
      <c r="E742">
        <v>2789</v>
      </c>
      <c r="F742">
        <v>360</v>
      </c>
      <c r="G742">
        <v>2</v>
      </c>
    </row>
    <row r="743" spans="1:7" x14ac:dyDescent="0.25">
      <c r="A743">
        <v>682510</v>
      </c>
      <c r="B743">
        <v>90</v>
      </c>
      <c r="C743">
        <v>0.217</v>
      </c>
      <c r="D743" t="s">
        <v>2727</v>
      </c>
      <c r="E743">
        <v>17621</v>
      </c>
      <c r="F743">
        <v>40</v>
      </c>
      <c r="G743">
        <v>2</v>
      </c>
    </row>
    <row r="744" spans="1:7" x14ac:dyDescent="0.25">
      <c r="A744">
        <v>682512</v>
      </c>
      <c r="B744">
        <v>90</v>
      </c>
      <c r="C744">
        <v>0.16200000000000001</v>
      </c>
      <c r="D744" t="s">
        <v>2727</v>
      </c>
      <c r="E744">
        <v>17621</v>
      </c>
      <c r="F744">
        <v>90</v>
      </c>
      <c r="G744">
        <v>2</v>
      </c>
    </row>
    <row r="745" spans="1:7" x14ac:dyDescent="0.25">
      <c r="A745">
        <v>683000</v>
      </c>
      <c r="B745">
        <v>90</v>
      </c>
      <c r="C745">
        <v>0.106</v>
      </c>
      <c r="D745" t="s">
        <v>2</v>
      </c>
      <c r="E745">
        <v>2789</v>
      </c>
      <c r="F745">
        <v>1800</v>
      </c>
      <c r="G745">
        <v>2</v>
      </c>
    </row>
    <row r="746" spans="1:7" x14ac:dyDescent="0.25">
      <c r="A746">
        <v>683010</v>
      </c>
      <c r="B746">
        <v>90</v>
      </c>
      <c r="C746">
        <v>0.255</v>
      </c>
      <c r="D746" t="s">
        <v>2727</v>
      </c>
      <c r="E746">
        <v>17621</v>
      </c>
      <c r="F746">
        <v>120</v>
      </c>
      <c r="G746">
        <v>2</v>
      </c>
    </row>
    <row r="747" spans="1:7" x14ac:dyDescent="0.25">
      <c r="A747">
        <v>683012</v>
      </c>
      <c r="B747">
        <v>90</v>
      </c>
      <c r="C747">
        <v>0.192</v>
      </c>
      <c r="D747" t="s">
        <v>2727</v>
      </c>
      <c r="E747">
        <v>17621</v>
      </c>
      <c r="F747">
        <v>120</v>
      </c>
      <c r="G747">
        <v>2</v>
      </c>
    </row>
    <row r="748" spans="1:7" x14ac:dyDescent="0.25">
      <c r="A748">
        <v>683500</v>
      </c>
      <c r="B748">
        <v>90</v>
      </c>
      <c r="C748">
        <v>0.124</v>
      </c>
      <c r="D748" t="s">
        <v>2</v>
      </c>
      <c r="E748">
        <v>2789</v>
      </c>
      <c r="F748">
        <v>1400</v>
      </c>
      <c r="G748">
        <v>2</v>
      </c>
    </row>
    <row r="749" spans="1:7" x14ac:dyDescent="0.25">
      <c r="A749">
        <v>683510</v>
      </c>
      <c r="B749">
        <v>90</v>
      </c>
      <c r="C749">
        <v>0.28699999999999998</v>
      </c>
      <c r="D749" t="s">
        <v>2727</v>
      </c>
      <c r="E749">
        <v>17621</v>
      </c>
      <c r="F749">
        <v>320</v>
      </c>
      <c r="G749">
        <v>2</v>
      </c>
    </row>
    <row r="750" spans="1:7" x14ac:dyDescent="0.25">
      <c r="A750">
        <v>683512</v>
      </c>
      <c r="B750">
        <v>90</v>
      </c>
      <c r="C750">
        <v>0.217</v>
      </c>
      <c r="D750" t="s">
        <v>2727</v>
      </c>
      <c r="E750">
        <v>17621</v>
      </c>
      <c r="F750">
        <v>300</v>
      </c>
      <c r="G750">
        <v>2</v>
      </c>
    </row>
    <row r="751" spans="1:7" x14ac:dyDescent="0.25">
      <c r="A751">
        <v>683540</v>
      </c>
      <c r="B751">
        <v>90</v>
      </c>
      <c r="C751">
        <v>0.13500000000000001</v>
      </c>
      <c r="D751" t="s">
        <v>2</v>
      </c>
      <c r="E751">
        <v>6448</v>
      </c>
      <c r="F751">
        <v>1200</v>
      </c>
      <c r="G751">
        <v>2</v>
      </c>
    </row>
    <row r="752" spans="1:7" x14ac:dyDescent="0.25">
      <c r="A752">
        <v>683542</v>
      </c>
      <c r="B752">
        <v>90</v>
      </c>
      <c r="C752">
        <v>0.24</v>
      </c>
      <c r="D752" t="s">
        <v>2727</v>
      </c>
      <c r="E752">
        <v>17621</v>
      </c>
      <c r="F752">
        <v>240</v>
      </c>
      <c r="G752">
        <v>2</v>
      </c>
    </row>
    <row r="753" spans="1:7" x14ac:dyDescent="0.25">
      <c r="A753">
        <v>683660</v>
      </c>
      <c r="B753">
        <v>3</v>
      </c>
      <c r="C753">
        <v>0.34</v>
      </c>
      <c r="D753">
        <v>9383</v>
      </c>
      <c r="F753">
        <v>0</v>
      </c>
      <c r="G753">
        <v>2</v>
      </c>
    </row>
    <row r="754" spans="1:7" x14ac:dyDescent="0.25">
      <c r="A754">
        <v>684000</v>
      </c>
      <c r="B754">
        <v>90</v>
      </c>
      <c r="C754">
        <v>0.436</v>
      </c>
      <c r="D754" t="s">
        <v>2</v>
      </c>
      <c r="E754">
        <v>2789</v>
      </c>
      <c r="F754">
        <v>900</v>
      </c>
      <c r="G754">
        <v>2</v>
      </c>
    </row>
    <row r="755" spans="1:7" x14ac:dyDescent="0.25">
      <c r="A755">
        <v>684005</v>
      </c>
      <c r="B755">
        <v>90</v>
      </c>
      <c r="C755">
        <v>9.1999999999999998E-2</v>
      </c>
      <c r="D755" t="s">
        <v>2542</v>
      </c>
      <c r="F755">
        <v>600</v>
      </c>
      <c r="G755">
        <v>2</v>
      </c>
    </row>
    <row r="756" spans="1:7" x14ac:dyDescent="0.25">
      <c r="A756">
        <v>684030</v>
      </c>
      <c r="B756">
        <v>7</v>
      </c>
      <c r="C756">
        <v>0.24</v>
      </c>
      <c r="D756">
        <v>9294</v>
      </c>
      <c r="E756">
        <v>14276</v>
      </c>
      <c r="F756">
        <v>0</v>
      </c>
      <c r="G756">
        <v>2</v>
      </c>
    </row>
    <row r="757" spans="1:7" x14ac:dyDescent="0.25">
      <c r="A757">
        <v>685130</v>
      </c>
      <c r="B757">
        <v>90</v>
      </c>
      <c r="C757">
        <v>0.151</v>
      </c>
      <c r="D757" t="s">
        <v>3</v>
      </c>
      <c r="E757">
        <v>2791</v>
      </c>
      <c r="F757">
        <v>900</v>
      </c>
      <c r="G757">
        <v>2</v>
      </c>
    </row>
    <row r="758" spans="1:7" x14ac:dyDescent="0.25">
      <c r="A758">
        <v>685150</v>
      </c>
      <c r="B758">
        <v>90</v>
      </c>
      <c r="C758">
        <v>0.22700000000000001</v>
      </c>
      <c r="D758" t="s">
        <v>3</v>
      </c>
      <c r="E758">
        <v>13021</v>
      </c>
      <c r="F758">
        <v>800</v>
      </c>
      <c r="G758">
        <v>2</v>
      </c>
    </row>
    <row r="759" spans="1:7" x14ac:dyDescent="0.25">
      <c r="A759">
        <v>685180</v>
      </c>
      <c r="B759">
        <v>90</v>
      </c>
      <c r="C759">
        <v>0.375</v>
      </c>
      <c r="D759" t="s">
        <v>3</v>
      </c>
      <c r="E759">
        <v>2791</v>
      </c>
      <c r="F759">
        <v>260</v>
      </c>
      <c r="G759">
        <v>2</v>
      </c>
    </row>
    <row r="760" spans="1:7" x14ac:dyDescent="0.25">
      <c r="A760">
        <v>685603</v>
      </c>
      <c r="B760">
        <v>90</v>
      </c>
      <c r="C760">
        <v>0.14199999999999999</v>
      </c>
      <c r="D760" t="s">
        <v>1695</v>
      </c>
      <c r="E760">
        <v>13022</v>
      </c>
      <c r="F760">
        <v>680</v>
      </c>
      <c r="G760">
        <v>2</v>
      </c>
    </row>
    <row r="761" spans="1:7" x14ac:dyDescent="0.25">
      <c r="A761">
        <v>685605</v>
      </c>
      <c r="B761">
        <v>90</v>
      </c>
      <c r="C761">
        <v>0.23400000000000001</v>
      </c>
      <c r="D761" t="s">
        <v>1695</v>
      </c>
      <c r="E761">
        <v>13022</v>
      </c>
      <c r="F761">
        <v>1200</v>
      </c>
      <c r="G761">
        <v>2</v>
      </c>
    </row>
    <row r="762" spans="1:7" x14ac:dyDescent="0.25">
      <c r="A762">
        <v>685608</v>
      </c>
      <c r="B762">
        <v>90</v>
      </c>
      <c r="C762">
        <v>0.51</v>
      </c>
      <c r="D762" t="s">
        <v>1695</v>
      </c>
      <c r="E762">
        <v>13022</v>
      </c>
      <c r="F762">
        <v>160</v>
      </c>
      <c r="G762">
        <v>2</v>
      </c>
    </row>
    <row r="763" spans="1:7" x14ac:dyDescent="0.25">
      <c r="A763">
        <v>686100</v>
      </c>
      <c r="B763">
        <v>7</v>
      </c>
      <c r="C763">
        <v>0.1</v>
      </c>
      <c r="D763" t="s">
        <v>2727</v>
      </c>
      <c r="E763">
        <v>10182</v>
      </c>
      <c r="F763">
        <v>20</v>
      </c>
      <c r="G763">
        <v>2</v>
      </c>
    </row>
    <row r="764" spans="1:7" x14ac:dyDescent="0.25">
      <c r="A764">
        <v>686200</v>
      </c>
      <c r="B764">
        <v>7</v>
      </c>
      <c r="C764">
        <v>0.375</v>
      </c>
      <c r="D764" t="s">
        <v>2727</v>
      </c>
      <c r="E764">
        <v>10182</v>
      </c>
      <c r="F764">
        <v>20</v>
      </c>
      <c r="G764">
        <v>2</v>
      </c>
    </row>
    <row r="765" spans="1:7" x14ac:dyDescent="0.25">
      <c r="A765">
        <v>686202</v>
      </c>
      <c r="B765">
        <v>90</v>
      </c>
      <c r="C765">
        <v>0.375</v>
      </c>
      <c r="D765" t="s">
        <v>2542</v>
      </c>
      <c r="E765">
        <v>14276</v>
      </c>
      <c r="F765">
        <v>10</v>
      </c>
      <c r="G765">
        <v>2</v>
      </c>
    </row>
    <row r="766" spans="1:7" x14ac:dyDescent="0.25">
      <c r="A766">
        <v>687250</v>
      </c>
      <c r="B766">
        <v>3</v>
      </c>
      <c r="C766">
        <v>0.28599999999999998</v>
      </c>
      <c r="D766" t="s">
        <v>2</v>
      </c>
      <c r="E766">
        <v>10182</v>
      </c>
      <c r="F766">
        <v>60</v>
      </c>
      <c r="G766">
        <v>2</v>
      </c>
    </row>
    <row r="767" spans="1:7" x14ac:dyDescent="0.25">
      <c r="A767">
        <v>687252</v>
      </c>
      <c r="B767">
        <v>90</v>
      </c>
      <c r="C767">
        <v>0.4</v>
      </c>
      <c r="D767" t="s">
        <v>2</v>
      </c>
      <c r="F767">
        <v>20</v>
      </c>
      <c r="G767">
        <v>2</v>
      </c>
    </row>
    <row r="768" spans="1:7" x14ac:dyDescent="0.25">
      <c r="A768">
        <v>688020</v>
      </c>
      <c r="B768">
        <v>0</v>
      </c>
      <c r="C768">
        <v>0.2</v>
      </c>
      <c r="D768">
        <v>9294</v>
      </c>
      <c r="F768">
        <v>0</v>
      </c>
      <c r="G768">
        <v>2</v>
      </c>
    </row>
    <row r="769" spans="1:7" x14ac:dyDescent="0.25">
      <c r="A769">
        <v>688028</v>
      </c>
      <c r="B769">
        <v>90</v>
      </c>
      <c r="C769">
        <v>0.2</v>
      </c>
      <c r="D769" t="s">
        <v>1694</v>
      </c>
      <c r="F769">
        <v>100</v>
      </c>
      <c r="G769">
        <v>2</v>
      </c>
    </row>
    <row r="770" spans="1:7" x14ac:dyDescent="0.25">
      <c r="A770">
        <v>690400</v>
      </c>
      <c r="B770">
        <v>90</v>
      </c>
      <c r="C770">
        <v>0.105</v>
      </c>
      <c r="D770" t="s">
        <v>2727</v>
      </c>
      <c r="F770">
        <v>150</v>
      </c>
      <c r="G770">
        <v>2</v>
      </c>
    </row>
    <row r="771" spans="1:7" x14ac:dyDescent="0.25">
      <c r="A771">
        <v>690600</v>
      </c>
      <c r="B771">
        <v>90</v>
      </c>
      <c r="C771">
        <v>0.12</v>
      </c>
      <c r="D771" t="s">
        <v>2727</v>
      </c>
      <c r="F771">
        <v>250</v>
      </c>
      <c r="G771">
        <v>2</v>
      </c>
    </row>
    <row r="772" spans="1:7" x14ac:dyDescent="0.25">
      <c r="A772">
        <v>690800</v>
      </c>
      <c r="B772">
        <v>90</v>
      </c>
      <c r="C772">
        <v>0.155</v>
      </c>
      <c r="D772" t="s">
        <v>2727</v>
      </c>
      <c r="F772">
        <v>200</v>
      </c>
      <c r="G772">
        <v>2</v>
      </c>
    </row>
    <row r="773" spans="1:7" x14ac:dyDescent="0.25">
      <c r="A773">
        <v>692001</v>
      </c>
      <c r="B773">
        <v>14</v>
      </c>
      <c r="C773">
        <v>0</v>
      </c>
      <c r="D773">
        <v>9906</v>
      </c>
      <c r="F773">
        <v>0</v>
      </c>
      <c r="G773">
        <v>2</v>
      </c>
    </row>
    <row r="774" spans="1:7" x14ac:dyDescent="0.25">
      <c r="A774">
        <v>692002</v>
      </c>
      <c r="B774">
        <v>14</v>
      </c>
      <c r="C774">
        <v>0.23</v>
      </c>
      <c r="D774">
        <v>9906</v>
      </c>
      <c r="F774">
        <v>0</v>
      </c>
      <c r="G774">
        <v>2</v>
      </c>
    </row>
    <row r="775" spans="1:7" x14ac:dyDescent="0.25">
      <c r="A775">
        <v>692003</v>
      </c>
      <c r="B775">
        <v>14</v>
      </c>
      <c r="C775">
        <v>0.24</v>
      </c>
      <c r="D775">
        <v>9906</v>
      </c>
      <c r="F775">
        <v>0</v>
      </c>
      <c r="G775">
        <v>2</v>
      </c>
    </row>
    <row r="776" spans="1:7" x14ac:dyDescent="0.25">
      <c r="A776">
        <v>692004</v>
      </c>
      <c r="B776">
        <v>14</v>
      </c>
      <c r="C776">
        <v>0.25</v>
      </c>
      <c r="D776">
        <v>9906</v>
      </c>
      <c r="F776">
        <v>0</v>
      </c>
      <c r="G776">
        <v>2</v>
      </c>
    </row>
    <row r="777" spans="1:7" x14ac:dyDescent="0.25">
      <c r="A777">
        <v>692005</v>
      </c>
      <c r="B777">
        <v>14</v>
      </c>
      <c r="C777">
        <v>0.26</v>
      </c>
      <c r="D777">
        <v>9906</v>
      </c>
      <c r="F777">
        <v>0</v>
      </c>
      <c r="G777">
        <v>2</v>
      </c>
    </row>
    <row r="778" spans="1:7" x14ac:dyDescent="0.25">
      <c r="A778">
        <v>692006</v>
      </c>
      <c r="B778">
        <v>14</v>
      </c>
      <c r="C778">
        <v>0.27</v>
      </c>
      <c r="D778">
        <v>9906</v>
      </c>
      <c r="F778">
        <v>0</v>
      </c>
      <c r="G778">
        <v>2</v>
      </c>
    </row>
    <row r="779" spans="1:7" x14ac:dyDescent="0.25">
      <c r="A779">
        <v>692007</v>
      </c>
      <c r="B779">
        <v>14</v>
      </c>
      <c r="C779">
        <v>0.63</v>
      </c>
      <c r="D779">
        <v>9906</v>
      </c>
      <c r="F779">
        <v>0</v>
      </c>
      <c r="G779">
        <v>2</v>
      </c>
    </row>
    <row r="780" spans="1:7" x14ac:dyDescent="0.25">
      <c r="A780">
        <v>692008</v>
      </c>
      <c r="B780">
        <v>14</v>
      </c>
      <c r="C780">
        <v>0.76</v>
      </c>
      <c r="D780">
        <v>9906</v>
      </c>
      <c r="F780">
        <v>0</v>
      </c>
      <c r="G780">
        <v>2</v>
      </c>
    </row>
    <row r="781" spans="1:7" x14ac:dyDescent="0.25">
      <c r="A781">
        <v>692009</v>
      </c>
      <c r="B781">
        <v>14</v>
      </c>
      <c r="C781">
        <v>1.06</v>
      </c>
      <c r="D781">
        <v>9906</v>
      </c>
      <c r="F781">
        <v>0</v>
      </c>
      <c r="G781">
        <v>2</v>
      </c>
    </row>
    <row r="782" spans="1:7" x14ac:dyDescent="0.25">
      <c r="A782">
        <v>692011</v>
      </c>
      <c r="B782">
        <v>14</v>
      </c>
      <c r="C782">
        <v>0.2</v>
      </c>
      <c r="D782">
        <v>9906</v>
      </c>
      <c r="F782">
        <v>0</v>
      </c>
      <c r="G782">
        <v>2</v>
      </c>
    </row>
    <row r="783" spans="1:7" x14ac:dyDescent="0.25">
      <c r="A783">
        <v>692012</v>
      </c>
      <c r="B783">
        <v>14</v>
      </c>
      <c r="C783">
        <v>0.23</v>
      </c>
      <c r="D783">
        <v>9906</v>
      </c>
      <c r="F783">
        <v>0</v>
      </c>
      <c r="G783">
        <v>2</v>
      </c>
    </row>
    <row r="784" spans="1:7" x14ac:dyDescent="0.25">
      <c r="A784">
        <v>692013</v>
      </c>
      <c r="B784">
        <v>14</v>
      </c>
      <c r="C784">
        <v>0.28000000000000003</v>
      </c>
      <c r="D784">
        <v>9906</v>
      </c>
      <c r="F784">
        <v>0</v>
      </c>
      <c r="G784">
        <v>2</v>
      </c>
    </row>
    <row r="785" spans="1:7" x14ac:dyDescent="0.25">
      <c r="A785">
        <v>692014</v>
      </c>
      <c r="B785">
        <v>14</v>
      </c>
      <c r="C785">
        <v>0.38</v>
      </c>
      <c r="D785">
        <v>9906</v>
      </c>
      <c r="F785">
        <v>0</v>
      </c>
      <c r="G785">
        <v>2</v>
      </c>
    </row>
    <row r="786" spans="1:7" x14ac:dyDescent="0.25">
      <c r="A786">
        <v>692015</v>
      </c>
      <c r="B786">
        <v>14</v>
      </c>
      <c r="C786">
        <v>0.48</v>
      </c>
      <c r="D786">
        <v>9906</v>
      </c>
      <c r="F786">
        <v>0</v>
      </c>
      <c r="G786">
        <v>2</v>
      </c>
    </row>
    <row r="787" spans="1:7" x14ac:dyDescent="0.25">
      <c r="A787">
        <v>692016</v>
      </c>
      <c r="B787">
        <v>14</v>
      </c>
      <c r="C787">
        <v>0.57999999999999996</v>
      </c>
      <c r="D787">
        <v>9906</v>
      </c>
      <c r="F787">
        <v>0</v>
      </c>
      <c r="G787">
        <v>2</v>
      </c>
    </row>
    <row r="788" spans="1:7" x14ac:dyDescent="0.25">
      <c r="A788">
        <v>692017</v>
      </c>
      <c r="B788">
        <v>14</v>
      </c>
      <c r="C788">
        <v>0.68</v>
      </c>
      <c r="D788">
        <v>9906</v>
      </c>
      <c r="F788">
        <v>0</v>
      </c>
      <c r="G788">
        <v>2</v>
      </c>
    </row>
    <row r="789" spans="1:7" x14ac:dyDescent="0.25">
      <c r="A789">
        <v>692018</v>
      </c>
      <c r="B789">
        <v>14</v>
      </c>
      <c r="C789">
        <v>0.78</v>
      </c>
      <c r="D789">
        <v>9906</v>
      </c>
      <c r="F789">
        <v>0</v>
      </c>
      <c r="G789">
        <v>2</v>
      </c>
    </row>
    <row r="790" spans="1:7" x14ac:dyDescent="0.25">
      <c r="A790">
        <v>692019</v>
      </c>
      <c r="B790">
        <v>14</v>
      </c>
      <c r="C790">
        <v>1.28</v>
      </c>
      <c r="D790">
        <v>9906</v>
      </c>
      <c r="F790">
        <v>0</v>
      </c>
      <c r="G790">
        <v>2</v>
      </c>
    </row>
    <row r="791" spans="1:7" x14ac:dyDescent="0.25">
      <c r="A791">
        <v>692021</v>
      </c>
      <c r="B791">
        <v>10</v>
      </c>
      <c r="C791">
        <v>1.82</v>
      </c>
      <c r="D791">
        <v>9906</v>
      </c>
      <c r="F791">
        <v>0</v>
      </c>
      <c r="G791">
        <v>2</v>
      </c>
    </row>
    <row r="792" spans="1:7" x14ac:dyDescent="0.25">
      <c r="A792">
        <v>692022</v>
      </c>
      <c r="B792">
        <v>10</v>
      </c>
      <c r="C792">
        <v>1.82</v>
      </c>
      <c r="D792">
        <v>9906</v>
      </c>
      <c r="F792">
        <v>0</v>
      </c>
      <c r="G792">
        <v>2</v>
      </c>
    </row>
    <row r="793" spans="1:7" x14ac:dyDescent="0.25">
      <c r="A793">
        <v>692023</v>
      </c>
      <c r="B793">
        <v>0</v>
      </c>
      <c r="C793">
        <v>1.82</v>
      </c>
      <c r="D793">
        <v>9906</v>
      </c>
      <c r="F793">
        <v>0</v>
      </c>
      <c r="G793">
        <v>2</v>
      </c>
    </row>
    <row r="794" spans="1:7" x14ac:dyDescent="0.25">
      <c r="A794">
        <v>692024</v>
      </c>
      <c r="B794">
        <v>0</v>
      </c>
      <c r="C794">
        <v>1.92</v>
      </c>
      <c r="D794">
        <v>9906</v>
      </c>
      <c r="F794">
        <v>0</v>
      </c>
      <c r="G794">
        <v>2</v>
      </c>
    </row>
    <row r="795" spans="1:7" x14ac:dyDescent="0.25">
      <c r="A795">
        <v>692025</v>
      </c>
      <c r="B795">
        <v>0</v>
      </c>
      <c r="C795">
        <v>2.72</v>
      </c>
      <c r="D795">
        <v>9906</v>
      </c>
      <c r="F795">
        <v>0</v>
      </c>
      <c r="G795">
        <v>2</v>
      </c>
    </row>
    <row r="796" spans="1:7" x14ac:dyDescent="0.25">
      <c r="A796">
        <v>692031</v>
      </c>
      <c r="B796">
        <v>14</v>
      </c>
      <c r="C796">
        <v>0.3</v>
      </c>
      <c r="D796">
        <v>9906</v>
      </c>
      <c r="F796">
        <v>0</v>
      </c>
      <c r="G796">
        <v>2</v>
      </c>
    </row>
    <row r="797" spans="1:7" x14ac:dyDescent="0.25">
      <c r="A797">
        <v>692032</v>
      </c>
      <c r="B797">
        <v>14</v>
      </c>
      <c r="C797">
        <v>0.6</v>
      </c>
      <c r="D797">
        <v>9906</v>
      </c>
      <c r="F797">
        <v>0</v>
      </c>
      <c r="G797">
        <v>2</v>
      </c>
    </row>
    <row r="798" spans="1:7" x14ac:dyDescent="0.25">
      <c r="A798">
        <v>692033</v>
      </c>
      <c r="B798">
        <v>10</v>
      </c>
      <c r="C798">
        <v>0.8</v>
      </c>
      <c r="D798">
        <v>9906</v>
      </c>
      <c r="F798">
        <v>0</v>
      </c>
      <c r="G798">
        <v>2</v>
      </c>
    </row>
    <row r="799" spans="1:7" x14ac:dyDescent="0.25">
      <c r="A799">
        <v>692034</v>
      </c>
      <c r="B799">
        <v>10</v>
      </c>
      <c r="C799">
        <v>0.8</v>
      </c>
      <c r="D799">
        <v>9906</v>
      </c>
      <c r="F799">
        <v>0</v>
      </c>
      <c r="G799">
        <v>2</v>
      </c>
    </row>
    <row r="800" spans="1:7" x14ac:dyDescent="0.25">
      <c r="A800">
        <v>692035</v>
      </c>
      <c r="B800">
        <v>10</v>
      </c>
      <c r="C800">
        <v>0.8</v>
      </c>
      <c r="D800">
        <v>9906</v>
      </c>
      <c r="F800">
        <v>0</v>
      </c>
      <c r="G800">
        <v>2</v>
      </c>
    </row>
    <row r="801" spans="1:7" x14ac:dyDescent="0.25">
      <c r="A801">
        <v>692041</v>
      </c>
      <c r="B801">
        <v>0</v>
      </c>
      <c r="C801">
        <v>0.8</v>
      </c>
      <c r="D801">
        <v>9906</v>
      </c>
      <c r="F801">
        <v>0</v>
      </c>
      <c r="G801">
        <v>2</v>
      </c>
    </row>
    <row r="802" spans="1:7" x14ac:dyDescent="0.25">
      <c r="A802">
        <v>692042</v>
      </c>
      <c r="B802">
        <v>14</v>
      </c>
      <c r="C802">
        <v>1.2</v>
      </c>
      <c r="D802">
        <v>9906</v>
      </c>
      <c r="F802">
        <v>0</v>
      </c>
      <c r="G802">
        <v>2</v>
      </c>
    </row>
    <row r="803" spans="1:7" x14ac:dyDescent="0.25">
      <c r="A803">
        <v>692043</v>
      </c>
      <c r="B803">
        <v>14</v>
      </c>
      <c r="C803">
        <v>1.4</v>
      </c>
      <c r="D803">
        <v>9906</v>
      </c>
      <c r="F803">
        <v>0</v>
      </c>
      <c r="G803">
        <v>2</v>
      </c>
    </row>
    <row r="804" spans="1:7" x14ac:dyDescent="0.25">
      <c r="A804">
        <v>692044</v>
      </c>
      <c r="B804">
        <v>14</v>
      </c>
      <c r="C804">
        <v>1.6</v>
      </c>
      <c r="D804">
        <v>9906</v>
      </c>
      <c r="F804">
        <v>0</v>
      </c>
      <c r="G804">
        <v>2</v>
      </c>
    </row>
    <row r="805" spans="1:7" x14ac:dyDescent="0.25">
      <c r="A805">
        <v>692045</v>
      </c>
      <c r="B805">
        <v>14</v>
      </c>
      <c r="C805">
        <v>1.4</v>
      </c>
      <c r="D805">
        <v>9906</v>
      </c>
      <c r="F805">
        <v>0</v>
      </c>
      <c r="G805">
        <v>2</v>
      </c>
    </row>
    <row r="806" spans="1:7" x14ac:dyDescent="0.25">
      <c r="A806">
        <v>692054</v>
      </c>
      <c r="B806">
        <v>14</v>
      </c>
      <c r="C806">
        <v>1.26</v>
      </c>
      <c r="D806">
        <v>9906</v>
      </c>
      <c r="F806">
        <v>0</v>
      </c>
      <c r="G806">
        <v>2</v>
      </c>
    </row>
    <row r="807" spans="1:7" x14ac:dyDescent="0.25">
      <c r="A807">
        <v>692056</v>
      </c>
      <c r="B807">
        <v>14</v>
      </c>
      <c r="C807">
        <v>1.6</v>
      </c>
      <c r="D807">
        <v>9906</v>
      </c>
      <c r="F807">
        <v>0</v>
      </c>
      <c r="G807">
        <v>2</v>
      </c>
    </row>
    <row r="808" spans="1:7" x14ac:dyDescent="0.25">
      <c r="A808">
        <v>692057</v>
      </c>
      <c r="B808">
        <v>14</v>
      </c>
      <c r="C808">
        <v>1.2</v>
      </c>
      <c r="D808">
        <v>9906</v>
      </c>
      <c r="F808">
        <v>0</v>
      </c>
      <c r="G808">
        <v>2</v>
      </c>
    </row>
    <row r="809" spans="1:7" x14ac:dyDescent="0.25">
      <c r="A809">
        <v>692061</v>
      </c>
      <c r="B809">
        <v>14</v>
      </c>
      <c r="C809">
        <v>1.2</v>
      </c>
      <c r="D809">
        <v>9906</v>
      </c>
      <c r="F809">
        <v>0</v>
      </c>
      <c r="G809">
        <v>2</v>
      </c>
    </row>
    <row r="810" spans="1:7" x14ac:dyDescent="0.25">
      <c r="A810">
        <v>692062</v>
      </c>
      <c r="B810">
        <v>14</v>
      </c>
      <c r="C810">
        <v>1.2</v>
      </c>
      <c r="D810">
        <v>9906</v>
      </c>
      <c r="F810">
        <v>0</v>
      </c>
      <c r="G810">
        <v>2</v>
      </c>
    </row>
    <row r="811" spans="1:7" x14ac:dyDescent="0.25">
      <c r="A811">
        <v>692063</v>
      </c>
      <c r="B811">
        <v>14</v>
      </c>
      <c r="C811">
        <v>1.2</v>
      </c>
      <c r="D811">
        <v>9906</v>
      </c>
      <c r="F811">
        <v>0</v>
      </c>
      <c r="G811">
        <v>2</v>
      </c>
    </row>
    <row r="812" spans="1:7" x14ac:dyDescent="0.25">
      <c r="A812">
        <v>692071</v>
      </c>
      <c r="B812">
        <v>14</v>
      </c>
      <c r="C812">
        <v>0.8</v>
      </c>
      <c r="D812">
        <v>9906</v>
      </c>
      <c r="F812">
        <v>0</v>
      </c>
      <c r="G812">
        <v>2</v>
      </c>
    </row>
    <row r="813" spans="1:7" x14ac:dyDescent="0.25">
      <c r="A813">
        <v>692072</v>
      </c>
      <c r="B813">
        <v>14</v>
      </c>
      <c r="C813">
        <v>1.2</v>
      </c>
      <c r="D813">
        <v>9906</v>
      </c>
      <c r="F813">
        <v>0</v>
      </c>
      <c r="G813">
        <v>2</v>
      </c>
    </row>
    <row r="814" spans="1:7" x14ac:dyDescent="0.25">
      <c r="A814">
        <v>692073</v>
      </c>
      <c r="B814">
        <v>14</v>
      </c>
      <c r="C814">
        <v>1.4</v>
      </c>
      <c r="D814">
        <v>9906</v>
      </c>
      <c r="F814">
        <v>0</v>
      </c>
      <c r="G814">
        <v>2</v>
      </c>
    </row>
    <row r="815" spans="1:7" x14ac:dyDescent="0.25">
      <c r="A815">
        <v>693504</v>
      </c>
      <c r="B815">
        <v>14</v>
      </c>
      <c r="C815">
        <v>1.4</v>
      </c>
      <c r="D815">
        <v>9906</v>
      </c>
      <c r="F815">
        <v>0</v>
      </c>
      <c r="G815">
        <v>2</v>
      </c>
    </row>
    <row r="816" spans="1:7" x14ac:dyDescent="0.25">
      <c r="A816">
        <v>693506</v>
      </c>
      <c r="B816">
        <v>14</v>
      </c>
      <c r="C816">
        <v>1.4</v>
      </c>
      <c r="D816">
        <v>9906</v>
      </c>
      <c r="F816">
        <v>0</v>
      </c>
      <c r="G816">
        <v>2</v>
      </c>
    </row>
    <row r="817" spans="1:7" x14ac:dyDescent="0.25">
      <c r="A817">
        <v>693508</v>
      </c>
      <c r="B817">
        <v>14</v>
      </c>
      <c r="C817">
        <v>1.4</v>
      </c>
      <c r="D817">
        <v>9906</v>
      </c>
      <c r="F817">
        <v>0</v>
      </c>
      <c r="G817">
        <v>2</v>
      </c>
    </row>
    <row r="818" spans="1:7" x14ac:dyDescent="0.25">
      <c r="A818">
        <v>693510</v>
      </c>
      <c r="B818">
        <v>14</v>
      </c>
      <c r="C818">
        <v>1.4</v>
      </c>
      <c r="D818">
        <v>9906</v>
      </c>
      <c r="F818">
        <v>0</v>
      </c>
      <c r="G818">
        <v>2</v>
      </c>
    </row>
    <row r="819" spans="1:7" x14ac:dyDescent="0.25">
      <c r="A819">
        <v>693512</v>
      </c>
      <c r="B819">
        <v>14</v>
      </c>
      <c r="C819">
        <v>1.4</v>
      </c>
      <c r="D819">
        <v>9906</v>
      </c>
      <c r="F819">
        <v>0</v>
      </c>
      <c r="G819">
        <v>2</v>
      </c>
    </row>
    <row r="820" spans="1:7" x14ac:dyDescent="0.25">
      <c r="A820">
        <v>693515</v>
      </c>
      <c r="B820">
        <v>14</v>
      </c>
      <c r="C820">
        <v>1.4</v>
      </c>
      <c r="D820">
        <v>9906</v>
      </c>
      <c r="F820">
        <v>0</v>
      </c>
      <c r="G820">
        <v>2</v>
      </c>
    </row>
    <row r="821" spans="1:7" x14ac:dyDescent="0.25">
      <c r="A821">
        <v>700024</v>
      </c>
      <c r="B821">
        <v>90</v>
      </c>
      <c r="C821">
        <v>3.4000000000000002E-2</v>
      </c>
      <c r="D821" t="s">
        <v>47</v>
      </c>
      <c r="F821">
        <v>3800</v>
      </c>
      <c r="G821">
        <v>2</v>
      </c>
    </row>
    <row r="822" spans="1:7" x14ac:dyDescent="0.25">
      <c r="A822">
        <v>700025</v>
      </c>
      <c r="B822">
        <v>90</v>
      </c>
      <c r="C822">
        <v>3.4000000000000002E-2</v>
      </c>
      <c r="D822" t="s">
        <v>1694</v>
      </c>
      <c r="F822">
        <v>200</v>
      </c>
      <c r="G822">
        <v>2</v>
      </c>
    </row>
    <row r="823" spans="1:7" x14ac:dyDescent="0.25">
      <c r="A823">
        <v>700041</v>
      </c>
      <c r="B823">
        <v>90</v>
      </c>
      <c r="C823">
        <v>2.9000000000000001E-2</v>
      </c>
      <c r="D823" t="s">
        <v>47</v>
      </c>
      <c r="E823">
        <v>14276</v>
      </c>
      <c r="F823">
        <v>800</v>
      </c>
      <c r="G823">
        <v>2</v>
      </c>
    </row>
    <row r="824" spans="1:7" x14ac:dyDescent="0.25">
      <c r="A824">
        <v>700042</v>
      </c>
      <c r="B824">
        <v>90</v>
      </c>
      <c r="C824">
        <v>0.03</v>
      </c>
      <c r="D824" t="s">
        <v>47</v>
      </c>
      <c r="E824">
        <v>14276</v>
      </c>
      <c r="F824">
        <v>600</v>
      </c>
      <c r="G824">
        <v>2</v>
      </c>
    </row>
    <row r="825" spans="1:7" x14ac:dyDescent="0.25">
      <c r="A825">
        <v>700080</v>
      </c>
      <c r="B825">
        <v>90</v>
      </c>
      <c r="C825">
        <v>0.10199999999999999</v>
      </c>
      <c r="D825" t="s">
        <v>47</v>
      </c>
      <c r="E825">
        <v>14276</v>
      </c>
      <c r="F825">
        <v>750</v>
      </c>
      <c r="G825">
        <v>2</v>
      </c>
    </row>
    <row r="826" spans="1:7" x14ac:dyDescent="0.25">
      <c r="A826">
        <v>700090</v>
      </c>
      <c r="B826">
        <v>90</v>
      </c>
      <c r="C826">
        <v>0.10100000000000001</v>
      </c>
      <c r="D826" t="s">
        <v>2727</v>
      </c>
      <c r="E826">
        <v>17621</v>
      </c>
      <c r="F826">
        <v>340</v>
      </c>
      <c r="G826">
        <v>2</v>
      </c>
    </row>
    <row r="827" spans="1:7" x14ac:dyDescent="0.25">
      <c r="A827">
        <v>700100</v>
      </c>
      <c r="B827">
        <v>90</v>
      </c>
      <c r="C827">
        <v>0.186</v>
      </c>
      <c r="D827" t="s">
        <v>47</v>
      </c>
      <c r="F827">
        <v>220</v>
      </c>
      <c r="G827">
        <v>2</v>
      </c>
    </row>
    <row r="828" spans="1:7" x14ac:dyDescent="0.25">
      <c r="A828">
        <v>700160</v>
      </c>
      <c r="B828">
        <v>90</v>
      </c>
      <c r="C828">
        <v>0.18099999999999999</v>
      </c>
      <c r="D828" t="s">
        <v>47</v>
      </c>
      <c r="E828">
        <v>14276</v>
      </c>
      <c r="F828">
        <v>510</v>
      </c>
      <c r="G828">
        <v>2</v>
      </c>
    </row>
    <row r="829" spans="1:7" x14ac:dyDescent="0.25">
      <c r="A829">
        <v>700280</v>
      </c>
      <c r="B829">
        <v>90</v>
      </c>
      <c r="C829">
        <v>0.13900000000000001</v>
      </c>
      <c r="D829" t="s">
        <v>2727</v>
      </c>
      <c r="E829">
        <v>17621</v>
      </c>
      <c r="F829">
        <v>500</v>
      </c>
      <c r="G829">
        <v>2</v>
      </c>
    </row>
    <row r="830" spans="1:7" x14ac:dyDescent="0.25">
      <c r="A830">
        <v>700282</v>
      </c>
      <c r="B830">
        <v>90</v>
      </c>
      <c r="C830">
        <v>5.0999999999999997E-2</v>
      </c>
      <c r="D830" t="s">
        <v>2</v>
      </c>
      <c r="E830">
        <v>258</v>
      </c>
      <c r="F830">
        <v>2000</v>
      </c>
      <c r="G830">
        <v>2</v>
      </c>
    </row>
    <row r="831" spans="1:7" x14ac:dyDescent="0.25">
      <c r="A831">
        <v>700285</v>
      </c>
      <c r="B831">
        <v>90</v>
      </c>
      <c r="C831">
        <v>0.32300000000000001</v>
      </c>
      <c r="D831" t="s">
        <v>2</v>
      </c>
      <c r="E831">
        <v>2785</v>
      </c>
      <c r="F831">
        <v>500</v>
      </c>
      <c r="G831">
        <v>2</v>
      </c>
    </row>
    <row r="832" spans="1:7" x14ac:dyDescent="0.25">
      <c r="A832">
        <v>700286</v>
      </c>
      <c r="B832">
        <v>90</v>
      </c>
      <c r="C832">
        <v>3.7999999999999999E-2</v>
      </c>
      <c r="D832" t="s">
        <v>2727</v>
      </c>
      <c r="E832">
        <v>17621</v>
      </c>
      <c r="F832">
        <v>200</v>
      </c>
      <c r="G832">
        <v>2</v>
      </c>
    </row>
    <row r="833" spans="1:7" x14ac:dyDescent="0.25">
      <c r="A833">
        <v>700293</v>
      </c>
      <c r="B833">
        <v>90</v>
      </c>
      <c r="C833">
        <v>0.11899999999999999</v>
      </c>
      <c r="D833" t="s">
        <v>2542</v>
      </c>
      <c r="F833">
        <v>200</v>
      </c>
      <c r="G833">
        <v>2</v>
      </c>
    </row>
    <row r="834" spans="1:7" x14ac:dyDescent="0.25">
      <c r="A834">
        <v>700294</v>
      </c>
      <c r="B834">
        <v>90</v>
      </c>
      <c r="C834">
        <v>0.14599999999999999</v>
      </c>
      <c r="D834" t="s">
        <v>1694</v>
      </c>
      <c r="F834">
        <v>100</v>
      </c>
      <c r="G834">
        <v>2</v>
      </c>
    </row>
    <row r="835" spans="1:7" x14ac:dyDescent="0.25">
      <c r="A835">
        <v>700296</v>
      </c>
      <c r="B835">
        <v>90</v>
      </c>
      <c r="C835">
        <v>0.28000000000000003</v>
      </c>
      <c r="D835" t="s">
        <v>47</v>
      </c>
      <c r="F835">
        <v>700</v>
      </c>
      <c r="G835">
        <v>2</v>
      </c>
    </row>
    <row r="836" spans="1:7" x14ac:dyDescent="0.25">
      <c r="A836">
        <v>700297</v>
      </c>
      <c r="B836">
        <v>90</v>
      </c>
      <c r="C836">
        <v>8.1000000000000003E-2</v>
      </c>
      <c r="D836" t="s">
        <v>2542</v>
      </c>
      <c r="F836">
        <v>500</v>
      </c>
      <c r="G836">
        <v>2</v>
      </c>
    </row>
    <row r="837" spans="1:7" x14ac:dyDescent="0.25">
      <c r="A837">
        <v>700298</v>
      </c>
      <c r="B837">
        <v>90</v>
      </c>
      <c r="C837">
        <v>0.06</v>
      </c>
      <c r="D837" t="s">
        <v>2542</v>
      </c>
      <c r="F837">
        <v>500</v>
      </c>
      <c r="G837">
        <v>2</v>
      </c>
    </row>
    <row r="838" spans="1:7" x14ac:dyDescent="0.25">
      <c r="A838">
        <v>700332</v>
      </c>
      <c r="B838">
        <v>90</v>
      </c>
      <c r="C838">
        <v>0.31900000000000001</v>
      </c>
      <c r="D838" t="s">
        <v>2</v>
      </c>
      <c r="F838">
        <v>480</v>
      </c>
      <c r="G838">
        <v>2</v>
      </c>
    </row>
    <row r="839" spans="1:7" x14ac:dyDescent="0.25">
      <c r="A839">
        <v>700333</v>
      </c>
      <c r="B839">
        <v>90</v>
      </c>
      <c r="C839">
        <v>0.22600000000000001</v>
      </c>
      <c r="D839" t="s">
        <v>2</v>
      </c>
      <c r="E839">
        <v>258</v>
      </c>
      <c r="F839">
        <v>270</v>
      </c>
      <c r="G839">
        <v>2</v>
      </c>
    </row>
    <row r="840" spans="1:7" x14ac:dyDescent="0.25">
      <c r="A840">
        <v>700336</v>
      </c>
      <c r="B840">
        <v>90</v>
      </c>
      <c r="C840">
        <v>0.254</v>
      </c>
      <c r="D840" t="s">
        <v>2</v>
      </c>
      <c r="F840">
        <v>300</v>
      </c>
      <c r="G840">
        <v>2</v>
      </c>
    </row>
    <row r="841" spans="1:7" x14ac:dyDescent="0.25">
      <c r="A841">
        <v>700337</v>
      </c>
      <c r="B841">
        <v>90</v>
      </c>
      <c r="C841">
        <v>0.53</v>
      </c>
      <c r="D841" t="s">
        <v>47</v>
      </c>
      <c r="F841">
        <v>120</v>
      </c>
      <c r="G841">
        <v>2</v>
      </c>
    </row>
    <row r="842" spans="1:7" x14ac:dyDescent="0.25">
      <c r="A842">
        <v>700339</v>
      </c>
      <c r="B842">
        <v>90</v>
      </c>
      <c r="C842">
        <v>0.27</v>
      </c>
      <c r="D842" t="s">
        <v>2</v>
      </c>
      <c r="F842">
        <v>200</v>
      </c>
      <c r="G842">
        <v>2</v>
      </c>
    </row>
    <row r="843" spans="1:7" x14ac:dyDescent="0.25">
      <c r="A843">
        <v>700400</v>
      </c>
      <c r="B843">
        <v>90</v>
      </c>
      <c r="C843">
        <v>1.5840000000000001</v>
      </c>
      <c r="D843" t="s">
        <v>2</v>
      </c>
      <c r="E843">
        <v>6448</v>
      </c>
      <c r="F843">
        <v>130</v>
      </c>
      <c r="G843">
        <v>2</v>
      </c>
    </row>
    <row r="844" spans="1:7" x14ac:dyDescent="0.25">
      <c r="A844">
        <v>701173</v>
      </c>
      <c r="B844">
        <v>90</v>
      </c>
      <c r="C844">
        <v>0.441</v>
      </c>
      <c r="D844" t="s">
        <v>2542</v>
      </c>
      <c r="E844">
        <v>2785</v>
      </c>
      <c r="F844">
        <v>100</v>
      </c>
      <c r="G844">
        <v>2</v>
      </c>
    </row>
    <row r="845" spans="1:7" x14ac:dyDescent="0.25">
      <c r="A845">
        <v>701174</v>
      </c>
      <c r="B845">
        <v>90</v>
      </c>
      <c r="C845">
        <v>0.33300000000000002</v>
      </c>
      <c r="D845" t="s">
        <v>2542</v>
      </c>
      <c r="E845">
        <v>2785</v>
      </c>
      <c r="F845">
        <v>100</v>
      </c>
      <c r="G845">
        <v>2</v>
      </c>
    </row>
    <row r="846" spans="1:7" x14ac:dyDescent="0.25">
      <c r="A846">
        <v>701210</v>
      </c>
      <c r="B846">
        <v>90</v>
      </c>
      <c r="C846">
        <v>0.31</v>
      </c>
      <c r="D846" t="s">
        <v>2542</v>
      </c>
      <c r="E846">
        <v>2789</v>
      </c>
      <c r="F846">
        <v>500</v>
      </c>
      <c r="G846">
        <v>2</v>
      </c>
    </row>
    <row r="847" spans="1:7" x14ac:dyDescent="0.25">
      <c r="A847">
        <v>701220</v>
      </c>
      <c r="B847">
        <v>90</v>
      </c>
      <c r="C847">
        <v>0.3</v>
      </c>
      <c r="D847" t="s">
        <v>2</v>
      </c>
      <c r="F847">
        <v>800</v>
      </c>
      <c r="G847">
        <v>2</v>
      </c>
    </row>
    <row r="848" spans="1:7" x14ac:dyDescent="0.25">
      <c r="A848">
        <v>701228</v>
      </c>
      <c r="B848">
        <v>90</v>
      </c>
      <c r="C848">
        <v>0.46</v>
      </c>
      <c r="D848" t="s">
        <v>2542</v>
      </c>
      <c r="E848">
        <v>2789</v>
      </c>
      <c r="F848">
        <v>50</v>
      </c>
      <c r="G848">
        <v>2</v>
      </c>
    </row>
    <row r="849" spans="1:7" x14ac:dyDescent="0.25">
      <c r="A849">
        <v>701237</v>
      </c>
      <c r="B849">
        <v>90</v>
      </c>
      <c r="C849">
        <v>0.48</v>
      </c>
      <c r="D849" t="s">
        <v>2542</v>
      </c>
      <c r="E849">
        <v>2789</v>
      </c>
      <c r="F849">
        <v>60</v>
      </c>
      <c r="G849">
        <v>2</v>
      </c>
    </row>
    <row r="850" spans="1:7" x14ac:dyDescent="0.25">
      <c r="A850">
        <v>712015</v>
      </c>
      <c r="B850">
        <v>90</v>
      </c>
      <c r="C850">
        <v>0.29199999999999998</v>
      </c>
      <c r="D850" t="s">
        <v>2542</v>
      </c>
      <c r="E850">
        <v>2789</v>
      </c>
      <c r="F850">
        <v>200</v>
      </c>
      <c r="G850">
        <v>2</v>
      </c>
    </row>
    <row r="851" spans="1:7" x14ac:dyDescent="0.25">
      <c r="A851">
        <v>712041</v>
      </c>
      <c r="B851">
        <v>90</v>
      </c>
      <c r="C851">
        <v>0.59</v>
      </c>
      <c r="D851" t="s">
        <v>2542</v>
      </c>
      <c r="F851">
        <v>450</v>
      </c>
      <c r="G851">
        <v>2</v>
      </c>
    </row>
    <row r="852" spans="1:7" x14ac:dyDescent="0.25">
      <c r="A852">
        <v>712042</v>
      </c>
      <c r="B852">
        <v>90</v>
      </c>
      <c r="C852">
        <v>0.378</v>
      </c>
      <c r="D852" t="s">
        <v>2542</v>
      </c>
      <c r="F852">
        <v>330</v>
      </c>
      <c r="G852">
        <v>2</v>
      </c>
    </row>
    <row r="853" spans="1:7" x14ac:dyDescent="0.25">
      <c r="A853">
        <v>712250</v>
      </c>
      <c r="B853">
        <v>90</v>
      </c>
      <c r="C853">
        <v>0.20399999999999999</v>
      </c>
      <c r="D853" t="s">
        <v>2727</v>
      </c>
      <c r="E853">
        <v>19530</v>
      </c>
      <c r="F853">
        <v>440</v>
      </c>
      <c r="G853">
        <v>2</v>
      </c>
    </row>
    <row r="854" spans="1:7" x14ac:dyDescent="0.25">
      <c r="A854">
        <v>712360</v>
      </c>
      <c r="B854">
        <v>90</v>
      </c>
      <c r="C854">
        <v>0.23</v>
      </c>
      <c r="D854" t="s">
        <v>2542</v>
      </c>
      <c r="F854">
        <v>25</v>
      </c>
      <c r="G854">
        <v>2</v>
      </c>
    </row>
    <row r="855" spans="1:7" x14ac:dyDescent="0.25">
      <c r="A855">
        <v>712370</v>
      </c>
      <c r="B855">
        <v>90</v>
      </c>
      <c r="C855">
        <v>0.85799999999999998</v>
      </c>
      <c r="D855" t="s">
        <v>2</v>
      </c>
      <c r="E855">
        <v>6448</v>
      </c>
      <c r="F855">
        <v>300</v>
      </c>
      <c r="G855">
        <v>2</v>
      </c>
    </row>
    <row r="856" spans="1:7" x14ac:dyDescent="0.25">
      <c r="A856">
        <v>712376</v>
      </c>
      <c r="B856">
        <v>90</v>
      </c>
      <c r="C856">
        <v>0.94099999999999995</v>
      </c>
      <c r="D856" t="s">
        <v>47</v>
      </c>
      <c r="F856">
        <v>200</v>
      </c>
      <c r="G856">
        <v>2</v>
      </c>
    </row>
    <row r="857" spans="1:7" x14ac:dyDescent="0.25">
      <c r="A857">
        <v>712377</v>
      </c>
      <c r="B857">
        <v>90</v>
      </c>
      <c r="C857">
        <v>0.6</v>
      </c>
      <c r="D857" t="s">
        <v>2727</v>
      </c>
      <c r="E857">
        <v>19530</v>
      </c>
      <c r="F857">
        <v>240</v>
      </c>
      <c r="G857">
        <v>2</v>
      </c>
    </row>
    <row r="858" spans="1:7" x14ac:dyDescent="0.25">
      <c r="A858">
        <v>712560</v>
      </c>
      <c r="B858">
        <v>90</v>
      </c>
      <c r="C858">
        <v>0.27900000000000003</v>
      </c>
      <c r="D858" t="s">
        <v>2727</v>
      </c>
      <c r="E858">
        <v>13021</v>
      </c>
      <c r="F858">
        <v>1100</v>
      </c>
      <c r="G858">
        <v>2</v>
      </c>
    </row>
    <row r="859" spans="1:7" x14ac:dyDescent="0.25">
      <c r="A859">
        <v>713235</v>
      </c>
      <c r="B859">
        <v>90</v>
      </c>
      <c r="C859">
        <v>0.04</v>
      </c>
      <c r="D859" t="s">
        <v>2</v>
      </c>
      <c r="F859">
        <v>2500</v>
      </c>
      <c r="G859">
        <v>2</v>
      </c>
    </row>
    <row r="860" spans="1:7" x14ac:dyDescent="0.25">
      <c r="A860">
        <v>713241</v>
      </c>
      <c r="B860">
        <v>84</v>
      </c>
      <c r="C860">
        <v>3.1E-2</v>
      </c>
      <c r="D860" t="s">
        <v>2</v>
      </c>
      <c r="F860">
        <v>400</v>
      </c>
      <c r="G860">
        <v>2</v>
      </c>
    </row>
    <row r="861" spans="1:7" x14ac:dyDescent="0.25">
      <c r="A861">
        <v>713245</v>
      </c>
      <c r="B861">
        <v>90</v>
      </c>
      <c r="C861">
        <v>4.3999999999999997E-2</v>
      </c>
      <c r="D861" t="s">
        <v>2</v>
      </c>
      <c r="E861">
        <v>6448</v>
      </c>
      <c r="F861">
        <v>380</v>
      </c>
      <c r="G861">
        <v>2</v>
      </c>
    </row>
    <row r="862" spans="1:7" x14ac:dyDescent="0.25">
      <c r="A862">
        <v>713650</v>
      </c>
      <c r="B862">
        <v>90</v>
      </c>
      <c r="C862">
        <v>0.376</v>
      </c>
      <c r="D862" t="s">
        <v>2727</v>
      </c>
      <c r="E862">
        <v>13021</v>
      </c>
      <c r="F862">
        <v>1000</v>
      </c>
      <c r="G862">
        <v>2</v>
      </c>
    </row>
    <row r="863" spans="1:7" x14ac:dyDescent="0.25">
      <c r="A863">
        <v>713661</v>
      </c>
      <c r="B863">
        <v>90</v>
      </c>
      <c r="C863">
        <v>0.433</v>
      </c>
      <c r="D863" t="s">
        <v>2727</v>
      </c>
      <c r="E863">
        <v>13021</v>
      </c>
      <c r="F863">
        <v>360</v>
      </c>
      <c r="G863">
        <v>2</v>
      </c>
    </row>
    <row r="864" spans="1:7" x14ac:dyDescent="0.25">
      <c r="A864">
        <v>713670</v>
      </c>
      <c r="B864">
        <v>90</v>
      </c>
      <c r="C864">
        <v>6.6000000000000003E-2</v>
      </c>
      <c r="D864" t="s">
        <v>2</v>
      </c>
      <c r="E864">
        <v>258</v>
      </c>
      <c r="F864">
        <v>470</v>
      </c>
      <c r="G864">
        <v>2</v>
      </c>
    </row>
    <row r="865" spans="1:7" x14ac:dyDescent="0.25">
      <c r="A865">
        <v>713672</v>
      </c>
      <c r="B865">
        <v>90</v>
      </c>
      <c r="C865">
        <v>9.5000000000000001E-2</v>
      </c>
      <c r="D865" t="s">
        <v>2</v>
      </c>
      <c r="E865">
        <v>258</v>
      </c>
      <c r="F865">
        <v>700</v>
      </c>
      <c r="G865">
        <v>2</v>
      </c>
    </row>
    <row r="866" spans="1:7" x14ac:dyDescent="0.25">
      <c r="A866">
        <v>713673</v>
      </c>
      <c r="B866">
        <v>90</v>
      </c>
      <c r="C866">
        <v>0.16700000000000001</v>
      </c>
      <c r="D866" t="s">
        <v>2</v>
      </c>
      <c r="E866">
        <v>258</v>
      </c>
      <c r="F866">
        <v>200</v>
      </c>
      <c r="G866">
        <v>2</v>
      </c>
    </row>
    <row r="867" spans="1:7" x14ac:dyDescent="0.25">
      <c r="A867">
        <v>713675</v>
      </c>
      <c r="B867">
        <v>90</v>
      </c>
      <c r="C867">
        <v>0.05</v>
      </c>
      <c r="D867" t="s">
        <v>2</v>
      </c>
      <c r="E867">
        <v>258</v>
      </c>
      <c r="F867">
        <v>500</v>
      </c>
      <c r="G867">
        <v>2</v>
      </c>
    </row>
    <row r="868" spans="1:7" x14ac:dyDescent="0.25">
      <c r="A868">
        <v>713677</v>
      </c>
      <c r="B868">
        <v>90</v>
      </c>
      <c r="C868">
        <v>9.7000000000000003E-2</v>
      </c>
      <c r="D868" t="s">
        <v>2</v>
      </c>
      <c r="E868">
        <v>258</v>
      </c>
      <c r="F868">
        <v>850</v>
      </c>
      <c r="G868">
        <v>2</v>
      </c>
    </row>
    <row r="869" spans="1:7" x14ac:dyDescent="0.25">
      <c r="A869">
        <v>713678</v>
      </c>
      <c r="B869">
        <v>98</v>
      </c>
      <c r="C869">
        <v>0.108</v>
      </c>
      <c r="D869" t="s">
        <v>2</v>
      </c>
      <c r="F869">
        <v>400</v>
      </c>
      <c r="G869">
        <v>2</v>
      </c>
    </row>
    <row r="870" spans="1:7" x14ac:dyDescent="0.25">
      <c r="A870">
        <v>714070</v>
      </c>
      <c r="B870">
        <v>90</v>
      </c>
      <c r="C870">
        <v>0.18099999999999999</v>
      </c>
      <c r="D870" t="s">
        <v>47</v>
      </c>
      <c r="E870">
        <v>14276</v>
      </c>
      <c r="F870">
        <v>800</v>
      </c>
      <c r="G870">
        <v>2</v>
      </c>
    </row>
    <row r="871" spans="1:7" x14ac:dyDescent="0.25">
      <c r="A871">
        <v>714110</v>
      </c>
      <c r="B871">
        <v>90</v>
      </c>
      <c r="C871">
        <v>0.153</v>
      </c>
      <c r="D871" t="s">
        <v>47</v>
      </c>
      <c r="E871">
        <v>14276</v>
      </c>
      <c r="F871">
        <v>680</v>
      </c>
      <c r="G871">
        <v>2</v>
      </c>
    </row>
    <row r="872" spans="1:7" x14ac:dyDescent="0.25">
      <c r="A872">
        <v>714250</v>
      </c>
      <c r="B872">
        <v>90</v>
      </c>
      <c r="C872">
        <v>0.52500000000000002</v>
      </c>
      <c r="D872" t="s">
        <v>47</v>
      </c>
      <c r="E872">
        <v>2791</v>
      </c>
      <c r="F872">
        <v>100</v>
      </c>
      <c r="G872">
        <v>2</v>
      </c>
    </row>
    <row r="873" spans="1:7" x14ac:dyDescent="0.25">
      <c r="A873">
        <v>714408</v>
      </c>
      <c r="B873">
        <v>75</v>
      </c>
      <c r="C873">
        <v>0.156</v>
      </c>
      <c r="D873" t="s">
        <v>2</v>
      </c>
      <c r="F873">
        <v>50</v>
      </c>
      <c r="G873">
        <v>2</v>
      </c>
    </row>
    <row r="874" spans="1:7" x14ac:dyDescent="0.25">
      <c r="A874">
        <v>714416</v>
      </c>
      <c r="B874">
        <v>75</v>
      </c>
      <c r="C874">
        <v>0.13</v>
      </c>
      <c r="D874" t="s">
        <v>2</v>
      </c>
      <c r="F874">
        <v>40</v>
      </c>
      <c r="G874">
        <v>2</v>
      </c>
    </row>
    <row r="875" spans="1:7" x14ac:dyDescent="0.25">
      <c r="A875">
        <v>714422</v>
      </c>
      <c r="B875">
        <v>90</v>
      </c>
      <c r="C875">
        <v>0.154</v>
      </c>
      <c r="D875" t="s">
        <v>2</v>
      </c>
      <c r="F875">
        <v>1000</v>
      </c>
      <c r="G875">
        <v>2</v>
      </c>
    </row>
    <row r="876" spans="1:7" x14ac:dyDescent="0.25">
      <c r="A876">
        <v>714431</v>
      </c>
      <c r="B876">
        <v>75</v>
      </c>
      <c r="C876">
        <v>0.19</v>
      </c>
      <c r="D876" t="s">
        <v>2</v>
      </c>
      <c r="F876">
        <v>1600</v>
      </c>
      <c r="G876">
        <v>2</v>
      </c>
    </row>
    <row r="877" spans="1:7" x14ac:dyDescent="0.25">
      <c r="A877">
        <v>714432</v>
      </c>
      <c r="B877">
        <v>75</v>
      </c>
      <c r="C877">
        <v>0.19</v>
      </c>
      <c r="D877" t="s">
        <v>2</v>
      </c>
      <c r="F877">
        <v>1000</v>
      </c>
      <c r="G877">
        <v>2</v>
      </c>
    </row>
    <row r="878" spans="1:7" x14ac:dyDescent="0.25">
      <c r="A878">
        <v>714441</v>
      </c>
      <c r="B878">
        <v>90</v>
      </c>
      <c r="C878">
        <v>0.06</v>
      </c>
      <c r="D878" t="s">
        <v>2</v>
      </c>
      <c r="E878">
        <v>5195</v>
      </c>
      <c r="F878">
        <v>300</v>
      </c>
      <c r="G878">
        <v>2</v>
      </c>
    </row>
    <row r="879" spans="1:7" x14ac:dyDescent="0.25">
      <c r="A879">
        <v>730330</v>
      </c>
      <c r="B879">
        <v>90</v>
      </c>
      <c r="C879">
        <v>0.39500000000000002</v>
      </c>
      <c r="D879" t="s">
        <v>2</v>
      </c>
      <c r="F879">
        <v>530</v>
      </c>
      <c r="G879">
        <v>2</v>
      </c>
    </row>
    <row r="880" spans="1:7" x14ac:dyDescent="0.25">
      <c r="A880">
        <v>730340</v>
      </c>
      <c r="B880">
        <v>90</v>
      </c>
      <c r="C880">
        <v>0.36599999999999999</v>
      </c>
      <c r="D880" t="s">
        <v>2</v>
      </c>
      <c r="F880">
        <v>600</v>
      </c>
      <c r="G880">
        <v>2</v>
      </c>
    </row>
    <row r="881" spans="1:7" x14ac:dyDescent="0.25">
      <c r="A881">
        <v>731060</v>
      </c>
      <c r="B881">
        <v>90</v>
      </c>
      <c r="C881">
        <v>0.13600000000000001</v>
      </c>
      <c r="D881" t="s">
        <v>2</v>
      </c>
      <c r="F881">
        <v>600</v>
      </c>
      <c r="G881">
        <v>2</v>
      </c>
    </row>
    <row r="882" spans="1:7" x14ac:dyDescent="0.25">
      <c r="A882">
        <v>732060</v>
      </c>
      <c r="B882">
        <v>90</v>
      </c>
      <c r="C882">
        <v>0.34100000000000003</v>
      </c>
      <c r="D882" t="s">
        <v>47</v>
      </c>
      <c r="F882">
        <v>1000</v>
      </c>
      <c r="G882">
        <v>2</v>
      </c>
    </row>
    <row r="883" spans="1:7" x14ac:dyDescent="0.25">
      <c r="A883">
        <v>732080</v>
      </c>
      <c r="B883">
        <v>90</v>
      </c>
      <c r="C883">
        <v>0.20799999999999999</v>
      </c>
      <c r="D883" t="s">
        <v>47</v>
      </c>
      <c r="F883">
        <v>950</v>
      </c>
      <c r="G883">
        <v>2</v>
      </c>
    </row>
    <row r="884" spans="1:7" x14ac:dyDescent="0.25">
      <c r="A884">
        <v>732090</v>
      </c>
      <c r="B884">
        <v>90</v>
      </c>
      <c r="C884">
        <v>0.22500000000000001</v>
      </c>
      <c r="D884" t="s">
        <v>47</v>
      </c>
      <c r="F884">
        <v>400</v>
      </c>
      <c r="G884">
        <v>2</v>
      </c>
    </row>
    <row r="885" spans="1:7" x14ac:dyDescent="0.25">
      <c r="A885">
        <v>733403</v>
      </c>
      <c r="B885">
        <v>100</v>
      </c>
      <c r="C885">
        <v>0.371</v>
      </c>
      <c r="D885" t="s">
        <v>1694</v>
      </c>
      <c r="F885">
        <v>100</v>
      </c>
      <c r="G885">
        <v>2</v>
      </c>
    </row>
    <row r="886" spans="1:7" x14ac:dyDescent="0.25">
      <c r="A886">
        <v>733405</v>
      </c>
      <c r="B886">
        <v>100</v>
      </c>
      <c r="C886">
        <v>0.371</v>
      </c>
      <c r="D886">
        <v>3144</v>
      </c>
      <c r="F886">
        <v>100</v>
      </c>
      <c r="G886">
        <v>2</v>
      </c>
    </row>
    <row r="887" spans="1:7" x14ac:dyDescent="0.25">
      <c r="A887">
        <v>733510</v>
      </c>
      <c r="B887">
        <v>90</v>
      </c>
      <c r="C887">
        <v>8.8999999999999996E-2</v>
      </c>
      <c r="D887" t="s">
        <v>2</v>
      </c>
      <c r="E887">
        <v>2789</v>
      </c>
      <c r="F887">
        <v>2000</v>
      </c>
      <c r="G887">
        <v>2</v>
      </c>
    </row>
    <row r="888" spans="1:7" x14ac:dyDescent="0.25">
      <c r="A888">
        <v>733511</v>
      </c>
      <c r="B888">
        <v>90</v>
      </c>
      <c r="C888">
        <v>0.18</v>
      </c>
      <c r="D888" t="s">
        <v>2</v>
      </c>
      <c r="E888">
        <v>6448</v>
      </c>
      <c r="F888">
        <v>500</v>
      </c>
      <c r="G888">
        <v>2</v>
      </c>
    </row>
    <row r="889" spans="1:7" x14ac:dyDescent="0.25">
      <c r="A889">
        <v>733520</v>
      </c>
      <c r="B889">
        <v>90</v>
      </c>
      <c r="C889">
        <v>0.12</v>
      </c>
      <c r="D889" t="s">
        <v>2</v>
      </c>
      <c r="E889">
        <v>2789</v>
      </c>
      <c r="F889">
        <v>2800</v>
      </c>
      <c r="G889">
        <v>2</v>
      </c>
    </row>
    <row r="890" spans="1:7" x14ac:dyDescent="0.25">
      <c r="A890">
        <v>733525</v>
      </c>
      <c r="B890">
        <v>7</v>
      </c>
      <c r="C890">
        <v>0.17100000000000001</v>
      </c>
      <c r="D890" t="s">
        <v>2</v>
      </c>
      <c r="F890">
        <v>1000</v>
      </c>
      <c r="G890">
        <v>2</v>
      </c>
    </row>
    <row r="891" spans="1:7" x14ac:dyDescent="0.25">
      <c r="A891">
        <v>733540</v>
      </c>
      <c r="B891">
        <v>100</v>
      </c>
      <c r="C891">
        <v>2.8000000000000001E-2</v>
      </c>
      <c r="D891" t="s">
        <v>2</v>
      </c>
      <c r="F891">
        <v>1300</v>
      </c>
      <c r="G891">
        <v>2</v>
      </c>
    </row>
    <row r="892" spans="1:7" x14ac:dyDescent="0.25">
      <c r="A892">
        <v>733546</v>
      </c>
      <c r="B892">
        <v>90</v>
      </c>
      <c r="C892">
        <v>0.2</v>
      </c>
      <c r="D892" t="s">
        <v>1694</v>
      </c>
      <c r="F892">
        <v>100</v>
      </c>
      <c r="G892">
        <v>2</v>
      </c>
    </row>
    <row r="893" spans="1:7" x14ac:dyDescent="0.25">
      <c r="A893">
        <v>733552</v>
      </c>
      <c r="B893">
        <v>7</v>
      </c>
      <c r="C893">
        <v>6.5000000000000002E-2</v>
      </c>
      <c r="D893">
        <v>1977</v>
      </c>
      <c r="F893">
        <v>25</v>
      </c>
      <c r="G893">
        <v>2</v>
      </c>
    </row>
    <row r="894" spans="1:7" x14ac:dyDescent="0.25">
      <c r="A894">
        <v>733553</v>
      </c>
      <c r="B894">
        <v>7</v>
      </c>
      <c r="C894">
        <v>6.5000000000000002E-2</v>
      </c>
      <c r="D894">
        <v>1977</v>
      </c>
      <c r="F894">
        <v>20</v>
      </c>
      <c r="G894">
        <v>2</v>
      </c>
    </row>
    <row r="895" spans="1:7" x14ac:dyDescent="0.25">
      <c r="A895">
        <v>733554</v>
      </c>
      <c r="B895">
        <v>7</v>
      </c>
      <c r="C895">
        <v>5.7000000000000002E-2</v>
      </c>
      <c r="D895">
        <v>1977</v>
      </c>
      <c r="F895">
        <v>30</v>
      </c>
      <c r="G895">
        <v>2</v>
      </c>
    </row>
    <row r="896" spans="1:7" x14ac:dyDescent="0.25">
      <c r="A896">
        <v>733556</v>
      </c>
      <c r="B896">
        <v>7</v>
      </c>
      <c r="C896">
        <v>6.5000000000000002E-2</v>
      </c>
      <c r="D896">
        <v>1977</v>
      </c>
      <c r="F896">
        <v>20</v>
      </c>
      <c r="G896">
        <v>2</v>
      </c>
    </row>
    <row r="897" spans="1:7" x14ac:dyDescent="0.25">
      <c r="A897">
        <v>733636</v>
      </c>
      <c r="B897">
        <v>3</v>
      </c>
      <c r="C897">
        <v>1.7999999999999999E-2</v>
      </c>
      <c r="D897">
        <v>1346</v>
      </c>
      <c r="F897">
        <v>0</v>
      </c>
      <c r="G897">
        <v>2</v>
      </c>
    </row>
    <row r="898" spans="1:7" x14ac:dyDescent="0.25">
      <c r="A898">
        <v>733638</v>
      </c>
      <c r="B898">
        <v>3</v>
      </c>
      <c r="C898">
        <v>1.6E-2</v>
      </c>
      <c r="D898">
        <v>1346</v>
      </c>
      <c r="F898">
        <v>0</v>
      </c>
      <c r="G898">
        <v>2</v>
      </c>
    </row>
    <row r="899" spans="1:7" x14ac:dyDescent="0.25">
      <c r="A899">
        <v>733640</v>
      </c>
      <c r="B899">
        <v>3</v>
      </c>
      <c r="C899">
        <v>6.0000000000000001E-3</v>
      </c>
      <c r="D899">
        <v>1346</v>
      </c>
      <c r="F899">
        <v>0</v>
      </c>
      <c r="G899">
        <v>2</v>
      </c>
    </row>
    <row r="900" spans="1:7" x14ac:dyDescent="0.25">
      <c r="A900">
        <v>733642</v>
      </c>
      <c r="B900">
        <v>3</v>
      </c>
      <c r="C900">
        <v>1.2E-2</v>
      </c>
      <c r="D900">
        <v>1346</v>
      </c>
      <c r="F900">
        <v>0</v>
      </c>
      <c r="G900">
        <v>2</v>
      </c>
    </row>
    <row r="901" spans="1:7" x14ac:dyDescent="0.25">
      <c r="A901">
        <v>733644</v>
      </c>
      <c r="B901">
        <v>3</v>
      </c>
      <c r="C901">
        <v>8.0000000000000002E-3</v>
      </c>
      <c r="D901">
        <v>1346</v>
      </c>
      <c r="F901">
        <v>0</v>
      </c>
      <c r="G901">
        <v>2</v>
      </c>
    </row>
    <row r="902" spans="1:7" x14ac:dyDescent="0.25">
      <c r="A902">
        <v>733652</v>
      </c>
      <c r="B902">
        <v>3</v>
      </c>
      <c r="C902">
        <v>4.2000000000000003E-2</v>
      </c>
      <c r="D902">
        <v>9591</v>
      </c>
      <c r="F902">
        <v>0</v>
      </c>
      <c r="G902">
        <v>2</v>
      </c>
    </row>
    <row r="903" spans="1:7" x14ac:dyDescent="0.25">
      <c r="A903">
        <v>733658</v>
      </c>
      <c r="B903">
        <v>3</v>
      </c>
      <c r="C903">
        <v>2.8000000000000001E-2</v>
      </c>
      <c r="D903">
        <v>9591</v>
      </c>
      <c r="F903">
        <v>0</v>
      </c>
      <c r="G903">
        <v>2</v>
      </c>
    </row>
    <row r="904" spans="1:7" x14ac:dyDescent="0.25">
      <c r="A904">
        <v>733662</v>
      </c>
      <c r="B904">
        <v>3</v>
      </c>
      <c r="C904">
        <v>2.8000000000000001E-2</v>
      </c>
      <c r="D904">
        <v>9591</v>
      </c>
      <c r="F904">
        <v>0</v>
      </c>
      <c r="G904">
        <v>2</v>
      </c>
    </row>
    <row r="905" spans="1:7" x14ac:dyDescent="0.25">
      <c r="A905">
        <v>734050</v>
      </c>
      <c r="B905">
        <v>100</v>
      </c>
      <c r="C905">
        <v>0.115</v>
      </c>
      <c r="D905" t="s">
        <v>2</v>
      </c>
      <c r="F905">
        <v>5100</v>
      </c>
      <c r="G905">
        <v>2</v>
      </c>
    </row>
    <row r="906" spans="1:7" x14ac:dyDescent="0.25">
      <c r="A906">
        <v>734059</v>
      </c>
      <c r="B906">
        <v>100</v>
      </c>
      <c r="C906">
        <v>0.14799999999999999</v>
      </c>
      <c r="D906" t="s">
        <v>2</v>
      </c>
      <c r="F906">
        <v>1600</v>
      </c>
      <c r="G906">
        <v>2</v>
      </c>
    </row>
    <row r="907" spans="1:7" x14ac:dyDescent="0.25">
      <c r="A907">
        <v>734061</v>
      </c>
      <c r="B907">
        <v>90</v>
      </c>
      <c r="C907">
        <v>0.45800000000000002</v>
      </c>
      <c r="D907" t="s">
        <v>1694</v>
      </c>
      <c r="F907">
        <v>100</v>
      </c>
      <c r="G907">
        <v>2</v>
      </c>
    </row>
    <row r="908" spans="1:7" x14ac:dyDescent="0.25">
      <c r="A908">
        <v>734100</v>
      </c>
      <c r="B908">
        <v>100</v>
      </c>
      <c r="C908">
        <v>0.41899999999999998</v>
      </c>
      <c r="D908" t="s">
        <v>2</v>
      </c>
      <c r="F908">
        <v>180</v>
      </c>
      <c r="G908">
        <v>2</v>
      </c>
    </row>
    <row r="909" spans="1:7" x14ac:dyDescent="0.25">
      <c r="A909">
        <v>735011</v>
      </c>
      <c r="B909">
        <v>100</v>
      </c>
      <c r="C909">
        <v>2.7E-2</v>
      </c>
      <c r="D909" t="s">
        <v>2727</v>
      </c>
      <c r="E909">
        <v>19529</v>
      </c>
      <c r="F909">
        <v>2400</v>
      </c>
      <c r="G909">
        <v>2</v>
      </c>
    </row>
    <row r="910" spans="1:7" x14ac:dyDescent="0.25">
      <c r="A910">
        <v>735056</v>
      </c>
      <c r="B910">
        <v>100</v>
      </c>
      <c r="C910">
        <v>0.13400000000000001</v>
      </c>
      <c r="D910" t="s">
        <v>2727</v>
      </c>
      <c r="E910">
        <v>19529</v>
      </c>
      <c r="F910">
        <v>1000</v>
      </c>
      <c r="G910">
        <v>2</v>
      </c>
    </row>
    <row r="911" spans="1:7" x14ac:dyDescent="0.25">
      <c r="A911">
        <v>735062</v>
      </c>
      <c r="B911">
        <v>100</v>
      </c>
      <c r="C911">
        <v>0.17499999999999999</v>
      </c>
      <c r="D911" t="s">
        <v>2727</v>
      </c>
      <c r="E911">
        <v>19529</v>
      </c>
      <c r="F911">
        <v>1180</v>
      </c>
      <c r="G911">
        <v>2</v>
      </c>
    </row>
    <row r="912" spans="1:7" x14ac:dyDescent="0.25">
      <c r="A912">
        <v>735071</v>
      </c>
      <c r="B912">
        <v>100</v>
      </c>
      <c r="C912">
        <v>0.03</v>
      </c>
      <c r="D912" t="s">
        <v>2727</v>
      </c>
      <c r="E912">
        <v>19529</v>
      </c>
      <c r="F912">
        <v>2450</v>
      </c>
      <c r="G912">
        <v>2</v>
      </c>
    </row>
    <row r="913" spans="1:7" x14ac:dyDescent="0.25">
      <c r="A913">
        <v>735076</v>
      </c>
      <c r="B913">
        <v>100</v>
      </c>
      <c r="C913">
        <v>3.9E-2</v>
      </c>
      <c r="D913" t="s">
        <v>2727</v>
      </c>
      <c r="E913">
        <v>19529</v>
      </c>
      <c r="F913">
        <v>900</v>
      </c>
      <c r="G913">
        <v>2</v>
      </c>
    </row>
    <row r="914" spans="1:7" x14ac:dyDescent="0.25">
      <c r="A914">
        <v>738434</v>
      </c>
      <c r="B914">
        <v>100</v>
      </c>
      <c r="C914">
        <v>0.245</v>
      </c>
      <c r="D914" t="s">
        <v>2727</v>
      </c>
      <c r="E914">
        <v>13021</v>
      </c>
      <c r="F914">
        <v>350</v>
      </c>
      <c r="G914">
        <v>2</v>
      </c>
    </row>
    <row r="915" spans="1:7" x14ac:dyDescent="0.25">
      <c r="A915">
        <v>738436</v>
      </c>
      <c r="B915">
        <v>100</v>
      </c>
      <c r="C915">
        <v>0.29399999999999998</v>
      </c>
      <c r="D915" t="s">
        <v>2727</v>
      </c>
      <c r="E915">
        <v>13021</v>
      </c>
      <c r="F915">
        <v>250</v>
      </c>
      <c r="G915">
        <v>2</v>
      </c>
    </row>
    <row r="916" spans="1:7" x14ac:dyDescent="0.25">
      <c r="A916">
        <v>738438</v>
      </c>
      <c r="B916">
        <v>100</v>
      </c>
      <c r="C916">
        <v>0.27500000000000002</v>
      </c>
      <c r="D916" t="s">
        <v>2727</v>
      </c>
      <c r="E916">
        <v>13021</v>
      </c>
      <c r="F916">
        <v>250</v>
      </c>
      <c r="G916">
        <v>2</v>
      </c>
    </row>
    <row r="917" spans="1:7" x14ac:dyDescent="0.25">
      <c r="A917">
        <v>738440</v>
      </c>
      <c r="B917">
        <v>100</v>
      </c>
      <c r="C917">
        <v>0.3</v>
      </c>
      <c r="D917" t="s">
        <v>2727</v>
      </c>
      <c r="E917">
        <v>13021</v>
      </c>
      <c r="F917">
        <v>200</v>
      </c>
      <c r="G917">
        <v>2</v>
      </c>
    </row>
    <row r="918" spans="1:7" x14ac:dyDescent="0.25">
      <c r="A918">
        <v>738534</v>
      </c>
      <c r="B918">
        <v>100</v>
      </c>
      <c r="C918">
        <v>0.27800000000000002</v>
      </c>
      <c r="D918" t="s">
        <v>2727</v>
      </c>
      <c r="E918">
        <v>13021</v>
      </c>
      <c r="F918">
        <v>300</v>
      </c>
      <c r="G918">
        <v>2</v>
      </c>
    </row>
    <row r="919" spans="1:7" x14ac:dyDescent="0.25">
      <c r="A919">
        <v>738536</v>
      </c>
      <c r="B919">
        <v>100</v>
      </c>
      <c r="C919">
        <v>0.26200000000000001</v>
      </c>
      <c r="D919" t="s">
        <v>2727</v>
      </c>
      <c r="E919">
        <v>13021</v>
      </c>
      <c r="F919">
        <v>400</v>
      </c>
      <c r="G919">
        <v>2</v>
      </c>
    </row>
    <row r="920" spans="1:7" x14ac:dyDescent="0.25">
      <c r="A920">
        <v>738538</v>
      </c>
      <c r="B920">
        <v>100</v>
      </c>
      <c r="C920">
        <v>0.25</v>
      </c>
      <c r="D920" t="s">
        <v>2727</v>
      </c>
      <c r="E920">
        <v>13021</v>
      </c>
      <c r="F920">
        <v>500</v>
      </c>
      <c r="G920">
        <v>2</v>
      </c>
    </row>
    <row r="921" spans="1:7" x14ac:dyDescent="0.25">
      <c r="A921">
        <v>739534</v>
      </c>
      <c r="B921">
        <v>100</v>
      </c>
      <c r="C921">
        <v>0.25</v>
      </c>
      <c r="D921" t="s">
        <v>2727</v>
      </c>
      <c r="E921">
        <v>13021</v>
      </c>
      <c r="F921">
        <v>350</v>
      </c>
      <c r="G921">
        <v>2</v>
      </c>
    </row>
    <row r="922" spans="1:7" x14ac:dyDescent="0.25">
      <c r="A922">
        <v>739536</v>
      </c>
      <c r="B922">
        <v>100</v>
      </c>
      <c r="C922">
        <v>0.27400000000000002</v>
      </c>
      <c r="D922" t="s">
        <v>2727</v>
      </c>
      <c r="E922">
        <v>13021</v>
      </c>
      <c r="F922">
        <v>250</v>
      </c>
      <c r="G922">
        <v>2</v>
      </c>
    </row>
    <row r="923" spans="1:7" x14ac:dyDescent="0.25">
      <c r="A923">
        <v>739538</v>
      </c>
      <c r="B923">
        <v>100</v>
      </c>
      <c r="C923">
        <v>0.26400000000000001</v>
      </c>
      <c r="D923" t="s">
        <v>2727</v>
      </c>
      <c r="E923">
        <v>13021</v>
      </c>
      <c r="F923">
        <v>350</v>
      </c>
      <c r="G923">
        <v>2</v>
      </c>
    </row>
    <row r="924" spans="1:7" x14ac:dyDescent="0.25">
      <c r="A924">
        <v>740000</v>
      </c>
      <c r="B924">
        <v>100</v>
      </c>
      <c r="C924">
        <v>0.29099999999999998</v>
      </c>
      <c r="D924" t="s">
        <v>2</v>
      </c>
      <c r="E924">
        <v>6448</v>
      </c>
      <c r="F924">
        <v>420</v>
      </c>
      <c r="G924">
        <v>2</v>
      </c>
    </row>
    <row r="925" spans="1:7" x14ac:dyDescent="0.25">
      <c r="A925">
        <v>740001</v>
      </c>
      <c r="B925">
        <v>100</v>
      </c>
      <c r="C925">
        <v>0.45400000000000001</v>
      </c>
      <c r="D925" t="s">
        <v>2</v>
      </c>
      <c r="E925">
        <v>6448</v>
      </c>
      <c r="F925">
        <v>200</v>
      </c>
      <c r="G925">
        <v>2</v>
      </c>
    </row>
    <row r="926" spans="1:7" x14ac:dyDescent="0.25">
      <c r="A926">
        <v>740011</v>
      </c>
      <c r="B926">
        <v>100</v>
      </c>
      <c r="C926">
        <v>0.221</v>
      </c>
      <c r="D926" t="s">
        <v>2</v>
      </c>
      <c r="E926">
        <v>6448</v>
      </c>
      <c r="F926">
        <v>250</v>
      </c>
      <c r="G926">
        <v>2</v>
      </c>
    </row>
    <row r="927" spans="1:7" x14ac:dyDescent="0.25">
      <c r="A927">
        <v>740012</v>
      </c>
      <c r="B927">
        <v>100</v>
      </c>
      <c r="C927">
        <v>0.21</v>
      </c>
      <c r="D927" t="s">
        <v>2</v>
      </c>
      <c r="E927">
        <v>6448</v>
      </c>
      <c r="F927">
        <v>600</v>
      </c>
      <c r="G927">
        <v>2</v>
      </c>
    </row>
    <row r="928" spans="1:7" x14ac:dyDescent="0.25">
      <c r="A928">
        <v>740050</v>
      </c>
      <c r="B928">
        <v>100</v>
      </c>
      <c r="C928">
        <v>0.188</v>
      </c>
      <c r="D928" t="s">
        <v>47</v>
      </c>
      <c r="E928">
        <v>6448</v>
      </c>
      <c r="F928">
        <v>300</v>
      </c>
      <c r="G928">
        <v>2</v>
      </c>
    </row>
    <row r="929" spans="1:7" x14ac:dyDescent="0.25">
      <c r="A929">
        <v>740100</v>
      </c>
      <c r="B929">
        <v>100</v>
      </c>
      <c r="C929">
        <v>0.159</v>
      </c>
      <c r="D929" t="s">
        <v>2542</v>
      </c>
      <c r="E929">
        <v>2791</v>
      </c>
      <c r="F929">
        <v>450</v>
      </c>
      <c r="G929">
        <v>2</v>
      </c>
    </row>
    <row r="930" spans="1:7" x14ac:dyDescent="0.25">
      <c r="A930">
        <v>740101</v>
      </c>
      <c r="B930">
        <v>100</v>
      </c>
      <c r="C930">
        <v>0.20100000000000001</v>
      </c>
      <c r="D930" t="s">
        <v>2542</v>
      </c>
      <c r="E930">
        <v>2791</v>
      </c>
      <c r="F930">
        <v>700</v>
      </c>
      <c r="G930">
        <v>2</v>
      </c>
    </row>
    <row r="931" spans="1:7" x14ac:dyDescent="0.25">
      <c r="A931">
        <v>740102</v>
      </c>
      <c r="B931">
        <v>100</v>
      </c>
      <c r="C931">
        <v>0.33100000000000002</v>
      </c>
      <c r="D931" t="s">
        <v>2542</v>
      </c>
      <c r="E931">
        <v>2791</v>
      </c>
      <c r="F931">
        <v>750</v>
      </c>
      <c r="G931">
        <v>2</v>
      </c>
    </row>
    <row r="932" spans="1:7" x14ac:dyDescent="0.25">
      <c r="A932">
        <v>740230</v>
      </c>
      <c r="B932">
        <v>100</v>
      </c>
      <c r="C932">
        <v>0.19600000000000001</v>
      </c>
      <c r="D932" t="s">
        <v>2542</v>
      </c>
      <c r="E932">
        <v>2785</v>
      </c>
      <c r="F932">
        <v>350</v>
      </c>
      <c r="G932">
        <v>2</v>
      </c>
    </row>
    <row r="933" spans="1:7" x14ac:dyDescent="0.25">
      <c r="A933">
        <v>741010</v>
      </c>
      <c r="B933">
        <v>100</v>
      </c>
      <c r="C933">
        <v>0.127</v>
      </c>
      <c r="D933" t="s">
        <v>2542</v>
      </c>
      <c r="E933">
        <v>2791</v>
      </c>
      <c r="F933">
        <v>480</v>
      </c>
      <c r="G933">
        <v>2</v>
      </c>
    </row>
    <row r="934" spans="1:7" x14ac:dyDescent="0.25">
      <c r="A934">
        <v>741011</v>
      </c>
      <c r="B934">
        <v>100</v>
      </c>
      <c r="C934">
        <v>0.14799999999999999</v>
      </c>
      <c r="D934" t="s">
        <v>2542</v>
      </c>
      <c r="E934">
        <v>2791</v>
      </c>
      <c r="F934">
        <v>850</v>
      </c>
      <c r="G934">
        <v>2</v>
      </c>
    </row>
    <row r="935" spans="1:7" x14ac:dyDescent="0.25">
      <c r="A935">
        <v>741012</v>
      </c>
      <c r="B935">
        <v>100</v>
      </c>
      <c r="C935">
        <v>0.22600000000000001</v>
      </c>
      <c r="D935" t="s">
        <v>2542</v>
      </c>
      <c r="E935">
        <v>2791</v>
      </c>
      <c r="F935">
        <v>400</v>
      </c>
      <c r="G935">
        <v>2</v>
      </c>
    </row>
    <row r="936" spans="1:7" x14ac:dyDescent="0.25">
      <c r="A936">
        <v>741120</v>
      </c>
      <c r="B936">
        <v>100</v>
      </c>
      <c r="C936">
        <v>7.0999999999999994E-2</v>
      </c>
      <c r="D936" t="s">
        <v>2542</v>
      </c>
      <c r="F936">
        <v>500</v>
      </c>
      <c r="G936">
        <v>2</v>
      </c>
    </row>
    <row r="937" spans="1:7" x14ac:dyDescent="0.25">
      <c r="A937">
        <v>741121</v>
      </c>
      <c r="B937">
        <v>100</v>
      </c>
      <c r="C937">
        <v>0.10100000000000001</v>
      </c>
      <c r="D937" t="s">
        <v>2542</v>
      </c>
      <c r="E937">
        <v>2791</v>
      </c>
      <c r="F937">
        <v>700</v>
      </c>
      <c r="G937">
        <v>2</v>
      </c>
    </row>
    <row r="938" spans="1:7" x14ac:dyDescent="0.25">
      <c r="A938">
        <v>741122</v>
      </c>
      <c r="B938">
        <v>100</v>
      </c>
      <c r="C938">
        <v>0.14699999999999999</v>
      </c>
      <c r="D938" t="s">
        <v>2542</v>
      </c>
      <c r="E938">
        <v>2791</v>
      </c>
      <c r="F938">
        <v>1100</v>
      </c>
      <c r="G938">
        <v>2</v>
      </c>
    </row>
    <row r="939" spans="1:7" x14ac:dyDescent="0.25">
      <c r="A939">
        <v>741124</v>
      </c>
      <c r="B939">
        <v>100</v>
      </c>
      <c r="C939">
        <v>0.375</v>
      </c>
      <c r="D939" t="s">
        <v>2542</v>
      </c>
      <c r="E939">
        <v>2791</v>
      </c>
      <c r="F939">
        <v>200</v>
      </c>
      <c r="G939">
        <v>2</v>
      </c>
    </row>
    <row r="940" spans="1:7" x14ac:dyDescent="0.25">
      <c r="A940">
        <v>750030</v>
      </c>
      <c r="B940">
        <v>100</v>
      </c>
      <c r="C940">
        <v>0.11</v>
      </c>
      <c r="D940" t="s">
        <v>47</v>
      </c>
      <c r="F940">
        <v>1500</v>
      </c>
      <c r="G940">
        <v>2</v>
      </c>
    </row>
    <row r="941" spans="1:7" x14ac:dyDescent="0.25">
      <c r="A941">
        <v>750040</v>
      </c>
      <c r="B941">
        <v>100</v>
      </c>
      <c r="C941">
        <v>0.19</v>
      </c>
      <c r="D941" t="s">
        <v>47</v>
      </c>
      <c r="F941">
        <v>700</v>
      </c>
      <c r="G941">
        <v>2</v>
      </c>
    </row>
    <row r="942" spans="1:7" x14ac:dyDescent="0.25">
      <c r="A942">
        <v>750100</v>
      </c>
      <c r="B942">
        <v>100</v>
      </c>
      <c r="C942">
        <v>0.105</v>
      </c>
      <c r="D942" t="s">
        <v>2</v>
      </c>
      <c r="E942">
        <v>5195</v>
      </c>
      <c r="F942">
        <v>4000</v>
      </c>
      <c r="G942">
        <v>2</v>
      </c>
    </row>
    <row r="943" spans="1:7" x14ac:dyDescent="0.25">
      <c r="A943">
        <v>750130</v>
      </c>
      <c r="B943">
        <v>100</v>
      </c>
      <c r="C943">
        <v>0.28100000000000003</v>
      </c>
      <c r="D943" t="s">
        <v>47</v>
      </c>
      <c r="F943">
        <v>750</v>
      </c>
      <c r="G943">
        <v>2</v>
      </c>
    </row>
    <row r="944" spans="1:7" x14ac:dyDescent="0.25">
      <c r="A944">
        <v>750140</v>
      </c>
      <c r="B944">
        <v>100</v>
      </c>
      <c r="C944">
        <v>0.11899999999999999</v>
      </c>
      <c r="D944" t="s">
        <v>47</v>
      </c>
      <c r="F944">
        <v>2800</v>
      </c>
      <c r="G944">
        <v>2</v>
      </c>
    </row>
    <row r="945" spans="1:7" x14ac:dyDescent="0.25">
      <c r="A945">
        <v>750150</v>
      </c>
      <c r="B945">
        <v>100</v>
      </c>
      <c r="C945">
        <v>0.13400000000000001</v>
      </c>
      <c r="D945" t="s">
        <v>47</v>
      </c>
      <c r="F945">
        <v>4500</v>
      </c>
      <c r="G945">
        <v>2</v>
      </c>
    </row>
    <row r="946" spans="1:7" x14ac:dyDescent="0.25">
      <c r="A946">
        <v>750160</v>
      </c>
      <c r="B946">
        <v>100</v>
      </c>
      <c r="C946">
        <v>0.13100000000000001</v>
      </c>
      <c r="D946" t="s">
        <v>47</v>
      </c>
      <c r="F946">
        <v>1000</v>
      </c>
      <c r="G946">
        <v>2</v>
      </c>
    </row>
    <row r="947" spans="1:7" x14ac:dyDescent="0.25">
      <c r="A947">
        <v>770010</v>
      </c>
      <c r="B947">
        <v>100</v>
      </c>
      <c r="C947">
        <v>0.13600000000000001</v>
      </c>
      <c r="D947" t="s">
        <v>2542</v>
      </c>
      <c r="F947">
        <v>2500</v>
      </c>
      <c r="G947">
        <v>2</v>
      </c>
    </row>
    <row r="948" spans="1:7" x14ac:dyDescent="0.25">
      <c r="A948">
        <v>771100</v>
      </c>
      <c r="B948">
        <v>100</v>
      </c>
      <c r="C948">
        <v>8.3000000000000004E-2</v>
      </c>
      <c r="D948" t="s">
        <v>47</v>
      </c>
      <c r="E948">
        <v>13022</v>
      </c>
      <c r="F948">
        <v>2000</v>
      </c>
      <c r="G948">
        <v>2</v>
      </c>
    </row>
    <row r="949" spans="1:7" x14ac:dyDescent="0.25">
      <c r="A949">
        <v>771102</v>
      </c>
      <c r="B949">
        <v>100</v>
      </c>
      <c r="C949">
        <v>8.5000000000000006E-2</v>
      </c>
      <c r="D949" t="s">
        <v>1694</v>
      </c>
      <c r="E949">
        <v>17621</v>
      </c>
      <c r="F949">
        <v>500</v>
      </c>
      <c r="G949">
        <v>2</v>
      </c>
    </row>
    <row r="950" spans="1:7" x14ac:dyDescent="0.25">
      <c r="A950">
        <v>771104</v>
      </c>
      <c r="B950">
        <v>100</v>
      </c>
      <c r="C950">
        <v>7.0000000000000001E-3</v>
      </c>
      <c r="D950" t="s">
        <v>1694</v>
      </c>
      <c r="E950">
        <v>17621</v>
      </c>
      <c r="F950">
        <v>200</v>
      </c>
      <c r="G950">
        <v>2</v>
      </c>
    </row>
    <row r="951" spans="1:7" x14ac:dyDescent="0.25">
      <c r="A951">
        <v>771105</v>
      </c>
      <c r="B951">
        <v>100</v>
      </c>
      <c r="C951">
        <v>0.22</v>
      </c>
      <c r="D951" t="s">
        <v>1694</v>
      </c>
      <c r="E951">
        <v>17621</v>
      </c>
      <c r="F951">
        <v>100</v>
      </c>
      <c r="G951">
        <v>2</v>
      </c>
    </row>
    <row r="952" spans="1:7" x14ac:dyDescent="0.25">
      <c r="A952">
        <v>771200</v>
      </c>
      <c r="B952">
        <v>100</v>
      </c>
      <c r="C952">
        <v>5.2999999999999999E-2</v>
      </c>
      <c r="D952" t="s">
        <v>47</v>
      </c>
      <c r="E952">
        <v>2791</v>
      </c>
      <c r="F952">
        <v>6000</v>
      </c>
      <c r="G952">
        <v>2</v>
      </c>
    </row>
    <row r="953" spans="1:7" x14ac:dyDescent="0.25">
      <c r="A953">
        <v>771202</v>
      </c>
      <c r="B953">
        <v>100</v>
      </c>
      <c r="C953">
        <v>5.8999999999999997E-2</v>
      </c>
      <c r="D953" t="s">
        <v>47</v>
      </c>
      <c r="E953">
        <v>6448</v>
      </c>
      <c r="F953">
        <v>2500</v>
      </c>
      <c r="G953">
        <v>2</v>
      </c>
    </row>
    <row r="954" spans="1:7" x14ac:dyDescent="0.25">
      <c r="A954">
        <v>771301</v>
      </c>
      <c r="B954">
        <v>4</v>
      </c>
      <c r="C954">
        <v>0.23</v>
      </c>
      <c r="D954">
        <v>4430</v>
      </c>
      <c r="E954">
        <v>24667</v>
      </c>
      <c r="F954">
        <v>100</v>
      </c>
      <c r="G954">
        <v>2</v>
      </c>
    </row>
    <row r="955" spans="1:7" x14ac:dyDescent="0.25">
      <c r="A955">
        <v>771302</v>
      </c>
      <c r="B955">
        <v>4</v>
      </c>
      <c r="C955">
        <v>0.115</v>
      </c>
      <c r="D955">
        <v>4430</v>
      </c>
      <c r="E955">
        <v>24667</v>
      </c>
      <c r="F955">
        <v>50</v>
      </c>
      <c r="G955">
        <v>2</v>
      </c>
    </row>
    <row r="956" spans="1:7" x14ac:dyDescent="0.25">
      <c r="A956">
        <v>771303</v>
      </c>
      <c r="B956">
        <v>4</v>
      </c>
      <c r="C956">
        <v>0.115</v>
      </c>
      <c r="D956">
        <v>4430</v>
      </c>
      <c r="E956">
        <v>24667</v>
      </c>
      <c r="F956">
        <v>50</v>
      </c>
      <c r="G956">
        <v>2</v>
      </c>
    </row>
    <row r="957" spans="1:7" x14ac:dyDescent="0.25">
      <c r="A957">
        <v>772001</v>
      </c>
      <c r="B957">
        <v>7</v>
      </c>
      <c r="C957">
        <v>0.01</v>
      </c>
      <c r="D957">
        <v>4325</v>
      </c>
      <c r="F957">
        <v>30</v>
      </c>
      <c r="G957">
        <v>2</v>
      </c>
    </row>
    <row r="958" spans="1:7" x14ac:dyDescent="0.25">
      <c r="A958">
        <v>772100</v>
      </c>
      <c r="B958">
        <v>100</v>
      </c>
      <c r="C958">
        <v>0.03</v>
      </c>
      <c r="D958" t="s">
        <v>2</v>
      </c>
      <c r="E958">
        <v>6448</v>
      </c>
      <c r="F958">
        <v>2000</v>
      </c>
      <c r="G958">
        <v>2</v>
      </c>
    </row>
    <row r="959" spans="1:7" x14ac:dyDescent="0.25">
      <c r="A959">
        <v>772105</v>
      </c>
      <c r="B959">
        <v>100</v>
      </c>
      <c r="C959">
        <v>0.154</v>
      </c>
      <c r="D959" t="s">
        <v>2</v>
      </c>
      <c r="E959">
        <v>6448</v>
      </c>
      <c r="F959">
        <v>1200</v>
      </c>
      <c r="G959">
        <v>2</v>
      </c>
    </row>
    <row r="960" spans="1:7" x14ac:dyDescent="0.25">
      <c r="A960">
        <v>772120</v>
      </c>
      <c r="B960">
        <v>100</v>
      </c>
      <c r="C960">
        <v>6.5000000000000002E-2</v>
      </c>
      <c r="D960" t="s">
        <v>2542</v>
      </c>
      <c r="E960">
        <v>2791</v>
      </c>
      <c r="F960">
        <v>550</v>
      </c>
      <c r="G960">
        <v>2</v>
      </c>
    </row>
    <row r="961" spans="1:7" x14ac:dyDescent="0.25">
      <c r="A961">
        <v>772200</v>
      </c>
      <c r="B961">
        <v>90</v>
      </c>
      <c r="C961">
        <v>2.7E-2</v>
      </c>
      <c r="D961" t="s">
        <v>2</v>
      </c>
      <c r="E961">
        <v>6448</v>
      </c>
      <c r="F961">
        <v>1500</v>
      </c>
      <c r="G961">
        <v>2</v>
      </c>
    </row>
    <row r="962" spans="1:7" x14ac:dyDescent="0.25">
      <c r="A962">
        <v>772210</v>
      </c>
      <c r="B962">
        <v>100</v>
      </c>
      <c r="C962">
        <v>5.7000000000000002E-2</v>
      </c>
      <c r="D962" t="s">
        <v>47</v>
      </c>
      <c r="F962">
        <v>1200</v>
      </c>
      <c r="G962">
        <v>2</v>
      </c>
    </row>
    <row r="963" spans="1:7" x14ac:dyDescent="0.25">
      <c r="A963">
        <v>773012</v>
      </c>
      <c r="B963">
        <v>100</v>
      </c>
      <c r="C963">
        <v>4.0000000000000001E-3</v>
      </c>
      <c r="D963" t="s">
        <v>2</v>
      </c>
      <c r="E963">
        <v>23774</v>
      </c>
      <c r="F963">
        <v>0</v>
      </c>
      <c r="G963">
        <v>2</v>
      </c>
    </row>
    <row r="964" spans="1:7" x14ac:dyDescent="0.25">
      <c r="A964" t="s">
        <v>2988</v>
      </c>
      <c r="B964">
        <v>7</v>
      </c>
      <c r="C964">
        <v>4.0000000000000001E-3</v>
      </c>
      <c r="D964">
        <v>4791</v>
      </c>
      <c r="F964">
        <v>500</v>
      </c>
      <c r="G964">
        <v>2</v>
      </c>
    </row>
    <row r="965" spans="1:7" x14ac:dyDescent="0.25">
      <c r="A965" t="s">
        <v>3734</v>
      </c>
      <c r="B965">
        <v>0</v>
      </c>
      <c r="C965">
        <v>70</v>
      </c>
      <c r="D965" t="s">
        <v>1695</v>
      </c>
      <c r="F965">
        <v>192</v>
      </c>
      <c r="G965">
        <v>2</v>
      </c>
    </row>
    <row r="966" spans="1:7" x14ac:dyDescent="0.25">
      <c r="A966" t="s">
        <v>3735</v>
      </c>
      <c r="B966">
        <v>0</v>
      </c>
      <c r="C966">
        <v>100</v>
      </c>
      <c r="D966" t="s">
        <v>1695</v>
      </c>
      <c r="F966">
        <v>120</v>
      </c>
      <c r="G966">
        <v>2</v>
      </c>
    </row>
    <row r="967" spans="1:7" x14ac:dyDescent="0.25">
      <c r="A967" t="s">
        <v>3736</v>
      </c>
      <c r="B967">
        <v>0</v>
      </c>
      <c r="C967">
        <v>110</v>
      </c>
      <c r="D967" t="s">
        <v>1695</v>
      </c>
      <c r="F967">
        <v>96</v>
      </c>
      <c r="G967">
        <v>2</v>
      </c>
    </row>
    <row r="968" spans="1:7" x14ac:dyDescent="0.25">
      <c r="A968" t="s">
        <v>3737</v>
      </c>
      <c r="B968">
        <v>0</v>
      </c>
      <c r="C968">
        <v>80</v>
      </c>
      <c r="D968" t="s">
        <v>1695</v>
      </c>
      <c r="F968">
        <v>192</v>
      </c>
      <c r="G968">
        <v>2</v>
      </c>
    </row>
    <row r="969" spans="1:7" x14ac:dyDescent="0.25">
      <c r="A969" t="s">
        <v>3738</v>
      </c>
      <c r="B969">
        <v>0</v>
      </c>
      <c r="C969">
        <v>110</v>
      </c>
      <c r="D969" t="s">
        <v>1695</v>
      </c>
      <c r="F969">
        <v>120</v>
      </c>
      <c r="G969">
        <v>2</v>
      </c>
    </row>
    <row r="970" spans="1:7" x14ac:dyDescent="0.25">
      <c r="A970" t="s">
        <v>3739</v>
      </c>
      <c r="B970">
        <v>0</v>
      </c>
      <c r="C970">
        <v>120</v>
      </c>
      <c r="D970" t="s">
        <v>1695</v>
      </c>
      <c r="F970">
        <v>96</v>
      </c>
      <c r="G970">
        <v>2</v>
      </c>
    </row>
    <row r="971" spans="1:7" x14ac:dyDescent="0.25">
      <c r="A971" t="s">
        <v>3740</v>
      </c>
      <c r="B971">
        <v>0</v>
      </c>
      <c r="C971">
        <v>10</v>
      </c>
      <c r="D971" t="s">
        <v>1695</v>
      </c>
      <c r="F971">
        <v>100</v>
      </c>
      <c r="G971">
        <v>2</v>
      </c>
    </row>
    <row r="972" spans="1:7" x14ac:dyDescent="0.25">
      <c r="A972" t="s">
        <v>3741</v>
      </c>
      <c r="B972">
        <v>0</v>
      </c>
      <c r="C972">
        <v>10</v>
      </c>
      <c r="D972" t="s">
        <v>1695</v>
      </c>
      <c r="F972">
        <v>100</v>
      </c>
      <c r="G972">
        <v>2</v>
      </c>
    </row>
    <row r="973" spans="1:7" x14ac:dyDescent="0.25">
      <c r="A973" t="s">
        <v>3742</v>
      </c>
      <c r="B973">
        <v>0</v>
      </c>
      <c r="C973">
        <v>10</v>
      </c>
      <c r="D973" t="s">
        <v>1695</v>
      </c>
      <c r="F973">
        <v>100</v>
      </c>
      <c r="G973">
        <v>2</v>
      </c>
    </row>
    <row r="974" spans="1:7" x14ac:dyDescent="0.25">
      <c r="A974" t="s">
        <v>3743</v>
      </c>
      <c r="B974">
        <v>0</v>
      </c>
      <c r="C974">
        <v>8</v>
      </c>
      <c r="D974" t="s">
        <v>1695</v>
      </c>
      <c r="F974">
        <v>100</v>
      </c>
      <c r="G974">
        <v>2</v>
      </c>
    </row>
    <row r="975" spans="1:7" x14ac:dyDescent="0.25">
      <c r="A975">
        <v>779000</v>
      </c>
      <c r="B975">
        <v>0</v>
      </c>
      <c r="C975">
        <v>0.05</v>
      </c>
      <c r="D975" t="s">
        <v>1695</v>
      </c>
      <c r="F975">
        <v>500</v>
      </c>
      <c r="G975">
        <v>2</v>
      </c>
    </row>
    <row r="976" spans="1:7" x14ac:dyDescent="0.25">
      <c r="A976">
        <v>779001</v>
      </c>
      <c r="B976">
        <v>0</v>
      </c>
      <c r="C976">
        <v>5.1999999999999998E-2</v>
      </c>
      <c r="D976" t="s">
        <v>1695</v>
      </c>
      <c r="F976">
        <v>500</v>
      </c>
      <c r="G976">
        <v>2</v>
      </c>
    </row>
    <row r="977" spans="1:7" x14ac:dyDescent="0.25">
      <c r="A977">
        <v>786000</v>
      </c>
      <c r="B977">
        <v>100</v>
      </c>
      <c r="C977">
        <v>0.112</v>
      </c>
      <c r="D977" t="s">
        <v>47</v>
      </c>
      <c r="E977">
        <v>2789</v>
      </c>
      <c r="F977">
        <v>700</v>
      </c>
      <c r="G977">
        <v>2</v>
      </c>
    </row>
    <row r="978" spans="1:7" x14ac:dyDescent="0.25">
      <c r="A978">
        <v>786004</v>
      </c>
      <c r="B978">
        <v>100</v>
      </c>
      <c r="C978">
        <v>0.25800000000000001</v>
      </c>
      <c r="D978" t="s">
        <v>47</v>
      </c>
      <c r="F978">
        <v>600</v>
      </c>
      <c r="G978">
        <v>2</v>
      </c>
    </row>
    <row r="979" spans="1:7" x14ac:dyDescent="0.25">
      <c r="A979">
        <v>786005</v>
      </c>
      <c r="B979">
        <v>100</v>
      </c>
      <c r="C979">
        <v>0.25800000000000001</v>
      </c>
      <c r="D979" t="s">
        <v>47</v>
      </c>
      <c r="F979">
        <v>400</v>
      </c>
      <c r="G979">
        <v>2</v>
      </c>
    </row>
    <row r="980" spans="1:7" x14ac:dyDescent="0.25">
      <c r="A980">
        <v>786007</v>
      </c>
      <c r="B980">
        <v>100</v>
      </c>
      <c r="C980">
        <v>0.17100000000000001</v>
      </c>
      <c r="D980" t="s">
        <v>47</v>
      </c>
      <c r="E980">
        <v>14276</v>
      </c>
      <c r="F980">
        <v>350</v>
      </c>
      <c r="G980">
        <v>2</v>
      </c>
    </row>
    <row r="981" spans="1:7" x14ac:dyDescent="0.25">
      <c r="A981">
        <v>786020</v>
      </c>
      <c r="B981">
        <v>100</v>
      </c>
      <c r="C981">
        <v>0.19900000000000001</v>
      </c>
      <c r="D981" t="s">
        <v>2</v>
      </c>
      <c r="F981">
        <v>400</v>
      </c>
      <c r="G981">
        <v>2</v>
      </c>
    </row>
    <row r="982" spans="1:7" x14ac:dyDescent="0.25">
      <c r="A982">
        <v>786030</v>
      </c>
      <c r="B982">
        <v>100</v>
      </c>
      <c r="C982">
        <v>0.15</v>
      </c>
      <c r="D982" t="s">
        <v>2542</v>
      </c>
      <c r="E982">
        <v>5195</v>
      </c>
      <c r="F982">
        <v>250</v>
      </c>
      <c r="G982">
        <v>2</v>
      </c>
    </row>
    <row r="983" spans="1:7" x14ac:dyDescent="0.25">
      <c r="A983">
        <v>786035</v>
      </c>
      <c r="B983">
        <v>100</v>
      </c>
      <c r="C983">
        <v>1.175</v>
      </c>
      <c r="D983" t="s">
        <v>2</v>
      </c>
      <c r="F983">
        <v>130</v>
      </c>
      <c r="G983">
        <v>2</v>
      </c>
    </row>
    <row r="984" spans="1:7" x14ac:dyDescent="0.25">
      <c r="A984">
        <v>786036</v>
      </c>
      <c r="B984">
        <v>100</v>
      </c>
      <c r="C984">
        <v>1.175</v>
      </c>
      <c r="D984" t="s">
        <v>2</v>
      </c>
      <c r="F984">
        <v>130</v>
      </c>
      <c r="G984">
        <v>2</v>
      </c>
    </row>
    <row r="985" spans="1:7" x14ac:dyDescent="0.25">
      <c r="A985">
        <v>786046</v>
      </c>
      <c r="B985">
        <v>7</v>
      </c>
      <c r="C985">
        <v>7.8E-2</v>
      </c>
      <c r="D985">
        <v>1306</v>
      </c>
      <c r="F985">
        <v>24</v>
      </c>
      <c r="G985">
        <v>2</v>
      </c>
    </row>
    <row r="986" spans="1:7" x14ac:dyDescent="0.25">
      <c r="A986">
        <v>800525</v>
      </c>
      <c r="B986">
        <v>10</v>
      </c>
      <c r="C986">
        <v>2.34</v>
      </c>
      <c r="D986">
        <v>1668</v>
      </c>
      <c r="F986">
        <v>20</v>
      </c>
      <c r="G986">
        <v>2</v>
      </c>
    </row>
    <row r="987" spans="1:7" x14ac:dyDescent="0.25">
      <c r="A987">
        <v>800543</v>
      </c>
      <c r="B987">
        <v>10</v>
      </c>
      <c r="C987">
        <v>0.52</v>
      </c>
      <c r="D987">
        <v>1668</v>
      </c>
      <c r="F987">
        <v>20</v>
      </c>
      <c r="G987">
        <v>2</v>
      </c>
    </row>
    <row r="988" spans="1:7" x14ac:dyDescent="0.25">
      <c r="A988">
        <v>800544</v>
      </c>
      <c r="B988">
        <v>10</v>
      </c>
      <c r="C988">
        <v>1.1200000000000001</v>
      </c>
      <c r="D988">
        <v>1668</v>
      </c>
      <c r="F988">
        <v>15</v>
      </c>
      <c r="G988">
        <v>2</v>
      </c>
    </row>
    <row r="989" spans="1:7" x14ac:dyDescent="0.25">
      <c r="A989">
        <v>800545</v>
      </c>
      <c r="B989">
        <v>10</v>
      </c>
      <c r="C989">
        <v>1.9</v>
      </c>
      <c r="D989">
        <v>1668</v>
      </c>
      <c r="F989">
        <v>10</v>
      </c>
      <c r="G989">
        <v>2</v>
      </c>
    </row>
    <row r="990" spans="1:7" x14ac:dyDescent="0.25">
      <c r="A990">
        <v>800546</v>
      </c>
      <c r="B990">
        <v>10</v>
      </c>
      <c r="C990">
        <v>3.56</v>
      </c>
      <c r="D990">
        <v>1668</v>
      </c>
      <c r="F990">
        <v>1</v>
      </c>
      <c r="G990">
        <v>2</v>
      </c>
    </row>
    <row r="991" spans="1:7" x14ac:dyDescent="0.25">
      <c r="A991">
        <v>800620</v>
      </c>
      <c r="B991">
        <v>100</v>
      </c>
      <c r="C991">
        <v>0.42</v>
      </c>
      <c r="D991" t="s">
        <v>2</v>
      </c>
      <c r="E991">
        <v>2785</v>
      </c>
      <c r="F991">
        <v>200</v>
      </c>
      <c r="G991">
        <v>2</v>
      </c>
    </row>
    <row r="992" spans="1:7" x14ac:dyDescent="0.25">
      <c r="A992">
        <v>800624</v>
      </c>
      <c r="B992">
        <v>100</v>
      </c>
      <c r="C992">
        <v>0.79</v>
      </c>
      <c r="D992" t="s">
        <v>2</v>
      </c>
      <c r="F992">
        <v>200</v>
      </c>
      <c r="G992">
        <v>2</v>
      </c>
    </row>
    <row r="993" spans="1:7" x14ac:dyDescent="0.25">
      <c r="A993">
        <v>812514</v>
      </c>
      <c r="B993">
        <v>0</v>
      </c>
      <c r="C993">
        <v>0.13</v>
      </c>
      <c r="D993" t="s">
        <v>1696</v>
      </c>
      <c r="F993">
        <v>0</v>
      </c>
      <c r="G993">
        <v>2</v>
      </c>
    </row>
    <row r="994" spans="1:7" x14ac:dyDescent="0.25">
      <c r="A994">
        <v>812600</v>
      </c>
      <c r="B994">
        <v>100</v>
      </c>
      <c r="C994">
        <v>0.32900000000000001</v>
      </c>
      <c r="D994">
        <v>4236</v>
      </c>
      <c r="E994">
        <v>17917</v>
      </c>
      <c r="F994">
        <v>400</v>
      </c>
      <c r="G994">
        <v>2</v>
      </c>
    </row>
    <row r="995" spans="1:7" x14ac:dyDescent="0.25">
      <c r="A995">
        <v>812861</v>
      </c>
      <c r="B995">
        <v>100</v>
      </c>
      <c r="C995">
        <v>3.7999999999999999E-2</v>
      </c>
      <c r="D995" t="s">
        <v>2542</v>
      </c>
      <c r="F995">
        <v>0</v>
      </c>
      <c r="G995">
        <v>2</v>
      </c>
    </row>
    <row r="996" spans="1:7" x14ac:dyDescent="0.25">
      <c r="A996">
        <v>812864</v>
      </c>
      <c r="B996">
        <v>100</v>
      </c>
      <c r="C996">
        <v>2.7E-2</v>
      </c>
      <c r="D996" t="s">
        <v>2542</v>
      </c>
      <c r="F996">
        <v>0</v>
      </c>
      <c r="G996">
        <v>2</v>
      </c>
    </row>
    <row r="997" spans="1:7" x14ac:dyDescent="0.25">
      <c r="A997">
        <v>812877</v>
      </c>
      <c r="B997">
        <v>100</v>
      </c>
      <c r="C997">
        <v>6.5000000000000002E-2</v>
      </c>
      <c r="D997">
        <v>4236</v>
      </c>
      <c r="F997">
        <v>500</v>
      </c>
      <c r="G997">
        <v>2</v>
      </c>
    </row>
    <row r="998" spans="1:7" x14ac:dyDescent="0.25">
      <c r="A998">
        <v>812881</v>
      </c>
      <c r="B998">
        <v>100</v>
      </c>
      <c r="C998">
        <v>9.8000000000000004E-2</v>
      </c>
      <c r="D998" t="s">
        <v>2542</v>
      </c>
      <c r="E998">
        <v>5195</v>
      </c>
      <c r="F998">
        <v>300</v>
      </c>
      <c r="G998">
        <v>2</v>
      </c>
    </row>
    <row r="999" spans="1:7" x14ac:dyDescent="0.25">
      <c r="A999">
        <v>812890</v>
      </c>
      <c r="B999">
        <v>100</v>
      </c>
      <c r="C999">
        <v>0.06</v>
      </c>
      <c r="D999">
        <v>4236</v>
      </c>
      <c r="F999">
        <v>400</v>
      </c>
      <c r="G999">
        <v>2</v>
      </c>
    </row>
    <row r="1000" spans="1:7" x14ac:dyDescent="0.25">
      <c r="A1000">
        <v>812897</v>
      </c>
      <c r="B1000">
        <v>100</v>
      </c>
      <c r="C1000">
        <v>7.4999999999999997E-2</v>
      </c>
      <c r="D1000">
        <v>4236</v>
      </c>
      <c r="F1000">
        <v>600</v>
      </c>
      <c r="G1000">
        <v>2</v>
      </c>
    </row>
    <row r="1001" spans="1:7" x14ac:dyDescent="0.25">
      <c r="A1001">
        <v>812910</v>
      </c>
      <c r="B1001">
        <v>100</v>
      </c>
      <c r="C1001">
        <v>6.2E-2</v>
      </c>
      <c r="D1001">
        <v>4236</v>
      </c>
      <c r="F1001">
        <v>400</v>
      </c>
      <c r="G1001">
        <v>2</v>
      </c>
    </row>
    <row r="1002" spans="1:7" x14ac:dyDescent="0.25">
      <c r="A1002">
        <v>812912</v>
      </c>
      <c r="B1002">
        <v>100</v>
      </c>
      <c r="C1002">
        <v>0.13500000000000001</v>
      </c>
      <c r="D1002">
        <v>4236</v>
      </c>
      <c r="F1002">
        <v>300</v>
      </c>
      <c r="G1002">
        <v>2</v>
      </c>
    </row>
    <row r="1003" spans="1:7" x14ac:dyDescent="0.25">
      <c r="A1003">
        <v>812930</v>
      </c>
      <c r="B1003">
        <v>100</v>
      </c>
      <c r="C1003">
        <v>7.1999999999999995E-2</v>
      </c>
      <c r="D1003">
        <v>4236</v>
      </c>
      <c r="F1003">
        <v>400</v>
      </c>
      <c r="G1003">
        <v>2</v>
      </c>
    </row>
    <row r="1004" spans="1:7" x14ac:dyDescent="0.25">
      <c r="A1004">
        <v>812932</v>
      </c>
      <c r="B1004">
        <v>100</v>
      </c>
      <c r="C1004">
        <v>0.104</v>
      </c>
      <c r="D1004">
        <v>4236</v>
      </c>
      <c r="F1004">
        <v>400</v>
      </c>
      <c r="G1004">
        <v>2</v>
      </c>
    </row>
    <row r="1005" spans="1:7" x14ac:dyDescent="0.25">
      <c r="A1005">
        <v>812950</v>
      </c>
      <c r="B1005">
        <v>100</v>
      </c>
      <c r="C1005">
        <v>0.25600000000000001</v>
      </c>
      <c r="D1005">
        <v>4236</v>
      </c>
      <c r="F1005">
        <v>100</v>
      </c>
      <c r="G1005">
        <v>2</v>
      </c>
    </row>
    <row r="1006" spans="1:7" x14ac:dyDescent="0.25">
      <c r="A1006">
        <v>820000</v>
      </c>
      <c r="B1006">
        <v>100</v>
      </c>
      <c r="C1006">
        <v>0.98199999999999998</v>
      </c>
      <c r="D1006" t="s">
        <v>2542</v>
      </c>
      <c r="E1006">
        <v>14276</v>
      </c>
      <c r="F1006">
        <v>250</v>
      </c>
      <c r="G1006">
        <v>2</v>
      </c>
    </row>
    <row r="1007" spans="1:7" x14ac:dyDescent="0.25">
      <c r="A1007">
        <v>820500</v>
      </c>
      <c r="B1007">
        <v>100</v>
      </c>
      <c r="C1007">
        <v>0.96799999999999997</v>
      </c>
      <c r="D1007" t="s">
        <v>4</v>
      </c>
      <c r="F1007">
        <v>200</v>
      </c>
      <c r="G1007">
        <v>2</v>
      </c>
    </row>
    <row r="1008" spans="1:7" x14ac:dyDescent="0.25">
      <c r="A1008">
        <v>820511</v>
      </c>
      <c r="B1008">
        <v>100</v>
      </c>
      <c r="C1008">
        <v>1.3819999999999999</v>
      </c>
      <c r="D1008" t="s">
        <v>4</v>
      </c>
      <c r="F1008">
        <v>100</v>
      </c>
      <c r="G1008">
        <v>2</v>
      </c>
    </row>
    <row r="1009" spans="1:7" x14ac:dyDescent="0.25">
      <c r="A1009">
        <v>820612</v>
      </c>
      <c r="B1009">
        <v>100</v>
      </c>
      <c r="C1009">
        <v>1.798</v>
      </c>
      <c r="D1009" t="s">
        <v>1694</v>
      </c>
      <c r="E1009">
        <v>10182</v>
      </c>
      <c r="F1009">
        <v>30</v>
      </c>
      <c r="G1009">
        <v>2</v>
      </c>
    </row>
    <row r="1010" spans="1:7" x14ac:dyDescent="0.25">
      <c r="A1010">
        <v>820613</v>
      </c>
      <c r="B1010">
        <v>100</v>
      </c>
      <c r="C1010">
        <v>1.1499999999999999</v>
      </c>
      <c r="D1010" t="s">
        <v>1694</v>
      </c>
      <c r="E1010">
        <v>10182</v>
      </c>
      <c r="F1010">
        <v>30</v>
      </c>
      <c r="G1010">
        <v>2</v>
      </c>
    </row>
    <row r="1011" spans="1:7" x14ac:dyDescent="0.25">
      <c r="A1011">
        <v>820614</v>
      </c>
      <c r="B1011">
        <v>100</v>
      </c>
      <c r="C1011">
        <v>0.92500000000000004</v>
      </c>
      <c r="D1011" t="s">
        <v>1694</v>
      </c>
      <c r="E1011">
        <v>19530</v>
      </c>
      <c r="F1011">
        <v>80</v>
      </c>
      <c r="G1011">
        <v>2</v>
      </c>
    </row>
    <row r="1012" spans="1:7" x14ac:dyDescent="0.25">
      <c r="A1012">
        <v>820705</v>
      </c>
      <c r="B1012">
        <v>90</v>
      </c>
      <c r="C1012">
        <v>0.7</v>
      </c>
      <c r="D1012" t="s">
        <v>4</v>
      </c>
      <c r="E1012">
        <v>13024</v>
      </c>
      <c r="F1012">
        <v>150</v>
      </c>
      <c r="G1012">
        <v>2</v>
      </c>
    </row>
    <row r="1013" spans="1:7" x14ac:dyDescent="0.25">
      <c r="A1013">
        <v>830250</v>
      </c>
      <c r="B1013">
        <v>100</v>
      </c>
      <c r="C1013">
        <v>2.0640000000000001</v>
      </c>
      <c r="D1013" t="s">
        <v>4</v>
      </c>
      <c r="F1013">
        <v>400</v>
      </c>
      <c r="G1013">
        <v>2</v>
      </c>
    </row>
    <row r="1014" spans="1:7" x14ac:dyDescent="0.25">
      <c r="A1014">
        <v>831030</v>
      </c>
      <c r="B1014">
        <v>100</v>
      </c>
      <c r="C1014">
        <v>1.5980000000000001</v>
      </c>
      <c r="D1014" t="s">
        <v>4</v>
      </c>
      <c r="F1014">
        <v>1600</v>
      </c>
      <c r="G1014">
        <v>2</v>
      </c>
    </row>
    <row r="1015" spans="1:7" x14ac:dyDescent="0.25">
      <c r="A1015">
        <v>831033</v>
      </c>
      <c r="B1015">
        <v>100</v>
      </c>
      <c r="C1015">
        <v>1.7030000000000001</v>
      </c>
      <c r="D1015" t="s">
        <v>4</v>
      </c>
      <c r="F1015">
        <v>1050</v>
      </c>
      <c r="G1015">
        <v>2</v>
      </c>
    </row>
    <row r="1016" spans="1:7" x14ac:dyDescent="0.25">
      <c r="A1016">
        <v>832000</v>
      </c>
      <c r="B1016">
        <v>100</v>
      </c>
      <c r="C1016">
        <v>0.32</v>
      </c>
      <c r="D1016" t="s">
        <v>4</v>
      </c>
      <c r="F1016">
        <v>350</v>
      </c>
      <c r="G1016">
        <v>2</v>
      </c>
    </row>
    <row r="1017" spans="1:7" x14ac:dyDescent="0.25">
      <c r="A1017">
        <v>832005</v>
      </c>
      <c r="B1017">
        <v>100</v>
      </c>
      <c r="C1017">
        <v>0.248</v>
      </c>
      <c r="D1017" t="s">
        <v>4</v>
      </c>
      <c r="F1017">
        <v>380</v>
      </c>
      <c r="G1017">
        <v>2</v>
      </c>
    </row>
    <row r="1018" spans="1:7" x14ac:dyDescent="0.25">
      <c r="A1018">
        <v>832008</v>
      </c>
      <c r="B1018">
        <v>100</v>
      </c>
      <c r="C1018">
        <v>0.61599999999999999</v>
      </c>
      <c r="D1018" t="s">
        <v>2542</v>
      </c>
      <c r="E1018">
        <v>17621</v>
      </c>
      <c r="F1018">
        <v>120</v>
      </c>
      <c r="G1018">
        <v>2</v>
      </c>
    </row>
    <row r="1019" spans="1:7" x14ac:dyDescent="0.25">
      <c r="A1019">
        <v>832023</v>
      </c>
      <c r="B1019">
        <v>100</v>
      </c>
      <c r="C1019">
        <v>3.996</v>
      </c>
      <c r="D1019" t="s">
        <v>1694</v>
      </c>
      <c r="E1019">
        <v>13024</v>
      </c>
      <c r="F1019">
        <v>15</v>
      </c>
      <c r="G1019">
        <v>2</v>
      </c>
    </row>
    <row r="1020" spans="1:7" x14ac:dyDescent="0.25">
      <c r="A1020">
        <v>833012</v>
      </c>
      <c r="B1020">
        <v>100</v>
      </c>
      <c r="C1020">
        <v>0.13</v>
      </c>
      <c r="D1020" t="s">
        <v>2</v>
      </c>
      <c r="E1020">
        <v>6448</v>
      </c>
      <c r="F1020">
        <v>220</v>
      </c>
      <c r="G1020">
        <v>2</v>
      </c>
    </row>
    <row r="1021" spans="1:7" x14ac:dyDescent="0.25">
      <c r="A1021">
        <v>833013</v>
      </c>
      <c r="B1021">
        <v>100</v>
      </c>
      <c r="C1021">
        <v>0.16500000000000001</v>
      </c>
      <c r="D1021" t="s">
        <v>2542</v>
      </c>
      <c r="E1021">
        <v>6448</v>
      </c>
      <c r="F1021">
        <v>200</v>
      </c>
      <c r="G1021">
        <v>2</v>
      </c>
    </row>
    <row r="1022" spans="1:7" x14ac:dyDescent="0.25">
      <c r="A1022">
        <v>833051</v>
      </c>
      <c r="B1022">
        <v>100</v>
      </c>
      <c r="C1022">
        <v>0.375</v>
      </c>
      <c r="D1022" t="s">
        <v>2542</v>
      </c>
      <c r="F1022">
        <v>100</v>
      </c>
      <c r="G1022">
        <v>2</v>
      </c>
    </row>
    <row r="1023" spans="1:7" x14ac:dyDescent="0.25">
      <c r="A1023">
        <v>833052</v>
      </c>
      <c r="B1023">
        <v>100</v>
      </c>
      <c r="C1023">
        <v>0</v>
      </c>
      <c r="D1023" t="s">
        <v>1694</v>
      </c>
      <c r="F1023">
        <v>50</v>
      </c>
      <c r="G1023">
        <v>2</v>
      </c>
    </row>
    <row r="1024" spans="1:7" x14ac:dyDescent="0.25">
      <c r="A1024">
        <v>833053</v>
      </c>
      <c r="B1024">
        <v>100</v>
      </c>
      <c r="C1024">
        <v>0.14000000000000001</v>
      </c>
      <c r="D1024" t="s">
        <v>2542</v>
      </c>
      <c r="E1024">
        <v>2789</v>
      </c>
      <c r="F1024">
        <v>400</v>
      </c>
      <c r="G1024">
        <v>2</v>
      </c>
    </row>
    <row r="1025" spans="1:7" x14ac:dyDescent="0.25">
      <c r="A1025">
        <v>833054</v>
      </c>
      <c r="B1025">
        <v>100</v>
      </c>
      <c r="C1025">
        <v>0.19500000000000001</v>
      </c>
      <c r="D1025" t="s">
        <v>1694</v>
      </c>
      <c r="F1025">
        <v>50</v>
      </c>
      <c r="G1025">
        <v>2</v>
      </c>
    </row>
    <row r="1026" spans="1:7" x14ac:dyDescent="0.25">
      <c r="A1026">
        <v>833060</v>
      </c>
      <c r="B1026">
        <v>100</v>
      </c>
      <c r="C1026">
        <v>0.625</v>
      </c>
      <c r="D1026" t="s">
        <v>1694</v>
      </c>
      <c r="F1026">
        <v>50</v>
      </c>
      <c r="G1026">
        <v>2</v>
      </c>
    </row>
    <row r="1027" spans="1:7" x14ac:dyDescent="0.25">
      <c r="A1027">
        <v>833062</v>
      </c>
      <c r="B1027">
        <v>100</v>
      </c>
      <c r="C1027">
        <v>0.27</v>
      </c>
      <c r="D1027" t="s">
        <v>2</v>
      </c>
      <c r="E1027">
        <v>6448</v>
      </c>
      <c r="F1027">
        <v>180</v>
      </c>
      <c r="G1027">
        <v>2</v>
      </c>
    </row>
    <row r="1028" spans="1:7" x14ac:dyDescent="0.25">
      <c r="A1028">
        <v>833063</v>
      </c>
      <c r="B1028">
        <v>100</v>
      </c>
      <c r="C1028">
        <v>0.27</v>
      </c>
      <c r="D1028" t="s">
        <v>2</v>
      </c>
      <c r="E1028">
        <v>6448</v>
      </c>
      <c r="F1028">
        <v>130</v>
      </c>
      <c r="G1028">
        <v>2</v>
      </c>
    </row>
    <row r="1029" spans="1:7" x14ac:dyDescent="0.25">
      <c r="A1029">
        <v>833064</v>
      </c>
      <c r="B1029">
        <v>100</v>
      </c>
      <c r="C1029">
        <v>0.625</v>
      </c>
      <c r="D1029" t="s">
        <v>2</v>
      </c>
      <c r="E1029">
        <v>5195</v>
      </c>
      <c r="F1029">
        <v>900</v>
      </c>
      <c r="G1029">
        <v>2</v>
      </c>
    </row>
    <row r="1030" spans="1:7" x14ac:dyDescent="0.25">
      <c r="A1030">
        <v>833070</v>
      </c>
      <c r="B1030">
        <v>100</v>
      </c>
      <c r="C1030">
        <v>0.33600000000000002</v>
      </c>
      <c r="D1030" t="s">
        <v>2</v>
      </c>
      <c r="F1030">
        <v>120</v>
      </c>
      <c r="G1030">
        <v>2</v>
      </c>
    </row>
    <row r="1031" spans="1:7" x14ac:dyDescent="0.25">
      <c r="A1031">
        <v>833076</v>
      </c>
      <c r="B1031">
        <v>100</v>
      </c>
      <c r="C1031">
        <v>0.78300000000000003</v>
      </c>
      <c r="D1031" t="s">
        <v>2</v>
      </c>
      <c r="F1031">
        <v>200</v>
      </c>
      <c r="G1031">
        <v>2</v>
      </c>
    </row>
    <row r="1032" spans="1:7" x14ac:dyDescent="0.25">
      <c r="A1032">
        <v>833080</v>
      </c>
      <c r="B1032">
        <v>100</v>
      </c>
      <c r="C1032">
        <v>0.27</v>
      </c>
      <c r="D1032" t="s">
        <v>2542</v>
      </c>
      <c r="F1032">
        <v>500</v>
      </c>
      <c r="G1032">
        <v>2</v>
      </c>
    </row>
    <row r="1033" spans="1:7" x14ac:dyDescent="0.25">
      <c r="A1033">
        <v>833082</v>
      </c>
      <c r="B1033">
        <v>100</v>
      </c>
      <c r="C1033">
        <v>0.35199999999999998</v>
      </c>
      <c r="D1033" t="s">
        <v>2</v>
      </c>
      <c r="F1033">
        <v>200</v>
      </c>
      <c r="G1033">
        <v>2</v>
      </c>
    </row>
    <row r="1034" spans="1:7" x14ac:dyDescent="0.25">
      <c r="A1034">
        <v>833083</v>
      </c>
      <c r="B1034">
        <v>100</v>
      </c>
      <c r="C1034">
        <v>0.24299999999999999</v>
      </c>
      <c r="D1034" t="s">
        <v>2</v>
      </c>
      <c r="F1034">
        <v>250</v>
      </c>
      <c r="G1034">
        <v>2</v>
      </c>
    </row>
    <row r="1035" spans="1:7" x14ac:dyDescent="0.25">
      <c r="A1035">
        <v>833087</v>
      </c>
      <c r="B1035">
        <v>100</v>
      </c>
      <c r="C1035">
        <v>0.34699999999999998</v>
      </c>
      <c r="D1035" t="s">
        <v>2</v>
      </c>
      <c r="F1035">
        <v>250</v>
      </c>
      <c r="G1035">
        <v>2</v>
      </c>
    </row>
    <row r="1036" spans="1:7" x14ac:dyDescent="0.25">
      <c r="A1036">
        <v>833089</v>
      </c>
      <c r="B1036">
        <v>100</v>
      </c>
      <c r="C1036">
        <v>0.625</v>
      </c>
      <c r="D1036" t="s">
        <v>1694</v>
      </c>
      <c r="F1036">
        <v>50</v>
      </c>
      <c r="G1036">
        <v>2</v>
      </c>
    </row>
    <row r="1037" spans="1:7" x14ac:dyDescent="0.25">
      <c r="A1037">
        <v>833090</v>
      </c>
      <c r="B1037">
        <v>100</v>
      </c>
      <c r="C1037">
        <v>0.42499999999999999</v>
      </c>
      <c r="D1037" t="s">
        <v>1694</v>
      </c>
      <c r="F1037">
        <v>50</v>
      </c>
      <c r="G1037">
        <v>2</v>
      </c>
    </row>
    <row r="1038" spans="1:7" x14ac:dyDescent="0.25">
      <c r="A1038">
        <v>833091</v>
      </c>
      <c r="B1038">
        <v>100</v>
      </c>
      <c r="C1038">
        <v>0.77500000000000002</v>
      </c>
      <c r="D1038" t="s">
        <v>1694</v>
      </c>
      <c r="F1038">
        <v>50</v>
      </c>
      <c r="G1038">
        <v>2</v>
      </c>
    </row>
    <row r="1039" spans="1:7" x14ac:dyDescent="0.25">
      <c r="A1039">
        <v>833092</v>
      </c>
      <c r="B1039">
        <v>100</v>
      </c>
      <c r="C1039">
        <v>0.34699999999999998</v>
      </c>
      <c r="D1039" t="s">
        <v>1694</v>
      </c>
      <c r="F1039">
        <v>50</v>
      </c>
      <c r="G1039">
        <v>2</v>
      </c>
    </row>
    <row r="1040" spans="1:7" x14ac:dyDescent="0.25">
      <c r="A1040">
        <v>840205</v>
      </c>
      <c r="B1040">
        <v>14</v>
      </c>
      <c r="C1040">
        <v>0.114</v>
      </c>
      <c r="D1040">
        <v>1306</v>
      </c>
      <c r="F1040">
        <v>50</v>
      </c>
      <c r="G1040">
        <v>2</v>
      </c>
    </row>
    <row r="1041" spans="1:7" x14ac:dyDescent="0.25">
      <c r="A1041">
        <v>840206</v>
      </c>
      <c r="B1041">
        <v>7</v>
      </c>
      <c r="C1041">
        <v>4.4999999999999998E-2</v>
      </c>
      <c r="D1041">
        <v>1425</v>
      </c>
      <c r="F1041">
        <v>5</v>
      </c>
      <c r="G1041">
        <v>2</v>
      </c>
    </row>
    <row r="1042" spans="1:7" x14ac:dyDescent="0.25">
      <c r="A1042">
        <v>840207</v>
      </c>
      <c r="B1042">
        <v>7</v>
      </c>
      <c r="C1042">
        <v>7.6999999999999999E-2</v>
      </c>
      <c r="D1042">
        <v>1425</v>
      </c>
      <c r="F1042">
        <v>60</v>
      </c>
      <c r="G1042">
        <v>2</v>
      </c>
    </row>
    <row r="1043" spans="1:7" x14ac:dyDescent="0.25">
      <c r="A1043">
        <v>840240</v>
      </c>
      <c r="B1043">
        <v>7</v>
      </c>
      <c r="C1043">
        <v>0.16700000000000001</v>
      </c>
      <c r="D1043">
        <v>1425</v>
      </c>
      <c r="F1043">
        <v>20</v>
      </c>
      <c r="G1043">
        <v>2</v>
      </c>
    </row>
    <row r="1044" spans="1:7" x14ac:dyDescent="0.25">
      <c r="A1044">
        <v>841102</v>
      </c>
      <c r="B1044">
        <v>100</v>
      </c>
      <c r="C1044">
        <v>0.22900000000000001</v>
      </c>
      <c r="D1044" t="s">
        <v>2</v>
      </c>
      <c r="F1044">
        <v>600</v>
      </c>
      <c r="G1044">
        <v>2</v>
      </c>
    </row>
    <row r="1045" spans="1:7" x14ac:dyDescent="0.25">
      <c r="A1045">
        <v>841104</v>
      </c>
      <c r="B1045">
        <v>100</v>
      </c>
      <c r="C1045">
        <v>0.51500000000000001</v>
      </c>
      <c r="D1045" t="s">
        <v>2</v>
      </c>
      <c r="F1045">
        <v>550</v>
      </c>
      <c r="G1045">
        <v>2</v>
      </c>
    </row>
    <row r="1046" spans="1:7" x14ac:dyDescent="0.25">
      <c r="A1046">
        <v>841202</v>
      </c>
      <c r="B1046">
        <v>100</v>
      </c>
      <c r="C1046">
        <v>0.60899999999999999</v>
      </c>
      <c r="D1046" t="s">
        <v>2</v>
      </c>
      <c r="F1046">
        <v>1200</v>
      </c>
      <c r="G1046">
        <v>2</v>
      </c>
    </row>
    <row r="1047" spans="1:7" x14ac:dyDescent="0.25">
      <c r="A1047">
        <v>841262</v>
      </c>
      <c r="B1047">
        <v>100</v>
      </c>
      <c r="C1047">
        <v>1.754</v>
      </c>
      <c r="D1047" t="s">
        <v>2</v>
      </c>
      <c r="F1047">
        <v>600</v>
      </c>
      <c r="G1047">
        <v>2</v>
      </c>
    </row>
    <row r="1048" spans="1:7" x14ac:dyDescent="0.25">
      <c r="A1048">
        <v>841300</v>
      </c>
      <c r="B1048">
        <v>7</v>
      </c>
      <c r="C1048">
        <v>0.05</v>
      </c>
      <c r="D1048">
        <v>1306</v>
      </c>
      <c r="E1048">
        <v>3097</v>
      </c>
      <c r="F1048">
        <v>60</v>
      </c>
      <c r="G1048">
        <v>2</v>
      </c>
    </row>
    <row r="1049" spans="1:7" x14ac:dyDescent="0.25">
      <c r="A1049">
        <v>841301</v>
      </c>
      <c r="B1049">
        <v>7</v>
      </c>
      <c r="C1049">
        <v>0.1</v>
      </c>
      <c r="D1049">
        <v>1425</v>
      </c>
      <c r="E1049">
        <v>3097</v>
      </c>
      <c r="F1049">
        <v>60</v>
      </c>
      <c r="G1049">
        <v>2</v>
      </c>
    </row>
    <row r="1050" spans="1:7" x14ac:dyDescent="0.25">
      <c r="A1050">
        <v>841302</v>
      </c>
      <c r="B1050">
        <v>14</v>
      </c>
      <c r="C1050">
        <v>0.1</v>
      </c>
      <c r="D1050">
        <v>1425</v>
      </c>
      <c r="F1050">
        <v>48</v>
      </c>
      <c r="G1050">
        <v>2</v>
      </c>
    </row>
    <row r="1051" spans="1:7" x14ac:dyDescent="0.25">
      <c r="A1051">
        <v>841303</v>
      </c>
      <c r="B1051">
        <v>14</v>
      </c>
      <c r="C1051">
        <v>0.14399999999999999</v>
      </c>
      <c r="D1051">
        <v>1425</v>
      </c>
      <c r="F1051">
        <v>72</v>
      </c>
      <c r="G1051">
        <v>2</v>
      </c>
    </row>
    <row r="1052" spans="1:7" x14ac:dyDescent="0.25">
      <c r="A1052">
        <v>841305</v>
      </c>
      <c r="B1052">
        <v>7</v>
      </c>
      <c r="C1052">
        <v>0.1</v>
      </c>
      <c r="D1052">
        <v>1425</v>
      </c>
      <c r="E1052">
        <v>3097</v>
      </c>
      <c r="F1052">
        <v>60</v>
      </c>
      <c r="G1052">
        <v>2</v>
      </c>
    </row>
    <row r="1053" spans="1:7" x14ac:dyDescent="0.25">
      <c r="A1053">
        <v>841306</v>
      </c>
      <c r="B1053">
        <v>14</v>
      </c>
      <c r="C1053">
        <v>0.11700000000000001</v>
      </c>
      <c r="D1053">
        <v>1425</v>
      </c>
      <c r="F1053">
        <v>75</v>
      </c>
      <c r="G1053">
        <v>2</v>
      </c>
    </row>
    <row r="1054" spans="1:7" x14ac:dyDescent="0.25">
      <c r="A1054">
        <v>841307</v>
      </c>
      <c r="B1054">
        <v>14</v>
      </c>
      <c r="C1054">
        <v>3.3000000000000002E-2</v>
      </c>
      <c r="D1054">
        <v>1306</v>
      </c>
      <c r="E1054">
        <v>3097</v>
      </c>
      <c r="F1054">
        <v>80</v>
      </c>
      <c r="G1054">
        <v>2</v>
      </c>
    </row>
    <row r="1055" spans="1:7" x14ac:dyDescent="0.25">
      <c r="A1055">
        <v>841309</v>
      </c>
      <c r="B1055">
        <v>14</v>
      </c>
      <c r="C1055">
        <v>0.1</v>
      </c>
      <c r="D1055">
        <v>1425</v>
      </c>
      <c r="F1055">
        <v>40</v>
      </c>
      <c r="G1055">
        <v>2</v>
      </c>
    </row>
    <row r="1056" spans="1:7" x14ac:dyDescent="0.25">
      <c r="A1056">
        <v>841311</v>
      </c>
      <c r="B1056">
        <v>14</v>
      </c>
      <c r="C1056">
        <v>0.1</v>
      </c>
      <c r="D1056">
        <v>1425</v>
      </c>
      <c r="F1056">
        <v>40</v>
      </c>
      <c r="G1056">
        <v>2</v>
      </c>
    </row>
    <row r="1057" spans="1:7" x14ac:dyDescent="0.25">
      <c r="A1057">
        <v>841315</v>
      </c>
      <c r="B1057">
        <v>14</v>
      </c>
      <c r="C1057">
        <v>0.19</v>
      </c>
      <c r="D1057">
        <v>1425</v>
      </c>
      <c r="F1057">
        <v>24</v>
      </c>
      <c r="G1057">
        <v>2</v>
      </c>
    </row>
    <row r="1058" spans="1:7" x14ac:dyDescent="0.25">
      <c r="A1058">
        <v>841316</v>
      </c>
      <c r="B1058">
        <v>14</v>
      </c>
      <c r="C1058">
        <v>0.20300000000000001</v>
      </c>
      <c r="D1058">
        <v>1425</v>
      </c>
      <c r="F1058">
        <v>16</v>
      </c>
      <c r="G1058">
        <v>2</v>
      </c>
    </row>
    <row r="1059" spans="1:7" x14ac:dyDescent="0.25">
      <c r="A1059">
        <v>841317</v>
      </c>
      <c r="B1059">
        <v>14</v>
      </c>
      <c r="C1059">
        <v>0.215</v>
      </c>
      <c r="D1059">
        <v>1425</v>
      </c>
      <c r="F1059">
        <v>20</v>
      </c>
      <c r="G1059">
        <v>2</v>
      </c>
    </row>
    <row r="1060" spans="1:7" x14ac:dyDescent="0.25">
      <c r="A1060">
        <v>841318</v>
      </c>
      <c r="B1060">
        <v>7</v>
      </c>
      <c r="C1060">
        <v>0.28000000000000003</v>
      </c>
      <c r="D1060">
        <v>1425</v>
      </c>
      <c r="F1060">
        <v>30</v>
      </c>
      <c r="G1060">
        <v>2</v>
      </c>
    </row>
    <row r="1061" spans="1:7" x14ac:dyDescent="0.25">
      <c r="A1061">
        <v>841320</v>
      </c>
      <c r="B1061">
        <v>10</v>
      </c>
      <c r="C1061">
        <v>2.3E-2</v>
      </c>
      <c r="D1061" t="s">
        <v>54</v>
      </c>
      <c r="F1061">
        <v>60</v>
      </c>
      <c r="G1061">
        <v>2</v>
      </c>
    </row>
    <row r="1062" spans="1:7" x14ac:dyDescent="0.25">
      <c r="A1062">
        <v>841322</v>
      </c>
      <c r="B1062">
        <v>10</v>
      </c>
      <c r="C1062">
        <v>4.8000000000000001E-2</v>
      </c>
      <c r="D1062" t="s">
        <v>54</v>
      </c>
      <c r="F1062">
        <v>300</v>
      </c>
      <c r="G1062">
        <v>2</v>
      </c>
    </row>
    <row r="1063" spans="1:7" x14ac:dyDescent="0.25">
      <c r="A1063">
        <v>841324</v>
      </c>
      <c r="B1063">
        <v>10</v>
      </c>
      <c r="C1063">
        <v>3.7999999999999999E-2</v>
      </c>
      <c r="D1063" t="s">
        <v>54</v>
      </c>
      <c r="F1063">
        <v>36</v>
      </c>
      <c r="G1063">
        <v>2</v>
      </c>
    </row>
    <row r="1064" spans="1:7" x14ac:dyDescent="0.25">
      <c r="A1064">
        <v>841328</v>
      </c>
      <c r="B1064">
        <v>14</v>
      </c>
      <c r="C1064">
        <v>7.3999999999999996E-2</v>
      </c>
      <c r="D1064">
        <v>1306</v>
      </c>
      <c r="E1064">
        <v>3097</v>
      </c>
      <c r="F1064">
        <v>20</v>
      </c>
      <c r="G1064">
        <v>2</v>
      </c>
    </row>
    <row r="1065" spans="1:7" x14ac:dyDescent="0.25">
      <c r="A1065">
        <v>841330</v>
      </c>
      <c r="B1065">
        <v>100</v>
      </c>
      <c r="C1065">
        <v>0.106</v>
      </c>
      <c r="D1065" t="s">
        <v>2</v>
      </c>
      <c r="F1065">
        <v>240</v>
      </c>
      <c r="G1065">
        <v>2</v>
      </c>
    </row>
    <row r="1066" spans="1:7" x14ac:dyDescent="0.25">
      <c r="A1066">
        <v>841340</v>
      </c>
      <c r="B1066">
        <v>14</v>
      </c>
      <c r="C1066">
        <v>0.13</v>
      </c>
      <c r="D1066">
        <v>1306</v>
      </c>
      <c r="F1066">
        <v>50</v>
      </c>
      <c r="G1066">
        <v>2</v>
      </c>
    </row>
    <row r="1067" spans="1:7" x14ac:dyDescent="0.25">
      <c r="A1067">
        <v>841402</v>
      </c>
      <c r="B1067">
        <v>14</v>
      </c>
      <c r="C1067">
        <v>0.13</v>
      </c>
      <c r="D1067">
        <v>1425</v>
      </c>
      <c r="F1067">
        <v>80</v>
      </c>
      <c r="G1067">
        <v>2</v>
      </c>
    </row>
    <row r="1068" spans="1:7" x14ac:dyDescent="0.25">
      <c r="A1068">
        <v>841405</v>
      </c>
      <c r="B1068">
        <v>14</v>
      </c>
      <c r="C1068">
        <v>0.21</v>
      </c>
      <c r="D1068">
        <v>1425</v>
      </c>
      <c r="F1068">
        <v>40</v>
      </c>
      <c r="G1068">
        <v>2</v>
      </c>
    </row>
    <row r="1069" spans="1:7" x14ac:dyDescent="0.25">
      <c r="A1069">
        <v>841451</v>
      </c>
      <c r="B1069">
        <v>14</v>
      </c>
      <c r="C1069">
        <v>5.0999999999999997E-2</v>
      </c>
      <c r="D1069">
        <v>1306</v>
      </c>
      <c r="F1069">
        <v>6</v>
      </c>
      <c r="G1069">
        <v>2</v>
      </c>
    </row>
    <row r="1070" spans="1:7" x14ac:dyDescent="0.25">
      <c r="A1070">
        <v>841455</v>
      </c>
      <c r="B1070">
        <v>14</v>
      </c>
      <c r="C1070">
        <v>0.104</v>
      </c>
      <c r="D1070">
        <v>1306</v>
      </c>
      <c r="F1070">
        <v>12</v>
      </c>
      <c r="G1070">
        <v>2</v>
      </c>
    </row>
    <row r="1071" spans="1:7" x14ac:dyDescent="0.25">
      <c r="A1071">
        <v>841456</v>
      </c>
      <c r="B1071">
        <v>14</v>
      </c>
      <c r="C1071">
        <v>0.112</v>
      </c>
      <c r="D1071">
        <v>1306</v>
      </c>
      <c r="F1071">
        <v>20</v>
      </c>
      <c r="G1071">
        <v>2</v>
      </c>
    </row>
    <row r="1072" spans="1:7" x14ac:dyDescent="0.25">
      <c r="A1072">
        <v>841459</v>
      </c>
      <c r="B1072">
        <v>14</v>
      </c>
      <c r="C1072">
        <v>1.9E-2</v>
      </c>
      <c r="D1072">
        <v>1306</v>
      </c>
      <c r="F1072">
        <v>0</v>
      </c>
      <c r="G1072">
        <v>2</v>
      </c>
    </row>
    <row r="1073" spans="1:7" x14ac:dyDescent="0.25">
      <c r="A1073">
        <v>841602</v>
      </c>
      <c r="B1073">
        <v>7</v>
      </c>
      <c r="C1073">
        <v>1.4</v>
      </c>
      <c r="D1073">
        <v>9335</v>
      </c>
      <c r="F1073">
        <v>0</v>
      </c>
      <c r="G1073">
        <v>2</v>
      </c>
    </row>
    <row r="1074" spans="1:7" x14ac:dyDescent="0.25">
      <c r="A1074">
        <v>841619</v>
      </c>
      <c r="B1074">
        <v>7</v>
      </c>
      <c r="C1074">
        <v>1.4</v>
      </c>
      <c r="D1074">
        <v>9335</v>
      </c>
      <c r="F1074">
        <v>0</v>
      </c>
      <c r="G1074">
        <v>2</v>
      </c>
    </row>
    <row r="1075" spans="1:7" x14ac:dyDescent="0.25">
      <c r="A1075">
        <v>841623</v>
      </c>
      <c r="B1075">
        <v>7</v>
      </c>
      <c r="C1075">
        <v>2</v>
      </c>
      <c r="D1075">
        <v>9335</v>
      </c>
      <c r="F1075">
        <v>0</v>
      </c>
      <c r="G1075">
        <v>2</v>
      </c>
    </row>
    <row r="1076" spans="1:7" x14ac:dyDescent="0.25">
      <c r="A1076">
        <v>841624</v>
      </c>
      <c r="B1076">
        <v>7</v>
      </c>
      <c r="C1076">
        <v>0.78</v>
      </c>
      <c r="D1076">
        <v>9335</v>
      </c>
      <c r="F1076">
        <v>18</v>
      </c>
      <c r="G1076">
        <v>2</v>
      </c>
    </row>
    <row r="1077" spans="1:7" x14ac:dyDescent="0.25">
      <c r="A1077">
        <v>841625</v>
      </c>
      <c r="B1077">
        <v>7</v>
      </c>
      <c r="C1077">
        <v>1.35</v>
      </c>
      <c r="D1077">
        <v>9335</v>
      </c>
      <c r="F1077">
        <v>0</v>
      </c>
      <c r="G1077">
        <v>2</v>
      </c>
    </row>
    <row r="1078" spans="1:7" x14ac:dyDescent="0.25">
      <c r="A1078">
        <v>841631</v>
      </c>
      <c r="B1078">
        <v>7</v>
      </c>
      <c r="C1078">
        <v>0.68</v>
      </c>
      <c r="D1078">
        <v>9335</v>
      </c>
      <c r="F1078">
        <v>0</v>
      </c>
      <c r="G1078">
        <v>2</v>
      </c>
    </row>
    <row r="1079" spans="1:7" x14ac:dyDescent="0.25">
      <c r="A1079">
        <v>841634</v>
      </c>
      <c r="B1079">
        <v>7</v>
      </c>
      <c r="C1079">
        <v>1.6659999999999999</v>
      </c>
      <c r="D1079">
        <v>9335</v>
      </c>
      <c r="F1079">
        <v>0</v>
      </c>
      <c r="G1079">
        <v>2</v>
      </c>
    </row>
    <row r="1080" spans="1:7" x14ac:dyDescent="0.25">
      <c r="A1080">
        <v>841640</v>
      </c>
      <c r="B1080">
        <v>7</v>
      </c>
      <c r="C1080">
        <v>1.4</v>
      </c>
      <c r="D1080">
        <v>9335</v>
      </c>
      <c r="F1080">
        <v>0</v>
      </c>
      <c r="G1080">
        <v>2</v>
      </c>
    </row>
    <row r="1081" spans="1:7" x14ac:dyDescent="0.25">
      <c r="A1081">
        <v>841690</v>
      </c>
      <c r="B1081">
        <v>7</v>
      </c>
      <c r="C1081">
        <v>1.5</v>
      </c>
      <c r="D1081">
        <v>9335</v>
      </c>
      <c r="F1081">
        <v>0</v>
      </c>
      <c r="G1081">
        <v>2</v>
      </c>
    </row>
    <row r="1082" spans="1:7" x14ac:dyDescent="0.25">
      <c r="A1082">
        <v>841691</v>
      </c>
      <c r="B1082">
        <v>7</v>
      </c>
      <c r="C1082">
        <v>3.13</v>
      </c>
      <c r="D1082">
        <v>9370</v>
      </c>
      <c r="F1082">
        <v>0</v>
      </c>
      <c r="G1082">
        <v>2</v>
      </c>
    </row>
    <row r="1083" spans="1:7" x14ac:dyDescent="0.25">
      <c r="A1083">
        <v>841695</v>
      </c>
      <c r="B1083">
        <v>7</v>
      </c>
      <c r="C1083">
        <v>1.6659999999999999</v>
      </c>
      <c r="D1083">
        <v>9335</v>
      </c>
      <c r="F1083">
        <v>0</v>
      </c>
      <c r="G1083">
        <v>2</v>
      </c>
    </row>
    <row r="1084" spans="1:7" x14ac:dyDescent="0.25">
      <c r="A1084">
        <v>841699</v>
      </c>
      <c r="B1084">
        <v>7</v>
      </c>
      <c r="C1084">
        <v>1.333</v>
      </c>
      <c r="D1084">
        <v>9335</v>
      </c>
      <c r="F1084">
        <v>0</v>
      </c>
      <c r="G1084">
        <v>2</v>
      </c>
    </row>
    <row r="1085" spans="1:7" x14ac:dyDescent="0.25">
      <c r="A1085">
        <v>842200</v>
      </c>
      <c r="B1085">
        <v>90</v>
      </c>
      <c r="C1085">
        <v>6.8</v>
      </c>
      <c r="D1085" t="s">
        <v>1697</v>
      </c>
      <c r="F1085">
        <v>36</v>
      </c>
      <c r="G1085">
        <v>2</v>
      </c>
    </row>
    <row r="1086" spans="1:7" x14ac:dyDescent="0.25">
      <c r="A1086">
        <v>843020</v>
      </c>
      <c r="B1086">
        <v>100</v>
      </c>
      <c r="C1086">
        <v>3.427</v>
      </c>
      <c r="D1086" t="s">
        <v>47</v>
      </c>
      <c r="E1086">
        <v>2785</v>
      </c>
      <c r="F1086">
        <v>80</v>
      </c>
      <c r="G1086">
        <v>2</v>
      </c>
    </row>
    <row r="1087" spans="1:7" x14ac:dyDescent="0.25">
      <c r="A1087">
        <v>843030</v>
      </c>
      <c r="B1087">
        <v>100</v>
      </c>
      <c r="C1087">
        <v>6.6260000000000003</v>
      </c>
      <c r="D1087" t="s">
        <v>47</v>
      </c>
      <c r="E1087">
        <v>5195</v>
      </c>
      <c r="F1087">
        <v>350</v>
      </c>
      <c r="G1087">
        <v>2</v>
      </c>
    </row>
    <row r="1088" spans="1:7" x14ac:dyDescent="0.25">
      <c r="A1088">
        <v>844180</v>
      </c>
      <c r="B1088">
        <v>100</v>
      </c>
      <c r="C1088">
        <v>0.46300000000000002</v>
      </c>
      <c r="D1088" t="s">
        <v>2</v>
      </c>
      <c r="F1088">
        <v>750</v>
      </c>
      <c r="G1088">
        <v>2</v>
      </c>
    </row>
    <row r="1089" spans="1:7" x14ac:dyDescent="0.25">
      <c r="A1089">
        <v>844270</v>
      </c>
      <c r="B1089">
        <v>100</v>
      </c>
      <c r="C1089">
        <v>0.5</v>
      </c>
      <c r="D1089" t="s">
        <v>2</v>
      </c>
      <c r="F1089">
        <v>200</v>
      </c>
      <c r="G1089">
        <v>2</v>
      </c>
    </row>
    <row r="1090" spans="1:7" x14ac:dyDescent="0.25">
      <c r="A1090">
        <v>844290</v>
      </c>
      <c r="B1090">
        <v>100</v>
      </c>
      <c r="C1090">
        <v>0.747</v>
      </c>
      <c r="D1090" t="s">
        <v>2</v>
      </c>
      <c r="F1090">
        <v>900</v>
      </c>
      <c r="G1090">
        <v>2</v>
      </c>
    </row>
    <row r="1091" spans="1:7" x14ac:dyDescent="0.25">
      <c r="A1091">
        <v>844292</v>
      </c>
      <c r="B1091">
        <v>100</v>
      </c>
      <c r="C1091">
        <v>0.54400000000000004</v>
      </c>
      <c r="D1091" t="s">
        <v>2</v>
      </c>
      <c r="F1091">
        <v>300</v>
      </c>
      <c r="G1091">
        <v>2</v>
      </c>
    </row>
    <row r="1092" spans="1:7" x14ac:dyDescent="0.25">
      <c r="A1092">
        <v>844302</v>
      </c>
      <c r="B1092">
        <v>100</v>
      </c>
      <c r="C1092">
        <v>0.45800000000000002</v>
      </c>
      <c r="D1092" t="s">
        <v>47</v>
      </c>
      <c r="E1092">
        <v>2785</v>
      </c>
      <c r="F1092">
        <v>300</v>
      </c>
      <c r="G1092">
        <v>2</v>
      </c>
    </row>
    <row r="1093" spans="1:7" x14ac:dyDescent="0.25">
      <c r="A1093">
        <v>845021</v>
      </c>
      <c r="B1093">
        <v>7</v>
      </c>
      <c r="C1093">
        <v>11</v>
      </c>
      <c r="D1093">
        <v>9381</v>
      </c>
      <c r="F1093">
        <v>0</v>
      </c>
      <c r="G1093">
        <v>2</v>
      </c>
    </row>
    <row r="1094" spans="1:7" x14ac:dyDescent="0.25">
      <c r="A1094">
        <v>845022</v>
      </c>
      <c r="B1094">
        <v>7</v>
      </c>
      <c r="C1094">
        <v>12</v>
      </c>
      <c r="D1094">
        <v>9381</v>
      </c>
      <c r="F1094">
        <v>0</v>
      </c>
      <c r="G1094">
        <v>2</v>
      </c>
    </row>
    <row r="1095" spans="1:7" x14ac:dyDescent="0.25">
      <c r="A1095">
        <v>850101</v>
      </c>
      <c r="B1095">
        <v>100</v>
      </c>
      <c r="C1095">
        <v>0.29699999999999999</v>
      </c>
      <c r="D1095" t="s">
        <v>2542</v>
      </c>
      <c r="E1095">
        <v>2789</v>
      </c>
      <c r="F1095">
        <v>200</v>
      </c>
      <c r="G1095">
        <v>2</v>
      </c>
    </row>
    <row r="1096" spans="1:7" x14ac:dyDescent="0.25">
      <c r="A1096">
        <v>850102</v>
      </c>
      <c r="B1096">
        <v>100</v>
      </c>
      <c r="C1096">
        <v>0.59199999999999997</v>
      </c>
      <c r="D1096" t="s">
        <v>2542</v>
      </c>
      <c r="E1096">
        <v>2789</v>
      </c>
      <c r="F1096">
        <v>80</v>
      </c>
      <c r="G1096">
        <v>2</v>
      </c>
    </row>
    <row r="1097" spans="1:7" x14ac:dyDescent="0.25">
      <c r="A1097">
        <v>870130</v>
      </c>
      <c r="B1097">
        <v>100</v>
      </c>
      <c r="C1097">
        <v>0.13800000000000001</v>
      </c>
      <c r="D1097" t="s">
        <v>2542</v>
      </c>
      <c r="E1097">
        <v>2791</v>
      </c>
      <c r="F1097">
        <v>650</v>
      </c>
      <c r="G1097">
        <v>2</v>
      </c>
    </row>
    <row r="1098" spans="1:7" x14ac:dyDescent="0.25">
      <c r="A1098">
        <v>870210</v>
      </c>
      <c r="B1098">
        <v>100</v>
      </c>
      <c r="C1098">
        <v>0.27700000000000002</v>
      </c>
      <c r="D1098" t="s">
        <v>2542</v>
      </c>
      <c r="F1098">
        <v>130</v>
      </c>
      <c r="G1098">
        <v>2</v>
      </c>
    </row>
    <row r="1099" spans="1:7" x14ac:dyDescent="0.25">
      <c r="A1099">
        <v>870261</v>
      </c>
      <c r="B1099">
        <v>100</v>
      </c>
      <c r="C1099">
        <v>0.3</v>
      </c>
      <c r="D1099" t="s">
        <v>2542</v>
      </c>
      <c r="E1099">
        <v>2791</v>
      </c>
      <c r="F1099">
        <v>960</v>
      </c>
      <c r="G1099">
        <v>2</v>
      </c>
    </row>
    <row r="1100" spans="1:7" x14ac:dyDescent="0.25">
      <c r="A1100">
        <v>870280</v>
      </c>
      <c r="B1100">
        <v>100</v>
      </c>
      <c r="C1100">
        <v>0.188</v>
      </c>
      <c r="D1100" t="s">
        <v>47</v>
      </c>
      <c r="E1100">
        <v>2809</v>
      </c>
      <c r="F1100">
        <v>1200</v>
      </c>
      <c r="G1100">
        <v>2</v>
      </c>
    </row>
    <row r="1101" spans="1:7" x14ac:dyDescent="0.25">
      <c r="A1101">
        <v>870282</v>
      </c>
      <c r="B1101">
        <v>100</v>
      </c>
      <c r="C1101">
        <v>0.10199999999999999</v>
      </c>
      <c r="D1101" t="s">
        <v>2</v>
      </c>
      <c r="E1101">
        <v>2809</v>
      </c>
      <c r="F1101">
        <v>1700</v>
      </c>
      <c r="G1101">
        <v>2</v>
      </c>
    </row>
    <row r="1102" spans="1:7" x14ac:dyDescent="0.25">
      <c r="A1102">
        <v>870286</v>
      </c>
      <c r="B1102">
        <v>100</v>
      </c>
      <c r="C1102">
        <v>0.312</v>
      </c>
      <c r="D1102" t="s">
        <v>2542</v>
      </c>
      <c r="E1102">
        <v>2791</v>
      </c>
      <c r="F1102">
        <v>1650</v>
      </c>
      <c r="G1102">
        <v>2</v>
      </c>
    </row>
    <row r="1103" spans="1:7" x14ac:dyDescent="0.25">
      <c r="A1103">
        <v>870292</v>
      </c>
      <c r="B1103">
        <v>100</v>
      </c>
      <c r="C1103">
        <v>0.11799999999999999</v>
      </c>
      <c r="D1103" t="s">
        <v>2</v>
      </c>
      <c r="E1103">
        <v>13024</v>
      </c>
      <c r="F1103">
        <v>1850</v>
      </c>
      <c r="G1103">
        <v>2</v>
      </c>
    </row>
    <row r="1104" spans="1:7" x14ac:dyDescent="0.25">
      <c r="A1104">
        <v>871000</v>
      </c>
      <c r="B1104">
        <v>100</v>
      </c>
      <c r="C1104">
        <v>0.182</v>
      </c>
      <c r="D1104" t="s">
        <v>2</v>
      </c>
      <c r="F1104">
        <v>1800</v>
      </c>
      <c r="G1104">
        <v>2</v>
      </c>
    </row>
    <row r="1105" spans="1:7" x14ac:dyDescent="0.25">
      <c r="A1105">
        <v>871100</v>
      </c>
      <c r="B1105">
        <v>100</v>
      </c>
      <c r="C1105">
        <v>0.14199999999999999</v>
      </c>
      <c r="D1105" t="s">
        <v>2</v>
      </c>
      <c r="F1105">
        <v>2000</v>
      </c>
      <c r="G1105">
        <v>2</v>
      </c>
    </row>
    <row r="1106" spans="1:7" x14ac:dyDescent="0.25">
      <c r="A1106">
        <v>871120</v>
      </c>
      <c r="B1106">
        <v>100</v>
      </c>
      <c r="C1106">
        <v>0.109</v>
      </c>
      <c r="D1106" t="s">
        <v>2542</v>
      </c>
      <c r="E1106">
        <v>2789</v>
      </c>
      <c r="F1106">
        <v>1200</v>
      </c>
      <c r="G1106">
        <v>2</v>
      </c>
    </row>
    <row r="1107" spans="1:7" x14ac:dyDescent="0.25">
      <c r="A1107">
        <v>871142</v>
      </c>
      <c r="B1107">
        <v>100</v>
      </c>
      <c r="C1107">
        <v>0.61299999999999999</v>
      </c>
      <c r="D1107" t="s">
        <v>2</v>
      </c>
      <c r="E1107">
        <v>6448</v>
      </c>
      <c r="F1107">
        <v>300</v>
      </c>
      <c r="G1107">
        <v>2</v>
      </c>
    </row>
    <row r="1108" spans="1:7" x14ac:dyDescent="0.25">
      <c r="A1108">
        <v>871160</v>
      </c>
      <c r="B1108">
        <v>100</v>
      </c>
      <c r="C1108">
        <v>0.77200000000000002</v>
      </c>
      <c r="D1108" t="s">
        <v>2</v>
      </c>
      <c r="F1108">
        <v>230</v>
      </c>
      <c r="G1108">
        <v>2</v>
      </c>
    </row>
    <row r="1109" spans="1:7" x14ac:dyDescent="0.25">
      <c r="A1109">
        <v>871170</v>
      </c>
      <c r="B1109">
        <v>100</v>
      </c>
      <c r="C1109">
        <v>0.69499999999999995</v>
      </c>
      <c r="D1109" t="s">
        <v>2</v>
      </c>
      <c r="F1109">
        <v>250</v>
      </c>
      <c r="G1109">
        <v>2</v>
      </c>
    </row>
    <row r="1110" spans="1:7" x14ac:dyDescent="0.25">
      <c r="A1110">
        <v>872058</v>
      </c>
      <c r="B1110">
        <v>7</v>
      </c>
      <c r="C1110">
        <v>3</v>
      </c>
      <c r="D1110">
        <v>9383</v>
      </c>
      <c r="F1110">
        <v>3</v>
      </c>
      <c r="G1110">
        <v>2</v>
      </c>
    </row>
    <row r="1111" spans="1:7" x14ac:dyDescent="0.25">
      <c r="A1111">
        <v>883000</v>
      </c>
      <c r="B1111">
        <v>100</v>
      </c>
      <c r="C1111">
        <v>0.113</v>
      </c>
      <c r="D1111" t="s">
        <v>2</v>
      </c>
      <c r="F1111">
        <v>800</v>
      </c>
      <c r="G1111">
        <v>2</v>
      </c>
    </row>
    <row r="1112" spans="1:7" x14ac:dyDescent="0.25">
      <c r="A1112">
        <v>884000</v>
      </c>
      <c r="B1112">
        <v>100</v>
      </c>
      <c r="C1112">
        <v>4.2000000000000003E-2</v>
      </c>
      <c r="D1112" t="s">
        <v>47</v>
      </c>
      <c r="E1112">
        <v>5195</v>
      </c>
      <c r="F1112">
        <v>9500</v>
      </c>
      <c r="G1112">
        <v>2</v>
      </c>
    </row>
    <row r="1113" spans="1:7" x14ac:dyDescent="0.25">
      <c r="A1113">
        <v>884001</v>
      </c>
      <c r="B1113">
        <v>100</v>
      </c>
      <c r="C1113">
        <v>0.107</v>
      </c>
      <c r="D1113" t="s">
        <v>2542</v>
      </c>
      <c r="F1113">
        <v>750</v>
      </c>
      <c r="G1113">
        <v>2</v>
      </c>
    </row>
    <row r="1114" spans="1:7" x14ac:dyDescent="0.25">
      <c r="A1114">
        <v>884002</v>
      </c>
      <c r="B1114">
        <v>100</v>
      </c>
      <c r="C1114">
        <v>0.45200000000000001</v>
      </c>
      <c r="D1114" t="s">
        <v>2542</v>
      </c>
      <c r="F1114">
        <v>360</v>
      </c>
      <c r="G1114">
        <v>2</v>
      </c>
    </row>
    <row r="1115" spans="1:7" x14ac:dyDescent="0.25">
      <c r="A1115">
        <v>884003</v>
      </c>
      <c r="B1115">
        <v>100</v>
      </c>
      <c r="C1115">
        <v>0.04</v>
      </c>
      <c r="D1115" t="s">
        <v>47</v>
      </c>
      <c r="F1115">
        <v>1500</v>
      </c>
      <c r="G1115">
        <v>2</v>
      </c>
    </row>
    <row r="1116" spans="1:7" x14ac:dyDescent="0.25">
      <c r="A1116">
        <v>884004</v>
      </c>
      <c r="B1116">
        <v>100</v>
      </c>
      <c r="C1116">
        <v>0.04</v>
      </c>
      <c r="D1116" t="s">
        <v>47</v>
      </c>
      <c r="F1116">
        <v>1500</v>
      </c>
      <c r="G1116">
        <v>2</v>
      </c>
    </row>
    <row r="1117" spans="1:7" x14ac:dyDescent="0.25">
      <c r="A1117">
        <v>884005</v>
      </c>
      <c r="B1117">
        <v>100</v>
      </c>
      <c r="C1117">
        <v>0.04</v>
      </c>
      <c r="D1117" t="s">
        <v>47</v>
      </c>
      <c r="F1117">
        <v>1500</v>
      </c>
      <c r="G1117">
        <v>2</v>
      </c>
    </row>
    <row r="1118" spans="1:7" x14ac:dyDescent="0.25">
      <c r="A1118">
        <v>884006</v>
      </c>
      <c r="B1118">
        <v>100</v>
      </c>
      <c r="C1118">
        <v>0.04</v>
      </c>
      <c r="D1118" t="s">
        <v>47</v>
      </c>
      <c r="F1118">
        <v>1500</v>
      </c>
      <c r="G1118">
        <v>2</v>
      </c>
    </row>
    <row r="1119" spans="1:7" x14ac:dyDescent="0.25">
      <c r="A1119">
        <v>885070</v>
      </c>
      <c r="B1119">
        <v>7</v>
      </c>
      <c r="C1119">
        <v>2.1999999999999999E-2</v>
      </c>
      <c r="D1119">
        <v>3994</v>
      </c>
      <c r="F1119">
        <v>500</v>
      </c>
      <c r="G1119">
        <v>2</v>
      </c>
    </row>
    <row r="1120" spans="1:7" x14ac:dyDescent="0.25">
      <c r="A1120">
        <v>885071</v>
      </c>
      <c r="B1120">
        <v>7</v>
      </c>
      <c r="C1120">
        <v>2.8000000000000001E-2</v>
      </c>
      <c r="D1120">
        <v>3994</v>
      </c>
      <c r="F1120">
        <v>250</v>
      </c>
      <c r="G1120">
        <v>2</v>
      </c>
    </row>
    <row r="1121" spans="1:7" x14ac:dyDescent="0.25">
      <c r="A1121">
        <v>885080</v>
      </c>
      <c r="B1121">
        <v>100</v>
      </c>
      <c r="C1121">
        <v>2.1999999999999999E-2</v>
      </c>
      <c r="D1121" t="s">
        <v>2542</v>
      </c>
      <c r="E1121">
        <v>13022</v>
      </c>
      <c r="F1121">
        <v>4500</v>
      </c>
      <c r="G1121">
        <v>2</v>
      </c>
    </row>
    <row r="1122" spans="1:7" x14ac:dyDescent="0.25">
      <c r="A1122">
        <v>885084</v>
      </c>
      <c r="B1122">
        <v>100</v>
      </c>
      <c r="C1122">
        <v>2.5999999999999999E-2</v>
      </c>
      <c r="D1122" t="s">
        <v>2542</v>
      </c>
      <c r="F1122">
        <v>576</v>
      </c>
      <c r="G1122">
        <v>2</v>
      </c>
    </row>
    <row r="1123" spans="1:7" x14ac:dyDescent="0.25">
      <c r="A1123">
        <v>885086</v>
      </c>
      <c r="B1123">
        <v>100</v>
      </c>
      <c r="C1123">
        <v>2.5999999999999999E-2</v>
      </c>
      <c r="D1123" t="s">
        <v>2542</v>
      </c>
      <c r="F1123">
        <v>800</v>
      </c>
      <c r="G1123">
        <v>2</v>
      </c>
    </row>
    <row r="1124" spans="1:7" x14ac:dyDescent="0.25">
      <c r="A1124">
        <v>891203</v>
      </c>
      <c r="B1124">
        <v>60</v>
      </c>
      <c r="C1124">
        <v>2.2999999999999998</v>
      </c>
      <c r="D1124">
        <v>1269</v>
      </c>
      <c r="F1124">
        <v>0</v>
      </c>
      <c r="G1124">
        <v>2</v>
      </c>
    </row>
    <row r="1125" spans="1:7" x14ac:dyDescent="0.25">
      <c r="A1125">
        <v>891204</v>
      </c>
      <c r="B1125">
        <v>60</v>
      </c>
      <c r="C1125">
        <v>2.64</v>
      </c>
      <c r="D1125">
        <v>1269</v>
      </c>
      <c r="F1125">
        <v>0</v>
      </c>
      <c r="G1125">
        <v>2</v>
      </c>
    </row>
    <row r="1126" spans="1:7" x14ac:dyDescent="0.25">
      <c r="A1126">
        <v>891205</v>
      </c>
      <c r="B1126">
        <v>60</v>
      </c>
      <c r="C1126">
        <v>3.5</v>
      </c>
      <c r="D1126">
        <v>1269</v>
      </c>
      <c r="F1126">
        <v>0</v>
      </c>
      <c r="G1126">
        <v>2</v>
      </c>
    </row>
    <row r="1127" spans="1:7" x14ac:dyDescent="0.25">
      <c r="A1127">
        <v>891206</v>
      </c>
      <c r="B1127">
        <v>0</v>
      </c>
      <c r="C1127">
        <v>4.3</v>
      </c>
      <c r="D1127">
        <v>1269</v>
      </c>
      <c r="F1127">
        <v>0</v>
      </c>
      <c r="G1127">
        <v>2</v>
      </c>
    </row>
    <row r="1128" spans="1:7" x14ac:dyDescent="0.25">
      <c r="A1128">
        <v>891207</v>
      </c>
      <c r="B1128">
        <v>0</v>
      </c>
      <c r="C1128">
        <v>4.9000000000000004</v>
      </c>
      <c r="D1128">
        <v>1269</v>
      </c>
      <c r="F1128">
        <v>0</v>
      </c>
      <c r="G1128">
        <v>2</v>
      </c>
    </row>
    <row r="1129" spans="1:7" x14ac:dyDescent="0.25">
      <c r="A1129">
        <v>891208</v>
      </c>
      <c r="B1129">
        <v>0</v>
      </c>
      <c r="C1129">
        <v>5.5</v>
      </c>
      <c r="D1129">
        <v>1269</v>
      </c>
      <c r="F1129">
        <v>0</v>
      </c>
      <c r="G1129">
        <v>2</v>
      </c>
    </row>
    <row r="1130" spans="1:7" x14ac:dyDescent="0.25">
      <c r="A1130">
        <v>891407</v>
      </c>
      <c r="B1130">
        <v>0</v>
      </c>
      <c r="C1130">
        <v>7.94</v>
      </c>
      <c r="D1130">
        <v>1269</v>
      </c>
      <c r="F1130">
        <v>0</v>
      </c>
      <c r="G1130">
        <v>2</v>
      </c>
    </row>
    <row r="1131" spans="1:7" x14ac:dyDescent="0.25">
      <c r="A1131">
        <v>891409</v>
      </c>
      <c r="B1131">
        <v>60</v>
      </c>
      <c r="C1131">
        <v>10.02</v>
      </c>
      <c r="D1131">
        <v>1269</v>
      </c>
      <c r="F1131">
        <v>0</v>
      </c>
      <c r="G1131">
        <v>2</v>
      </c>
    </row>
    <row r="1132" spans="1:7" x14ac:dyDescent="0.25">
      <c r="A1132">
        <v>891411</v>
      </c>
      <c r="B1132">
        <v>0</v>
      </c>
      <c r="C1132">
        <v>13.34</v>
      </c>
      <c r="D1132">
        <v>1269</v>
      </c>
      <c r="F1132">
        <v>0</v>
      </c>
      <c r="G1132">
        <v>2</v>
      </c>
    </row>
    <row r="1133" spans="1:7" x14ac:dyDescent="0.25">
      <c r="A1133">
        <v>891413</v>
      </c>
      <c r="B1133">
        <v>30</v>
      </c>
      <c r="C1133">
        <v>17</v>
      </c>
      <c r="D1133">
        <v>1269</v>
      </c>
      <c r="F1133">
        <v>0</v>
      </c>
      <c r="G1133">
        <v>2</v>
      </c>
    </row>
    <row r="1134" spans="1:7" x14ac:dyDescent="0.25">
      <c r="A1134">
        <v>891607</v>
      </c>
      <c r="B1134">
        <v>60</v>
      </c>
      <c r="C1134">
        <v>11.8</v>
      </c>
      <c r="D1134">
        <v>1269</v>
      </c>
      <c r="F1134">
        <v>0</v>
      </c>
      <c r="G1134">
        <v>2</v>
      </c>
    </row>
    <row r="1135" spans="1:7" x14ac:dyDescent="0.25">
      <c r="A1135">
        <v>891609</v>
      </c>
      <c r="B1135">
        <v>60</v>
      </c>
      <c r="C1135">
        <v>14.68</v>
      </c>
      <c r="D1135">
        <v>1269</v>
      </c>
      <c r="F1135">
        <v>0</v>
      </c>
      <c r="G1135">
        <v>2</v>
      </c>
    </row>
    <row r="1136" spans="1:7" x14ac:dyDescent="0.25">
      <c r="A1136">
        <v>891611</v>
      </c>
      <c r="B1136">
        <v>60</v>
      </c>
      <c r="C1136">
        <v>17.600000000000001</v>
      </c>
      <c r="D1136">
        <v>1269</v>
      </c>
      <c r="F1136">
        <v>0</v>
      </c>
      <c r="G1136">
        <v>2</v>
      </c>
    </row>
    <row r="1137" spans="1:7" x14ac:dyDescent="0.25">
      <c r="A1137">
        <v>891613</v>
      </c>
      <c r="B1137">
        <v>30</v>
      </c>
      <c r="C1137">
        <v>0</v>
      </c>
      <c r="D1137">
        <v>1269</v>
      </c>
      <c r="F1137">
        <v>0</v>
      </c>
      <c r="G1137">
        <v>2</v>
      </c>
    </row>
    <row r="1138" spans="1:7" x14ac:dyDescent="0.25">
      <c r="A1138">
        <v>891703</v>
      </c>
      <c r="B1138">
        <v>60</v>
      </c>
      <c r="C1138">
        <v>2.1800000000000002</v>
      </c>
      <c r="D1138">
        <v>1269</v>
      </c>
      <c r="F1138">
        <v>5</v>
      </c>
      <c r="G1138">
        <v>2</v>
      </c>
    </row>
    <row r="1139" spans="1:7" x14ac:dyDescent="0.25">
      <c r="A1139">
        <v>893007</v>
      </c>
      <c r="B1139">
        <v>0</v>
      </c>
      <c r="C1139">
        <v>16.04</v>
      </c>
      <c r="D1139" t="s">
        <v>2542</v>
      </c>
      <c r="F1139">
        <v>10</v>
      </c>
      <c r="G1139">
        <v>2</v>
      </c>
    </row>
    <row r="1140" spans="1:7" x14ac:dyDescent="0.25">
      <c r="A1140">
        <v>893050</v>
      </c>
      <c r="B1140">
        <v>100</v>
      </c>
      <c r="C1140">
        <v>23</v>
      </c>
      <c r="D1140" t="s">
        <v>3733</v>
      </c>
      <c r="F1140">
        <v>100</v>
      </c>
      <c r="G1140">
        <v>2</v>
      </c>
    </row>
    <row r="1141" spans="1:7" x14ac:dyDescent="0.25">
      <c r="A1141">
        <v>893056</v>
      </c>
      <c r="B1141">
        <v>100</v>
      </c>
      <c r="C1141">
        <v>13</v>
      </c>
      <c r="D1141" t="s">
        <v>3733</v>
      </c>
      <c r="F1141">
        <v>100</v>
      </c>
      <c r="G1141">
        <v>2</v>
      </c>
    </row>
    <row r="1142" spans="1:7" x14ac:dyDescent="0.25">
      <c r="A1142">
        <v>900000</v>
      </c>
      <c r="B1142">
        <v>100</v>
      </c>
      <c r="C1142">
        <v>0.33</v>
      </c>
      <c r="D1142" t="s">
        <v>47</v>
      </c>
      <c r="E1142">
        <v>6448</v>
      </c>
      <c r="F1142">
        <v>1200</v>
      </c>
      <c r="G1142">
        <v>2</v>
      </c>
    </row>
    <row r="1143" spans="1:7" x14ac:dyDescent="0.25">
      <c r="A1143">
        <v>900100</v>
      </c>
      <c r="B1143">
        <v>100</v>
      </c>
      <c r="C1143">
        <v>0.41799999999999998</v>
      </c>
      <c r="D1143" t="s">
        <v>2727</v>
      </c>
      <c r="E1143">
        <v>17917</v>
      </c>
      <c r="F1143">
        <v>700</v>
      </c>
      <c r="G1143">
        <v>2</v>
      </c>
    </row>
    <row r="1144" spans="1:7" x14ac:dyDescent="0.25">
      <c r="A1144">
        <v>900110</v>
      </c>
      <c r="B1144">
        <v>100</v>
      </c>
      <c r="C1144">
        <v>0.82299999999999995</v>
      </c>
      <c r="D1144" t="s">
        <v>2727</v>
      </c>
      <c r="E1144">
        <v>17917</v>
      </c>
      <c r="F1144">
        <v>600</v>
      </c>
      <c r="G1144">
        <v>2</v>
      </c>
    </row>
    <row r="1145" spans="1:7" x14ac:dyDescent="0.25">
      <c r="A1145">
        <v>900112</v>
      </c>
      <c r="B1145">
        <v>100</v>
      </c>
      <c r="C1145">
        <v>0.79700000000000004</v>
      </c>
      <c r="D1145" t="s">
        <v>1695</v>
      </c>
      <c r="E1145">
        <v>17621</v>
      </c>
      <c r="F1145">
        <v>420</v>
      </c>
      <c r="G1145">
        <v>2</v>
      </c>
    </row>
    <row r="1146" spans="1:7" x14ac:dyDescent="0.25">
      <c r="A1146">
        <v>900120</v>
      </c>
      <c r="B1146">
        <v>100</v>
      </c>
      <c r="C1146">
        <v>0.55000000000000004</v>
      </c>
      <c r="D1146" t="s">
        <v>47</v>
      </c>
      <c r="F1146">
        <v>300</v>
      </c>
      <c r="G1146">
        <v>2</v>
      </c>
    </row>
    <row r="1147" spans="1:7" x14ac:dyDescent="0.25">
      <c r="A1147">
        <v>900130</v>
      </c>
      <c r="B1147">
        <v>7</v>
      </c>
      <c r="C1147">
        <v>0.217</v>
      </c>
      <c r="D1147">
        <v>9335</v>
      </c>
      <c r="F1147">
        <v>60</v>
      </c>
      <c r="G1147">
        <v>2</v>
      </c>
    </row>
    <row r="1148" spans="1:7" x14ac:dyDescent="0.25">
      <c r="A1148">
        <v>900132</v>
      </c>
      <c r="B1148">
        <v>7</v>
      </c>
      <c r="C1148">
        <v>0.39500000000000002</v>
      </c>
      <c r="D1148">
        <v>9335</v>
      </c>
      <c r="F1148">
        <v>50</v>
      </c>
      <c r="G1148">
        <v>2</v>
      </c>
    </row>
    <row r="1149" spans="1:7" x14ac:dyDescent="0.25">
      <c r="A1149">
        <v>900142</v>
      </c>
      <c r="B1149">
        <v>7</v>
      </c>
      <c r="C1149">
        <v>0.23499999999999999</v>
      </c>
      <c r="D1149">
        <v>9335</v>
      </c>
      <c r="F1149">
        <v>60</v>
      </c>
      <c r="G1149">
        <v>2</v>
      </c>
    </row>
    <row r="1150" spans="1:7" x14ac:dyDescent="0.25">
      <c r="A1150">
        <v>900144</v>
      </c>
      <c r="B1150">
        <v>7</v>
      </c>
      <c r="C1150">
        <v>0.22500000000000001</v>
      </c>
      <c r="D1150">
        <v>9335</v>
      </c>
      <c r="F1150">
        <v>20</v>
      </c>
      <c r="G1150">
        <v>2</v>
      </c>
    </row>
    <row r="1151" spans="1:7" x14ac:dyDescent="0.25">
      <c r="A1151">
        <v>900145</v>
      </c>
      <c r="B1151">
        <v>7</v>
      </c>
      <c r="C1151">
        <v>0.245</v>
      </c>
      <c r="D1151">
        <v>9335</v>
      </c>
      <c r="F1151">
        <v>40</v>
      </c>
      <c r="G1151">
        <v>2</v>
      </c>
    </row>
    <row r="1152" spans="1:7" x14ac:dyDescent="0.25">
      <c r="A1152">
        <v>900146</v>
      </c>
      <c r="B1152">
        <v>7</v>
      </c>
      <c r="C1152">
        <v>0.30499999999999999</v>
      </c>
      <c r="D1152">
        <v>9335</v>
      </c>
      <c r="F1152">
        <v>50</v>
      </c>
      <c r="G1152">
        <v>2</v>
      </c>
    </row>
    <row r="1153" spans="1:7" x14ac:dyDescent="0.25">
      <c r="A1153">
        <v>900147</v>
      </c>
      <c r="B1153">
        <v>7</v>
      </c>
      <c r="C1153">
        <v>0.315</v>
      </c>
      <c r="D1153">
        <v>9335</v>
      </c>
      <c r="F1153">
        <v>30</v>
      </c>
      <c r="G1153">
        <v>2</v>
      </c>
    </row>
    <row r="1154" spans="1:7" x14ac:dyDescent="0.25">
      <c r="A1154">
        <v>900148</v>
      </c>
      <c r="B1154">
        <v>7</v>
      </c>
      <c r="C1154">
        <v>0.36499999999999999</v>
      </c>
      <c r="D1154">
        <v>9335</v>
      </c>
      <c r="F1154">
        <v>20</v>
      </c>
      <c r="G1154">
        <v>2</v>
      </c>
    </row>
    <row r="1155" spans="1:7" x14ac:dyDescent="0.25">
      <c r="A1155">
        <v>900149</v>
      </c>
      <c r="B1155">
        <v>7</v>
      </c>
      <c r="C1155">
        <v>0.36499999999999999</v>
      </c>
      <c r="D1155">
        <v>9335</v>
      </c>
      <c r="F1155">
        <v>20</v>
      </c>
      <c r="G1155">
        <v>2</v>
      </c>
    </row>
    <row r="1156" spans="1:7" x14ac:dyDescent="0.25">
      <c r="A1156">
        <v>900154</v>
      </c>
      <c r="B1156">
        <v>10</v>
      </c>
      <c r="C1156">
        <v>0.79900000000000004</v>
      </c>
      <c r="D1156">
        <v>578</v>
      </c>
      <c r="F1156">
        <v>10</v>
      </c>
      <c r="G1156">
        <v>2</v>
      </c>
    </row>
    <row r="1157" spans="1:7" x14ac:dyDescent="0.25">
      <c r="A1157">
        <v>900155</v>
      </c>
      <c r="B1157">
        <v>7</v>
      </c>
      <c r="C1157">
        <v>0.35</v>
      </c>
      <c r="D1157" t="s">
        <v>55</v>
      </c>
      <c r="F1157">
        <v>0</v>
      </c>
      <c r="G1157">
        <v>2</v>
      </c>
    </row>
    <row r="1158" spans="1:7" x14ac:dyDescent="0.25">
      <c r="A1158">
        <v>900158</v>
      </c>
      <c r="B1158">
        <v>7</v>
      </c>
      <c r="C1158">
        <v>0.35</v>
      </c>
      <c r="D1158" t="s">
        <v>55</v>
      </c>
      <c r="F1158">
        <v>0</v>
      </c>
      <c r="G1158">
        <v>2</v>
      </c>
    </row>
    <row r="1159" spans="1:7" x14ac:dyDescent="0.25">
      <c r="A1159">
        <v>900159</v>
      </c>
      <c r="B1159">
        <v>7</v>
      </c>
      <c r="C1159">
        <v>0.35</v>
      </c>
      <c r="D1159" t="s">
        <v>55</v>
      </c>
      <c r="F1159">
        <v>25</v>
      </c>
      <c r="G1159">
        <v>2</v>
      </c>
    </row>
    <row r="1160" spans="1:7" x14ac:dyDescent="0.25">
      <c r="A1160">
        <v>900162</v>
      </c>
      <c r="B1160">
        <v>7</v>
      </c>
      <c r="C1160">
        <v>0.25</v>
      </c>
      <c r="D1160" t="s">
        <v>55</v>
      </c>
      <c r="F1160">
        <v>48</v>
      </c>
      <c r="G1160">
        <v>2</v>
      </c>
    </row>
    <row r="1161" spans="1:7" x14ac:dyDescent="0.25">
      <c r="A1161">
        <v>900163</v>
      </c>
      <c r="B1161">
        <v>7</v>
      </c>
      <c r="C1161">
        <v>0.38</v>
      </c>
      <c r="D1161" t="s">
        <v>55</v>
      </c>
      <c r="F1161">
        <v>80</v>
      </c>
      <c r="G1161">
        <v>2</v>
      </c>
    </row>
    <row r="1162" spans="1:7" x14ac:dyDescent="0.25">
      <c r="A1162">
        <v>900164</v>
      </c>
      <c r="B1162">
        <v>7</v>
      </c>
      <c r="C1162">
        <v>0.48</v>
      </c>
      <c r="D1162" t="s">
        <v>55</v>
      </c>
      <c r="F1162">
        <v>240</v>
      </c>
      <c r="G1162">
        <v>2</v>
      </c>
    </row>
    <row r="1163" spans="1:7" x14ac:dyDescent="0.25">
      <c r="A1163">
        <v>900165</v>
      </c>
      <c r="B1163">
        <v>7</v>
      </c>
      <c r="C1163">
        <v>0.57999999999999996</v>
      </c>
      <c r="D1163" t="s">
        <v>55</v>
      </c>
      <c r="F1163">
        <v>80</v>
      </c>
      <c r="G1163">
        <v>2</v>
      </c>
    </row>
    <row r="1164" spans="1:7" x14ac:dyDescent="0.25">
      <c r="A1164">
        <v>900166</v>
      </c>
      <c r="B1164">
        <v>7</v>
      </c>
      <c r="C1164">
        <v>0.6</v>
      </c>
      <c r="D1164" t="s">
        <v>55</v>
      </c>
      <c r="F1164">
        <v>80</v>
      </c>
      <c r="G1164">
        <v>2</v>
      </c>
    </row>
    <row r="1165" spans="1:7" x14ac:dyDescent="0.25">
      <c r="A1165">
        <v>900168</v>
      </c>
      <c r="B1165">
        <v>7</v>
      </c>
      <c r="C1165">
        <v>1.2</v>
      </c>
      <c r="D1165" t="s">
        <v>55</v>
      </c>
      <c r="F1165">
        <v>1</v>
      </c>
      <c r="G1165">
        <v>2</v>
      </c>
    </row>
    <row r="1166" spans="1:7" x14ac:dyDescent="0.25">
      <c r="A1166">
        <v>900171</v>
      </c>
      <c r="B1166">
        <v>7</v>
      </c>
      <c r="C1166">
        <v>0.624</v>
      </c>
      <c r="D1166">
        <v>9903</v>
      </c>
      <c r="F1166">
        <v>10</v>
      </c>
      <c r="G1166">
        <v>2</v>
      </c>
    </row>
    <row r="1167" spans="1:7" x14ac:dyDescent="0.25">
      <c r="A1167">
        <v>900173</v>
      </c>
      <c r="B1167">
        <v>7</v>
      </c>
      <c r="C1167">
        <v>0.89400000000000002</v>
      </c>
      <c r="D1167">
        <v>9903</v>
      </c>
      <c r="F1167">
        <v>10</v>
      </c>
      <c r="G1167">
        <v>2</v>
      </c>
    </row>
    <row r="1168" spans="1:7" x14ac:dyDescent="0.25">
      <c r="A1168">
        <v>900174</v>
      </c>
      <c r="B1168">
        <v>90</v>
      </c>
      <c r="C1168">
        <v>0.36699999999999999</v>
      </c>
      <c r="D1168" t="s">
        <v>1694</v>
      </c>
      <c r="F1168">
        <v>200</v>
      </c>
      <c r="G1168">
        <v>2</v>
      </c>
    </row>
    <row r="1169" spans="1:7" x14ac:dyDescent="0.25">
      <c r="A1169">
        <v>900175</v>
      </c>
      <c r="B1169">
        <v>90</v>
      </c>
      <c r="C1169">
        <v>0.48299999999999998</v>
      </c>
      <c r="D1169" t="s">
        <v>1694</v>
      </c>
      <c r="F1169">
        <v>200</v>
      </c>
      <c r="G1169">
        <v>2</v>
      </c>
    </row>
    <row r="1170" spans="1:7" x14ac:dyDescent="0.25">
      <c r="A1170">
        <v>900178</v>
      </c>
      <c r="B1170">
        <v>90</v>
      </c>
      <c r="C1170">
        <v>0.46300000000000002</v>
      </c>
      <c r="D1170" t="s">
        <v>3733</v>
      </c>
      <c r="F1170">
        <v>100</v>
      </c>
      <c r="G1170">
        <v>2</v>
      </c>
    </row>
    <row r="1171" spans="1:7" x14ac:dyDescent="0.25">
      <c r="A1171">
        <v>900180</v>
      </c>
      <c r="B1171">
        <v>90</v>
      </c>
      <c r="C1171">
        <v>2.5</v>
      </c>
      <c r="D1171" t="s">
        <v>1695</v>
      </c>
      <c r="E1171">
        <v>19167</v>
      </c>
      <c r="F1171">
        <v>50</v>
      </c>
      <c r="G1171">
        <v>2</v>
      </c>
    </row>
    <row r="1172" spans="1:7" x14ac:dyDescent="0.25">
      <c r="A1172">
        <v>900200</v>
      </c>
      <c r="B1172">
        <v>100</v>
      </c>
      <c r="C1172">
        <v>0.16500000000000001</v>
      </c>
      <c r="D1172" t="s">
        <v>2542</v>
      </c>
      <c r="F1172">
        <v>1000</v>
      </c>
      <c r="G1172">
        <v>2</v>
      </c>
    </row>
    <row r="1173" spans="1:7" x14ac:dyDescent="0.25">
      <c r="A1173">
        <v>900300</v>
      </c>
      <c r="B1173">
        <v>100</v>
      </c>
      <c r="C1173">
        <v>0.09</v>
      </c>
      <c r="D1173" t="s">
        <v>1695</v>
      </c>
      <c r="E1173">
        <v>19530</v>
      </c>
      <c r="F1173">
        <v>1500</v>
      </c>
      <c r="G1173">
        <v>2</v>
      </c>
    </row>
    <row r="1174" spans="1:7" x14ac:dyDescent="0.25">
      <c r="A1174">
        <v>900500</v>
      </c>
      <c r="B1174">
        <v>100</v>
      </c>
      <c r="C1174">
        <v>0.106</v>
      </c>
      <c r="D1174" t="s">
        <v>2</v>
      </c>
      <c r="E1174">
        <v>2789</v>
      </c>
      <c r="F1174">
        <v>1200</v>
      </c>
      <c r="G1174">
        <v>2</v>
      </c>
    </row>
    <row r="1175" spans="1:7" x14ac:dyDescent="0.25">
      <c r="A1175">
        <v>900600</v>
      </c>
      <c r="B1175">
        <v>100</v>
      </c>
      <c r="C1175">
        <v>8.5000000000000006E-2</v>
      </c>
      <c r="D1175" t="s">
        <v>1695</v>
      </c>
      <c r="E1175">
        <v>19530</v>
      </c>
      <c r="F1175">
        <v>2200</v>
      </c>
      <c r="G1175">
        <v>2</v>
      </c>
    </row>
    <row r="1176" spans="1:7" x14ac:dyDescent="0.25">
      <c r="A1176">
        <v>901000</v>
      </c>
      <c r="B1176">
        <v>100</v>
      </c>
      <c r="C1176">
        <v>0.20799999999999999</v>
      </c>
      <c r="D1176" t="s">
        <v>1695</v>
      </c>
      <c r="E1176">
        <v>19530</v>
      </c>
      <c r="F1176">
        <v>1000</v>
      </c>
      <c r="G1176">
        <v>2</v>
      </c>
    </row>
    <row r="1177" spans="1:7" x14ac:dyDescent="0.25">
      <c r="A1177">
        <v>901050</v>
      </c>
      <c r="B1177">
        <v>90</v>
      </c>
      <c r="C1177">
        <v>6.1</v>
      </c>
      <c r="D1177" t="s">
        <v>3733</v>
      </c>
      <c r="F1177">
        <v>50</v>
      </c>
      <c r="G1177">
        <v>2</v>
      </c>
    </row>
    <row r="1178" spans="1:7" x14ac:dyDescent="0.25">
      <c r="A1178">
        <v>901060</v>
      </c>
      <c r="B1178">
        <v>90</v>
      </c>
      <c r="C1178">
        <v>4.2</v>
      </c>
      <c r="D1178" t="s">
        <v>3733</v>
      </c>
      <c r="E1178">
        <v>6448</v>
      </c>
      <c r="F1178">
        <v>50</v>
      </c>
      <c r="G1178">
        <v>2</v>
      </c>
    </row>
    <row r="1179" spans="1:7" x14ac:dyDescent="0.25">
      <c r="A1179">
        <v>901062</v>
      </c>
      <c r="B1179">
        <v>90</v>
      </c>
      <c r="C1179">
        <v>8.6999999999999993</v>
      </c>
      <c r="D1179" t="s">
        <v>3733</v>
      </c>
      <c r="F1179">
        <v>50</v>
      </c>
      <c r="G1179">
        <v>2</v>
      </c>
    </row>
    <row r="1180" spans="1:7" x14ac:dyDescent="0.25">
      <c r="A1180">
        <v>901070</v>
      </c>
      <c r="B1180">
        <v>90</v>
      </c>
      <c r="C1180">
        <v>23</v>
      </c>
      <c r="D1180" t="s">
        <v>3733</v>
      </c>
      <c r="F1180">
        <v>40</v>
      </c>
      <c r="G1180">
        <v>2</v>
      </c>
    </row>
    <row r="1181" spans="1:7" x14ac:dyDescent="0.25">
      <c r="A1181">
        <v>901075</v>
      </c>
      <c r="B1181">
        <v>90</v>
      </c>
      <c r="C1181">
        <v>16.5</v>
      </c>
      <c r="D1181" t="s">
        <v>3733</v>
      </c>
      <c r="F1181">
        <v>40</v>
      </c>
      <c r="G1181">
        <v>2</v>
      </c>
    </row>
    <row r="1182" spans="1:7" x14ac:dyDescent="0.25">
      <c r="A1182">
        <v>901080</v>
      </c>
      <c r="B1182">
        <v>90</v>
      </c>
      <c r="C1182">
        <v>0.217</v>
      </c>
      <c r="D1182" t="s">
        <v>3733</v>
      </c>
      <c r="E1182">
        <v>6448</v>
      </c>
      <c r="F1182">
        <v>100</v>
      </c>
      <c r="G1182">
        <v>2</v>
      </c>
    </row>
    <row r="1183" spans="1:7" x14ac:dyDescent="0.25">
      <c r="A1183">
        <v>901102</v>
      </c>
      <c r="B1183">
        <v>100</v>
      </c>
      <c r="C1183">
        <v>3.4</v>
      </c>
      <c r="D1183" t="s">
        <v>1695</v>
      </c>
      <c r="E1183">
        <v>27060</v>
      </c>
      <c r="F1183">
        <v>200</v>
      </c>
      <c r="G1183">
        <v>2</v>
      </c>
    </row>
    <row r="1184" spans="1:7" x14ac:dyDescent="0.25">
      <c r="A1184">
        <v>901103</v>
      </c>
      <c r="B1184">
        <v>100</v>
      </c>
      <c r="C1184">
        <v>5</v>
      </c>
      <c r="D1184" t="s">
        <v>1695</v>
      </c>
      <c r="E1184">
        <v>27060</v>
      </c>
      <c r="F1184">
        <v>200</v>
      </c>
      <c r="G1184">
        <v>2</v>
      </c>
    </row>
    <row r="1185" spans="1:7" x14ac:dyDescent="0.25">
      <c r="A1185">
        <v>901104</v>
      </c>
      <c r="B1185">
        <v>100</v>
      </c>
      <c r="C1185">
        <v>7</v>
      </c>
      <c r="D1185" t="s">
        <v>1695</v>
      </c>
      <c r="E1185">
        <v>27060</v>
      </c>
      <c r="F1185">
        <v>100</v>
      </c>
      <c r="G1185">
        <v>2</v>
      </c>
    </row>
    <row r="1186" spans="1:7" x14ac:dyDescent="0.25">
      <c r="A1186">
        <v>901105</v>
      </c>
      <c r="B1186">
        <v>100</v>
      </c>
      <c r="C1186">
        <v>6.8</v>
      </c>
      <c r="D1186" t="s">
        <v>1695</v>
      </c>
      <c r="E1186">
        <v>27060</v>
      </c>
      <c r="F1186">
        <v>200</v>
      </c>
      <c r="G1186">
        <v>2</v>
      </c>
    </row>
    <row r="1187" spans="1:7" x14ac:dyDescent="0.25">
      <c r="A1187">
        <v>901110</v>
      </c>
      <c r="B1187">
        <v>100</v>
      </c>
      <c r="C1187">
        <v>9</v>
      </c>
      <c r="D1187" t="s">
        <v>3733</v>
      </c>
      <c r="F1187">
        <v>200</v>
      </c>
      <c r="G1187">
        <v>2</v>
      </c>
    </row>
    <row r="1188" spans="1:7" x14ac:dyDescent="0.25">
      <c r="A1188">
        <v>901111</v>
      </c>
      <c r="B1188">
        <v>100</v>
      </c>
      <c r="C1188">
        <v>13</v>
      </c>
      <c r="D1188" t="s">
        <v>3733</v>
      </c>
      <c r="F1188">
        <v>50</v>
      </c>
      <c r="G1188">
        <v>2</v>
      </c>
    </row>
    <row r="1189" spans="1:7" x14ac:dyDescent="0.25">
      <c r="A1189">
        <v>901112</v>
      </c>
      <c r="B1189">
        <v>100</v>
      </c>
      <c r="C1189">
        <v>13</v>
      </c>
      <c r="D1189" t="s">
        <v>3733</v>
      </c>
      <c r="F1189">
        <v>50</v>
      </c>
      <c r="G1189">
        <v>2</v>
      </c>
    </row>
    <row r="1190" spans="1:7" x14ac:dyDescent="0.25">
      <c r="A1190">
        <v>901113</v>
      </c>
      <c r="B1190">
        <v>100</v>
      </c>
      <c r="C1190">
        <v>23</v>
      </c>
      <c r="D1190" t="s">
        <v>3733</v>
      </c>
      <c r="F1190">
        <v>50</v>
      </c>
      <c r="G1190">
        <v>2</v>
      </c>
    </row>
    <row r="1191" spans="1:7" x14ac:dyDescent="0.25">
      <c r="A1191">
        <v>901121</v>
      </c>
      <c r="B1191">
        <v>100</v>
      </c>
      <c r="C1191">
        <v>0</v>
      </c>
      <c r="D1191" t="s">
        <v>1695</v>
      </c>
      <c r="F1191">
        <v>200</v>
      </c>
      <c r="G1191">
        <v>2</v>
      </c>
    </row>
    <row r="1192" spans="1:7" x14ac:dyDescent="0.25">
      <c r="A1192">
        <v>901122</v>
      </c>
      <c r="B1192">
        <v>100</v>
      </c>
      <c r="C1192">
        <v>0</v>
      </c>
      <c r="D1192" t="s">
        <v>1695</v>
      </c>
      <c r="F1192">
        <v>200</v>
      </c>
      <c r="G1192">
        <v>2</v>
      </c>
    </row>
    <row r="1193" spans="1:7" x14ac:dyDescent="0.25">
      <c r="A1193">
        <v>901124</v>
      </c>
      <c r="B1193">
        <v>100</v>
      </c>
      <c r="C1193">
        <v>2.6</v>
      </c>
      <c r="D1193" t="s">
        <v>3733</v>
      </c>
      <c r="F1193">
        <v>100</v>
      </c>
      <c r="G1193">
        <v>2</v>
      </c>
    </row>
    <row r="1194" spans="1:7" x14ac:dyDescent="0.25">
      <c r="A1194">
        <v>910000</v>
      </c>
      <c r="B1194">
        <v>100</v>
      </c>
      <c r="C1194">
        <v>0.254</v>
      </c>
      <c r="D1194" t="s">
        <v>1695</v>
      </c>
      <c r="E1194">
        <v>6448</v>
      </c>
      <c r="F1194">
        <v>500</v>
      </c>
      <c r="G1194">
        <v>2</v>
      </c>
    </row>
    <row r="1195" spans="1:7" x14ac:dyDescent="0.25">
      <c r="A1195">
        <v>910040</v>
      </c>
      <c r="B1195">
        <v>100</v>
      </c>
      <c r="C1195">
        <v>0.26400000000000001</v>
      </c>
      <c r="D1195" t="s">
        <v>2542</v>
      </c>
      <c r="E1195">
        <v>2789</v>
      </c>
      <c r="F1195">
        <v>200</v>
      </c>
      <c r="G1195">
        <v>2</v>
      </c>
    </row>
    <row r="1196" spans="1:7" x14ac:dyDescent="0.25">
      <c r="A1196">
        <v>920010</v>
      </c>
      <c r="B1196">
        <v>10</v>
      </c>
      <c r="C1196">
        <v>0.7</v>
      </c>
      <c r="D1196">
        <v>1668</v>
      </c>
      <c r="F1196">
        <v>1</v>
      </c>
      <c r="G1196">
        <v>2</v>
      </c>
    </row>
    <row r="1197" spans="1:7" x14ac:dyDescent="0.25">
      <c r="A1197">
        <v>920110</v>
      </c>
      <c r="B1197">
        <v>7</v>
      </c>
      <c r="C1197">
        <v>0.23</v>
      </c>
      <c r="D1197">
        <v>900</v>
      </c>
      <c r="F1197">
        <v>1</v>
      </c>
      <c r="G1197">
        <v>2</v>
      </c>
    </row>
    <row r="1198" spans="1:7" x14ac:dyDescent="0.25">
      <c r="A1198">
        <v>920120</v>
      </c>
      <c r="B1198">
        <v>7</v>
      </c>
      <c r="C1198">
        <v>0.44</v>
      </c>
      <c r="D1198">
        <v>900</v>
      </c>
      <c r="F1198">
        <v>0</v>
      </c>
      <c r="G1198">
        <v>2</v>
      </c>
    </row>
    <row r="1199" spans="1:7" x14ac:dyDescent="0.25">
      <c r="A1199">
        <v>920130</v>
      </c>
      <c r="B1199">
        <v>7</v>
      </c>
      <c r="C1199">
        <v>0.11</v>
      </c>
      <c r="D1199">
        <v>900</v>
      </c>
      <c r="F1199">
        <v>0</v>
      </c>
      <c r="G1199">
        <v>2</v>
      </c>
    </row>
    <row r="1200" spans="1:7" x14ac:dyDescent="0.25">
      <c r="A1200">
        <v>920131</v>
      </c>
      <c r="B1200">
        <v>7</v>
      </c>
      <c r="C1200">
        <v>0.11</v>
      </c>
      <c r="D1200">
        <v>900</v>
      </c>
      <c r="F1200">
        <v>0</v>
      </c>
      <c r="G1200">
        <v>2</v>
      </c>
    </row>
    <row r="1201" spans="1:7" x14ac:dyDescent="0.25">
      <c r="A1201">
        <v>920132</v>
      </c>
      <c r="B1201">
        <v>7</v>
      </c>
      <c r="C1201">
        <v>0.11</v>
      </c>
      <c r="D1201">
        <v>900</v>
      </c>
      <c r="F1201">
        <v>0</v>
      </c>
      <c r="G1201">
        <v>2</v>
      </c>
    </row>
    <row r="1202" spans="1:7" x14ac:dyDescent="0.25">
      <c r="A1202">
        <v>920133</v>
      </c>
      <c r="B1202">
        <v>7</v>
      </c>
      <c r="C1202">
        <v>0.11</v>
      </c>
      <c r="D1202">
        <v>900</v>
      </c>
      <c r="F1202">
        <v>0</v>
      </c>
      <c r="G1202">
        <v>2</v>
      </c>
    </row>
    <row r="1203" spans="1:7" x14ac:dyDescent="0.25">
      <c r="A1203">
        <v>920200</v>
      </c>
      <c r="B1203">
        <v>7</v>
      </c>
      <c r="C1203">
        <v>0.25</v>
      </c>
      <c r="D1203">
        <v>900</v>
      </c>
      <c r="F1203">
        <v>0</v>
      </c>
      <c r="G1203">
        <v>2</v>
      </c>
    </row>
    <row r="1204" spans="1:7" x14ac:dyDescent="0.25">
      <c r="A1204">
        <v>920201</v>
      </c>
      <c r="B1204">
        <v>7</v>
      </c>
      <c r="C1204">
        <v>0.25</v>
      </c>
      <c r="D1204">
        <v>900</v>
      </c>
      <c r="F1204">
        <v>0</v>
      </c>
      <c r="G1204">
        <v>2</v>
      </c>
    </row>
    <row r="1205" spans="1:7" x14ac:dyDescent="0.25">
      <c r="A1205">
        <v>920202</v>
      </c>
      <c r="B1205">
        <v>7</v>
      </c>
      <c r="C1205">
        <v>0.25</v>
      </c>
      <c r="D1205">
        <v>900</v>
      </c>
      <c r="F1205">
        <v>0</v>
      </c>
      <c r="G1205">
        <v>2</v>
      </c>
    </row>
    <row r="1206" spans="1:7" x14ac:dyDescent="0.25">
      <c r="A1206">
        <v>920203</v>
      </c>
      <c r="B1206">
        <v>7</v>
      </c>
      <c r="C1206">
        <v>0.25</v>
      </c>
      <c r="D1206">
        <v>900</v>
      </c>
      <c r="F1206">
        <v>0</v>
      </c>
      <c r="G1206">
        <v>2</v>
      </c>
    </row>
    <row r="1207" spans="1:7" x14ac:dyDescent="0.25">
      <c r="A1207">
        <v>920230</v>
      </c>
      <c r="B1207">
        <v>7</v>
      </c>
      <c r="C1207">
        <v>0.3</v>
      </c>
      <c r="D1207">
        <v>900</v>
      </c>
      <c r="F1207">
        <v>0</v>
      </c>
      <c r="G1207">
        <v>2</v>
      </c>
    </row>
    <row r="1208" spans="1:7" x14ac:dyDescent="0.25">
      <c r="A1208">
        <v>920240</v>
      </c>
      <c r="B1208">
        <v>7</v>
      </c>
      <c r="C1208">
        <v>0.35</v>
      </c>
      <c r="D1208">
        <v>900</v>
      </c>
      <c r="F1208">
        <v>0</v>
      </c>
      <c r="G1208">
        <v>2</v>
      </c>
    </row>
    <row r="1209" spans="1:7" x14ac:dyDescent="0.25">
      <c r="A1209">
        <v>920300</v>
      </c>
      <c r="B1209">
        <v>7</v>
      </c>
      <c r="C1209">
        <v>0.7</v>
      </c>
      <c r="D1209">
        <v>900</v>
      </c>
      <c r="F1209">
        <v>0</v>
      </c>
      <c r="G1209">
        <v>2</v>
      </c>
    </row>
    <row r="1210" spans="1:7" x14ac:dyDescent="0.25">
      <c r="A1210">
        <v>920301</v>
      </c>
      <c r="B1210">
        <v>7</v>
      </c>
      <c r="C1210">
        <v>0.7</v>
      </c>
      <c r="D1210">
        <v>900</v>
      </c>
      <c r="F1210">
        <v>0</v>
      </c>
      <c r="G1210">
        <v>2</v>
      </c>
    </row>
    <row r="1211" spans="1:7" x14ac:dyDescent="0.25">
      <c r="A1211">
        <v>920302</v>
      </c>
      <c r="B1211">
        <v>7</v>
      </c>
      <c r="C1211">
        <v>0.7</v>
      </c>
      <c r="D1211">
        <v>900</v>
      </c>
      <c r="F1211">
        <v>0</v>
      </c>
      <c r="G1211">
        <v>2</v>
      </c>
    </row>
    <row r="1212" spans="1:7" x14ac:dyDescent="0.25">
      <c r="A1212">
        <v>920303</v>
      </c>
      <c r="B1212">
        <v>7</v>
      </c>
      <c r="C1212">
        <v>0.7</v>
      </c>
      <c r="D1212">
        <v>900</v>
      </c>
      <c r="F1212">
        <v>0</v>
      </c>
      <c r="G1212">
        <v>2</v>
      </c>
    </row>
    <row r="1213" spans="1:7" x14ac:dyDescent="0.25">
      <c r="A1213">
        <v>920310</v>
      </c>
      <c r="B1213">
        <v>7</v>
      </c>
      <c r="C1213">
        <v>0.3</v>
      </c>
      <c r="D1213">
        <v>900</v>
      </c>
      <c r="F1213">
        <v>0</v>
      </c>
      <c r="G1213">
        <v>2</v>
      </c>
    </row>
    <row r="1214" spans="1:7" x14ac:dyDescent="0.25">
      <c r="A1214">
        <v>920350</v>
      </c>
      <c r="B1214">
        <v>7</v>
      </c>
      <c r="C1214">
        <v>1.05</v>
      </c>
      <c r="D1214">
        <v>900</v>
      </c>
      <c r="F1214">
        <v>0</v>
      </c>
      <c r="G1214">
        <v>2</v>
      </c>
    </row>
    <row r="1215" spans="1:7" x14ac:dyDescent="0.25">
      <c r="A1215">
        <v>920351</v>
      </c>
      <c r="B1215">
        <v>7</v>
      </c>
      <c r="C1215">
        <v>1.05</v>
      </c>
      <c r="D1215">
        <v>900</v>
      </c>
      <c r="F1215">
        <v>0</v>
      </c>
      <c r="G1215">
        <v>2</v>
      </c>
    </row>
    <row r="1216" spans="1:7" x14ac:dyDescent="0.25">
      <c r="A1216">
        <v>920352</v>
      </c>
      <c r="B1216">
        <v>7</v>
      </c>
      <c r="C1216">
        <v>1.05</v>
      </c>
      <c r="D1216">
        <v>900</v>
      </c>
      <c r="F1216">
        <v>0</v>
      </c>
      <c r="G1216">
        <v>2</v>
      </c>
    </row>
    <row r="1217" spans="1:7" x14ac:dyDescent="0.25">
      <c r="A1217">
        <v>920353</v>
      </c>
      <c r="B1217">
        <v>7</v>
      </c>
      <c r="C1217">
        <v>1.05</v>
      </c>
      <c r="D1217">
        <v>900</v>
      </c>
      <c r="F1217">
        <v>0</v>
      </c>
      <c r="G1217">
        <v>2</v>
      </c>
    </row>
    <row r="1218" spans="1:7" x14ac:dyDescent="0.25">
      <c r="A1218">
        <v>920360</v>
      </c>
      <c r="B1218">
        <v>7</v>
      </c>
      <c r="C1218">
        <v>1.05</v>
      </c>
      <c r="D1218">
        <v>900</v>
      </c>
      <c r="F1218">
        <v>0</v>
      </c>
      <c r="G1218">
        <v>2</v>
      </c>
    </row>
    <row r="1219" spans="1:7" x14ac:dyDescent="0.25">
      <c r="A1219">
        <v>920361</v>
      </c>
      <c r="B1219">
        <v>7</v>
      </c>
      <c r="C1219">
        <v>1.05</v>
      </c>
      <c r="D1219">
        <v>900</v>
      </c>
      <c r="F1219">
        <v>0</v>
      </c>
      <c r="G1219">
        <v>2</v>
      </c>
    </row>
    <row r="1220" spans="1:7" x14ac:dyDescent="0.25">
      <c r="A1220">
        <v>920362</v>
      </c>
      <c r="B1220">
        <v>7</v>
      </c>
      <c r="C1220">
        <v>1.05</v>
      </c>
      <c r="D1220">
        <v>900</v>
      </c>
      <c r="F1220">
        <v>0</v>
      </c>
      <c r="G1220">
        <v>2</v>
      </c>
    </row>
    <row r="1221" spans="1:7" x14ac:dyDescent="0.25">
      <c r="A1221">
        <v>920363</v>
      </c>
      <c r="B1221">
        <v>7</v>
      </c>
      <c r="C1221">
        <v>1.05</v>
      </c>
      <c r="D1221">
        <v>900</v>
      </c>
      <c r="F1221">
        <v>0</v>
      </c>
      <c r="G1221">
        <v>2</v>
      </c>
    </row>
    <row r="1222" spans="1:7" x14ac:dyDescent="0.25">
      <c r="A1222">
        <v>920370</v>
      </c>
      <c r="B1222">
        <v>7</v>
      </c>
      <c r="C1222">
        <v>1.05</v>
      </c>
      <c r="D1222">
        <v>900</v>
      </c>
      <c r="F1222">
        <v>0</v>
      </c>
      <c r="G1222">
        <v>2</v>
      </c>
    </row>
    <row r="1223" spans="1:7" x14ac:dyDescent="0.25">
      <c r="A1223">
        <v>920371</v>
      </c>
      <c r="B1223">
        <v>7</v>
      </c>
      <c r="C1223">
        <v>1.05</v>
      </c>
      <c r="D1223">
        <v>900</v>
      </c>
      <c r="F1223">
        <v>0</v>
      </c>
      <c r="G1223">
        <v>2</v>
      </c>
    </row>
    <row r="1224" spans="1:7" x14ac:dyDescent="0.25">
      <c r="A1224">
        <v>920372</v>
      </c>
      <c r="B1224">
        <v>7</v>
      </c>
      <c r="C1224">
        <v>1.05</v>
      </c>
      <c r="D1224">
        <v>900</v>
      </c>
      <c r="F1224">
        <v>0</v>
      </c>
      <c r="G1224">
        <v>2</v>
      </c>
    </row>
    <row r="1225" spans="1:7" x14ac:dyDescent="0.25">
      <c r="A1225">
        <v>920373</v>
      </c>
      <c r="B1225">
        <v>7</v>
      </c>
      <c r="C1225">
        <v>1.05</v>
      </c>
      <c r="D1225">
        <v>900</v>
      </c>
      <c r="F1225">
        <v>0</v>
      </c>
      <c r="G1225">
        <v>2</v>
      </c>
    </row>
    <row r="1226" spans="1:7" x14ac:dyDescent="0.25">
      <c r="A1226">
        <v>920380</v>
      </c>
      <c r="B1226">
        <v>7</v>
      </c>
      <c r="C1226">
        <v>0.04</v>
      </c>
      <c r="D1226">
        <v>900</v>
      </c>
      <c r="F1226">
        <v>264</v>
      </c>
      <c r="G1226">
        <v>2</v>
      </c>
    </row>
    <row r="1227" spans="1:7" x14ac:dyDescent="0.25">
      <c r="A1227">
        <v>920381</v>
      </c>
      <c r="B1227">
        <v>7</v>
      </c>
      <c r="C1227">
        <v>0.04</v>
      </c>
      <c r="D1227">
        <v>900</v>
      </c>
      <c r="F1227">
        <v>264</v>
      </c>
      <c r="G1227">
        <v>2</v>
      </c>
    </row>
    <row r="1228" spans="1:7" x14ac:dyDescent="0.25">
      <c r="A1228">
        <v>920382</v>
      </c>
      <c r="B1228">
        <v>7</v>
      </c>
      <c r="C1228">
        <v>0.08</v>
      </c>
      <c r="D1228">
        <v>900</v>
      </c>
      <c r="F1228">
        <v>144</v>
      </c>
      <c r="G1228">
        <v>2</v>
      </c>
    </row>
    <row r="1229" spans="1:7" x14ac:dyDescent="0.25">
      <c r="A1229">
        <v>920401</v>
      </c>
      <c r="B1229">
        <v>100</v>
      </c>
      <c r="C1229">
        <v>0.245</v>
      </c>
      <c r="D1229" t="s">
        <v>2</v>
      </c>
      <c r="F1229">
        <v>480</v>
      </c>
      <c r="G1229">
        <v>2</v>
      </c>
    </row>
    <row r="1230" spans="1:7" x14ac:dyDescent="0.25">
      <c r="A1230">
        <v>920451</v>
      </c>
      <c r="B1230">
        <v>7</v>
      </c>
      <c r="C1230">
        <v>0.42</v>
      </c>
      <c r="D1230" t="s">
        <v>1603</v>
      </c>
      <c r="F1230">
        <v>5</v>
      </c>
      <c r="G1230">
        <v>2</v>
      </c>
    </row>
    <row r="1231" spans="1:7" x14ac:dyDescent="0.25">
      <c r="A1231">
        <v>920452</v>
      </c>
      <c r="B1231">
        <v>7</v>
      </c>
      <c r="C1231">
        <v>0.66</v>
      </c>
      <c r="D1231" t="s">
        <v>1603</v>
      </c>
      <c r="F1231">
        <v>4</v>
      </c>
      <c r="G1231">
        <v>2</v>
      </c>
    </row>
    <row r="1232" spans="1:7" x14ac:dyDescent="0.25">
      <c r="A1232">
        <v>920453</v>
      </c>
      <c r="B1232">
        <v>7</v>
      </c>
      <c r="C1232">
        <v>0.2</v>
      </c>
      <c r="D1232" t="s">
        <v>1603</v>
      </c>
      <c r="F1232">
        <v>25</v>
      </c>
      <c r="G1232">
        <v>2</v>
      </c>
    </row>
    <row r="1233" spans="1:7" x14ac:dyDescent="0.25">
      <c r="A1233">
        <v>920454</v>
      </c>
      <c r="B1233">
        <v>7</v>
      </c>
      <c r="C1233">
        <v>0.2</v>
      </c>
      <c r="D1233" t="s">
        <v>1603</v>
      </c>
      <c r="F1233">
        <v>10</v>
      </c>
      <c r="G1233">
        <v>2</v>
      </c>
    </row>
    <row r="1234" spans="1:7" x14ac:dyDescent="0.25">
      <c r="A1234">
        <v>920455</v>
      </c>
      <c r="B1234">
        <v>7</v>
      </c>
      <c r="C1234">
        <v>0.48</v>
      </c>
      <c r="D1234" t="s">
        <v>1603</v>
      </c>
      <c r="F1234">
        <v>10</v>
      </c>
      <c r="G1234">
        <v>2</v>
      </c>
    </row>
    <row r="1235" spans="1:7" x14ac:dyDescent="0.25">
      <c r="A1235">
        <v>920456</v>
      </c>
      <c r="B1235">
        <v>7</v>
      </c>
      <c r="C1235">
        <v>0.72</v>
      </c>
      <c r="D1235" t="s">
        <v>1603</v>
      </c>
      <c r="F1235">
        <v>20</v>
      </c>
      <c r="G1235">
        <v>2</v>
      </c>
    </row>
    <row r="1236" spans="1:7" x14ac:dyDescent="0.25">
      <c r="A1236">
        <v>920506</v>
      </c>
      <c r="B1236">
        <v>7</v>
      </c>
      <c r="C1236">
        <v>25</v>
      </c>
      <c r="D1236">
        <v>2984</v>
      </c>
      <c r="F1236">
        <v>0</v>
      </c>
      <c r="G1236">
        <v>2</v>
      </c>
    </row>
    <row r="1237" spans="1:7" x14ac:dyDescent="0.25">
      <c r="A1237">
        <v>930620</v>
      </c>
      <c r="B1237">
        <v>100</v>
      </c>
      <c r="C1237">
        <v>0.80800000000000005</v>
      </c>
      <c r="D1237" t="s">
        <v>47</v>
      </c>
      <c r="E1237">
        <v>2789</v>
      </c>
      <c r="F1237">
        <v>600</v>
      </c>
      <c r="G1237">
        <v>2</v>
      </c>
    </row>
    <row r="1238" spans="1:7" x14ac:dyDescent="0.25">
      <c r="A1238">
        <v>931260</v>
      </c>
      <c r="B1238">
        <v>100</v>
      </c>
      <c r="C1238">
        <v>1.827</v>
      </c>
      <c r="D1238" t="s">
        <v>47</v>
      </c>
      <c r="F1238">
        <v>140</v>
      </c>
      <c r="G1238">
        <v>2</v>
      </c>
    </row>
    <row r="1239" spans="1:7" x14ac:dyDescent="0.25">
      <c r="A1239">
        <v>940000</v>
      </c>
      <c r="B1239">
        <v>100</v>
      </c>
      <c r="C1239">
        <v>0.41599999999999998</v>
      </c>
      <c r="D1239" t="s">
        <v>2542</v>
      </c>
      <c r="E1239">
        <v>2785</v>
      </c>
      <c r="F1239">
        <v>850</v>
      </c>
      <c r="G1239">
        <v>2</v>
      </c>
    </row>
    <row r="1240" spans="1:7" x14ac:dyDescent="0.25">
      <c r="A1240">
        <v>940018</v>
      </c>
      <c r="B1240">
        <v>100</v>
      </c>
      <c r="C1240">
        <v>0.253</v>
      </c>
      <c r="D1240" t="s">
        <v>2542</v>
      </c>
      <c r="E1240">
        <v>14276</v>
      </c>
      <c r="F1240">
        <v>500</v>
      </c>
      <c r="G1240">
        <v>2</v>
      </c>
    </row>
    <row r="1241" spans="1:7" x14ac:dyDescent="0.25">
      <c r="A1241">
        <v>940032</v>
      </c>
      <c r="B1241">
        <v>100</v>
      </c>
      <c r="C1241">
        <v>0.28100000000000003</v>
      </c>
      <c r="D1241" t="s">
        <v>2542</v>
      </c>
      <c r="F1241">
        <v>400</v>
      </c>
      <c r="G1241">
        <v>2</v>
      </c>
    </row>
    <row r="1242" spans="1:7" x14ac:dyDescent="0.25">
      <c r="A1242">
        <v>940035</v>
      </c>
      <c r="B1242">
        <v>100</v>
      </c>
      <c r="C1242">
        <v>0.47</v>
      </c>
      <c r="D1242" t="s">
        <v>2542</v>
      </c>
      <c r="E1242">
        <v>2785</v>
      </c>
      <c r="F1242">
        <v>200</v>
      </c>
      <c r="G1242">
        <v>2</v>
      </c>
    </row>
    <row r="1243" spans="1:7" x14ac:dyDescent="0.25">
      <c r="A1243">
        <v>940040</v>
      </c>
      <c r="B1243">
        <v>100</v>
      </c>
      <c r="C1243">
        <v>0.41599999999999998</v>
      </c>
      <c r="D1243" t="s">
        <v>2542</v>
      </c>
      <c r="E1243">
        <v>5195</v>
      </c>
      <c r="F1243">
        <v>30</v>
      </c>
      <c r="G1243">
        <v>2</v>
      </c>
    </row>
    <row r="1244" spans="1:7" x14ac:dyDescent="0.25">
      <c r="A1244">
        <v>941100</v>
      </c>
      <c r="B1244">
        <v>100</v>
      </c>
      <c r="C1244">
        <v>0.19700000000000001</v>
      </c>
      <c r="D1244" t="s">
        <v>2542</v>
      </c>
      <c r="F1244">
        <v>1000</v>
      </c>
      <c r="G1244">
        <v>2</v>
      </c>
    </row>
    <row r="1245" spans="1:7" x14ac:dyDescent="0.25">
      <c r="A1245">
        <v>941200</v>
      </c>
      <c r="B1245">
        <v>100</v>
      </c>
      <c r="C1245">
        <v>0.25600000000000001</v>
      </c>
      <c r="D1245" t="s">
        <v>2542</v>
      </c>
      <c r="E1245">
        <v>2791</v>
      </c>
      <c r="F1245">
        <v>1100</v>
      </c>
      <c r="G1245">
        <v>2</v>
      </c>
    </row>
    <row r="1246" spans="1:7" x14ac:dyDescent="0.25">
      <c r="A1246">
        <v>941402</v>
      </c>
      <c r="B1246">
        <v>100</v>
      </c>
      <c r="C1246">
        <v>0.31</v>
      </c>
      <c r="D1246" t="s">
        <v>2</v>
      </c>
      <c r="F1246">
        <v>1300</v>
      </c>
      <c r="G1246">
        <v>2</v>
      </c>
    </row>
    <row r="1247" spans="1:7" x14ac:dyDescent="0.25">
      <c r="A1247">
        <v>941406</v>
      </c>
      <c r="B1247">
        <v>100</v>
      </c>
      <c r="C1247">
        <v>0.27200000000000002</v>
      </c>
      <c r="D1247" t="s">
        <v>2</v>
      </c>
      <c r="F1247">
        <v>150</v>
      </c>
      <c r="G1247">
        <v>2</v>
      </c>
    </row>
    <row r="1248" spans="1:7" x14ac:dyDescent="0.25">
      <c r="A1248">
        <v>941408</v>
      </c>
      <c r="B1248">
        <v>100</v>
      </c>
      <c r="C1248">
        <v>0.19600000000000001</v>
      </c>
      <c r="D1248" t="s">
        <v>47</v>
      </c>
      <c r="F1248">
        <v>120</v>
      </c>
      <c r="G1248">
        <v>2</v>
      </c>
    </row>
    <row r="1249" spans="1:7" x14ac:dyDescent="0.25">
      <c r="A1249">
        <v>941410</v>
      </c>
      <c r="B1249">
        <v>100</v>
      </c>
      <c r="C1249">
        <v>0.28999999999999998</v>
      </c>
      <c r="D1249" t="s">
        <v>2</v>
      </c>
      <c r="E1249">
        <v>13022</v>
      </c>
      <c r="F1249">
        <v>300</v>
      </c>
      <c r="G1249">
        <v>2</v>
      </c>
    </row>
    <row r="1250" spans="1:7" x14ac:dyDescent="0.25">
      <c r="A1250">
        <v>943000</v>
      </c>
      <c r="B1250">
        <v>100</v>
      </c>
      <c r="C1250">
        <v>0.61799999999999999</v>
      </c>
      <c r="D1250" t="s">
        <v>2542</v>
      </c>
      <c r="E1250">
        <v>2791</v>
      </c>
      <c r="F1250">
        <v>300</v>
      </c>
      <c r="G1250">
        <v>2</v>
      </c>
    </row>
    <row r="1251" spans="1:7" x14ac:dyDescent="0.25">
      <c r="A1251">
        <v>943020</v>
      </c>
      <c r="B1251">
        <v>100</v>
      </c>
      <c r="C1251">
        <v>1.04</v>
      </c>
      <c r="D1251" t="s">
        <v>2</v>
      </c>
      <c r="F1251">
        <v>130</v>
      </c>
      <c r="G1251">
        <v>2</v>
      </c>
    </row>
    <row r="1252" spans="1:7" x14ac:dyDescent="0.25">
      <c r="A1252">
        <v>943121</v>
      </c>
      <c r="B1252">
        <v>100</v>
      </c>
      <c r="C1252">
        <v>1.605</v>
      </c>
      <c r="D1252" t="s">
        <v>2</v>
      </c>
      <c r="F1252">
        <v>300</v>
      </c>
      <c r="G1252">
        <v>2</v>
      </c>
    </row>
    <row r="1253" spans="1:7" x14ac:dyDescent="0.25">
      <c r="A1253">
        <v>944009</v>
      </c>
      <c r="B1253">
        <v>100</v>
      </c>
      <c r="C1253">
        <v>1.04</v>
      </c>
      <c r="D1253" t="s">
        <v>2</v>
      </c>
      <c r="F1253">
        <v>170</v>
      </c>
      <c r="G1253">
        <v>2</v>
      </c>
    </row>
    <row r="1254" spans="1:7" x14ac:dyDescent="0.25">
      <c r="A1254">
        <v>944010</v>
      </c>
      <c r="B1254">
        <v>100</v>
      </c>
      <c r="C1254">
        <v>1.5149999999999999</v>
      </c>
      <c r="D1254" t="s">
        <v>2542</v>
      </c>
      <c r="F1254">
        <v>150</v>
      </c>
      <c r="G1254">
        <v>2</v>
      </c>
    </row>
    <row r="1255" spans="1:7" x14ac:dyDescent="0.25">
      <c r="A1255">
        <v>947091</v>
      </c>
      <c r="B1255">
        <v>7</v>
      </c>
      <c r="C1255">
        <v>1.38</v>
      </c>
      <c r="D1255">
        <v>9027</v>
      </c>
      <c r="F1255">
        <v>8</v>
      </c>
      <c r="G1255">
        <v>2</v>
      </c>
    </row>
    <row r="1256" spans="1:7" x14ac:dyDescent="0.25">
      <c r="A1256">
        <v>947096</v>
      </c>
      <c r="B1256">
        <v>7</v>
      </c>
      <c r="C1256">
        <v>0.46</v>
      </c>
      <c r="D1256">
        <v>9027</v>
      </c>
      <c r="F1256">
        <v>8</v>
      </c>
      <c r="G1256">
        <v>2</v>
      </c>
    </row>
    <row r="1257" spans="1:7" x14ac:dyDescent="0.25">
      <c r="A1257">
        <v>947097</v>
      </c>
      <c r="B1257">
        <v>7</v>
      </c>
      <c r="C1257">
        <v>0.53</v>
      </c>
      <c r="D1257">
        <v>9027</v>
      </c>
      <c r="F1257">
        <v>8</v>
      </c>
      <c r="G1257">
        <v>2</v>
      </c>
    </row>
    <row r="1258" spans="1:7" x14ac:dyDescent="0.25">
      <c r="A1258">
        <v>947098</v>
      </c>
      <c r="B1258">
        <v>7</v>
      </c>
      <c r="C1258">
        <v>0.6</v>
      </c>
      <c r="D1258">
        <v>9027</v>
      </c>
      <c r="F1258">
        <v>8</v>
      </c>
      <c r="G1258">
        <v>2</v>
      </c>
    </row>
    <row r="1259" spans="1:7" x14ac:dyDescent="0.25">
      <c r="A1259">
        <v>947099</v>
      </c>
      <c r="B1259">
        <v>7</v>
      </c>
      <c r="C1259">
        <v>0.66</v>
      </c>
      <c r="D1259">
        <v>9027</v>
      </c>
      <c r="F1259">
        <v>8</v>
      </c>
      <c r="G1259">
        <v>2</v>
      </c>
    </row>
    <row r="1260" spans="1:7" x14ac:dyDescent="0.25">
      <c r="A1260">
        <v>955001</v>
      </c>
      <c r="B1260">
        <v>90</v>
      </c>
      <c r="C1260">
        <v>1.2E-2</v>
      </c>
      <c r="D1260" t="s">
        <v>1694</v>
      </c>
      <c r="F1260">
        <v>100</v>
      </c>
      <c r="G1260">
        <v>2</v>
      </c>
    </row>
    <row r="1261" spans="1:7" x14ac:dyDescent="0.25">
      <c r="A1261">
        <v>955004</v>
      </c>
      <c r="B1261">
        <v>90</v>
      </c>
      <c r="C1261">
        <v>0.02</v>
      </c>
      <c r="D1261" t="s">
        <v>1694</v>
      </c>
      <c r="F1261">
        <v>100</v>
      </c>
      <c r="G1261">
        <v>2</v>
      </c>
    </row>
    <row r="1262" spans="1:7" x14ac:dyDescent="0.25">
      <c r="A1262">
        <v>955020</v>
      </c>
      <c r="B1262">
        <v>100</v>
      </c>
      <c r="C1262">
        <v>7.0000000000000007E-2</v>
      </c>
      <c r="D1262" t="s">
        <v>2542</v>
      </c>
      <c r="E1262">
        <v>2791</v>
      </c>
      <c r="F1262">
        <v>12</v>
      </c>
      <c r="G1262">
        <v>2</v>
      </c>
    </row>
    <row r="1263" spans="1:7" x14ac:dyDescent="0.25">
      <c r="A1263">
        <v>955021</v>
      </c>
      <c r="B1263">
        <v>100</v>
      </c>
      <c r="C1263">
        <v>7.0000000000000007E-2</v>
      </c>
      <c r="D1263" t="s">
        <v>2542</v>
      </c>
      <c r="E1263">
        <v>2791</v>
      </c>
      <c r="F1263">
        <v>300</v>
      </c>
      <c r="G1263">
        <v>2</v>
      </c>
    </row>
    <row r="1264" spans="1:7" x14ac:dyDescent="0.25">
      <c r="A1264">
        <v>955024</v>
      </c>
      <c r="B1264">
        <v>100</v>
      </c>
      <c r="C1264">
        <v>0.09</v>
      </c>
      <c r="D1264" t="s">
        <v>2542</v>
      </c>
      <c r="E1264">
        <v>2791</v>
      </c>
      <c r="F1264">
        <v>900</v>
      </c>
      <c r="G1264">
        <v>2</v>
      </c>
    </row>
    <row r="1265" spans="1:7" x14ac:dyDescent="0.25">
      <c r="A1265">
        <v>955025</v>
      </c>
      <c r="B1265">
        <v>100</v>
      </c>
      <c r="C1265">
        <v>0.09</v>
      </c>
      <c r="D1265" t="s">
        <v>2542</v>
      </c>
      <c r="E1265">
        <v>2791</v>
      </c>
      <c r="F1265">
        <v>500</v>
      </c>
      <c r="G1265">
        <v>2</v>
      </c>
    </row>
    <row r="1266" spans="1:7" x14ac:dyDescent="0.25">
      <c r="A1266">
        <v>955030</v>
      </c>
      <c r="B1266">
        <v>100</v>
      </c>
      <c r="C1266">
        <v>0.09</v>
      </c>
      <c r="D1266" t="s">
        <v>2542</v>
      </c>
      <c r="E1266">
        <v>2791</v>
      </c>
      <c r="F1266">
        <v>500</v>
      </c>
      <c r="G1266">
        <v>2</v>
      </c>
    </row>
    <row r="1267" spans="1:7" x14ac:dyDescent="0.25">
      <c r="A1267">
        <v>955031</v>
      </c>
      <c r="B1267">
        <v>100</v>
      </c>
      <c r="C1267">
        <v>0.13100000000000001</v>
      </c>
      <c r="D1267" t="s">
        <v>2542</v>
      </c>
      <c r="E1267">
        <v>2791</v>
      </c>
      <c r="F1267">
        <v>350</v>
      </c>
      <c r="G1267">
        <v>2</v>
      </c>
    </row>
    <row r="1268" spans="1:7" x14ac:dyDescent="0.25">
      <c r="A1268">
        <v>955130</v>
      </c>
      <c r="B1268">
        <v>100</v>
      </c>
      <c r="C1268">
        <v>0.15</v>
      </c>
      <c r="D1268" t="s">
        <v>2542</v>
      </c>
      <c r="E1268">
        <v>2791</v>
      </c>
      <c r="F1268">
        <v>500</v>
      </c>
      <c r="G1268">
        <v>2</v>
      </c>
    </row>
    <row r="1269" spans="1:7" x14ac:dyDescent="0.25">
      <c r="A1269">
        <v>955230</v>
      </c>
      <c r="B1269">
        <v>100</v>
      </c>
      <c r="C1269">
        <v>0.125</v>
      </c>
      <c r="D1269" t="s">
        <v>2542</v>
      </c>
      <c r="E1269">
        <v>2791</v>
      </c>
      <c r="F1269">
        <v>200</v>
      </c>
      <c r="G1269">
        <v>2</v>
      </c>
    </row>
    <row r="1270" spans="1:7" x14ac:dyDescent="0.25">
      <c r="A1270">
        <v>955252</v>
      </c>
      <c r="B1270">
        <v>100</v>
      </c>
      <c r="C1270">
        <v>0.35299999999999998</v>
      </c>
      <c r="D1270" t="s">
        <v>2542</v>
      </c>
      <c r="E1270">
        <v>2791</v>
      </c>
      <c r="F1270">
        <v>12</v>
      </c>
      <c r="G1270">
        <v>2</v>
      </c>
    </row>
    <row r="1271" spans="1:7" x14ac:dyDescent="0.25">
      <c r="A1271">
        <v>955254</v>
      </c>
      <c r="B1271">
        <v>100</v>
      </c>
      <c r="C1271">
        <v>0.48299999999999998</v>
      </c>
      <c r="D1271" t="s">
        <v>2542</v>
      </c>
      <c r="E1271">
        <v>2791</v>
      </c>
      <c r="F1271">
        <v>12</v>
      </c>
      <c r="G1271">
        <v>2</v>
      </c>
    </row>
    <row r="1272" spans="1:7" x14ac:dyDescent="0.25">
      <c r="A1272">
        <v>956002</v>
      </c>
      <c r="B1272">
        <v>90</v>
      </c>
      <c r="C1272">
        <v>0.435</v>
      </c>
      <c r="D1272" t="s">
        <v>5</v>
      </c>
      <c r="F1272">
        <v>80</v>
      </c>
      <c r="G1272">
        <v>2</v>
      </c>
    </row>
    <row r="1273" spans="1:7" x14ac:dyDescent="0.25">
      <c r="A1273">
        <v>956010</v>
      </c>
      <c r="B1273">
        <v>90</v>
      </c>
      <c r="C1273">
        <v>3.75</v>
      </c>
      <c r="D1273" t="s">
        <v>5</v>
      </c>
      <c r="F1273">
        <v>150</v>
      </c>
      <c r="G1273">
        <v>2</v>
      </c>
    </row>
    <row r="1274" spans="1:7" x14ac:dyDescent="0.25">
      <c r="A1274">
        <v>956020</v>
      </c>
      <c r="B1274">
        <v>90</v>
      </c>
      <c r="C1274">
        <v>3.875</v>
      </c>
      <c r="D1274" t="s">
        <v>5</v>
      </c>
      <c r="F1274">
        <v>100</v>
      </c>
      <c r="G1274">
        <v>2</v>
      </c>
    </row>
    <row r="1275" spans="1:7" x14ac:dyDescent="0.25">
      <c r="A1275">
        <v>956030</v>
      </c>
      <c r="B1275">
        <v>90</v>
      </c>
      <c r="C1275">
        <v>1.05</v>
      </c>
      <c r="D1275" t="s">
        <v>5</v>
      </c>
      <c r="F1275">
        <v>150</v>
      </c>
      <c r="G1275">
        <v>2</v>
      </c>
    </row>
    <row r="1276" spans="1:7" x14ac:dyDescent="0.25">
      <c r="A1276">
        <v>956040</v>
      </c>
      <c r="B1276">
        <v>90</v>
      </c>
      <c r="C1276">
        <v>3</v>
      </c>
      <c r="D1276" t="s">
        <v>5</v>
      </c>
      <c r="F1276">
        <v>150</v>
      </c>
      <c r="G1276">
        <v>2</v>
      </c>
    </row>
    <row r="1277" spans="1:7" x14ac:dyDescent="0.25">
      <c r="A1277">
        <v>960050</v>
      </c>
      <c r="B1277">
        <v>100</v>
      </c>
      <c r="C1277">
        <v>0.14000000000000001</v>
      </c>
      <c r="D1277" t="s">
        <v>2</v>
      </c>
      <c r="F1277">
        <v>25</v>
      </c>
      <c r="G1277">
        <v>2</v>
      </c>
    </row>
    <row r="1278" spans="1:7" x14ac:dyDescent="0.25">
      <c r="A1278">
        <v>960150</v>
      </c>
      <c r="B1278">
        <v>100</v>
      </c>
      <c r="C1278">
        <v>0.108</v>
      </c>
      <c r="D1278" t="s">
        <v>2</v>
      </c>
      <c r="F1278">
        <v>20</v>
      </c>
      <c r="G1278">
        <v>2</v>
      </c>
    </row>
    <row r="1279" spans="1:7" x14ac:dyDescent="0.25">
      <c r="A1279">
        <v>960155</v>
      </c>
      <c r="B1279">
        <v>7</v>
      </c>
      <c r="C1279">
        <v>0.8</v>
      </c>
      <c r="D1279">
        <v>9370</v>
      </c>
      <c r="F1279">
        <v>10</v>
      </c>
      <c r="G1279">
        <v>2</v>
      </c>
    </row>
    <row r="1280" spans="1:7" x14ac:dyDescent="0.25">
      <c r="A1280">
        <v>960159</v>
      </c>
      <c r="B1280">
        <v>7</v>
      </c>
      <c r="C1280">
        <v>0.8</v>
      </c>
      <c r="D1280">
        <v>9370</v>
      </c>
      <c r="F1280">
        <v>10</v>
      </c>
      <c r="G1280">
        <v>2</v>
      </c>
    </row>
    <row r="1281" spans="1:7" x14ac:dyDescent="0.25">
      <c r="A1281">
        <v>975010</v>
      </c>
      <c r="B1281">
        <v>7</v>
      </c>
      <c r="C1281">
        <v>7.2999999999999995E-2</v>
      </c>
      <c r="D1281">
        <v>9943</v>
      </c>
      <c r="E1281">
        <v>19530</v>
      </c>
      <c r="F1281">
        <v>120</v>
      </c>
      <c r="G1281">
        <v>2</v>
      </c>
    </row>
    <row r="1282" spans="1:7" x14ac:dyDescent="0.25">
      <c r="A1282">
        <v>975020</v>
      </c>
      <c r="B1282">
        <v>3</v>
      </c>
      <c r="C1282">
        <v>9.2999999999999999E-2</v>
      </c>
      <c r="D1282">
        <v>9943</v>
      </c>
      <c r="F1282">
        <v>120</v>
      </c>
      <c r="G1282">
        <v>2</v>
      </c>
    </row>
    <row r="1283" spans="1:7" x14ac:dyDescent="0.25">
      <c r="A1283">
        <v>976000</v>
      </c>
      <c r="B1283">
        <v>7</v>
      </c>
      <c r="C1283">
        <v>0.23699999999999999</v>
      </c>
      <c r="D1283">
        <v>9943</v>
      </c>
      <c r="E1283">
        <v>6448</v>
      </c>
      <c r="F1283">
        <v>30</v>
      </c>
      <c r="G1283">
        <v>2</v>
      </c>
    </row>
    <row r="1284" spans="1:7" x14ac:dyDescent="0.25">
      <c r="A1284">
        <v>976040</v>
      </c>
      <c r="B1284">
        <v>7</v>
      </c>
      <c r="C1284">
        <v>0.74</v>
      </c>
      <c r="D1284">
        <v>9943</v>
      </c>
      <c r="F1284">
        <v>4</v>
      </c>
      <c r="G1284">
        <v>2</v>
      </c>
    </row>
    <row r="1285" spans="1:7" x14ac:dyDescent="0.25">
      <c r="A1285">
        <v>976050</v>
      </c>
      <c r="B1285">
        <v>7</v>
      </c>
      <c r="C1285">
        <v>1.583</v>
      </c>
      <c r="D1285">
        <v>9943</v>
      </c>
      <c r="E1285">
        <v>19530</v>
      </c>
      <c r="F1285">
        <v>60</v>
      </c>
      <c r="G1285">
        <v>2</v>
      </c>
    </row>
    <row r="1286" spans="1:7" x14ac:dyDescent="0.25">
      <c r="A1286">
        <v>976060</v>
      </c>
      <c r="B1286">
        <v>7</v>
      </c>
      <c r="C1286">
        <v>0.96</v>
      </c>
      <c r="D1286">
        <v>9943</v>
      </c>
      <c r="F1286">
        <v>0</v>
      </c>
      <c r="G1286">
        <v>2</v>
      </c>
    </row>
    <row r="1287" spans="1:7" x14ac:dyDescent="0.25">
      <c r="A1287">
        <v>977005</v>
      </c>
      <c r="B1287">
        <v>7</v>
      </c>
      <c r="C1287">
        <v>0.28199999999999997</v>
      </c>
      <c r="D1287">
        <v>9943</v>
      </c>
      <c r="F1287">
        <v>20</v>
      </c>
      <c r="G1287">
        <v>2</v>
      </c>
    </row>
    <row r="1288" spans="1:7" x14ac:dyDescent="0.25">
      <c r="A1288">
        <v>977010</v>
      </c>
      <c r="B1288">
        <v>7</v>
      </c>
      <c r="C1288">
        <v>0.40200000000000002</v>
      </c>
      <c r="D1288">
        <v>9943</v>
      </c>
      <c r="F1288">
        <v>50</v>
      </c>
      <c r="G1288">
        <v>2</v>
      </c>
    </row>
    <row r="1289" spans="1:7" x14ac:dyDescent="0.25">
      <c r="A1289">
        <v>981001</v>
      </c>
      <c r="B1289">
        <v>0</v>
      </c>
      <c r="C1289">
        <v>0.61</v>
      </c>
      <c r="D1289">
        <v>493</v>
      </c>
      <c r="F1289">
        <v>0</v>
      </c>
      <c r="G1289">
        <v>2</v>
      </c>
    </row>
    <row r="1290" spans="1:7" x14ac:dyDescent="0.25">
      <c r="A1290" t="s">
        <v>2728</v>
      </c>
      <c r="B1290">
        <v>0</v>
      </c>
      <c r="C1290">
        <v>1.0999999999999999E-2</v>
      </c>
      <c r="D1290">
        <v>4236</v>
      </c>
      <c r="E1290">
        <v>23830</v>
      </c>
      <c r="F1290">
        <v>0</v>
      </c>
      <c r="G1290">
        <v>2</v>
      </c>
    </row>
    <row r="1291" spans="1:7" x14ac:dyDescent="0.25">
      <c r="A1291" t="s">
        <v>2729</v>
      </c>
      <c r="B1291">
        <v>0</v>
      </c>
      <c r="C1291">
        <v>1.0999999999999999E-2</v>
      </c>
      <c r="D1291">
        <v>4236</v>
      </c>
      <c r="E1291">
        <v>23830</v>
      </c>
      <c r="F1291">
        <v>0</v>
      </c>
      <c r="G1291">
        <v>2</v>
      </c>
    </row>
    <row r="1292" spans="1:7" x14ac:dyDescent="0.25">
      <c r="A1292" t="s">
        <v>2730</v>
      </c>
      <c r="B1292">
        <v>0</v>
      </c>
      <c r="C1292">
        <v>1.0999999999999999E-2</v>
      </c>
      <c r="D1292">
        <v>4236</v>
      </c>
      <c r="E1292">
        <v>23830</v>
      </c>
      <c r="F1292">
        <v>0</v>
      </c>
      <c r="G1292">
        <v>2</v>
      </c>
    </row>
    <row r="1293" spans="1:7" x14ac:dyDescent="0.25">
      <c r="A1293" t="s">
        <v>2731</v>
      </c>
      <c r="B1293">
        <v>0</v>
      </c>
      <c r="C1293">
        <v>6.0000000000000001E-3</v>
      </c>
      <c r="D1293" t="s">
        <v>2</v>
      </c>
      <c r="E1293">
        <v>23795</v>
      </c>
      <c r="F1293">
        <v>0</v>
      </c>
      <c r="G1293">
        <v>2</v>
      </c>
    </row>
    <row r="1294" spans="1:7" x14ac:dyDescent="0.25">
      <c r="A1294" t="s">
        <v>2732</v>
      </c>
      <c r="B1294">
        <v>0</v>
      </c>
      <c r="C1294">
        <v>6.0000000000000001E-3</v>
      </c>
      <c r="D1294" t="s">
        <v>2</v>
      </c>
      <c r="E1294">
        <v>23795</v>
      </c>
      <c r="F1294">
        <v>0</v>
      </c>
      <c r="G1294">
        <v>2</v>
      </c>
    </row>
    <row r="1295" spans="1:7" x14ac:dyDescent="0.25">
      <c r="A1295">
        <v>982302</v>
      </c>
      <c r="B1295">
        <v>7</v>
      </c>
      <c r="C1295">
        <v>0.04</v>
      </c>
      <c r="D1295">
        <v>578</v>
      </c>
      <c r="F1295">
        <v>6</v>
      </c>
      <c r="G1295">
        <v>2</v>
      </c>
    </row>
    <row r="1296" spans="1:7" x14ac:dyDescent="0.25">
      <c r="A1296">
        <v>993200</v>
      </c>
      <c r="B1296">
        <v>0</v>
      </c>
      <c r="C1296">
        <v>2.5</v>
      </c>
      <c r="D1296">
        <v>9591</v>
      </c>
      <c r="F1296">
        <v>0</v>
      </c>
      <c r="G1296">
        <v>2</v>
      </c>
    </row>
    <row r="1297" spans="1:7" x14ac:dyDescent="0.25">
      <c r="A1297">
        <v>996100</v>
      </c>
      <c r="B1297">
        <v>100</v>
      </c>
      <c r="C1297">
        <v>0.108</v>
      </c>
      <c r="D1297" t="s">
        <v>2</v>
      </c>
      <c r="E1297">
        <v>2785</v>
      </c>
      <c r="F1297">
        <v>400</v>
      </c>
      <c r="G1297">
        <v>2</v>
      </c>
    </row>
    <row r="1298" spans="1:7" x14ac:dyDescent="0.25">
      <c r="A1298">
        <v>996151</v>
      </c>
      <c r="B1298">
        <v>100</v>
      </c>
      <c r="C1298">
        <v>0.219</v>
      </c>
      <c r="D1298" t="s">
        <v>2727</v>
      </c>
      <c r="E1298">
        <v>17621</v>
      </c>
      <c r="F1298">
        <v>300</v>
      </c>
      <c r="G1298">
        <v>2</v>
      </c>
    </row>
    <row r="1299" spans="1:7" x14ac:dyDescent="0.25">
      <c r="A1299">
        <v>996153</v>
      </c>
      <c r="B1299">
        <v>100</v>
      </c>
      <c r="C1299">
        <v>0.255</v>
      </c>
      <c r="D1299" t="s">
        <v>2727</v>
      </c>
      <c r="E1299">
        <v>17621</v>
      </c>
      <c r="F1299">
        <v>300</v>
      </c>
      <c r="G1299">
        <v>2</v>
      </c>
    </row>
    <row r="1300" spans="1:7" x14ac:dyDescent="0.25">
      <c r="A1300">
        <v>996155</v>
      </c>
      <c r="B1300">
        <v>100</v>
      </c>
      <c r="C1300">
        <v>0.49299999999999999</v>
      </c>
      <c r="D1300" t="s">
        <v>2727</v>
      </c>
      <c r="E1300">
        <v>17621</v>
      </c>
      <c r="F1300">
        <v>150</v>
      </c>
      <c r="G1300">
        <v>2</v>
      </c>
    </row>
    <row r="1301" spans="1:7" x14ac:dyDescent="0.25">
      <c r="A1301">
        <v>996157</v>
      </c>
      <c r="B1301">
        <v>100</v>
      </c>
      <c r="C1301">
        <v>0.54200000000000004</v>
      </c>
      <c r="D1301" t="s">
        <v>2727</v>
      </c>
      <c r="E1301">
        <v>17621</v>
      </c>
      <c r="F1301">
        <v>300</v>
      </c>
      <c r="G1301">
        <v>2</v>
      </c>
    </row>
    <row r="1302" spans="1:7" x14ac:dyDescent="0.25">
      <c r="A1302">
        <v>996160</v>
      </c>
      <c r="B1302">
        <v>100</v>
      </c>
      <c r="C1302">
        <v>0.33500000000000002</v>
      </c>
      <c r="D1302" t="s">
        <v>2727</v>
      </c>
      <c r="E1302">
        <v>17621</v>
      </c>
      <c r="F1302">
        <v>300</v>
      </c>
      <c r="G1302">
        <v>2</v>
      </c>
    </row>
    <row r="1303" spans="1:7" x14ac:dyDescent="0.25">
      <c r="A1303">
        <v>996170</v>
      </c>
      <c r="B1303">
        <v>100</v>
      </c>
      <c r="C1303">
        <v>0.17799999999999999</v>
      </c>
      <c r="D1303" t="s">
        <v>2727</v>
      </c>
      <c r="E1303">
        <v>19529</v>
      </c>
      <c r="F1303">
        <v>400</v>
      </c>
      <c r="G1303">
        <v>2</v>
      </c>
    </row>
    <row r="1304" spans="1:7" x14ac:dyDescent="0.25">
      <c r="A1304">
        <v>997021</v>
      </c>
      <c r="B1304">
        <v>100</v>
      </c>
      <c r="C1304">
        <v>0.108</v>
      </c>
      <c r="D1304" t="s">
        <v>2542</v>
      </c>
      <c r="F1304">
        <v>0</v>
      </c>
      <c r="G1304">
        <v>2</v>
      </c>
    </row>
    <row r="1305" spans="1:7" x14ac:dyDescent="0.25">
      <c r="A1305">
        <v>997022</v>
      </c>
      <c r="B1305">
        <v>100</v>
      </c>
      <c r="C1305">
        <v>0.108</v>
      </c>
      <c r="D1305" t="s">
        <v>2542</v>
      </c>
      <c r="F1305">
        <v>0</v>
      </c>
      <c r="G1305">
        <v>2</v>
      </c>
    </row>
    <row r="1306" spans="1:7" x14ac:dyDescent="0.25">
      <c r="A1306">
        <v>997051</v>
      </c>
      <c r="B1306">
        <v>10</v>
      </c>
      <c r="C1306">
        <v>0.45200000000000001</v>
      </c>
      <c r="D1306" t="s">
        <v>58</v>
      </c>
      <c r="F1306">
        <v>50</v>
      </c>
      <c r="G1306">
        <v>2</v>
      </c>
    </row>
    <row r="1307" spans="1:7" x14ac:dyDescent="0.25">
      <c r="A1307">
        <v>997070</v>
      </c>
      <c r="B1307">
        <v>60</v>
      </c>
      <c r="C1307">
        <v>0.28999999999999998</v>
      </c>
      <c r="D1307" t="s">
        <v>2403</v>
      </c>
      <c r="F1307">
        <v>1000</v>
      </c>
      <c r="G1307">
        <v>2</v>
      </c>
    </row>
    <row r="1308" spans="1:7" x14ac:dyDescent="0.25">
      <c r="A1308">
        <v>997071</v>
      </c>
      <c r="B1308">
        <v>60</v>
      </c>
      <c r="C1308">
        <v>0.27500000000000002</v>
      </c>
      <c r="D1308" t="s">
        <v>2403</v>
      </c>
      <c r="F1308">
        <v>1000</v>
      </c>
      <c r="G1308">
        <v>2</v>
      </c>
    </row>
    <row r="1309" spans="1:7" x14ac:dyDescent="0.25">
      <c r="A1309">
        <v>997072</v>
      </c>
      <c r="B1309">
        <v>60</v>
      </c>
      <c r="C1309">
        <v>0.27</v>
      </c>
      <c r="D1309" t="s">
        <v>2403</v>
      </c>
      <c r="F1309">
        <v>1000</v>
      </c>
      <c r="G1309">
        <v>2</v>
      </c>
    </row>
    <row r="1310" spans="1:7" x14ac:dyDescent="0.25">
      <c r="A1310">
        <v>998000</v>
      </c>
      <c r="B1310">
        <v>7</v>
      </c>
      <c r="C1310">
        <v>16</v>
      </c>
      <c r="D1310" t="s">
        <v>59</v>
      </c>
      <c r="F1310">
        <v>1</v>
      </c>
      <c r="G1310">
        <v>2</v>
      </c>
    </row>
    <row r="1311" spans="1:7" x14ac:dyDescent="0.25">
      <c r="A1311">
        <v>998001</v>
      </c>
      <c r="B1311">
        <v>7</v>
      </c>
      <c r="C1311">
        <v>20</v>
      </c>
      <c r="D1311" t="s">
        <v>59</v>
      </c>
      <c r="F1311">
        <v>0</v>
      </c>
      <c r="G1311">
        <v>2</v>
      </c>
    </row>
    <row r="1312" spans="1:7" x14ac:dyDescent="0.25">
      <c r="A1312">
        <v>998002</v>
      </c>
      <c r="B1312">
        <v>7</v>
      </c>
      <c r="C1312">
        <v>16</v>
      </c>
      <c r="D1312" t="s">
        <v>59</v>
      </c>
      <c r="F1312">
        <v>1</v>
      </c>
      <c r="G1312">
        <v>2</v>
      </c>
    </row>
    <row r="1313" spans="1:7" x14ac:dyDescent="0.25">
      <c r="A1313">
        <v>998003</v>
      </c>
      <c r="B1313">
        <v>7</v>
      </c>
      <c r="C1313">
        <v>9.5399999999999991</v>
      </c>
      <c r="D1313" t="s">
        <v>59</v>
      </c>
      <c r="F1313">
        <v>1</v>
      </c>
      <c r="G1313">
        <v>2</v>
      </c>
    </row>
    <row r="1314" spans="1:7" x14ac:dyDescent="0.25">
      <c r="A1314">
        <v>998010</v>
      </c>
      <c r="B1314">
        <v>0</v>
      </c>
      <c r="C1314">
        <v>0.47599999999999998</v>
      </c>
      <c r="D1314">
        <v>9335</v>
      </c>
      <c r="F1314">
        <v>0</v>
      </c>
      <c r="G1314">
        <v>2</v>
      </c>
    </row>
    <row r="1315" spans="1:7" x14ac:dyDescent="0.25">
      <c r="A1315">
        <v>998028</v>
      </c>
      <c r="B1315">
        <v>7</v>
      </c>
      <c r="C1315">
        <v>14</v>
      </c>
      <c r="D1315" t="s">
        <v>59</v>
      </c>
      <c r="F1315">
        <v>1</v>
      </c>
      <c r="G1315">
        <v>2</v>
      </c>
    </row>
    <row r="1316" spans="1:7" x14ac:dyDescent="0.25">
      <c r="A1316" t="s">
        <v>60</v>
      </c>
      <c r="B1316">
        <v>7</v>
      </c>
      <c r="C1316">
        <v>7</v>
      </c>
      <c r="D1316" t="s">
        <v>61</v>
      </c>
      <c r="F1316">
        <v>0</v>
      </c>
      <c r="G1316">
        <v>2</v>
      </c>
    </row>
    <row r="1317" spans="1:7" x14ac:dyDescent="0.25">
      <c r="A1317" t="s">
        <v>62</v>
      </c>
      <c r="B1317">
        <v>7</v>
      </c>
      <c r="C1317">
        <v>7</v>
      </c>
      <c r="D1317" t="s">
        <v>61</v>
      </c>
      <c r="F1317">
        <v>0</v>
      </c>
      <c r="G1317">
        <v>2</v>
      </c>
    </row>
    <row r="1318" spans="1:7" x14ac:dyDescent="0.25">
      <c r="A1318" t="s">
        <v>63</v>
      </c>
      <c r="B1318">
        <v>7</v>
      </c>
      <c r="C1318">
        <v>7</v>
      </c>
      <c r="D1318" t="s">
        <v>61</v>
      </c>
      <c r="F1318">
        <v>0</v>
      </c>
      <c r="G1318">
        <v>2</v>
      </c>
    </row>
    <row r="1319" spans="1:7" x14ac:dyDescent="0.25">
      <c r="A1319" t="s">
        <v>64</v>
      </c>
      <c r="B1319">
        <v>7</v>
      </c>
      <c r="C1319">
        <v>7</v>
      </c>
      <c r="D1319" t="s">
        <v>61</v>
      </c>
      <c r="F1319">
        <v>0</v>
      </c>
      <c r="G1319">
        <v>2</v>
      </c>
    </row>
    <row r="1320" spans="1:7" x14ac:dyDescent="0.25">
      <c r="A1320" t="s">
        <v>65</v>
      </c>
      <c r="B1320">
        <v>7</v>
      </c>
      <c r="C1320">
        <v>8</v>
      </c>
      <c r="D1320" t="s">
        <v>61</v>
      </c>
      <c r="F1320">
        <v>0</v>
      </c>
      <c r="G1320">
        <v>2</v>
      </c>
    </row>
    <row r="1321" spans="1:7" x14ac:dyDescent="0.25">
      <c r="A1321" t="s">
        <v>66</v>
      </c>
      <c r="B1321">
        <v>7</v>
      </c>
      <c r="C1321">
        <v>8</v>
      </c>
      <c r="D1321" t="s">
        <v>61</v>
      </c>
      <c r="F1321">
        <v>0</v>
      </c>
      <c r="G1321">
        <v>2</v>
      </c>
    </row>
    <row r="1322" spans="1:7" x14ac:dyDescent="0.25">
      <c r="A1322" t="s">
        <v>67</v>
      </c>
      <c r="B1322">
        <v>7</v>
      </c>
      <c r="C1322">
        <v>8</v>
      </c>
      <c r="D1322" t="s">
        <v>61</v>
      </c>
      <c r="F1322">
        <v>0</v>
      </c>
      <c r="G1322">
        <v>2</v>
      </c>
    </row>
    <row r="1323" spans="1:7" x14ac:dyDescent="0.25">
      <c r="A1323" t="s">
        <v>68</v>
      </c>
      <c r="B1323">
        <v>7</v>
      </c>
      <c r="C1323">
        <v>8</v>
      </c>
      <c r="D1323" t="s">
        <v>61</v>
      </c>
      <c r="F1323">
        <v>0</v>
      </c>
      <c r="G1323">
        <v>2</v>
      </c>
    </row>
    <row r="1324" spans="1:7" x14ac:dyDescent="0.25">
      <c r="A1324" t="s">
        <v>69</v>
      </c>
      <c r="B1324">
        <v>0</v>
      </c>
      <c r="C1324">
        <v>0.15</v>
      </c>
      <c r="D1324" t="s">
        <v>55</v>
      </c>
      <c r="F1324">
        <v>0</v>
      </c>
      <c r="G1324">
        <v>2</v>
      </c>
    </row>
    <row r="1325" spans="1:7" x14ac:dyDescent="0.25">
      <c r="A1325" t="s">
        <v>70</v>
      </c>
      <c r="B1325">
        <v>0</v>
      </c>
      <c r="C1325">
        <v>0.15</v>
      </c>
      <c r="D1325" t="s">
        <v>55</v>
      </c>
      <c r="F1325">
        <v>0</v>
      </c>
      <c r="G1325">
        <v>2</v>
      </c>
    </row>
    <row r="1326" spans="1:7" x14ac:dyDescent="0.25">
      <c r="A1326" t="s">
        <v>71</v>
      </c>
      <c r="B1326">
        <v>0</v>
      </c>
      <c r="C1326">
        <v>0.15</v>
      </c>
      <c r="D1326" t="s">
        <v>55</v>
      </c>
      <c r="F1326">
        <v>0</v>
      </c>
      <c r="G1326">
        <v>2</v>
      </c>
    </row>
    <row r="1327" spans="1:7" x14ac:dyDescent="0.25">
      <c r="A1327" t="s">
        <v>72</v>
      </c>
      <c r="B1327">
        <v>0</v>
      </c>
      <c r="C1327">
        <v>0.15</v>
      </c>
      <c r="D1327" t="s">
        <v>55</v>
      </c>
      <c r="F1327">
        <v>0</v>
      </c>
      <c r="G1327">
        <v>2</v>
      </c>
    </row>
    <row r="1328" spans="1:7" x14ac:dyDescent="0.25">
      <c r="A1328" t="s">
        <v>73</v>
      </c>
      <c r="B1328">
        <v>0</v>
      </c>
      <c r="C1328">
        <v>0.1</v>
      </c>
      <c r="D1328" t="s">
        <v>55</v>
      </c>
      <c r="F1328">
        <v>0</v>
      </c>
      <c r="G1328">
        <v>2</v>
      </c>
    </row>
    <row r="1329" spans="1:7" x14ac:dyDescent="0.25">
      <c r="A1329" t="s">
        <v>74</v>
      </c>
      <c r="B1329">
        <v>0</v>
      </c>
      <c r="C1329">
        <v>0.1</v>
      </c>
      <c r="D1329" t="s">
        <v>55</v>
      </c>
      <c r="F1329">
        <v>0</v>
      </c>
      <c r="G1329">
        <v>2</v>
      </c>
    </row>
    <row r="1330" spans="1:7" x14ac:dyDescent="0.25">
      <c r="A1330" t="s">
        <v>75</v>
      </c>
      <c r="B1330">
        <v>0</v>
      </c>
      <c r="C1330">
        <v>0.1</v>
      </c>
      <c r="D1330" t="s">
        <v>55</v>
      </c>
      <c r="F1330">
        <v>0</v>
      </c>
      <c r="G1330">
        <v>2</v>
      </c>
    </row>
    <row r="1331" spans="1:7" x14ac:dyDescent="0.25">
      <c r="A1331" t="s">
        <v>76</v>
      </c>
      <c r="B1331">
        <v>0</v>
      </c>
      <c r="C1331">
        <v>0.15</v>
      </c>
      <c r="D1331" t="s">
        <v>55</v>
      </c>
      <c r="F1331">
        <v>0</v>
      </c>
      <c r="G1331">
        <v>2</v>
      </c>
    </row>
    <row r="1332" spans="1:7" x14ac:dyDescent="0.25">
      <c r="A1332" t="s">
        <v>77</v>
      </c>
      <c r="B1332">
        <v>0</v>
      </c>
      <c r="C1332">
        <v>0.44</v>
      </c>
      <c r="D1332" t="s">
        <v>55</v>
      </c>
      <c r="F1332">
        <v>0</v>
      </c>
      <c r="G1332">
        <v>2</v>
      </c>
    </row>
    <row r="1333" spans="1:7" x14ac:dyDescent="0.25">
      <c r="A1333" t="s">
        <v>78</v>
      </c>
      <c r="B1333">
        <v>0</v>
      </c>
      <c r="C1333">
        <v>0.44</v>
      </c>
      <c r="D1333" t="s">
        <v>55</v>
      </c>
      <c r="F1333">
        <v>0</v>
      </c>
      <c r="G1333">
        <v>2</v>
      </c>
    </row>
    <row r="1334" spans="1:7" x14ac:dyDescent="0.25">
      <c r="A1334" t="s">
        <v>79</v>
      </c>
      <c r="B1334">
        <v>0</v>
      </c>
      <c r="C1334">
        <v>0.1</v>
      </c>
      <c r="D1334" t="s">
        <v>55</v>
      </c>
      <c r="F1334">
        <v>0</v>
      </c>
      <c r="G1334">
        <v>2</v>
      </c>
    </row>
    <row r="1335" spans="1:7" x14ac:dyDescent="0.25">
      <c r="A1335" t="s">
        <v>80</v>
      </c>
      <c r="B1335">
        <v>7</v>
      </c>
      <c r="C1335">
        <v>5.2</v>
      </c>
      <c r="D1335">
        <v>2671</v>
      </c>
      <c r="F1335">
        <v>0</v>
      </c>
      <c r="G1335">
        <v>2</v>
      </c>
    </row>
    <row r="1336" spans="1:7" x14ac:dyDescent="0.25">
      <c r="A1336" t="s">
        <v>81</v>
      </c>
      <c r="B1336">
        <v>7</v>
      </c>
      <c r="C1336">
        <v>5.2</v>
      </c>
      <c r="D1336">
        <v>2671</v>
      </c>
      <c r="F1336">
        <v>0</v>
      </c>
      <c r="G1336">
        <v>2</v>
      </c>
    </row>
    <row r="1337" spans="1:7" x14ac:dyDescent="0.25">
      <c r="A1337" t="s">
        <v>82</v>
      </c>
      <c r="B1337">
        <v>7</v>
      </c>
      <c r="C1337">
        <v>5.3</v>
      </c>
      <c r="D1337">
        <v>2671</v>
      </c>
      <c r="F1337">
        <v>0</v>
      </c>
      <c r="G1337">
        <v>2</v>
      </c>
    </row>
    <row r="1338" spans="1:7" x14ac:dyDescent="0.25">
      <c r="A1338" t="s">
        <v>83</v>
      </c>
      <c r="B1338">
        <v>0</v>
      </c>
      <c r="D1338">
        <v>157</v>
      </c>
      <c r="F1338">
        <v>0</v>
      </c>
      <c r="G1338">
        <v>2</v>
      </c>
    </row>
    <row r="1339" spans="1:7" x14ac:dyDescent="0.25">
      <c r="A1339" t="s">
        <v>84</v>
      </c>
      <c r="B1339">
        <v>0</v>
      </c>
      <c r="D1339">
        <v>157</v>
      </c>
      <c r="F1339">
        <v>0</v>
      </c>
      <c r="G1339">
        <v>2</v>
      </c>
    </row>
    <row r="1340" spans="1:7" x14ac:dyDescent="0.25">
      <c r="A1340" t="s">
        <v>85</v>
      </c>
      <c r="B1340">
        <v>0</v>
      </c>
      <c r="D1340">
        <v>157</v>
      </c>
      <c r="F1340">
        <v>0</v>
      </c>
      <c r="G1340">
        <v>2</v>
      </c>
    </row>
    <row r="1341" spans="1:7" x14ac:dyDescent="0.25">
      <c r="A1341" t="s">
        <v>86</v>
      </c>
      <c r="B1341">
        <v>0</v>
      </c>
      <c r="C1341">
        <v>0.13</v>
      </c>
      <c r="D1341">
        <v>9591</v>
      </c>
      <c r="F1341">
        <v>0</v>
      </c>
      <c r="G1341">
        <v>2</v>
      </c>
    </row>
    <row r="1342" spans="1:7" x14ac:dyDescent="0.25">
      <c r="A1342" t="s">
        <v>87</v>
      </c>
      <c r="B1342">
        <v>7</v>
      </c>
      <c r="C1342">
        <v>0.16700000000000001</v>
      </c>
      <c r="D1342">
        <v>1425</v>
      </c>
      <c r="F1342">
        <v>20</v>
      </c>
      <c r="G1342">
        <v>2</v>
      </c>
    </row>
    <row r="1343" spans="1:7" x14ac:dyDescent="0.25">
      <c r="A1343" t="s">
        <v>88</v>
      </c>
      <c r="B1343">
        <v>0</v>
      </c>
      <c r="C1343">
        <v>2.2000000000000002</v>
      </c>
      <c r="D1343">
        <v>9588</v>
      </c>
      <c r="F1343">
        <v>30</v>
      </c>
      <c r="G1343">
        <v>2</v>
      </c>
    </row>
    <row r="1344" spans="1:7" x14ac:dyDescent="0.25">
      <c r="A1344" t="s">
        <v>89</v>
      </c>
      <c r="B1344">
        <v>0</v>
      </c>
      <c r="C1344">
        <v>2.2000000000000002</v>
      </c>
      <c r="D1344">
        <v>9591</v>
      </c>
      <c r="F1344">
        <v>30</v>
      </c>
      <c r="G1344">
        <v>2</v>
      </c>
    </row>
    <row r="1345" spans="1:7" x14ac:dyDescent="0.25">
      <c r="A1345" t="s">
        <v>90</v>
      </c>
      <c r="B1345">
        <v>0</v>
      </c>
      <c r="C1345">
        <v>2.2000000000000002</v>
      </c>
      <c r="D1345">
        <v>9591</v>
      </c>
      <c r="F1345">
        <v>30</v>
      </c>
      <c r="G1345">
        <v>2</v>
      </c>
    </row>
    <row r="1346" spans="1:7" x14ac:dyDescent="0.25">
      <c r="A1346" t="s">
        <v>91</v>
      </c>
      <c r="B1346">
        <v>7</v>
      </c>
      <c r="C1346">
        <v>5.8000000000000003E-2</v>
      </c>
      <c r="D1346">
        <v>9795</v>
      </c>
      <c r="F1346">
        <v>0</v>
      </c>
      <c r="G1346">
        <v>2</v>
      </c>
    </row>
    <row r="1347" spans="1:7" x14ac:dyDescent="0.25">
      <c r="A1347" t="s">
        <v>92</v>
      </c>
      <c r="B1347">
        <v>7</v>
      </c>
      <c r="C1347">
        <v>6.9000000000000006E-2</v>
      </c>
      <c r="D1347">
        <v>9795</v>
      </c>
      <c r="F1347">
        <v>0</v>
      </c>
      <c r="G1347">
        <v>2</v>
      </c>
    </row>
    <row r="1348" spans="1:7" x14ac:dyDescent="0.25">
      <c r="A1348" t="s">
        <v>93</v>
      </c>
      <c r="B1348">
        <v>7</v>
      </c>
      <c r="C1348">
        <v>8.8999999999999996E-2</v>
      </c>
      <c r="D1348">
        <v>9795</v>
      </c>
      <c r="F1348">
        <v>0</v>
      </c>
      <c r="G1348">
        <v>2</v>
      </c>
    </row>
    <row r="1349" spans="1:7" x14ac:dyDescent="0.25">
      <c r="A1349" t="s">
        <v>94</v>
      </c>
      <c r="B1349">
        <v>7</v>
      </c>
      <c r="C1349">
        <v>0.105</v>
      </c>
      <c r="D1349">
        <v>9795</v>
      </c>
      <c r="F1349">
        <v>0</v>
      </c>
      <c r="G1349">
        <v>2</v>
      </c>
    </row>
    <row r="1350" spans="1:7" x14ac:dyDescent="0.25">
      <c r="A1350" t="s">
        <v>95</v>
      </c>
      <c r="B1350">
        <v>7</v>
      </c>
      <c r="C1350">
        <v>0.11899999999999999</v>
      </c>
      <c r="D1350">
        <v>9795</v>
      </c>
      <c r="F1350">
        <v>0</v>
      </c>
      <c r="G1350">
        <v>2</v>
      </c>
    </row>
    <row r="1351" spans="1:7" x14ac:dyDescent="0.25">
      <c r="A1351" t="s">
        <v>96</v>
      </c>
      <c r="B1351">
        <v>7</v>
      </c>
      <c r="C1351">
        <v>2.8000000000000001E-2</v>
      </c>
      <c r="D1351">
        <v>9795</v>
      </c>
      <c r="F1351">
        <v>0</v>
      </c>
      <c r="G1351">
        <v>2</v>
      </c>
    </row>
    <row r="1352" spans="1:7" x14ac:dyDescent="0.25">
      <c r="A1352" t="s">
        <v>97</v>
      </c>
      <c r="B1352">
        <v>7</v>
      </c>
      <c r="C1352">
        <v>5.8999999999999997E-2</v>
      </c>
      <c r="D1352">
        <v>9795</v>
      </c>
      <c r="F1352">
        <v>0</v>
      </c>
      <c r="G1352">
        <v>2</v>
      </c>
    </row>
    <row r="1353" spans="1:7" x14ac:dyDescent="0.25">
      <c r="A1353" t="s">
        <v>98</v>
      </c>
      <c r="B1353">
        <v>7</v>
      </c>
      <c r="C1353">
        <v>7.0000000000000007E-2</v>
      </c>
      <c r="D1353">
        <v>9795</v>
      </c>
      <c r="F1353">
        <v>0</v>
      </c>
      <c r="G1353">
        <v>2</v>
      </c>
    </row>
    <row r="1354" spans="1:7" x14ac:dyDescent="0.25">
      <c r="A1354" t="s">
        <v>99</v>
      </c>
      <c r="B1354">
        <v>7</v>
      </c>
      <c r="C1354">
        <v>8.5000000000000006E-2</v>
      </c>
      <c r="D1354">
        <v>9795</v>
      </c>
      <c r="F1354">
        <v>0</v>
      </c>
      <c r="G1354">
        <v>2</v>
      </c>
    </row>
    <row r="1355" spans="1:7" x14ac:dyDescent="0.25">
      <c r="A1355" t="s">
        <v>100</v>
      </c>
      <c r="B1355">
        <v>7</v>
      </c>
      <c r="C1355">
        <v>0.13</v>
      </c>
      <c r="D1355">
        <v>9795</v>
      </c>
      <c r="F1355">
        <v>0</v>
      </c>
      <c r="G1355">
        <v>2</v>
      </c>
    </row>
    <row r="1356" spans="1:7" x14ac:dyDescent="0.25">
      <c r="A1356" t="s">
        <v>101</v>
      </c>
      <c r="B1356">
        <v>7</v>
      </c>
      <c r="C1356">
        <v>0.15</v>
      </c>
      <c r="D1356">
        <v>9795</v>
      </c>
      <c r="F1356">
        <v>0</v>
      </c>
      <c r="G1356">
        <v>2</v>
      </c>
    </row>
    <row r="1357" spans="1:7" x14ac:dyDescent="0.25">
      <c r="A1357" t="s">
        <v>102</v>
      </c>
      <c r="B1357">
        <v>7</v>
      </c>
      <c r="C1357">
        <v>0.13700000000000001</v>
      </c>
      <c r="D1357">
        <v>9795</v>
      </c>
      <c r="F1357">
        <v>0</v>
      </c>
      <c r="G1357">
        <v>2</v>
      </c>
    </row>
    <row r="1358" spans="1:7" x14ac:dyDescent="0.25">
      <c r="A1358" t="s">
        <v>103</v>
      </c>
      <c r="B1358">
        <v>7</v>
      </c>
      <c r="C1358">
        <v>0.16</v>
      </c>
      <c r="D1358">
        <v>9795</v>
      </c>
      <c r="F1358">
        <v>0</v>
      </c>
      <c r="G1358">
        <v>2</v>
      </c>
    </row>
    <row r="1359" spans="1:7" x14ac:dyDescent="0.25">
      <c r="A1359" t="s">
        <v>104</v>
      </c>
      <c r="B1359">
        <v>7</v>
      </c>
      <c r="C1359">
        <v>0.20499999999999999</v>
      </c>
      <c r="D1359">
        <v>9795</v>
      </c>
      <c r="F1359">
        <v>0</v>
      </c>
      <c r="G1359">
        <v>2</v>
      </c>
    </row>
    <row r="1360" spans="1:7" x14ac:dyDescent="0.25">
      <c r="A1360" t="s">
        <v>105</v>
      </c>
      <c r="B1360">
        <v>7</v>
      </c>
      <c r="C1360">
        <v>0.245</v>
      </c>
      <c r="D1360">
        <v>9795</v>
      </c>
      <c r="F1360">
        <v>0</v>
      </c>
      <c r="G1360">
        <v>2</v>
      </c>
    </row>
    <row r="1361" spans="1:7" x14ac:dyDescent="0.25">
      <c r="A1361" t="s">
        <v>106</v>
      </c>
      <c r="B1361">
        <v>7</v>
      </c>
      <c r="C1361">
        <v>0.32700000000000001</v>
      </c>
      <c r="D1361">
        <v>9795</v>
      </c>
      <c r="F1361">
        <v>0</v>
      </c>
      <c r="G1361">
        <v>2</v>
      </c>
    </row>
    <row r="1362" spans="1:7" x14ac:dyDescent="0.25">
      <c r="A1362" t="s">
        <v>107</v>
      </c>
      <c r="B1362">
        <v>7</v>
      </c>
      <c r="C1362">
        <v>0.124</v>
      </c>
      <c r="D1362">
        <v>9795</v>
      </c>
      <c r="F1362">
        <v>0</v>
      </c>
      <c r="G1362">
        <v>2</v>
      </c>
    </row>
    <row r="1363" spans="1:7" x14ac:dyDescent="0.25">
      <c r="A1363" t="s">
        <v>108</v>
      </c>
      <c r="B1363">
        <v>7</v>
      </c>
      <c r="C1363">
        <v>0.14399999999999999</v>
      </c>
      <c r="D1363">
        <v>9795</v>
      </c>
      <c r="F1363">
        <v>0</v>
      </c>
      <c r="G1363">
        <v>2</v>
      </c>
    </row>
    <row r="1364" spans="1:7" x14ac:dyDescent="0.25">
      <c r="A1364" t="s">
        <v>109</v>
      </c>
      <c r="B1364">
        <v>7</v>
      </c>
      <c r="C1364">
        <v>0.16</v>
      </c>
      <c r="D1364">
        <v>9795</v>
      </c>
      <c r="F1364">
        <v>0</v>
      </c>
      <c r="G1364">
        <v>2</v>
      </c>
    </row>
    <row r="1365" spans="1:7" x14ac:dyDescent="0.25">
      <c r="A1365" t="s">
        <v>110</v>
      </c>
      <c r="B1365">
        <v>7</v>
      </c>
      <c r="C1365">
        <v>0.54800000000000004</v>
      </c>
      <c r="D1365">
        <v>9795</v>
      </c>
      <c r="F1365">
        <v>50</v>
      </c>
      <c r="G1365">
        <v>2</v>
      </c>
    </row>
    <row r="1366" spans="1:7" x14ac:dyDescent="0.25">
      <c r="A1366" t="s">
        <v>111</v>
      </c>
      <c r="B1366">
        <v>0</v>
      </c>
      <c r="C1366">
        <v>1.32</v>
      </c>
      <c r="D1366">
        <v>9160</v>
      </c>
      <c r="F1366">
        <v>100</v>
      </c>
      <c r="G1366">
        <v>2</v>
      </c>
    </row>
    <row r="1367" spans="1:7" x14ac:dyDescent="0.25">
      <c r="A1367" t="s">
        <v>112</v>
      </c>
      <c r="B1367">
        <v>0</v>
      </c>
      <c r="C1367">
        <v>3.6</v>
      </c>
      <c r="D1367">
        <v>9160</v>
      </c>
      <c r="F1367">
        <v>25</v>
      </c>
      <c r="G1367">
        <v>2</v>
      </c>
    </row>
    <row r="1368" spans="1:7" x14ac:dyDescent="0.25">
      <c r="A1368" t="s">
        <v>113</v>
      </c>
      <c r="B1368">
        <v>0</v>
      </c>
      <c r="C1368">
        <v>4.8</v>
      </c>
      <c r="D1368">
        <v>9160</v>
      </c>
      <c r="F1368">
        <v>25</v>
      </c>
      <c r="G1368">
        <v>2</v>
      </c>
    </row>
    <row r="1369" spans="1:7" x14ac:dyDescent="0.25">
      <c r="A1369" t="s">
        <v>114</v>
      </c>
      <c r="B1369">
        <v>0</v>
      </c>
      <c r="C1369">
        <v>3.5</v>
      </c>
      <c r="D1369">
        <v>9317</v>
      </c>
      <c r="F1369">
        <v>0</v>
      </c>
      <c r="G1369">
        <v>2</v>
      </c>
    </row>
    <row r="1370" spans="1:7" x14ac:dyDescent="0.25">
      <c r="A1370" t="s">
        <v>115</v>
      </c>
      <c r="B1370">
        <v>0</v>
      </c>
      <c r="C1370">
        <v>4.5</v>
      </c>
      <c r="D1370">
        <v>9317</v>
      </c>
      <c r="F1370">
        <v>0</v>
      </c>
      <c r="G1370">
        <v>2</v>
      </c>
    </row>
    <row r="1371" spans="1:7" x14ac:dyDescent="0.25">
      <c r="A1371" t="s">
        <v>116</v>
      </c>
      <c r="B1371">
        <v>0</v>
      </c>
      <c r="C1371">
        <v>2.2000000000000002</v>
      </c>
      <c r="D1371">
        <v>9317</v>
      </c>
      <c r="F1371">
        <v>0</v>
      </c>
      <c r="G1371">
        <v>2</v>
      </c>
    </row>
    <row r="1372" spans="1:7" x14ac:dyDescent="0.25">
      <c r="A1372" t="s">
        <v>117</v>
      </c>
      <c r="B1372">
        <v>7</v>
      </c>
      <c r="C1372">
        <v>10</v>
      </c>
      <c r="D1372">
        <v>9317</v>
      </c>
      <c r="F1372">
        <v>0</v>
      </c>
      <c r="G1372">
        <v>2</v>
      </c>
    </row>
    <row r="1373" spans="1:7" x14ac:dyDescent="0.25">
      <c r="A1373" t="s">
        <v>118</v>
      </c>
      <c r="B1373">
        <v>7</v>
      </c>
      <c r="C1373">
        <v>8</v>
      </c>
      <c r="D1373">
        <v>9317</v>
      </c>
      <c r="F1373">
        <v>0</v>
      </c>
      <c r="G1373">
        <v>2</v>
      </c>
    </row>
    <row r="1374" spans="1:7" x14ac:dyDescent="0.25">
      <c r="A1374" t="s">
        <v>119</v>
      </c>
      <c r="B1374">
        <v>30</v>
      </c>
      <c r="C1374">
        <v>0.08</v>
      </c>
      <c r="D1374" t="s">
        <v>48</v>
      </c>
      <c r="F1374">
        <v>16</v>
      </c>
      <c r="G1374">
        <v>2</v>
      </c>
    </row>
    <row r="1375" spans="1:7" x14ac:dyDescent="0.25">
      <c r="A1375" t="s">
        <v>120</v>
      </c>
      <c r="B1375">
        <v>7</v>
      </c>
      <c r="C1375">
        <v>6.4669999999999996</v>
      </c>
      <c r="D1375">
        <v>9317</v>
      </c>
      <c r="F1375">
        <v>80</v>
      </c>
      <c r="G1375">
        <v>2</v>
      </c>
    </row>
    <row r="1376" spans="1:7" x14ac:dyDescent="0.25">
      <c r="A1376" t="s">
        <v>2450</v>
      </c>
      <c r="B1376">
        <v>7</v>
      </c>
      <c r="C1376">
        <v>2.85</v>
      </c>
      <c r="D1376">
        <v>9317</v>
      </c>
      <c r="F1376">
        <v>0</v>
      </c>
      <c r="G1376">
        <v>2</v>
      </c>
    </row>
    <row r="1377" spans="1:7" x14ac:dyDescent="0.25">
      <c r="A1377" t="s">
        <v>2451</v>
      </c>
      <c r="B1377">
        <v>7</v>
      </c>
      <c r="C1377">
        <v>1.8240000000000001</v>
      </c>
      <c r="D1377">
        <v>9317</v>
      </c>
      <c r="E1377">
        <v>3481</v>
      </c>
      <c r="F1377">
        <v>0</v>
      </c>
      <c r="G1377">
        <v>2</v>
      </c>
    </row>
    <row r="1378" spans="1:7" x14ac:dyDescent="0.25">
      <c r="A1378" t="s">
        <v>121</v>
      </c>
      <c r="B1378">
        <v>7</v>
      </c>
      <c r="C1378">
        <v>0.69</v>
      </c>
      <c r="D1378">
        <v>9317</v>
      </c>
      <c r="F1378">
        <v>0</v>
      </c>
      <c r="G1378">
        <v>2</v>
      </c>
    </row>
    <row r="1379" spans="1:7" x14ac:dyDescent="0.25">
      <c r="A1379" t="s">
        <v>122</v>
      </c>
      <c r="B1379">
        <v>7</v>
      </c>
      <c r="C1379">
        <v>0.46</v>
      </c>
      <c r="D1379">
        <v>9884</v>
      </c>
      <c r="F1379">
        <v>0</v>
      </c>
      <c r="G1379">
        <v>2</v>
      </c>
    </row>
    <row r="1380" spans="1:7" x14ac:dyDescent="0.25">
      <c r="A1380" t="s">
        <v>123</v>
      </c>
      <c r="B1380">
        <v>7</v>
      </c>
      <c r="C1380">
        <v>0.54</v>
      </c>
      <c r="D1380">
        <v>9317</v>
      </c>
      <c r="F1380">
        <v>0</v>
      </c>
      <c r="G1380">
        <v>2</v>
      </c>
    </row>
    <row r="1381" spans="1:7" x14ac:dyDescent="0.25">
      <c r="A1381" t="s">
        <v>124</v>
      </c>
      <c r="B1381">
        <v>0</v>
      </c>
      <c r="C1381">
        <v>2.6</v>
      </c>
      <c r="D1381">
        <v>9317</v>
      </c>
      <c r="F1381">
        <v>0</v>
      </c>
      <c r="G1381">
        <v>2</v>
      </c>
    </row>
    <row r="1382" spans="1:7" x14ac:dyDescent="0.25">
      <c r="A1382" t="s">
        <v>125</v>
      </c>
      <c r="B1382">
        <v>0</v>
      </c>
      <c r="C1382">
        <v>1.95</v>
      </c>
      <c r="D1382">
        <v>9317</v>
      </c>
      <c r="F1382">
        <v>0</v>
      </c>
      <c r="G1382">
        <v>2</v>
      </c>
    </row>
    <row r="1383" spans="1:7" x14ac:dyDescent="0.25">
      <c r="A1383" t="s">
        <v>126</v>
      </c>
      <c r="B1383">
        <v>7</v>
      </c>
      <c r="C1383">
        <v>0.28799999999999998</v>
      </c>
      <c r="D1383" t="s">
        <v>61</v>
      </c>
      <c r="F1383">
        <v>0</v>
      </c>
      <c r="G1383">
        <v>2</v>
      </c>
    </row>
    <row r="1384" spans="1:7" x14ac:dyDescent="0.25">
      <c r="A1384" t="s">
        <v>127</v>
      </c>
      <c r="B1384">
        <v>7</v>
      </c>
      <c r="C1384">
        <v>0.28000000000000003</v>
      </c>
      <c r="D1384" t="s">
        <v>61</v>
      </c>
      <c r="F1384">
        <v>0</v>
      </c>
      <c r="G1384">
        <v>2</v>
      </c>
    </row>
    <row r="1385" spans="1:7" x14ac:dyDescent="0.25">
      <c r="A1385" t="s">
        <v>128</v>
      </c>
      <c r="B1385">
        <v>7</v>
      </c>
      <c r="C1385">
        <v>0.28599999999999998</v>
      </c>
      <c r="D1385" t="s">
        <v>61</v>
      </c>
      <c r="F1385">
        <v>0</v>
      </c>
      <c r="G1385">
        <v>2</v>
      </c>
    </row>
    <row r="1386" spans="1:7" x14ac:dyDescent="0.25">
      <c r="A1386" t="s">
        <v>129</v>
      </c>
      <c r="B1386">
        <v>7</v>
      </c>
      <c r="C1386">
        <v>7.75</v>
      </c>
      <c r="D1386">
        <v>9381</v>
      </c>
      <c r="F1386">
        <v>30</v>
      </c>
      <c r="G1386">
        <v>2</v>
      </c>
    </row>
    <row r="1387" spans="1:7" x14ac:dyDescent="0.25">
      <c r="A1387" t="s">
        <v>130</v>
      </c>
      <c r="B1387">
        <v>7</v>
      </c>
      <c r="C1387">
        <v>6.5000000000000002E-2</v>
      </c>
      <c r="D1387">
        <v>1977</v>
      </c>
      <c r="F1387">
        <v>0</v>
      </c>
      <c r="G1387">
        <v>2</v>
      </c>
    </row>
    <row r="1388" spans="1:7" x14ac:dyDescent="0.25">
      <c r="A1388" t="s">
        <v>131</v>
      </c>
      <c r="B1388">
        <v>7</v>
      </c>
      <c r="C1388">
        <v>0</v>
      </c>
      <c r="D1388">
        <v>1977</v>
      </c>
      <c r="F1388">
        <v>0</v>
      </c>
      <c r="G1388">
        <v>2</v>
      </c>
    </row>
    <row r="1389" spans="1:7" x14ac:dyDescent="0.25">
      <c r="A1389" t="s">
        <v>132</v>
      </c>
      <c r="B1389">
        <v>7</v>
      </c>
      <c r="C1389">
        <v>6.5000000000000002E-2</v>
      </c>
      <c r="D1389">
        <v>1977</v>
      </c>
      <c r="F1389">
        <v>0</v>
      </c>
      <c r="G1389">
        <v>2</v>
      </c>
    </row>
    <row r="1390" spans="1:7" x14ac:dyDescent="0.25">
      <c r="A1390" t="s">
        <v>133</v>
      </c>
      <c r="B1390">
        <v>14</v>
      </c>
      <c r="C1390">
        <v>0</v>
      </c>
      <c r="D1390">
        <v>1306</v>
      </c>
      <c r="F1390">
        <v>0</v>
      </c>
      <c r="G1390">
        <v>2</v>
      </c>
    </row>
    <row r="1391" spans="1:7" x14ac:dyDescent="0.25">
      <c r="A1391" t="s">
        <v>134</v>
      </c>
      <c r="B1391">
        <v>0</v>
      </c>
      <c r="C1391">
        <v>0</v>
      </c>
      <c r="D1391">
        <v>9815</v>
      </c>
      <c r="F1391">
        <v>0</v>
      </c>
      <c r="G1391">
        <v>2</v>
      </c>
    </row>
    <row r="1392" spans="1:7" x14ac:dyDescent="0.25">
      <c r="A1392" t="s">
        <v>135</v>
      </c>
      <c r="B1392">
        <v>0</v>
      </c>
      <c r="C1392">
        <v>1.268</v>
      </c>
      <c r="D1392" t="s">
        <v>136</v>
      </c>
      <c r="F1392">
        <v>0</v>
      </c>
      <c r="G1392">
        <v>2</v>
      </c>
    </row>
    <row r="1393" spans="1:7" x14ac:dyDescent="0.25">
      <c r="A1393" t="s">
        <v>137</v>
      </c>
      <c r="B1393">
        <v>0</v>
      </c>
      <c r="C1393">
        <v>1.6E-2</v>
      </c>
      <c r="D1393" t="s">
        <v>136</v>
      </c>
      <c r="F1393">
        <v>0</v>
      </c>
      <c r="G1393">
        <v>2</v>
      </c>
    </row>
    <row r="1394" spans="1:7" x14ac:dyDescent="0.25">
      <c r="A1394" t="s">
        <v>1693</v>
      </c>
      <c r="B1394">
        <v>7</v>
      </c>
      <c r="C1394">
        <v>3.9</v>
      </c>
      <c r="D1394" t="s">
        <v>1697</v>
      </c>
      <c r="F1394">
        <v>140</v>
      </c>
      <c r="G1394">
        <v>2</v>
      </c>
    </row>
    <row r="1395" spans="1:7" x14ac:dyDescent="0.25">
      <c r="A1395" t="s">
        <v>138</v>
      </c>
      <c r="B1395">
        <v>30</v>
      </c>
      <c r="C1395">
        <v>0.08</v>
      </c>
      <c r="D1395">
        <v>2710</v>
      </c>
      <c r="F1395">
        <v>16</v>
      </c>
      <c r="G1395">
        <v>2</v>
      </c>
    </row>
    <row r="1396" spans="1:7" x14ac:dyDescent="0.25">
      <c r="A1396" t="s">
        <v>2417</v>
      </c>
      <c r="B1396">
        <v>7</v>
      </c>
      <c r="C1396">
        <v>0.17</v>
      </c>
      <c r="D1396">
        <v>916</v>
      </c>
      <c r="F1396">
        <v>0</v>
      </c>
      <c r="G1396">
        <v>2</v>
      </c>
    </row>
    <row r="1397" spans="1:7" x14ac:dyDescent="0.25">
      <c r="A1397" t="s">
        <v>1625</v>
      </c>
      <c r="B1397">
        <v>21</v>
      </c>
      <c r="C1397">
        <v>0.39</v>
      </c>
      <c r="D1397">
        <v>916</v>
      </c>
      <c r="F1397">
        <v>210</v>
      </c>
      <c r="G1397">
        <v>2</v>
      </c>
    </row>
    <row r="1398" spans="1:7" x14ac:dyDescent="0.25">
      <c r="A1398" t="s">
        <v>1626</v>
      </c>
      <c r="B1398">
        <v>21</v>
      </c>
      <c r="C1398">
        <v>1.17</v>
      </c>
      <c r="D1398">
        <v>916</v>
      </c>
      <c r="F1398">
        <v>0</v>
      </c>
      <c r="G1398">
        <v>2</v>
      </c>
    </row>
    <row r="1399" spans="1:7" x14ac:dyDescent="0.25">
      <c r="A1399" t="s">
        <v>2426</v>
      </c>
      <c r="B1399">
        <v>14</v>
      </c>
      <c r="C1399">
        <v>0.35</v>
      </c>
      <c r="D1399">
        <v>916</v>
      </c>
      <c r="F1399">
        <v>100</v>
      </c>
      <c r="G1399">
        <v>2</v>
      </c>
    </row>
    <row r="1400" spans="1:7" x14ac:dyDescent="0.25">
      <c r="A1400" t="s">
        <v>1627</v>
      </c>
      <c r="B1400">
        <v>21</v>
      </c>
      <c r="C1400">
        <v>0.16600000000000001</v>
      </c>
      <c r="D1400">
        <v>916</v>
      </c>
      <c r="F1400">
        <v>0</v>
      </c>
      <c r="G1400">
        <v>2</v>
      </c>
    </row>
    <row r="1401" spans="1:7" x14ac:dyDescent="0.25">
      <c r="A1401" t="s">
        <v>2470</v>
      </c>
      <c r="B1401">
        <v>21</v>
      </c>
      <c r="C1401">
        <v>0.83</v>
      </c>
      <c r="D1401">
        <v>916</v>
      </c>
      <c r="F1401">
        <v>0</v>
      </c>
      <c r="G1401">
        <v>2</v>
      </c>
    </row>
    <row r="1402" spans="1:7" x14ac:dyDescent="0.25">
      <c r="A1402" t="s">
        <v>139</v>
      </c>
      <c r="B1402">
        <v>7</v>
      </c>
      <c r="C1402">
        <v>7.3999999999999996E-2</v>
      </c>
      <c r="D1402">
        <v>9591</v>
      </c>
      <c r="F1402">
        <v>16</v>
      </c>
      <c r="G1402">
        <v>2</v>
      </c>
    </row>
    <row r="1403" spans="1:7" x14ac:dyDescent="0.25">
      <c r="A1403" t="s">
        <v>140</v>
      </c>
      <c r="B1403">
        <v>7</v>
      </c>
      <c r="C1403">
        <v>7.3999999999999996E-2</v>
      </c>
      <c r="D1403">
        <v>9591</v>
      </c>
      <c r="F1403">
        <v>16</v>
      </c>
      <c r="G1403">
        <v>2</v>
      </c>
    </row>
    <row r="1404" spans="1:7" x14ac:dyDescent="0.25">
      <c r="A1404" t="s">
        <v>141</v>
      </c>
      <c r="B1404">
        <v>7</v>
      </c>
      <c r="C1404">
        <v>7.3999999999999996E-2</v>
      </c>
      <c r="D1404">
        <v>9591</v>
      </c>
      <c r="F1404">
        <v>16</v>
      </c>
      <c r="G1404">
        <v>2</v>
      </c>
    </row>
    <row r="1405" spans="1:7" x14ac:dyDescent="0.25">
      <c r="A1405" t="s">
        <v>142</v>
      </c>
      <c r="B1405">
        <v>30</v>
      </c>
      <c r="C1405">
        <v>7.0000000000000007E-2</v>
      </c>
      <c r="D1405">
        <v>2710</v>
      </c>
      <c r="F1405">
        <v>16</v>
      </c>
      <c r="G1405">
        <v>2</v>
      </c>
    </row>
    <row r="1406" spans="1:7" x14ac:dyDescent="0.25">
      <c r="A1406" t="s">
        <v>2418</v>
      </c>
      <c r="B1406">
        <v>30</v>
      </c>
      <c r="C1406">
        <v>0.08</v>
      </c>
      <c r="D1406" t="s">
        <v>48</v>
      </c>
      <c r="F1406">
        <v>1400</v>
      </c>
      <c r="G1406">
        <v>2</v>
      </c>
    </row>
    <row r="1407" spans="1:7" x14ac:dyDescent="0.25">
      <c r="A1407" t="s">
        <v>143</v>
      </c>
      <c r="B1407">
        <v>7</v>
      </c>
      <c r="C1407">
        <v>1</v>
      </c>
      <c r="D1407">
        <v>9591</v>
      </c>
      <c r="E1407">
        <v>2789</v>
      </c>
      <c r="F1407">
        <v>0</v>
      </c>
      <c r="G1407">
        <v>2</v>
      </c>
    </row>
    <row r="1408" spans="1:7" x14ac:dyDescent="0.25">
      <c r="A1408" t="s">
        <v>144</v>
      </c>
      <c r="B1408">
        <v>7</v>
      </c>
      <c r="C1408">
        <v>2</v>
      </c>
      <c r="D1408">
        <v>9591</v>
      </c>
      <c r="E1408">
        <v>2789</v>
      </c>
      <c r="F1408">
        <v>0</v>
      </c>
      <c r="G1408">
        <v>2</v>
      </c>
    </row>
    <row r="1409" spans="1:7" x14ac:dyDescent="0.25">
      <c r="A1409" t="s">
        <v>145</v>
      </c>
      <c r="B1409">
        <v>7</v>
      </c>
      <c r="C1409">
        <v>0.55000000000000004</v>
      </c>
      <c r="D1409">
        <v>9591</v>
      </c>
      <c r="F1409">
        <v>0</v>
      </c>
      <c r="G1409">
        <v>2</v>
      </c>
    </row>
    <row r="1410" spans="1:7" x14ac:dyDescent="0.25">
      <c r="A1410" t="s">
        <v>146</v>
      </c>
      <c r="B1410">
        <v>0</v>
      </c>
      <c r="C1410">
        <v>1.05</v>
      </c>
      <c r="D1410" t="s">
        <v>147</v>
      </c>
      <c r="F1410">
        <v>0</v>
      </c>
      <c r="G1410">
        <v>2</v>
      </c>
    </row>
    <row r="1411" spans="1:7" x14ac:dyDescent="0.25">
      <c r="A1411" t="s">
        <v>148</v>
      </c>
      <c r="B1411">
        <v>0</v>
      </c>
      <c r="C1411">
        <v>1</v>
      </c>
      <c r="D1411" t="s">
        <v>147</v>
      </c>
      <c r="F1411">
        <v>0</v>
      </c>
      <c r="G1411">
        <v>2</v>
      </c>
    </row>
    <row r="1412" spans="1:7" x14ac:dyDescent="0.25">
      <c r="A1412" t="s">
        <v>149</v>
      </c>
      <c r="B1412">
        <v>0</v>
      </c>
      <c r="C1412">
        <v>1.046</v>
      </c>
      <c r="D1412" t="s">
        <v>147</v>
      </c>
      <c r="F1412">
        <v>0</v>
      </c>
      <c r="G1412">
        <v>2</v>
      </c>
    </row>
    <row r="1413" spans="1:7" x14ac:dyDescent="0.25">
      <c r="A1413" t="s">
        <v>150</v>
      </c>
      <c r="B1413">
        <v>0</v>
      </c>
      <c r="C1413">
        <v>1.27</v>
      </c>
      <c r="D1413" t="s">
        <v>147</v>
      </c>
      <c r="F1413">
        <v>0</v>
      </c>
      <c r="G1413">
        <v>2</v>
      </c>
    </row>
    <row r="1414" spans="1:7" x14ac:dyDescent="0.25">
      <c r="A1414" t="s">
        <v>151</v>
      </c>
      <c r="B1414">
        <v>0</v>
      </c>
      <c r="C1414">
        <v>1.1200000000000001</v>
      </c>
      <c r="D1414" t="s">
        <v>147</v>
      </c>
      <c r="F1414">
        <v>0</v>
      </c>
      <c r="G1414">
        <v>2</v>
      </c>
    </row>
    <row r="1415" spans="1:7" x14ac:dyDescent="0.25">
      <c r="A1415" t="s">
        <v>152</v>
      </c>
      <c r="B1415">
        <v>0</v>
      </c>
      <c r="C1415">
        <v>1.27</v>
      </c>
      <c r="D1415" t="s">
        <v>147</v>
      </c>
      <c r="F1415">
        <v>0</v>
      </c>
      <c r="G1415">
        <v>2</v>
      </c>
    </row>
    <row r="1416" spans="1:7" x14ac:dyDescent="0.25">
      <c r="A1416" t="s">
        <v>153</v>
      </c>
      <c r="B1416">
        <v>0</v>
      </c>
      <c r="C1416">
        <v>1.87</v>
      </c>
      <c r="D1416" t="s">
        <v>147</v>
      </c>
      <c r="F1416">
        <v>0</v>
      </c>
      <c r="G1416">
        <v>2</v>
      </c>
    </row>
    <row r="1417" spans="1:7" x14ac:dyDescent="0.25">
      <c r="A1417" t="s">
        <v>154</v>
      </c>
      <c r="B1417">
        <v>0</v>
      </c>
      <c r="C1417">
        <v>1.87</v>
      </c>
      <c r="D1417" t="s">
        <v>147</v>
      </c>
      <c r="F1417">
        <v>0</v>
      </c>
      <c r="G1417">
        <v>2</v>
      </c>
    </row>
    <row r="1418" spans="1:7" x14ac:dyDescent="0.25">
      <c r="A1418" t="s">
        <v>155</v>
      </c>
      <c r="B1418">
        <v>0</v>
      </c>
      <c r="C1418">
        <v>1.81</v>
      </c>
      <c r="D1418" t="s">
        <v>147</v>
      </c>
      <c r="F1418">
        <v>0</v>
      </c>
      <c r="G1418">
        <v>2</v>
      </c>
    </row>
    <row r="1419" spans="1:7" x14ac:dyDescent="0.25">
      <c r="A1419" t="s">
        <v>156</v>
      </c>
      <c r="B1419">
        <v>0</v>
      </c>
      <c r="C1419">
        <v>4.29</v>
      </c>
      <c r="D1419" t="s">
        <v>147</v>
      </c>
      <c r="F1419">
        <v>0</v>
      </c>
      <c r="G1419">
        <v>2</v>
      </c>
    </row>
    <row r="1420" spans="1:7" x14ac:dyDescent="0.25">
      <c r="A1420" t="s">
        <v>157</v>
      </c>
      <c r="B1420">
        <v>0</v>
      </c>
      <c r="C1420">
        <v>2.36</v>
      </c>
      <c r="D1420" t="s">
        <v>147</v>
      </c>
      <c r="F1420">
        <v>0</v>
      </c>
      <c r="G1420">
        <v>2</v>
      </c>
    </row>
    <row r="1421" spans="1:7" x14ac:dyDescent="0.25">
      <c r="A1421" t="s">
        <v>158</v>
      </c>
      <c r="B1421">
        <v>0</v>
      </c>
      <c r="C1421">
        <v>2.69</v>
      </c>
      <c r="D1421" t="s">
        <v>147</v>
      </c>
      <c r="F1421">
        <v>0</v>
      </c>
      <c r="G1421">
        <v>2</v>
      </c>
    </row>
    <row r="1422" spans="1:7" x14ac:dyDescent="0.25">
      <c r="A1422" t="s">
        <v>159</v>
      </c>
      <c r="B1422">
        <v>0</v>
      </c>
      <c r="C1422">
        <v>3.5</v>
      </c>
      <c r="D1422" t="s">
        <v>147</v>
      </c>
      <c r="F1422">
        <v>0</v>
      </c>
      <c r="G1422">
        <v>2</v>
      </c>
    </row>
    <row r="1423" spans="1:7" x14ac:dyDescent="0.25">
      <c r="A1423" t="s">
        <v>160</v>
      </c>
      <c r="B1423">
        <v>7</v>
      </c>
      <c r="C1423">
        <v>0.12</v>
      </c>
      <c r="D1423">
        <v>9591</v>
      </c>
      <c r="F1423">
        <v>0</v>
      </c>
      <c r="G1423">
        <v>2</v>
      </c>
    </row>
    <row r="1424" spans="1:7" x14ac:dyDescent="0.25">
      <c r="A1424" t="s">
        <v>161</v>
      </c>
      <c r="B1424">
        <v>7</v>
      </c>
      <c r="C1424">
        <v>0.16</v>
      </c>
      <c r="D1424">
        <v>9591</v>
      </c>
      <c r="F1424">
        <v>0</v>
      </c>
      <c r="G1424">
        <v>2</v>
      </c>
    </row>
    <row r="1425" spans="1:7" x14ac:dyDescent="0.25">
      <c r="A1425" t="s">
        <v>2543</v>
      </c>
      <c r="B1425">
        <v>7</v>
      </c>
      <c r="C1425">
        <v>0.72</v>
      </c>
      <c r="D1425">
        <v>9591</v>
      </c>
      <c r="E1425">
        <v>14276</v>
      </c>
      <c r="F1425">
        <v>0</v>
      </c>
      <c r="G1425">
        <v>2</v>
      </c>
    </row>
    <row r="1426" spans="1:7" x14ac:dyDescent="0.25">
      <c r="A1426" t="s">
        <v>162</v>
      </c>
      <c r="B1426">
        <v>7</v>
      </c>
      <c r="C1426">
        <v>6.3E-2</v>
      </c>
      <c r="D1426">
        <v>9591</v>
      </c>
      <c r="F1426">
        <v>12</v>
      </c>
      <c r="G1426">
        <v>2</v>
      </c>
    </row>
    <row r="1427" spans="1:7" x14ac:dyDescent="0.25">
      <c r="A1427" t="s">
        <v>163</v>
      </c>
      <c r="B1427">
        <v>7</v>
      </c>
      <c r="C1427">
        <v>0.8</v>
      </c>
      <c r="D1427">
        <v>9591</v>
      </c>
      <c r="F1427">
        <v>0</v>
      </c>
      <c r="G1427">
        <v>2</v>
      </c>
    </row>
    <row r="1428" spans="1:7" x14ac:dyDescent="0.25">
      <c r="A1428" t="s">
        <v>164</v>
      </c>
      <c r="B1428">
        <v>30</v>
      </c>
      <c r="C1428">
        <v>0.08</v>
      </c>
      <c r="D1428" t="s">
        <v>48</v>
      </c>
      <c r="F1428">
        <v>16</v>
      </c>
      <c r="G1428">
        <v>2</v>
      </c>
    </row>
    <row r="1429" spans="1:7" x14ac:dyDescent="0.25">
      <c r="A1429" t="s">
        <v>165</v>
      </c>
      <c r="B1429">
        <v>7</v>
      </c>
      <c r="C1429">
        <v>0.495</v>
      </c>
      <c r="D1429">
        <v>9815</v>
      </c>
      <c r="F1429">
        <v>0</v>
      </c>
      <c r="G1429">
        <v>2</v>
      </c>
    </row>
    <row r="1430" spans="1:7" x14ac:dyDescent="0.25">
      <c r="A1430" t="s">
        <v>166</v>
      </c>
      <c r="B1430">
        <v>7</v>
      </c>
      <c r="C1430">
        <v>0.47199999999999998</v>
      </c>
      <c r="D1430">
        <v>9815</v>
      </c>
      <c r="F1430">
        <v>0</v>
      </c>
      <c r="G1430">
        <v>2</v>
      </c>
    </row>
    <row r="1431" spans="1:7" x14ac:dyDescent="0.25">
      <c r="A1431" t="s">
        <v>167</v>
      </c>
      <c r="B1431">
        <v>7</v>
      </c>
      <c r="C1431">
        <v>0.495</v>
      </c>
      <c r="D1431">
        <v>9815</v>
      </c>
      <c r="F1431">
        <v>0</v>
      </c>
      <c r="G1431">
        <v>2</v>
      </c>
    </row>
    <row r="1432" spans="1:7" x14ac:dyDescent="0.25">
      <c r="A1432" t="s">
        <v>168</v>
      </c>
      <c r="B1432">
        <v>7</v>
      </c>
      <c r="C1432">
        <v>0.6</v>
      </c>
      <c r="D1432">
        <v>9815</v>
      </c>
      <c r="F1432">
        <v>0</v>
      </c>
      <c r="G1432">
        <v>2</v>
      </c>
    </row>
    <row r="1433" spans="1:7" x14ac:dyDescent="0.25">
      <c r="A1433" t="s">
        <v>169</v>
      </c>
      <c r="B1433">
        <v>7</v>
      </c>
      <c r="C1433">
        <v>0.748</v>
      </c>
      <c r="D1433">
        <v>9815</v>
      </c>
      <c r="F1433">
        <v>0</v>
      </c>
      <c r="G1433">
        <v>2</v>
      </c>
    </row>
    <row r="1434" spans="1:7" x14ac:dyDescent="0.25">
      <c r="A1434" t="s">
        <v>170</v>
      </c>
      <c r="B1434">
        <v>7</v>
      </c>
      <c r="C1434">
        <v>0.78</v>
      </c>
      <c r="D1434">
        <v>9815</v>
      </c>
      <c r="F1434">
        <v>0</v>
      </c>
      <c r="G1434">
        <v>2</v>
      </c>
    </row>
    <row r="1435" spans="1:7" x14ac:dyDescent="0.25">
      <c r="A1435" t="s">
        <v>171</v>
      </c>
      <c r="B1435">
        <v>7</v>
      </c>
      <c r="C1435">
        <v>0.82</v>
      </c>
      <c r="D1435">
        <v>9815</v>
      </c>
      <c r="F1435">
        <v>0</v>
      </c>
      <c r="G1435">
        <v>2</v>
      </c>
    </row>
    <row r="1436" spans="1:7" x14ac:dyDescent="0.25">
      <c r="A1436" t="s">
        <v>172</v>
      </c>
      <c r="B1436">
        <v>7</v>
      </c>
      <c r="C1436">
        <v>1.415</v>
      </c>
      <c r="D1436">
        <v>9815</v>
      </c>
      <c r="F1436">
        <v>0</v>
      </c>
      <c r="G1436">
        <v>2</v>
      </c>
    </row>
    <row r="1437" spans="1:7" x14ac:dyDescent="0.25">
      <c r="A1437" t="s">
        <v>173</v>
      </c>
      <c r="B1437">
        <v>7</v>
      </c>
      <c r="C1437">
        <v>1.629</v>
      </c>
      <c r="D1437">
        <v>9815</v>
      </c>
      <c r="F1437">
        <v>0</v>
      </c>
      <c r="G1437">
        <v>2</v>
      </c>
    </row>
    <row r="1438" spans="1:7" x14ac:dyDescent="0.25">
      <c r="A1438" t="s">
        <v>174</v>
      </c>
      <c r="B1438">
        <v>7</v>
      </c>
      <c r="C1438">
        <v>1.45</v>
      </c>
      <c r="D1438">
        <v>9815</v>
      </c>
      <c r="F1438">
        <v>0</v>
      </c>
      <c r="G1438">
        <v>2</v>
      </c>
    </row>
    <row r="1439" spans="1:7" x14ac:dyDescent="0.25">
      <c r="A1439" t="s">
        <v>175</v>
      </c>
      <c r="B1439">
        <v>7</v>
      </c>
      <c r="C1439">
        <v>0.05</v>
      </c>
      <c r="D1439">
        <v>9815</v>
      </c>
      <c r="F1439">
        <v>0</v>
      </c>
      <c r="G1439">
        <v>2</v>
      </c>
    </row>
    <row r="1440" spans="1:7" x14ac:dyDescent="0.25">
      <c r="A1440" t="s">
        <v>176</v>
      </c>
      <c r="B1440">
        <v>7</v>
      </c>
      <c r="C1440">
        <v>0.05</v>
      </c>
      <c r="D1440">
        <v>9815</v>
      </c>
      <c r="F1440">
        <v>0</v>
      </c>
      <c r="G1440">
        <v>2</v>
      </c>
    </row>
    <row r="1441" spans="1:7" x14ac:dyDescent="0.25">
      <c r="A1441" t="s">
        <v>177</v>
      </c>
      <c r="B1441">
        <v>7</v>
      </c>
      <c r="C1441">
        <v>0.40799999999999997</v>
      </c>
      <c r="D1441">
        <v>9815</v>
      </c>
      <c r="F1441">
        <v>0</v>
      </c>
      <c r="G1441">
        <v>2</v>
      </c>
    </row>
    <row r="1442" spans="1:7" x14ac:dyDescent="0.25">
      <c r="A1442" t="s">
        <v>178</v>
      </c>
      <c r="B1442">
        <v>7</v>
      </c>
      <c r="C1442">
        <v>0.25</v>
      </c>
      <c r="D1442">
        <v>9815</v>
      </c>
      <c r="F1442">
        <v>0</v>
      </c>
      <c r="G1442">
        <v>2</v>
      </c>
    </row>
    <row r="1443" spans="1:7" x14ac:dyDescent="0.25">
      <c r="A1443" t="s">
        <v>179</v>
      </c>
      <c r="B1443">
        <v>7</v>
      </c>
      <c r="C1443">
        <v>0.13500000000000001</v>
      </c>
      <c r="D1443">
        <v>9815</v>
      </c>
      <c r="F1443">
        <v>0</v>
      </c>
      <c r="G1443">
        <v>2</v>
      </c>
    </row>
    <row r="1444" spans="1:7" x14ac:dyDescent="0.25">
      <c r="A1444" t="s">
        <v>180</v>
      </c>
      <c r="B1444">
        <v>7</v>
      </c>
      <c r="C1444">
        <v>0.8</v>
      </c>
      <c r="D1444">
        <v>9815</v>
      </c>
      <c r="F1444">
        <v>0</v>
      </c>
      <c r="G1444">
        <v>2</v>
      </c>
    </row>
    <row r="1445" spans="1:7" x14ac:dyDescent="0.25">
      <c r="A1445" t="s">
        <v>181</v>
      </c>
      <c r="B1445">
        <v>7</v>
      </c>
      <c r="C1445">
        <v>0.8</v>
      </c>
      <c r="D1445">
        <v>9815</v>
      </c>
      <c r="F1445">
        <v>0</v>
      </c>
      <c r="G1445">
        <v>2</v>
      </c>
    </row>
    <row r="1446" spans="1:7" x14ac:dyDescent="0.25">
      <c r="A1446" t="s">
        <v>182</v>
      </c>
      <c r="B1446">
        <v>7</v>
      </c>
      <c r="C1446">
        <v>3.6999999999999998E-2</v>
      </c>
      <c r="D1446">
        <v>9815</v>
      </c>
      <c r="F1446">
        <v>15</v>
      </c>
      <c r="G1446">
        <v>2</v>
      </c>
    </row>
    <row r="1447" spans="1:7" x14ac:dyDescent="0.25">
      <c r="A1447" t="s">
        <v>183</v>
      </c>
      <c r="B1447">
        <v>7</v>
      </c>
      <c r="C1447">
        <v>0.04</v>
      </c>
      <c r="D1447">
        <v>9815</v>
      </c>
      <c r="F1447">
        <v>15</v>
      </c>
      <c r="G1447">
        <v>2</v>
      </c>
    </row>
    <row r="1448" spans="1:7" x14ac:dyDescent="0.25">
      <c r="A1448" t="s">
        <v>184</v>
      </c>
      <c r="B1448">
        <v>7</v>
      </c>
      <c r="C1448">
        <v>0.05</v>
      </c>
      <c r="D1448">
        <v>9815</v>
      </c>
      <c r="F1448">
        <v>15</v>
      </c>
      <c r="G1448">
        <v>2</v>
      </c>
    </row>
    <row r="1449" spans="1:7" x14ac:dyDescent="0.25">
      <c r="A1449" t="s">
        <v>185</v>
      </c>
      <c r="B1449">
        <v>7</v>
      </c>
      <c r="C1449">
        <v>5.0999999999999997E-2</v>
      </c>
      <c r="D1449">
        <v>9815</v>
      </c>
      <c r="F1449">
        <v>15</v>
      </c>
      <c r="G1449">
        <v>2</v>
      </c>
    </row>
    <row r="1450" spans="1:7" x14ac:dyDescent="0.25">
      <c r="A1450" t="s">
        <v>186</v>
      </c>
      <c r="B1450">
        <v>7</v>
      </c>
      <c r="C1450">
        <v>5.3999999999999999E-2</v>
      </c>
      <c r="D1450">
        <v>9815</v>
      </c>
      <c r="F1450">
        <v>15</v>
      </c>
      <c r="G1450">
        <v>2</v>
      </c>
    </row>
    <row r="1451" spans="1:7" x14ac:dyDescent="0.25">
      <c r="A1451" t="s">
        <v>187</v>
      </c>
      <c r="B1451">
        <v>7</v>
      </c>
      <c r="C1451">
        <v>5.6000000000000001E-2</v>
      </c>
      <c r="D1451">
        <v>9815</v>
      </c>
      <c r="F1451">
        <v>15</v>
      </c>
      <c r="G1451">
        <v>2</v>
      </c>
    </row>
    <row r="1452" spans="1:7" x14ac:dyDescent="0.25">
      <c r="A1452" t="s">
        <v>188</v>
      </c>
      <c r="B1452">
        <v>7</v>
      </c>
      <c r="C1452">
        <v>0.7</v>
      </c>
      <c r="D1452">
        <v>9815</v>
      </c>
      <c r="F1452">
        <v>0</v>
      </c>
      <c r="G1452">
        <v>2</v>
      </c>
    </row>
    <row r="1453" spans="1:7" x14ac:dyDescent="0.25">
      <c r="A1453" t="s">
        <v>189</v>
      </c>
      <c r="B1453">
        <v>7</v>
      </c>
      <c r="C1453">
        <v>0.7</v>
      </c>
      <c r="D1453">
        <v>9815</v>
      </c>
      <c r="F1453">
        <v>0</v>
      </c>
      <c r="G1453">
        <v>2</v>
      </c>
    </row>
    <row r="1454" spans="1:7" x14ac:dyDescent="0.25">
      <c r="A1454" t="s">
        <v>190</v>
      </c>
      <c r="B1454">
        <v>7</v>
      </c>
      <c r="C1454">
        <v>0.85</v>
      </c>
      <c r="D1454">
        <v>9815</v>
      </c>
      <c r="F1454">
        <v>0</v>
      </c>
      <c r="G1454">
        <v>2</v>
      </c>
    </row>
    <row r="1455" spans="1:7" x14ac:dyDescent="0.25">
      <c r="A1455" t="s">
        <v>191</v>
      </c>
      <c r="B1455">
        <v>7</v>
      </c>
      <c r="C1455">
        <v>0.95</v>
      </c>
      <c r="D1455">
        <v>9815</v>
      </c>
      <c r="F1455">
        <v>0</v>
      </c>
      <c r="G1455">
        <v>2</v>
      </c>
    </row>
    <row r="1456" spans="1:7" x14ac:dyDescent="0.25">
      <c r="A1456" t="s">
        <v>192</v>
      </c>
      <c r="B1456">
        <v>7</v>
      </c>
      <c r="C1456">
        <v>1.1000000000000001</v>
      </c>
      <c r="D1456">
        <v>9815</v>
      </c>
      <c r="F1456">
        <v>0</v>
      </c>
      <c r="G1456">
        <v>2</v>
      </c>
    </row>
    <row r="1457" spans="1:7" x14ac:dyDescent="0.25">
      <c r="A1457" t="s">
        <v>193</v>
      </c>
      <c r="B1457">
        <v>7</v>
      </c>
      <c r="C1457">
        <v>1.1499999999999999</v>
      </c>
      <c r="D1457">
        <v>9815</v>
      </c>
      <c r="F1457">
        <v>0</v>
      </c>
      <c r="G1457">
        <v>2</v>
      </c>
    </row>
    <row r="1458" spans="1:7" x14ac:dyDescent="0.25">
      <c r="A1458" t="s">
        <v>194</v>
      </c>
      <c r="B1458">
        <v>7</v>
      </c>
      <c r="C1458">
        <v>1.18</v>
      </c>
      <c r="D1458">
        <v>9815</v>
      </c>
      <c r="F1458">
        <v>0</v>
      </c>
      <c r="G1458">
        <v>2</v>
      </c>
    </row>
    <row r="1459" spans="1:7" x14ac:dyDescent="0.25">
      <c r="A1459" t="s">
        <v>195</v>
      </c>
      <c r="B1459">
        <v>7</v>
      </c>
      <c r="C1459">
        <v>1.2</v>
      </c>
      <c r="D1459">
        <v>9815</v>
      </c>
      <c r="F1459">
        <v>0</v>
      </c>
      <c r="G1459">
        <v>2</v>
      </c>
    </row>
    <row r="1460" spans="1:7" x14ac:dyDescent="0.25">
      <c r="A1460" t="s">
        <v>2989</v>
      </c>
      <c r="B1460">
        <v>5</v>
      </c>
      <c r="C1460">
        <v>0.76</v>
      </c>
      <c r="D1460">
        <v>9591</v>
      </c>
      <c r="E1460">
        <v>258</v>
      </c>
      <c r="F1460">
        <v>0</v>
      </c>
      <c r="G1460">
        <v>2</v>
      </c>
    </row>
    <row r="1461" spans="1:7" x14ac:dyDescent="0.25">
      <c r="A1461" t="s">
        <v>2990</v>
      </c>
      <c r="B1461">
        <v>5</v>
      </c>
      <c r="C1461">
        <v>0.27100000000000002</v>
      </c>
      <c r="D1461">
        <v>9591</v>
      </c>
      <c r="E1461">
        <v>258</v>
      </c>
      <c r="F1461">
        <v>0</v>
      </c>
      <c r="G1461">
        <v>2</v>
      </c>
    </row>
    <row r="1462" spans="1:7" x14ac:dyDescent="0.25">
      <c r="A1462" t="s">
        <v>196</v>
      </c>
      <c r="B1462">
        <v>7</v>
      </c>
      <c r="C1462">
        <v>0.22900000000000001</v>
      </c>
      <c r="D1462">
        <v>9591</v>
      </c>
      <c r="F1462">
        <v>12</v>
      </c>
      <c r="G1462">
        <v>2</v>
      </c>
    </row>
    <row r="1463" spans="1:7" x14ac:dyDescent="0.25">
      <c r="A1463" t="s">
        <v>197</v>
      </c>
      <c r="B1463">
        <v>7</v>
      </c>
      <c r="C1463">
        <v>0.30599999999999999</v>
      </c>
      <c r="D1463">
        <v>9591</v>
      </c>
      <c r="F1463">
        <v>20</v>
      </c>
      <c r="G1463">
        <v>2</v>
      </c>
    </row>
    <row r="1464" spans="1:7" x14ac:dyDescent="0.25">
      <c r="A1464" t="s">
        <v>198</v>
      </c>
      <c r="B1464">
        <v>7</v>
      </c>
      <c r="C1464">
        <v>0.81599999999999995</v>
      </c>
      <c r="D1464">
        <v>9591</v>
      </c>
      <c r="F1464">
        <v>50</v>
      </c>
      <c r="G1464">
        <v>2</v>
      </c>
    </row>
    <row r="1465" spans="1:7" x14ac:dyDescent="0.25">
      <c r="A1465" t="s">
        <v>199</v>
      </c>
      <c r="B1465">
        <v>7</v>
      </c>
      <c r="C1465">
        <v>0.23400000000000001</v>
      </c>
      <c r="D1465">
        <v>9591</v>
      </c>
      <c r="F1465">
        <v>32</v>
      </c>
      <c r="G1465">
        <v>2</v>
      </c>
    </row>
    <row r="1466" spans="1:7" x14ac:dyDescent="0.25">
      <c r="A1466" t="s">
        <v>200</v>
      </c>
      <c r="B1466">
        <v>7</v>
      </c>
      <c r="C1466">
        <v>0.23400000000000001</v>
      </c>
      <c r="D1466">
        <v>9591</v>
      </c>
      <c r="F1466">
        <v>30</v>
      </c>
      <c r="G1466">
        <v>2</v>
      </c>
    </row>
    <row r="1467" spans="1:7" x14ac:dyDescent="0.25">
      <c r="A1467" t="s">
        <v>201</v>
      </c>
      <c r="B1467">
        <v>7</v>
      </c>
      <c r="C1467">
        <v>0.33</v>
      </c>
      <c r="D1467">
        <v>9591</v>
      </c>
      <c r="F1467">
        <v>24</v>
      </c>
      <c r="G1467">
        <v>2</v>
      </c>
    </row>
    <row r="1468" spans="1:7" x14ac:dyDescent="0.25">
      <c r="A1468" t="s">
        <v>202</v>
      </c>
      <c r="B1468">
        <v>7</v>
      </c>
      <c r="C1468">
        <v>0.23599999999999999</v>
      </c>
      <c r="D1468">
        <v>9591</v>
      </c>
      <c r="F1468">
        <v>30</v>
      </c>
      <c r="G1468">
        <v>2</v>
      </c>
    </row>
    <row r="1469" spans="1:7" x14ac:dyDescent="0.25">
      <c r="A1469" t="s">
        <v>203</v>
      </c>
      <c r="B1469">
        <v>7</v>
      </c>
      <c r="C1469">
        <v>0.35799999999999998</v>
      </c>
      <c r="D1469">
        <v>9133</v>
      </c>
      <c r="F1469">
        <v>30</v>
      </c>
      <c r="G1469">
        <v>2</v>
      </c>
    </row>
    <row r="1470" spans="1:7" x14ac:dyDescent="0.25">
      <c r="A1470" t="s">
        <v>204</v>
      </c>
      <c r="B1470">
        <v>0</v>
      </c>
      <c r="C1470">
        <v>0.02</v>
      </c>
      <c r="D1470">
        <v>9591</v>
      </c>
      <c r="F1470">
        <v>0</v>
      </c>
      <c r="G1470">
        <v>2</v>
      </c>
    </row>
    <row r="1471" spans="1:7" x14ac:dyDescent="0.25">
      <c r="A1471" t="s">
        <v>205</v>
      </c>
      <c r="B1471">
        <v>0</v>
      </c>
      <c r="C1471">
        <v>1.4999999999999999E-2</v>
      </c>
      <c r="D1471">
        <v>9591</v>
      </c>
      <c r="F1471">
        <v>0</v>
      </c>
      <c r="G1471">
        <v>2</v>
      </c>
    </row>
    <row r="1472" spans="1:7" x14ac:dyDescent="0.25">
      <c r="A1472" t="s">
        <v>206</v>
      </c>
      <c r="B1472">
        <v>7</v>
      </c>
      <c r="C1472">
        <v>0.35399999999999998</v>
      </c>
      <c r="D1472">
        <v>9133</v>
      </c>
      <c r="F1472">
        <v>16</v>
      </c>
      <c r="G1472">
        <v>2</v>
      </c>
    </row>
    <row r="1473" spans="1:7" x14ac:dyDescent="0.25">
      <c r="A1473" t="s">
        <v>207</v>
      </c>
      <c r="B1473">
        <v>7</v>
      </c>
      <c r="C1473">
        <v>0.9</v>
      </c>
      <c r="D1473">
        <v>9591</v>
      </c>
      <c r="F1473">
        <v>0</v>
      </c>
      <c r="G1473">
        <v>2</v>
      </c>
    </row>
    <row r="1474" spans="1:7" x14ac:dyDescent="0.25">
      <c r="A1474" t="s">
        <v>208</v>
      </c>
      <c r="B1474">
        <v>7</v>
      </c>
      <c r="C1474">
        <v>0.9</v>
      </c>
      <c r="D1474">
        <v>9591</v>
      </c>
      <c r="F1474">
        <v>0</v>
      </c>
      <c r="G1474">
        <v>2</v>
      </c>
    </row>
    <row r="1475" spans="1:7" x14ac:dyDescent="0.25">
      <c r="A1475" t="s">
        <v>209</v>
      </c>
      <c r="B1475">
        <v>7</v>
      </c>
      <c r="C1475">
        <v>0.9</v>
      </c>
      <c r="D1475">
        <v>9591</v>
      </c>
      <c r="F1475">
        <v>0</v>
      </c>
      <c r="G1475">
        <v>2</v>
      </c>
    </row>
    <row r="1476" spans="1:7" x14ac:dyDescent="0.25">
      <c r="A1476" t="s">
        <v>210</v>
      </c>
      <c r="B1476">
        <v>7</v>
      </c>
      <c r="C1476">
        <v>0.4</v>
      </c>
      <c r="D1476">
        <v>9591</v>
      </c>
      <c r="F1476">
        <v>0</v>
      </c>
      <c r="G1476">
        <v>2</v>
      </c>
    </row>
    <row r="1477" spans="1:7" x14ac:dyDescent="0.25">
      <c r="A1477" t="s">
        <v>211</v>
      </c>
      <c r="B1477">
        <v>90</v>
      </c>
      <c r="C1477">
        <v>0.16200000000000001</v>
      </c>
      <c r="D1477">
        <v>9294</v>
      </c>
      <c r="F1477">
        <v>48</v>
      </c>
      <c r="G1477">
        <v>2</v>
      </c>
    </row>
    <row r="1478" spans="1:7" x14ac:dyDescent="0.25">
      <c r="A1478" t="s">
        <v>212</v>
      </c>
      <c r="B1478">
        <v>90</v>
      </c>
      <c r="C1478">
        <v>10.254</v>
      </c>
      <c r="D1478" t="s">
        <v>213</v>
      </c>
      <c r="F1478">
        <v>20</v>
      </c>
      <c r="G1478">
        <v>2</v>
      </c>
    </row>
    <row r="1479" spans="1:7" x14ac:dyDescent="0.25">
      <c r="A1479" t="s">
        <v>214</v>
      </c>
      <c r="B1479">
        <v>0</v>
      </c>
      <c r="C1479">
        <v>0.05</v>
      </c>
      <c r="D1479">
        <v>9133</v>
      </c>
      <c r="F1479">
        <v>0</v>
      </c>
      <c r="G1479">
        <v>2</v>
      </c>
    </row>
    <row r="1480" spans="1:7" x14ac:dyDescent="0.25">
      <c r="A1480" t="s">
        <v>215</v>
      </c>
      <c r="B1480">
        <v>0</v>
      </c>
      <c r="C1480">
        <v>0.05</v>
      </c>
      <c r="D1480">
        <v>9133</v>
      </c>
      <c r="F1480">
        <v>0</v>
      </c>
      <c r="G1480">
        <v>2</v>
      </c>
    </row>
    <row r="1481" spans="1:7" x14ac:dyDescent="0.25">
      <c r="A1481" t="s">
        <v>216</v>
      </c>
      <c r="B1481">
        <v>7</v>
      </c>
      <c r="C1481">
        <v>0.05</v>
      </c>
      <c r="D1481">
        <v>9591</v>
      </c>
      <c r="F1481">
        <v>0</v>
      </c>
      <c r="G1481">
        <v>2</v>
      </c>
    </row>
    <row r="1482" spans="1:7" x14ac:dyDescent="0.25">
      <c r="A1482" t="s">
        <v>217</v>
      </c>
      <c r="B1482">
        <v>7</v>
      </c>
      <c r="C1482">
        <v>0.05</v>
      </c>
      <c r="D1482">
        <v>9591</v>
      </c>
      <c r="F1482">
        <v>0</v>
      </c>
      <c r="G1482">
        <v>2</v>
      </c>
    </row>
    <row r="1483" spans="1:7" x14ac:dyDescent="0.25">
      <c r="A1483" t="s">
        <v>218</v>
      </c>
      <c r="B1483">
        <v>7</v>
      </c>
      <c r="C1483">
        <v>0.05</v>
      </c>
      <c r="D1483">
        <v>9591</v>
      </c>
      <c r="F1483">
        <v>0</v>
      </c>
      <c r="G1483">
        <v>2</v>
      </c>
    </row>
    <row r="1484" spans="1:7" x14ac:dyDescent="0.25">
      <c r="A1484" t="s">
        <v>219</v>
      </c>
      <c r="B1484">
        <v>7</v>
      </c>
      <c r="C1484">
        <v>0.18</v>
      </c>
      <c r="D1484">
        <v>9591</v>
      </c>
      <c r="F1484">
        <v>20</v>
      </c>
      <c r="G1484">
        <v>2</v>
      </c>
    </row>
    <row r="1485" spans="1:7" x14ac:dyDescent="0.25">
      <c r="A1485" t="s">
        <v>220</v>
      </c>
      <c r="B1485">
        <v>0</v>
      </c>
      <c r="C1485">
        <v>0.06</v>
      </c>
      <c r="D1485">
        <v>9591</v>
      </c>
      <c r="F1485">
        <v>0</v>
      </c>
      <c r="G1485">
        <v>2</v>
      </c>
    </row>
    <row r="1486" spans="1:7" x14ac:dyDescent="0.25">
      <c r="A1486" t="s">
        <v>221</v>
      </c>
      <c r="B1486">
        <v>0</v>
      </c>
      <c r="C1486">
        <v>0.06</v>
      </c>
      <c r="D1486">
        <v>9591</v>
      </c>
      <c r="F1486">
        <v>0</v>
      </c>
      <c r="G1486">
        <v>2</v>
      </c>
    </row>
    <row r="1487" spans="1:7" x14ac:dyDescent="0.25">
      <c r="A1487" t="s">
        <v>222</v>
      </c>
      <c r="B1487">
        <v>0</v>
      </c>
      <c r="C1487">
        <v>8.5999999999999993E-2</v>
      </c>
      <c r="D1487">
        <v>9591</v>
      </c>
      <c r="F1487">
        <v>0</v>
      </c>
      <c r="G1487">
        <v>2</v>
      </c>
    </row>
    <row r="1488" spans="1:7" x14ac:dyDescent="0.25">
      <c r="A1488" t="s">
        <v>223</v>
      </c>
      <c r="B1488">
        <v>7</v>
      </c>
      <c r="C1488">
        <v>7.0000000000000007E-2</v>
      </c>
      <c r="D1488">
        <v>9591</v>
      </c>
      <c r="F1488">
        <v>0</v>
      </c>
      <c r="G1488">
        <v>2</v>
      </c>
    </row>
    <row r="1489" spans="1:7" x14ac:dyDescent="0.25">
      <c r="A1489" t="s">
        <v>224</v>
      </c>
      <c r="B1489">
        <v>0</v>
      </c>
      <c r="C1489">
        <v>7.0000000000000007E-2</v>
      </c>
      <c r="D1489">
        <v>9591</v>
      </c>
      <c r="F1489">
        <v>0</v>
      </c>
      <c r="G1489">
        <v>2</v>
      </c>
    </row>
    <row r="1490" spans="1:7" x14ac:dyDescent="0.25">
      <c r="A1490" t="s">
        <v>225</v>
      </c>
      <c r="B1490">
        <v>0</v>
      </c>
      <c r="C1490">
        <v>0.08</v>
      </c>
      <c r="D1490">
        <v>9591</v>
      </c>
      <c r="F1490">
        <v>0</v>
      </c>
      <c r="G1490">
        <v>2</v>
      </c>
    </row>
    <row r="1491" spans="1:7" x14ac:dyDescent="0.25">
      <c r="A1491" t="s">
        <v>226</v>
      </c>
      <c r="B1491">
        <v>0</v>
      </c>
      <c r="C1491">
        <v>0.1</v>
      </c>
      <c r="D1491">
        <v>9591</v>
      </c>
      <c r="F1491">
        <v>0</v>
      </c>
      <c r="G1491">
        <v>2</v>
      </c>
    </row>
    <row r="1492" spans="1:7" x14ac:dyDescent="0.25">
      <c r="A1492" t="s">
        <v>227</v>
      </c>
      <c r="B1492">
        <v>0</v>
      </c>
      <c r="C1492">
        <v>0.1</v>
      </c>
      <c r="D1492">
        <v>9591</v>
      </c>
      <c r="F1492">
        <v>0</v>
      </c>
      <c r="G1492">
        <v>2</v>
      </c>
    </row>
    <row r="1493" spans="1:7" x14ac:dyDescent="0.25">
      <c r="A1493" t="s">
        <v>228</v>
      </c>
      <c r="B1493">
        <v>0</v>
      </c>
      <c r="C1493">
        <v>0.13300000000000001</v>
      </c>
      <c r="D1493">
        <v>9591</v>
      </c>
      <c r="F1493">
        <v>0</v>
      </c>
      <c r="G1493">
        <v>2</v>
      </c>
    </row>
    <row r="1494" spans="1:7" x14ac:dyDescent="0.25">
      <c r="A1494" t="s">
        <v>229</v>
      </c>
      <c r="B1494">
        <v>0</v>
      </c>
      <c r="C1494">
        <v>0.16700000000000001</v>
      </c>
      <c r="D1494">
        <v>9591</v>
      </c>
      <c r="F1494">
        <v>0</v>
      </c>
      <c r="G1494">
        <v>2</v>
      </c>
    </row>
    <row r="1495" spans="1:7" x14ac:dyDescent="0.25">
      <c r="A1495" t="s">
        <v>230</v>
      </c>
      <c r="B1495">
        <v>0</v>
      </c>
      <c r="C1495">
        <v>0.22</v>
      </c>
      <c r="D1495">
        <v>9591</v>
      </c>
      <c r="F1495">
        <v>0</v>
      </c>
      <c r="G1495">
        <v>2</v>
      </c>
    </row>
    <row r="1496" spans="1:7" x14ac:dyDescent="0.25">
      <c r="A1496" t="s">
        <v>231</v>
      </c>
      <c r="B1496">
        <v>0</v>
      </c>
      <c r="C1496">
        <v>0.16</v>
      </c>
      <c r="D1496">
        <v>9591</v>
      </c>
      <c r="F1496">
        <v>0</v>
      </c>
      <c r="G1496">
        <v>2</v>
      </c>
    </row>
    <row r="1497" spans="1:7" x14ac:dyDescent="0.25">
      <c r="A1497" t="s">
        <v>232</v>
      </c>
      <c r="B1497">
        <v>7</v>
      </c>
      <c r="C1497">
        <v>0.85</v>
      </c>
      <c r="D1497">
        <v>9591</v>
      </c>
      <c r="F1497">
        <v>20</v>
      </c>
      <c r="G1497">
        <v>2</v>
      </c>
    </row>
    <row r="1498" spans="1:7" x14ac:dyDescent="0.25">
      <c r="A1498" t="s">
        <v>233</v>
      </c>
      <c r="B1498">
        <v>0</v>
      </c>
      <c r="C1498">
        <v>0</v>
      </c>
      <c r="D1498">
        <v>9133</v>
      </c>
      <c r="F1498">
        <v>0</v>
      </c>
      <c r="G1498">
        <v>2</v>
      </c>
    </row>
    <row r="1499" spans="1:7" x14ac:dyDescent="0.25">
      <c r="A1499" t="s">
        <v>234</v>
      </c>
      <c r="B1499">
        <v>0</v>
      </c>
      <c r="C1499">
        <v>0.04</v>
      </c>
      <c r="D1499">
        <v>9133</v>
      </c>
      <c r="F1499">
        <v>0</v>
      </c>
      <c r="G1499">
        <v>2</v>
      </c>
    </row>
    <row r="1500" spans="1:7" x14ac:dyDescent="0.25">
      <c r="A1500" t="s">
        <v>235</v>
      </c>
      <c r="B1500">
        <v>0</v>
      </c>
      <c r="C1500">
        <v>0.438</v>
      </c>
      <c r="D1500">
        <v>9133</v>
      </c>
      <c r="F1500">
        <v>0</v>
      </c>
      <c r="G1500">
        <v>2</v>
      </c>
    </row>
    <row r="1501" spans="1:7" x14ac:dyDescent="0.25">
      <c r="A1501" t="s">
        <v>236</v>
      </c>
      <c r="B1501">
        <v>0</v>
      </c>
      <c r="C1501">
        <v>1</v>
      </c>
      <c r="D1501">
        <v>9133</v>
      </c>
      <c r="F1501">
        <v>0</v>
      </c>
      <c r="G1501">
        <v>2</v>
      </c>
    </row>
    <row r="1502" spans="1:7" x14ac:dyDescent="0.25">
      <c r="A1502" t="s">
        <v>237</v>
      </c>
      <c r="B1502">
        <v>7</v>
      </c>
      <c r="C1502">
        <v>0.316</v>
      </c>
      <c r="D1502">
        <v>9133</v>
      </c>
      <c r="F1502">
        <v>0</v>
      </c>
      <c r="G1502">
        <v>2</v>
      </c>
    </row>
    <row r="1503" spans="1:7" x14ac:dyDescent="0.25">
      <c r="A1503" t="s">
        <v>238</v>
      </c>
      <c r="B1503">
        <v>7</v>
      </c>
      <c r="C1503">
        <v>0.113</v>
      </c>
      <c r="D1503">
        <v>9133</v>
      </c>
      <c r="F1503">
        <v>0</v>
      </c>
      <c r="G1503">
        <v>2</v>
      </c>
    </row>
    <row r="1504" spans="1:7" x14ac:dyDescent="0.25">
      <c r="A1504" t="s">
        <v>239</v>
      </c>
      <c r="B1504">
        <v>7</v>
      </c>
      <c r="C1504">
        <v>0.125</v>
      </c>
      <c r="D1504">
        <v>9133</v>
      </c>
      <c r="F1504">
        <v>12</v>
      </c>
      <c r="G1504">
        <v>2</v>
      </c>
    </row>
    <row r="1505" spans="1:7" x14ac:dyDescent="0.25">
      <c r="A1505" t="s">
        <v>240</v>
      </c>
      <c r="B1505">
        <v>7</v>
      </c>
      <c r="C1505">
        <v>0.42699999999999999</v>
      </c>
      <c r="D1505">
        <v>9591</v>
      </c>
      <c r="F1505">
        <v>30</v>
      </c>
      <c r="G1505">
        <v>2</v>
      </c>
    </row>
    <row r="1506" spans="1:7" x14ac:dyDescent="0.25">
      <c r="A1506" t="s">
        <v>241</v>
      </c>
      <c r="B1506">
        <v>90</v>
      </c>
      <c r="C1506">
        <v>0.17399999999999999</v>
      </c>
      <c r="D1506">
        <v>9133</v>
      </c>
      <c r="F1506">
        <v>20</v>
      </c>
      <c r="G1506">
        <v>2</v>
      </c>
    </row>
    <row r="1507" spans="1:7" x14ac:dyDescent="0.25">
      <c r="A1507" t="s">
        <v>242</v>
      </c>
      <c r="B1507">
        <v>7</v>
      </c>
      <c r="C1507">
        <v>7.0999999999999994E-2</v>
      </c>
      <c r="D1507">
        <v>9591</v>
      </c>
      <c r="F1507">
        <v>16</v>
      </c>
      <c r="G1507">
        <v>2</v>
      </c>
    </row>
    <row r="1508" spans="1:7" x14ac:dyDescent="0.25">
      <c r="A1508" t="s">
        <v>243</v>
      </c>
      <c r="B1508">
        <v>90</v>
      </c>
      <c r="C1508">
        <v>0.32200000000000001</v>
      </c>
      <c r="D1508">
        <v>9133</v>
      </c>
      <c r="F1508">
        <v>48</v>
      </c>
      <c r="G1508">
        <v>2</v>
      </c>
    </row>
    <row r="1509" spans="1:7" x14ac:dyDescent="0.25">
      <c r="A1509" t="s">
        <v>244</v>
      </c>
      <c r="B1509">
        <v>7</v>
      </c>
      <c r="C1509">
        <v>0.71699999999999997</v>
      </c>
      <c r="D1509">
        <v>9591</v>
      </c>
      <c r="F1509">
        <v>24</v>
      </c>
      <c r="G1509">
        <v>2</v>
      </c>
    </row>
    <row r="1510" spans="1:7" x14ac:dyDescent="0.25">
      <c r="A1510" t="s">
        <v>245</v>
      </c>
      <c r="B1510">
        <v>7</v>
      </c>
      <c r="C1510">
        <v>1.157</v>
      </c>
      <c r="D1510">
        <v>9591</v>
      </c>
      <c r="F1510">
        <v>24</v>
      </c>
      <c r="G1510">
        <v>2</v>
      </c>
    </row>
    <row r="1511" spans="1:7" x14ac:dyDescent="0.25">
      <c r="A1511" t="s">
        <v>246</v>
      </c>
      <c r="B1511">
        <v>0</v>
      </c>
      <c r="C1511">
        <v>0.1</v>
      </c>
      <c r="D1511">
        <v>9133</v>
      </c>
      <c r="F1511">
        <v>0</v>
      </c>
      <c r="G1511">
        <v>2</v>
      </c>
    </row>
    <row r="1512" spans="1:7" x14ac:dyDescent="0.25">
      <c r="A1512" t="s">
        <v>247</v>
      </c>
      <c r="B1512">
        <v>0</v>
      </c>
      <c r="C1512">
        <v>0.36799999999999999</v>
      </c>
      <c r="D1512">
        <v>9133</v>
      </c>
      <c r="F1512">
        <v>0</v>
      </c>
      <c r="G1512">
        <v>2</v>
      </c>
    </row>
    <row r="1513" spans="1:7" x14ac:dyDescent="0.25">
      <c r="A1513" t="s">
        <v>248</v>
      </c>
      <c r="B1513">
        <v>0</v>
      </c>
      <c r="C1513">
        <v>7.0000000000000007E-2</v>
      </c>
      <c r="D1513">
        <v>9591</v>
      </c>
      <c r="F1513">
        <v>0</v>
      </c>
      <c r="G1513">
        <v>2</v>
      </c>
    </row>
    <row r="1514" spans="1:7" x14ac:dyDescent="0.25">
      <c r="A1514" t="s">
        <v>249</v>
      </c>
      <c r="B1514">
        <v>0</v>
      </c>
      <c r="C1514">
        <v>7.0000000000000007E-2</v>
      </c>
      <c r="D1514">
        <v>9591</v>
      </c>
      <c r="F1514">
        <v>0</v>
      </c>
      <c r="G1514">
        <v>2</v>
      </c>
    </row>
    <row r="1515" spans="1:7" x14ac:dyDescent="0.25">
      <c r="A1515" t="s">
        <v>250</v>
      </c>
      <c r="B1515">
        <v>0</v>
      </c>
      <c r="C1515">
        <v>7.0000000000000007E-2</v>
      </c>
      <c r="D1515">
        <v>9591</v>
      </c>
      <c r="F1515">
        <v>0</v>
      </c>
      <c r="G1515">
        <v>2</v>
      </c>
    </row>
    <row r="1516" spans="1:7" x14ac:dyDescent="0.25">
      <c r="A1516" t="s">
        <v>251</v>
      </c>
      <c r="B1516">
        <v>0</v>
      </c>
      <c r="C1516">
        <v>0.1</v>
      </c>
      <c r="D1516">
        <v>9591</v>
      </c>
      <c r="F1516">
        <v>0</v>
      </c>
      <c r="G1516">
        <v>2</v>
      </c>
    </row>
    <row r="1517" spans="1:7" x14ac:dyDescent="0.25">
      <c r="A1517" t="s">
        <v>252</v>
      </c>
      <c r="B1517">
        <v>90</v>
      </c>
      <c r="C1517">
        <v>0.14799999999999999</v>
      </c>
      <c r="D1517">
        <v>9294</v>
      </c>
      <c r="F1517">
        <v>64</v>
      </c>
      <c r="G1517">
        <v>2</v>
      </c>
    </row>
    <row r="1518" spans="1:7" x14ac:dyDescent="0.25">
      <c r="A1518" t="s">
        <v>253</v>
      </c>
      <c r="B1518">
        <v>90</v>
      </c>
      <c r="C1518">
        <v>0.108</v>
      </c>
      <c r="D1518">
        <v>9294</v>
      </c>
      <c r="F1518">
        <v>48</v>
      </c>
      <c r="G1518">
        <v>2</v>
      </c>
    </row>
    <row r="1519" spans="1:7" x14ac:dyDescent="0.25">
      <c r="A1519" t="s">
        <v>254</v>
      </c>
      <c r="B1519">
        <v>0</v>
      </c>
      <c r="C1519">
        <v>0.20300000000000001</v>
      </c>
      <c r="D1519">
        <v>9133</v>
      </c>
      <c r="F1519">
        <v>0</v>
      </c>
      <c r="G1519">
        <v>2</v>
      </c>
    </row>
    <row r="1520" spans="1:7" x14ac:dyDescent="0.25">
      <c r="A1520" t="s">
        <v>255</v>
      </c>
      <c r="B1520">
        <v>0</v>
      </c>
      <c r="C1520">
        <v>0.375</v>
      </c>
      <c r="D1520">
        <v>9133</v>
      </c>
      <c r="F1520">
        <v>0</v>
      </c>
      <c r="G1520">
        <v>2</v>
      </c>
    </row>
    <row r="1521" spans="1:7" x14ac:dyDescent="0.25">
      <c r="A1521" t="s">
        <v>256</v>
      </c>
      <c r="B1521">
        <v>0</v>
      </c>
      <c r="C1521">
        <v>0.55000000000000004</v>
      </c>
      <c r="D1521">
        <v>9591</v>
      </c>
      <c r="F1521">
        <v>0</v>
      </c>
      <c r="G1521">
        <v>2</v>
      </c>
    </row>
    <row r="1522" spans="1:7" x14ac:dyDescent="0.25">
      <c r="A1522" t="s">
        <v>257</v>
      </c>
      <c r="B1522">
        <v>90</v>
      </c>
      <c r="C1522">
        <v>8.7999999999999995E-2</v>
      </c>
      <c r="D1522">
        <v>9133</v>
      </c>
      <c r="F1522">
        <v>12</v>
      </c>
      <c r="G1522">
        <v>2</v>
      </c>
    </row>
    <row r="1523" spans="1:7" x14ac:dyDescent="0.25">
      <c r="A1523" t="s">
        <v>258</v>
      </c>
      <c r="B1523">
        <v>90</v>
      </c>
      <c r="C1523">
        <v>0.16800000000000001</v>
      </c>
      <c r="D1523">
        <v>9133</v>
      </c>
      <c r="F1523">
        <v>32</v>
      </c>
      <c r="G1523">
        <v>2</v>
      </c>
    </row>
    <row r="1524" spans="1:7" x14ac:dyDescent="0.25">
      <c r="A1524" t="s">
        <v>259</v>
      </c>
      <c r="B1524">
        <v>7</v>
      </c>
      <c r="C1524">
        <v>0.34599999999999997</v>
      </c>
      <c r="D1524">
        <v>9591</v>
      </c>
      <c r="F1524">
        <v>40</v>
      </c>
      <c r="G1524">
        <v>2</v>
      </c>
    </row>
    <row r="1525" spans="1:7" x14ac:dyDescent="0.25">
      <c r="A1525" t="s">
        <v>260</v>
      </c>
      <c r="B1525">
        <v>0</v>
      </c>
      <c r="C1525">
        <v>0.214</v>
      </c>
      <c r="D1525">
        <v>9133</v>
      </c>
      <c r="F1525">
        <v>0</v>
      </c>
      <c r="G1525">
        <v>2</v>
      </c>
    </row>
    <row r="1526" spans="1:7" x14ac:dyDescent="0.25">
      <c r="A1526" t="s">
        <v>261</v>
      </c>
      <c r="B1526">
        <v>90</v>
      </c>
      <c r="C1526">
        <v>8.7999999999999995E-2</v>
      </c>
      <c r="D1526">
        <v>9133</v>
      </c>
      <c r="F1526">
        <v>32</v>
      </c>
      <c r="G1526">
        <v>2</v>
      </c>
    </row>
    <row r="1527" spans="1:7" x14ac:dyDescent="0.25">
      <c r="A1527" t="s">
        <v>262</v>
      </c>
      <c r="B1527">
        <v>7</v>
      </c>
      <c r="C1527">
        <v>0.125</v>
      </c>
      <c r="D1527">
        <v>9133</v>
      </c>
      <c r="F1527">
        <v>25</v>
      </c>
      <c r="G1527">
        <v>2</v>
      </c>
    </row>
    <row r="1528" spans="1:7" x14ac:dyDescent="0.25">
      <c r="A1528" t="s">
        <v>263</v>
      </c>
      <c r="B1528">
        <v>7</v>
      </c>
      <c r="C1528">
        <v>0.1</v>
      </c>
      <c r="D1528">
        <v>9591</v>
      </c>
      <c r="F1528">
        <v>0</v>
      </c>
      <c r="G1528">
        <v>2</v>
      </c>
    </row>
    <row r="1529" spans="1:7" x14ac:dyDescent="0.25">
      <c r="A1529" t="s">
        <v>264</v>
      </c>
      <c r="B1529">
        <v>7</v>
      </c>
      <c r="C1529">
        <v>0.1</v>
      </c>
      <c r="D1529">
        <v>9591</v>
      </c>
      <c r="F1529">
        <v>0</v>
      </c>
      <c r="G1529">
        <v>2</v>
      </c>
    </row>
    <row r="1530" spans="1:7" x14ac:dyDescent="0.25">
      <c r="A1530" t="s">
        <v>265</v>
      </c>
      <c r="B1530">
        <v>7</v>
      </c>
      <c r="C1530">
        <v>0.13600000000000001</v>
      </c>
      <c r="D1530">
        <v>9133</v>
      </c>
      <c r="F1530">
        <v>16</v>
      </c>
      <c r="G1530">
        <v>2</v>
      </c>
    </row>
    <row r="1531" spans="1:7" x14ac:dyDescent="0.25">
      <c r="A1531" t="s">
        <v>266</v>
      </c>
      <c r="B1531">
        <v>0</v>
      </c>
      <c r="C1531">
        <v>0.32800000000000001</v>
      </c>
      <c r="D1531">
        <v>9133</v>
      </c>
      <c r="F1531">
        <v>0</v>
      </c>
      <c r="G1531">
        <v>2</v>
      </c>
    </row>
    <row r="1532" spans="1:7" x14ac:dyDescent="0.25">
      <c r="A1532" t="s">
        <v>267</v>
      </c>
      <c r="B1532">
        <v>7</v>
      </c>
      <c r="C1532">
        <v>0.11700000000000001</v>
      </c>
      <c r="D1532">
        <v>9591</v>
      </c>
      <c r="F1532">
        <v>0</v>
      </c>
      <c r="G1532">
        <v>2</v>
      </c>
    </row>
    <row r="1533" spans="1:7" x14ac:dyDescent="0.25">
      <c r="A1533" t="s">
        <v>268</v>
      </c>
      <c r="B1533">
        <v>7</v>
      </c>
      <c r="C1533">
        <v>7.4999999999999997E-2</v>
      </c>
      <c r="D1533">
        <v>9591</v>
      </c>
      <c r="F1533">
        <v>12</v>
      </c>
      <c r="G1533">
        <v>2</v>
      </c>
    </row>
    <row r="1534" spans="1:7" x14ac:dyDescent="0.25">
      <c r="A1534" t="s">
        <v>269</v>
      </c>
      <c r="B1534">
        <v>0</v>
      </c>
      <c r="C1534">
        <v>0.11</v>
      </c>
      <c r="D1534">
        <v>9133</v>
      </c>
      <c r="F1534">
        <v>0</v>
      </c>
      <c r="G1534">
        <v>2</v>
      </c>
    </row>
    <row r="1535" spans="1:7" x14ac:dyDescent="0.25">
      <c r="A1535" t="s">
        <v>270</v>
      </c>
      <c r="B1535">
        <v>0</v>
      </c>
      <c r="C1535">
        <v>0.15</v>
      </c>
      <c r="D1535">
        <v>9133</v>
      </c>
      <c r="F1535">
        <v>0</v>
      </c>
      <c r="G1535">
        <v>2</v>
      </c>
    </row>
    <row r="1536" spans="1:7" x14ac:dyDescent="0.25">
      <c r="A1536" t="s">
        <v>271</v>
      </c>
      <c r="B1536">
        <v>7</v>
      </c>
      <c r="C1536">
        <v>0.158</v>
      </c>
      <c r="D1536">
        <v>9133</v>
      </c>
      <c r="F1536">
        <v>30</v>
      </c>
      <c r="G1536">
        <v>2</v>
      </c>
    </row>
    <row r="1537" spans="1:7" x14ac:dyDescent="0.25">
      <c r="A1537" t="s">
        <v>272</v>
      </c>
      <c r="B1537">
        <v>7</v>
      </c>
      <c r="C1537">
        <v>0.15</v>
      </c>
      <c r="D1537">
        <v>9133</v>
      </c>
      <c r="F1537">
        <v>30</v>
      </c>
      <c r="G1537">
        <v>2</v>
      </c>
    </row>
    <row r="1538" spans="1:7" x14ac:dyDescent="0.25">
      <c r="A1538" t="s">
        <v>273</v>
      </c>
      <c r="B1538">
        <v>7</v>
      </c>
      <c r="C1538">
        <v>0.17499999999999999</v>
      </c>
      <c r="D1538">
        <v>9133</v>
      </c>
      <c r="F1538">
        <v>32</v>
      </c>
      <c r="G1538">
        <v>2</v>
      </c>
    </row>
    <row r="1539" spans="1:7" x14ac:dyDescent="0.25">
      <c r="A1539" t="s">
        <v>274</v>
      </c>
      <c r="B1539">
        <v>0</v>
      </c>
      <c r="C1539">
        <v>0</v>
      </c>
      <c r="D1539">
        <v>9335</v>
      </c>
      <c r="F1539">
        <v>0</v>
      </c>
      <c r="G1539">
        <v>2</v>
      </c>
    </row>
    <row r="1540" spans="1:7" x14ac:dyDescent="0.25">
      <c r="A1540" t="s">
        <v>275</v>
      </c>
      <c r="B1540">
        <v>7</v>
      </c>
      <c r="C1540">
        <v>0.2</v>
      </c>
      <c r="D1540">
        <v>9133</v>
      </c>
      <c r="F1540">
        <v>35</v>
      </c>
      <c r="G1540">
        <v>2</v>
      </c>
    </row>
    <row r="1541" spans="1:7" x14ac:dyDescent="0.25">
      <c r="A1541" t="s">
        <v>276</v>
      </c>
      <c r="B1541">
        <v>7</v>
      </c>
      <c r="C1541">
        <v>0.38900000000000001</v>
      </c>
      <c r="D1541">
        <v>9133</v>
      </c>
      <c r="F1541">
        <v>0</v>
      </c>
      <c r="G1541">
        <v>2</v>
      </c>
    </row>
    <row r="1542" spans="1:7" x14ac:dyDescent="0.25">
      <c r="A1542" t="s">
        <v>277</v>
      </c>
      <c r="B1542">
        <v>0</v>
      </c>
      <c r="C1542">
        <v>0.73</v>
      </c>
      <c r="D1542">
        <v>9133</v>
      </c>
      <c r="F1542">
        <v>0</v>
      </c>
      <c r="G1542">
        <v>2</v>
      </c>
    </row>
    <row r="1543" spans="1:7" x14ac:dyDescent="0.25">
      <c r="A1543" t="s">
        <v>278</v>
      </c>
      <c r="B1543">
        <v>0</v>
      </c>
      <c r="C1543">
        <v>0.5</v>
      </c>
      <c r="D1543">
        <v>9133</v>
      </c>
      <c r="F1543">
        <v>0</v>
      </c>
      <c r="G1543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akro1">
                <anchor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609600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V1086"/>
  <sheetViews>
    <sheetView topLeftCell="B1" workbookViewId="0">
      <selection activeCell="B13" sqref="B13"/>
    </sheetView>
  </sheetViews>
  <sheetFormatPr defaultRowHeight="15" x14ac:dyDescent="0.25"/>
  <cols>
    <col min="1" max="1" width="10.42578125" bestFit="1" customWidth="1"/>
    <col min="18" max="18" width="13.28515625" bestFit="1" customWidth="1"/>
    <col min="19" max="19" width="14.85546875" bestFit="1" customWidth="1"/>
    <col min="20" max="20" width="52.7109375" bestFit="1" customWidth="1"/>
  </cols>
  <sheetData>
    <row r="1" spans="1:22" x14ac:dyDescent="0.25">
      <c r="A1" s="4">
        <v>44148</v>
      </c>
    </row>
    <row r="2" spans="1:22" x14ac:dyDescent="0.25">
      <c r="A2" s="8" t="s">
        <v>283</v>
      </c>
      <c r="B2" s="8" t="s">
        <v>284</v>
      </c>
      <c r="C2" s="6" t="s">
        <v>285</v>
      </c>
      <c r="D2" s="8" t="s">
        <v>286</v>
      </c>
      <c r="E2" s="8" t="s">
        <v>287</v>
      </c>
      <c r="F2" s="8" t="s">
        <v>288</v>
      </c>
      <c r="G2" s="8" t="s">
        <v>289</v>
      </c>
      <c r="H2" s="8" t="s">
        <v>290</v>
      </c>
      <c r="I2" s="8" t="s">
        <v>291</v>
      </c>
      <c r="J2" s="8" t="s">
        <v>292</v>
      </c>
      <c r="K2" s="8" t="s">
        <v>293</v>
      </c>
      <c r="L2" s="8" t="s">
        <v>294</v>
      </c>
      <c r="M2" s="8" t="s">
        <v>295</v>
      </c>
      <c r="N2" s="8" t="s">
        <v>296</v>
      </c>
      <c r="O2" s="8" t="s">
        <v>297</v>
      </c>
      <c r="P2" s="8" t="s">
        <v>298</v>
      </c>
      <c r="Q2" s="6" t="s">
        <v>299</v>
      </c>
      <c r="R2" s="8" t="s">
        <v>300</v>
      </c>
      <c r="S2" s="8" t="s">
        <v>9</v>
      </c>
      <c r="T2" s="6" t="s">
        <v>301</v>
      </c>
      <c r="U2" s="8" t="s">
        <v>1608</v>
      </c>
    </row>
    <row r="3" spans="1:22" x14ac:dyDescent="0.25">
      <c r="A3" t="s">
        <v>283</v>
      </c>
      <c r="B3" t="s">
        <v>284</v>
      </c>
      <c r="C3" t="s">
        <v>285</v>
      </c>
      <c r="D3" t="s">
        <v>286</v>
      </c>
      <c r="E3" t="s">
        <v>287</v>
      </c>
      <c r="F3" t="s">
        <v>2733</v>
      </c>
      <c r="G3" t="s">
        <v>2471</v>
      </c>
      <c r="H3" t="s">
        <v>2544</v>
      </c>
      <c r="I3" t="s">
        <v>2433</v>
      </c>
      <c r="J3" t="s">
        <v>292</v>
      </c>
      <c r="K3" t="s">
        <v>293</v>
      </c>
      <c r="L3" t="s">
        <v>294</v>
      </c>
      <c r="M3" t="s">
        <v>295</v>
      </c>
      <c r="N3" t="s">
        <v>296</v>
      </c>
      <c r="O3" t="s">
        <v>297</v>
      </c>
      <c r="P3" t="s">
        <v>298</v>
      </c>
      <c r="Q3" t="s">
        <v>2545</v>
      </c>
      <c r="R3" t="s">
        <v>300</v>
      </c>
      <c r="S3" t="s">
        <v>2546</v>
      </c>
      <c r="T3" t="s">
        <v>2547</v>
      </c>
      <c r="U3" t="s">
        <v>1608</v>
      </c>
      <c r="V3" t="s">
        <v>2991</v>
      </c>
    </row>
    <row r="4" spans="1:22" x14ac:dyDescent="0.25">
      <c r="A4">
        <v>101010</v>
      </c>
      <c r="B4" t="s">
        <v>302</v>
      </c>
      <c r="C4">
        <v>96</v>
      </c>
      <c r="D4">
        <v>6</v>
      </c>
      <c r="E4" t="s">
        <v>303</v>
      </c>
      <c r="F4" t="s">
        <v>2992</v>
      </c>
      <c r="G4" t="s">
        <v>304</v>
      </c>
      <c r="H4" t="s">
        <v>2720</v>
      </c>
      <c r="I4" t="s">
        <v>305</v>
      </c>
      <c r="J4">
        <v>0</v>
      </c>
      <c r="K4">
        <v>48</v>
      </c>
      <c r="L4">
        <v>48</v>
      </c>
      <c r="M4">
        <v>3.72</v>
      </c>
      <c r="N4">
        <v>0.9</v>
      </c>
      <c r="O4">
        <v>0.81</v>
      </c>
      <c r="Q4" t="s">
        <v>2</v>
      </c>
      <c r="R4">
        <v>5907698010012</v>
      </c>
      <c r="S4">
        <v>1400</v>
      </c>
      <c r="T4" t="s">
        <v>306</v>
      </c>
      <c r="V4">
        <v>8205200000</v>
      </c>
    </row>
    <row r="5" spans="1:22" x14ac:dyDescent="0.25">
      <c r="A5">
        <v>101012</v>
      </c>
      <c r="B5" t="s">
        <v>2993</v>
      </c>
      <c r="C5">
        <v>100</v>
      </c>
      <c r="D5">
        <v>10</v>
      </c>
      <c r="E5" t="s">
        <v>303</v>
      </c>
      <c r="F5" t="s">
        <v>2992</v>
      </c>
      <c r="G5" t="s">
        <v>304</v>
      </c>
      <c r="H5" t="s">
        <v>2994</v>
      </c>
      <c r="I5" t="s">
        <v>305</v>
      </c>
      <c r="J5">
        <v>0</v>
      </c>
      <c r="K5">
        <v>11</v>
      </c>
      <c r="L5">
        <v>1</v>
      </c>
      <c r="M5">
        <v>4.4400000000000004</v>
      </c>
      <c r="N5">
        <v>1.1499999999999999</v>
      </c>
      <c r="O5">
        <v>0.99</v>
      </c>
      <c r="Q5" t="s">
        <v>4</v>
      </c>
      <c r="R5">
        <v>5907698029977</v>
      </c>
      <c r="S5">
        <v>256</v>
      </c>
      <c r="T5" t="s">
        <v>306</v>
      </c>
      <c r="V5">
        <v>8205200000</v>
      </c>
    </row>
    <row r="6" spans="1:22" x14ac:dyDescent="0.25">
      <c r="A6">
        <v>102010</v>
      </c>
      <c r="B6" t="s">
        <v>302</v>
      </c>
      <c r="C6">
        <v>72</v>
      </c>
      <c r="D6">
        <v>12</v>
      </c>
      <c r="E6" t="s">
        <v>303</v>
      </c>
      <c r="F6" t="s">
        <v>2992</v>
      </c>
      <c r="G6" t="s">
        <v>304</v>
      </c>
      <c r="H6" t="s">
        <v>1698</v>
      </c>
      <c r="I6" t="s">
        <v>305</v>
      </c>
      <c r="J6">
        <v>130</v>
      </c>
      <c r="K6">
        <v>73</v>
      </c>
      <c r="L6">
        <v>203</v>
      </c>
      <c r="M6">
        <v>5.05</v>
      </c>
      <c r="N6">
        <v>1.32</v>
      </c>
      <c r="O6">
        <v>1.1299999999999999</v>
      </c>
      <c r="Q6" t="s">
        <v>2</v>
      </c>
      <c r="R6">
        <v>5907698010036</v>
      </c>
      <c r="S6">
        <v>490</v>
      </c>
      <c r="T6" t="s">
        <v>306</v>
      </c>
      <c r="V6">
        <v>8205200000</v>
      </c>
    </row>
    <row r="7" spans="1:22" x14ac:dyDescent="0.25">
      <c r="A7">
        <v>102012</v>
      </c>
      <c r="B7" t="s">
        <v>2993</v>
      </c>
      <c r="C7">
        <v>100</v>
      </c>
      <c r="D7">
        <v>10</v>
      </c>
      <c r="E7" t="s">
        <v>303</v>
      </c>
      <c r="F7" t="s">
        <v>2992</v>
      </c>
      <c r="G7" t="s">
        <v>304</v>
      </c>
      <c r="H7" t="s">
        <v>2995</v>
      </c>
      <c r="I7" t="s">
        <v>305</v>
      </c>
      <c r="J7">
        <v>383</v>
      </c>
      <c r="K7">
        <v>1</v>
      </c>
      <c r="L7">
        <v>384</v>
      </c>
      <c r="M7">
        <v>5.56</v>
      </c>
      <c r="N7">
        <v>1.44</v>
      </c>
      <c r="O7">
        <v>1.25</v>
      </c>
      <c r="Q7" t="s">
        <v>4</v>
      </c>
      <c r="R7">
        <v>5907698029984</v>
      </c>
      <c r="S7">
        <v>190</v>
      </c>
      <c r="T7" t="s">
        <v>306</v>
      </c>
      <c r="U7" t="s">
        <v>2996</v>
      </c>
      <c r="V7">
        <v>8205200000</v>
      </c>
    </row>
    <row r="8" spans="1:22" x14ac:dyDescent="0.25">
      <c r="A8">
        <v>103000</v>
      </c>
      <c r="B8" t="s">
        <v>302</v>
      </c>
      <c r="C8">
        <v>48</v>
      </c>
      <c r="D8">
        <v>6</v>
      </c>
      <c r="E8" t="s">
        <v>303</v>
      </c>
      <c r="F8" t="s">
        <v>2992</v>
      </c>
      <c r="G8" t="s">
        <v>304</v>
      </c>
      <c r="H8" t="s">
        <v>2997</v>
      </c>
      <c r="I8" t="s">
        <v>305</v>
      </c>
      <c r="J8">
        <v>277</v>
      </c>
      <c r="K8">
        <v>1</v>
      </c>
      <c r="L8">
        <v>278</v>
      </c>
      <c r="M8">
        <v>5.8</v>
      </c>
      <c r="N8">
        <v>1.36</v>
      </c>
      <c r="O8">
        <v>1.26</v>
      </c>
      <c r="Q8" t="s">
        <v>2</v>
      </c>
      <c r="R8">
        <v>5907698010043</v>
      </c>
      <c r="S8">
        <v>190</v>
      </c>
      <c r="T8" t="s">
        <v>307</v>
      </c>
      <c r="V8">
        <v>8205200000</v>
      </c>
    </row>
    <row r="9" spans="1:22" x14ac:dyDescent="0.25">
      <c r="A9">
        <v>103010</v>
      </c>
      <c r="B9" t="s">
        <v>302</v>
      </c>
      <c r="C9">
        <v>48</v>
      </c>
      <c r="D9">
        <v>6</v>
      </c>
      <c r="E9" t="s">
        <v>303</v>
      </c>
      <c r="F9" t="s">
        <v>2992</v>
      </c>
      <c r="G9" t="s">
        <v>304</v>
      </c>
      <c r="H9" t="s">
        <v>308</v>
      </c>
      <c r="I9" t="s">
        <v>305</v>
      </c>
      <c r="J9">
        <v>668</v>
      </c>
      <c r="K9">
        <v>49</v>
      </c>
      <c r="L9">
        <v>717</v>
      </c>
      <c r="M9">
        <v>5.38</v>
      </c>
      <c r="N9">
        <v>1.38</v>
      </c>
      <c r="O9">
        <v>1.17</v>
      </c>
      <c r="Q9" t="s">
        <v>2</v>
      </c>
      <c r="R9">
        <v>5907698010050</v>
      </c>
      <c r="S9">
        <v>750</v>
      </c>
      <c r="T9" t="s">
        <v>307</v>
      </c>
      <c r="V9">
        <v>8205200000</v>
      </c>
    </row>
    <row r="10" spans="1:22" x14ac:dyDescent="0.25">
      <c r="A10">
        <v>103012</v>
      </c>
      <c r="B10" t="s">
        <v>2993</v>
      </c>
      <c r="C10">
        <v>50</v>
      </c>
      <c r="D10">
        <v>10</v>
      </c>
      <c r="E10" t="s">
        <v>303</v>
      </c>
      <c r="F10" t="s">
        <v>2992</v>
      </c>
      <c r="G10" t="s">
        <v>304</v>
      </c>
      <c r="H10" t="s">
        <v>2997</v>
      </c>
      <c r="I10" t="s">
        <v>305</v>
      </c>
      <c r="J10">
        <v>186</v>
      </c>
      <c r="K10">
        <v>1</v>
      </c>
      <c r="L10">
        <v>187</v>
      </c>
      <c r="M10">
        <v>7.2</v>
      </c>
      <c r="N10">
        <v>1.86</v>
      </c>
      <c r="O10">
        <v>1.62</v>
      </c>
      <c r="Q10" t="s">
        <v>4</v>
      </c>
      <c r="R10">
        <v>5907698029991</v>
      </c>
      <c r="S10">
        <v>120</v>
      </c>
      <c r="T10" t="s">
        <v>307</v>
      </c>
      <c r="V10">
        <v>8205200000</v>
      </c>
    </row>
    <row r="11" spans="1:22" x14ac:dyDescent="0.25">
      <c r="A11">
        <v>104010</v>
      </c>
      <c r="B11" t="s">
        <v>302</v>
      </c>
      <c r="C11">
        <v>48</v>
      </c>
      <c r="D11">
        <v>6</v>
      </c>
      <c r="E11" t="s">
        <v>303</v>
      </c>
      <c r="F11" t="s">
        <v>2992</v>
      </c>
      <c r="G11" t="s">
        <v>304</v>
      </c>
      <c r="H11" t="s">
        <v>1699</v>
      </c>
      <c r="I11" t="s">
        <v>305</v>
      </c>
      <c r="J11">
        <v>141</v>
      </c>
      <c r="K11">
        <v>50</v>
      </c>
      <c r="L11">
        <v>191</v>
      </c>
      <c r="M11">
        <v>7.08</v>
      </c>
      <c r="N11">
        <v>1.84</v>
      </c>
      <c r="O11">
        <v>1.6</v>
      </c>
      <c r="Q11" t="s">
        <v>2</v>
      </c>
      <c r="R11">
        <v>5907698010074</v>
      </c>
      <c r="S11">
        <v>450</v>
      </c>
      <c r="T11" t="s">
        <v>307</v>
      </c>
      <c r="V11">
        <v>8205200000</v>
      </c>
    </row>
    <row r="12" spans="1:22" x14ac:dyDescent="0.25">
      <c r="A12">
        <v>104012</v>
      </c>
      <c r="B12" t="s">
        <v>2993</v>
      </c>
      <c r="C12">
        <v>50</v>
      </c>
      <c r="D12">
        <v>5</v>
      </c>
      <c r="E12" t="s">
        <v>303</v>
      </c>
      <c r="F12" t="s">
        <v>2992</v>
      </c>
      <c r="G12" t="s">
        <v>304</v>
      </c>
      <c r="H12" t="s">
        <v>2998</v>
      </c>
      <c r="I12" t="s">
        <v>305</v>
      </c>
      <c r="J12">
        <v>244</v>
      </c>
      <c r="K12">
        <v>1</v>
      </c>
      <c r="L12">
        <v>245</v>
      </c>
      <c r="M12">
        <v>8.19</v>
      </c>
      <c r="N12">
        <v>2.13</v>
      </c>
      <c r="O12">
        <v>1.85</v>
      </c>
      <c r="Q12" t="s">
        <v>4</v>
      </c>
      <c r="R12">
        <v>5907698030003</v>
      </c>
      <c r="S12">
        <v>120</v>
      </c>
      <c r="T12" t="s">
        <v>307</v>
      </c>
      <c r="U12" t="s">
        <v>2996</v>
      </c>
      <c r="V12">
        <v>8205200000</v>
      </c>
    </row>
    <row r="13" spans="1:22" x14ac:dyDescent="0.25">
      <c r="A13">
        <v>105010</v>
      </c>
      <c r="B13" t="s">
        <v>302</v>
      </c>
      <c r="C13">
        <v>36</v>
      </c>
      <c r="D13">
        <v>6</v>
      </c>
      <c r="E13" t="s">
        <v>303</v>
      </c>
      <c r="F13" t="s">
        <v>2992</v>
      </c>
      <c r="G13" t="s">
        <v>304</v>
      </c>
      <c r="H13" t="s">
        <v>309</v>
      </c>
      <c r="I13" t="s">
        <v>305</v>
      </c>
      <c r="J13">
        <v>0</v>
      </c>
      <c r="K13">
        <v>0</v>
      </c>
      <c r="L13">
        <v>0</v>
      </c>
      <c r="M13">
        <v>7.45</v>
      </c>
      <c r="N13">
        <v>1.79</v>
      </c>
      <c r="O13">
        <v>1.64</v>
      </c>
      <c r="Q13" t="s">
        <v>2</v>
      </c>
      <c r="R13">
        <v>5907698010098</v>
      </c>
      <c r="S13">
        <v>600</v>
      </c>
      <c r="T13" t="s">
        <v>307</v>
      </c>
      <c r="V13">
        <v>8205200000</v>
      </c>
    </row>
    <row r="14" spans="1:22" x14ac:dyDescent="0.25">
      <c r="A14">
        <v>105012</v>
      </c>
      <c r="B14" t="s">
        <v>2993</v>
      </c>
      <c r="C14">
        <v>50</v>
      </c>
      <c r="D14">
        <v>5</v>
      </c>
      <c r="E14" t="s">
        <v>303</v>
      </c>
      <c r="F14" t="s">
        <v>2992</v>
      </c>
      <c r="G14" t="s">
        <v>304</v>
      </c>
      <c r="H14" t="s">
        <v>2999</v>
      </c>
      <c r="I14" t="s">
        <v>305</v>
      </c>
      <c r="J14">
        <v>135</v>
      </c>
      <c r="K14">
        <v>36</v>
      </c>
      <c r="L14">
        <v>171</v>
      </c>
      <c r="M14">
        <v>8.82</v>
      </c>
      <c r="N14">
        <v>2.2799999999999998</v>
      </c>
      <c r="O14">
        <v>1.99</v>
      </c>
      <c r="Q14" t="s">
        <v>4</v>
      </c>
      <c r="R14">
        <v>5907698030010</v>
      </c>
      <c r="S14">
        <v>120</v>
      </c>
      <c r="T14" t="s">
        <v>307</v>
      </c>
      <c r="U14" t="s">
        <v>2996</v>
      </c>
      <c r="V14">
        <v>8205200000</v>
      </c>
    </row>
    <row r="15" spans="1:22" x14ac:dyDescent="0.25">
      <c r="A15">
        <v>106010</v>
      </c>
      <c r="B15" t="s">
        <v>302</v>
      </c>
      <c r="C15">
        <v>24</v>
      </c>
      <c r="D15">
        <v>6</v>
      </c>
      <c r="E15" t="s">
        <v>303</v>
      </c>
      <c r="F15" t="s">
        <v>2992</v>
      </c>
      <c r="G15" t="s">
        <v>304</v>
      </c>
      <c r="H15" t="s">
        <v>310</v>
      </c>
      <c r="I15" t="s">
        <v>305</v>
      </c>
      <c r="J15">
        <v>62</v>
      </c>
      <c r="K15">
        <v>25</v>
      </c>
      <c r="L15">
        <v>87</v>
      </c>
      <c r="M15">
        <v>8.94</v>
      </c>
      <c r="N15">
        <v>2.11</v>
      </c>
      <c r="O15">
        <v>1.95</v>
      </c>
      <c r="Q15" t="s">
        <v>2</v>
      </c>
      <c r="R15">
        <v>5907698022794</v>
      </c>
      <c r="S15">
        <v>350</v>
      </c>
      <c r="T15" t="s">
        <v>307</v>
      </c>
      <c r="V15">
        <v>8205200000</v>
      </c>
    </row>
    <row r="16" spans="1:22" x14ac:dyDescent="0.25">
      <c r="A16">
        <v>108010</v>
      </c>
      <c r="B16" t="s">
        <v>302</v>
      </c>
      <c r="C16">
        <v>24</v>
      </c>
      <c r="D16">
        <v>6</v>
      </c>
      <c r="E16" t="s">
        <v>303</v>
      </c>
      <c r="F16" t="s">
        <v>2992</v>
      </c>
      <c r="G16" t="s">
        <v>311</v>
      </c>
      <c r="H16" t="s">
        <v>312</v>
      </c>
      <c r="I16" t="s">
        <v>305</v>
      </c>
      <c r="J16">
        <v>107</v>
      </c>
      <c r="K16">
        <v>25</v>
      </c>
      <c r="L16">
        <v>132</v>
      </c>
      <c r="M16">
        <v>10.91</v>
      </c>
      <c r="N16">
        <v>2.84</v>
      </c>
      <c r="O16">
        <v>2.46</v>
      </c>
      <c r="Q16" t="s">
        <v>2</v>
      </c>
      <c r="R16">
        <v>5907698010111</v>
      </c>
      <c r="S16">
        <v>150</v>
      </c>
      <c r="T16" t="s">
        <v>307</v>
      </c>
      <c r="V16">
        <v>8205200000</v>
      </c>
    </row>
    <row r="17" spans="1:22" x14ac:dyDescent="0.25">
      <c r="A17">
        <v>108012</v>
      </c>
      <c r="B17" t="s">
        <v>2993</v>
      </c>
      <c r="C17">
        <v>25</v>
      </c>
      <c r="D17">
        <v>5</v>
      </c>
      <c r="E17" t="s">
        <v>303</v>
      </c>
      <c r="F17" t="s">
        <v>2992</v>
      </c>
      <c r="G17" t="s">
        <v>311</v>
      </c>
      <c r="H17" t="s">
        <v>3000</v>
      </c>
      <c r="I17" t="s">
        <v>305</v>
      </c>
      <c r="J17">
        <v>248</v>
      </c>
      <c r="K17">
        <v>1</v>
      </c>
      <c r="L17">
        <v>249</v>
      </c>
      <c r="M17">
        <v>12.87</v>
      </c>
      <c r="N17">
        <v>3.33</v>
      </c>
      <c r="O17">
        <v>2.9</v>
      </c>
      <c r="Q17" t="s">
        <v>4</v>
      </c>
      <c r="R17">
        <v>5907698030027</v>
      </c>
      <c r="S17">
        <v>120</v>
      </c>
      <c r="T17" t="s">
        <v>307</v>
      </c>
      <c r="V17">
        <v>8205200000</v>
      </c>
    </row>
    <row r="18" spans="1:22" x14ac:dyDescent="0.25">
      <c r="A18">
        <v>110010</v>
      </c>
      <c r="B18" t="s">
        <v>302</v>
      </c>
      <c r="C18">
        <v>24</v>
      </c>
      <c r="D18">
        <v>6</v>
      </c>
      <c r="E18" t="s">
        <v>303</v>
      </c>
      <c r="F18" t="s">
        <v>2992</v>
      </c>
      <c r="G18" t="s">
        <v>304</v>
      </c>
      <c r="H18" t="s">
        <v>313</v>
      </c>
      <c r="I18" t="s">
        <v>305</v>
      </c>
      <c r="J18">
        <v>0</v>
      </c>
      <c r="K18">
        <v>0</v>
      </c>
      <c r="L18">
        <v>0</v>
      </c>
      <c r="M18">
        <v>12.57</v>
      </c>
      <c r="N18">
        <v>3.02</v>
      </c>
      <c r="O18">
        <v>2.76</v>
      </c>
      <c r="Q18" t="s">
        <v>2</v>
      </c>
      <c r="R18">
        <v>5907698010135</v>
      </c>
      <c r="S18">
        <v>200</v>
      </c>
      <c r="T18" t="s">
        <v>307</v>
      </c>
      <c r="V18">
        <v>8205200000</v>
      </c>
    </row>
    <row r="19" spans="1:22" x14ac:dyDescent="0.25">
      <c r="A19">
        <v>110012</v>
      </c>
      <c r="B19" t="s">
        <v>2993</v>
      </c>
      <c r="C19">
        <v>12</v>
      </c>
      <c r="D19">
        <v>4</v>
      </c>
      <c r="E19" t="s">
        <v>303</v>
      </c>
      <c r="F19" t="s">
        <v>2992</v>
      </c>
      <c r="G19" t="s">
        <v>304</v>
      </c>
      <c r="H19" t="s">
        <v>3001</v>
      </c>
      <c r="I19" t="s">
        <v>305</v>
      </c>
      <c r="J19">
        <v>0</v>
      </c>
      <c r="K19">
        <v>25</v>
      </c>
      <c r="L19">
        <v>25</v>
      </c>
      <c r="M19">
        <v>14.91</v>
      </c>
      <c r="N19">
        <v>3.86</v>
      </c>
      <c r="O19">
        <v>3.36</v>
      </c>
      <c r="Q19" t="s">
        <v>4</v>
      </c>
      <c r="R19">
        <v>5907698030034</v>
      </c>
      <c r="S19">
        <v>120</v>
      </c>
      <c r="T19" t="s">
        <v>307</v>
      </c>
      <c r="V19">
        <v>8205200000</v>
      </c>
    </row>
    <row r="20" spans="1:22" x14ac:dyDescent="0.25">
      <c r="A20">
        <v>115010</v>
      </c>
      <c r="B20" t="s">
        <v>302</v>
      </c>
      <c r="C20">
        <v>12</v>
      </c>
      <c r="D20">
        <v>6</v>
      </c>
      <c r="E20" t="s">
        <v>303</v>
      </c>
      <c r="F20" t="s">
        <v>2992</v>
      </c>
      <c r="G20" t="s">
        <v>304</v>
      </c>
      <c r="H20" t="s">
        <v>314</v>
      </c>
      <c r="I20" t="s">
        <v>315</v>
      </c>
      <c r="J20">
        <v>187</v>
      </c>
      <c r="K20">
        <v>4</v>
      </c>
      <c r="L20">
        <v>191</v>
      </c>
      <c r="M20">
        <v>16.41</v>
      </c>
      <c r="N20">
        <v>4.42</v>
      </c>
      <c r="O20">
        <v>3.74</v>
      </c>
      <c r="Q20" t="s">
        <v>2548</v>
      </c>
      <c r="R20">
        <v>5907698010159</v>
      </c>
      <c r="S20">
        <v>220</v>
      </c>
      <c r="T20" t="s">
        <v>307</v>
      </c>
      <c r="V20">
        <v>8205200000</v>
      </c>
    </row>
    <row r="21" spans="1:22" x14ac:dyDescent="0.25">
      <c r="A21">
        <v>116010</v>
      </c>
      <c r="B21" t="s">
        <v>302</v>
      </c>
      <c r="C21">
        <v>12</v>
      </c>
      <c r="D21">
        <v>6</v>
      </c>
      <c r="E21" t="s">
        <v>303</v>
      </c>
      <c r="F21" t="s">
        <v>2992</v>
      </c>
      <c r="G21" t="s">
        <v>304</v>
      </c>
      <c r="H21" t="s">
        <v>316</v>
      </c>
      <c r="I21" t="s">
        <v>305</v>
      </c>
      <c r="J21">
        <v>203</v>
      </c>
      <c r="K21">
        <v>1</v>
      </c>
      <c r="L21">
        <v>204</v>
      </c>
      <c r="M21">
        <v>20.48</v>
      </c>
      <c r="N21">
        <v>5.51</v>
      </c>
      <c r="O21">
        <v>4.67</v>
      </c>
      <c r="Q21" t="s">
        <v>2548</v>
      </c>
      <c r="R21">
        <v>5907698010166</v>
      </c>
      <c r="S21">
        <v>420</v>
      </c>
      <c r="T21" t="s">
        <v>307</v>
      </c>
      <c r="V21">
        <v>8205200000</v>
      </c>
    </row>
    <row r="22" spans="1:22" x14ac:dyDescent="0.25">
      <c r="A22">
        <v>121010</v>
      </c>
      <c r="B22" t="s">
        <v>302</v>
      </c>
      <c r="C22">
        <v>24</v>
      </c>
      <c r="D22">
        <v>6</v>
      </c>
      <c r="E22" t="s">
        <v>303</v>
      </c>
      <c r="F22" t="s">
        <v>3002</v>
      </c>
      <c r="G22" t="s">
        <v>317</v>
      </c>
      <c r="H22" t="s">
        <v>318</v>
      </c>
      <c r="I22" t="s">
        <v>319</v>
      </c>
      <c r="J22">
        <v>0</v>
      </c>
      <c r="K22">
        <v>0</v>
      </c>
      <c r="L22">
        <v>0</v>
      </c>
      <c r="M22">
        <v>12.02</v>
      </c>
      <c r="N22">
        <v>3.12</v>
      </c>
      <c r="O22">
        <v>2.71</v>
      </c>
      <c r="Q22" t="s">
        <v>2</v>
      </c>
      <c r="R22">
        <v>5907698010180</v>
      </c>
      <c r="S22">
        <v>100</v>
      </c>
      <c r="T22" t="s">
        <v>307</v>
      </c>
      <c r="V22">
        <v>8205200000</v>
      </c>
    </row>
    <row r="23" spans="1:22" x14ac:dyDescent="0.25">
      <c r="A23">
        <v>121012</v>
      </c>
      <c r="B23" t="s">
        <v>2993</v>
      </c>
      <c r="C23">
        <v>12</v>
      </c>
      <c r="D23">
        <v>4</v>
      </c>
      <c r="E23" t="s">
        <v>303</v>
      </c>
      <c r="F23" t="s">
        <v>3002</v>
      </c>
      <c r="G23" t="s">
        <v>317</v>
      </c>
      <c r="H23" t="s">
        <v>3001</v>
      </c>
      <c r="I23" t="s">
        <v>319</v>
      </c>
      <c r="J23">
        <v>4</v>
      </c>
      <c r="K23">
        <v>2</v>
      </c>
      <c r="L23">
        <v>6</v>
      </c>
      <c r="M23">
        <v>12.63</v>
      </c>
      <c r="N23">
        <v>3.28</v>
      </c>
      <c r="O23">
        <v>2.84</v>
      </c>
      <c r="Q23" t="s">
        <v>4</v>
      </c>
      <c r="R23">
        <v>5907698030041</v>
      </c>
      <c r="S23">
        <v>60</v>
      </c>
      <c r="T23" t="s">
        <v>307</v>
      </c>
      <c r="V23">
        <v>8205200000</v>
      </c>
    </row>
    <row r="24" spans="1:22" x14ac:dyDescent="0.25">
      <c r="A24">
        <v>121510</v>
      </c>
      <c r="B24" t="s">
        <v>302</v>
      </c>
      <c r="C24">
        <v>12</v>
      </c>
      <c r="D24">
        <v>6</v>
      </c>
      <c r="E24" t="s">
        <v>303</v>
      </c>
      <c r="F24" t="s">
        <v>3002</v>
      </c>
      <c r="G24" t="s">
        <v>317</v>
      </c>
      <c r="H24" t="s">
        <v>320</v>
      </c>
      <c r="I24" t="s">
        <v>319</v>
      </c>
      <c r="J24">
        <v>251</v>
      </c>
      <c r="K24">
        <v>12</v>
      </c>
      <c r="L24">
        <v>263</v>
      </c>
      <c r="M24">
        <v>16.68</v>
      </c>
      <c r="N24">
        <v>4.4800000000000004</v>
      </c>
      <c r="O24">
        <v>3.8</v>
      </c>
      <c r="Q24" t="s">
        <v>2548</v>
      </c>
      <c r="R24">
        <v>5907698010197</v>
      </c>
      <c r="S24">
        <v>240</v>
      </c>
      <c r="T24" t="s">
        <v>307</v>
      </c>
      <c r="V24">
        <v>8205200000</v>
      </c>
    </row>
    <row r="25" spans="1:22" x14ac:dyDescent="0.25">
      <c r="A25">
        <v>121512</v>
      </c>
      <c r="B25" t="s">
        <v>2993</v>
      </c>
      <c r="C25">
        <v>8</v>
      </c>
      <c r="D25">
        <v>2</v>
      </c>
      <c r="E25" t="s">
        <v>303</v>
      </c>
      <c r="F25" t="s">
        <v>3002</v>
      </c>
      <c r="G25" t="s">
        <v>317</v>
      </c>
      <c r="H25" t="s">
        <v>3003</v>
      </c>
      <c r="I25" t="s">
        <v>319</v>
      </c>
      <c r="J25">
        <v>113</v>
      </c>
      <c r="K25">
        <v>0</v>
      </c>
      <c r="L25">
        <v>113</v>
      </c>
      <c r="M25">
        <v>17.850000000000001</v>
      </c>
      <c r="N25">
        <v>4.63</v>
      </c>
      <c r="O25">
        <v>4.0199999999999996</v>
      </c>
      <c r="Q25" t="s">
        <v>4</v>
      </c>
      <c r="R25">
        <v>5907698030058</v>
      </c>
      <c r="S25">
        <v>60</v>
      </c>
      <c r="T25" t="s">
        <v>307</v>
      </c>
      <c r="V25">
        <v>8205200000</v>
      </c>
    </row>
    <row r="26" spans="1:22" x14ac:dyDescent="0.25">
      <c r="A26">
        <v>132390</v>
      </c>
      <c r="B26" t="s">
        <v>302</v>
      </c>
      <c r="C26">
        <v>24</v>
      </c>
      <c r="D26">
        <v>6</v>
      </c>
      <c r="E26" t="s">
        <v>303</v>
      </c>
      <c r="F26" t="s">
        <v>3004</v>
      </c>
      <c r="G26" t="s">
        <v>321</v>
      </c>
      <c r="H26" t="s">
        <v>322</v>
      </c>
      <c r="I26" t="s">
        <v>323</v>
      </c>
      <c r="J26">
        <v>125</v>
      </c>
      <c r="K26">
        <v>1</v>
      </c>
      <c r="L26">
        <v>126</v>
      </c>
      <c r="M26">
        <v>10.1</v>
      </c>
      <c r="N26">
        <v>2.4300000000000002</v>
      </c>
      <c r="O26">
        <v>2.21</v>
      </c>
      <c r="Q26" t="s">
        <v>2</v>
      </c>
      <c r="R26">
        <v>5907698010272</v>
      </c>
      <c r="S26">
        <v>200</v>
      </c>
      <c r="T26" t="s">
        <v>307</v>
      </c>
      <c r="V26">
        <v>8205200000</v>
      </c>
    </row>
    <row r="27" spans="1:22" x14ac:dyDescent="0.25">
      <c r="A27">
        <v>133000</v>
      </c>
      <c r="B27" t="s">
        <v>2993</v>
      </c>
      <c r="C27">
        <v>100</v>
      </c>
      <c r="D27">
        <v>10</v>
      </c>
      <c r="E27" t="s">
        <v>303</v>
      </c>
      <c r="F27" t="s">
        <v>3005</v>
      </c>
      <c r="G27" t="s">
        <v>2673</v>
      </c>
      <c r="H27" t="s">
        <v>3006</v>
      </c>
      <c r="I27" t="s">
        <v>2734</v>
      </c>
      <c r="J27">
        <v>162</v>
      </c>
      <c r="K27">
        <v>1</v>
      </c>
      <c r="L27">
        <v>163</v>
      </c>
      <c r="M27">
        <v>6</v>
      </c>
      <c r="N27">
        <v>1.55</v>
      </c>
      <c r="O27">
        <v>1.35</v>
      </c>
      <c r="Q27" t="s">
        <v>4</v>
      </c>
      <c r="R27">
        <v>5907698030171</v>
      </c>
      <c r="S27">
        <v>75</v>
      </c>
      <c r="T27" t="s">
        <v>307</v>
      </c>
      <c r="U27" t="s">
        <v>2996</v>
      </c>
      <c r="V27">
        <v>8205200000</v>
      </c>
    </row>
    <row r="28" spans="1:22" x14ac:dyDescent="0.25">
      <c r="A28">
        <v>136010</v>
      </c>
      <c r="B28" t="s">
        <v>302</v>
      </c>
      <c r="C28">
        <v>24</v>
      </c>
      <c r="D28">
        <v>6</v>
      </c>
      <c r="E28" t="s">
        <v>303</v>
      </c>
      <c r="F28" t="s">
        <v>3007</v>
      </c>
      <c r="G28" t="s">
        <v>324</v>
      </c>
      <c r="H28" t="s">
        <v>325</v>
      </c>
      <c r="I28" t="s">
        <v>326</v>
      </c>
      <c r="J28">
        <v>236</v>
      </c>
      <c r="K28">
        <v>2</v>
      </c>
      <c r="L28">
        <v>238</v>
      </c>
      <c r="M28">
        <v>12.88</v>
      </c>
      <c r="N28">
        <v>3.09</v>
      </c>
      <c r="O28">
        <v>2.82</v>
      </c>
      <c r="Q28" t="s">
        <v>2</v>
      </c>
      <c r="R28">
        <v>5907698010296</v>
      </c>
      <c r="S28">
        <v>120</v>
      </c>
      <c r="T28" t="s">
        <v>307</v>
      </c>
      <c r="V28">
        <v>8205200000</v>
      </c>
    </row>
    <row r="29" spans="1:22" x14ac:dyDescent="0.25">
      <c r="A29">
        <v>136022</v>
      </c>
      <c r="B29" t="s">
        <v>302</v>
      </c>
      <c r="C29">
        <v>24</v>
      </c>
      <c r="D29">
        <v>6</v>
      </c>
      <c r="E29" t="s">
        <v>303</v>
      </c>
      <c r="F29" t="s">
        <v>3007</v>
      </c>
      <c r="G29" t="s">
        <v>324</v>
      </c>
      <c r="H29" t="s">
        <v>327</v>
      </c>
      <c r="I29" t="s">
        <v>326</v>
      </c>
      <c r="J29">
        <v>237</v>
      </c>
      <c r="K29">
        <v>3</v>
      </c>
      <c r="L29">
        <v>240</v>
      </c>
      <c r="M29">
        <v>12.3</v>
      </c>
      <c r="N29">
        <v>3.3</v>
      </c>
      <c r="O29">
        <v>2.79</v>
      </c>
      <c r="Q29" t="s">
        <v>2</v>
      </c>
      <c r="R29">
        <v>5907698020028</v>
      </c>
      <c r="S29">
        <v>300</v>
      </c>
      <c r="T29" t="s">
        <v>307</v>
      </c>
      <c r="V29">
        <v>8205200000</v>
      </c>
    </row>
    <row r="30" spans="1:22" x14ac:dyDescent="0.25">
      <c r="A30">
        <v>136210</v>
      </c>
      <c r="B30" t="s">
        <v>302</v>
      </c>
      <c r="C30">
        <v>24</v>
      </c>
      <c r="D30">
        <v>6</v>
      </c>
      <c r="E30" t="s">
        <v>303</v>
      </c>
      <c r="F30" t="s">
        <v>3009</v>
      </c>
      <c r="G30" t="s">
        <v>1700</v>
      </c>
      <c r="H30" t="s">
        <v>325</v>
      </c>
      <c r="I30" t="s">
        <v>328</v>
      </c>
      <c r="J30">
        <v>431</v>
      </c>
      <c r="K30">
        <v>0</v>
      </c>
      <c r="L30">
        <v>431</v>
      </c>
      <c r="M30">
        <v>13.31</v>
      </c>
      <c r="N30">
        <v>3.43</v>
      </c>
      <c r="O30">
        <v>2.92</v>
      </c>
      <c r="Q30" t="s">
        <v>2</v>
      </c>
      <c r="R30">
        <v>5907698010333</v>
      </c>
      <c r="S30">
        <v>120</v>
      </c>
      <c r="T30" t="s">
        <v>2647</v>
      </c>
      <c r="V30">
        <v>8205591000</v>
      </c>
    </row>
    <row r="31" spans="1:22" x14ac:dyDescent="0.25">
      <c r="A31">
        <v>136222</v>
      </c>
      <c r="B31" t="s">
        <v>302</v>
      </c>
      <c r="C31">
        <v>24</v>
      </c>
      <c r="D31">
        <v>6</v>
      </c>
      <c r="E31" t="s">
        <v>303</v>
      </c>
      <c r="F31" t="s">
        <v>3009</v>
      </c>
      <c r="G31" t="s">
        <v>329</v>
      </c>
      <c r="H31" t="s">
        <v>330</v>
      </c>
      <c r="I31" t="s">
        <v>328</v>
      </c>
      <c r="J31">
        <v>0</v>
      </c>
      <c r="K31">
        <v>0</v>
      </c>
      <c r="L31">
        <v>0</v>
      </c>
      <c r="M31">
        <v>13.32</v>
      </c>
      <c r="N31">
        <v>3.2</v>
      </c>
      <c r="O31">
        <v>2.93</v>
      </c>
      <c r="Q31" t="s">
        <v>2</v>
      </c>
      <c r="R31">
        <v>5907698020042</v>
      </c>
      <c r="S31">
        <v>100</v>
      </c>
      <c r="T31" t="s">
        <v>307</v>
      </c>
      <c r="V31">
        <v>8205591000</v>
      </c>
    </row>
    <row r="32" spans="1:22" x14ac:dyDescent="0.25">
      <c r="A32">
        <v>136320</v>
      </c>
      <c r="B32" t="s">
        <v>302</v>
      </c>
      <c r="C32">
        <v>36</v>
      </c>
      <c r="E32" t="s">
        <v>303</v>
      </c>
      <c r="F32" t="s">
        <v>332</v>
      </c>
      <c r="G32" t="s">
        <v>333</v>
      </c>
      <c r="H32" t="s">
        <v>334</v>
      </c>
      <c r="I32" t="s">
        <v>335</v>
      </c>
      <c r="J32">
        <v>208</v>
      </c>
      <c r="K32">
        <v>0</v>
      </c>
      <c r="L32">
        <v>208</v>
      </c>
      <c r="M32">
        <v>5.8</v>
      </c>
      <c r="N32">
        <v>1.51</v>
      </c>
      <c r="O32">
        <v>1.29</v>
      </c>
      <c r="Q32" t="s">
        <v>336</v>
      </c>
      <c r="R32">
        <v>5907698010364</v>
      </c>
      <c r="S32">
        <v>260</v>
      </c>
      <c r="T32" t="s">
        <v>307</v>
      </c>
      <c r="V32">
        <v>3926909790</v>
      </c>
    </row>
    <row r="33" spans="1:22" x14ac:dyDescent="0.25">
      <c r="A33">
        <v>136450</v>
      </c>
      <c r="B33" t="s">
        <v>302</v>
      </c>
      <c r="C33">
        <v>50</v>
      </c>
      <c r="E33" t="s">
        <v>303</v>
      </c>
      <c r="F33" t="s">
        <v>3010</v>
      </c>
      <c r="G33" t="s">
        <v>337</v>
      </c>
      <c r="H33" t="s">
        <v>338</v>
      </c>
      <c r="I33" t="s">
        <v>339</v>
      </c>
      <c r="J33">
        <v>793</v>
      </c>
      <c r="K33">
        <v>0</v>
      </c>
      <c r="L33">
        <v>793</v>
      </c>
      <c r="M33">
        <v>2.93</v>
      </c>
      <c r="N33">
        <v>0.74</v>
      </c>
      <c r="O33">
        <v>0.64</v>
      </c>
      <c r="Q33" t="s">
        <v>336</v>
      </c>
      <c r="R33">
        <v>5907698010371</v>
      </c>
      <c r="S33">
        <v>500</v>
      </c>
      <c r="T33" t="s">
        <v>307</v>
      </c>
      <c r="V33">
        <v>4016999790</v>
      </c>
    </row>
    <row r="34" spans="1:22" x14ac:dyDescent="0.25">
      <c r="A34">
        <v>136550</v>
      </c>
      <c r="B34" t="s">
        <v>302</v>
      </c>
      <c r="C34">
        <v>40</v>
      </c>
      <c r="E34" t="s">
        <v>303</v>
      </c>
      <c r="F34" t="s">
        <v>3010</v>
      </c>
      <c r="G34" t="s">
        <v>337</v>
      </c>
      <c r="H34" t="s">
        <v>340</v>
      </c>
      <c r="I34" t="s">
        <v>341</v>
      </c>
      <c r="J34">
        <v>373</v>
      </c>
      <c r="K34">
        <v>0</v>
      </c>
      <c r="L34">
        <v>373</v>
      </c>
      <c r="M34">
        <v>3.49</v>
      </c>
      <c r="N34">
        <v>0.9</v>
      </c>
      <c r="O34">
        <v>0.77</v>
      </c>
      <c r="Q34" t="s">
        <v>336</v>
      </c>
      <c r="R34">
        <v>5907698010388</v>
      </c>
      <c r="S34">
        <v>400</v>
      </c>
      <c r="T34" t="s">
        <v>331</v>
      </c>
      <c r="V34">
        <v>4016999790</v>
      </c>
    </row>
    <row r="35" spans="1:22" x14ac:dyDescent="0.25">
      <c r="A35">
        <v>136600</v>
      </c>
      <c r="B35" t="s">
        <v>302</v>
      </c>
      <c r="C35">
        <v>36</v>
      </c>
      <c r="E35" t="s">
        <v>303</v>
      </c>
      <c r="F35" t="s">
        <v>3010</v>
      </c>
      <c r="G35" t="s">
        <v>337</v>
      </c>
      <c r="H35" t="s">
        <v>342</v>
      </c>
      <c r="I35" t="s">
        <v>341</v>
      </c>
      <c r="J35">
        <v>235</v>
      </c>
      <c r="K35">
        <v>0</v>
      </c>
      <c r="L35">
        <v>235</v>
      </c>
      <c r="M35">
        <v>4.63</v>
      </c>
      <c r="N35">
        <v>1.1599999999999999</v>
      </c>
      <c r="O35">
        <v>1.04</v>
      </c>
      <c r="Q35" t="s">
        <v>3031</v>
      </c>
      <c r="R35">
        <v>5907698010395</v>
      </c>
      <c r="S35">
        <v>260</v>
      </c>
      <c r="T35" t="s">
        <v>307</v>
      </c>
      <c r="V35">
        <v>4016999790</v>
      </c>
    </row>
    <row r="36" spans="1:22" x14ac:dyDescent="0.25">
      <c r="A36">
        <v>136650</v>
      </c>
      <c r="B36" t="s">
        <v>302</v>
      </c>
      <c r="C36">
        <v>24</v>
      </c>
      <c r="E36" t="s">
        <v>303</v>
      </c>
      <c r="F36" t="s">
        <v>3010</v>
      </c>
      <c r="G36" t="s">
        <v>337</v>
      </c>
      <c r="H36" t="s">
        <v>343</v>
      </c>
      <c r="I36" t="s">
        <v>341</v>
      </c>
      <c r="J36">
        <v>0</v>
      </c>
      <c r="K36">
        <v>0</v>
      </c>
      <c r="L36">
        <v>0</v>
      </c>
      <c r="M36">
        <v>5.46</v>
      </c>
      <c r="N36">
        <v>1.39</v>
      </c>
      <c r="O36">
        <v>1.19</v>
      </c>
      <c r="Q36" t="s">
        <v>336</v>
      </c>
      <c r="R36">
        <v>5907698010401</v>
      </c>
      <c r="S36">
        <v>700</v>
      </c>
      <c r="T36" t="s">
        <v>307</v>
      </c>
      <c r="V36">
        <v>4016999790</v>
      </c>
    </row>
    <row r="37" spans="1:22" x14ac:dyDescent="0.25">
      <c r="A37">
        <v>136660</v>
      </c>
      <c r="B37" t="s">
        <v>302</v>
      </c>
      <c r="C37">
        <v>24</v>
      </c>
      <c r="E37" t="s">
        <v>303</v>
      </c>
      <c r="F37" t="s">
        <v>3010</v>
      </c>
      <c r="G37" t="s">
        <v>337</v>
      </c>
      <c r="H37" t="s">
        <v>344</v>
      </c>
      <c r="I37" t="s">
        <v>341</v>
      </c>
      <c r="J37">
        <v>380</v>
      </c>
      <c r="K37">
        <v>0</v>
      </c>
      <c r="L37">
        <v>380</v>
      </c>
      <c r="M37">
        <v>5.03</v>
      </c>
      <c r="N37">
        <v>1.26</v>
      </c>
      <c r="O37">
        <v>1.1299999999999999</v>
      </c>
      <c r="Q37" t="s">
        <v>3011</v>
      </c>
      <c r="R37">
        <v>5907698010418</v>
      </c>
      <c r="S37">
        <v>450</v>
      </c>
      <c r="T37" t="s">
        <v>307</v>
      </c>
      <c r="V37">
        <v>4016999790</v>
      </c>
    </row>
    <row r="38" spans="1:22" x14ac:dyDescent="0.25">
      <c r="A38">
        <v>136691</v>
      </c>
      <c r="B38" t="s">
        <v>302</v>
      </c>
      <c r="C38">
        <v>18</v>
      </c>
      <c r="E38" t="s">
        <v>303</v>
      </c>
      <c r="F38" t="s">
        <v>3010</v>
      </c>
      <c r="G38" t="s">
        <v>337</v>
      </c>
      <c r="H38" t="s">
        <v>345</v>
      </c>
      <c r="I38" t="s">
        <v>341</v>
      </c>
      <c r="J38">
        <v>420</v>
      </c>
      <c r="K38">
        <v>0</v>
      </c>
      <c r="L38">
        <v>420</v>
      </c>
      <c r="M38">
        <v>9.6</v>
      </c>
      <c r="N38">
        <v>2.4500000000000002</v>
      </c>
      <c r="O38">
        <v>2.1</v>
      </c>
      <c r="Q38" t="s">
        <v>336</v>
      </c>
      <c r="R38">
        <v>5907698010425</v>
      </c>
      <c r="S38">
        <v>500</v>
      </c>
      <c r="T38" t="s">
        <v>307</v>
      </c>
      <c r="V38">
        <v>4016999790</v>
      </c>
    </row>
    <row r="39" spans="1:22" x14ac:dyDescent="0.25">
      <c r="A39">
        <v>136865</v>
      </c>
      <c r="B39" t="s">
        <v>302</v>
      </c>
      <c r="C39">
        <v>24</v>
      </c>
      <c r="E39" t="s">
        <v>303</v>
      </c>
      <c r="F39" t="s">
        <v>3010</v>
      </c>
      <c r="G39" t="s">
        <v>337</v>
      </c>
      <c r="H39" t="s">
        <v>346</v>
      </c>
      <c r="I39" t="s">
        <v>341</v>
      </c>
      <c r="J39">
        <v>15</v>
      </c>
      <c r="K39">
        <v>1</v>
      </c>
      <c r="L39">
        <v>16</v>
      </c>
      <c r="M39">
        <v>9.48</v>
      </c>
      <c r="N39">
        <v>2.4</v>
      </c>
      <c r="O39">
        <v>2.13</v>
      </c>
      <c r="Q39" t="s">
        <v>336</v>
      </c>
      <c r="R39">
        <v>5907698020233</v>
      </c>
      <c r="S39">
        <v>300</v>
      </c>
      <c r="T39" t="s">
        <v>307</v>
      </c>
      <c r="V39">
        <v>4016999790</v>
      </c>
    </row>
    <row r="40" spans="1:22" x14ac:dyDescent="0.25">
      <c r="A40">
        <v>136892</v>
      </c>
      <c r="B40" t="s">
        <v>302</v>
      </c>
      <c r="C40">
        <v>16</v>
      </c>
      <c r="E40" t="s">
        <v>303</v>
      </c>
      <c r="F40" t="s">
        <v>3010</v>
      </c>
      <c r="G40" t="s">
        <v>337</v>
      </c>
      <c r="H40" t="s">
        <v>1642</v>
      </c>
      <c r="I40" t="s">
        <v>341</v>
      </c>
      <c r="J40">
        <v>0</v>
      </c>
      <c r="K40">
        <v>0</v>
      </c>
      <c r="L40">
        <v>0</v>
      </c>
      <c r="M40">
        <v>11.11</v>
      </c>
      <c r="N40">
        <v>2.61</v>
      </c>
      <c r="O40">
        <v>2.4300000000000002</v>
      </c>
      <c r="Q40" t="s">
        <v>3031</v>
      </c>
      <c r="R40">
        <v>5907698021247</v>
      </c>
      <c r="S40">
        <v>200</v>
      </c>
      <c r="T40" t="s">
        <v>307</v>
      </c>
      <c r="V40">
        <v>4016999790</v>
      </c>
    </row>
    <row r="41" spans="1:22" x14ac:dyDescent="0.25">
      <c r="A41">
        <v>136900</v>
      </c>
      <c r="B41" t="s">
        <v>302</v>
      </c>
      <c r="C41">
        <v>18</v>
      </c>
      <c r="E41" t="s">
        <v>303</v>
      </c>
      <c r="F41" t="s">
        <v>3010</v>
      </c>
      <c r="G41" t="s">
        <v>337</v>
      </c>
      <c r="H41" t="s">
        <v>347</v>
      </c>
      <c r="I41" t="s">
        <v>341</v>
      </c>
      <c r="J41">
        <v>0</v>
      </c>
      <c r="K41">
        <v>0</v>
      </c>
      <c r="L41">
        <v>0</v>
      </c>
      <c r="M41">
        <v>9.3699999999999992</v>
      </c>
      <c r="N41">
        <v>2.21</v>
      </c>
      <c r="O41">
        <v>2.06</v>
      </c>
      <c r="Q41" t="s">
        <v>3031</v>
      </c>
      <c r="R41">
        <v>5907698010432</v>
      </c>
      <c r="S41">
        <v>720</v>
      </c>
      <c r="T41" t="s">
        <v>307</v>
      </c>
      <c r="V41">
        <v>4016999790</v>
      </c>
    </row>
    <row r="42" spans="1:22" x14ac:dyDescent="0.25">
      <c r="A42">
        <v>136920</v>
      </c>
      <c r="B42" t="s">
        <v>302</v>
      </c>
      <c r="C42">
        <v>24</v>
      </c>
      <c r="E42" t="s">
        <v>303</v>
      </c>
      <c r="F42" t="s">
        <v>348</v>
      </c>
      <c r="G42" t="s">
        <v>349</v>
      </c>
      <c r="H42" t="s">
        <v>350</v>
      </c>
      <c r="I42" t="s">
        <v>351</v>
      </c>
      <c r="J42">
        <v>0</v>
      </c>
      <c r="K42">
        <v>0</v>
      </c>
      <c r="L42">
        <v>0</v>
      </c>
      <c r="M42">
        <v>12.43</v>
      </c>
      <c r="N42">
        <v>3.13</v>
      </c>
      <c r="O42">
        <v>2.79</v>
      </c>
      <c r="Q42" t="s">
        <v>3011</v>
      </c>
      <c r="R42">
        <v>5907698010449</v>
      </c>
      <c r="S42">
        <v>700</v>
      </c>
      <c r="T42" t="s">
        <v>352</v>
      </c>
      <c r="V42">
        <v>3926909790</v>
      </c>
    </row>
    <row r="43" spans="1:22" x14ac:dyDescent="0.25">
      <c r="A43">
        <v>136930</v>
      </c>
      <c r="B43" t="s">
        <v>302</v>
      </c>
      <c r="C43">
        <v>24</v>
      </c>
      <c r="E43" t="s">
        <v>303</v>
      </c>
      <c r="F43" t="s">
        <v>348</v>
      </c>
      <c r="G43" t="s">
        <v>353</v>
      </c>
      <c r="H43" t="s">
        <v>2452</v>
      </c>
      <c r="I43" t="s">
        <v>1701</v>
      </c>
      <c r="J43">
        <v>0</v>
      </c>
      <c r="K43">
        <v>0</v>
      </c>
      <c r="L43">
        <v>0</v>
      </c>
      <c r="M43">
        <v>12.21</v>
      </c>
      <c r="N43">
        <v>2.89</v>
      </c>
      <c r="O43">
        <v>2.67</v>
      </c>
      <c r="Q43" t="s">
        <v>2548</v>
      </c>
      <c r="R43">
        <v>5907698024484</v>
      </c>
      <c r="S43">
        <v>600</v>
      </c>
      <c r="T43" t="s">
        <v>352</v>
      </c>
      <c r="U43" t="s">
        <v>2648</v>
      </c>
      <c r="V43">
        <v>3926909790</v>
      </c>
    </row>
    <row r="44" spans="1:22" x14ac:dyDescent="0.25">
      <c r="A44">
        <v>136950</v>
      </c>
      <c r="B44" t="s">
        <v>302</v>
      </c>
      <c r="C44">
        <v>12</v>
      </c>
      <c r="E44" t="s">
        <v>303</v>
      </c>
      <c r="F44" t="s">
        <v>348</v>
      </c>
      <c r="G44" t="s">
        <v>353</v>
      </c>
      <c r="H44" t="s">
        <v>354</v>
      </c>
      <c r="I44" t="s">
        <v>355</v>
      </c>
      <c r="J44">
        <v>106</v>
      </c>
      <c r="K44">
        <v>72</v>
      </c>
      <c r="L44">
        <v>178</v>
      </c>
      <c r="M44">
        <v>25.8</v>
      </c>
      <c r="N44">
        <v>6.58</v>
      </c>
      <c r="O44">
        <v>5.63</v>
      </c>
      <c r="Q44" t="s">
        <v>3744</v>
      </c>
      <c r="R44">
        <v>5907698024675</v>
      </c>
      <c r="S44">
        <v>130</v>
      </c>
      <c r="T44" t="s">
        <v>356</v>
      </c>
      <c r="U44" t="s">
        <v>1609</v>
      </c>
      <c r="V44">
        <v>3926909790</v>
      </c>
    </row>
    <row r="45" spans="1:22" x14ac:dyDescent="0.25">
      <c r="A45">
        <v>137300</v>
      </c>
      <c r="B45" t="s">
        <v>302</v>
      </c>
      <c r="C45">
        <v>24</v>
      </c>
      <c r="E45" t="s">
        <v>303</v>
      </c>
      <c r="F45" t="s">
        <v>3012</v>
      </c>
      <c r="G45" t="s">
        <v>357</v>
      </c>
      <c r="H45" t="s">
        <v>358</v>
      </c>
      <c r="I45" t="s">
        <v>359</v>
      </c>
      <c r="J45">
        <v>0</v>
      </c>
      <c r="K45">
        <v>0</v>
      </c>
      <c r="L45">
        <v>0</v>
      </c>
      <c r="M45">
        <v>3.61</v>
      </c>
      <c r="N45">
        <v>0.94</v>
      </c>
      <c r="O45">
        <v>0.81</v>
      </c>
      <c r="Q45" t="s">
        <v>4</v>
      </c>
      <c r="R45">
        <v>5907698010456</v>
      </c>
      <c r="S45">
        <v>1200</v>
      </c>
      <c r="T45" t="s">
        <v>360</v>
      </c>
      <c r="V45">
        <v>8205598000</v>
      </c>
    </row>
    <row r="46" spans="1:22" x14ac:dyDescent="0.25">
      <c r="A46">
        <v>137380</v>
      </c>
      <c r="B46" t="s">
        <v>302</v>
      </c>
      <c r="C46">
        <v>40</v>
      </c>
      <c r="D46">
        <v>10</v>
      </c>
      <c r="E46" t="s">
        <v>303</v>
      </c>
      <c r="F46" t="s">
        <v>3012</v>
      </c>
      <c r="G46" t="s">
        <v>361</v>
      </c>
      <c r="H46" t="s">
        <v>362</v>
      </c>
      <c r="I46" t="s">
        <v>359</v>
      </c>
      <c r="J46">
        <v>369</v>
      </c>
      <c r="K46">
        <v>0</v>
      </c>
      <c r="L46">
        <v>369</v>
      </c>
      <c r="M46">
        <v>7.03</v>
      </c>
      <c r="N46">
        <v>1.82</v>
      </c>
      <c r="O46">
        <v>1.59</v>
      </c>
      <c r="Q46" t="s">
        <v>4</v>
      </c>
      <c r="R46">
        <v>5907698028574</v>
      </c>
      <c r="S46">
        <v>300</v>
      </c>
      <c r="T46" t="s">
        <v>360</v>
      </c>
      <c r="V46">
        <v>8205598000</v>
      </c>
    </row>
    <row r="47" spans="1:22" x14ac:dyDescent="0.25">
      <c r="A47">
        <v>137600</v>
      </c>
      <c r="B47" t="s">
        <v>302</v>
      </c>
      <c r="C47">
        <v>25</v>
      </c>
      <c r="E47" t="s">
        <v>303</v>
      </c>
      <c r="F47" t="s">
        <v>3012</v>
      </c>
      <c r="G47" t="s">
        <v>363</v>
      </c>
      <c r="H47" t="s">
        <v>364</v>
      </c>
      <c r="I47" t="s">
        <v>359</v>
      </c>
      <c r="J47">
        <v>208</v>
      </c>
      <c r="K47">
        <v>25</v>
      </c>
      <c r="L47">
        <v>233</v>
      </c>
      <c r="M47">
        <v>7.37</v>
      </c>
      <c r="N47">
        <v>1.98</v>
      </c>
      <c r="O47">
        <v>1.68</v>
      </c>
      <c r="Q47" t="s">
        <v>2</v>
      </c>
      <c r="R47">
        <v>5907698010463</v>
      </c>
      <c r="S47">
        <v>700</v>
      </c>
      <c r="T47" t="s">
        <v>360</v>
      </c>
      <c r="V47">
        <v>8205598000</v>
      </c>
    </row>
    <row r="48" spans="1:22" x14ac:dyDescent="0.25">
      <c r="A48">
        <v>137618</v>
      </c>
      <c r="B48" t="s">
        <v>2993</v>
      </c>
      <c r="C48">
        <v>12</v>
      </c>
      <c r="D48">
        <v>4</v>
      </c>
      <c r="E48" t="s">
        <v>303</v>
      </c>
      <c r="F48" t="s">
        <v>3012</v>
      </c>
      <c r="G48" t="s">
        <v>363</v>
      </c>
      <c r="H48" t="s">
        <v>2721</v>
      </c>
      <c r="I48" t="s">
        <v>359</v>
      </c>
      <c r="J48">
        <v>162</v>
      </c>
      <c r="K48">
        <v>1</v>
      </c>
      <c r="L48">
        <v>163</v>
      </c>
      <c r="M48">
        <v>12.33</v>
      </c>
      <c r="N48">
        <v>3.2</v>
      </c>
      <c r="O48">
        <v>2.77</v>
      </c>
      <c r="Q48" t="s">
        <v>4</v>
      </c>
      <c r="R48">
        <v>5907698030164</v>
      </c>
      <c r="S48">
        <v>100</v>
      </c>
      <c r="T48" t="s">
        <v>360</v>
      </c>
      <c r="V48">
        <v>8205598000</v>
      </c>
    </row>
    <row r="49" spans="1:22" x14ac:dyDescent="0.25">
      <c r="A49">
        <v>140060</v>
      </c>
      <c r="B49" t="s">
        <v>302</v>
      </c>
      <c r="C49">
        <v>60</v>
      </c>
      <c r="D49">
        <v>6</v>
      </c>
      <c r="E49" t="s">
        <v>303</v>
      </c>
      <c r="F49" t="s">
        <v>365</v>
      </c>
      <c r="G49" t="s">
        <v>366</v>
      </c>
      <c r="H49" t="s">
        <v>367</v>
      </c>
      <c r="I49" t="s">
        <v>368</v>
      </c>
      <c r="J49">
        <v>194</v>
      </c>
      <c r="K49">
        <v>10</v>
      </c>
      <c r="L49">
        <v>204</v>
      </c>
      <c r="M49">
        <v>5.15</v>
      </c>
      <c r="N49">
        <v>1.34</v>
      </c>
      <c r="O49">
        <v>1.1599999999999999</v>
      </c>
      <c r="Q49" t="s">
        <v>2548</v>
      </c>
      <c r="R49">
        <v>5907698010487</v>
      </c>
      <c r="S49">
        <v>360</v>
      </c>
      <c r="T49" t="s">
        <v>369</v>
      </c>
      <c r="V49">
        <v>8203200000</v>
      </c>
    </row>
    <row r="50" spans="1:22" x14ac:dyDescent="0.25">
      <c r="A50">
        <v>140062</v>
      </c>
      <c r="B50" t="s">
        <v>2993</v>
      </c>
      <c r="C50">
        <v>60</v>
      </c>
      <c r="D50">
        <v>6</v>
      </c>
      <c r="E50" t="s">
        <v>303</v>
      </c>
      <c r="F50" t="s">
        <v>365</v>
      </c>
      <c r="G50" t="s">
        <v>366</v>
      </c>
      <c r="H50" t="s">
        <v>3013</v>
      </c>
      <c r="I50" t="s">
        <v>368</v>
      </c>
      <c r="J50">
        <v>351</v>
      </c>
      <c r="K50">
        <v>0</v>
      </c>
      <c r="L50">
        <v>351</v>
      </c>
      <c r="M50">
        <v>6.05</v>
      </c>
      <c r="N50">
        <v>1.57</v>
      </c>
      <c r="O50">
        <v>1.36</v>
      </c>
      <c r="Q50" t="s">
        <v>4</v>
      </c>
      <c r="R50">
        <v>5907698030065</v>
      </c>
      <c r="S50">
        <v>160</v>
      </c>
      <c r="T50" t="s">
        <v>369</v>
      </c>
      <c r="V50">
        <v>8203200000</v>
      </c>
    </row>
    <row r="51" spans="1:22" x14ac:dyDescent="0.25">
      <c r="A51">
        <v>140070</v>
      </c>
      <c r="B51" t="s">
        <v>302</v>
      </c>
      <c r="C51">
        <v>60</v>
      </c>
      <c r="D51">
        <v>6</v>
      </c>
      <c r="E51" t="s">
        <v>303</v>
      </c>
      <c r="F51" t="s">
        <v>365</v>
      </c>
      <c r="G51" t="s">
        <v>366</v>
      </c>
      <c r="H51" t="s">
        <v>370</v>
      </c>
      <c r="I51" t="s">
        <v>371</v>
      </c>
      <c r="J51">
        <v>631</v>
      </c>
      <c r="K51">
        <v>24</v>
      </c>
      <c r="L51">
        <v>655</v>
      </c>
      <c r="M51">
        <v>6.63</v>
      </c>
      <c r="N51">
        <v>1.67</v>
      </c>
      <c r="O51">
        <v>1.49</v>
      </c>
      <c r="Q51" t="s">
        <v>2548</v>
      </c>
      <c r="R51">
        <v>5907698010494</v>
      </c>
      <c r="S51">
        <v>420</v>
      </c>
      <c r="T51" t="s">
        <v>369</v>
      </c>
      <c r="V51">
        <v>8203200000</v>
      </c>
    </row>
    <row r="52" spans="1:22" x14ac:dyDescent="0.25">
      <c r="A52">
        <v>140072</v>
      </c>
      <c r="B52" t="s">
        <v>2993</v>
      </c>
      <c r="C52">
        <v>60</v>
      </c>
      <c r="D52">
        <v>6</v>
      </c>
      <c r="E52" t="s">
        <v>303</v>
      </c>
      <c r="F52" t="s">
        <v>365</v>
      </c>
      <c r="G52" t="s">
        <v>366</v>
      </c>
      <c r="H52" t="s">
        <v>3014</v>
      </c>
      <c r="I52" t="s">
        <v>371</v>
      </c>
      <c r="J52">
        <v>272</v>
      </c>
      <c r="K52">
        <v>1</v>
      </c>
      <c r="L52">
        <v>273</v>
      </c>
      <c r="M52">
        <v>6.24</v>
      </c>
      <c r="N52">
        <v>1.62</v>
      </c>
      <c r="O52">
        <v>1.41</v>
      </c>
      <c r="Q52" t="s">
        <v>4</v>
      </c>
      <c r="R52">
        <v>5907698030072</v>
      </c>
      <c r="S52">
        <v>160</v>
      </c>
      <c r="T52" t="s">
        <v>369</v>
      </c>
      <c r="V52">
        <v>8203200000</v>
      </c>
    </row>
    <row r="53" spans="1:22" x14ac:dyDescent="0.25">
      <c r="A53">
        <v>140080</v>
      </c>
      <c r="B53" t="s">
        <v>302</v>
      </c>
      <c r="C53">
        <v>60</v>
      </c>
      <c r="D53">
        <v>6</v>
      </c>
      <c r="E53" t="s">
        <v>303</v>
      </c>
      <c r="F53" t="s">
        <v>365</v>
      </c>
      <c r="G53" t="s">
        <v>366</v>
      </c>
      <c r="H53" t="s">
        <v>372</v>
      </c>
      <c r="I53" t="s">
        <v>371</v>
      </c>
      <c r="J53">
        <v>539</v>
      </c>
      <c r="K53">
        <v>1</v>
      </c>
      <c r="L53">
        <v>540</v>
      </c>
      <c r="M53">
        <v>7.48</v>
      </c>
      <c r="N53">
        <v>1.89</v>
      </c>
      <c r="O53">
        <v>1.68</v>
      </c>
      <c r="Q53" t="s">
        <v>2548</v>
      </c>
      <c r="R53">
        <v>5907698010500</v>
      </c>
      <c r="S53">
        <v>800</v>
      </c>
      <c r="T53" t="s">
        <v>369</v>
      </c>
      <c r="V53">
        <v>8203200000</v>
      </c>
    </row>
    <row r="54" spans="1:22" x14ac:dyDescent="0.25">
      <c r="A54">
        <v>140082</v>
      </c>
      <c r="B54" t="s">
        <v>2993</v>
      </c>
      <c r="C54">
        <v>60</v>
      </c>
      <c r="D54">
        <v>6</v>
      </c>
      <c r="E54" t="s">
        <v>303</v>
      </c>
      <c r="F54" t="s">
        <v>365</v>
      </c>
      <c r="G54" t="s">
        <v>366</v>
      </c>
      <c r="H54" t="s">
        <v>3015</v>
      </c>
      <c r="I54" t="s">
        <v>371</v>
      </c>
      <c r="J54">
        <v>308</v>
      </c>
      <c r="K54">
        <v>25</v>
      </c>
      <c r="L54">
        <v>333</v>
      </c>
      <c r="M54">
        <v>6.6</v>
      </c>
      <c r="N54">
        <v>1.71</v>
      </c>
      <c r="O54">
        <v>1.48</v>
      </c>
      <c r="Q54" t="s">
        <v>4</v>
      </c>
      <c r="R54">
        <v>5907698030089</v>
      </c>
      <c r="S54">
        <v>160</v>
      </c>
      <c r="T54" t="s">
        <v>369</v>
      </c>
      <c r="V54">
        <v>8203200000</v>
      </c>
    </row>
    <row r="55" spans="1:22" x14ac:dyDescent="0.25">
      <c r="A55">
        <v>140160</v>
      </c>
      <c r="B55" t="s">
        <v>302</v>
      </c>
      <c r="C55">
        <v>60</v>
      </c>
      <c r="D55">
        <v>6</v>
      </c>
      <c r="E55" t="s">
        <v>303</v>
      </c>
      <c r="F55" t="s">
        <v>365</v>
      </c>
      <c r="G55" t="s">
        <v>366</v>
      </c>
      <c r="H55" t="s">
        <v>373</v>
      </c>
      <c r="I55" t="s">
        <v>371</v>
      </c>
      <c r="J55">
        <v>275</v>
      </c>
      <c r="K55">
        <v>0</v>
      </c>
      <c r="L55">
        <v>275</v>
      </c>
      <c r="M55">
        <v>6.97</v>
      </c>
      <c r="N55">
        <v>1.64</v>
      </c>
      <c r="O55">
        <v>1.51</v>
      </c>
      <c r="Q55" t="s">
        <v>2548</v>
      </c>
      <c r="R55">
        <v>5907698010517</v>
      </c>
      <c r="S55">
        <v>650</v>
      </c>
      <c r="T55" t="s">
        <v>369</v>
      </c>
      <c r="U55" t="s">
        <v>2649</v>
      </c>
      <c r="V55">
        <v>8203200000</v>
      </c>
    </row>
    <row r="56" spans="1:22" x14ac:dyDescent="0.25">
      <c r="A56">
        <v>140170</v>
      </c>
      <c r="B56" t="s">
        <v>302</v>
      </c>
      <c r="C56">
        <v>60</v>
      </c>
      <c r="D56">
        <v>6</v>
      </c>
      <c r="E56" t="s">
        <v>303</v>
      </c>
      <c r="F56" t="s">
        <v>365</v>
      </c>
      <c r="G56" t="s">
        <v>366</v>
      </c>
      <c r="H56" t="s">
        <v>374</v>
      </c>
      <c r="I56" t="s">
        <v>371</v>
      </c>
      <c r="J56">
        <v>588</v>
      </c>
      <c r="K56">
        <v>0</v>
      </c>
      <c r="L56">
        <v>588</v>
      </c>
      <c r="M56">
        <v>7.42</v>
      </c>
      <c r="N56">
        <v>1.75</v>
      </c>
      <c r="O56">
        <v>1.61</v>
      </c>
      <c r="Q56" t="s">
        <v>2548</v>
      </c>
      <c r="R56">
        <v>5907698010524</v>
      </c>
      <c r="S56">
        <v>550</v>
      </c>
      <c r="T56" t="s">
        <v>369</v>
      </c>
      <c r="V56">
        <v>8203200000</v>
      </c>
    </row>
    <row r="57" spans="1:22" x14ac:dyDescent="0.25">
      <c r="A57">
        <v>141160</v>
      </c>
      <c r="B57" t="s">
        <v>302</v>
      </c>
      <c r="C57">
        <v>60</v>
      </c>
      <c r="D57">
        <v>6</v>
      </c>
      <c r="E57" t="s">
        <v>303</v>
      </c>
      <c r="F57" t="s">
        <v>3016</v>
      </c>
      <c r="G57" t="s">
        <v>1702</v>
      </c>
      <c r="H57" t="s">
        <v>367</v>
      </c>
      <c r="I57" t="s">
        <v>1703</v>
      </c>
      <c r="J57">
        <v>274</v>
      </c>
      <c r="K57">
        <v>0</v>
      </c>
      <c r="L57">
        <v>274</v>
      </c>
      <c r="M57">
        <v>5.96</v>
      </c>
      <c r="N57">
        <v>1.55</v>
      </c>
      <c r="O57">
        <v>1.35</v>
      </c>
      <c r="Q57" t="s">
        <v>3744</v>
      </c>
      <c r="R57">
        <v>5907698010555</v>
      </c>
      <c r="S57">
        <v>300</v>
      </c>
      <c r="T57" t="s">
        <v>369</v>
      </c>
      <c r="V57">
        <v>8203200000</v>
      </c>
    </row>
    <row r="58" spans="1:22" x14ac:dyDescent="0.25">
      <c r="A58">
        <v>141162</v>
      </c>
      <c r="B58" t="s">
        <v>2993</v>
      </c>
      <c r="C58">
        <v>96</v>
      </c>
      <c r="D58">
        <v>6</v>
      </c>
      <c r="E58" t="s">
        <v>303</v>
      </c>
      <c r="F58" t="s">
        <v>3016</v>
      </c>
      <c r="G58" t="s">
        <v>1702</v>
      </c>
      <c r="H58" t="s">
        <v>3013</v>
      </c>
      <c r="I58" t="s">
        <v>1703</v>
      </c>
      <c r="J58">
        <v>296</v>
      </c>
      <c r="K58">
        <v>0</v>
      </c>
      <c r="L58">
        <v>296</v>
      </c>
      <c r="M58">
        <v>5.25</v>
      </c>
      <c r="N58">
        <v>1.36</v>
      </c>
      <c r="O58">
        <v>1.19</v>
      </c>
      <c r="Q58" t="s">
        <v>4</v>
      </c>
      <c r="R58">
        <v>5907698030096</v>
      </c>
      <c r="S58">
        <v>160</v>
      </c>
      <c r="T58" t="s">
        <v>369</v>
      </c>
      <c r="V58">
        <v>8203200000</v>
      </c>
    </row>
    <row r="59" spans="1:22" x14ac:dyDescent="0.25">
      <c r="A59">
        <v>154060</v>
      </c>
      <c r="B59" t="s">
        <v>302</v>
      </c>
      <c r="C59">
        <v>60</v>
      </c>
      <c r="D59">
        <v>6</v>
      </c>
      <c r="E59" t="s">
        <v>303</v>
      </c>
      <c r="F59" t="s">
        <v>375</v>
      </c>
      <c r="G59" t="s">
        <v>376</v>
      </c>
      <c r="H59" t="s">
        <v>367</v>
      </c>
      <c r="I59" t="s">
        <v>377</v>
      </c>
      <c r="J59">
        <v>305</v>
      </c>
      <c r="K59">
        <v>0</v>
      </c>
      <c r="L59">
        <v>305</v>
      </c>
      <c r="M59">
        <v>6.38</v>
      </c>
      <c r="N59">
        <v>1.65</v>
      </c>
      <c r="O59">
        <v>1.44</v>
      </c>
      <c r="Q59" t="s">
        <v>2548</v>
      </c>
      <c r="R59">
        <v>5907698010630</v>
      </c>
      <c r="S59">
        <v>300</v>
      </c>
      <c r="T59" t="s">
        <v>369</v>
      </c>
      <c r="V59">
        <v>8203200000</v>
      </c>
    </row>
    <row r="60" spans="1:22" x14ac:dyDescent="0.25">
      <c r="A60">
        <v>154062</v>
      </c>
      <c r="B60" t="s">
        <v>2993</v>
      </c>
      <c r="C60">
        <v>60</v>
      </c>
      <c r="D60">
        <v>6</v>
      </c>
      <c r="E60" t="s">
        <v>303</v>
      </c>
      <c r="F60" t="s">
        <v>375</v>
      </c>
      <c r="G60" t="s">
        <v>376</v>
      </c>
      <c r="H60" t="s">
        <v>3013</v>
      </c>
      <c r="I60" t="s">
        <v>377</v>
      </c>
      <c r="J60">
        <v>293</v>
      </c>
      <c r="K60">
        <v>1</v>
      </c>
      <c r="L60">
        <v>294</v>
      </c>
      <c r="M60">
        <v>5.25</v>
      </c>
      <c r="N60">
        <v>1.36</v>
      </c>
      <c r="O60">
        <v>1.19</v>
      </c>
      <c r="Q60" t="s">
        <v>4</v>
      </c>
      <c r="R60">
        <v>5907698030102</v>
      </c>
      <c r="S60">
        <v>160</v>
      </c>
      <c r="T60" t="s">
        <v>369</v>
      </c>
      <c r="V60">
        <v>8203200000</v>
      </c>
    </row>
    <row r="61" spans="1:22" x14ac:dyDescent="0.25">
      <c r="A61">
        <v>154070</v>
      </c>
      <c r="B61" t="s">
        <v>302</v>
      </c>
      <c r="C61">
        <v>60</v>
      </c>
      <c r="D61">
        <v>12</v>
      </c>
      <c r="E61" t="s">
        <v>303</v>
      </c>
      <c r="F61" t="s">
        <v>375</v>
      </c>
      <c r="G61" t="s">
        <v>376</v>
      </c>
      <c r="H61" t="s">
        <v>373</v>
      </c>
      <c r="I61" t="s">
        <v>377</v>
      </c>
      <c r="J61">
        <v>891</v>
      </c>
      <c r="K61">
        <v>0</v>
      </c>
      <c r="L61">
        <v>891</v>
      </c>
      <c r="M61">
        <v>6.18</v>
      </c>
      <c r="N61">
        <v>1.67</v>
      </c>
      <c r="O61">
        <v>1.41</v>
      </c>
      <c r="Q61" t="s">
        <v>2548</v>
      </c>
      <c r="R61">
        <v>5907698010647</v>
      </c>
      <c r="S61">
        <v>700</v>
      </c>
      <c r="T61" t="s">
        <v>369</v>
      </c>
      <c r="V61">
        <v>8203200000</v>
      </c>
    </row>
    <row r="62" spans="1:22" x14ac:dyDescent="0.25">
      <c r="A62">
        <v>154100</v>
      </c>
      <c r="B62" t="s">
        <v>302</v>
      </c>
      <c r="C62">
        <v>60</v>
      </c>
      <c r="D62">
        <v>6</v>
      </c>
      <c r="E62" t="s">
        <v>303</v>
      </c>
      <c r="F62" t="s">
        <v>375</v>
      </c>
      <c r="G62" t="s">
        <v>376</v>
      </c>
      <c r="H62" t="s">
        <v>378</v>
      </c>
      <c r="I62" t="s">
        <v>377</v>
      </c>
      <c r="J62">
        <v>374</v>
      </c>
      <c r="K62">
        <v>0</v>
      </c>
      <c r="L62">
        <v>374</v>
      </c>
      <c r="M62">
        <v>7.79</v>
      </c>
      <c r="N62">
        <v>1.84</v>
      </c>
      <c r="O62">
        <v>1.69</v>
      </c>
      <c r="Q62" t="s">
        <v>2548</v>
      </c>
      <c r="R62">
        <v>5907698010661</v>
      </c>
      <c r="S62">
        <v>330</v>
      </c>
      <c r="T62" t="s">
        <v>369</v>
      </c>
      <c r="V62">
        <v>8203200000</v>
      </c>
    </row>
    <row r="63" spans="1:22" x14ac:dyDescent="0.25">
      <c r="A63">
        <v>156140</v>
      </c>
      <c r="B63" t="s">
        <v>302</v>
      </c>
      <c r="C63">
        <v>24</v>
      </c>
      <c r="D63">
        <v>0</v>
      </c>
      <c r="E63" t="s">
        <v>303</v>
      </c>
      <c r="F63" t="s">
        <v>379</v>
      </c>
      <c r="G63" t="s">
        <v>380</v>
      </c>
      <c r="H63" t="s">
        <v>381</v>
      </c>
      <c r="I63" t="s">
        <v>382</v>
      </c>
      <c r="J63">
        <v>0</v>
      </c>
      <c r="K63">
        <v>0</v>
      </c>
      <c r="L63">
        <v>0</v>
      </c>
      <c r="M63">
        <v>16.86</v>
      </c>
      <c r="N63">
        <v>3.98</v>
      </c>
      <c r="O63">
        <v>3.67</v>
      </c>
      <c r="Q63" t="s">
        <v>2548</v>
      </c>
      <c r="R63">
        <v>5907698010685</v>
      </c>
      <c r="S63">
        <v>264</v>
      </c>
      <c r="T63" t="s">
        <v>383</v>
      </c>
      <c r="V63">
        <v>8203200000</v>
      </c>
    </row>
    <row r="64" spans="1:22" x14ac:dyDescent="0.25">
      <c r="A64">
        <v>156490</v>
      </c>
      <c r="B64" t="s">
        <v>302</v>
      </c>
      <c r="C64">
        <v>60</v>
      </c>
      <c r="D64">
        <v>6</v>
      </c>
      <c r="E64" t="s">
        <v>303</v>
      </c>
      <c r="F64" t="s">
        <v>384</v>
      </c>
      <c r="G64" t="s">
        <v>385</v>
      </c>
      <c r="H64" t="s">
        <v>386</v>
      </c>
      <c r="I64" t="s">
        <v>387</v>
      </c>
      <c r="J64">
        <v>212</v>
      </c>
      <c r="K64">
        <v>72</v>
      </c>
      <c r="L64">
        <v>284</v>
      </c>
      <c r="M64">
        <v>7.4</v>
      </c>
      <c r="N64">
        <v>1.91</v>
      </c>
      <c r="O64">
        <v>1.67</v>
      </c>
      <c r="Q64" t="s">
        <v>4</v>
      </c>
      <c r="R64">
        <v>5907698010708</v>
      </c>
      <c r="S64">
        <v>800</v>
      </c>
      <c r="T64" t="s">
        <v>369</v>
      </c>
      <c r="V64">
        <v>8203200000</v>
      </c>
    </row>
    <row r="65" spans="1:22" x14ac:dyDescent="0.25">
      <c r="A65">
        <v>156494</v>
      </c>
      <c r="B65" t="s">
        <v>302</v>
      </c>
      <c r="C65">
        <v>60</v>
      </c>
      <c r="D65">
        <v>6</v>
      </c>
      <c r="E65" t="s">
        <v>303</v>
      </c>
      <c r="F65" t="s">
        <v>384</v>
      </c>
      <c r="G65" t="s">
        <v>385</v>
      </c>
      <c r="H65" t="s">
        <v>1704</v>
      </c>
      <c r="I65" t="s">
        <v>1705</v>
      </c>
      <c r="J65">
        <v>58</v>
      </c>
      <c r="K65">
        <v>67</v>
      </c>
      <c r="L65">
        <v>125</v>
      </c>
      <c r="M65">
        <v>8.69</v>
      </c>
      <c r="N65">
        <v>2.25</v>
      </c>
      <c r="O65">
        <v>1.96</v>
      </c>
      <c r="Q65" t="s">
        <v>4</v>
      </c>
      <c r="R65">
        <v>5907698025474</v>
      </c>
      <c r="S65">
        <v>600</v>
      </c>
      <c r="T65" t="s">
        <v>369</v>
      </c>
      <c r="V65">
        <v>8203200000</v>
      </c>
    </row>
    <row r="66" spans="1:22" x14ac:dyDescent="0.25">
      <c r="A66">
        <v>156600</v>
      </c>
      <c r="B66" t="s">
        <v>302</v>
      </c>
      <c r="C66">
        <v>60</v>
      </c>
      <c r="D66">
        <v>6</v>
      </c>
      <c r="E66" t="s">
        <v>303</v>
      </c>
      <c r="F66" t="s">
        <v>3017</v>
      </c>
      <c r="G66" t="s">
        <v>385</v>
      </c>
      <c r="H66" t="s">
        <v>388</v>
      </c>
      <c r="I66" t="s">
        <v>389</v>
      </c>
      <c r="J66">
        <v>0</v>
      </c>
      <c r="K66">
        <v>0</v>
      </c>
      <c r="L66">
        <v>0</v>
      </c>
      <c r="M66">
        <v>6.66</v>
      </c>
      <c r="N66">
        <v>1.73</v>
      </c>
      <c r="O66">
        <v>1.49</v>
      </c>
      <c r="Q66" t="s">
        <v>4</v>
      </c>
      <c r="R66">
        <v>5907698010715</v>
      </c>
      <c r="S66">
        <v>1200</v>
      </c>
      <c r="T66" t="s">
        <v>390</v>
      </c>
      <c r="V66">
        <v>8203200000</v>
      </c>
    </row>
    <row r="67" spans="1:22" x14ac:dyDescent="0.25">
      <c r="A67">
        <v>156630</v>
      </c>
      <c r="B67" t="s">
        <v>302</v>
      </c>
      <c r="C67">
        <v>24</v>
      </c>
      <c r="D67">
        <v>6</v>
      </c>
      <c r="E67" t="s">
        <v>303</v>
      </c>
      <c r="F67" t="s">
        <v>3017</v>
      </c>
      <c r="G67" t="s">
        <v>2735</v>
      </c>
      <c r="H67" t="s">
        <v>1643</v>
      </c>
      <c r="I67" t="s">
        <v>389</v>
      </c>
      <c r="J67">
        <v>209</v>
      </c>
      <c r="K67">
        <v>0</v>
      </c>
      <c r="L67">
        <v>209</v>
      </c>
      <c r="M67">
        <v>12.76</v>
      </c>
      <c r="N67">
        <v>3.31</v>
      </c>
      <c r="O67">
        <v>2.88</v>
      </c>
      <c r="Q67" t="s">
        <v>4</v>
      </c>
      <c r="R67">
        <v>5907698010722</v>
      </c>
      <c r="S67">
        <v>600</v>
      </c>
      <c r="T67" t="s">
        <v>369</v>
      </c>
      <c r="V67">
        <v>8203200000</v>
      </c>
    </row>
    <row r="68" spans="1:22" x14ac:dyDescent="0.25">
      <c r="A68">
        <v>162500</v>
      </c>
      <c r="B68" t="s">
        <v>302</v>
      </c>
      <c r="C68">
        <v>60</v>
      </c>
      <c r="D68">
        <v>6</v>
      </c>
      <c r="E68" t="s">
        <v>303</v>
      </c>
      <c r="F68" t="s">
        <v>391</v>
      </c>
      <c r="G68" t="s">
        <v>392</v>
      </c>
      <c r="H68" t="s">
        <v>393</v>
      </c>
      <c r="I68" t="s">
        <v>394</v>
      </c>
      <c r="J68">
        <v>503</v>
      </c>
      <c r="K68">
        <v>0</v>
      </c>
      <c r="L68">
        <v>503</v>
      </c>
      <c r="M68">
        <v>7.42</v>
      </c>
      <c r="N68">
        <v>1.88</v>
      </c>
      <c r="O68">
        <v>1.67</v>
      </c>
      <c r="Q68" t="s">
        <v>2</v>
      </c>
      <c r="R68">
        <v>5907698010746</v>
      </c>
      <c r="S68">
        <v>800</v>
      </c>
      <c r="T68" t="s">
        <v>395</v>
      </c>
      <c r="V68">
        <v>8203200000</v>
      </c>
    </row>
    <row r="69" spans="1:22" x14ac:dyDescent="0.25">
      <c r="A69">
        <v>162502</v>
      </c>
      <c r="B69" t="s">
        <v>302</v>
      </c>
      <c r="C69">
        <v>80</v>
      </c>
      <c r="D69">
        <v>0</v>
      </c>
      <c r="E69" t="s">
        <v>303</v>
      </c>
      <c r="F69" t="s">
        <v>391</v>
      </c>
      <c r="G69" t="s">
        <v>392</v>
      </c>
      <c r="H69" t="s">
        <v>396</v>
      </c>
      <c r="I69" t="s">
        <v>394</v>
      </c>
      <c r="J69">
        <v>60</v>
      </c>
      <c r="K69">
        <v>0</v>
      </c>
      <c r="L69">
        <v>60</v>
      </c>
      <c r="M69">
        <v>7.61</v>
      </c>
      <c r="N69">
        <v>1.79</v>
      </c>
      <c r="O69">
        <v>1.66</v>
      </c>
      <c r="Q69" t="s">
        <v>2</v>
      </c>
      <c r="R69">
        <v>5907698029014</v>
      </c>
      <c r="S69">
        <v>100</v>
      </c>
      <c r="T69" t="s">
        <v>397</v>
      </c>
      <c r="V69">
        <v>8203200000</v>
      </c>
    </row>
    <row r="70" spans="1:22" x14ac:dyDescent="0.25">
      <c r="A70">
        <v>162504</v>
      </c>
      <c r="B70" t="s">
        <v>302</v>
      </c>
      <c r="C70">
        <v>30</v>
      </c>
      <c r="D70">
        <v>6</v>
      </c>
      <c r="E70" t="s">
        <v>303</v>
      </c>
      <c r="F70" t="s">
        <v>391</v>
      </c>
      <c r="G70" t="s">
        <v>392</v>
      </c>
      <c r="H70" t="s">
        <v>398</v>
      </c>
      <c r="I70" t="s">
        <v>394</v>
      </c>
      <c r="J70">
        <v>361</v>
      </c>
      <c r="K70">
        <v>0</v>
      </c>
      <c r="L70">
        <v>361</v>
      </c>
      <c r="M70">
        <v>13.39</v>
      </c>
      <c r="N70">
        <v>3.6</v>
      </c>
      <c r="O70">
        <v>3.06</v>
      </c>
      <c r="Q70" t="s">
        <v>2</v>
      </c>
      <c r="R70">
        <v>5907698028260</v>
      </c>
      <c r="S70">
        <v>250</v>
      </c>
      <c r="T70" t="s">
        <v>397</v>
      </c>
      <c r="V70">
        <v>8203200000</v>
      </c>
    </row>
    <row r="71" spans="1:22" x14ac:dyDescent="0.25">
      <c r="A71">
        <v>162506</v>
      </c>
      <c r="B71" t="s">
        <v>302</v>
      </c>
      <c r="C71">
        <v>30</v>
      </c>
      <c r="D71">
        <v>6</v>
      </c>
      <c r="E71" t="s">
        <v>303</v>
      </c>
      <c r="F71" t="s">
        <v>391</v>
      </c>
      <c r="G71" t="s">
        <v>392</v>
      </c>
      <c r="H71" t="s">
        <v>399</v>
      </c>
      <c r="I71" t="s">
        <v>394</v>
      </c>
      <c r="J71">
        <v>46</v>
      </c>
      <c r="K71">
        <v>0</v>
      </c>
      <c r="L71">
        <v>46</v>
      </c>
      <c r="M71">
        <v>11.11</v>
      </c>
      <c r="N71">
        <v>2.99</v>
      </c>
      <c r="O71">
        <v>2.5299999999999998</v>
      </c>
      <c r="Q71" t="s">
        <v>2</v>
      </c>
      <c r="R71">
        <v>5907698028277</v>
      </c>
      <c r="S71">
        <v>130</v>
      </c>
      <c r="T71" t="s">
        <v>397</v>
      </c>
      <c r="V71">
        <v>8203200000</v>
      </c>
    </row>
    <row r="72" spans="1:22" x14ac:dyDescent="0.25">
      <c r="A72">
        <v>162508</v>
      </c>
      <c r="B72" t="s">
        <v>2993</v>
      </c>
      <c r="C72">
        <v>30</v>
      </c>
      <c r="D72">
        <v>0</v>
      </c>
      <c r="E72" t="s">
        <v>303</v>
      </c>
      <c r="F72" t="s">
        <v>391</v>
      </c>
      <c r="G72" t="s">
        <v>392</v>
      </c>
      <c r="H72" t="s">
        <v>2924</v>
      </c>
      <c r="I72" t="s">
        <v>394</v>
      </c>
      <c r="J72">
        <v>119</v>
      </c>
      <c r="K72">
        <v>0</v>
      </c>
      <c r="L72">
        <v>119</v>
      </c>
      <c r="M72">
        <v>13.3</v>
      </c>
      <c r="N72">
        <v>3.36</v>
      </c>
      <c r="O72">
        <v>2.87</v>
      </c>
      <c r="Q72" t="s">
        <v>3745</v>
      </c>
      <c r="R72">
        <v>5907698030591</v>
      </c>
      <c r="S72">
        <v>60</v>
      </c>
      <c r="T72" t="s">
        <v>482</v>
      </c>
      <c r="U72" t="s">
        <v>3746</v>
      </c>
      <c r="V72">
        <v>8203200000</v>
      </c>
    </row>
    <row r="73" spans="1:22" x14ac:dyDescent="0.25">
      <c r="A73">
        <v>170100</v>
      </c>
      <c r="B73" t="s">
        <v>302</v>
      </c>
      <c r="C73">
        <v>20</v>
      </c>
      <c r="D73">
        <v>1</v>
      </c>
      <c r="E73" t="s">
        <v>303</v>
      </c>
      <c r="F73" t="s">
        <v>400</v>
      </c>
      <c r="G73" t="s">
        <v>401</v>
      </c>
      <c r="H73" t="s">
        <v>402</v>
      </c>
      <c r="I73" t="s">
        <v>403</v>
      </c>
      <c r="J73">
        <v>339</v>
      </c>
      <c r="K73">
        <v>0</v>
      </c>
      <c r="L73">
        <v>339</v>
      </c>
      <c r="M73">
        <v>15.05</v>
      </c>
      <c r="N73">
        <v>3.62</v>
      </c>
      <c r="O73">
        <v>3.3</v>
      </c>
      <c r="Q73" t="s">
        <v>2</v>
      </c>
      <c r="R73">
        <v>5907698010760</v>
      </c>
      <c r="S73">
        <v>300</v>
      </c>
      <c r="T73" t="s">
        <v>404</v>
      </c>
      <c r="V73">
        <v>8204120000</v>
      </c>
    </row>
    <row r="74" spans="1:22" x14ac:dyDescent="0.25">
      <c r="A74">
        <v>170150</v>
      </c>
      <c r="B74" t="s">
        <v>302</v>
      </c>
      <c r="C74">
        <v>20</v>
      </c>
      <c r="E74" t="s">
        <v>303</v>
      </c>
      <c r="F74" t="s">
        <v>400</v>
      </c>
      <c r="G74" t="s">
        <v>401</v>
      </c>
      <c r="H74" t="s">
        <v>1706</v>
      </c>
      <c r="I74" t="s">
        <v>403</v>
      </c>
      <c r="J74">
        <v>88</v>
      </c>
      <c r="K74">
        <v>0</v>
      </c>
      <c r="L74">
        <v>88</v>
      </c>
      <c r="M74">
        <v>18.649999999999999</v>
      </c>
      <c r="N74">
        <v>4.49</v>
      </c>
      <c r="O74">
        <v>4.12</v>
      </c>
      <c r="Q74" t="s">
        <v>2</v>
      </c>
      <c r="R74">
        <v>5907698010777</v>
      </c>
      <c r="S74">
        <v>180</v>
      </c>
      <c r="T74" t="s">
        <v>404</v>
      </c>
      <c r="V74">
        <v>8204120000</v>
      </c>
    </row>
    <row r="75" spans="1:22" x14ac:dyDescent="0.25">
      <c r="A75">
        <v>170200</v>
      </c>
      <c r="B75" t="s">
        <v>302</v>
      </c>
      <c r="C75">
        <v>10</v>
      </c>
      <c r="E75" t="s">
        <v>303</v>
      </c>
      <c r="F75" t="s">
        <v>400</v>
      </c>
      <c r="G75" t="s">
        <v>401</v>
      </c>
      <c r="H75" t="s">
        <v>405</v>
      </c>
      <c r="I75" t="s">
        <v>403</v>
      </c>
      <c r="J75">
        <v>0</v>
      </c>
      <c r="K75">
        <v>0</v>
      </c>
      <c r="L75">
        <v>0</v>
      </c>
      <c r="M75">
        <v>28.91</v>
      </c>
      <c r="N75">
        <v>6.94</v>
      </c>
      <c r="O75">
        <v>6.34</v>
      </c>
      <c r="Q75" t="s">
        <v>2</v>
      </c>
      <c r="R75">
        <v>5907698010784</v>
      </c>
      <c r="S75">
        <v>80</v>
      </c>
      <c r="T75" t="s">
        <v>404</v>
      </c>
      <c r="V75">
        <v>8204120000</v>
      </c>
    </row>
    <row r="76" spans="1:22" x14ac:dyDescent="0.25">
      <c r="A76">
        <v>172100</v>
      </c>
      <c r="B76" t="s">
        <v>302</v>
      </c>
      <c r="C76">
        <v>20</v>
      </c>
      <c r="E76" t="s">
        <v>303</v>
      </c>
      <c r="F76" t="s">
        <v>400</v>
      </c>
      <c r="G76" t="s">
        <v>401</v>
      </c>
      <c r="H76" t="s">
        <v>406</v>
      </c>
      <c r="I76" t="s">
        <v>403</v>
      </c>
      <c r="J76">
        <v>24</v>
      </c>
      <c r="K76">
        <v>0</v>
      </c>
      <c r="L76">
        <v>24</v>
      </c>
      <c r="M76">
        <v>16.899999999999999</v>
      </c>
      <c r="N76">
        <v>3.98</v>
      </c>
      <c r="O76">
        <v>3.67</v>
      </c>
      <c r="Q76" t="s">
        <v>2</v>
      </c>
      <c r="R76">
        <v>5907698010807</v>
      </c>
      <c r="S76">
        <v>160</v>
      </c>
      <c r="T76" t="s">
        <v>407</v>
      </c>
      <c r="V76">
        <v>8204120000</v>
      </c>
    </row>
    <row r="77" spans="1:22" x14ac:dyDescent="0.25">
      <c r="A77">
        <v>172150</v>
      </c>
      <c r="B77" t="s">
        <v>302</v>
      </c>
      <c r="C77">
        <v>20</v>
      </c>
      <c r="D77">
        <v>0</v>
      </c>
      <c r="E77" t="s">
        <v>303</v>
      </c>
      <c r="F77" t="s">
        <v>400</v>
      </c>
      <c r="G77" t="s">
        <v>408</v>
      </c>
      <c r="H77" t="s">
        <v>409</v>
      </c>
      <c r="I77" t="s">
        <v>403</v>
      </c>
      <c r="J77">
        <v>24</v>
      </c>
      <c r="K77">
        <v>10</v>
      </c>
      <c r="L77">
        <v>34</v>
      </c>
      <c r="M77">
        <v>22.19</v>
      </c>
      <c r="N77">
        <v>5.33</v>
      </c>
      <c r="O77">
        <v>4.88</v>
      </c>
      <c r="Q77" t="s">
        <v>2</v>
      </c>
      <c r="R77">
        <v>5907698010814</v>
      </c>
      <c r="S77">
        <v>90</v>
      </c>
      <c r="T77" t="s">
        <v>407</v>
      </c>
      <c r="V77">
        <v>8204120000</v>
      </c>
    </row>
    <row r="78" spans="1:22" x14ac:dyDescent="0.25">
      <c r="A78">
        <v>172200</v>
      </c>
      <c r="B78" t="s">
        <v>302</v>
      </c>
      <c r="C78">
        <v>10</v>
      </c>
      <c r="D78">
        <v>0</v>
      </c>
      <c r="E78" t="s">
        <v>303</v>
      </c>
      <c r="F78" t="s">
        <v>400</v>
      </c>
      <c r="G78" t="s">
        <v>408</v>
      </c>
      <c r="H78" t="s">
        <v>410</v>
      </c>
      <c r="I78" t="s">
        <v>403</v>
      </c>
      <c r="J78">
        <v>94</v>
      </c>
      <c r="K78">
        <v>0</v>
      </c>
      <c r="L78">
        <v>94</v>
      </c>
      <c r="M78">
        <v>32.79</v>
      </c>
      <c r="N78">
        <v>7.88</v>
      </c>
      <c r="O78">
        <v>7.2</v>
      </c>
      <c r="Q78" t="s">
        <v>2</v>
      </c>
      <c r="R78">
        <v>5907698028581</v>
      </c>
      <c r="S78">
        <v>40</v>
      </c>
      <c r="T78" t="s">
        <v>407</v>
      </c>
      <c r="V78">
        <v>8204120000</v>
      </c>
    </row>
    <row r="79" spans="1:22" x14ac:dyDescent="0.25">
      <c r="A79">
        <v>180192</v>
      </c>
      <c r="B79" t="s">
        <v>302</v>
      </c>
      <c r="C79">
        <v>60</v>
      </c>
      <c r="D79">
        <v>10</v>
      </c>
      <c r="E79" t="s">
        <v>303</v>
      </c>
      <c r="F79" t="s">
        <v>3018</v>
      </c>
      <c r="G79" t="s">
        <v>411</v>
      </c>
      <c r="H79" t="s">
        <v>412</v>
      </c>
      <c r="I79" t="s">
        <v>413</v>
      </c>
      <c r="J79">
        <v>264</v>
      </c>
      <c r="K79">
        <v>20</v>
      </c>
      <c r="L79">
        <v>284</v>
      </c>
      <c r="M79">
        <v>7.52</v>
      </c>
      <c r="N79">
        <v>1.77</v>
      </c>
      <c r="O79">
        <v>1.64</v>
      </c>
      <c r="Q79" t="s">
        <v>2</v>
      </c>
      <c r="R79">
        <v>5907698022350</v>
      </c>
      <c r="S79">
        <v>280</v>
      </c>
      <c r="T79" t="s">
        <v>414</v>
      </c>
      <c r="V79">
        <v>8203200000</v>
      </c>
    </row>
    <row r="80" spans="1:22" x14ac:dyDescent="0.25">
      <c r="A80">
        <v>180194</v>
      </c>
      <c r="B80" t="s">
        <v>302</v>
      </c>
      <c r="C80">
        <v>60</v>
      </c>
      <c r="D80">
        <v>6</v>
      </c>
      <c r="E80" t="s">
        <v>303</v>
      </c>
      <c r="F80" t="s">
        <v>3018</v>
      </c>
      <c r="G80" t="s">
        <v>411</v>
      </c>
      <c r="H80" t="s">
        <v>393</v>
      </c>
      <c r="I80" t="s">
        <v>413</v>
      </c>
      <c r="J80">
        <v>131</v>
      </c>
      <c r="K80">
        <v>0</v>
      </c>
      <c r="L80">
        <v>131</v>
      </c>
      <c r="M80">
        <v>7.86</v>
      </c>
      <c r="N80">
        <v>1.85</v>
      </c>
      <c r="O80">
        <v>1.71</v>
      </c>
      <c r="Q80" t="s">
        <v>2</v>
      </c>
      <c r="R80">
        <v>5907698023210</v>
      </c>
      <c r="S80">
        <v>250</v>
      </c>
      <c r="T80" t="s">
        <v>414</v>
      </c>
      <c r="V80">
        <v>8203200000</v>
      </c>
    </row>
    <row r="81" spans="1:22" x14ac:dyDescent="0.25">
      <c r="A81">
        <v>181170</v>
      </c>
      <c r="B81" t="s">
        <v>302</v>
      </c>
      <c r="C81">
        <v>60</v>
      </c>
      <c r="D81">
        <v>6</v>
      </c>
      <c r="E81" t="s">
        <v>303</v>
      </c>
      <c r="F81" t="s">
        <v>3019</v>
      </c>
      <c r="G81" t="s">
        <v>1707</v>
      </c>
      <c r="H81" t="s">
        <v>1708</v>
      </c>
      <c r="I81" t="s">
        <v>1709</v>
      </c>
      <c r="J81">
        <v>21</v>
      </c>
      <c r="K81">
        <v>48</v>
      </c>
      <c r="L81">
        <v>69</v>
      </c>
      <c r="M81">
        <v>5.18</v>
      </c>
      <c r="N81">
        <v>1.35</v>
      </c>
      <c r="O81">
        <v>1.1599999999999999</v>
      </c>
      <c r="Q81" t="s">
        <v>4</v>
      </c>
      <c r="R81">
        <v>5907698025115</v>
      </c>
      <c r="S81">
        <v>210</v>
      </c>
      <c r="T81" t="s">
        <v>414</v>
      </c>
      <c r="V81">
        <v>8203200000</v>
      </c>
    </row>
    <row r="82" spans="1:22" x14ac:dyDescent="0.25">
      <c r="A82">
        <v>182000</v>
      </c>
      <c r="B82" t="s">
        <v>302</v>
      </c>
      <c r="C82">
        <v>40</v>
      </c>
      <c r="D82">
        <v>0</v>
      </c>
      <c r="E82" t="s">
        <v>303</v>
      </c>
      <c r="F82" t="s">
        <v>3020</v>
      </c>
      <c r="G82" t="s">
        <v>1710</v>
      </c>
      <c r="H82" t="s">
        <v>1711</v>
      </c>
      <c r="I82" t="s">
        <v>415</v>
      </c>
      <c r="J82">
        <v>172</v>
      </c>
      <c r="K82">
        <v>1</v>
      </c>
      <c r="L82">
        <v>173</v>
      </c>
      <c r="M82">
        <v>8.24</v>
      </c>
      <c r="N82">
        <v>2.0699999999999998</v>
      </c>
      <c r="O82">
        <v>1.85</v>
      </c>
      <c r="Q82" t="s">
        <v>2548</v>
      </c>
      <c r="R82">
        <v>5907698010890</v>
      </c>
      <c r="S82">
        <v>720</v>
      </c>
      <c r="T82" t="s">
        <v>383</v>
      </c>
      <c r="V82">
        <v>8203200000</v>
      </c>
    </row>
    <row r="83" spans="1:22" x14ac:dyDescent="0.25">
      <c r="A83">
        <v>182060</v>
      </c>
      <c r="B83" t="s">
        <v>302</v>
      </c>
      <c r="C83">
        <v>40</v>
      </c>
      <c r="D83">
        <v>0</v>
      </c>
      <c r="E83" t="s">
        <v>303</v>
      </c>
      <c r="F83" t="s">
        <v>3020</v>
      </c>
      <c r="G83" t="s">
        <v>416</v>
      </c>
      <c r="H83" t="s">
        <v>417</v>
      </c>
      <c r="I83" t="s">
        <v>415</v>
      </c>
      <c r="J83">
        <v>377</v>
      </c>
      <c r="K83">
        <v>141</v>
      </c>
      <c r="L83">
        <v>518</v>
      </c>
      <c r="M83">
        <v>16.239999999999998</v>
      </c>
      <c r="N83">
        <v>3.83</v>
      </c>
      <c r="O83">
        <v>3.54</v>
      </c>
      <c r="Q83" t="s">
        <v>2548</v>
      </c>
      <c r="R83">
        <v>5907698020752</v>
      </c>
      <c r="S83">
        <v>400</v>
      </c>
      <c r="T83" t="s">
        <v>383</v>
      </c>
      <c r="U83" t="s">
        <v>3021</v>
      </c>
      <c r="V83">
        <v>8203200000</v>
      </c>
    </row>
    <row r="84" spans="1:22" x14ac:dyDescent="0.25">
      <c r="A84">
        <v>182070</v>
      </c>
      <c r="B84" t="s">
        <v>302</v>
      </c>
      <c r="C84">
        <v>20</v>
      </c>
      <c r="E84" t="s">
        <v>303</v>
      </c>
      <c r="F84" t="s">
        <v>3020</v>
      </c>
      <c r="G84" t="s">
        <v>418</v>
      </c>
      <c r="H84" t="s">
        <v>419</v>
      </c>
      <c r="I84" t="s">
        <v>420</v>
      </c>
      <c r="J84">
        <v>129</v>
      </c>
      <c r="K84">
        <v>0</v>
      </c>
      <c r="L84">
        <v>129</v>
      </c>
      <c r="M84">
        <v>24.41</v>
      </c>
      <c r="N84">
        <v>5.75</v>
      </c>
      <c r="O84">
        <v>5.31</v>
      </c>
      <c r="Q84" t="s">
        <v>2548</v>
      </c>
      <c r="R84">
        <v>5907698020943</v>
      </c>
      <c r="S84">
        <v>100</v>
      </c>
      <c r="T84" t="s">
        <v>404</v>
      </c>
      <c r="V84">
        <v>8203200000</v>
      </c>
    </row>
    <row r="85" spans="1:22" x14ac:dyDescent="0.25">
      <c r="A85">
        <v>182500</v>
      </c>
      <c r="B85" t="s">
        <v>3008</v>
      </c>
      <c r="C85">
        <v>40</v>
      </c>
      <c r="D85">
        <v>10</v>
      </c>
      <c r="E85" t="s">
        <v>303</v>
      </c>
      <c r="F85" t="s">
        <v>3022</v>
      </c>
      <c r="G85" t="s">
        <v>416</v>
      </c>
      <c r="H85" t="s">
        <v>1644</v>
      </c>
      <c r="I85" t="s">
        <v>421</v>
      </c>
      <c r="J85">
        <v>299</v>
      </c>
      <c r="K85">
        <v>0</v>
      </c>
      <c r="L85">
        <v>299</v>
      </c>
      <c r="M85">
        <v>11.61</v>
      </c>
      <c r="N85">
        <v>2.74</v>
      </c>
      <c r="O85">
        <v>2.5299999999999998</v>
      </c>
      <c r="Q85" t="s">
        <v>2548</v>
      </c>
      <c r="R85">
        <v>5907698010906</v>
      </c>
      <c r="S85">
        <v>320</v>
      </c>
      <c r="T85" t="s">
        <v>383</v>
      </c>
      <c r="V85">
        <v>8203200000</v>
      </c>
    </row>
    <row r="86" spans="1:22" x14ac:dyDescent="0.25">
      <c r="A86">
        <v>183000</v>
      </c>
      <c r="B86" t="s">
        <v>302</v>
      </c>
      <c r="C86">
        <v>40</v>
      </c>
      <c r="D86">
        <v>0</v>
      </c>
      <c r="E86" t="s">
        <v>303</v>
      </c>
      <c r="F86" t="s">
        <v>3022</v>
      </c>
      <c r="G86" t="s">
        <v>416</v>
      </c>
      <c r="H86" t="s">
        <v>422</v>
      </c>
      <c r="I86" t="s">
        <v>421</v>
      </c>
      <c r="J86">
        <v>246</v>
      </c>
      <c r="K86">
        <v>11</v>
      </c>
      <c r="L86">
        <v>257</v>
      </c>
      <c r="M86">
        <v>14.21</v>
      </c>
      <c r="N86">
        <v>3.59</v>
      </c>
      <c r="O86">
        <v>3.2</v>
      </c>
      <c r="Q86" t="s">
        <v>2548</v>
      </c>
      <c r="R86">
        <v>5907698010913</v>
      </c>
      <c r="S86">
        <v>200</v>
      </c>
      <c r="T86" t="s">
        <v>423</v>
      </c>
      <c r="V86">
        <v>8203200000</v>
      </c>
    </row>
    <row r="87" spans="1:22" x14ac:dyDescent="0.25">
      <c r="A87">
        <v>183010</v>
      </c>
      <c r="B87" t="s">
        <v>302</v>
      </c>
      <c r="C87">
        <v>60</v>
      </c>
      <c r="D87">
        <v>4</v>
      </c>
      <c r="E87" t="s">
        <v>303</v>
      </c>
      <c r="F87" t="s">
        <v>3023</v>
      </c>
      <c r="G87" t="s">
        <v>424</v>
      </c>
      <c r="H87" t="s">
        <v>425</v>
      </c>
      <c r="I87" t="s">
        <v>426</v>
      </c>
      <c r="J87">
        <v>57</v>
      </c>
      <c r="K87">
        <v>3</v>
      </c>
      <c r="L87">
        <v>60</v>
      </c>
      <c r="M87">
        <v>33.86</v>
      </c>
      <c r="N87">
        <v>8.58</v>
      </c>
      <c r="O87">
        <v>7.3</v>
      </c>
      <c r="Q87" t="s">
        <v>3745</v>
      </c>
      <c r="R87">
        <v>5907698028505</v>
      </c>
      <c r="S87">
        <v>110</v>
      </c>
      <c r="T87" t="s">
        <v>427</v>
      </c>
      <c r="U87" t="s">
        <v>3746</v>
      </c>
      <c r="V87">
        <v>8467990000</v>
      </c>
    </row>
    <row r="88" spans="1:22" x14ac:dyDescent="0.25">
      <c r="A88">
        <v>183502</v>
      </c>
      <c r="B88" t="s">
        <v>302</v>
      </c>
      <c r="C88">
        <v>36</v>
      </c>
      <c r="D88">
        <v>0</v>
      </c>
      <c r="E88" t="s">
        <v>303</v>
      </c>
      <c r="F88" t="s">
        <v>428</v>
      </c>
      <c r="G88" t="s">
        <v>429</v>
      </c>
      <c r="H88" t="s">
        <v>430</v>
      </c>
      <c r="I88" t="s">
        <v>431</v>
      </c>
      <c r="J88">
        <v>741</v>
      </c>
      <c r="K88">
        <v>2</v>
      </c>
      <c r="L88">
        <v>743</v>
      </c>
      <c r="M88">
        <v>10.16</v>
      </c>
      <c r="N88">
        <v>2.57</v>
      </c>
      <c r="O88">
        <v>2.19</v>
      </c>
      <c r="Q88" t="s">
        <v>3745</v>
      </c>
      <c r="R88">
        <v>5907698026648</v>
      </c>
      <c r="S88">
        <v>260</v>
      </c>
      <c r="T88" t="s">
        <v>427</v>
      </c>
      <c r="U88" t="s">
        <v>3747</v>
      </c>
      <c r="V88">
        <v>8203400000</v>
      </c>
    </row>
    <row r="89" spans="1:22" x14ac:dyDescent="0.25">
      <c r="A89">
        <v>183650</v>
      </c>
      <c r="B89" t="s">
        <v>302</v>
      </c>
      <c r="C89">
        <v>72</v>
      </c>
      <c r="D89">
        <v>6</v>
      </c>
      <c r="E89" t="s">
        <v>303</v>
      </c>
      <c r="F89" t="s">
        <v>432</v>
      </c>
      <c r="G89" t="s">
        <v>433</v>
      </c>
      <c r="H89" t="s">
        <v>434</v>
      </c>
      <c r="I89" t="s">
        <v>435</v>
      </c>
      <c r="J89">
        <v>272</v>
      </c>
      <c r="K89">
        <v>72</v>
      </c>
      <c r="L89">
        <v>344</v>
      </c>
      <c r="M89">
        <v>6.02</v>
      </c>
      <c r="N89">
        <v>1.52</v>
      </c>
      <c r="O89">
        <v>1.35</v>
      </c>
      <c r="Q89" t="s">
        <v>2548</v>
      </c>
      <c r="R89">
        <v>5907698010920</v>
      </c>
      <c r="S89">
        <v>960</v>
      </c>
      <c r="T89" t="s">
        <v>383</v>
      </c>
      <c r="V89">
        <v>8203200000</v>
      </c>
    </row>
    <row r="90" spans="1:22" x14ac:dyDescent="0.25">
      <c r="A90">
        <v>194000</v>
      </c>
      <c r="B90" t="s">
        <v>302</v>
      </c>
      <c r="C90">
        <v>40</v>
      </c>
      <c r="D90">
        <v>10</v>
      </c>
      <c r="E90" t="s">
        <v>303</v>
      </c>
      <c r="F90" t="s">
        <v>436</v>
      </c>
      <c r="G90" t="s">
        <v>437</v>
      </c>
      <c r="H90" t="s">
        <v>438</v>
      </c>
      <c r="I90" t="s">
        <v>439</v>
      </c>
      <c r="J90">
        <v>290</v>
      </c>
      <c r="K90">
        <v>0</v>
      </c>
      <c r="L90">
        <v>290</v>
      </c>
      <c r="M90">
        <v>11.19</v>
      </c>
      <c r="N90">
        <v>2.64</v>
      </c>
      <c r="O90">
        <v>2.4500000000000002</v>
      </c>
      <c r="Q90" t="s">
        <v>2</v>
      </c>
      <c r="R90">
        <v>5907698010937</v>
      </c>
      <c r="S90">
        <v>350</v>
      </c>
      <c r="T90" t="s">
        <v>383</v>
      </c>
      <c r="U90" t="s">
        <v>2549</v>
      </c>
      <c r="V90">
        <v>8205598000</v>
      </c>
    </row>
    <row r="91" spans="1:22" x14ac:dyDescent="0.25">
      <c r="A91">
        <v>194140</v>
      </c>
      <c r="B91" t="s">
        <v>302</v>
      </c>
      <c r="C91">
        <v>40</v>
      </c>
      <c r="D91">
        <v>10</v>
      </c>
      <c r="E91" t="s">
        <v>303</v>
      </c>
      <c r="F91" t="s">
        <v>436</v>
      </c>
      <c r="G91" t="s">
        <v>437</v>
      </c>
      <c r="H91" t="s">
        <v>440</v>
      </c>
      <c r="I91" t="s">
        <v>3024</v>
      </c>
      <c r="J91">
        <v>2069</v>
      </c>
      <c r="K91">
        <v>101</v>
      </c>
      <c r="L91">
        <v>2170</v>
      </c>
      <c r="M91">
        <v>12.32</v>
      </c>
      <c r="N91">
        <v>3.16</v>
      </c>
      <c r="O91">
        <v>2.7</v>
      </c>
      <c r="Q91" t="s">
        <v>2</v>
      </c>
      <c r="R91">
        <v>5907698010951</v>
      </c>
      <c r="S91">
        <v>1650</v>
      </c>
      <c r="T91" t="s">
        <v>383</v>
      </c>
      <c r="U91" t="s">
        <v>3025</v>
      </c>
      <c r="V91">
        <v>8205598000</v>
      </c>
    </row>
    <row r="92" spans="1:22" x14ac:dyDescent="0.25">
      <c r="A92">
        <v>194141</v>
      </c>
      <c r="B92" t="s">
        <v>302</v>
      </c>
      <c r="C92">
        <v>20</v>
      </c>
      <c r="D92">
        <v>10</v>
      </c>
      <c r="E92" t="s">
        <v>303</v>
      </c>
      <c r="F92" t="s">
        <v>436</v>
      </c>
      <c r="G92" t="s">
        <v>437</v>
      </c>
      <c r="H92" t="s">
        <v>441</v>
      </c>
      <c r="I92" t="s">
        <v>437</v>
      </c>
      <c r="J92">
        <v>176</v>
      </c>
      <c r="K92">
        <v>161</v>
      </c>
      <c r="L92">
        <v>337</v>
      </c>
      <c r="M92">
        <v>14.93</v>
      </c>
      <c r="N92">
        <v>3.82</v>
      </c>
      <c r="O92">
        <v>3.29</v>
      </c>
      <c r="Q92" t="s">
        <v>2</v>
      </c>
      <c r="R92">
        <v>5907698019480</v>
      </c>
      <c r="S92">
        <v>800</v>
      </c>
      <c r="T92" t="s">
        <v>383</v>
      </c>
      <c r="U92" t="s">
        <v>3025</v>
      </c>
      <c r="V92">
        <v>8205598000</v>
      </c>
    </row>
    <row r="93" spans="1:22" x14ac:dyDescent="0.25">
      <c r="A93">
        <v>195012</v>
      </c>
      <c r="B93" t="s">
        <v>302</v>
      </c>
      <c r="C93">
        <v>50</v>
      </c>
      <c r="D93">
        <v>10</v>
      </c>
      <c r="E93" t="s">
        <v>303</v>
      </c>
      <c r="F93" t="s">
        <v>442</v>
      </c>
      <c r="G93" t="s">
        <v>443</v>
      </c>
      <c r="H93" t="s">
        <v>444</v>
      </c>
      <c r="I93" t="s">
        <v>445</v>
      </c>
      <c r="J93">
        <v>35</v>
      </c>
      <c r="K93">
        <v>51</v>
      </c>
      <c r="L93">
        <v>86</v>
      </c>
      <c r="M93">
        <v>9.77</v>
      </c>
      <c r="N93">
        <v>2.35</v>
      </c>
      <c r="O93">
        <v>2.15</v>
      </c>
      <c r="Q93" t="s">
        <v>2548</v>
      </c>
      <c r="R93">
        <v>5907698025498</v>
      </c>
      <c r="S93">
        <v>80</v>
      </c>
      <c r="T93" t="s">
        <v>427</v>
      </c>
      <c r="V93">
        <v>8203200000</v>
      </c>
    </row>
    <row r="94" spans="1:22" x14ac:dyDescent="0.25">
      <c r="A94">
        <v>195013</v>
      </c>
      <c r="B94" t="s">
        <v>302</v>
      </c>
      <c r="C94">
        <v>10</v>
      </c>
      <c r="D94">
        <v>0</v>
      </c>
      <c r="E94" t="s">
        <v>303</v>
      </c>
      <c r="F94" t="s">
        <v>446</v>
      </c>
      <c r="G94" t="s">
        <v>1712</v>
      </c>
      <c r="H94" t="s">
        <v>1713</v>
      </c>
      <c r="I94" t="s">
        <v>1714</v>
      </c>
      <c r="J94">
        <v>31</v>
      </c>
      <c r="K94">
        <v>0</v>
      </c>
      <c r="L94">
        <v>31</v>
      </c>
      <c r="M94">
        <v>32.229999999999997</v>
      </c>
      <c r="N94">
        <v>8.48</v>
      </c>
      <c r="O94">
        <v>7.18</v>
      </c>
      <c r="Q94" t="s">
        <v>2</v>
      </c>
      <c r="R94">
        <v>5907698027843</v>
      </c>
      <c r="S94">
        <v>40</v>
      </c>
      <c r="T94" t="s">
        <v>383</v>
      </c>
      <c r="V94">
        <v>8203200000</v>
      </c>
    </row>
    <row r="95" spans="1:22" x14ac:dyDescent="0.25">
      <c r="A95">
        <v>195014</v>
      </c>
      <c r="B95" t="s">
        <v>302</v>
      </c>
      <c r="C95">
        <v>50</v>
      </c>
      <c r="D95">
        <v>10</v>
      </c>
      <c r="E95" t="s">
        <v>303</v>
      </c>
      <c r="F95" t="s">
        <v>446</v>
      </c>
      <c r="G95" t="s">
        <v>447</v>
      </c>
      <c r="H95" t="s">
        <v>448</v>
      </c>
      <c r="I95" t="s">
        <v>445</v>
      </c>
      <c r="J95">
        <v>44</v>
      </c>
      <c r="K95">
        <v>1</v>
      </c>
      <c r="L95">
        <v>45</v>
      </c>
      <c r="M95">
        <v>11.31</v>
      </c>
      <c r="N95">
        <v>2.72</v>
      </c>
      <c r="O95">
        <v>2.48</v>
      </c>
      <c r="Q95" t="s">
        <v>3026</v>
      </c>
      <c r="R95">
        <v>5907698026631</v>
      </c>
      <c r="S95">
        <v>200</v>
      </c>
      <c r="T95" t="s">
        <v>383</v>
      </c>
      <c r="V95">
        <v>8203200000</v>
      </c>
    </row>
    <row r="96" spans="1:22" x14ac:dyDescent="0.25">
      <c r="A96">
        <v>195015</v>
      </c>
      <c r="B96" t="s">
        <v>2993</v>
      </c>
      <c r="C96">
        <v>120</v>
      </c>
      <c r="D96">
        <v>0</v>
      </c>
      <c r="E96" t="s">
        <v>303</v>
      </c>
      <c r="F96" t="s">
        <v>446</v>
      </c>
      <c r="G96" t="s">
        <v>447</v>
      </c>
      <c r="H96" t="s">
        <v>2925</v>
      </c>
      <c r="I96" t="s">
        <v>445</v>
      </c>
      <c r="J96">
        <v>239</v>
      </c>
      <c r="K96">
        <v>0</v>
      </c>
      <c r="L96">
        <v>239</v>
      </c>
      <c r="M96">
        <v>8.74</v>
      </c>
      <c r="N96">
        <v>2.21</v>
      </c>
      <c r="O96">
        <v>1.89</v>
      </c>
      <c r="Q96" t="s">
        <v>3745</v>
      </c>
      <c r="R96">
        <v>5907698030508</v>
      </c>
      <c r="S96">
        <v>120</v>
      </c>
      <c r="T96" t="s">
        <v>1792</v>
      </c>
      <c r="V96">
        <v>8203200000</v>
      </c>
    </row>
    <row r="97" spans="1:22" x14ac:dyDescent="0.25">
      <c r="A97">
        <v>195310</v>
      </c>
      <c r="B97" t="s">
        <v>302</v>
      </c>
      <c r="C97">
        <v>240</v>
      </c>
      <c r="D97">
        <v>30</v>
      </c>
      <c r="E97" t="s">
        <v>303</v>
      </c>
      <c r="F97" t="s">
        <v>449</v>
      </c>
      <c r="G97" t="s">
        <v>450</v>
      </c>
      <c r="H97" t="s">
        <v>1715</v>
      </c>
      <c r="I97" t="s">
        <v>451</v>
      </c>
      <c r="J97">
        <v>936</v>
      </c>
      <c r="K97">
        <v>60</v>
      </c>
      <c r="L97">
        <v>996</v>
      </c>
      <c r="M97">
        <v>3.21</v>
      </c>
      <c r="N97">
        <v>0.83</v>
      </c>
      <c r="O97">
        <v>0.71</v>
      </c>
      <c r="Q97" t="s">
        <v>3026</v>
      </c>
      <c r="R97">
        <v>5907698020639</v>
      </c>
      <c r="S97">
        <v>1300</v>
      </c>
      <c r="T97" t="s">
        <v>352</v>
      </c>
      <c r="V97">
        <v>3926909790</v>
      </c>
    </row>
    <row r="98" spans="1:22" x14ac:dyDescent="0.25">
      <c r="A98">
        <v>198190</v>
      </c>
      <c r="B98" t="s">
        <v>302</v>
      </c>
      <c r="C98">
        <v>60</v>
      </c>
      <c r="D98">
        <v>0</v>
      </c>
      <c r="E98" t="s">
        <v>303</v>
      </c>
      <c r="F98" t="s">
        <v>449</v>
      </c>
      <c r="G98" t="s">
        <v>450</v>
      </c>
      <c r="H98" t="s">
        <v>452</v>
      </c>
      <c r="I98" t="s">
        <v>451</v>
      </c>
      <c r="J98">
        <v>2442</v>
      </c>
      <c r="K98">
        <v>0</v>
      </c>
      <c r="L98">
        <v>2442</v>
      </c>
      <c r="M98">
        <v>1.75</v>
      </c>
      <c r="N98">
        <v>0.44</v>
      </c>
      <c r="O98">
        <v>0.37</v>
      </c>
      <c r="Q98" t="s">
        <v>3026</v>
      </c>
      <c r="R98">
        <v>5907698011002</v>
      </c>
      <c r="S98">
        <v>2500</v>
      </c>
      <c r="T98" t="s">
        <v>352</v>
      </c>
      <c r="V98">
        <v>3926909790</v>
      </c>
    </row>
    <row r="99" spans="1:22" x14ac:dyDescent="0.25">
      <c r="A99">
        <v>198300</v>
      </c>
      <c r="B99" t="s">
        <v>302</v>
      </c>
      <c r="C99">
        <v>150</v>
      </c>
      <c r="D99">
        <v>0</v>
      </c>
      <c r="E99" t="s">
        <v>303</v>
      </c>
      <c r="F99" t="s">
        <v>449</v>
      </c>
      <c r="G99" t="s">
        <v>450</v>
      </c>
      <c r="H99" t="s">
        <v>1716</v>
      </c>
      <c r="I99" t="s">
        <v>451</v>
      </c>
      <c r="J99">
        <v>3690</v>
      </c>
      <c r="K99">
        <v>30</v>
      </c>
      <c r="L99">
        <v>3720</v>
      </c>
      <c r="M99">
        <v>3.12</v>
      </c>
      <c r="N99">
        <v>0.8</v>
      </c>
      <c r="O99">
        <v>0.68</v>
      </c>
      <c r="Q99" t="s">
        <v>3026</v>
      </c>
      <c r="R99">
        <v>5907698011019</v>
      </c>
      <c r="S99">
        <v>2400</v>
      </c>
      <c r="T99" t="s">
        <v>352</v>
      </c>
      <c r="V99">
        <v>3926909790</v>
      </c>
    </row>
    <row r="100" spans="1:22" x14ac:dyDescent="0.25">
      <c r="A100">
        <v>198390</v>
      </c>
      <c r="B100" t="s">
        <v>302</v>
      </c>
      <c r="C100">
        <v>240</v>
      </c>
      <c r="D100">
        <v>30</v>
      </c>
      <c r="E100" t="s">
        <v>303</v>
      </c>
      <c r="F100" t="s">
        <v>449</v>
      </c>
      <c r="G100" t="s">
        <v>450</v>
      </c>
      <c r="H100" t="s">
        <v>453</v>
      </c>
      <c r="I100" t="s">
        <v>451</v>
      </c>
      <c r="J100">
        <v>1874</v>
      </c>
      <c r="K100">
        <v>0</v>
      </c>
      <c r="L100">
        <v>1874</v>
      </c>
      <c r="M100">
        <v>2.0499999999999998</v>
      </c>
      <c r="N100">
        <v>0.53</v>
      </c>
      <c r="O100">
        <v>0.45</v>
      </c>
      <c r="Q100" t="s">
        <v>3026</v>
      </c>
      <c r="R100">
        <v>5907698011026</v>
      </c>
      <c r="S100">
        <v>2500</v>
      </c>
      <c r="T100" t="s">
        <v>352</v>
      </c>
      <c r="V100">
        <v>3926909790</v>
      </c>
    </row>
    <row r="101" spans="1:22" x14ac:dyDescent="0.25">
      <c r="A101">
        <v>198400</v>
      </c>
      <c r="B101" t="s">
        <v>302</v>
      </c>
      <c r="C101">
        <v>150</v>
      </c>
      <c r="D101">
        <v>30</v>
      </c>
      <c r="E101" t="s">
        <v>303</v>
      </c>
      <c r="F101" t="s">
        <v>449</v>
      </c>
      <c r="G101" t="s">
        <v>450</v>
      </c>
      <c r="H101" t="s">
        <v>454</v>
      </c>
      <c r="I101" t="s">
        <v>451</v>
      </c>
      <c r="J101">
        <v>2888</v>
      </c>
      <c r="K101">
        <v>33</v>
      </c>
      <c r="L101">
        <v>2921</v>
      </c>
      <c r="M101">
        <v>3.12</v>
      </c>
      <c r="N101">
        <v>0.8</v>
      </c>
      <c r="O101">
        <v>0.68</v>
      </c>
      <c r="Q101" t="s">
        <v>3026</v>
      </c>
      <c r="R101">
        <v>5907698011033</v>
      </c>
      <c r="S101">
        <v>2400</v>
      </c>
      <c r="T101" t="s">
        <v>352</v>
      </c>
      <c r="V101">
        <v>3926909790</v>
      </c>
    </row>
    <row r="102" spans="1:22" x14ac:dyDescent="0.25">
      <c r="A102">
        <v>198501</v>
      </c>
      <c r="B102" t="s">
        <v>302</v>
      </c>
      <c r="C102">
        <v>60</v>
      </c>
      <c r="D102">
        <v>30</v>
      </c>
      <c r="E102" t="s">
        <v>303</v>
      </c>
      <c r="F102" t="s">
        <v>449</v>
      </c>
      <c r="G102" t="s">
        <v>450</v>
      </c>
      <c r="H102" t="s">
        <v>455</v>
      </c>
      <c r="I102" t="s">
        <v>451</v>
      </c>
      <c r="J102">
        <v>2399</v>
      </c>
      <c r="K102">
        <v>30</v>
      </c>
      <c r="L102">
        <v>2429</v>
      </c>
      <c r="M102">
        <v>3.49</v>
      </c>
      <c r="N102">
        <v>0.88</v>
      </c>
      <c r="O102">
        <v>0.76</v>
      </c>
      <c r="Q102" t="s">
        <v>3026</v>
      </c>
      <c r="R102">
        <v>5907698020615</v>
      </c>
      <c r="S102">
        <v>1800</v>
      </c>
      <c r="T102" t="s">
        <v>352</v>
      </c>
      <c r="V102">
        <v>3926909790</v>
      </c>
    </row>
    <row r="103" spans="1:22" x14ac:dyDescent="0.25">
      <c r="A103">
        <v>198502</v>
      </c>
      <c r="B103" t="s">
        <v>302</v>
      </c>
      <c r="C103">
        <v>60</v>
      </c>
      <c r="D103">
        <v>30</v>
      </c>
      <c r="E103" t="s">
        <v>303</v>
      </c>
      <c r="F103" t="s">
        <v>449</v>
      </c>
      <c r="G103" t="s">
        <v>450</v>
      </c>
      <c r="H103" t="s">
        <v>456</v>
      </c>
      <c r="I103" t="s">
        <v>451</v>
      </c>
      <c r="J103">
        <v>2540</v>
      </c>
      <c r="K103">
        <v>30</v>
      </c>
      <c r="L103">
        <v>2570</v>
      </c>
      <c r="M103">
        <v>3.46</v>
      </c>
      <c r="N103">
        <v>0.88</v>
      </c>
      <c r="O103">
        <v>0.76</v>
      </c>
      <c r="Q103" t="s">
        <v>3026</v>
      </c>
      <c r="R103">
        <v>5907698020622</v>
      </c>
      <c r="S103">
        <v>1800</v>
      </c>
      <c r="T103" t="s">
        <v>352</v>
      </c>
      <c r="V103">
        <v>3926909790</v>
      </c>
    </row>
    <row r="104" spans="1:22" x14ac:dyDescent="0.25">
      <c r="A104">
        <v>198571</v>
      </c>
      <c r="B104" t="s">
        <v>302</v>
      </c>
      <c r="C104">
        <v>60</v>
      </c>
      <c r="D104">
        <v>0</v>
      </c>
      <c r="E104" t="s">
        <v>303</v>
      </c>
      <c r="F104" t="s">
        <v>449</v>
      </c>
      <c r="G104" t="s">
        <v>450</v>
      </c>
      <c r="H104" t="s">
        <v>457</v>
      </c>
      <c r="I104" t="s">
        <v>451</v>
      </c>
      <c r="J104">
        <v>1416</v>
      </c>
      <c r="K104">
        <v>0</v>
      </c>
      <c r="L104">
        <v>1416</v>
      </c>
      <c r="M104">
        <v>5.09</v>
      </c>
      <c r="N104">
        <v>1.3</v>
      </c>
      <c r="O104">
        <v>1.1100000000000001</v>
      </c>
      <c r="Q104" t="s">
        <v>3026</v>
      </c>
      <c r="R104">
        <v>5907698022145</v>
      </c>
      <c r="S104">
        <v>700</v>
      </c>
      <c r="T104" t="s">
        <v>352</v>
      </c>
      <c r="V104">
        <v>3926909790</v>
      </c>
    </row>
    <row r="105" spans="1:22" x14ac:dyDescent="0.25">
      <c r="A105">
        <v>198572</v>
      </c>
      <c r="B105" t="s">
        <v>302</v>
      </c>
      <c r="C105">
        <v>60</v>
      </c>
      <c r="D105">
        <v>0</v>
      </c>
      <c r="E105" t="s">
        <v>303</v>
      </c>
      <c r="F105" t="s">
        <v>449</v>
      </c>
      <c r="G105" t="s">
        <v>450</v>
      </c>
      <c r="H105" t="s">
        <v>458</v>
      </c>
      <c r="I105" t="s">
        <v>451</v>
      </c>
      <c r="J105">
        <v>973</v>
      </c>
      <c r="K105">
        <v>30</v>
      </c>
      <c r="L105">
        <v>1003</v>
      </c>
      <c r="M105">
        <v>5.09</v>
      </c>
      <c r="N105">
        <v>1.3</v>
      </c>
      <c r="O105">
        <v>1.1100000000000001</v>
      </c>
      <c r="Q105" t="s">
        <v>3026</v>
      </c>
      <c r="R105">
        <v>5907698022152</v>
      </c>
      <c r="S105">
        <v>700</v>
      </c>
      <c r="T105" t="s">
        <v>352</v>
      </c>
      <c r="V105">
        <v>3926909790</v>
      </c>
    </row>
    <row r="106" spans="1:22" x14ac:dyDescent="0.25">
      <c r="A106">
        <v>199160</v>
      </c>
      <c r="B106" t="s">
        <v>302</v>
      </c>
      <c r="C106">
        <v>120</v>
      </c>
      <c r="D106">
        <v>20</v>
      </c>
      <c r="E106" t="s">
        <v>303</v>
      </c>
      <c r="F106" t="s">
        <v>3028</v>
      </c>
      <c r="G106" t="s">
        <v>459</v>
      </c>
      <c r="H106" t="s">
        <v>460</v>
      </c>
      <c r="I106" t="s">
        <v>461</v>
      </c>
      <c r="J106">
        <v>256</v>
      </c>
      <c r="K106">
        <v>0</v>
      </c>
      <c r="L106">
        <v>256</v>
      </c>
      <c r="M106">
        <v>3.39</v>
      </c>
      <c r="N106">
        <v>0.8</v>
      </c>
      <c r="O106">
        <v>0.74</v>
      </c>
      <c r="Q106" t="s">
        <v>2548</v>
      </c>
      <c r="R106">
        <v>5907698022589</v>
      </c>
      <c r="S106">
        <v>500</v>
      </c>
      <c r="T106" t="s">
        <v>352</v>
      </c>
      <c r="V106">
        <v>7326909890</v>
      </c>
    </row>
    <row r="107" spans="1:22" x14ac:dyDescent="0.25">
      <c r="A107">
        <v>199180</v>
      </c>
      <c r="B107" t="s">
        <v>302</v>
      </c>
      <c r="C107">
        <v>120</v>
      </c>
      <c r="D107">
        <v>20</v>
      </c>
      <c r="E107" t="s">
        <v>303</v>
      </c>
      <c r="F107" t="s">
        <v>3028</v>
      </c>
      <c r="G107" t="s">
        <v>462</v>
      </c>
      <c r="H107" t="s">
        <v>463</v>
      </c>
      <c r="I107" t="s">
        <v>464</v>
      </c>
      <c r="J107">
        <v>1189</v>
      </c>
      <c r="K107">
        <v>0</v>
      </c>
      <c r="L107">
        <v>1189</v>
      </c>
      <c r="M107">
        <v>4.0599999999999996</v>
      </c>
      <c r="N107">
        <v>1.04</v>
      </c>
      <c r="O107">
        <v>0.88</v>
      </c>
      <c r="Q107" t="s">
        <v>2548</v>
      </c>
      <c r="R107">
        <v>5907698023081</v>
      </c>
      <c r="S107">
        <v>700</v>
      </c>
      <c r="T107" t="s">
        <v>352</v>
      </c>
      <c r="U107" t="s">
        <v>3029</v>
      </c>
      <c r="V107">
        <v>7326909890</v>
      </c>
    </row>
    <row r="108" spans="1:22" x14ac:dyDescent="0.25">
      <c r="A108">
        <v>199260</v>
      </c>
      <c r="B108" t="s">
        <v>302</v>
      </c>
      <c r="C108">
        <v>36</v>
      </c>
      <c r="D108">
        <v>12</v>
      </c>
      <c r="E108" t="s">
        <v>303</v>
      </c>
      <c r="F108" t="s">
        <v>3028</v>
      </c>
      <c r="G108" t="s">
        <v>459</v>
      </c>
      <c r="H108" t="s">
        <v>1717</v>
      </c>
      <c r="I108" t="s">
        <v>464</v>
      </c>
      <c r="J108">
        <v>204</v>
      </c>
      <c r="K108">
        <v>0</v>
      </c>
      <c r="L108">
        <v>204</v>
      </c>
      <c r="M108">
        <v>7.9</v>
      </c>
      <c r="N108">
        <v>1.85</v>
      </c>
      <c r="O108">
        <v>1.72</v>
      </c>
      <c r="Q108" t="s">
        <v>2548</v>
      </c>
      <c r="R108">
        <v>5907698023128</v>
      </c>
      <c r="S108">
        <v>210</v>
      </c>
      <c r="T108" t="s">
        <v>390</v>
      </c>
      <c r="V108">
        <v>7326909890</v>
      </c>
    </row>
    <row r="109" spans="1:22" x14ac:dyDescent="0.25">
      <c r="A109">
        <v>214032</v>
      </c>
      <c r="B109" t="s">
        <v>302</v>
      </c>
      <c r="C109">
        <v>20</v>
      </c>
      <c r="D109">
        <v>0</v>
      </c>
      <c r="E109" t="s">
        <v>303</v>
      </c>
      <c r="F109" t="s">
        <v>3030</v>
      </c>
      <c r="G109" t="s">
        <v>1718</v>
      </c>
      <c r="H109" t="s">
        <v>1645</v>
      </c>
      <c r="I109" t="s">
        <v>465</v>
      </c>
      <c r="J109">
        <v>245</v>
      </c>
      <c r="K109">
        <v>10</v>
      </c>
      <c r="L109">
        <v>255</v>
      </c>
      <c r="M109">
        <v>25.16</v>
      </c>
      <c r="N109">
        <v>6.77</v>
      </c>
      <c r="O109">
        <v>5.73</v>
      </c>
      <c r="Q109" t="s">
        <v>3031</v>
      </c>
      <c r="R109">
        <v>5907698020288</v>
      </c>
      <c r="S109">
        <v>160</v>
      </c>
      <c r="T109" t="s">
        <v>307</v>
      </c>
      <c r="V109">
        <v>8205700000</v>
      </c>
    </row>
    <row r="110" spans="1:22" x14ac:dyDescent="0.25">
      <c r="A110">
        <v>214052</v>
      </c>
      <c r="B110" t="s">
        <v>302</v>
      </c>
      <c r="C110">
        <v>20</v>
      </c>
      <c r="E110" t="s">
        <v>303</v>
      </c>
      <c r="F110" t="s">
        <v>3030</v>
      </c>
      <c r="G110" t="s">
        <v>466</v>
      </c>
      <c r="H110" t="s">
        <v>467</v>
      </c>
      <c r="I110" t="s">
        <v>465</v>
      </c>
      <c r="J110">
        <v>19</v>
      </c>
      <c r="K110">
        <v>10</v>
      </c>
      <c r="L110">
        <v>29</v>
      </c>
      <c r="M110">
        <v>30.77</v>
      </c>
      <c r="N110">
        <v>8.2799999999999994</v>
      </c>
      <c r="O110">
        <v>7.01</v>
      </c>
      <c r="Q110" t="s">
        <v>2548</v>
      </c>
      <c r="R110">
        <v>5907698020295</v>
      </c>
      <c r="S110">
        <v>130</v>
      </c>
      <c r="T110" t="s">
        <v>307</v>
      </c>
      <c r="V110">
        <v>8205700000</v>
      </c>
    </row>
    <row r="111" spans="1:22" x14ac:dyDescent="0.25">
      <c r="A111">
        <v>214082</v>
      </c>
      <c r="B111" t="s">
        <v>302</v>
      </c>
      <c r="C111">
        <v>10</v>
      </c>
      <c r="E111" t="s">
        <v>303</v>
      </c>
      <c r="F111" t="s">
        <v>3030</v>
      </c>
      <c r="G111" t="s">
        <v>466</v>
      </c>
      <c r="H111" t="s">
        <v>468</v>
      </c>
      <c r="I111" t="s">
        <v>465</v>
      </c>
      <c r="J111">
        <v>63</v>
      </c>
      <c r="K111">
        <v>10</v>
      </c>
      <c r="L111">
        <v>73</v>
      </c>
      <c r="M111">
        <v>32.450000000000003</v>
      </c>
      <c r="N111">
        <v>8.74</v>
      </c>
      <c r="O111">
        <v>7.39</v>
      </c>
      <c r="Q111" t="s">
        <v>2548</v>
      </c>
      <c r="R111">
        <v>5907698020301</v>
      </c>
      <c r="S111">
        <v>80</v>
      </c>
      <c r="T111" t="s">
        <v>307</v>
      </c>
      <c r="V111">
        <v>8205700000</v>
      </c>
    </row>
    <row r="112" spans="1:22" x14ac:dyDescent="0.25">
      <c r="A112">
        <v>230015</v>
      </c>
      <c r="B112" t="s">
        <v>302</v>
      </c>
      <c r="C112">
        <v>100</v>
      </c>
      <c r="D112">
        <v>20</v>
      </c>
      <c r="E112" t="s">
        <v>303</v>
      </c>
      <c r="F112" t="s">
        <v>3032</v>
      </c>
      <c r="G112" t="s">
        <v>469</v>
      </c>
      <c r="H112" t="s">
        <v>470</v>
      </c>
      <c r="I112" t="s">
        <v>471</v>
      </c>
      <c r="J112">
        <v>2</v>
      </c>
      <c r="K112">
        <v>0</v>
      </c>
      <c r="L112">
        <v>2</v>
      </c>
      <c r="M112">
        <v>5.78</v>
      </c>
      <c r="N112">
        <v>1.56</v>
      </c>
      <c r="O112">
        <v>1.31</v>
      </c>
      <c r="Q112" t="s">
        <v>2548</v>
      </c>
      <c r="R112">
        <v>5907698025740</v>
      </c>
      <c r="S112">
        <v>500</v>
      </c>
      <c r="T112" t="s">
        <v>472</v>
      </c>
      <c r="V112">
        <v>8205700000</v>
      </c>
    </row>
    <row r="113" spans="1:22" x14ac:dyDescent="0.25">
      <c r="A113">
        <v>230016</v>
      </c>
      <c r="B113" t="s">
        <v>302</v>
      </c>
      <c r="C113">
        <v>12</v>
      </c>
      <c r="D113">
        <v>0</v>
      </c>
      <c r="E113" t="s">
        <v>303</v>
      </c>
      <c r="F113" t="s">
        <v>3032</v>
      </c>
      <c r="G113" t="s">
        <v>469</v>
      </c>
      <c r="H113" t="s">
        <v>473</v>
      </c>
      <c r="I113" t="s">
        <v>471</v>
      </c>
      <c r="J113">
        <v>0</v>
      </c>
      <c r="K113">
        <v>0</v>
      </c>
      <c r="L113">
        <v>0</v>
      </c>
      <c r="M113">
        <v>44.87</v>
      </c>
      <c r="N113">
        <v>10.84</v>
      </c>
      <c r="O113">
        <v>9.94</v>
      </c>
      <c r="Q113" t="s">
        <v>2548</v>
      </c>
      <c r="R113">
        <v>5907698029045</v>
      </c>
      <c r="S113">
        <v>140</v>
      </c>
      <c r="T113" t="s">
        <v>474</v>
      </c>
      <c r="V113">
        <v>8205700000</v>
      </c>
    </row>
    <row r="114" spans="1:22" x14ac:dyDescent="0.25">
      <c r="A114">
        <v>230018</v>
      </c>
      <c r="B114" t="s">
        <v>302</v>
      </c>
      <c r="C114">
        <v>24</v>
      </c>
      <c r="D114">
        <v>0</v>
      </c>
      <c r="E114" t="s">
        <v>303</v>
      </c>
      <c r="F114" t="s">
        <v>3030</v>
      </c>
      <c r="G114" t="s">
        <v>1719</v>
      </c>
      <c r="H114" t="s">
        <v>1720</v>
      </c>
      <c r="I114" t="s">
        <v>1721</v>
      </c>
      <c r="J114">
        <v>0</v>
      </c>
      <c r="K114">
        <v>0</v>
      </c>
      <c r="L114">
        <v>0</v>
      </c>
      <c r="M114">
        <v>19.38</v>
      </c>
      <c r="N114">
        <v>4.55</v>
      </c>
      <c r="O114">
        <v>4.22</v>
      </c>
      <c r="Q114" t="s">
        <v>2548</v>
      </c>
      <c r="R114">
        <v>5907698029052</v>
      </c>
      <c r="S114">
        <v>60</v>
      </c>
      <c r="T114" t="s">
        <v>474</v>
      </c>
      <c r="V114">
        <v>3926909790</v>
      </c>
    </row>
    <row r="115" spans="1:22" x14ac:dyDescent="0.25">
      <c r="A115">
        <v>230030</v>
      </c>
      <c r="B115" t="s">
        <v>302</v>
      </c>
      <c r="C115">
        <v>60</v>
      </c>
      <c r="D115">
        <v>10</v>
      </c>
      <c r="E115" t="s">
        <v>303</v>
      </c>
      <c r="F115" t="s">
        <v>3033</v>
      </c>
      <c r="G115" t="s">
        <v>475</v>
      </c>
      <c r="H115" t="s">
        <v>476</v>
      </c>
      <c r="I115" t="s">
        <v>477</v>
      </c>
      <c r="J115">
        <v>0</v>
      </c>
      <c r="K115">
        <v>3</v>
      </c>
      <c r="L115">
        <v>3</v>
      </c>
      <c r="M115">
        <v>9.1</v>
      </c>
      <c r="N115">
        <v>2.15</v>
      </c>
      <c r="O115">
        <v>1.98</v>
      </c>
      <c r="Q115" t="s">
        <v>3011</v>
      </c>
      <c r="R115">
        <v>5907698011316</v>
      </c>
      <c r="S115">
        <v>800</v>
      </c>
      <c r="T115" t="s">
        <v>383</v>
      </c>
      <c r="V115">
        <v>8205700000</v>
      </c>
    </row>
    <row r="116" spans="1:22" x14ac:dyDescent="0.25">
      <c r="A116">
        <v>240101</v>
      </c>
      <c r="B116" t="s">
        <v>302</v>
      </c>
      <c r="C116">
        <v>48</v>
      </c>
      <c r="D116">
        <v>0</v>
      </c>
      <c r="E116" t="s">
        <v>303</v>
      </c>
      <c r="F116" t="s">
        <v>478</v>
      </c>
      <c r="G116" t="s">
        <v>479</v>
      </c>
      <c r="H116" t="s">
        <v>480</v>
      </c>
      <c r="I116" t="s">
        <v>481</v>
      </c>
      <c r="J116">
        <v>413</v>
      </c>
      <c r="K116">
        <v>29</v>
      </c>
      <c r="L116">
        <v>442</v>
      </c>
      <c r="M116">
        <v>5.32</v>
      </c>
      <c r="N116">
        <v>1.35</v>
      </c>
      <c r="O116">
        <v>1.1599999999999999</v>
      </c>
      <c r="Q116" t="s">
        <v>336</v>
      </c>
      <c r="R116">
        <v>5907698022169</v>
      </c>
      <c r="S116">
        <v>2300</v>
      </c>
      <c r="T116" t="s">
        <v>482</v>
      </c>
      <c r="U116" t="s">
        <v>2736</v>
      </c>
      <c r="V116">
        <v>8516797090</v>
      </c>
    </row>
    <row r="117" spans="1:22" x14ac:dyDescent="0.25">
      <c r="A117">
        <v>240103</v>
      </c>
      <c r="B117" t="s">
        <v>3034</v>
      </c>
      <c r="C117">
        <v>64</v>
      </c>
      <c r="D117">
        <v>0</v>
      </c>
      <c r="E117" t="s">
        <v>303</v>
      </c>
      <c r="F117" t="s">
        <v>483</v>
      </c>
      <c r="G117" t="s">
        <v>479</v>
      </c>
      <c r="H117" t="s">
        <v>2550</v>
      </c>
      <c r="I117" t="s">
        <v>481</v>
      </c>
      <c r="J117">
        <v>2206</v>
      </c>
      <c r="K117">
        <v>0</v>
      </c>
      <c r="L117">
        <v>2206</v>
      </c>
      <c r="M117">
        <v>6.16</v>
      </c>
      <c r="N117">
        <v>1.57</v>
      </c>
      <c r="O117">
        <v>1.35</v>
      </c>
      <c r="Q117" t="s">
        <v>336</v>
      </c>
      <c r="R117">
        <v>5907698029335</v>
      </c>
      <c r="S117">
        <v>400</v>
      </c>
      <c r="T117" t="s">
        <v>482</v>
      </c>
      <c r="U117" t="s">
        <v>3035</v>
      </c>
      <c r="V117">
        <v>8516797090</v>
      </c>
    </row>
    <row r="118" spans="1:22" x14ac:dyDescent="0.25">
      <c r="A118">
        <v>240106</v>
      </c>
      <c r="B118" t="s">
        <v>302</v>
      </c>
      <c r="C118">
        <v>48</v>
      </c>
      <c r="D118">
        <v>0</v>
      </c>
      <c r="E118" t="s">
        <v>303</v>
      </c>
      <c r="F118" t="s">
        <v>483</v>
      </c>
      <c r="G118" t="s">
        <v>479</v>
      </c>
      <c r="H118" t="s">
        <v>484</v>
      </c>
      <c r="I118" t="s">
        <v>481</v>
      </c>
      <c r="J118">
        <v>0</v>
      </c>
      <c r="K118">
        <v>0</v>
      </c>
      <c r="L118">
        <v>0</v>
      </c>
      <c r="M118">
        <v>13.2</v>
      </c>
      <c r="N118">
        <v>3.12</v>
      </c>
      <c r="O118">
        <v>2.89</v>
      </c>
      <c r="Q118" t="s">
        <v>336</v>
      </c>
      <c r="R118">
        <v>5907698029342</v>
      </c>
      <c r="S118">
        <v>400</v>
      </c>
      <c r="T118" t="s">
        <v>482</v>
      </c>
      <c r="U118" t="s">
        <v>1610</v>
      </c>
      <c r="V118">
        <v>8516797090</v>
      </c>
    </row>
    <row r="119" spans="1:22" x14ac:dyDescent="0.25">
      <c r="A119">
        <v>240401</v>
      </c>
      <c r="B119" t="s">
        <v>3034</v>
      </c>
      <c r="C119">
        <v>48</v>
      </c>
      <c r="D119">
        <v>0</v>
      </c>
      <c r="E119" t="s">
        <v>303</v>
      </c>
      <c r="F119" t="s">
        <v>478</v>
      </c>
      <c r="G119" t="s">
        <v>479</v>
      </c>
      <c r="H119" t="s">
        <v>485</v>
      </c>
      <c r="I119" t="s">
        <v>486</v>
      </c>
      <c r="J119">
        <v>2119</v>
      </c>
      <c r="K119">
        <v>132</v>
      </c>
      <c r="L119">
        <v>2251</v>
      </c>
      <c r="M119">
        <v>8.2899999999999991</v>
      </c>
      <c r="N119">
        <v>2.12</v>
      </c>
      <c r="O119">
        <v>1.81</v>
      </c>
      <c r="Q119" t="s">
        <v>336</v>
      </c>
      <c r="R119">
        <v>5907698022176</v>
      </c>
      <c r="S119">
        <v>3000</v>
      </c>
      <c r="T119" t="s">
        <v>482</v>
      </c>
      <c r="U119" t="s">
        <v>3036</v>
      </c>
      <c r="V119">
        <v>8516797090</v>
      </c>
    </row>
    <row r="120" spans="1:22" x14ac:dyDescent="0.25">
      <c r="A120">
        <v>241080</v>
      </c>
      <c r="B120" t="s">
        <v>302</v>
      </c>
      <c r="C120">
        <v>240</v>
      </c>
      <c r="D120">
        <v>120</v>
      </c>
      <c r="E120" t="s">
        <v>303</v>
      </c>
      <c r="F120" t="s">
        <v>487</v>
      </c>
      <c r="G120" t="s">
        <v>488</v>
      </c>
      <c r="H120" t="s">
        <v>1722</v>
      </c>
      <c r="I120" t="s">
        <v>489</v>
      </c>
      <c r="J120">
        <v>2010</v>
      </c>
      <c r="K120">
        <v>120</v>
      </c>
      <c r="L120">
        <v>2130</v>
      </c>
      <c r="M120">
        <v>0.95</v>
      </c>
      <c r="N120">
        <v>0.25</v>
      </c>
      <c r="O120">
        <v>0.21</v>
      </c>
      <c r="Q120" t="s">
        <v>2548</v>
      </c>
      <c r="R120">
        <v>5907698011354</v>
      </c>
      <c r="S120">
        <v>2000</v>
      </c>
      <c r="T120" t="s">
        <v>352</v>
      </c>
      <c r="V120">
        <v>3506100000</v>
      </c>
    </row>
    <row r="121" spans="1:22" x14ac:dyDescent="0.25">
      <c r="A121">
        <v>241082</v>
      </c>
      <c r="B121" t="s">
        <v>302</v>
      </c>
      <c r="C121">
        <v>240</v>
      </c>
      <c r="D121">
        <v>120</v>
      </c>
      <c r="E121" t="s">
        <v>303</v>
      </c>
      <c r="F121" t="s">
        <v>487</v>
      </c>
      <c r="G121" t="s">
        <v>488</v>
      </c>
      <c r="H121" t="s">
        <v>1723</v>
      </c>
      <c r="I121" t="s">
        <v>489</v>
      </c>
      <c r="J121">
        <v>1944</v>
      </c>
      <c r="K121">
        <v>0</v>
      </c>
      <c r="L121">
        <v>1944</v>
      </c>
      <c r="M121">
        <v>1.1399999999999999</v>
      </c>
      <c r="N121">
        <v>0.3</v>
      </c>
      <c r="O121">
        <v>0.25</v>
      </c>
      <c r="Q121" t="s">
        <v>336</v>
      </c>
      <c r="R121">
        <v>5907698027898</v>
      </c>
      <c r="S121">
        <v>1200</v>
      </c>
      <c r="T121" t="s">
        <v>352</v>
      </c>
      <c r="V121">
        <v>3506100000</v>
      </c>
    </row>
    <row r="122" spans="1:22" x14ac:dyDescent="0.25">
      <c r="A122">
        <v>241110</v>
      </c>
      <c r="B122" t="s">
        <v>302</v>
      </c>
      <c r="C122">
        <v>200</v>
      </c>
      <c r="D122">
        <v>100</v>
      </c>
      <c r="E122" t="s">
        <v>303</v>
      </c>
      <c r="F122" t="s">
        <v>487</v>
      </c>
      <c r="G122" t="s">
        <v>488</v>
      </c>
      <c r="H122" t="s">
        <v>490</v>
      </c>
      <c r="I122" t="s">
        <v>489</v>
      </c>
      <c r="J122">
        <v>464</v>
      </c>
      <c r="K122">
        <v>100</v>
      </c>
      <c r="L122">
        <v>564</v>
      </c>
      <c r="M122">
        <v>1.55</v>
      </c>
      <c r="N122">
        <v>0.41</v>
      </c>
      <c r="O122">
        <v>0.35</v>
      </c>
      <c r="Q122" t="s">
        <v>2548</v>
      </c>
      <c r="R122">
        <v>5907698011361</v>
      </c>
      <c r="S122">
        <v>1400</v>
      </c>
      <c r="T122" t="s">
        <v>352</v>
      </c>
      <c r="V122">
        <v>3506100000</v>
      </c>
    </row>
    <row r="123" spans="1:22" x14ac:dyDescent="0.25">
      <c r="A123">
        <v>241112</v>
      </c>
      <c r="B123" t="s">
        <v>3008</v>
      </c>
      <c r="C123">
        <v>200</v>
      </c>
      <c r="D123">
        <v>100</v>
      </c>
      <c r="E123" t="s">
        <v>303</v>
      </c>
      <c r="F123" t="s">
        <v>487</v>
      </c>
      <c r="G123" t="s">
        <v>488</v>
      </c>
      <c r="H123" t="s">
        <v>491</v>
      </c>
      <c r="I123" t="s">
        <v>489</v>
      </c>
      <c r="J123">
        <v>381</v>
      </c>
      <c r="K123">
        <v>1</v>
      </c>
      <c r="L123">
        <v>382</v>
      </c>
      <c r="M123">
        <v>1.7</v>
      </c>
      <c r="N123">
        <v>0.44</v>
      </c>
      <c r="O123">
        <v>0.38</v>
      </c>
      <c r="Q123" t="s">
        <v>336</v>
      </c>
      <c r="R123">
        <v>5907698027904</v>
      </c>
      <c r="S123">
        <v>1400</v>
      </c>
      <c r="T123" t="s">
        <v>352</v>
      </c>
      <c r="V123">
        <v>3506100000</v>
      </c>
    </row>
    <row r="124" spans="1:22" x14ac:dyDescent="0.25">
      <c r="A124">
        <v>241200</v>
      </c>
      <c r="B124" t="s">
        <v>302</v>
      </c>
      <c r="C124">
        <v>40</v>
      </c>
      <c r="D124">
        <v>0</v>
      </c>
      <c r="E124" t="s">
        <v>303</v>
      </c>
      <c r="F124" t="s">
        <v>487</v>
      </c>
      <c r="G124" t="s">
        <v>488</v>
      </c>
      <c r="H124" t="s">
        <v>492</v>
      </c>
      <c r="I124" t="s">
        <v>489</v>
      </c>
      <c r="J124">
        <v>886</v>
      </c>
      <c r="K124">
        <v>0</v>
      </c>
      <c r="L124">
        <v>886</v>
      </c>
      <c r="M124">
        <v>6.78</v>
      </c>
      <c r="N124">
        <v>1.82</v>
      </c>
      <c r="O124">
        <v>1.54</v>
      </c>
      <c r="Q124" t="s">
        <v>2548</v>
      </c>
      <c r="R124">
        <v>5907698011378</v>
      </c>
      <c r="S124">
        <v>1800</v>
      </c>
      <c r="T124" t="s">
        <v>352</v>
      </c>
      <c r="V124">
        <v>3506100000</v>
      </c>
    </row>
    <row r="125" spans="1:22" x14ac:dyDescent="0.25">
      <c r="A125">
        <v>250000</v>
      </c>
      <c r="B125" t="s">
        <v>302</v>
      </c>
      <c r="C125">
        <v>50</v>
      </c>
      <c r="D125">
        <v>10</v>
      </c>
      <c r="E125" t="s">
        <v>303</v>
      </c>
      <c r="F125" t="s">
        <v>493</v>
      </c>
      <c r="G125" t="s">
        <v>494</v>
      </c>
      <c r="H125" t="s">
        <v>495</v>
      </c>
      <c r="I125" t="s">
        <v>496</v>
      </c>
      <c r="J125">
        <v>16752</v>
      </c>
      <c r="K125">
        <v>500</v>
      </c>
      <c r="L125">
        <v>17252</v>
      </c>
      <c r="M125">
        <v>0.43</v>
      </c>
      <c r="N125">
        <v>0.1</v>
      </c>
      <c r="O125">
        <v>0.09</v>
      </c>
      <c r="Q125" t="s">
        <v>2551</v>
      </c>
      <c r="R125">
        <v>5907698011385</v>
      </c>
      <c r="S125">
        <v>1500</v>
      </c>
      <c r="T125" t="s">
        <v>360</v>
      </c>
      <c r="V125">
        <v>3920104099</v>
      </c>
    </row>
    <row r="126" spans="1:22" x14ac:dyDescent="0.25">
      <c r="A126">
        <v>250002</v>
      </c>
      <c r="B126" t="s">
        <v>302</v>
      </c>
      <c r="C126">
        <v>10</v>
      </c>
      <c r="E126" t="s">
        <v>303</v>
      </c>
      <c r="F126" t="s">
        <v>1724</v>
      </c>
      <c r="G126" t="s">
        <v>1725</v>
      </c>
      <c r="H126" t="s">
        <v>1726</v>
      </c>
      <c r="I126" t="s">
        <v>1727</v>
      </c>
      <c r="J126">
        <v>602</v>
      </c>
      <c r="K126">
        <v>2</v>
      </c>
      <c r="L126">
        <v>604</v>
      </c>
      <c r="M126">
        <v>3.38</v>
      </c>
      <c r="N126">
        <v>0.87</v>
      </c>
      <c r="O126">
        <v>0.74</v>
      </c>
      <c r="Q126" t="s">
        <v>2551</v>
      </c>
      <c r="R126">
        <v>5907698024026</v>
      </c>
      <c r="S126">
        <v>450</v>
      </c>
      <c r="T126" t="s">
        <v>360</v>
      </c>
      <c r="V126">
        <v>3920102899</v>
      </c>
    </row>
    <row r="127" spans="1:22" x14ac:dyDescent="0.25">
      <c r="A127">
        <v>250010</v>
      </c>
      <c r="B127" t="s">
        <v>302</v>
      </c>
      <c r="C127">
        <v>50</v>
      </c>
      <c r="E127" t="s">
        <v>303</v>
      </c>
      <c r="F127" t="s">
        <v>493</v>
      </c>
      <c r="G127" t="s">
        <v>497</v>
      </c>
      <c r="H127" t="s">
        <v>498</v>
      </c>
      <c r="I127" t="s">
        <v>496</v>
      </c>
      <c r="J127">
        <v>12554</v>
      </c>
      <c r="K127">
        <v>0</v>
      </c>
      <c r="L127">
        <v>12554</v>
      </c>
      <c r="M127">
        <v>0.85</v>
      </c>
      <c r="N127">
        <v>0.22</v>
      </c>
      <c r="O127">
        <v>0.18</v>
      </c>
      <c r="Q127" t="s">
        <v>2551</v>
      </c>
      <c r="R127">
        <v>5907698011392</v>
      </c>
      <c r="S127">
        <v>1000</v>
      </c>
      <c r="T127" t="s">
        <v>360</v>
      </c>
      <c r="V127">
        <v>3920104099</v>
      </c>
    </row>
    <row r="128" spans="1:22" x14ac:dyDescent="0.25">
      <c r="A128">
        <v>250055</v>
      </c>
      <c r="B128" t="s">
        <v>302</v>
      </c>
      <c r="C128">
        <v>6</v>
      </c>
      <c r="E128" t="s">
        <v>303</v>
      </c>
      <c r="F128" t="s">
        <v>2552</v>
      </c>
      <c r="G128" t="s">
        <v>2553</v>
      </c>
      <c r="H128" t="s">
        <v>3748</v>
      </c>
      <c r="I128" t="s">
        <v>2555</v>
      </c>
      <c r="J128">
        <v>0</v>
      </c>
      <c r="K128">
        <v>0</v>
      </c>
      <c r="L128">
        <v>0</v>
      </c>
      <c r="M128">
        <v>13.25</v>
      </c>
      <c r="N128">
        <v>3.45</v>
      </c>
      <c r="O128">
        <v>3.09</v>
      </c>
      <c r="Q128" t="s">
        <v>908</v>
      </c>
      <c r="R128">
        <v>5907698027096</v>
      </c>
      <c r="S128">
        <v>12</v>
      </c>
      <c r="T128" t="s">
        <v>2556</v>
      </c>
      <c r="V128">
        <v>3919908000</v>
      </c>
    </row>
    <row r="129" spans="1:22" x14ac:dyDescent="0.25">
      <c r="A129">
        <v>250057</v>
      </c>
      <c r="B129" t="s">
        <v>2993</v>
      </c>
      <c r="C129">
        <v>6</v>
      </c>
      <c r="E129" t="s">
        <v>303</v>
      </c>
      <c r="F129" t="s">
        <v>2552</v>
      </c>
      <c r="G129" t="s">
        <v>2553</v>
      </c>
      <c r="H129" t="s">
        <v>2554</v>
      </c>
      <c r="I129" t="s">
        <v>2555</v>
      </c>
      <c r="J129">
        <v>0</v>
      </c>
      <c r="K129">
        <v>0</v>
      </c>
      <c r="L129">
        <v>0</v>
      </c>
      <c r="M129">
        <v>33.159999999999997</v>
      </c>
      <c r="N129">
        <v>7.82</v>
      </c>
      <c r="O129">
        <v>7.22</v>
      </c>
      <c r="Q129" t="s">
        <v>908</v>
      </c>
      <c r="R129">
        <v>5907698029892</v>
      </c>
      <c r="S129">
        <v>12</v>
      </c>
      <c r="T129" t="s">
        <v>2556</v>
      </c>
      <c r="V129">
        <v>3919908000</v>
      </c>
    </row>
    <row r="130" spans="1:22" x14ac:dyDescent="0.25">
      <c r="A130">
        <v>250058</v>
      </c>
      <c r="B130" t="s">
        <v>302</v>
      </c>
      <c r="C130">
        <v>6</v>
      </c>
      <c r="E130" t="s">
        <v>303</v>
      </c>
      <c r="F130" t="s">
        <v>2552</v>
      </c>
      <c r="G130" t="s">
        <v>2553</v>
      </c>
      <c r="H130" t="s">
        <v>3749</v>
      </c>
      <c r="I130" t="s">
        <v>2555</v>
      </c>
      <c r="J130">
        <v>0</v>
      </c>
      <c r="K130">
        <v>0</v>
      </c>
      <c r="L130">
        <v>0</v>
      </c>
      <c r="M130">
        <v>41</v>
      </c>
      <c r="N130">
        <v>10.66</v>
      </c>
      <c r="O130">
        <v>9.59</v>
      </c>
      <c r="Q130" t="s">
        <v>908</v>
      </c>
      <c r="R130">
        <v>5907698027102</v>
      </c>
      <c r="S130">
        <v>12</v>
      </c>
      <c r="T130" t="s">
        <v>2556</v>
      </c>
      <c r="V130">
        <v>3919908000</v>
      </c>
    </row>
    <row r="131" spans="1:22" x14ac:dyDescent="0.25">
      <c r="A131">
        <v>250230</v>
      </c>
      <c r="B131" t="s">
        <v>302</v>
      </c>
      <c r="C131">
        <v>50</v>
      </c>
      <c r="E131" t="s">
        <v>303</v>
      </c>
      <c r="F131" t="s">
        <v>499</v>
      </c>
      <c r="G131" t="s">
        <v>500</v>
      </c>
      <c r="H131" t="s">
        <v>501</v>
      </c>
      <c r="I131" t="s">
        <v>502</v>
      </c>
      <c r="J131">
        <v>61</v>
      </c>
      <c r="K131">
        <v>17</v>
      </c>
      <c r="L131">
        <v>78</v>
      </c>
      <c r="M131">
        <v>3.3</v>
      </c>
      <c r="N131">
        <v>0.87</v>
      </c>
      <c r="O131">
        <v>0.75</v>
      </c>
      <c r="Q131" t="s">
        <v>3037</v>
      </c>
      <c r="R131">
        <v>5907698011415</v>
      </c>
      <c r="S131">
        <v>1000</v>
      </c>
      <c r="T131" t="s">
        <v>360</v>
      </c>
      <c r="V131">
        <v>6306190000</v>
      </c>
    </row>
    <row r="132" spans="1:22" x14ac:dyDescent="0.25">
      <c r="A132">
        <v>250340</v>
      </c>
      <c r="B132" t="s">
        <v>3034</v>
      </c>
      <c r="C132">
        <v>25</v>
      </c>
      <c r="E132" t="s">
        <v>303</v>
      </c>
      <c r="F132" t="s">
        <v>499</v>
      </c>
      <c r="G132" t="s">
        <v>503</v>
      </c>
      <c r="H132" t="s">
        <v>504</v>
      </c>
      <c r="I132" t="s">
        <v>502</v>
      </c>
      <c r="J132">
        <v>0</v>
      </c>
      <c r="K132">
        <v>0</v>
      </c>
      <c r="L132">
        <v>0</v>
      </c>
      <c r="M132">
        <v>6.65</v>
      </c>
      <c r="N132">
        <v>1.74</v>
      </c>
      <c r="O132">
        <v>1.5</v>
      </c>
      <c r="Q132" t="s">
        <v>3037</v>
      </c>
      <c r="R132">
        <v>5907698011422</v>
      </c>
      <c r="S132">
        <v>4000</v>
      </c>
      <c r="T132" t="s">
        <v>360</v>
      </c>
      <c r="V132">
        <v>6306190000</v>
      </c>
    </row>
    <row r="133" spans="1:22" x14ac:dyDescent="0.25">
      <c r="A133">
        <v>250350</v>
      </c>
      <c r="B133" t="s">
        <v>3034</v>
      </c>
      <c r="C133">
        <v>20</v>
      </c>
      <c r="E133" t="s">
        <v>303</v>
      </c>
      <c r="F133" t="s">
        <v>499</v>
      </c>
      <c r="G133" t="s">
        <v>503</v>
      </c>
      <c r="H133" t="s">
        <v>505</v>
      </c>
      <c r="I133" t="s">
        <v>502</v>
      </c>
      <c r="J133">
        <v>0</v>
      </c>
      <c r="K133">
        <v>0</v>
      </c>
      <c r="L133">
        <v>0</v>
      </c>
      <c r="M133">
        <v>8.3000000000000007</v>
      </c>
      <c r="N133">
        <v>2.1800000000000002</v>
      </c>
      <c r="O133">
        <v>1.88</v>
      </c>
      <c r="Q133" t="s">
        <v>3037</v>
      </c>
      <c r="R133">
        <v>5907698011439</v>
      </c>
      <c r="S133">
        <v>400</v>
      </c>
      <c r="T133" t="s">
        <v>360</v>
      </c>
      <c r="V133">
        <v>6306190000</v>
      </c>
    </row>
    <row r="134" spans="1:22" x14ac:dyDescent="0.25">
      <c r="A134">
        <v>250450</v>
      </c>
      <c r="B134" t="s">
        <v>302</v>
      </c>
      <c r="C134">
        <v>20</v>
      </c>
      <c r="E134" t="s">
        <v>303</v>
      </c>
      <c r="F134" t="s">
        <v>499</v>
      </c>
      <c r="G134" t="s">
        <v>503</v>
      </c>
      <c r="H134" t="s">
        <v>1728</v>
      </c>
      <c r="I134" t="s">
        <v>1729</v>
      </c>
      <c r="J134">
        <v>819</v>
      </c>
      <c r="K134">
        <v>0</v>
      </c>
      <c r="L134">
        <v>819</v>
      </c>
      <c r="M134">
        <v>11.01</v>
      </c>
      <c r="N134">
        <v>2.9</v>
      </c>
      <c r="O134">
        <v>2.4900000000000002</v>
      </c>
      <c r="Q134" t="s">
        <v>3037</v>
      </c>
      <c r="R134">
        <v>5907698020189</v>
      </c>
      <c r="S134">
        <v>450</v>
      </c>
      <c r="T134" t="s">
        <v>360</v>
      </c>
      <c r="V134">
        <v>6306190000</v>
      </c>
    </row>
    <row r="135" spans="1:22" x14ac:dyDescent="0.25">
      <c r="A135">
        <v>250460</v>
      </c>
      <c r="B135" t="s">
        <v>302</v>
      </c>
      <c r="C135">
        <v>18</v>
      </c>
      <c r="E135" t="s">
        <v>303</v>
      </c>
      <c r="F135" t="s">
        <v>499</v>
      </c>
      <c r="G135" t="s">
        <v>503</v>
      </c>
      <c r="H135" t="s">
        <v>1730</v>
      </c>
      <c r="I135" t="s">
        <v>502</v>
      </c>
      <c r="J135">
        <v>507</v>
      </c>
      <c r="K135">
        <v>0</v>
      </c>
      <c r="L135">
        <v>507</v>
      </c>
      <c r="M135">
        <v>13.25</v>
      </c>
      <c r="N135">
        <v>3.48</v>
      </c>
      <c r="O135">
        <v>3</v>
      </c>
      <c r="Q135" t="s">
        <v>3037</v>
      </c>
      <c r="R135">
        <v>5907698011446</v>
      </c>
      <c r="S135">
        <v>380</v>
      </c>
      <c r="T135" t="s">
        <v>360</v>
      </c>
      <c r="V135">
        <v>6306190000</v>
      </c>
    </row>
    <row r="136" spans="1:22" x14ac:dyDescent="0.25">
      <c r="A136">
        <v>250480</v>
      </c>
      <c r="B136" t="s">
        <v>302</v>
      </c>
      <c r="C136">
        <v>10</v>
      </c>
      <c r="E136" t="s">
        <v>303</v>
      </c>
      <c r="F136" t="s">
        <v>499</v>
      </c>
      <c r="G136" t="s">
        <v>503</v>
      </c>
      <c r="H136" t="s">
        <v>1731</v>
      </c>
      <c r="I136" t="s">
        <v>502</v>
      </c>
      <c r="J136">
        <v>921</v>
      </c>
      <c r="K136">
        <v>0</v>
      </c>
      <c r="L136">
        <v>921</v>
      </c>
      <c r="M136">
        <v>17.64</v>
      </c>
      <c r="N136">
        <v>4.6399999999999997</v>
      </c>
      <c r="O136">
        <v>4.01</v>
      </c>
      <c r="Q136" t="s">
        <v>3037</v>
      </c>
      <c r="R136">
        <v>5907698029328</v>
      </c>
      <c r="S136">
        <v>300</v>
      </c>
      <c r="T136" t="s">
        <v>360</v>
      </c>
      <c r="V136">
        <v>6306190000</v>
      </c>
    </row>
    <row r="137" spans="1:22" x14ac:dyDescent="0.25">
      <c r="A137">
        <v>250560</v>
      </c>
      <c r="B137" t="s">
        <v>302</v>
      </c>
      <c r="C137">
        <v>10</v>
      </c>
      <c r="E137" t="s">
        <v>303</v>
      </c>
      <c r="F137" t="s">
        <v>499</v>
      </c>
      <c r="G137" t="s">
        <v>503</v>
      </c>
      <c r="H137" t="s">
        <v>1732</v>
      </c>
      <c r="I137" t="s">
        <v>502</v>
      </c>
      <c r="J137">
        <v>797</v>
      </c>
      <c r="K137">
        <v>0</v>
      </c>
      <c r="L137">
        <v>797</v>
      </c>
      <c r="M137">
        <v>16.52</v>
      </c>
      <c r="N137">
        <v>4.34</v>
      </c>
      <c r="O137">
        <v>3.75</v>
      </c>
      <c r="Q137" t="s">
        <v>3037</v>
      </c>
      <c r="R137">
        <v>5907698020172</v>
      </c>
      <c r="S137">
        <v>220</v>
      </c>
      <c r="T137" t="s">
        <v>360</v>
      </c>
      <c r="V137">
        <v>6306190000</v>
      </c>
    </row>
    <row r="138" spans="1:22" x14ac:dyDescent="0.25">
      <c r="A138">
        <v>250580</v>
      </c>
      <c r="B138" t="s">
        <v>302</v>
      </c>
      <c r="C138">
        <v>10</v>
      </c>
      <c r="E138" t="s">
        <v>303</v>
      </c>
      <c r="F138" t="s">
        <v>499</v>
      </c>
      <c r="G138" t="s">
        <v>503</v>
      </c>
      <c r="H138" t="s">
        <v>1733</v>
      </c>
      <c r="I138" t="s">
        <v>502</v>
      </c>
      <c r="J138">
        <v>378</v>
      </c>
      <c r="K138">
        <v>0</v>
      </c>
      <c r="L138">
        <v>378</v>
      </c>
      <c r="M138">
        <v>21.99</v>
      </c>
      <c r="N138">
        <v>5.78</v>
      </c>
      <c r="O138">
        <v>4.9800000000000004</v>
      </c>
      <c r="Q138" t="s">
        <v>3037</v>
      </c>
      <c r="R138">
        <v>5907698011453</v>
      </c>
      <c r="S138">
        <v>260</v>
      </c>
      <c r="T138" t="s">
        <v>360</v>
      </c>
      <c r="V138">
        <v>6306190000</v>
      </c>
    </row>
    <row r="139" spans="1:22" x14ac:dyDescent="0.25">
      <c r="A139">
        <v>250680</v>
      </c>
      <c r="B139" t="s">
        <v>302</v>
      </c>
      <c r="C139">
        <v>10</v>
      </c>
      <c r="E139" t="s">
        <v>303</v>
      </c>
      <c r="F139" t="s">
        <v>499</v>
      </c>
      <c r="G139" t="s">
        <v>503</v>
      </c>
      <c r="H139" t="s">
        <v>1734</v>
      </c>
      <c r="I139" t="s">
        <v>502</v>
      </c>
      <c r="J139">
        <v>437</v>
      </c>
      <c r="K139">
        <v>0</v>
      </c>
      <c r="L139">
        <v>437</v>
      </c>
      <c r="M139">
        <v>26.4</v>
      </c>
      <c r="N139">
        <v>6.93</v>
      </c>
      <c r="O139">
        <v>5.99</v>
      </c>
      <c r="Q139" t="s">
        <v>3037</v>
      </c>
      <c r="R139">
        <v>5907698020158</v>
      </c>
      <c r="S139">
        <v>120</v>
      </c>
      <c r="T139" t="s">
        <v>360</v>
      </c>
      <c r="V139">
        <v>6306190000</v>
      </c>
    </row>
    <row r="140" spans="1:22" x14ac:dyDescent="0.25">
      <c r="A140">
        <v>250700</v>
      </c>
      <c r="B140" t="s">
        <v>302</v>
      </c>
      <c r="C140">
        <v>5</v>
      </c>
      <c r="E140" t="s">
        <v>303</v>
      </c>
      <c r="F140" t="s">
        <v>499</v>
      </c>
      <c r="G140" t="s">
        <v>503</v>
      </c>
      <c r="H140" t="s">
        <v>506</v>
      </c>
      <c r="I140" t="s">
        <v>502</v>
      </c>
      <c r="J140">
        <v>402</v>
      </c>
      <c r="K140">
        <v>0</v>
      </c>
      <c r="L140">
        <v>402</v>
      </c>
      <c r="M140">
        <v>33.020000000000003</v>
      </c>
      <c r="N140">
        <v>8.67</v>
      </c>
      <c r="O140">
        <v>7.49</v>
      </c>
      <c r="Q140" t="s">
        <v>3037</v>
      </c>
      <c r="R140">
        <v>5907698011460</v>
      </c>
      <c r="S140">
        <v>150</v>
      </c>
      <c r="T140" t="s">
        <v>360</v>
      </c>
      <c r="V140">
        <v>6306190000</v>
      </c>
    </row>
    <row r="141" spans="1:22" x14ac:dyDescent="0.25">
      <c r="A141">
        <v>250760</v>
      </c>
      <c r="B141" t="s">
        <v>302</v>
      </c>
      <c r="C141">
        <v>5</v>
      </c>
      <c r="E141" t="s">
        <v>303</v>
      </c>
      <c r="F141" t="s">
        <v>499</v>
      </c>
      <c r="G141" t="s">
        <v>503</v>
      </c>
      <c r="H141" t="s">
        <v>1735</v>
      </c>
      <c r="I141" t="s">
        <v>502</v>
      </c>
      <c r="J141">
        <v>48</v>
      </c>
      <c r="K141">
        <v>0</v>
      </c>
      <c r="L141">
        <v>48</v>
      </c>
      <c r="M141">
        <v>39.56</v>
      </c>
      <c r="N141">
        <v>10.4</v>
      </c>
      <c r="O141">
        <v>8.9700000000000006</v>
      </c>
      <c r="Q141" t="s">
        <v>3037</v>
      </c>
      <c r="R141">
        <v>5907698020141</v>
      </c>
      <c r="S141">
        <v>70</v>
      </c>
      <c r="T141" t="s">
        <v>360</v>
      </c>
      <c r="V141">
        <v>6306190000</v>
      </c>
    </row>
    <row r="142" spans="1:22" x14ac:dyDescent="0.25">
      <c r="A142">
        <v>250800</v>
      </c>
      <c r="B142" t="s">
        <v>302</v>
      </c>
      <c r="C142">
        <v>5</v>
      </c>
      <c r="E142" t="s">
        <v>303</v>
      </c>
      <c r="F142" t="s">
        <v>499</v>
      </c>
      <c r="G142" t="s">
        <v>503</v>
      </c>
      <c r="H142" t="s">
        <v>1736</v>
      </c>
      <c r="I142" t="s">
        <v>1729</v>
      </c>
      <c r="J142">
        <v>21</v>
      </c>
      <c r="K142">
        <v>0</v>
      </c>
      <c r="L142">
        <v>21</v>
      </c>
      <c r="M142">
        <v>43.97</v>
      </c>
      <c r="N142">
        <v>11.55</v>
      </c>
      <c r="O142">
        <v>9.98</v>
      </c>
      <c r="Q142" t="s">
        <v>3037</v>
      </c>
      <c r="R142">
        <v>5907698011477</v>
      </c>
      <c r="S142">
        <v>80</v>
      </c>
      <c r="T142" t="s">
        <v>360</v>
      </c>
      <c r="V142">
        <v>6306190000</v>
      </c>
    </row>
    <row r="143" spans="1:22" x14ac:dyDescent="0.25">
      <c r="A143">
        <v>250820</v>
      </c>
      <c r="B143" t="s">
        <v>302</v>
      </c>
      <c r="C143">
        <v>5</v>
      </c>
      <c r="E143" t="s">
        <v>303</v>
      </c>
      <c r="F143" t="s">
        <v>499</v>
      </c>
      <c r="G143" t="s">
        <v>503</v>
      </c>
      <c r="H143" t="s">
        <v>1737</v>
      </c>
      <c r="I143" t="s">
        <v>502</v>
      </c>
      <c r="J143">
        <v>0</v>
      </c>
      <c r="K143">
        <v>0</v>
      </c>
      <c r="L143">
        <v>0</v>
      </c>
      <c r="M143">
        <v>52.73</v>
      </c>
      <c r="N143">
        <v>13.86</v>
      </c>
      <c r="O143">
        <v>11.96</v>
      </c>
      <c r="Q143" t="s">
        <v>3037</v>
      </c>
      <c r="R143">
        <v>5907698020134</v>
      </c>
      <c r="S143">
        <v>70</v>
      </c>
      <c r="T143" t="s">
        <v>360</v>
      </c>
      <c r="V143">
        <v>6306190000</v>
      </c>
    </row>
    <row r="144" spans="1:22" x14ac:dyDescent="0.25">
      <c r="A144">
        <v>250900</v>
      </c>
      <c r="B144" t="s">
        <v>302</v>
      </c>
      <c r="C144">
        <v>5</v>
      </c>
      <c r="E144" t="s">
        <v>303</v>
      </c>
      <c r="F144" t="s">
        <v>499</v>
      </c>
      <c r="G144" t="s">
        <v>503</v>
      </c>
      <c r="H144" t="s">
        <v>507</v>
      </c>
      <c r="I144" t="s">
        <v>502</v>
      </c>
      <c r="J144">
        <v>0</v>
      </c>
      <c r="K144">
        <v>0</v>
      </c>
      <c r="L144">
        <v>0</v>
      </c>
      <c r="M144">
        <v>65.930000000000007</v>
      </c>
      <c r="N144">
        <v>17.329999999999998</v>
      </c>
      <c r="O144">
        <v>14.94</v>
      </c>
      <c r="Q144" t="s">
        <v>3037</v>
      </c>
      <c r="R144">
        <v>5907698011484</v>
      </c>
      <c r="S144">
        <v>60</v>
      </c>
      <c r="T144" t="s">
        <v>360</v>
      </c>
      <c r="V144">
        <v>6306190000</v>
      </c>
    </row>
    <row r="145" spans="1:22" x14ac:dyDescent="0.25">
      <c r="A145">
        <v>250950</v>
      </c>
      <c r="B145" t="s">
        <v>302</v>
      </c>
      <c r="C145">
        <v>2</v>
      </c>
      <c r="E145" t="s">
        <v>303</v>
      </c>
      <c r="F145" t="s">
        <v>499</v>
      </c>
      <c r="G145" t="s">
        <v>503</v>
      </c>
      <c r="H145" t="s">
        <v>508</v>
      </c>
      <c r="I145" t="s">
        <v>502</v>
      </c>
      <c r="J145">
        <v>41</v>
      </c>
      <c r="K145">
        <v>0</v>
      </c>
      <c r="L145">
        <v>41</v>
      </c>
      <c r="M145">
        <v>82.41</v>
      </c>
      <c r="N145">
        <v>21.66</v>
      </c>
      <c r="O145">
        <v>18.690000000000001</v>
      </c>
      <c r="Q145" t="s">
        <v>3037</v>
      </c>
      <c r="R145">
        <v>5907698020127</v>
      </c>
      <c r="S145">
        <v>50</v>
      </c>
      <c r="T145" t="s">
        <v>360</v>
      </c>
      <c r="V145">
        <v>6306190000</v>
      </c>
    </row>
    <row r="146" spans="1:22" x14ac:dyDescent="0.25">
      <c r="A146">
        <v>250960</v>
      </c>
      <c r="B146" t="s">
        <v>3034</v>
      </c>
      <c r="C146">
        <v>1</v>
      </c>
      <c r="E146" t="s">
        <v>303</v>
      </c>
      <c r="F146" t="s">
        <v>499</v>
      </c>
      <c r="G146" t="s">
        <v>503</v>
      </c>
      <c r="H146" t="s">
        <v>509</v>
      </c>
      <c r="I146" t="s">
        <v>502</v>
      </c>
      <c r="J146">
        <v>0</v>
      </c>
      <c r="K146">
        <v>0</v>
      </c>
      <c r="L146">
        <v>0</v>
      </c>
      <c r="M146">
        <v>140.88</v>
      </c>
      <c r="N146">
        <v>37.020000000000003</v>
      </c>
      <c r="O146">
        <v>31.94</v>
      </c>
      <c r="Q146" t="s">
        <v>3037</v>
      </c>
      <c r="R146">
        <v>5907698028482</v>
      </c>
      <c r="S146">
        <v>5</v>
      </c>
      <c r="T146" t="s">
        <v>360</v>
      </c>
      <c r="V146">
        <v>6306190000</v>
      </c>
    </row>
    <row r="147" spans="1:22" x14ac:dyDescent="0.25">
      <c r="A147">
        <v>250980</v>
      </c>
      <c r="B147" t="s">
        <v>3034</v>
      </c>
      <c r="C147">
        <v>1</v>
      </c>
      <c r="E147" t="s">
        <v>303</v>
      </c>
      <c r="F147" t="s">
        <v>499</v>
      </c>
      <c r="G147" t="s">
        <v>503</v>
      </c>
      <c r="H147" t="s">
        <v>510</v>
      </c>
      <c r="I147" t="s">
        <v>502</v>
      </c>
      <c r="J147">
        <v>30</v>
      </c>
      <c r="K147">
        <v>0</v>
      </c>
      <c r="L147">
        <v>30</v>
      </c>
      <c r="M147">
        <v>164.76</v>
      </c>
      <c r="N147">
        <v>43.29</v>
      </c>
      <c r="O147">
        <v>37.35</v>
      </c>
      <c r="Q147" t="s">
        <v>3037</v>
      </c>
      <c r="R147">
        <v>5907698020110</v>
      </c>
      <c r="S147">
        <v>25</v>
      </c>
      <c r="T147" t="s">
        <v>360</v>
      </c>
      <c r="V147">
        <v>6306190000</v>
      </c>
    </row>
    <row r="148" spans="1:22" x14ac:dyDescent="0.25">
      <c r="A148">
        <v>250990</v>
      </c>
      <c r="B148" t="s">
        <v>302</v>
      </c>
      <c r="C148">
        <v>1</v>
      </c>
      <c r="E148" t="s">
        <v>303</v>
      </c>
      <c r="F148" t="s">
        <v>499</v>
      </c>
      <c r="G148" t="s">
        <v>503</v>
      </c>
      <c r="H148" t="s">
        <v>511</v>
      </c>
      <c r="I148" t="s">
        <v>502</v>
      </c>
      <c r="J148">
        <v>24</v>
      </c>
      <c r="K148">
        <v>0</v>
      </c>
      <c r="L148">
        <v>24</v>
      </c>
      <c r="M148">
        <v>219.65</v>
      </c>
      <c r="N148">
        <v>57.71</v>
      </c>
      <c r="O148">
        <v>49.8</v>
      </c>
      <c r="Q148" t="s">
        <v>3037</v>
      </c>
      <c r="R148">
        <v>5907698028697</v>
      </c>
      <c r="S148">
        <v>4</v>
      </c>
      <c r="T148" t="s">
        <v>360</v>
      </c>
      <c r="V148">
        <v>6306190000</v>
      </c>
    </row>
    <row r="149" spans="1:22" x14ac:dyDescent="0.25">
      <c r="A149">
        <v>252340</v>
      </c>
      <c r="B149" t="s">
        <v>302</v>
      </c>
      <c r="C149">
        <v>10</v>
      </c>
      <c r="E149" t="s">
        <v>303</v>
      </c>
      <c r="F149" t="s">
        <v>1738</v>
      </c>
      <c r="G149" t="s">
        <v>1739</v>
      </c>
      <c r="H149" t="s">
        <v>1740</v>
      </c>
      <c r="I149" t="s">
        <v>1741</v>
      </c>
      <c r="J149">
        <v>81</v>
      </c>
      <c r="K149">
        <v>0</v>
      </c>
      <c r="L149">
        <v>81</v>
      </c>
      <c r="M149">
        <v>16.920000000000002</v>
      </c>
      <c r="N149">
        <v>4</v>
      </c>
      <c r="O149">
        <v>3.7</v>
      </c>
      <c r="Q149" t="s">
        <v>3037</v>
      </c>
      <c r="R149">
        <v>5907698029274</v>
      </c>
      <c r="S149">
        <v>100</v>
      </c>
      <c r="T149" t="s">
        <v>1742</v>
      </c>
      <c r="V149">
        <v>6306190000</v>
      </c>
    </row>
    <row r="150" spans="1:22" x14ac:dyDescent="0.25">
      <c r="A150">
        <v>252460</v>
      </c>
      <c r="B150" t="s">
        <v>302</v>
      </c>
      <c r="C150">
        <v>10</v>
      </c>
      <c r="E150" t="s">
        <v>303</v>
      </c>
      <c r="F150" t="s">
        <v>1738</v>
      </c>
      <c r="G150" t="s">
        <v>1743</v>
      </c>
      <c r="H150" t="s">
        <v>1744</v>
      </c>
      <c r="I150" t="s">
        <v>1745</v>
      </c>
      <c r="J150">
        <v>172</v>
      </c>
      <c r="K150">
        <v>0</v>
      </c>
      <c r="L150">
        <v>172</v>
      </c>
      <c r="M150">
        <v>33.83</v>
      </c>
      <c r="N150">
        <v>8.01</v>
      </c>
      <c r="O150">
        <v>7.4</v>
      </c>
      <c r="Q150" t="s">
        <v>3037</v>
      </c>
      <c r="R150">
        <v>5907698029281</v>
      </c>
      <c r="S150">
        <v>120</v>
      </c>
      <c r="T150" t="s">
        <v>1742</v>
      </c>
      <c r="V150">
        <v>6306190000</v>
      </c>
    </row>
    <row r="151" spans="1:22" x14ac:dyDescent="0.25">
      <c r="A151">
        <v>252580</v>
      </c>
      <c r="B151" t="s">
        <v>302</v>
      </c>
      <c r="C151">
        <v>5</v>
      </c>
      <c r="E151" t="s">
        <v>303</v>
      </c>
      <c r="F151" t="s">
        <v>1738</v>
      </c>
      <c r="G151" t="s">
        <v>1743</v>
      </c>
      <c r="H151" t="s">
        <v>1746</v>
      </c>
      <c r="I151" t="s">
        <v>1745</v>
      </c>
      <c r="J151">
        <v>225</v>
      </c>
      <c r="K151">
        <v>0</v>
      </c>
      <c r="L151">
        <v>225</v>
      </c>
      <c r="M151">
        <v>56.32</v>
      </c>
      <c r="N151">
        <v>13.32</v>
      </c>
      <c r="O151">
        <v>12.33</v>
      </c>
      <c r="Q151" t="s">
        <v>3037</v>
      </c>
      <c r="R151">
        <v>5907698029298</v>
      </c>
      <c r="S151">
        <v>120</v>
      </c>
      <c r="T151" t="s">
        <v>1742</v>
      </c>
      <c r="V151">
        <v>6306190000</v>
      </c>
    </row>
    <row r="152" spans="1:22" x14ac:dyDescent="0.25">
      <c r="A152">
        <v>252700</v>
      </c>
      <c r="B152" t="s">
        <v>302</v>
      </c>
      <c r="C152">
        <v>2</v>
      </c>
      <c r="E152" t="s">
        <v>303</v>
      </c>
      <c r="F152" t="s">
        <v>1738</v>
      </c>
      <c r="G152" t="s">
        <v>1747</v>
      </c>
      <c r="H152" t="s">
        <v>1748</v>
      </c>
      <c r="I152" t="s">
        <v>1745</v>
      </c>
      <c r="J152">
        <v>18</v>
      </c>
      <c r="K152">
        <v>0</v>
      </c>
      <c r="L152">
        <v>18</v>
      </c>
      <c r="M152">
        <v>81.290000000000006</v>
      </c>
      <c r="N152">
        <v>19.23</v>
      </c>
      <c r="O152">
        <v>17.78</v>
      </c>
      <c r="Q152" t="s">
        <v>3037</v>
      </c>
      <c r="R152">
        <v>5907698029304</v>
      </c>
      <c r="S152">
        <v>20</v>
      </c>
      <c r="T152" t="s">
        <v>1742</v>
      </c>
      <c r="V152">
        <v>6306190000</v>
      </c>
    </row>
    <row r="153" spans="1:22" x14ac:dyDescent="0.25">
      <c r="A153">
        <v>252820</v>
      </c>
      <c r="B153" t="s">
        <v>302</v>
      </c>
      <c r="C153">
        <v>1</v>
      </c>
      <c r="E153" t="s">
        <v>303</v>
      </c>
      <c r="F153" t="s">
        <v>1738</v>
      </c>
      <c r="G153" t="s">
        <v>1743</v>
      </c>
      <c r="H153" t="s">
        <v>1749</v>
      </c>
      <c r="I153" t="s">
        <v>1745</v>
      </c>
      <c r="J153">
        <v>8</v>
      </c>
      <c r="K153">
        <v>0</v>
      </c>
      <c r="L153">
        <v>8</v>
      </c>
      <c r="M153">
        <v>129.96</v>
      </c>
      <c r="N153">
        <v>30.75</v>
      </c>
      <c r="O153">
        <v>28.44</v>
      </c>
      <c r="Q153" t="s">
        <v>3037</v>
      </c>
      <c r="R153">
        <v>5907698029311</v>
      </c>
      <c r="S153">
        <v>6</v>
      </c>
      <c r="T153" t="s">
        <v>1742</v>
      </c>
      <c r="V153">
        <v>6306190000</v>
      </c>
    </row>
    <row r="154" spans="1:22" x14ac:dyDescent="0.25">
      <c r="A154">
        <v>256035</v>
      </c>
      <c r="B154" t="s">
        <v>3027</v>
      </c>
      <c r="C154">
        <v>20</v>
      </c>
      <c r="E154" t="s">
        <v>303</v>
      </c>
      <c r="F154" t="s">
        <v>3038</v>
      </c>
      <c r="G154" t="s">
        <v>2737</v>
      </c>
      <c r="H154" t="s">
        <v>3039</v>
      </c>
      <c r="I154" t="s">
        <v>1753</v>
      </c>
      <c r="J154">
        <v>0</v>
      </c>
      <c r="K154">
        <v>41</v>
      </c>
      <c r="L154">
        <v>40</v>
      </c>
      <c r="M154">
        <v>3.06</v>
      </c>
      <c r="N154">
        <v>0.82</v>
      </c>
      <c r="O154">
        <v>0.69</v>
      </c>
      <c r="Q154" t="s">
        <v>3040</v>
      </c>
      <c r="R154">
        <v>5907698029953</v>
      </c>
      <c r="S154">
        <v>100</v>
      </c>
      <c r="T154" t="s">
        <v>3750</v>
      </c>
      <c r="V154">
        <v>3923299000</v>
      </c>
    </row>
    <row r="155" spans="1:22" x14ac:dyDescent="0.25">
      <c r="A155">
        <v>256060</v>
      </c>
      <c r="B155" t="s">
        <v>3027</v>
      </c>
      <c r="C155">
        <v>30</v>
      </c>
      <c r="E155" t="s">
        <v>303</v>
      </c>
      <c r="F155" t="s">
        <v>3038</v>
      </c>
      <c r="G155" t="s">
        <v>2737</v>
      </c>
      <c r="H155" t="s">
        <v>3751</v>
      </c>
      <c r="I155" t="s">
        <v>1753</v>
      </c>
      <c r="J155">
        <v>445</v>
      </c>
      <c r="K155">
        <v>50</v>
      </c>
      <c r="L155">
        <v>495</v>
      </c>
      <c r="M155">
        <v>1.88</v>
      </c>
      <c r="N155">
        <v>0.49</v>
      </c>
      <c r="O155">
        <v>0.41</v>
      </c>
      <c r="Q155" t="s">
        <v>3040</v>
      </c>
      <c r="R155">
        <v>5907698029960</v>
      </c>
      <c r="S155">
        <v>100</v>
      </c>
      <c r="T155" t="s">
        <v>3750</v>
      </c>
      <c r="V155">
        <v>3923299000</v>
      </c>
    </row>
    <row r="156" spans="1:22" x14ac:dyDescent="0.25">
      <c r="A156">
        <v>256121</v>
      </c>
      <c r="B156" t="s">
        <v>302</v>
      </c>
      <c r="C156">
        <v>10</v>
      </c>
      <c r="E156" t="s">
        <v>303</v>
      </c>
      <c r="F156" t="s">
        <v>1750</v>
      </c>
      <c r="G156" t="s">
        <v>1751</v>
      </c>
      <c r="H156" t="s">
        <v>1752</v>
      </c>
      <c r="I156" t="s">
        <v>1753</v>
      </c>
      <c r="J156">
        <v>13</v>
      </c>
      <c r="K156">
        <v>76</v>
      </c>
      <c r="L156">
        <v>89</v>
      </c>
      <c r="M156">
        <v>5.44</v>
      </c>
      <c r="N156">
        <v>1.44</v>
      </c>
      <c r="O156">
        <v>1.24</v>
      </c>
      <c r="Q156" t="s">
        <v>3040</v>
      </c>
      <c r="R156">
        <v>5907698029410</v>
      </c>
      <c r="S156">
        <v>200</v>
      </c>
      <c r="T156" t="s">
        <v>3750</v>
      </c>
      <c r="V156">
        <v>3923299000</v>
      </c>
    </row>
    <row r="157" spans="1:22" x14ac:dyDescent="0.25">
      <c r="A157">
        <v>262000</v>
      </c>
      <c r="B157" t="s">
        <v>302</v>
      </c>
      <c r="C157">
        <v>40</v>
      </c>
      <c r="E157" t="s">
        <v>303</v>
      </c>
      <c r="F157" t="s">
        <v>3041</v>
      </c>
      <c r="G157" t="s">
        <v>512</v>
      </c>
      <c r="H157" t="s">
        <v>2926</v>
      </c>
      <c r="I157" t="s">
        <v>513</v>
      </c>
      <c r="J157">
        <v>0</v>
      </c>
      <c r="K157">
        <v>3</v>
      </c>
      <c r="L157">
        <v>3</v>
      </c>
      <c r="M157">
        <v>9.3000000000000007</v>
      </c>
      <c r="N157">
        <v>2.41</v>
      </c>
      <c r="O157">
        <v>2.1</v>
      </c>
      <c r="Q157" t="s">
        <v>4</v>
      </c>
      <c r="R157">
        <v>5907698011521</v>
      </c>
      <c r="S157">
        <v>2500</v>
      </c>
      <c r="T157" t="s">
        <v>352</v>
      </c>
      <c r="V157">
        <v>4202119090</v>
      </c>
    </row>
    <row r="158" spans="1:22" x14ac:dyDescent="0.25">
      <c r="A158">
        <v>262002</v>
      </c>
      <c r="B158" t="s">
        <v>2993</v>
      </c>
      <c r="C158">
        <v>30</v>
      </c>
      <c r="E158" t="s">
        <v>303</v>
      </c>
      <c r="F158" t="s">
        <v>3041</v>
      </c>
      <c r="G158" t="s">
        <v>2472</v>
      </c>
      <c r="H158" t="s">
        <v>2927</v>
      </c>
      <c r="I158" t="s">
        <v>2557</v>
      </c>
      <c r="J158">
        <v>14</v>
      </c>
      <c r="K158">
        <v>3</v>
      </c>
      <c r="L158">
        <v>17</v>
      </c>
      <c r="M158">
        <v>20.94</v>
      </c>
      <c r="N158">
        <v>5.44</v>
      </c>
      <c r="O158">
        <v>4.71</v>
      </c>
      <c r="Q158" t="s">
        <v>4</v>
      </c>
      <c r="R158">
        <v>5907698029441</v>
      </c>
      <c r="S158">
        <v>350</v>
      </c>
      <c r="T158" t="s">
        <v>352</v>
      </c>
      <c r="V158">
        <v>4202129990</v>
      </c>
    </row>
    <row r="159" spans="1:22" x14ac:dyDescent="0.25">
      <c r="A159">
        <v>300000</v>
      </c>
      <c r="B159" t="s">
        <v>302</v>
      </c>
      <c r="C159">
        <v>192</v>
      </c>
      <c r="D159">
        <v>48</v>
      </c>
      <c r="E159" t="s">
        <v>303</v>
      </c>
      <c r="F159" t="s">
        <v>514</v>
      </c>
      <c r="G159" t="s">
        <v>515</v>
      </c>
      <c r="H159" t="s">
        <v>516</v>
      </c>
      <c r="I159" t="s">
        <v>517</v>
      </c>
      <c r="J159">
        <v>240</v>
      </c>
      <c r="K159">
        <v>0</v>
      </c>
      <c r="L159">
        <v>240</v>
      </c>
      <c r="M159">
        <v>2.9</v>
      </c>
      <c r="N159">
        <v>0.73</v>
      </c>
      <c r="O159">
        <v>0.65</v>
      </c>
      <c r="Q159" t="s">
        <v>2548</v>
      </c>
      <c r="R159">
        <v>5907698011538</v>
      </c>
      <c r="S159">
        <v>1000</v>
      </c>
      <c r="T159" t="s">
        <v>383</v>
      </c>
      <c r="V159">
        <v>8204110000</v>
      </c>
    </row>
    <row r="160" spans="1:22" x14ac:dyDescent="0.25">
      <c r="A160">
        <v>300013</v>
      </c>
      <c r="B160" t="s">
        <v>302</v>
      </c>
      <c r="C160">
        <v>248</v>
      </c>
      <c r="D160">
        <v>62</v>
      </c>
      <c r="E160" t="s">
        <v>303</v>
      </c>
      <c r="F160" t="s">
        <v>1754</v>
      </c>
      <c r="G160" t="s">
        <v>1755</v>
      </c>
      <c r="H160" t="s">
        <v>1756</v>
      </c>
      <c r="I160" t="s">
        <v>1757</v>
      </c>
      <c r="J160">
        <v>0</v>
      </c>
      <c r="K160">
        <v>124</v>
      </c>
      <c r="L160">
        <v>84</v>
      </c>
      <c r="M160">
        <v>1.95</v>
      </c>
      <c r="N160">
        <v>0.49</v>
      </c>
      <c r="O160">
        <v>0.44</v>
      </c>
      <c r="Q160" t="s">
        <v>2548</v>
      </c>
      <c r="R160">
        <v>5907698024705</v>
      </c>
      <c r="S160">
        <v>800</v>
      </c>
      <c r="T160" t="s">
        <v>383</v>
      </c>
      <c r="V160">
        <v>8204110000</v>
      </c>
    </row>
    <row r="161" spans="1:22" x14ac:dyDescent="0.25">
      <c r="A161">
        <v>300070</v>
      </c>
      <c r="B161" t="s">
        <v>302</v>
      </c>
      <c r="C161">
        <v>96</v>
      </c>
      <c r="D161">
        <v>6</v>
      </c>
      <c r="E161" t="s">
        <v>303</v>
      </c>
      <c r="F161" t="s">
        <v>518</v>
      </c>
      <c r="G161" t="s">
        <v>519</v>
      </c>
      <c r="H161" t="s">
        <v>520</v>
      </c>
      <c r="I161" t="s">
        <v>521</v>
      </c>
      <c r="J161">
        <v>80</v>
      </c>
      <c r="K161">
        <v>0</v>
      </c>
      <c r="L161">
        <v>80</v>
      </c>
      <c r="M161">
        <v>6.03</v>
      </c>
      <c r="N161">
        <v>1.57</v>
      </c>
      <c r="O161">
        <v>1.36</v>
      </c>
      <c r="Q161" t="s">
        <v>2548</v>
      </c>
      <c r="R161">
        <v>5907698011552</v>
      </c>
      <c r="S161">
        <v>210</v>
      </c>
      <c r="T161" t="s">
        <v>369</v>
      </c>
      <c r="V161">
        <v>8204120000</v>
      </c>
    </row>
    <row r="162" spans="1:22" x14ac:dyDescent="0.25">
      <c r="A162">
        <v>300072</v>
      </c>
      <c r="B162" t="s">
        <v>2993</v>
      </c>
      <c r="C162">
        <v>80</v>
      </c>
      <c r="D162">
        <v>10</v>
      </c>
      <c r="E162" t="s">
        <v>303</v>
      </c>
      <c r="F162" t="s">
        <v>518</v>
      </c>
      <c r="G162" t="s">
        <v>519</v>
      </c>
      <c r="H162" t="s">
        <v>3042</v>
      </c>
      <c r="I162" t="s">
        <v>521</v>
      </c>
      <c r="J162">
        <v>286</v>
      </c>
      <c r="K162">
        <v>0</v>
      </c>
      <c r="L162">
        <v>286</v>
      </c>
      <c r="M162">
        <v>5.89</v>
      </c>
      <c r="N162">
        <v>1.52</v>
      </c>
      <c r="O162">
        <v>1.32</v>
      </c>
      <c r="Q162" t="s">
        <v>4</v>
      </c>
      <c r="R162">
        <v>5907698030119</v>
      </c>
      <c r="S162">
        <v>170</v>
      </c>
      <c r="T162" t="s">
        <v>369</v>
      </c>
      <c r="U162" t="s">
        <v>3043</v>
      </c>
      <c r="V162">
        <v>8204120000</v>
      </c>
    </row>
    <row r="163" spans="1:22" x14ac:dyDescent="0.25">
      <c r="A163">
        <v>300090</v>
      </c>
      <c r="B163" t="s">
        <v>302</v>
      </c>
      <c r="C163">
        <v>48</v>
      </c>
      <c r="D163">
        <v>6</v>
      </c>
      <c r="E163" t="s">
        <v>303</v>
      </c>
      <c r="F163" t="s">
        <v>518</v>
      </c>
      <c r="G163" t="s">
        <v>519</v>
      </c>
      <c r="H163" t="s">
        <v>522</v>
      </c>
      <c r="I163" t="s">
        <v>521</v>
      </c>
      <c r="J163">
        <v>296</v>
      </c>
      <c r="K163">
        <v>1</v>
      </c>
      <c r="L163">
        <v>297</v>
      </c>
      <c r="M163">
        <v>6.54</v>
      </c>
      <c r="N163">
        <v>1.65</v>
      </c>
      <c r="O163">
        <v>1.46</v>
      </c>
      <c r="Q163" t="s">
        <v>2548</v>
      </c>
      <c r="R163">
        <v>5907698011576</v>
      </c>
      <c r="S163">
        <v>240</v>
      </c>
      <c r="T163" t="s">
        <v>369</v>
      </c>
      <c r="V163">
        <v>8204120000</v>
      </c>
    </row>
    <row r="164" spans="1:22" x14ac:dyDescent="0.25">
      <c r="A164">
        <v>300092</v>
      </c>
      <c r="B164" t="s">
        <v>2993</v>
      </c>
      <c r="C164">
        <v>60</v>
      </c>
      <c r="D164">
        <v>10</v>
      </c>
      <c r="E164" t="s">
        <v>303</v>
      </c>
      <c r="F164" t="s">
        <v>518</v>
      </c>
      <c r="G164" t="s">
        <v>519</v>
      </c>
      <c r="H164" t="s">
        <v>3044</v>
      </c>
      <c r="I164" t="s">
        <v>521</v>
      </c>
      <c r="J164">
        <v>284</v>
      </c>
      <c r="K164">
        <v>0</v>
      </c>
      <c r="L164">
        <v>284</v>
      </c>
      <c r="M164">
        <v>8.15</v>
      </c>
      <c r="N164">
        <v>2.12</v>
      </c>
      <c r="O164">
        <v>1.84</v>
      </c>
      <c r="Q164" t="s">
        <v>4</v>
      </c>
      <c r="R164">
        <v>5907698030126</v>
      </c>
      <c r="S164">
        <v>130</v>
      </c>
      <c r="T164" t="s">
        <v>369</v>
      </c>
      <c r="V164">
        <v>8204120000</v>
      </c>
    </row>
    <row r="165" spans="1:22" x14ac:dyDescent="0.25">
      <c r="A165">
        <v>300110</v>
      </c>
      <c r="B165" t="s">
        <v>302</v>
      </c>
      <c r="C165">
        <v>36</v>
      </c>
      <c r="D165">
        <v>5</v>
      </c>
      <c r="E165" t="s">
        <v>303</v>
      </c>
      <c r="F165" t="s">
        <v>518</v>
      </c>
      <c r="G165" t="s">
        <v>519</v>
      </c>
      <c r="H165" t="s">
        <v>393</v>
      </c>
      <c r="I165" t="s">
        <v>521</v>
      </c>
      <c r="J165">
        <v>202</v>
      </c>
      <c r="K165">
        <v>1</v>
      </c>
      <c r="L165">
        <v>203</v>
      </c>
      <c r="M165">
        <v>8.5399999999999991</v>
      </c>
      <c r="N165">
        <v>2.15</v>
      </c>
      <c r="O165">
        <v>1.91</v>
      </c>
      <c r="Q165" t="s">
        <v>2548</v>
      </c>
      <c r="R165">
        <v>5907698011590</v>
      </c>
      <c r="S165">
        <v>240</v>
      </c>
      <c r="T165" t="s">
        <v>369</v>
      </c>
      <c r="V165">
        <v>8204120000</v>
      </c>
    </row>
    <row r="166" spans="1:22" x14ac:dyDescent="0.25">
      <c r="A166">
        <v>300112</v>
      </c>
      <c r="B166" t="s">
        <v>2993</v>
      </c>
      <c r="C166">
        <v>60</v>
      </c>
      <c r="D166">
        <v>10</v>
      </c>
      <c r="E166" t="s">
        <v>303</v>
      </c>
      <c r="F166" t="s">
        <v>518</v>
      </c>
      <c r="G166" t="s">
        <v>519</v>
      </c>
      <c r="H166" t="s">
        <v>3045</v>
      </c>
      <c r="I166" t="s">
        <v>521</v>
      </c>
      <c r="J166">
        <v>227</v>
      </c>
      <c r="K166">
        <v>0</v>
      </c>
      <c r="L166">
        <v>227</v>
      </c>
      <c r="M166">
        <v>10.88</v>
      </c>
      <c r="N166">
        <v>2.83</v>
      </c>
      <c r="O166">
        <v>2.4500000000000002</v>
      </c>
      <c r="Q166" t="s">
        <v>4</v>
      </c>
      <c r="R166">
        <v>5907698030133</v>
      </c>
      <c r="S166">
        <v>100</v>
      </c>
      <c r="T166" t="s">
        <v>369</v>
      </c>
      <c r="U166" t="s">
        <v>2996</v>
      </c>
      <c r="V166">
        <v>8204120000</v>
      </c>
    </row>
    <row r="167" spans="1:22" x14ac:dyDescent="0.25">
      <c r="A167">
        <v>300130</v>
      </c>
      <c r="B167" t="s">
        <v>302</v>
      </c>
      <c r="C167">
        <v>24</v>
      </c>
      <c r="D167">
        <v>6</v>
      </c>
      <c r="E167" t="s">
        <v>303</v>
      </c>
      <c r="F167" t="s">
        <v>518</v>
      </c>
      <c r="G167" t="s">
        <v>519</v>
      </c>
      <c r="H167" t="s">
        <v>523</v>
      </c>
      <c r="I167" t="s">
        <v>521</v>
      </c>
      <c r="J167">
        <v>132</v>
      </c>
      <c r="K167">
        <v>0</v>
      </c>
      <c r="L167">
        <v>132</v>
      </c>
      <c r="M167">
        <v>11.13</v>
      </c>
      <c r="N167">
        <v>2.81</v>
      </c>
      <c r="O167">
        <v>2.5</v>
      </c>
      <c r="Q167" t="s">
        <v>2548</v>
      </c>
      <c r="R167">
        <v>5907698011613</v>
      </c>
      <c r="S167">
        <v>240</v>
      </c>
      <c r="T167" t="s">
        <v>369</v>
      </c>
      <c r="V167">
        <v>8204120000</v>
      </c>
    </row>
    <row r="168" spans="1:22" x14ac:dyDescent="0.25">
      <c r="A168">
        <v>300132</v>
      </c>
      <c r="B168" t="s">
        <v>2993</v>
      </c>
      <c r="C168">
        <v>32</v>
      </c>
      <c r="D168">
        <v>8</v>
      </c>
      <c r="E168" t="s">
        <v>303</v>
      </c>
      <c r="F168" t="s">
        <v>518</v>
      </c>
      <c r="G168" t="s">
        <v>519</v>
      </c>
      <c r="H168" t="s">
        <v>3046</v>
      </c>
      <c r="I168" t="s">
        <v>521</v>
      </c>
      <c r="J168">
        <v>130</v>
      </c>
      <c r="K168">
        <v>1</v>
      </c>
      <c r="L168">
        <v>131</v>
      </c>
      <c r="M168">
        <v>15.63</v>
      </c>
      <c r="N168">
        <v>4.0599999999999996</v>
      </c>
      <c r="O168">
        <v>3.52</v>
      </c>
      <c r="Q168" t="s">
        <v>4</v>
      </c>
      <c r="R168">
        <v>5907698030140</v>
      </c>
      <c r="S168">
        <v>75</v>
      </c>
      <c r="T168" t="s">
        <v>369</v>
      </c>
      <c r="V168">
        <v>8204120000</v>
      </c>
    </row>
    <row r="169" spans="1:22" x14ac:dyDescent="0.25">
      <c r="A169">
        <v>300380</v>
      </c>
      <c r="B169" t="s">
        <v>302</v>
      </c>
      <c r="C169">
        <v>48</v>
      </c>
      <c r="D169">
        <v>6</v>
      </c>
      <c r="E169" t="s">
        <v>303</v>
      </c>
      <c r="F169" t="s">
        <v>518</v>
      </c>
      <c r="G169" t="s">
        <v>519</v>
      </c>
      <c r="H169" t="s">
        <v>524</v>
      </c>
      <c r="I169" t="s">
        <v>521</v>
      </c>
      <c r="J169">
        <v>235</v>
      </c>
      <c r="K169">
        <v>0</v>
      </c>
      <c r="L169">
        <v>235</v>
      </c>
      <c r="M169">
        <v>8.06</v>
      </c>
      <c r="N169">
        <v>2.0299999999999998</v>
      </c>
      <c r="O169">
        <v>1.81</v>
      </c>
      <c r="Q169" t="s">
        <v>2548</v>
      </c>
      <c r="R169">
        <v>5907698011675</v>
      </c>
      <c r="S169">
        <v>350</v>
      </c>
      <c r="T169" t="s">
        <v>369</v>
      </c>
      <c r="V169">
        <v>8204120000</v>
      </c>
    </row>
    <row r="170" spans="1:22" x14ac:dyDescent="0.25">
      <c r="A170">
        <v>300400</v>
      </c>
      <c r="B170" t="s">
        <v>302</v>
      </c>
      <c r="C170">
        <v>36</v>
      </c>
      <c r="D170">
        <v>6</v>
      </c>
      <c r="E170" t="s">
        <v>303</v>
      </c>
      <c r="F170" t="s">
        <v>518</v>
      </c>
      <c r="G170" t="s">
        <v>519</v>
      </c>
      <c r="H170" t="s">
        <v>525</v>
      </c>
      <c r="I170" t="s">
        <v>521</v>
      </c>
      <c r="J170">
        <v>119</v>
      </c>
      <c r="K170">
        <v>12</v>
      </c>
      <c r="L170">
        <v>131</v>
      </c>
      <c r="M170">
        <v>10.99</v>
      </c>
      <c r="N170">
        <v>2.77</v>
      </c>
      <c r="O170">
        <v>2.4700000000000002</v>
      </c>
      <c r="Q170" t="s">
        <v>2548</v>
      </c>
      <c r="R170">
        <v>5907698011682</v>
      </c>
      <c r="S170">
        <v>420</v>
      </c>
      <c r="T170" t="s">
        <v>369</v>
      </c>
      <c r="V170">
        <v>8204120000</v>
      </c>
    </row>
    <row r="171" spans="1:22" x14ac:dyDescent="0.25">
      <c r="A171">
        <v>300420</v>
      </c>
      <c r="B171" t="s">
        <v>302</v>
      </c>
      <c r="C171">
        <v>24</v>
      </c>
      <c r="D171">
        <v>6</v>
      </c>
      <c r="E171" t="s">
        <v>303</v>
      </c>
      <c r="F171" t="s">
        <v>518</v>
      </c>
      <c r="G171" t="s">
        <v>519</v>
      </c>
      <c r="H171" t="s">
        <v>526</v>
      </c>
      <c r="I171" t="s">
        <v>521</v>
      </c>
      <c r="J171">
        <v>65</v>
      </c>
      <c r="K171">
        <v>12</v>
      </c>
      <c r="L171">
        <v>77</v>
      </c>
      <c r="M171">
        <v>14.36</v>
      </c>
      <c r="N171">
        <v>3.63</v>
      </c>
      <c r="O171">
        <v>3.22</v>
      </c>
      <c r="Q171" t="s">
        <v>2548</v>
      </c>
      <c r="R171">
        <v>5907698011699</v>
      </c>
      <c r="S171">
        <v>260</v>
      </c>
      <c r="T171" t="s">
        <v>369</v>
      </c>
      <c r="V171">
        <v>8204120000</v>
      </c>
    </row>
    <row r="172" spans="1:22" x14ac:dyDescent="0.25">
      <c r="A172">
        <v>300710</v>
      </c>
      <c r="B172" t="s">
        <v>302</v>
      </c>
      <c r="C172">
        <v>60</v>
      </c>
      <c r="D172">
        <v>6</v>
      </c>
      <c r="E172" t="s">
        <v>303</v>
      </c>
      <c r="F172" t="s">
        <v>527</v>
      </c>
      <c r="G172" t="s">
        <v>528</v>
      </c>
      <c r="H172" t="s">
        <v>529</v>
      </c>
      <c r="I172" t="s">
        <v>530</v>
      </c>
      <c r="J172">
        <v>0</v>
      </c>
      <c r="K172">
        <v>0</v>
      </c>
      <c r="L172">
        <v>0</v>
      </c>
      <c r="M172">
        <v>13.6</v>
      </c>
      <c r="N172">
        <v>3.2</v>
      </c>
      <c r="O172">
        <v>2.96</v>
      </c>
      <c r="Q172" t="s">
        <v>2548</v>
      </c>
      <c r="R172">
        <v>5907698027454</v>
      </c>
      <c r="S172">
        <v>160</v>
      </c>
      <c r="T172" t="s">
        <v>531</v>
      </c>
      <c r="V172">
        <v>8204120000</v>
      </c>
    </row>
    <row r="173" spans="1:22" x14ac:dyDescent="0.25">
      <c r="A173">
        <v>300712</v>
      </c>
      <c r="B173" t="s">
        <v>302</v>
      </c>
      <c r="C173">
        <v>36</v>
      </c>
      <c r="D173">
        <v>6</v>
      </c>
      <c r="E173" t="s">
        <v>303</v>
      </c>
      <c r="F173" t="s">
        <v>527</v>
      </c>
      <c r="G173" t="s">
        <v>528</v>
      </c>
      <c r="H173" t="s">
        <v>532</v>
      </c>
      <c r="I173" t="s">
        <v>530</v>
      </c>
      <c r="J173">
        <v>97</v>
      </c>
      <c r="K173">
        <v>0</v>
      </c>
      <c r="L173">
        <v>97</v>
      </c>
      <c r="M173">
        <v>19.68</v>
      </c>
      <c r="N173">
        <v>4.96</v>
      </c>
      <c r="O173">
        <v>4.42</v>
      </c>
      <c r="Q173" t="s">
        <v>2548</v>
      </c>
      <c r="R173">
        <v>5907698027461</v>
      </c>
      <c r="S173">
        <v>150</v>
      </c>
      <c r="T173" t="s">
        <v>531</v>
      </c>
      <c r="V173">
        <v>8204120000</v>
      </c>
    </row>
    <row r="174" spans="1:22" x14ac:dyDescent="0.25">
      <c r="A174">
        <v>310060</v>
      </c>
      <c r="B174" t="s">
        <v>302</v>
      </c>
      <c r="C174">
        <v>60</v>
      </c>
      <c r="D174">
        <v>10</v>
      </c>
      <c r="E174" t="s">
        <v>303</v>
      </c>
      <c r="F174" t="s">
        <v>3047</v>
      </c>
      <c r="G174" t="s">
        <v>533</v>
      </c>
      <c r="H174" t="s">
        <v>1758</v>
      </c>
      <c r="I174" t="s">
        <v>534</v>
      </c>
      <c r="J174">
        <v>36</v>
      </c>
      <c r="K174">
        <v>13</v>
      </c>
      <c r="L174">
        <v>49</v>
      </c>
      <c r="M174">
        <v>5.19</v>
      </c>
      <c r="N174">
        <v>1.34</v>
      </c>
      <c r="O174">
        <v>1.17</v>
      </c>
      <c r="Q174" t="s">
        <v>4</v>
      </c>
      <c r="R174">
        <v>5907698011705</v>
      </c>
      <c r="S174">
        <v>320</v>
      </c>
      <c r="T174" t="s">
        <v>535</v>
      </c>
      <c r="V174">
        <v>8204110000</v>
      </c>
    </row>
    <row r="175" spans="1:22" x14ac:dyDescent="0.25">
      <c r="A175">
        <v>310080</v>
      </c>
      <c r="B175" t="s">
        <v>302</v>
      </c>
      <c r="C175">
        <v>40</v>
      </c>
      <c r="D175">
        <v>5</v>
      </c>
      <c r="E175" t="s">
        <v>303</v>
      </c>
      <c r="F175" t="s">
        <v>3047</v>
      </c>
      <c r="G175" t="s">
        <v>533</v>
      </c>
      <c r="H175" t="s">
        <v>536</v>
      </c>
      <c r="I175" t="s">
        <v>534</v>
      </c>
      <c r="J175">
        <v>49</v>
      </c>
      <c r="K175">
        <v>0</v>
      </c>
      <c r="L175">
        <v>49</v>
      </c>
      <c r="M175">
        <v>8.32</v>
      </c>
      <c r="N175">
        <v>2.16</v>
      </c>
      <c r="O175">
        <v>1.88</v>
      </c>
      <c r="Q175" t="s">
        <v>4</v>
      </c>
      <c r="R175">
        <v>5907698011712</v>
      </c>
      <c r="S175">
        <v>270</v>
      </c>
      <c r="T175" t="s">
        <v>535</v>
      </c>
      <c r="V175">
        <v>8204110000</v>
      </c>
    </row>
    <row r="176" spans="1:22" x14ac:dyDescent="0.25">
      <c r="A176">
        <v>310190</v>
      </c>
      <c r="B176" t="s">
        <v>302</v>
      </c>
      <c r="C176">
        <v>10</v>
      </c>
      <c r="E176" t="s">
        <v>303</v>
      </c>
      <c r="F176" t="s">
        <v>3047</v>
      </c>
      <c r="G176" t="s">
        <v>533</v>
      </c>
      <c r="H176" t="s">
        <v>1759</v>
      </c>
      <c r="I176" t="s">
        <v>534</v>
      </c>
      <c r="J176">
        <v>53</v>
      </c>
      <c r="K176">
        <v>0</v>
      </c>
      <c r="L176">
        <v>53</v>
      </c>
      <c r="M176">
        <v>19.239999999999998</v>
      </c>
      <c r="N176">
        <v>5</v>
      </c>
      <c r="O176">
        <v>4.33</v>
      </c>
      <c r="Q176" t="s">
        <v>4</v>
      </c>
      <c r="R176">
        <v>5907698011736</v>
      </c>
      <c r="S176">
        <v>200</v>
      </c>
      <c r="T176" t="s">
        <v>369</v>
      </c>
      <c r="V176">
        <v>8204110000</v>
      </c>
    </row>
    <row r="177" spans="1:22" x14ac:dyDescent="0.25">
      <c r="A177">
        <v>310221</v>
      </c>
      <c r="B177" t="s">
        <v>302</v>
      </c>
      <c r="C177">
        <v>15</v>
      </c>
      <c r="D177">
        <v>5</v>
      </c>
      <c r="E177" t="s">
        <v>303</v>
      </c>
      <c r="F177" t="s">
        <v>3047</v>
      </c>
      <c r="G177" t="s">
        <v>533</v>
      </c>
      <c r="H177" t="s">
        <v>537</v>
      </c>
      <c r="I177" t="s">
        <v>534</v>
      </c>
      <c r="J177">
        <v>246</v>
      </c>
      <c r="K177">
        <v>0</v>
      </c>
      <c r="L177">
        <v>246</v>
      </c>
      <c r="M177">
        <v>49.61</v>
      </c>
      <c r="N177">
        <v>12.88</v>
      </c>
      <c r="O177">
        <v>11.18</v>
      </c>
      <c r="Q177" t="s">
        <v>4</v>
      </c>
      <c r="R177">
        <v>5907698019602</v>
      </c>
      <c r="S177">
        <v>170</v>
      </c>
      <c r="T177" t="s">
        <v>538</v>
      </c>
      <c r="U177" t="s">
        <v>2996</v>
      </c>
      <c r="V177">
        <v>8204110000</v>
      </c>
    </row>
    <row r="178" spans="1:22" x14ac:dyDescent="0.25">
      <c r="A178">
        <v>310222</v>
      </c>
      <c r="B178" t="s">
        <v>302</v>
      </c>
      <c r="C178">
        <v>50</v>
      </c>
      <c r="E178" t="s">
        <v>303</v>
      </c>
      <c r="F178" t="s">
        <v>3048</v>
      </c>
      <c r="G178" t="s">
        <v>539</v>
      </c>
      <c r="H178" t="s">
        <v>540</v>
      </c>
      <c r="I178" t="s">
        <v>541</v>
      </c>
      <c r="J178">
        <v>214</v>
      </c>
      <c r="K178">
        <v>0</v>
      </c>
      <c r="L178">
        <v>214</v>
      </c>
      <c r="M178">
        <v>3.55</v>
      </c>
      <c r="N178">
        <v>0.92</v>
      </c>
      <c r="O178">
        <v>0.79</v>
      </c>
      <c r="Q178" t="s">
        <v>4</v>
      </c>
      <c r="R178">
        <v>5907698028543</v>
      </c>
      <c r="S178">
        <v>150</v>
      </c>
      <c r="T178" t="s">
        <v>1549</v>
      </c>
      <c r="V178">
        <v>4202929890</v>
      </c>
    </row>
    <row r="179" spans="1:22" x14ac:dyDescent="0.25">
      <c r="A179">
        <v>311180</v>
      </c>
      <c r="B179" t="s">
        <v>302</v>
      </c>
      <c r="C179">
        <v>20</v>
      </c>
      <c r="D179">
        <v>5</v>
      </c>
      <c r="E179" t="s">
        <v>303</v>
      </c>
      <c r="F179" t="s">
        <v>542</v>
      </c>
      <c r="G179" t="s">
        <v>543</v>
      </c>
      <c r="H179" t="s">
        <v>536</v>
      </c>
      <c r="I179" t="s">
        <v>544</v>
      </c>
      <c r="J179">
        <v>209</v>
      </c>
      <c r="K179">
        <v>0</v>
      </c>
      <c r="L179">
        <v>209</v>
      </c>
      <c r="M179">
        <v>17.670000000000002</v>
      </c>
      <c r="N179">
        <v>4.59</v>
      </c>
      <c r="O179">
        <v>3.98</v>
      </c>
      <c r="Q179" t="s">
        <v>4</v>
      </c>
      <c r="R179">
        <v>5907698011767</v>
      </c>
      <c r="S179">
        <v>350</v>
      </c>
      <c r="T179" t="s">
        <v>535</v>
      </c>
      <c r="V179">
        <v>8204110000</v>
      </c>
    </row>
    <row r="180" spans="1:22" x14ac:dyDescent="0.25">
      <c r="A180">
        <v>312060</v>
      </c>
      <c r="B180" t="s">
        <v>302</v>
      </c>
      <c r="C180">
        <v>32</v>
      </c>
      <c r="D180">
        <v>8</v>
      </c>
      <c r="E180" t="s">
        <v>303</v>
      </c>
      <c r="F180" t="s">
        <v>3049</v>
      </c>
      <c r="G180" t="s">
        <v>545</v>
      </c>
      <c r="H180" t="s">
        <v>546</v>
      </c>
      <c r="I180" t="s">
        <v>547</v>
      </c>
      <c r="J180">
        <v>110</v>
      </c>
      <c r="K180">
        <v>1</v>
      </c>
      <c r="L180">
        <v>111</v>
      </c>
      <c r="M180">
        <v>6.83</v>
      </c>
      <c r="N180">
        <v>1.78</v>
      </c>
      <c r="O180">
        <v>1.54</v>
      </c>
      <c r="Q180" t="s">
        <v>4</v>
      </c>
      <c r="R180">
        <v>5907698011798</v>
      </c>
      <c r="S180">
        <v>420</v>
      </c>
      <c r="T180" t="s">
        <v>548</v>
      </c>
      <c r="V180">
        <v>8204110000</v>
      </c>
    </row>
    <row r="181" spans="1:22" x14ac:dyDescent="0.25">
      <c r="A181">
        <v>312180</v>
      </c>
      <c r="B181" t="s">
        <v>302</v>
      </c>
      <c r="C181">
        <v>36</v>
      </c>
      <c r="D181">
        <v>6</v>
      </c>
      <c r="E181" t="s">
        <v>303</v>
      </c>
      <c r="F181" t="s">
        <v>3049</v>
      </c>
      <c r="G181" t="s">
        <v>545</v>
      </c>
      <c r="H181" t="s">
        <v>549</v>
      </c>
      <c r="I181" t="s">
        <v>550</v>
      </c>
      <c r="J181">
        <v>119</v>
      </c>
      <c r="K181">
        <v>3</v>
      </c>
      <c r="L181">
        <v>122</v>
      </c>
      <c r="M181">
        <v>9.06</v>
      </c>
      <c r="N181">
        <v>2.35</v>
      </c>
      <c r="O181">
        <v>2.04</v>
      </c>
      <c r="Q181" t="s">
        <v>4</v>
      </c>
      <c r="R181">
        <v>5907698011804</v>
      </c>
      <c r="S181">
        <v>450</v>
      </c>
      <c r="T181" t="s">
        <v>548</v>
      </c>
      <c r="V181">
        <v>8204110000</v>
      </c>
    </row>
    <row r="182" spans="1:22" x14ac:dyDescent="0.25">
      <c r="A182">
        <v>312181</v>
      </c>
      <c r="B182" t="s">
        <v>302</v>
      </c>
      <c r="C182">
        <v>20</v>
      </c>
      <c r="E182" t="s">
        <v>303</v>
      </c>
      <c r="F182" t="s">
        <v>3049</v>
      </c>
      <c r="G182" t="s">
        <v>545</v>
      </c>
      <c r="H182" t="s">
        <v>551</v>
      </c>
      <c r="I182" t="s">
        <v>547</v>
      </c>
      <c r="J182">
        <v>153</v>
      </c>
      <c r="K182">
        <v>1</v>
      </c>
      <c r="L182">
        <v>154</v>
      </c>
      <c r="M182">
        <v>16.41</v>
      </c>
      <c r="N182">
        <v>4.26</v>
      </c>
      <c r="O182">
        <v>3.7</v>
      </c>
      <c r="Q182" t="s">
        <v>4</v>
      </c>
      <c r="R182">
        <v>5907698019626</v>
      </c>
      <c r="S182">
        <v>130</v>
      </c>
      <c r="T182" t="s">
        <v>538</v>
      </c>
      <c r="V182">
        <v>8204110000</v>
      </c>
    </row>
    <row r="183" spans="1:22" x14ac:dyDescent="0.25">
      <c r="A183">
        <v>312220</v>
      </c>
      <c r="B183" t="s">
        <v>302</v>
      </c>
      <c r="C183">
        <v>20</v>
      </c>
      <c r="D183">
        <v>4</v>
      </c>
      <c r="E183" t="s">
        <v>303</v>
      </c>
      <c r="F183" t="s">
        <v>3049</v>
      </c>
      <c r="G183" t="s">
        <v>545</v>
      </c>
      <c r="H183" t="s">
        <v>552</v>
      </c>
      <c r="I183" t="s">
        <v>547</v>
      </c>
      <c r="J183">
        <v>187</v>
      </c>
      <c r="K183">
        <v>1</v>
      </c>
      <c r="L183">
        <v>188</v>
      </c>
      <c r="M183">
        <v>13.19</v>
      </c>
      <c r="N183">
        <v>3.43</v>
      </c>
      <c r="O183">
        <v>2.97</v>
      </c>
      <c r="Q183" t="s">
        <v>4</v>
      </c>
      <c r="R183">
        <v>5907698011811</v>
      </c>
      <c r="S183">
        <v>300</v>
      </c>
      <c r="T183" t="s">
        <v>535</v>
      </c>
      <c r="V183">
        <v>8204110000</v>
      </c>
    </row>
    <row r="184" spans="1:22" x14ac:dyDescent="0.25">
      <c r="A184">
        <v>312230</v>
      </c>
      <c r="B184" t="s">
        <v>302</v>
      </c>
      <c r="C184">
        <v>10</v>
      </c>
      <c r="D184">
        <v>2</v>
      </c>
      <c r="E184" t="s">
        <v>303</v>
      </c>
      <c r="F184" t="s">
        <v>3049</v>
      </c>
      <c r="G184" t="s">
        <v>545</v>
      </c>
      <c r="H184" t="s">
        <v>553</v>
      </c>
      <c r="I184" t="s">
        <v>547</v>
      </c>
      <c r="J184">
        <v>64</v>
      </c>
      <c r="K184">
        <v>1</v>
      </c>
      <c r="L184">
        <v>65</v>
      </c>
      <c r="M184">
        <v>26.55</v>
      </c>
      <c r="N184">
        <v>6.89</v>
      </c>
      <c r="O184">
        <v>5.97</v>
      </c>
      <c r="Q184" t="s">
        <v>4</v>
      </c>
      <c r="R184">
        <v>5907698011828</v>
      </c>
      <c r="S184">
        <v>260</v>
      </c>
      <c r="T184" t="s">
        <v>369</v>
      </c>
      <c r="V184">
        <v>8204110000</v>
      </c>
    </row>
    <row r="185" spans="1:22" x14ac:dyDescent="0.25">
      <c r="A185">
        <v>312250</v>
      </c>
      <c r="B185" t="s">
        <v>302</v>
      </c>
      <c r="C185">
        <v>4</v>
      </c>
      <c r="E185" t="s">
        <v>303</v>
      </c>
      <c r="F185" t="s">
        <v>3049</v>
      </c>
      <c r="G185" t="s">
        <v>545</v>
      </c>
      <c r="H185" t="s">
        <v>554</v>
      </c>
      <c r="I185" t="s">
        <v>547</v>
      </c>
      <c r="J185">
        <v>60</v>
      </c>
      <c r="K185">
        <v>1</v>
      </c>
      <c r="L185">
        <v>61</v>
      </c>
      <c r="M185">
        <v>117.52</v>
      </c>
      <c r="N185">
        <v>30.5</v>
      </c>
      <c r="O185">
        <v>26.47</v>
      </c>
      <c r="Q185" t="s">
        <v>4</v>
      </c>
      <c r="R185">
        <v>5907698011835</v>
      </c>
      <c r="S185">
        <v>35</v>
      </c>
      <c r="T185" t="s">
        <v>538</v>
      </c>
      <c r="V185">
        <v>8204110000</v>
      </c>
    </row>
    <row r="186" spans="1:22" x14ac:dyDescent="0.25">
      <c r="A186">
        <v>312257</v>
      </c>
      <c r="B186" t="s">
        <v>302</v>
      </c>
      <c r="C186">
        <v>5</v>
      </c>
      <c r="E186" t="s">
        <v>303</v>
      </c>
      <c r="F186" t="s">
        <v>3049</v>
      </c>
      <c r="G186" t="s">
        <v>545</v>
      </c>
      <c r="H186" t="s">
        <v>555</v>
      </c>
      <c r="I186" t="s">
        <v>547</v>
      </c>
      <c r="J186">
        <v>74</v>
      </c>
      <c r="K186">
        <v>1</v>
      </c>
      <c r="L186">
        <v>75</v>
      </c>
      <c r="M186">
        <v>61.06</v>
      </c>
      <c r="N186">
        <v>15.85</v>
      </c>
      <c r="O186">
        <v>13.75</v>
      </c>
      <c r="Q186" t="s">
        <v>4</v>
      </c>
      <c r="R186">
        <v>5907698024446</v>
      </c>
      <c r="S186">
        <v>70</v>
      </c>
      <c r="T186" t="s">
        <v>538</v>
      </c>
      <c r="V186">
        <v>8204110000</v>
      </c>
    </row>
    <row r="187" spans="1:22" x14ac:dyDescent="0.25">
      <c r="A187">
        <v>312258</v>
      </c>
      <c r="B187" t="s">
        <v>302</v>
      </c>
      <c r="C187">
        <v>50</v>
      </c>
      <c r="E187" t="s">
        <v>303</v>
      </c>
      <c r="F187" t="s">
        <v>3048</v>
      </c>
      <c r="G187" t="s">
        <v>539</v>
      </c>
      <c r="H187" t="s">
        <v>1760</v>
      </c>
      <c r="I187" t="s">
        <v>541</v>
      </c>
      <c r="J187">
        <v>342</v>
      </c>
      <c r="K187">
        <v>0</v>
      </c>
      <c r="L187">
        <v>342</v>
      </c>
      <c r="M187">
        <v>4.0599999999999996</v>
      </c>
      <c r="N187">
        <v>1.06</v>
      </c>
      <c r="O187">
        <v>0.91</v>
      </c>
      <c r="Q187" t="s">
        <v>4</v>
      </c>
      <c r="R187">
        <v>5907698028550</v>
      </c>
      <c r="S187">
        <v>200</v>
      </c>
      <c r="T187" t="s">
        <v>1549</v>
      </c>
      <c r="V187">
        <v>4202929890</v>
      </c>
    </row>
    <row r="188" spans="1:22" x14ac:dyDescent="0.25">
      <c r="A188">
        <v>312260</v>
      </c>
      <c r="B188" t="s">
        <v>302</v>
      </c>
      <c r="C188">
        <v>4</v>
      </c>
      <c r="E188" t="s">
        <v>303</v>
      </c>
      <c r="F188" t="s">
        <v>3049</v>
      </c>
      <c r="G188" t="s">
        <v>545</v>
      </c>
      <c r="H188" t="s">
        <v>556</v>
      </c>
      <c r="I188" t="s">
        <v>550</v>
      </c>
      <c r="J188">
        <v>57</v>
      </c>
      <c r="K188">
        <v>1</v>
      </c>
      <c r="L188">
        <v>58</v>
      </c>
      <c r="M188">
        <v>81.180000000000007</v>
      </c>
      <c r="N188">
        <v>20.51</v>
      </c>
      <c r="O188">
        <v>17.579999999999998</v>
      </c>
      <c r="Q188" t="s">
        <v>4</v>
      </c>
      <c r="R188">
        <v>5907698011842</v>
      </c>
      <c r="S188">
        <v>25</v>
      </c>
      <c r="T188" t="s">
        <v>538</v>
      </c>
      <c r="V188">
        <v>8204110000</v>
      </c>
    </row>
    <row r="189" spans="1:22" x14ac:dyDescent="0.25">
      <c r="A189">
        <v>312261</v>
      </c>
      <c r="B189" t="s">
        <v>302</v>
      </c>
      <c r="C189">
        <v>50</v>
      </c>
      <c r="E189" t="s">
        <v>303</v>
      </c>
      <c r="F189" t="s">
        <v>3048</v>
      </c>
      <c r="G189" t="s">
        <v>539</v>
      </c>
      <c r="H189" t="s">
        <v>1761</v>
      </c>
      <c r="I189" t="s">
        <v>541</v>
      </c>
      <c r="J189">
        <v>197</v>
      </c>
      <c r="K189">
        <v>20</v>
      </c>
      <c r="L189">
        <v>217</v>
      </c>
      <c r="M189">
        <v>5.0999999999999996</v>
      </c>
      <c r="N189">
        <v>1.32</v>
      </c>
      <c r="O189">
        <v>1.1599999999999999</v>
      </c>
      <c r="Q189" t="s">
        <v>4</v>
      </c>
      <c r="R189">
        <v>5907698028246</v>
      </c>
      <c r="S189">
        <v>200</v>
      </c>
      <c r="T189" t="s">
        <v>1549</v>
      </c>
      <c r="V189">
        <v>4202929890</v>
      </c>
    </row>
    <row r="190" spans="1:22" x14ac:dyDescent="0.25">
      <c r="A190">
        <v>313429</v>
      </c>
      <c r="B190" t="s">
        <v>3027</v>
      </c>
      <c r="C190">
        <v>6</v>
      </c>
      <c r="E190" t="s">
        <v>303</v>
      </c>
      <c r="F190" t="s">
        <v>3050</v>
      </c>
      <c r="G190" t="s">
        <v>1762</v>
      </c>
      <c r="H190" t="s">
        <v>1763</v>
      </c>
      <c r="I190" t="s">
        <v>1764</v>
      </c>
      <c r="J190">
        <v>30</v>
      </c>
      <c r="K190">
        <v>0</v>
      </c>
      <c r="L190">
        <v>30</v>
      </c>
      <c r="M190">
        <v>22.02</v>
      </c>
      <c r="N190">
        <v>5.58</v>
      </c>
      <c r="O190">
        <v>4.93</v>
      </c>
      <c r="Q190" t="s">
        <v>1765</v>
      </c>
      <c r="R190">
        <v>5907698020561</v>
      </c>
      <c r="S190">
        <v>0</v>
      </c>
      <c r="T190" t="s">
        <v>369</v>
      </c>
      <c r="V190">
        <v>8204110000</v>
      </c>
    </row>
    <row r="191" spans="1:22" x14ac:dyDescent="0.25">
      <c r="A191">
        <v>314020</v>
      </c>
      <c r="B191" t="s">
        <v>302</v>
      </c>
      <c r="C191">
        <v>120</v>
      </c>
      <c r="D191">
        <v>6</v>
      </c>
      <c r="E191" t="s">
        <v>303</v>
      </c>
      <c r="F191" t="s">
        <v>3051</v>
      </c>
      <c r="G191" t="s">
        <v>557</v>
      </c>
      <c r="H191" t="s">
        <v>1766</v>
      </c>
      <c r="I191" t="s">
        <v>558</v>
      </c>
      <c r="J191">
        <v>3</v>
      </c>
      <c r="K191">
        <v>0</v>
      </c>
      <c r="L191">
        <v>3</v>
      </c>
      <c r="M191">
        <v>1.66</v>
      </c>
      <c r="N191">
        <v>0.4</v>
      </c>
      <c r="O191">
        <v>0.37</v>
      </c>
      <c r="Q191" t="s">
        <v>4</v>
      </c>
      <c r="R191">
        <v>5907698022459</v>
      </c>
      <c r="S191">
        <v>560</v>
      </c>
      <c r="T191" t="s">
        <v>559</v>
      </c>
      <c r="V191">
        <v>8204110000</v>
      </c>
    </row>
    <row r="192" spans="1:22" x14ac:dyDescent="0.25">
      <c r="A192">
        <v>314023</v>
      </c>
      <c r="B192" t="s">
        <v>302</v>
      </c>
      <c r="C192">
        <v>120</v>
      </c>
      <c r="D192">
        <v>6</v>
      </c>
      <c r="E192" t="s">
        <v>303</v>
      </c>
      <c r="F192" t="s">
        <v>3051</v>
      </c>
      <c r="G192" t="s">
        <v>557</v>
      </c>
      <c r="H192" t="s">
        <v>1767</v>
      </c>
      <c r="I192" t="s">
        <v>558</v>
      </c>
      <c r="J192">
        <v>221</v>
      </c>
      <c r="K192">
        <v>0</v>
      </c>
      <c r="L192">
        <v>221</v>
      </c>
      <c r="M192">
        <v>2</v>
      </c>
      <c r="N192">
        <v>0.47</v>
      </c>
      <c r="O192">
        <v>0.44</v>
      </c>
      <c r="Q192" t="s">
        <v>4</v>
      </c>
      <c r="R192">
        <v>5907698022466</v>
      </c>
      <c r="S192">
        <v>530</v>
      </c>
      <c r="T192" t="s">
        <v>559</v>
      </c>
      <c r="V192">
        <v>8204110000</v>
      </c>
    </row>
    <row r="193" spans="1:22" x14ac:dyDescent="0.25">
      <c r="A193">
        <v>314027</v>
      </c>
      <c r="B193" t="s">
        <v>302</v>
      </c>
      <c r="C193">
        <v>120</v>
      </c>
      <c r="D193">
        <v>6</v>
      </c>
      <c r="E193" t="s">
        <v>303</v>
      </c>
      <c r="F193" t="s">
        <v>3051</v>
      </c>
      <c r="G193" t="s">
        <v>557</v>
      </c>
      <c r="H193" t="s">
        <v>560</v>
      </c>
      <c r="I193" t="s">
        <v>558</v>
      </c>
      <c r="J193">
        <v>344</v>
      </c>
      <c r="K193">
        <v>0</v>
      </c>
      <c r="L193">
        <v>344</v>
      </c>
      <c r="M193">
        <v>3.31</v>
      </c>
      <c r="N193">
        <v>0.78</v>
      </c>
      <c r="O193">
        <v>0.72</v>
      </c>
      <c r="Q193" t="s">
        <v>4</v>
      </c>
      <c r="R193">
        <v>5907698022473</v>
      </c>
      <c r="S193">
        <v>330</v>
      </c>
      <c r="T193" t="s">
        <v>559</v>
      </c>
      <c r="V193">
        <v>8204110000</v>
      </c>
    </row>
    <row r="194" spans="1:22" x14ac:dyDescent="0.25">
      <c r="A194">
        <v>314029</v>
      </c>
      <c r="B194" t="s">
        <v>302</v>
      </c>
      <c r="C194">
        <v>120</v>
      </c>
      <c r="D194">
        <v>6</v>
      </c>
      <c r="E194" t="s">
        <v>303</v>
      </c>
      <c r="F194" t="s">
        <v>3051</v>
      </c>
      <c r="G194" t="s">
        <v>557</v>
      </c>
      <c r="H194" t="s">
        <v>1768</v>
      </c>
      <c r="I194" t="s">
        <v>558</v>
      </c>
      <c r="J194">
        <v>298</v>
      </c>
      <c r="K194">
        <v>0</v>
      </c>
      <c r="L194">
        <v>298</v>
      </c>
      <c r="M194">
        <v>3.64</v>
      </c>
      <c r="N194">
        <v>0.94</v>
      </c>
      <c r="O194">
        <v>0.82</v>
      </c>
      <c r="Q194" t="s">
        <v>4</v>
      </c>
      <c r="R194">
        <v>5907698022480</v>
      </c>
      <c r="S194">
        <v>220</v>
      </c>
      <c r="T194" t="s">
        <v>559</v>
      </c>
      <c r="V194">
        <v>8204110000</v>
      </c>
    </row>
    <row r="195" spans="1:22" x14ac:dyDescent="0.25">
      <c r="A195">
        <v>314060</v>
      </c>
      <c r="B195" t="s">
        <v>302</v>
      </c>
      <c r="C195">
        <v>30</v>
      </c>
      <c r="D195">
        <v>3</v>
      </c>
      <c r="E195" t="s">
        <v>303</v>
      </c>
      <c r="F195" t="s">
        <v>1629</v>
      </c>
      <c r="G195" t="s">
        <v>1630</v>
      </c>
      <c r="H195" t="s">
        <v>1631</v>
      </c>
      <c r="I195" t="s">
        <v>1632</v>
      </c>
      <c r="J195">
        <v>80</v>
      </c>
      <c r="K195">
        <v>1</v>
      </c>
      <c r="L195">
        <v>81</v>
      </c>
      <c r="M195">
        <v>22.14</v>
      </c>
      <c r="N195">
        <v>5.23</v>
      </c>
      <c r="O195">
        <v>4.8499999999999996</v>
      </c>
      <c r="Q195" t="s">
        <v>4</v>
      </c>
      <c r="R195">
        <v>5907698029434</v>
      </c>
      <c r="S195">
        <v>100</v>
      </c>
      <c r="T195" t="s">
        <v>538</v>
      </c>
      <c r="V195">
        <v>8204110000</v>
      </c>
    </row>
    <row r="196" spans="1:22" x14ac:dyDescent="0.25">
      <c r="A196">
        <v>320080</v>
      </c>
      <c r="B196" t="s">
        <v>302</v>
      </c>
      <c r="C196">
        <v>120</v>
      </c>
      <c r="D196">
        <v>0</v>
      </c>
      <c r="E196" t="s">
        <v>303</v>
      </c>
      <c r="F196" t="s">
        <v>561</v>
      </c>
      <c r="G196" t="s">
        <v>562</v>
      </c>
      <c r="H196" t="s">
        <v>563</v>
      </c>
      <c r="I196" t="s">
        <v>564</v>
      </c>
      <c r="J196">
        <v>1070</v>
      </c>
      <c r="K196">
        <v>120</v>
      </c>
      <c r="L196">
        <v>1190</v>
      </c>
      <c r="M196">
        <v>2.16</v>
      </c>
      <c r="N196">
        <v>0.54</v>
      </c>
      <c r="O196">
        <v>0.5</v>
      </c>
      <c r="Q196" t="s">
        <v>2</v>
      </c>
      <c r="R196">
        <v>5907698011866</v>
      </c>
      <c r="S196">
        <v>1900</v>
      </c>
      <c r="T196" t="s">
        <v>565</v>
      </c>
      <c r="V196">
        <v>8204110000</v>
      </c>
    </row>
    <row r="197" spans="1:22" x14ac:dyDescent="0.25">
      <c r="A197">
        <v>321090</v>
      </c>
      <c r="B197" t="s">
        <v>302</v>
      </c>
      <c r="C197">
        <v>60</v>
      </c>
      <c r="D197">
        <v>15</v>
      </c>
      <c r="E197" t="s">
        <v>303</v>
      </c>
      <c r="F197" t="s">
        <v>566</v>
      </c>
      <c r="G197" t="s">
        <v>567</v>
      </c>
      <c r="H197" t="s">
        <v>568</v>
      </c>
      <c r="I197" t="s">
        <v>569</v>
      </c>
      <c r="J197">
        <v>2014</v>
      </c>
      <c r="K197">
        <v>16</v>
      </c>
      <c r="L197">
        <v>2030</v>
      </c>
      <c r="M197">
        <v>5.19</v>
      </c>
      <c r="N197">
        <v>1.32</v>
      </c>
      <c r="O197">
        <v>1.1200000000000001</v>
      </c>
      <c r="Q197" t="s">
        <v>2</v>
      </c>
      <c r="R197">
        <v>5907698011903</v>
      </c>
      <c r="S197">
        <v>1800</v>
      </c>
      <c r="T197" t="s">
        <v>383</v>
      </c>
      <c r="V197">
        <v>8204110000</v>
      </c>
    </row>
    <row r="198" spans="1:22" x14ac:dyDescent="0.25">
      <c r="A198">
        <v>321091</v>
      </c>
      <c r="B198" t="s">
        <v>302</v>
      </c>
      <c r="C198">
        <v>60</v>
      </c>
      <c r="D198">
        <v>15</v>
      </c>
      <c r="E198" t="s">
        <v>303</v>
      </c>
      <c r="F198" t="s">
        <v>566</v>
      </c>
      <c r="G198" t="s">
        <v>1769</v>
      </c>
      <c r="H198" t="s">
        <v>1770</v>
      </c>
      <c r="I198" t="s">
        <v>569</v>
      </c>
      <c r="J198">
        <v>294</v>
      </c>
      <c r="K198">
        <v>210</v>
      </c>
      <c r="L198">
        <v>504</v>
      </c>
      <c r="M198">
        <v>4.9800000000000004</v>
      </c>
      <c r="N198">
        <v>1.27</v>
      </c>
      <c r="O198">
        <v>1.1000000000000001</v>
      </c>
      <c r="Q198" t="s">
        <v>2</v>
      </c>
      <c r="R198">
        <v>5907698024682</v>
      </c>
      <c r="S198">
        <v>400</v>
      </c>
      <c r="T198" t="s">
        <v>383</v>
      </c>
      <c r="V198">
        <v>8204110000</v>
      </c>
    </row>
    <row r="199" spans="1:22" x14ac:dyDescent="0.25">
      <c r="A199">
        <v>321092</v>
      </c>
      <c r="B199" t="s">
        <v>302</v>
      </c>
      <c r="C199">
        <v>72</v>
      </c>
      <c r="D199">
        <v>18</v>
      </c>
      <c r="E199" t="s">
        <v>303</v>
      </c>
      <c r="F199" t="s">
        <v>566</v>
      </c>
      <c r="G199" t="s">
        <v>567</v>
      </c>
      <c r="H199" t="s">
        <v>570</v>
      </c>
      <c r="I199" t="s">
        <v>569</v>
      </c>
      <c r="J199">
        <v>374</v>
      </c>
      <c r="K199">
        <v>0</v>
      </c>
      <c r="L199">
        <v>374</v>
      </c>
      <c r="M199">
        <v>4.0599999999999996</v>
      </c>
      <c r="N199">
        <v>0.96</v>
      </c>
      <c r="O199">
        <v>0.88</v>
      </c>
      <c r="Q199" t="s">
        <v>2</v>
      </c>
      <c r="R199">
        <v>5907698020400</v>
      </c>
      <c r="S199">
        <v>800</v>
      </c>
      <c r="T199" t="s">
        <v>383</v>
      </c>
      <c r="V199">
        <v>8204110000</v>
      </c>
    </row>
    <row r="200" spans="1:22" x14ac:dyDescent="0.25">
      <c r="A200">
        <v>321170</v>
      </c>
      <c r="B200" t="s">
        <v>302</v>
      </c>
      <c r="C200">
        <v>72</v>
      </c>
      <c r="D200">
        <v>0</v>
      </c>
      <c r="E200" t="s">
        <v>303</v>
      </c>
      <c r="F200" t="s">
        <v>561</v>
      </c>
      <c r="G200" t="s">
        <v>1771</v>
      </c>
      <c r="H200" t="s">
        <v>1772</v>
      </c>
      <c r="I200" t="s">
        <v>1773</v>
      </c>
      <c r="J200">
        <v>1449</v>
      </c>
      <c r="K200">
        <v>0</v>
      </c>
      <c r="L200">
        <v>1449</v>
      </c>
      <c r="M200">
        <v>3.66</v>
      </c>
      <c r="N200">
        <v>0.93</v>
      </c>
      <c r="O200">
        <v>0.83</v>
      </c>
      <c r="Q200" t="s">
        <v>2</v>
      </c>
      <c r="R200">
        <v>5907698011910</v>
      </c>
      <c r="S200">
        <v>250</v>
      </c>
      <c r="T200" t="s">
        <v>383</v>
      </c>
      <c r="U200" t="s">
        <v>3752</v>
      </c>
      <c r="V200">
        <v>8204110000</v>
      </c>
    </row>
    <row r="201" spans="1:22" x14ac:dyDescent="0.25">
      <c r="A201">
        <v>321190</v>
      </c>
      <c r="B201" t="s">
        <v>302</v>
      </c>
      <c r="C201">
        <v>60</v>
      </c>
      <c r="D201">
        <v>15</v>
      </c>
      <c r="E201" t="s">
        <v>303</v>
      </c>
      <c r="F201" t="s">
        <v>3052</v>
      </c>
      <c r="G201" t="s">
        <v>571</v>
      </c>
      <c r="H201" t="s">
        <v>572</v>
      </c>
      <c r="I201" t="s">
        <v>573</v>
      </c>
      <c r="J201">
        <v>1607</v>
      </c>
      <c r="K201">
        <v>32</v>
      </c>
      <c r="L201">
        <v>1639</v>
      </c>
      <c r="M201">
        <v>5.42</v>
      </c>
      <c r="N201">
        <v>1.39</v>
      </c>
      <c r="O201">
        <v>1.19</v>
      </c>
      <c r="Q201" t="s">
        <v>2</v>
      </c>
      <c r="R201">
        <v>5907698011927</v>
      </c>
      <c r="S201">
        <v>1400</v>
      </c>
      <c r="T201" t="s">
        <v>383</v>
      </c>
      <c r="V201">
        <v>8204110000</v>
      </c>
    </row>
    <row r="202" spans="1:22" x14ac:dyDescent="0.25">
      <c r="A202">
        <v>321191</v>
      </c>
      <c r="B202" t="s">
        <v>302</v>
      </c>
      <c r="C202">
        <v>60</v>
      </c>
      <c r="D202">
        <v>15</v>
      </c>
      <c r="E202" t="s">
        <v>303</v>
      </c>
      <c r="F202" t="s">
        <v>3052</v>
      </c>
      <c r="G202" t="s">
        <v>571</v>
      </c>
      <c r="H202" t="s">
        <v>574</v>
      </c>
      <c r="I202" t="s">
        <v>575</v>
      </c>
      <c r="J202">
        <v>1102</v>
      </c>
      <c r="K202">
        <v>30</v>
      </c>
      <c r="L202">
        <v>1132</v>
      </c>
      <c r="M202">
        <v>5.3</v>
      </c>
      <c r="N202">
        <v>1.35</v>
      </c>
      <c r="O202">
        <v>1.2</v>
      </c>
      <c r="Q202" t="s">
        <v>2</v>
      </c>
      <c r="R202">
        <v>5907698024699</v>
      </c>
      <c r="S202">
        <v>500</v>
      </c>
      <c r="T202" t="s">
        <v>383</v>
      </c>
      <c r="V202">
        <v>8204110000</v>
      </c>
    </row>
    <row r="203" spans="1:22" x14ac:dyDescent="0.25">
      <c r="A203">
        <v>321192</v>
      </c>
      <c r="B203" t="s">
        <v>302</v>
      </c>
      <c r="C203">
        <v>72</v>
      </c>
      <c r="D203">
        <v>18</v>
      </c>
      <c r="E203" t="s">
        <v>303</v>
      </c>
      <c r="F203" t="s">
        <v>3052</v>
      </c>
      <c r="G203" t="s">
        <v>571</v>
      </c>
      <c r="H203" t="s">
        <v>576</v>
      </c>
      <c r="I203" t="s">
        <v>577</v>
      </c>
      <c r="J203">
        <v>311</v>
      </c>
      <c r="K203">
        <v>1</v>
      </c>
      <c r="L203">
        <v>312</v>
      </c>
      <c r="M203">
        <v>4.43</v>
      </c>
      <c r="N203">
        <v>1.04</v>
      </c>
      <c r="O203">
        <v>0.97</v>
      </c>
      <c r="Q203" t="s">
        <v>2</v>
      </c>
      <c r="R203">
        <v>5907698020417</v>
      </c>
      <c r="S203">
        <v>800</v>
      </c>
      <c r="T203" t="s">
        <v>578</v>
      </c>
      <c r="V203">
        <v>8204110000</v>
      </c>
    </row>
    <row r="204" spans="1:22" x14ac:dyDescent="0.25">
      <c r="A204">
        <v>321201</v>
      </c>
      <c r="B204" t="s">
        <v>302</v>
      </c>
      <c r="C204">
        <v>48</v>
      </c>
      <c r="D204">
        <v>12</v>
      </c>
      <c r="E204" t="s">
        <v>303</v>
      </c>
      <c r="F204" t="s">
        <v>579</v>
      </c>
      <c r="G204" t="s">
        <v>562</v>
      </c>
      <c r="H204" t="s">
        <v>580</v>
      </c>
      <c r="I204" t="s">
        <v>564</v>
      </c>
      <c r="J204">
        <v>1752</v>
      </c>
      <c r="K204">
        <v>14</v>
      </c>
      <c r="L204">
        <v>1766</v>
      </c>
      <c r="M204">
        <v>6.17</v>
      </c>
      <c r="N204">
        <v>1.48</v>
      </c>
      <c r="O204">
        <v>1.36</v>
      </c>
      <c r="Q204" t="s">
        <v>2</v>
      </c>
      <c r="R204">
        <v>5907698020820</v>
      </c>
      <c r="S204">
        <v>670</v>
      </c>
      <c r="T204" t="s">
        <v>383</v>
      </c>
      <c r="V204">
        <v>8204110000</v>
      </c>
    </row>
    <row r="205" spans="1:22" x14ac:dyDescent="0.25">
      <c r="A205">
        <v>322219</v>
      </c>
      <c r="B205" t="s">
        <v>302</v>
      </c>
      <c r="C205">
        <v>20</v>
      </c>
      <c r="D205">
        <v>5</v>
      </c>
      <c r="E205" t="s">
        <v>303</v>
      </c>
      <c r="F205" t="s">
        <v>3053</v>
      </c>
      <c r="G205" t="s">
        <v>581</v>
      </c>
      <c r="H205" t="s">
        <v>582</v>
      </c>
      <c r="I205" t="s">
        <v>581</v>
      </c>
      <c r="J205">
        <v>0</v>
      </c>
      <c r="K205">
        <v>0</v>
      </c>
      <c r="L205">
        <v>0</v>
      </c>
      <c r="M205">
        <v>21.35</v>
      </c>
      <c r="N205">
        <v>5.39</v>
      </c>
      <c r="O205">
        <v>4.8</v>
      </c>
      <c r="Q205" t="s">
        <v>2548</v>
      </c>
      <c r="R205">
        <v>5907698026044</v>
      </c>
      <c r="S205">
        <v>220</v>
      </c>
      <c r="T205" t="s">
        <v>583</v>
      </c>
      <c r="V205">
        <v>8204110000</v>
      </c>
    </row>
    <row r="206" spans="1:22" x14ac:dyDescent="0.25">
      <c r="A206">
        <v>322270</v>
      </c>
      <c r="B206" t="s">
        <v>302</v>
      </c>
      <c r="C206">
        <v>120</v>
      </c>
      <c r="D206">
        <v>0</v>
      </c>
      <c r="E206" t="s">
        <v>303</v>
      </c>
      <c r="F206" t="s">
        <v>566</v>
      </c>
      <c r="G206" t="s">
        <v>584</v>
      </c>
      <c r="H206" t="s">
        <v>585</v>
      </c>
      <c r="I206" t="s">
        <v>586</v>
      </c>
      <c r="J206">
        <v>1544</v>
      </c>
      <c r="K206">
        <v>0</v>
      </c>
      <c r="L206">
        <v>1544</v>
      </c>
      <c r="M206">
        <v>2.2999999999999998</v>
      </c>
      <c r="N206">
        <v>0.54</v>
      </c>
      <c r="O206">
        <v>0.5</v>
      </c>
      <c r="Q206" t="s">
        <v>2</v>
      </c>
      <c r="R206">
        <v>5907698011941</v>
      </c>
      <c r="S206">
        <v>500</v>
      </c>
      <c r="T206" t="s">
        <v>352</v>
      </c>
      <c r="V206">
        <v>8204110000</v>
      </c>
    </row>
    <row r="207" spans="1:22" x14ac:dyDescent="0.25">
      <c r="A207">
        <v>330140</v>
      </c>
      <c r="B207" t="s">
        <v>302</v>
      </c>
      <c r="C207">
        <v>60</v>
      </c>
      <c r="D207">
        <v>20</v>
      </c>
      <c r="E207" t="s">
        <v>303</v>
      </c>
      <c r="F207" t="s">
        <v>587</v>
      </c>
      <c r="G207" t="s">
        <v>588</v>
      </c>
      <c r="H207" t="s">
        <v>589</v>
      </c>
      <c r="I207" t="s">
        <v>590</v>
      </c>
      <c r="J207">
        <v>120</v>
      </c>
      <c r="K207">
        <v>0</v>
      </c>
      <c r="L207">
        <v>120</v>
      </c>
      <c r="M207">
        <v>6.29</v>
      </c>
      <c r="N207">
        <v>1.49</v>
      </c>
      <c r="O207">
        <v>1.38</v>
      </c>
      <c r="Q207" t="s">
        <v>2548</v>
      </c>
      <c r="R207">
        <v>5907698011965</v>
      </c>
      <c r="S207">
        <v>290</v>
      </c>
      <c r="T207" t="s">
        <v>369</v>
      </c>
      <c r="V207">
        <v>8204110000</v>
      </c>
    </row>
    <row r="208" spans="1:22" x14ac:dyDescent="0.25">
      <c r="A208">
        <v>330500</v>
      </c>
      <c r="B208" t="s">
        <v>302</v>
      </c>
      <c r="C208">
        <v>36</v>
      </c>
      <c r="D208">
        <v>9</v>
      </c>
      <c r="E208" t="s">
        <v>303</v>
      </c>
      <c r="F208" t="s">
        <v>587</v>
      </c>
      <c r="G208" t="s">
        <v>588</v>
      </c>
      <c r="H208" t="s">
        <v>1774</v>
      </c>
      <c r="I208" t="s">
        <v>590</v>
      </c>
      <c r="J208">
        <v>772</v>
      </c>
      <c r="K208">
        <v>0</v>
      </c>
      <c r="L208">
        <v>772</v>
      </c>
      <c r="M208">
        <v>5.97</v>
      </c>
      <c r="N208">
        <v>1.61</v>
      </c>
      <c r="O208">
        <v>1.37</v>
      </c>
      <c r="Q208" t="s">
        <v>2548</v>
      </c>
      <c r="R208">
        <v>5907698012009</v>
      </c>
      <c r="S208">
        <v>490</v>
      </c>
      <c r="T208" t="s">
        <v>369</v>
      </c>
      <c r="V208">
        <v>8204110000</v>
      </c>
    </row>
    <row r="209" spans="1:22" x14ac:dyDescent="0.25">
      <c r="A209">
        <v>330526</v>
      </c>
      <c r="B209" t="s">
        <v>302</v>
      </c>
      <c r="C209">
        <v>20</v>
      </c>
      <c r="D209">
        <v>5</v>
      </c>
      <c r="E209" t="s">
        <v>303</v>
      </c>
      <c r="F209" t="s">
        <v>587</v>
      </c>
      <c r="G209" t="s">
        <v>588</v>
      </c>
      <c r="H209" t="s">
        <v>1775</v>
      </c>
      <c r="I209" t="s">
        <v>590</v>
      </c>
      <c r="J209">
        <v>54</v>
      </c>
      <c r="K209">
        <v>10</v>
      </c>
      <c r="L209">
        <v>64</v>
      </c>
      <c r="M209">
        <v>39.22</v>
      </c>
      <c r="N209">
        <v>9.8800000000000008</v>
      </c>
      <c r="O209">
        <v>8.8000000000000007</v>
      </c>
      <c r="Q209" t="s">
        <v>2548</v>
      </c>
      <c r="R209">
        <v>5907698026051</v>
      </c>
      <c r="S209">
        <v>40</v>
      </c>
      <c r="T209" t="s">
        <v>369</v>
      </c>
      <c r="V209">
        <v>8204110000</v>
      </c>
    </row>
    <row r="210" spans="1:22" x14ac:dyDescent="0.25">
      <c r="A210">
        <v>331048</v>
      </c>
      <c r="B210" t="s">
        <v>302</v>
      </c>
      <c r="C210">
        <v>30</v>
      </c>
      <c r="D210">
        <v>0</v>
      </c>
      <c r="E210" t="s">
        <v>303</v>
      </c>
      <c r="F210" t="s">
        <v>587</v>
      </c>
      <c r="G210" t="s">
        <v>591</v>
      </c>
      <c r="H210" t="s">
        <v>592</v>
      </c>
      <c r="I210" t="s">
        <v>590</v>
      </c>
      <c r="J210">
        <v>148</v>
      </c>
      <c r="K210">
        <v>0</v>
      </c>
      <c r="L210">
        <v>148</v>
      </c>
      <c r="M210">
        <v>16.399999999999999</v>
      </c>
      <c r="N210">
        <v>3.88</v>
      </c>
      <c r="O210">
        <v>3.6</v>
      </c>
      <c r="Q210" t="s">
        <v>2548</v>
      </c>
      <c r="R210">
        <v>5907698027805</v>
      </c>
      <c r="S210">
        <v>100</v>
      </c>
      <c r="T210" t="s">
        <v>369</v>
      </c>
      <c r="V210">
        <v>8204110000</v>
      </c>
    </row>
    <row r="211" spans="1:22" x14ac:dyDescent="0.25">
      <c r="A211">
        <v>333251</v>
      </c>
      <c r="B211" t="s">
        <v>302</v>
      </c>
      <c r="C211">
        <v>30</v>
      </c>
      <c r="D211">
        <v>10</v>
      </c>
      <c r="E211" t="s">
        <v>303</v>
      </c>
      <c r="F211" t="s">
        <v>3054</v>
      </c>
      <c r="G211" t="s">
        <v>593</v>
      </c>
      <c r="H211" t="s">
        <v>594</v>
      </c>
      <c r="I211" t="s">
        <v>595</v>
      </c>
      <c r="J211">
        <v>0</v>
      </c>
      <c r="K211">
        <v>1</v>
      </c>
      <c r="L211">
        <v>1</v>
      </c>
      <c r="M211">
        <v>9.1199999999999992</v>
      </c>
      <c r="N211">
        <v>2.15</v>
      </c>
      <c r="O211">
        <v>2</v>
      </c>
      <c r="Q211" t="s">
        <v>2548</v>
      </c>
      <c r="R211">
        <v>5907698026068</v>
      </c>
      <c r="S211">
        <v>180</v>
      </c>
      <c r="T211" t="s">
        <v>596</v>
      </c>
      <c r="V211">
        <v>8204110000</v>
      </c>
    </row>
    <row r="212" spans="1:22" x14ac:dyDescent="0.25">
      <c r="A212">
        <v>340006</v>
      </c>
      <c r="B212" t="s">
        <v>2993</v>
      </c>
      <c r="C212">
        <v>20</v>
      </c>
      <c r="D212">
        <v>0</v>
      </c>
      <c r="E212" t="s">
        <v>303</v>
      </c>
      <c r="F212" t="s">
        <v>3055</v>
      </c>
      <c r="G212" t="s">
        <v>3056</v>
      </c>
      <c r="H212" t="s">
        <v>2928</v>
      </c>
      <c r="I212" t="s">
        <v>3057</v>
      </c>
      <c r="J212">
        <v>169</v>
      </c>
      <c r="K212">
        <v>30</v>
      </c>
      <c r="L212">
        <v>199</v>
      </c>
      <c r="M212">
        <v>18.86</v>
      </c>
      <c r="N212">
        <v>4.7699999999999996</v>
      </c>
      <c r="O212">
        <v>4.07</v>
      </c>
      <c r="Q212" t="s">
        <v>3745</v>
      </c>
      <c r="R212">
        <v>5907698030522</v>
      </c>
      <c r="S212">
        <v>100</v>
      </c>
      <c r="T212" t="s">
        <v>1112</v>
      </c>
      <c r="U212" t="s">
        <v>3746</v>
      </c>
      <c r="V212">
        <v>8204200000</v>
      </c>
    </row>
    <row r="213" spans="1:22" x14ac:dyDescent="0.25">
      <c r="A213">
        <v>340008</v>
      </c>
      <c r="B213" t="s">
        <v>2993</v>
      </c>
      <c r="C213">
        <v>40</v>
      </c>
      <c r="D213">
        <v>0</v>
      </c>
      <c r="E213" t="s">
        <v>303</v>
      </c>
      <c r="F213" t="s">
        <v>597</v>
      </c>
      <c r="G213" t="s">
        <v>598</v>
      </c>
      <c r="H213" t="s">
        <v>2929</v>
      </c>
      <c r="I213" t="s">
        <v>600</v>
      </c>
      <c r="J213">
        <v>169</v>
      </c>
      <c r="K213">
        <v>30</v>
      </c>
      <c r="L213">
        <v>199</v>
      </c>
      <c r="M213">
        <v>15.6</v>
      </c>
      <c r="N213">
        <v>3.95</v>
      </c>
      <c r="O213">
        <v>3.36</v>
      </c>
      <c r="Q213" t="s">
        <v>3745</v>
      </c>
      <c r="R213">
        <v>5907698030515</v>
      </c>
      <c r="S213">
        <v>450</v>
      </c>
      <c r="T213" t="s">
        <v>427</v>
      </c>
      <c r="U213" t="s">
        <v>3746</v>
      </c>
      <c r="V213">
        <v>8204200000</v>
      </c>
    </row>
    <row r="214" spans="1:22" x14ac:dyDescent="0.25">
      <c r="A214">
        <v>340010</v>
      </c>
      <c r="B214" t="s">
        <v>2993</v>
      </c>
      <c r="C214">
        <v>20</v>
      </c>
      <c r="D214">
        <v>0</v>
      </c>
      <c r="E214" t="s">
        <v>303</v>
      </c>
      <c r="F214" t="s">
        <v>597</v>
      </c>
      <c r="G214" t="s">
        <v>598</v>
      </c>
      <c r="H214" t="s">
        <v>3058</v>
      </c>
      <c r="I214" t="s">
        <v>600</v>
      </c>
      <c r="J214">
        <v>0</v>
      </c>
      <c r="K214">
        <v>0</v>
      </c>
      <c r="L214">
        <v>0</v>
      </c>
      <c r="M214">
        <v>22.23</v>
      </c>
      <c r="N214">
        <v>5.61</v>
      </c>
      <c r="O214">
        <v>5.01</v>
      </c>
      <c r="Q214" t="s">
        <v>3745</v>
      </c>
      <c r="R214">
        <v>5907698030546</v>
      </c>
      <c r="S214">
        <v>75</v>
      </c>
      <c r="T214" t="s">
        <v>1112</v>
      </c>
    </row>
    <row r="215" spans="1:22" x14ac:dyDescent="0.25">
      <c r="A215">
        <v>340011</v>
      </c>
      <c r="B215" t="s">
        <v>2993</v>
      </c>
      <c r="C215">
        <v>40</v>
      </c>
      <c r="D215">
        <v>0</v>
      </c>
      <c r="E215" t="s">
        <v>303</v>
      </c>
      <c r="F215" t="s">
        <v>597</v>
      </c>
      <c r="G215" t="s">
        <v>598</v>
      </c>
      <c r="H215" t="s">
        <v>3059</v>
      </c>
      <c r="I215" t="s">
        <v>600</v>
      </c>
      <c r="J215">
        <v>0</v>
      </c>
      <c r="K215">
        <v>0</v>
      </c>
      <c r="L215">
        <v>0</v>
      </c>
      <c r="M215">
        <v>9.31</v>
      </c>
      <c r="N215">
        <v>2.35</v>
      </c>
      <c r="O215">
        <v>2.1</v>
      </c>
      <c r="Q215" t="s">
        <v>3745</v>
      </c>
      <c r="R215">
        <v>5907698030539</v>
      </c>
      <c r="S215">
        <v>150</v>
      </c>
      <c r="T215" t="s">
        <v>427</v>
      </c>
    </row>
    <row r="216" spans="1:22" x14ac:dyDescent="0.25">
      <c r="A216">
        <v>340012</v>
      </c>
      <c r="B216" t="s">
        <v>2993</v>
      </c>
      <c r="C216">
        <v>20</v>
      </c>
      <c r="D216">
        <v>0</v>
      </c>
      <c r="E216" t="s">
        <v>303</v>
      </c>
      <c r="F216" t="s">
        <v>3060</v>
      </c>
      <c r="G216" t="s">
        <v>3061</v>
      </c>
      <c r="H216" t="s">
        <v>3062</v>
      </c>
      <c r="I216" t="s">
        <v>3061</v>
      </c>
      <c r="J216">
        <v>0</v>
      </c>
      <c r="K216">
        <v>0</v>
      </c>
      <c r="L216">
        <v>0</v>
      </c>
      <c r="M216">
        <v>18.61</v>
      </c>
      <c r="N216">
        <v>4.7</v>
      </c>
      <c r="O216">
        <v>4.2</v>
      </c>
      <c r="Q216" t="s">
        <v>3745</v>
      </c>
      <c r="R216">
        <v>5907698030553</v>
      </c>
      <c r="S216">
        <v>120</v>
      </c>
      <c r="T216" t="s">
        <v>646</v>
      </c>
    </row>
    <row r="217" spans="1:22" x14ac:dyDescent="0.25">
      <c r="A217">
        <v>340019</v>
      </c>
      <c r="B217" t="s">
        <v>302</v>
      </c>
      <c r="C217">
        <v>10</v>
      </c>
      <c r="E217" t="s">
        <v>303</v>
      </c>
      <c r="F217" t="s">
        <v>1776</v>
      </c>
      <c r="G217" t="s">
        <v>1777</v>
      </c>
      <c r="H217" t="s">
        <v>2558</v>
      </c>
      <c r="I217" t="s">
        <v>1778</v>
      </c>
      <c r="J217">
        <v>180</v>
      </c>
      <c r="K217">
        <v>20</v>
      </c>
      <c r="L217">
        <v>200</v>
      </c>
      <c r="M217">
        <v>49.8</v>
      </c>
      <c r="N217">
        <v>12.6</v>
      </c>
      <c r="O217">
        <v>10.76</v>
      </c>
      <c r="Q217" t="s">
        <v>3745</v>
      </c>
      <c r="R217">
        <v>5907698029830</v>
      </c>
      <c r="S217">
        <v>30</v>
      </c>
      <c r="T217" t="s">
        <v>1779</v>
      </c>
      <c r="V217">
        <v>8204200000</v>
      </c>
    </row>
    <row r="218" spans="1:22" x14ac:dyDescent="0.25">
      <c r="A218">
        <v>340020</v>
      </c>
      <c r="B218" t="s">
        <v>2993</v>
      </c>
      <c r="C218">
        <v>10</v>
      </c>
      <c r="D218">
        <v>0</v>
      </c>
      <c r="E218" t="s">
        <v>303</v>
      </c>
      <c r="F218" t="s">
        <v>597</v>
      </c>
      <c r="G218" t="s">
        <v>598</v>
      </c>
      <c r="H218" t="s">
        <v>3753</v>
      </c>
      <c r="I218" t="s">
        <v>600</v>
      </c>
      <c r="J218">
        <v>83</v>
      </c>
      <c r="K218">
        <v>15</v>
      </c>
      <c r="L218">
        <v>98</v>
      </c>
      <c r="M218">
        <v>56.67</v>
      </c>
      <c r="N218">
        <v>14.35</v>
      </c>
      <c r="O218">
        <v>12.24</v>
      </c>
      <c r="Q218" t="s">
        <v>3744</v>
      </c>
      <c r="R218">
        <v>5907698030560</v>
      </c>
      <c r="S218">
        <v>50</v>
      </c>
      <c r="T218" t="s">
        <v>1112</v>
      </c>
      <c r="U218" t="s">
        <v>3746</v>
      </c>
      <c r="V218">
        <v>8204200000</v>
      </c>
    </row>
    <row r="219" spans="1:22" x14ac:dyDescent="0.25">
      <c r="A219">
        <v>340030</v>
      </c>
      <c r="B219" t="s">
        <v>302</v>
      </c>
      <c r="C219">
        <v>3</v>
      </c>
      <c r="E219" t="s">
        <v>303</v>
      </c>
      <c r="F219" t="s">
        <v>1780</v>
      </c>
      <c r="G219" t="s">
        <v>1781</v>
      </c>
      <c r="H219" t="s">
        <v>2559</v>
      </c>
      <c r="I219" t="s">
        <v>1781</v>
      </c>
      <c r="J219">
        <v>43</v>
      </c>
      <c r="K219">
        <v>0</v>
      </c>
      <c r="L219">
        <v>43</v>
      </c>
      <c r="M219">
        <v>105.49</v>
      </c>
      <c r="N219">
        <v>26.66</v>
      </c>
      <c r="O219">
        <v>22.84</v>
      </c>
      <c r="Q219" t="s">
        <v>3745</v>
      </c>
      <c r="R219">
        <v>5907698029847</v>
      </c>
      <c r="S219">
        <v>30</v>
      </c>
      <c r="T219" t="s">
        <v>1779</v>
      </c>
      <c r="V219">
        <v>8204200000</v>
      </c>
    </row>
    <row r="220" spans="1:22" x14ac:dyDescent="0.25">
      <c r="A220">
        <v>340034</v>
      </c>
      <c r="B220" t="s">
        <v>2993</v>
      </c>
      <c r="C220">
        <v>10</v>
      </c>
      <c r="E220" t="s">
        <v>303</v>
      </c>
      <c r="F220" t="s">
        <v>1776</v>
      </c>
      <c r="G220" t="s">
        <v>1777</v>
      </c>
      <c r="H220" t="s">
        <v>2930</v>
      </c>
      <c r="I220" t="s">
        <v>1778</v>
      </c>
      <c r="J220">
        <v>68</v>
      </c>
      <c r="K220">
        <v>30</v>
      </c>
      <c r="L220">
        <v>98</v>
      </c>
      <c r="M220">
        <v>33.520000000000003</v>
      </c>
      <c r="N220">
        <v>8.48</v>
      </c>
      <c r="O220">
        <v>7.24</v>
      </c>
      <c r="Q220" t="s">
        <v>3744</v>
      </c>
      <c r="R220">
        <v>5907698030607</v>
      </c>
      <c r="S220">
        <v>50</v>
      </c>
      <c r="T220" t="s">
        <v>1112</v>
      </c>
      <c r="U220" t="s">
        <v>3746</v>
      </c>
      <c r="V220">
        <v>8204200000</v>
      </c>
    </row>
    <row r="221" spans="1:22" x14ac:dyDescent="0.25">
      <c r="A221">
        <v>340042</v>
      </c>
      <c r="B221" t="s">
        <v>302</v>
      </c>
      <c r="C221">
        <v>60</v>
      </c>
      <c r="D221">
        <v>10</v>
      </c>
      <c r="E221" t="s">
        <v>303</v>
      </c>
      <c r="F221" t="s">
        <v>597</v>
      </c>
      <c r="G221" t="s">
        <v>598</v>
      </c>
      <c r="H221" t="s">
        <v>599</v>
      </c>
      <c r="I221" t="s">
        <v>600</v>
      </c>
      <c r="J221">
        <v>0</v>
      </c>
      <c r="K221">
        <v>0</v>
      </c>
      <c r="L221">
        <v>0</v>
      </c>
      <c r="M221">
        <v>6.46</v>
      </c>
      <c r="N221">
        <v>1.53</v>
      </c>
      <c r="O221">
        <v>1.41</v>
      </c>
      <c r="Q221" t="s">
        <v>3</v>
      </c>
      <c r="R221">
        <v>5907698019039</v>
      </c>
      <c r="S221">
        <v>450</v>
      </c>
      <c r="T221" t="s">
        <v>383</v>
      </c>
      <c r="V221">
        <v>8204200000</v>
      </c>
    </row>
    <row r="222" spans="1:22" x14ac:dyDescent="0.25">
      <c r="A222">
        <v>340051</v>
      </c>
      <c r="B222" t="s">
        <v>2993</v>
      </c>
      <c r="C222">
        <v>20</v>
      </c>
      <c r="E222" t="s">
        <v>303</v>
      </c>
      <c r="F222" t="s">
        <v>3063</v>
      </c>
      <c r="G222" t="s">
        <v>2088</v>
      </c>
      <c r="H222" t="s">
        <v>3754</v>
      </c>
      <c r="I222" t="s">
        <v>2088</v>
      </c>
      <c r="J222">
        <v>89</v>
      </c>
      <c r="K222">
        <v>10</v>
      </c>
      <c r="L222">
        <v>99</v>
      </c>
      <c r="M222">
        <v>10.72</v>
      </c>
      <c r="N222">
        <v>2.72</v>
      </c>
      <c r="O222">
        <v>2.31</v>
      </c>
      <c r="Q222" t="s">
        <v>3745</v>
      </c>
      <c r="R222">
        <v>5907698030577</v>
      </c>
      <c r="S222">
        <v>50</v>
      </c>
      <c r="T222" t="s">
        <v>1112</v>
      </c>
      <c r="U222" t="s">
        <v>3746</v>
      </c>
      <c r="V222">
        <v>8207903000</v>
      </c>
    </row>
    <row r="223" spans="1:22" x14ac:dyDescent="0.25">
      <c r="A223">
        <v>340052</v>
      </c>
      <c r="B223" t="s">
        <v>2993</v>
      </c>
      <c r="C223">
        <v>10</v>
      </c>
      <c r="E223" t="s">
        <v>303</v>
      </c>
      <c r="F223" t="s">
        <v>3063</v>
      </c>
      <c r="G223" t="s">
        <v>2088</v>
      </c>
      <c r="H223" t="s">
        <v>2931</v>
      </c>
      <c r="I223" t="s">
        <v>2088</v>
      </c>
      <c r="J223">
        <v>84</v>
      </c>
      <c r="K223">
        <v>15</v>
      </c>
      <c r="L223">
        <v>99</v>
      </c>
      <c r="M223">
        <v>30.02</v>
      </c>
      <c r="N223">
        <v>7.6</v>
      </c>
      <c r="O223">
        <v>6.48</v>
      </c>
      <c r="Q223" t="s">
        <v>3745</v>
      </c>
      <c r="R223">
        <v>5907698030584</v>
      </c>
      <c r="S223">
        <v>50</v>
      </c>
      <c r="T223" t="s">
        <v>1112</v>
      </c>
      <c r="U223" t="s">
        <v>3746</v>
      </c>
      <c r="V223">
        <v>8207903000</v>
      </c>
    </row>
    <row r="224" spans="1:22" x14ac:dyDescent="0.25">
      <c r="A224">
        <v>340140</v>
      </c>
      <c r="B224" t="s">
        <v>302</v>
      </c>
      <c r="C224">
        <v>2</v>
      </c>
      <c r="E224" t="s">
        <v>303</v>
      </c>
      <c r="F224" t="s">
        <v>601</v>
      </c>
      <c r="G224" t="s">
        <v>598</v>
      </c>
      <c r="H224" t="s">
        <v>2473</v>
      </c>
      <c r="I224" t="s">
        <v>600</v>
      </c>
      <c r="J224">
        <v>56</v>
      </c>
      <c r="K224">
        <v>0</v>
      </c>
      <c r="L224">
        <v>56</v>
      </c>
      <c r="M224">
        <v>141.32</v>
      </c>
      <c r="N224">
        <v>35.72</v>
      </c>
      <c r="O224">
        <v>30.7</v>
      </c>
      <c r="Q224" t="s">
        <v>2</v>
      </c>
      <c r="R224">
        <v>5907698012023</v>
      </c>
      <c r="S224">
        <v>40</v>
      </c>
      <c r="T224" t="s">
        <v>423</v>
      </c>
      <c r="V224">
        <v>8204200000</v>
      </c>
    </row>
    <row r="225" spans="1:22" x14ac:dyDescent="0.25">
      <c r="A225">
        <v>340142</v>
      </c>
      <c r="B225" t="s">
        <v>3008</v>
      </c>
      <c r="C225">
        <v>2</v>
      </c>
      <c r="E225" t="s">
        <v>303</v>
      </c>
      <c r="F225" t="s">
        <v>601</v>
      </c>
      <c r="G225" t="s">
        <v>598</v>
      </c>
      <c r="H225" t="s">
        <v>2474</v>
      </c>
      <c r="I225" t="s">
        <v>600</v>
      </c>
      <c r="J225">
        <v>34</v>
      </c>
      <c r="K225">
        <v>0</v>
      </c>
      <c r="L225">
        <v>34</v>
      </c>
      <c r="M225">
        <v>152.56</v>
      </c>
      <c r="N225">
        <v>39.880000000000003</v>
      </c>
      <c r="O225">
        <v>33.950000000000003</v>
      </c>
      <c r="Q225" t="s">
        <v>3744</v>
      </c>
      <c r="R225">
        <v>5907698019459</v>
      </c>
      <c r="S225">
        <v>40</v>
      </c>
      <c r="T225" t="s">
        <v>423</v>
      </c>
      <c r="V225">
        <v>8204200000</v>
      </c>
    </row>
    <row r="226" spans="1:22" x14ac:dyDescent="0.25">
      <c r="A226">
        <v>340170</v>
      </c>
      <c r="B226" t="s">
        <v>302</v>
      </c>
      <c r="C226">
        <v>24</v>
      </c>
      <c r="E226" t="s">
        <v>303</v>
      </c>
      <c r="F226" t="s">
        <v>601</v>
      </c>
      <c r="G226" t="s">
        <v>598</v>
      </c>
      <c r="H226" t="s">
        <v>602</v>
      </c>
      <c r="I226" t="s">
        <v>600</v>
      </c>
      <c r="J226">
        <v>3</v>
      </c>
      <c r="K226">
        <v>0</v>
      </c>
      <c r="L226">
        <v>3</v>
      </c>
      <c r="M226">
        <v>10.26</v>
      </c>
      <c r="N226">
        <v>2.44</v>
      </c>
      <c r="O226">
        <v>2.25</v>
      </c>
      <c r="Q226" t="s">
        <v>2548</v>
      </c>
      <c r="R226">
        <v>5907698012030</v>
      </c>
      <c r="S226">
        <v>320</v>
      </c>
      <c r="T226" t="s">
        <v>423</v>
      </c>
      <c r="V226">
        <v>8204200000</v>
      </c>
    </row>
    <row r="227" spans="1:22" x14ac:dyDescent="0.25">
      <c r="A227">
        <v>340181</v>
      </c>
      <c r="B227" t="s">
        <v>302</v>
      </c>
      <c r="C227">
        <v>18</v>
      </c>
      <c r="D227">
        <v>6</v>
      </c>
      <c r="E227" t="s">
        <v>303</v>
      </c>
      <c r="F227" t="s">
        <v>601</v>
      </c>
      <c r="G227" t="s">
        <v>598</v>
      </c>
      <c r="H227" t="s">
        <v>1618</v>
      </c>
      <c r="I227" t="s">
        <v>603</v>
      </c>
      <c r="J227">
        <v>0</v>
      </c>
      <c r="K227">
        <v>0</v>
      </c>
      <c r="L227">
        <v>0</v>
      </c>
      <c r="M227">
        <v>34.85</v>
      </c>
      <c r="N227">
        <v>8.24</v>
      </c>
      <c r="O227">
        <v>7.62</v>
      </c>
      <c r="Q227" t="s">
        <v>3744</v>
      </c>
      <c r="R227">
        <v>5907698027362</v>
      </c>
      <c r="S227">
        <v>270</v>
      </c>
      <c r="T227" t="s">
        <v>604</v>
      </c>
      <c r="U227" t="s">
        <v>3064</v>
      </c>
    </row>
    <row r="228" spans="1:22" x14ac:dyDescent="0.25">
      <c r="A228">
        <v>340190</v>
      </c>
      <c r="B228" t="s">
        <v>302</v>
      </c>
      <c r="C228">
        <v>10</v>
      </c>
      <c r="E228" t="s">
        <v>303</v>
      </c>
      <c r="F228" t="s">
        <v>601</v>
      </c>
      <c r="G228" t="s">
        <v>598</v>
      </c>
      <c r="H228" t="s">
        <v>605</v>
      </c>
      <c r="I228" t="s">
        <v>600</v>
      </c>
      <c r="J228">
        <v>156</v>
      </c>
      <c r="K228">
        <v>10</v>
      </c>
      <c r="L228">
        <v>166</v>
      </c>
      <c r="M228">
        <v>72.77</v>
      </c>
      <c r="N228">
        <v>18.62</v>
      </c>
      <c r="O228">
        <v>16</v>
      </c>
      <c r="Q228" t="s">
        <v>3744</v>
      </c>
      <c r="R228">
        <v>5907698012047</v>
      </c>
      <c r="S228">
        <v>300</v>
      </c>
      <c r="T228" t="s">
        <v>604</v>
      </c>
      <c r="U228" t="s">
        <v>3065</v>
      </c>
      <c r="V228">
        <v>8204200000</v>
      </c>
    </row>
    <row r="229" spans="1:22" x14ac:dyDescent="0.25">
      <c r="A229">
        <v>340194</v>
      </c>
      <c r="B229" t="s">
        <v>302</v>
      </c>
      <c r="C229">
        <v>10</v>
      </c>
      <c r="D229">
        <v>5</v>
      </c>
      <c r="E229" t="s">
        <v>303</v>
      </c>
      <c r="F229" t="s">
        <v>601</v>
      </c>
      <c r="G229" t="s">
        <v>598</v>
      </c>
      <c r="H229" t="s">
        <v>606</v>
      </c>
      <c r="I229" t="s">
        <v>600</v>
      </c>
      <c r="J229">
        <v>140</v>
      </c>
      <c r="K229">
        <v>0</v>
      </c>
      <c r="L229">
        <v>140</v>
      </c>
      <c r="M229">
        <v>47.06</v>
      </c>
      <c r="N229">
        <v>11.89</v>
      </c>
      <c r="O229">
        <v>10.19</v>
      </c>
      <c r="Q229" t="s">
        <v>3744</v>
      </c>
      <c r="R229">
        <v>5907698022701</v>
      </c>
      <c r="S229">
        <v>200</v>
      </c>
      <c r="T229" t="s">
        <v>604</v>
      </c>
      <c r="U229" t="s">
        <v>3064</v>
      </c>
    </row>
    <row r="230" spans="1:22" x14ac:dyDescent="0.25">
      <c r="A230">
        <v>340211</v>
      </c>
      <c r="B230" t="s">
        <v>302</v>
      </c>
      <c r="C230">
        <v>2</v>
      </c>
      <c r="E230" t="s">
        <v>303</v>
      </c>
      <c r="F230" t="s">
        <v>601</v>
      </c>
      <c r="G230" t="s">
        <v>598</v>
      </c>
      <c r="H230" t="s">
        <v>2475</v>
      </c>
      <c r="I230" t="s">
        <v>600</v>
      </c>
      <c r="J230">
        <v>16</v>
      </c>
      <c r="K230">
        <v>0</v>
      </c>
      <c r="L230">
        <v>16</v>
      </c>
      <c r="M230">
        <v>141.31</v>
      </c>
      <c r="N230">
        <v>36.950000000000003</v>
      </c>
      <c r="O230">
        <v>31.44</v>
      </c>
      <c r="Q230" t="s">
        <v>2</v>
      </c>
      <c r="R230">
        <v>5907698019466</v>
      </c>
      <c r="S230">
        <v>50</v>
      </c>
      <c r="T230" t="s">
        <v>423</v>
      </c>
      <c r="V230">
        <v>8204200000</v>
      </c>
    </row>
    <row r="231" spans="1:22" x14ac:dyDescent="0.25">
      <c r="A231">
        <v>340212</v>
      </c>
      <c r="B231" t="s">
        <v>302</v>
      </c>
      <c r="C231">
        <v>2</v>
      </c>
      <c r="E231" t="s">
        <v>303</v>
      </c>
      <c r="F231" t="s">
        <v>601</v>
      </c>
      <c r="G231" t="s">
        <v>598</v>
      </c>
      <c r="H231" t="s">
        <v>2476</v>
      </c>
      <c r="I231" t="s">
        <v>600</v>
      </c>
      <c r="J231">
        <v>13</v>
      </c>
      <c r="K231">
        <v>0</v>
      </c>
      <c r="L231">
        <v>13</v>
      </c>
      <c r="M231">
        <v>162.4</v>
      </c>
      <c r="N231">
        <v>42.46</v>
      </c>
      <c r="O231">
        <v>36.130000000000003</v>
      </c>
      <c r="Q231" t="s">
        <v>3744</v>
      </c>
      <c r="R231">
        <v>5907698019473</v>
      </c>
      <c r="S231">
        <v>50</v>
      </c>
      <c r="T231" t="s">
        <v>423</v>
      </c>
      <c r="V231">
        <v>8204200000</v>
      </c>
    </row>
    <row r="232" spans="1:22" x14ac:dyDescent="0.25">
      <c r="A232">
        <v>340240</v>
      </c>
      <c r="B232" t="s">
        <v>302</v>
      </c>
      <c r="C232">
        <v>5</v>
      </c>
      <c r="E232" t="s">
        <v>303</v>
      </c>
      <c r="F232" t="s">
        <v>601</v>
      </c>
      <c r="G232" t="s">
        <v>598</v>
      </c>
      <c r="H232" t="s">
        <v>607</v>
      </c>
      <c r="I232" t="s">
        <v>600</v>
      </c>
      <c r="J232">
        <v>79</v>
      </c>
      <c r="K232">
        <v>0</v>
      </c>
      <c r="L232">
        <v>79</v>
      </c>
      <c r="M232">
        <v>43.91</v>
      </c>
      <c r="N232">
        <v>10.6</v>
      </c>
      <c r="O232">
        <v>9.74</v>
      </c>
      <c r="Q232" t="s">
        <v>2548</v>
      </c>
      <c r="R232">
        <v>5907698012061</v>
      </c>
      <c r="S232">
        <v>80</v>
      </c>
      <c r="T232" t="s">
        <v>423</v>
      </c>
      <c r="V232">
        <v>8204200000</v>
      </c>
    </row>
    <row r="233" spans="1:22" x14ac:dyDescent="0.25">
      <c r="A233">
        <v>340262</v>
      </c>
      <c r="B233" t="s">
        <v>302</v>
      </c>
      <c r="C233">
        <v>4</v>
      </c>
      <c r="E233" t="s">
        <v>303</v>
      </c>
      <c r="F233" t="s">
        <v>601</v>
      </c>
      <c r="G233" t="s">
        <v>598</v>
      </c>
      <c r="H233" t="s">
        <v>608</v>
      </c>
      <c r="I233" t="s">
        <v>600</v>
      </c>
      <c r="J233">
        <v>0</v>
      </c>
      <c r="K233">
        <v>0</v>
      </c>
      <c r="L233">
        <v>0</v>
      </c>
      <c r="M233">
        <v>108.98</v>
      </c>
      <c r="N233">
        <v>25.79</v>
      </c>
      <c r="O233">
        <v>23.85</v>
      </c>
      <c r="Q233" t="s">
        <v>3744</v>
      </c>
      <c r="R233">
        <v>5907698024002</v>
      </c>
      <c r="S233">
        <v>150</v>
      </c>
      <c r="T233" t="s">
        <v>423</v>
      </c>
      <c r="U233" t="s">
        <v>3064</v>
      </c>
    </row>
    <row r="234" spans="1:22" x14ac:dyDescent="0.25">
      <c r="A234">
        <v>340270</v>
      </c>
      <c r="B234" t="s">
        <v>302</v>
      </c>
      <c r="C234">
        <v>12</v>
      </c>
      <c r="E234" t="s">
        <v>303</v>
      </c>
      <c r="F234" t="s">
        <v>3066</v>
      </c>
      <c r="G234" t="s">
        <v>598</v>
      </c>
      <c r="H234" t="s">
        <v>2932</v>
      </c>
      <c r="I234" t="s">
        <v>600</v>
      </c>
      <c r="J234">
        <v>0</v>
      </c>
      <c r="K234">
        <v>0</v>
      </c>
      <c r="L234">
        <v>0</v>
      </c>
      <c r="M234">
        <v>27.36</v>
      </c>
      <c r="N234">
        <v>7.29</v>
      </c>
      <c r="O234">
        <v>6.14</v>
      </c>
      <c r="R234">
        <v>5907698012078</v>
      </c>
      <c r="S234">
        <v>160</v>
      </c>
      <c r="T234" t="s">
        <v>3067</v>
      </c>
      <c r="U234" t="s">
        <v>3064</v>
      </c>
    </row>
    <row r="235" spans="1:22" x14ac:dyDescent="0.25">
      <c r="A235">
        <v>340272</v>
      </c>
      <c r="B235" t="s">
        <v>302</v>
      </c>
      <c r="C235">
        <v>40</v>
      </c>
      <c r="D235">
        <v>10</v>
      </c>
      <c r="E235" t="s">
        <v>303</v>
      </c>
      <c r="F235" t="s">
        <v>601</v>
      </c>
      <c r="G235" t="s">
        <v>598</v>
      </c>
      <c r="H235" t="s">
        <v>609</v>
      </c>
      <c r="I235" t="s">
        <v>600</v>
      </c>
      <c r="J235">
        <v>0</v>
      </c>
      <c r="K235">
        <v>0</v>
      </c>
      <c r="L235">
        <v>0</v>
      </c>
      <c r="M235">
        <v>21.82</v>
      </c>
      <c r="N235">
        <v>5.16</v>
      </c>
      <c r="O235">
        <v>4.78</v>
      </c>
      <c r="R235">
        <v>5907698019756</v>
      </c>
      <c r="S235">
        <v>160</v>
      </c>
      <c r="T235" t="s">
        <v>369</v>
      </c>
      <c r="V235">
        <v>8204200000</v>
      </c>
    </row>
    <row r="236" spans="1:22" x14ac:dyDescent="0.25">
      <c r="A236">
        <v>340290</v>
      </c>
      <c r="B236" t="s">
        <v>302</v>
      </c>
      <c r="C236">
        <v>20</v>
      </c>
      <c r="E236" t="s">
        <v>303</v>
      </c>
      <c r="F236" t="s">
        <v>601</v>
      </c>
      <c r="G236" t="s">
        <v>598</v>
      </c>
      <c r="H236" t="s">
        <v>610</v>
      </c>
      <c r="I236" t="s">
        <v>603</v>
      </c>
      <c r="J236">
        <v>0</v>
      </c>
      <c r="K236">
        <v>0</v>
      </c>
      <c r="L236">
        <v>0</v>
      </c>
      <c r="M236">
        <v>43.17</v>
      </c>
      <c r="N236">
        <v>10.220000000000001</v>
      </c>
      <c r="O236">
        <v>9.4499999999999993</v>
      </c>
      <c r="Q236" t="s">
        <v>3744</v>
      </c>
      <c r="R236">
        <v>5907698012085</v>
      </c>
      <c r="S236">
        <v>100</v>
      </c>
      <c r="T236" t="s">
        <v>423</v>
      </c>
      <c r="U236" t="s">
        <v>3064</v>
      </c>
    </row>
    <row r="237" spans="1:22" x14ac:dyDescent="0.25">
      <c r="A237">
        <v>340400</v>
      </c>
      <c r="B237" t="s">
        <v>302</v>
      </c>
      <c r="C237">
        <v>10</v>
      </c>
      <c r="E237" t="s">
        <v>303</v>
      </c>
      <c r="F237" t="s">
        <v>601</v>
      </c>
      <c r="G237" t="s">
        <v>1782</v>
      </c>
      <c r="H237" t="s">
        <v>1783</v>
      </c>
      <c r="I237" t="s">
        <v>600</v>
      </c>
      <c r="J237">
        <v>225</v>
      </c>
      <c r="K237">
        <v>0</v>
      </c>
      <c r="L237">
        <v>225</v>
      </c>
      <c r="M237">
        <v>16.940000000000001</v>
      </c>
      <c r="N237">
        <v>4.5599999999999996</v>
      </c>
      <c r="O237">
        <v>3.86</v>
      </c>
      <c r="Q237" t="s">
        <v>2548</v>
      </c>
      <c r="R237">
        <v>5907698012122</v>
      </c>
      <c r="S237">
        <v>200</v>
      </c>
      <c r="T237" t="s">
        <v>423</v>
      </c>
      <c r="V237">
        <v>8204200000</v>
      </c>
    </row>
    <row r="238" spans="1:22" x14ac:dyDescent="0.25">
      <c r="A238">
        <v>340460</v>
      </c>
      <c r="B238" t="s">
        <v>302</v>
      </c>
      <c r="C238">
        <v>30</v>
      </c>
      <c r="E238" t="s">
        <v>303</v>
      </c>
      <c r="F238" t="s">
        <v>601</v>
      </c>
      <c r="G238" t="s">
        <v>598</v>
      </c>
      <c r="H238" t="s">
        <v>1784</v>
      </c>
      <c r="I238" t="s">
        <v>600</v>
      </c>
      <c r="J238">
        <v>192</v>
      </c>
      <c r="K238">
        <v>0</v>
      </c>
      <c r="L238">
        <v>192</v>
      </c>
      <c r="M238">
        <v>35.26</v>
      </c>
      <c r="N238">
        <v>8.94</v>
      </c>
      <c r="O238">
        <v>7.88</v>
      </c>
      <c r="Q238" t="s">
        <v>3744</v>
      </c>
      <c r="R238">
        <v>5907698024811</v>
      </c>
      <c r="S238">
        <v>16</v>
      </c>
      <c r="T238" t="s">
        <v>423</v>
      </c>
      <c r="V238">
        <v>8204200000</v>
      </c>
    </row>
    <row r="239" spans="1:22" x14ac:dyDescent="0.25">
      <c r="A239">
        <v>340499</v>
      </c>
      <c r="B239" t="s">
        <v>302</v>
      </c>
      <c r="C239">
        <v>20</v>
      </c>
      <c r="E239" t="s">
        <v>303</v>
      </c>
      <c r="F239" t="s">
        <v>3068</v>
      </c>
      <c r="G239" t="s">
        <v>1082</v>
      </c>
      <c r="H239" t="s">
        <v>1646</v>
      </c>
      <c r="I239" t="s">
        <v>1083</v>
      </c>
      <c r="J239">
        <v>55</v>
      </c>
      <c r="K239">
        <v>0</v>
      </c>
      <c r="L239">
        <v>55</v>
      </c>
      <c r="M239">
        <v>20.059999999999999</v>
      </c>
      <c r="N239">
        <v>4.74</v>
      </c>
      <c r="O239">
        <v>4.3899999999999997</v>
      </c>
      <c r="Q239" t="s">
        <v>3745</v>
      </c>
      <c r="R239">
        <v>5907698029823</v>
      </c>
      <c r="S239">
        <v>80</v>
      </c>
      <c r="T239" t="s">
        <v>1779</v>
      </c>
      <c r="V239">
        <v>8207903000</v>
      </c>
    </row>
    <row r="240" spans="1:22" x14ac:dyDescent="0.25">
      <c r="A240">
        <v>340932</v>
      </c>
      <c r="B240" t="s">
        <v>302</v>
      </c>
      <c r="C240">
        <v>4</v>
      </c>
      <c r="E240" t="s">
        <v>303</v>
      </c>
      <c r="F240" t="s">
        <v>601</v>
      </c>
      <c r="G240" t="s">
        <v>598</v>
      </c>
      <c r="H240" t="s">
        <v>1647</v>
      </c>
      <c r="I240" t="s">
        <v>600</v>
      </c>
      <c r="J240">
        <v>0</v>
      </c>
      <c r="K240">
        <v>0</v>
      </c>
      <c r="L240">
        <v>0</v>
      </c>
      <c r="M240">
        <v>92.61</v>
      </c>
      <c r="N240">
        <v>24.6</v>
      </c>
      <c r="O240">
        <v>20.83</v>
      </c>
      <c r="Q240" t="s">
        <v>3744</v>
      </c>
      <c r="R240">
        <v>5907698022015</v>
      </c>
      <c r="S240">
        <v>100</v>
      </c>
      <c r="T240" t="s">
        <v>423</v>
      </c>
      <c r="U240" t="s">
        <v>3064</v>
      </c>
      <c r="V240">
        <v>8204200000</v>
      </c>
    </row>
    <row r="241" spans="1:22" x14ac:dyDescent="0.25">
      <c r="A241">
        <v>341082</v>
      </c>
      <c r="B241" t="s">
        <v>302</v>
      </c>
      <c r="C241">
        <v>4</v>
      </c>
      <c r="E241" t="s">
        <v>303</v>
      </c>
      <c r="F241" t="s">
        <v>601</v>
      </c>
      <c r="G241" t="s">
        <v>598</v>
      </c>
      <c r="H241" t="s">
        <v>1611</v>
      </c>
      <c r="I241" t="s">
        <v>600</v>
      </c>
      <c r="J241">
        <v>0</v>
      </c>
      <c r="K241">
        <v>0</v>
      </c>
      <c r="L241">
        <v>0</v>
      </c>
      <c r="M241">
        <v>98.29</v>
      </c>
      <c r="N241">
        <v>25.05</v>
      </c>
      <c r="O241">
        <v>21.45</v>
      </c>
      <c r="Q241" t="s">
        <v>3744</v>
      </c>
      <c r="R241">
        <v>5907698027485</v>
      </c>
      <c r="S241">
        <v>160</v>
      </c>
      <c r="T241" t="s">
        <v>423</v>
      </c>
      <c r="U241" t="s">
        <v>3064</v>
      </c>
      <c r="V241">
        <v>8204200000</v>
      </c>
    </row>
    <row r="242" spans="1:22" x14ac:dyDescent="0.25">
      <c r="A242">
        <v>341504</v>
      </c>
      <c r="B242" t="s">
        <v>3027</v>
      </c>
      <c r="C242">
        <v>2</v>
      </c>
      <c r="E242" t="s">
        <v>303</v>
      </c>
      <c r="F242" t="s">
        <v>601</v>
      </c>
      <c r="G242" t="s">
        <v>598</v>
      </c>
      <c r="H242" t="s">
        <v>611</v>
      </c>
      <c r="I242" t="s">
        <v>600</v>
      </c>
      <c r="J242">
        <v>1</v>
      </c>
      <c r="K242">
        <v>0</v>
      </c>
      <c r="L242">
        <v>1</v>
      </c>
      <c r="M242">
        <v>269.07</v>
      </c>
      <c r="N242">
        <v>71.66</v>
      </c>
      <c r="O242">
        <v>61.03</v>
      </c>
      <c r="Q242" t="s">
        <v>3</v>
      </c>
      <c r="R242">
        <v>5907698022008</v>
      </c>
      <c r="S242">
        <v>18</v>
      </c>
      <c r="T242" t="s">
        <v>423</v>
      </c>
      <c r="V242">
        <v>8204200000</v>
      </c>
    </row>
    <row r="243" spans="1:22" x14ac:dyDescent="0.25">
      <c r="A243">
        <v>341710</v>
      </c>
      <c r="B243" t="s">
        <v>302</v>
      </c>
      <c r="C243">
        <v>2</v>
      </c>
      <c r="E243" t="s">
        <v>303</v>
      </c>
      <c r="F243" t="s">
        <v>3066</v>
      </c>
      <c r="G243" t="s">
        <v>598</v>
      </c>
      <c r="H243" t="s">
        <v>2933</v>
      </c>
      <c r="I243" t="s">
        <v>600</v>
      </c>
      <c r="J243">
        <v>0</v>
      </c>
      <c r="K243">
        <v>0</v>
      </c>
      <c r="L243">
        <v>0</v>
      </c>
      <c r="M243">
        <v>268.93</v>
      </c>
      <c r="N243">
        <v>71.42</v>
      </c>
      <c r="O243">
        <v>60.49</v>
      </c>
      <c r="Q243" t="s">
        <v>3744</v>
      </c>
      <c r="R243">
        <v>5907698027393</v>
      </c>
      <c r="S243">
        <v>25</v>
      </c>
      <c r="T243" t="s">
        <v>423</v>
      </c>
      <c r="U243" t="s">
        <v>3064</v>
      </c>
    </row>
    <row r="244" spans="1:22" x14ac:dyDescent="0.25">
      <c r="A244">
        <v>350007</v>
      </c>
      <c r="B244" t="s">
        <v>302</v>
      </c>
      <c r="C244">
        <v>10</v>
      </c>
      <c r="E244" t="s">
        <v>303</v>
      </c>
      <c r="F244" t="s">
        <v>630</v>
      </c>
      <c r="G244" t="s">
        <v>631</v>
      </c>
      <c r="H244" t="s">
        <v>632</v>
      </c>
      <c r="I244" t="s">
        <v>633</v>
      </c>
      <c r="J244">
        <v>29</v>
      </c>
      <c r="K244">
        <v>15</v>
      </c>
      <c r="L244">
        <v>44</v>
      </c>
      <c r="M244">
        <v>49.96</v>
      </c>
      <c r="N244">
        <v>12.62</v>
      </c>
      <c r="O244">
        <v>10.82</v>
      </c>
      <c r="Q244" t="s">
        <v>3745</v>
      </c>
      <c r="R244">
        <v>5907698027997</v>
      </c>
      <c r="S244">
        <v>40</v>
      </c>
      <c r="T244" t="s">
        <v>616</v>
      </c>
      <c r="V244">
        <v>8207703700</v>
      </c>
    </row>
    <row r="245" spans="1:22" x14ac:dyDescent="0.25">
      <c r="A245">
        <v>350008</v>
      </c>
      <c r="B245" t="s">
        <v>2993</v>
      </c>
      <c r="C245">
        <v>100</v>
      </c>
      <c r="D245">
        <v>0</v>
      </c>
      <c r="E245" t="s">
        <v>303</v>
      </c>
      <c r="F245" t="s">
        <v>3069</v>
      </c>
      <c r="G245" t="s">
        <v>3070</v>
      </c>
      <c r="H245" t="s">
        <v>2934</v>
      </c>
      <c r="I245" t="s">
        <v>3071</v>
      </c>
      <c r="J245">
        <v>89</v>
      </c>
      <c r="K245">
        <v>10</v>
      </c>
      <c r="L245">
        <v>99</v>
      </c>
      <c r="M245">
        <v>10.220000000000001</v>
      </c>
      <c r="N245">
        <v>2.59</v>
      </c>
      <c r="O245">
        <v>2.21</v>
      </c>
      <c r="Q245" t="s">
        <v>3745</v>
      </c>
      <c r="R245">
        <v>5907698030614</v>
      </c>
      <c r="S245">
        <v>50</v>
      </c>
      <c r="U245" t="s">
        <v>3746</v>
      </c>
      <c r="V245">
        <v>8204200000</v>
      </c>
    </row>
    <row r="246" spans="1:22" x14ac:dyDescent="0.25">
      <c r="A246">
        <v>350012</v>
      </c>
      <c r="B246" t="s">
        <v>302</v>
      </c>
      <c r="C246">
        <v>10</v>
      </c>
      <c r="E246" t="s">
        <v>303</v>
      </c>
      <c r="F246" t="s">
        <v>612</v>
      </c>
      <c r="G246" t="s">
        <v>613</v>
      </c>
      <c r="H246" t="s">
        <v>614</v>
      </c>
      <c r="I246" t="s">
        <v>615</v>
      </c>
      <c r="J246">
        <v>0</v>
      </c>
      <c r="K246">
        <v>0</v>
      </c>
      <c r="L246">
        <v>0</v>
      </c>
      <c r="M246">
        <v>28.79</v>
      </c>
      <c r="N246">
        <v>7.38</v>
      </c>
      <c r="O246">
        <v>6.32</v>
      </c>
      <c r="Q246" t="s">
        <v>2</v>
      </c>
      <c r="R246">
        <v>5907698028703</v>
      </c>
      <c r="S246">
        <v>240</v>
      </c>
      <c r="T246" t="s">
        <v>616</v>
      </c>
      <c r="V246">
        <v>8207909900</v>
      </c>
    </row>
    <row r="247" spans="1:22" x14ac:dyDescent="0.25">
      <c r="A247">
        <v>350019</v>
      </c>
      <c r="B247" t="s">
        <v>302</v>
      </c>
      <c r="C247">
        <v>10</v>
      </c>
      <c r="E247" t="s">
        <v>303</v>
      </c>
      <c r="F247" t="s">
        <v>3072</v>
      </c>
      <c r="G247" t="s">
        <v>617</v>
      </c>
      <c r="H247" t="s">
        <v>1785</v>
      </c>
      <c r="I247" t="s">
        <v>618</v>
      </c>
      <c r="J247">
        <v>53</v>
      </c>
      <c r="K247">
        <v>10</v>
      </c>
      <c r="L247">
        <v>63</v>
      </c>
      <c r="M247">
        <v>35.14</v>
      </c>
      <c r="N247">
        <v>8.4700000000000006</v>
      </c>
      <c r="O247">
        <v>7.77</v>
      </c>
      <c r="Q247" t="s">
        <v>2548</v>
      </c>
      <c r="R247">
        <v>5907698028680</v>
      </c>
      <c r="S247">
        <v>150</v>
      </c>
      <c r="T247" t="s">
        <v>619</v>
      </c>
      <c r="V247">
        <v>8205700000</v>
      </c>
    </row>
    <row r="248" spans="1:22" x14ac:dyDescent="0.25">
      <c r="A248">
        <v>350020</v>
      </c>
      <c r="B248" t="s">
        <v>302</v>
      </c>
      <c r="C248">
        <v>10</v>
      </c>
      <c r="E248" t="s">
        <v>303</v>
      </c>
      <c r="F248" t="s">
        <v>3072</v>
      </c>
      <c r="G248" t="s">
        <v>617</v>
      </c>
      <c r="H248" t="s">
        <v>620</v>
      </c>
      <c r="I248" t="s">
        <v>618</v>
      </c>
      <c r="J248">
        <v>263</v>
      </c>
      <c r="K248">
        <v>5</v>
      </c>
      <c r="L248">
        <v>268</v>
      </c>
      <c r="M248">
        <v>32.270000000000003</v>
      </c>
      <c r="N248">
        <v>7.78</v>
      </c>
      <c r="O248">
        <v>7.13</v>
      </c>
      <c r="Q248" t="s">
        <v>2548</v>
      </c>
      <c r="R248">
        <v>5907698027515</v>
      </c>
      <c r="S248">
        <v>200</v>
      </c>
      <c r="T248" t="s">
        <v>619</v>
      </c>
      <c r="V248">
        <v>8205700000</v>
      </c>
    </row>
    <row r="249" spans="1:22" x14ac:dyDescent="0.25">
      <c r="A249">
        <v>350028</v>
      </c>
      <c r="B249" t="s">
        <v>2993</v>
      </c>
      <c r="C249">
        <v>20</v>
      </c>
      <c r="E249" t="s">
        <v>303</v>
      </c>
      <c r="F249" t="s">
        <v>623</v>
      </c>
      <c r="G249" t="s">
        <v>624</v>
      </c>
      <c r="H249" t="s">
        <v>2935</v>
      </c>
      <c r="I249" t="s">
        <v>626</v>
      </c>
      <c r="J249">
        <v>137</v>
      </c>
      <c r="K249">
        <v>20</v>
      </c>
      <c r="L249">
        <v>157</v>
      </c>
      <c r="M249">
        <v>20.149999999999999</v>
      </c>
      <c r="N249">
        <v>5.0999999999999996</v>
      </c>
      <c r="O249">
        <v>4.3499999999999996</v>
      </c>
      <c r="Q249" t="s">
        <v>3745</v>
      </c>
      <c r="R249">
        <v>5907698030621</v>
      </c>
      <c r="S249">
        <v>80</v>
      </c>
      <c r="T249" t="s">
        <v>3073</v>
      </c>
      <c r="U249" t="s">
        <v>3746</v>
      </c>
      <c r="V249">
        <v>8203200000</v>
      </c>
    </row>
    <row r="250" spans="1:22" x14ac:dyDescent="0.25">
      <c r="A250">
        <v>350029</v>
      </c>
      <c r="B250" t="s">
        <v>302</v>
      </c>
      <c r="C250">
        <v>5</v>
      </c>
      <c r="E250" t="s">
        <v>303</v>
      </c>
      <c r="F250" t="s">
        <v>623</v>
      </c>
      <c r="G250" t="s">
        <v>624</v>
      </c>
      <c r="H250" t="s">
        <v>625</v>
      </c>
      <c r="I250" t="s">
        <v>626</v>
      </c>
      <c r="J250">
        <v>13</v>
      </c>
      <c r="K250">
        <v>0</v>
      </c>
      <c r="L250">
        <v>13</v>
      </c>
      <c r="M250">
        <v>114.55</v>
      </c>
      <c r="N250">
        <v>28.96</v>
      </c>
      <c r="O250">
        <v>24.8</v>
      </c>
      <c r="Q250" t="s">
        <v>2548</v>
      </c>
      <c r="R250">
        <v>5907698028017</v>
      </c>
      <c r="S250">
        <v>25</v>
      </c>
      <c r="T250" t="s">
        <v>616</v>
      </c>
      <c r="V250">
        <v>8203200000</v>
      </c>
    </row>
    <row r="251" spans="1:22" x14ac:dyDescent="0.25">
      <c r="A251">
        <v>350031</v>
      </c>
      <c r="B251" t="s">
        <v>302</v>
      </c>
      <c r="C251">
        <v>6</v>
      </c>
      <c r="E251" t="s">
        <v>303</v>
      </c>
      <c r="F251" t="s">
        <v>3074</v>
      </c>
      <c r="G251" t="s">
        <v>1789</v>
      </c>
      <c r="H251" t="s">
        <v>1790</v>
      </c>
      <c r="I251" t="s">
        <v>627</v>
      </c>
      <c r="J251">
        <v>52</v>
      </c>
      <c r="K251">
        <v>0</v>
      </c>
      <c r="L251">
        <v>52</v>
      </c>
      <c r="M251">
        <v>60</v>
      </c>
      <c r="N251">
        <v>15.16</v>
      </c>
      <c r="O251">
        <v>12.99</v>
      </c>
      <c r="Q251" t="s">
        <v>2548</v>
      </c>
      <c r="R251">
        <v>5907698027959</v>
      </c>
      <c r="S251">
        <v>20</v>
      </c>
      <c r="T251" t="s">
        <v>616</v>
      </c>
      <c r="V251">
        <v>8205598000</v>
      </c>
    </row>
    <row r="252" spans="1:22" x14ac:dyDescent="0.25">
      <c r="A252">
        <v>350044</v>
      </c>
      <c r="B252" t="s">
        <v>302</v>
      </c>
      <c r="C252">
        <v>10</v>
      </c>
      <c r="E252" t="s">
        <v>303</v>
      </c>
      <c r="F252" t="s">
        <v>3075</v>
      </c>
      <c r="G252" t="s">
        <v>1794</v>
      </c>
      <c r="H252" t="s">
        <v>1795</v>
      </c>
      <c r="I252" t="s">
        <v>1796</v>
      </c>
      <c r="J252">
        <v>71</v>
      </c>
      <c r="K252">
        <v>0</v>
      </c>
      <c r="L252">
        <v>71</v>
      </c>
      <c r="M252">
        <v>52.18</v>
      </c>
      <c r="N252">
        <v>13.15</v>
      </c>
      <c r="O252">
        <v>11.72</v>
      </c>
      <c r="Q252" t="s">
        <v>2548</v>
      </c>
      <c r="R252">
        <v>5907698027980</v>
      </c>
      <c r="S252">
        <v>25</v>
      </c>
      <c r="T252" t="s">
        <v>616</v>
      </c>
      <c r="V252">
        <v>8205598000</v>
      </c>
    </row>
    <row r="253" spans="1:22" x14ac:dyDescent="0.25">
      <c r="A253">
        <v>350046</v>
      </c>
      <c r="B253" t="s">
        <v>2993</v>
      </c>
      <c r="C253">
        <v>10</v>
      </c>
      <c r="E253" t="s">
        <v>303</v>
      </c>
      <c r="F253" t="s">
        <v>3076</v>
      </c>
      <c r="G253" t="s">
        <v>3077</v>
      </c>
      <c r="H253" t="s">
        <v>2936</v>
      </c>
      <c r="I253" t="s">
        <v>3078</v>
      </c>
      <c r="J253">
        <v>31</v>
      </c>
      <c r="K253">
        <v>8</v>
      </c>
      <c r="L253">
        <v>39</v>
      </c>
      <c r="M253">
        <v>72.17</v>
      </c>
      <c r="N253">
        <v>18.27</v>
      </c>
      <c r="O253">
        <v>15.58</v>
      </c>
      <c r="Q253" t="s">
        <v>3745</v>
      </c>
      <c r="R253">
        <v>5907698030638</v>
      </c>
      <c r="S253">
        <v>20</v>
      </c>
      <c r="T253" t="s">
        <v>3073</v>
      </c>
      <c r="U253" t="s">
        <v>3746</v>
      </c>
      <c r="V253">
        <v>8204200000</v>
      </c>
    </row>
    <row r="254" spans="1:22" x14ac:dyDescent="0.25">
      <c r="A254">
        <v>350050</v>
      </c>
      <c r="B254" t="s">
        <v>302</v>
      </c>
      <c r="C254">
        <v>10</v>
      </c>
      <c r="D254">
        <v>1</v>
      </c>
      <c r="E254" t="s">
        <v>303</v>
      </c>
      <c r="F254" t="s">
        <v>3079</v>
      </c>
      <c r="G254" t="s">
        <v>634</v>
      </c>
      <c r="H254" t="s">
        <v>635</v>
      </c>
      <c r="I254" t="s">
        <v>636</v>
      </c>
      <c r="J254">
        <v>101</v>
      </c>
      <c r="K254">
        <v>0</v>
      </c>
      <c r="L254">
        <v>101</v>
      </c>
      <c r="M254">
        <v>41.12</v>
      </c>
      <c r="N254">
        <v>11.08</v>
      </c>
      <c r="O254">
        <v>9.36</v>
      </c>
      <c r="Q254" t="s">
        <v>3745</v>
      </c>
      <c r="R254">
        <v>5907698028765</v>
      </c>
      <c r="S254">
        <v>40</v>
      </c>
      <c r="T254" t="s">
        <v>637</v>
      </c>
      <c r="V254">
        <v>8205598000</v>
      </c>
    </row>
    <row r="255" spans="1:22" x14ac:dyDescent="0.25">
      <c r="A255">
        <v>350055</v>
      </c>
      <c r="B255" t="s">
        <v>302</v>
      </c>
      <c r="C255">
        <v>10</v>
      </c>
      <c r="E255" t="s">
        <v>303</v>
      </c>
      <c r="F255" t="s">
        <v>1797</v>
      </c>
      <c r="G255" t="s">
        <v>1798</v>
      </c>
      <c r="H255" t="s">
        <v>638</v>
      </c>
      <c r="I255" t="s">
        <v>1799</v>
      </c>
      <c r="J255">
        <v>0</v>
      </c>
      <c r="K255">
        <v>0</v>
      </c>
      <c r="L255">
        <v>0</v>
      </c>
      <c r="M255">
        <v>42.28</v>
      </c>
      <c r="N255">
        <v>10.66</v>
      </c>
      <c r="O255">
        <v>9.49</v>
      </c>
      <c r="Q255" t="s">
        <v>2548</v>
      </c>
      <c r="R255">
        <v>5907698028819</v>
      </c>
      <c r="S255">
        <v>40</v>
      </c>
      <c r="T255" t="s">
        <v>1779</v>
      </c>
      <c r="V255">
        <v>8205598000</v>
      </c>
    </row>
    <row r="256" spans="1:22" x14ac:dyDescent="0.25">
      <c r="A256">
        <v>350065</v>
      </c>
      <c r="B256" t="s">
        <v>302</v>
      </c>
      <c r="C256">
        <v>48</v>
      </c>
      <c r="E256" t="s">
        <v>303</v>
      </c>
      <c r="F256" t="s">
        <v>3080</v>
      </c>
      <c r="G256" t="s">
        <v>1806</v>
      </c>
      <c r="H256" t="s">
        <v>1807</v>
      </c>
      <c r="I256" t="s">
        <v>1808</v>
      </c>
      <c r="J256">
        <v>284</v>
      </c>
      <c r="K256">
        <v>0</v>
      </c>
      <c r="L256">
        <v>284</v>
      </c>
      <c r="M256">
        <v>20.74</v>
      </c>
      <c r="N256">
        <v>5.58</v>
      </c>
      <c r="O256">
        <v>4.7300000000000004</v>
      </c>
      <c r="Q256" t="s">
        <v>2548</v>
      </c>
      <c r="R256">
        <v>5907698028789</v>
      </c>
      <c r="S256">
        <v>80</v>
      </c>
      <c r="T256" t="s">
        <v>1792</v>
      </c>
      <c r="V256">
        <v>8205598000</v>
      </c>
    </row>
    <row r="257" spans="1:22" x14ac:dyDescent="0.25">
      <c r="A257">
        <v>350067</v>
      </c>
      <c r="B257" t="s">
        <v>302</v>
      </c>
      <c r="C257">
        <v>10</v>
      </c>
      <c r="E257" t="s">
        <v>303</v>
      </c>
      <c r="F257" t="s">
        <v>3081</v>
      </c>
      <c r="G257" t="s">
        <v>1811</v>
      </c>
      <c r="H257" t="s">
        <v>1812</v>
      </c>
      <c r="I257" t="s">
        <v>1813</v>
      </c>
      <c r="J257">
        <v>24</v>
      </c>
      <c r="K257">
        <v>0</v>
      </c>
      <c r="L257">
        <v>24</v>
      </c>
      <c r="M257">
        <v>40.78</v>
      </c>
      <c r="N257">
        <v>10.31</v>
      </c>
      <c r="O257">
        <v>8.83</v>
      </c>
      <c r="Q257" t="s">
        <v>2548</v>
      </c>
      <c r="R257">
        <v>5907698028802</v>
      </c>
      <c r="S257">
        <v>50</v>
      </c>
      <c r="T257" t="s">
        <v>1805</v>
      </c>
      <c r="V257">
        <v>8205598000</v>
      </c>
    </row>
    <row r="258" spans="1:22" x14ac:dyDescent="0.25">
      <c r="A258">
        <v>350131</v>
      </c>
      <c r="B258" t="s">
        <v>302</v>
      </c>
      <c r="C258">
        <v>10</v>
      </c>
      <c r="E258" t="s">
        <v>303</v>
      </c>
      <c r="F258" t="s">
        <v>640</v>
      </c>
      <c r="G258" t="s">
        <v>641</v>
      </c>
      <c r="H258" t="s">
        <v>644</v>
      </c>
      <c r="I258" t="s">
        <v>642</v>
      </c>
      <c r="J258">
        <v>0</v>
      </c>
      <c r="K258">
        <v>5</v>
      </c>
      <c r="L258">
        <v>5</v>
      </c>
      <c r="M258">
        <v>109.34</v>
      </c>
      <c r="N258">
        <v>28.04</v>
      </c>
      <c r="O258">
        <v>24.02</v>
      </c>
      <c r="Q258" t="s">
        <v>2</v>
      </c>
      <c r="R258">
        <v>5907698027508</v>
      </c>
      <c r="S258">
        <v>30</v>
      </c>
      <c r="T258" t="s">
        <v>643</v>
      </c>
      <c r="V258">
        <v>8205598000</v>
      </c>
    </row>
    <row r="259" spans="1:22" x14ac:dyDescent="0.25">
      <c r="A259">
        <v>350140</v>
      </c>
      <c r="B259" t="s">
        <v>3082</v>
      </c>
      <c r="C259">
        <v>50</v>
      </c>
      <c r="E259" t="s">
        <v>303</v>
      </c>
      <c r="F259" t="s">
        <v>3083</v>
      </c>
      <c r="G259" t="s">
        <v>1814</v>
      </c>
      <c r="H259" t="s">
        <v>1815</v>
      </c>
      <c r="I259" t="s">
        <v>1816</v>
      </c>
      <c r="J259">
        <v>135</v>
      </c>
      <c r="K259">
        <v>0</v>
      </c>
      <c r="L259">
        <v>135</v>
      </c>
      <c r="M259">
        <v>14.3</v>
      </c>
      <c r="N259">
        <v>3.81</v>
      </c>
      <c r="O259">
        <v>3.22</v>
      </c>
      <c r="Q259" t="s">
        <v>2548</v>
      </c>
      <c r="R259">
        <v>5907698028758</v>
      </c>
      <c r="S259">
        <v>20</v>
      </c>
      <c r="T259" t="s">
        <v>1792</v>
      </c>
      <c r="V259">
        <v>8203200000</v>
      </c>
    </row>
    <row r="260" spans="1:22" x14ac:dyDescent="0.25">
      <c r="A260">
        <v>350141</v>
      </c>
      <c r="B260" t="s">
        <v>2993</v>
      </c>
      <c r="C260">
        <v>40</v>
      </c>
      <c r="D260">
        <v>0</v>
      </c>
      <c r="E260" t="s">
        <v>303</v>
      </c>
      <c r="F260" t="s">
        <v>3084</v>
      </c>
      <c r="G260" t="s">
        <v>3085</v>
      </c>
      <c r="H260" t="s">
        <v>2937</v>
      </c>
      <c r="I260" t="s">
        <v>3086</v>
      </c>
      <c r="J260">
        <v>139</v>
      </c>
      <c r="K260">
        <v>10</v>
      </c>
      <c r="L260">
        <v>149</v>
      </c>
      <c r="M260">
        <v>20.09</v>
      </c>
      <c r="N260">
        <v>5.08</v>
      </c>
      <c r="O260">
        <v>4.34</v>
      </c>
      <c r="Q260" t="s">
        <v>3745</v>
      </c>
      <c r="R260">
        <v>5907698030645</v>
      </c>
      <c r="S260">
        <v>75</v>
      </c>
      <c r="T260" t="s">
        <v>3087</v>
      </c>
      <c r="U260" t="s">
        <v>3746</v>
      </c>
      <c r="V260">
        <v>8204200000</v>
      </c>
    </row>
    <row r="261" spans="1:22" x14ac:dyDescent="0.25">
      <c r="A261">
        <v>350143</v>
      </c>
      <c r="B261" t="s">
        <v>302</v>
      </c>
      <c r="C261">
        <v>40</v>
      </c>
      <c r="E261" t="s">
        <v>303</v>
      </c>
      <c r="F261" t="s">
        <v>1817</v>
      </c>
      <c r="G261" t="s">
        <v>1818</v>
      </c>
      <c r="H261" t="s">
        <v>645</v>
      </c>
      <c r="I261" t="s">
        <v>1819</v>
      </c>
      <c r="J261">
        <v>197</v>
      </c>
      <c r="K261">
        <v>0</v>
      </c>
      <c r="L261">
        <v>197</v>
      </c>
      <c r="M261">
        <v>17.940000000000001</v>
      </c>
      <c r="N261">
        <v>4.24</v>
      </c>
      <c r="O261">
        <v>3.92</v>
      </c>
      <c r="Q261" t="s">
        <v>2548</v>
      </c>
      <c r="R261">
        <v>5907698028024</v>
      </c>
      <c r="S261">
        <v>100</v>
      </c>
      <c r="T261" t="s">
        <v>646</v>
      </c>
      <c r="V261">
        <v>3926909790</v>
      </c>
    </row>
    <row r="262" spans="1:22" x14ac:dyDescent="0.25">
      <c r="A262">
        <v>350300</v>
      </c>
      <c r="B262" t="s">
        <v>302</v>
      </c>
      <c r="C262">
        <v>10</v>
      </c>
      <c r="D262">
        <v>1</v>
      </c>
      <c r="E262" t="s">
        <v>303</v>
      </c>
      <c r="F262" t="s">
        <v>3088</v>
      </c>
      <c r="G262" t="s">
        <v>647</v>
      </c>
      <c r="H262" t="s">
        <v>648</v>
      </c>
      <c r="I262" t="s">
        <v>649</v>
      </c>
      <c r="J262">
        <v>73</v>
      </c>
      <c r="K262">
        <v>51</v>
      </c>
      <c r="L262">
        <v>124</v>
      </c>
      <c r="M262">
        <v>51.87</v>
      </c>
      <c r="N262">
        <v>13.12</v>
      </c>
      <c r="O262">
        <v>11.23</v>
      </c>
      <c r="Q262" t="s">
        <v>2548</v>
      </c>
      <c r="R262">
        <v>5907698027737</v>
      </c>
      <c r="S262">
        <v>120</v>
      </c>
      <c r="T262" t="s">
        <v>650</v>
      </c>
      <c r="V262">
        <v>8413200090</v>
      </c>
    </row>
    <row r="263" spans="1:22" x14ac:dyDescent="0.25">
      <c r="A263">
        <v>350420</v>
      </c>
      <c r="B263" t="s">
        <v>2993</v>
      </c>
      <c r="C263">
        <v>10</v>
      </c>
      <c r="E263" t="s">
        <v>303</v>
      </c>
      <c r="F263" t="s">
        <v>612</v>
      </c>
      <c r="G263" t="s">
        <v>613</v>
      </c>
      <c r="H263" t="s">
        <v>2938</v>
      </c>
      <c r="I263" t="s">
        <v>615</v>
      </c>
      <c r="J263">
        <v>79</v>
      </c>
      <c r="K263">
        <v>20</v>
      </c>
      <c r="L263">
        <v>99</v>
      </c>
      <c r="M263">
        <v>39.68</v>
      </c>
      <c r="N263">
        <v>10.039999999999999</v>
      </c>
      <c r="O263">
        <v>8.56</v>
      </c>
      <c r="Q263" t="s">
        <v>3745</v>
      </c>
      <c r="R263">
        <v>5907698030652</v>
      </c>
      <c r="S263">
        <v>50</v>
      </c>
      <c r="T263" t="s">
        <v>1112</v>
      </c>
      <c r="U263" t="s">
        <v>3746</v>
      </c>
      <c r="V263">
        <v>8207909900</v>
      </c>
    </row>
    <row r="264" spans="1:22" x14ac:dyDescent="0.25">
      <c r="A264">
        <v>350421</v>
      </c>
      <c r="B264" t="s">
        <v>2993</v>
      </c>
      <c r="C264">
        <v>10</v>
      </c>
      <c r="E264" t="s">
        <v>303</v>
      </c>
      <c r="F264" t="s">
        <v>612</v>
      </c>
      <c r="G264" t="s">
        <v>613</v>
      </c>
      <c r="H264" t="s">
        <v>621</v>
      </c>
      <c r="I264" t="s">
        <v>615</v>
      </c>
      <c r="J264">
        <v>0</v>
      </c>
      <c r="K264">
        <v>0</v>
      </c>
      <c r="L264">
        <v>0</v>
      </c>
      <c r="M264">
        <v>45.55</v>
      </c>
      <c r="N264">
        <v>11.54</v>
      </c>
      <c r="O264">
        <v>10.24</v>
      </c>
      <c r="Q264" t="s">
        <v>3745</v>
      </c>
      <c r="R264">
        <v>5907698026709</v>
      </c>
      <c r="S264">
        <v>240</v>
      </c>
      <c r="T264" t="s">
        <v>616</v>
      </c>
      <c r="V264">
        <v>8207909900</v>
      </c>
    </row>
    <row r="265" spans="1:22" x14ac:dyDescent="0.25">
      <c r="A265">
        <v>350435</v>
      </c>
      <c r="B265" t="s">
        <v>302</v>
      </c>
      <c r="C265">
        <v>5</v>
      </c>
      <c r="E265" t="s">
        <v>303</v>
      </c>
      <c r="F265" t="s">
        <v>612</v>
      </c>
      <c r="G265" t="s">
        <v>613</v>
      </c>
      <c r="H265" t="s">
        <v>1650</v>
      </c>
      <c r="I265" t="s">
        <v>615</v>
      </c>
      <c r="J265">
        <v>19</v>
      </c>
      <c r="K265">
        <v>0</v>
      </c>
      <c r="L265">
        <v>19</v>
      </c>
      <c r="M265">
        <v>102.47</v>
      </c>
      <c r="N265">
        <v>24.73</v>
      </c>
      <c r="O265">
        <v>22.72</v>
      </c>
      <c r="Q265" t="s">
        <v>3745</v>
      </c>
      <c r="R265">
        <v>5907698029687</v>
      </c>
      <c r="S265">
        <v>30</v>
      </c>
      <c r="T265" t="s">
        <v>616</v>
      </c>
      <c r="V265">
        <v>8207909900</v>
      </c>
    </row>
    <row r="266" spans="1:22" x14ac:dyDescent="0.25">
      <c r="A266">
        <v>350440</v>
      </c>
      <c r="B266" t="s">
        <v>2993</v>
      </c>
      <c r="C266">
        <v>10</v>
      </c>
      <c r="E266" t="s">
        <v>303</v>
      </c>
      <c r="F266" t="s">
        <v>3089</v>
      </c>
      <c r="G266" t="s">
        <v>3090</v>
      </c>
      <c r="H266" t="s">
        <v>3091</v>
      </c>
      <c r="I266" t="s">
        <v>3092</v>
      </c>
      <c r="J266">
        <v>0</v>
      </c>
      <c r="K266">
        <v>0</v>
      </c>
      <c r="L266">
        <v>0</v>
      </c>
      <c r="M266">
        <v>42.8</v>
      </c>
      <c r="N266">
        <v>10.81</v>
      </c>
      <c r="O266">
        <v>9.65</v>
      </c>
      <c r="Q266" t="s">
        <v>3745</v>
      </c>
      <c r="R266">
        <v>5907698030669</v>
      </c>
      <c r="S266">
        <v>30</v>
      </c>
      <c r="T266" t="s">
        <v>1112</v>
      </c>
    </row>
    <row r="267" spans="1:22" x14ac:dyDescent="0.25">
      <c r="A267">
        <v>350441</v>
      </c>
      <c r="B267" t="s">
        <v>2993</v>
      </c>
      <c r="C267">
        <v>8</v>
      </c>
      <c r="E267" t="s">
        <v>303</v>
      </c>
      <c r="F267" t="s">
        <v>3093</v>
      </c>
      <c r="G267" t="s">
        <v>3090</v>
      </c>
      <c r="H267" t="s">
        <v>2939</v>
      </c>
      <c r="I267" t="s">
        <v>3092</v>
      </c>
      <c r="J267">
        <v>0</v>
      </c>
      <c r="K267">
        <v>40</v>
      </c>
      <c r="L267">
        <v>38</v>
      </c>
      <c r="M267">
        <v>64.48</v>
      </c>
      <c r="N267">
        <v>16.32</v>
      </c>
      <c r="O267">
        <v>13.92</v>
      </c>
      <c r="Q267" t="s">
        <v>3745</v>
      </c>
      <c r="R267">
        <v>5907698030676</v>
      </c>
      <c r="S267">
        <v>20</v>
      </c>
      <c r="T267" t="s">
        <v>1112</v>
      </c>
      <c r="U267" t="s">
        <v>3746</v>
      </c>
      <c r="V267">
        <v>8205598000</v>
      </c>
    </row>
    <row r="268" spans="1:22" x14ac:dyDescent="0.25">
      <c r="A268">
        <v>350475</v>
      </c>
      <c r="B268" t="s">
        <v>302</v>
      </c>
      <c r="C268">
        <v>10</v>
      </c>
      <c r="E268" t="s">
        <v>303</v>
      </c>
      <c r="F268" t="s">
        <v>3094</v>
      </c>
      <c r="G268" t="s">
        <v>1820</v>
      </c>
      <c r="H268" t="s">
        <v>1651</v>
      </c>
      <c r="I268" t="s">
        <v>1821</v>
      </c>
      <c r="J268">
        <v>149</v>
      </c>
      <c r="K268">
        <v>10</v>
      </c>
      <c r="L268">
        <v>159</v>
      </c>
      <c r="M268">
        <v>41.81</v>
      </c>
      <c r="N268">
        <v>10.56</v>
      </c>
      <c r="O268">
        <v>9.0500000000000007</v>
      </c>
      <c r="Q268" t="s">
        <v>3745</v>
      </c>
      <c r="R268">
        <v>5907698029694</v>
      </c>
      <c r="S268">
        <v>30</v>
      </c>
      <c r="T268" t="s">
        <v>1822</v>
      </c>
      <c r="V268">
        <v>8413810090</v>
      </c>
    </row>
    <row r="269" spans="1:22" x14ac:dyDescent="0.25">
      <c r="A269">
        <v>350476</v>
      </c>
      <c r="B269" t="s">
        <v>2993</v>
      </c>
      <c r="C269">
        <v>20</v>
      </c>
      <c r="E269" t="s">
        <v>303</v>
      </c>
      <c r="F269" t="s">
        <v>3094</v>
      </c>
      <c r="G269" t="s">
        <v>1820</v>
      </c>
      <c r="H269" t="s">
        <v>2940</v>
      </c>
      <c r="I269" t="s">
        <v>1821</v>
      </c>
      <c r="J269">
        <v>177</v>
      </c>
      <c r="K269">
        <v>20</v>
      </c>
      <c r="L269">
        <v>197</v>
      </c>
      <c r="M269">
        <v>18.649999999999999</v>
      </c>
      <c r="N269">
        <v>4.72</v>
      </c>
      <c r="O269">
        <v>4.03</v>
      </c>
      <c r="Q269" t="s">
        <v>3745</v>
      </c>
      <c r="R269">
        <v>5907698030683</v>
      </c>
      <c r="S269">
        <v>100</v>
      </c>
      <c r="T269" t="s">
        <v>1822</v>
      </c>
      <c r="U269" t="s">
        <v>3746</v>
      </c>
      <c r="V269">
        <v>8413810090</v>
      </c>
    </row>
    <row r="270" spans="1:22" x14ac:dyDescent="0.25">
      <c r="A270">
        <v>350479</v>
      </c>
      <c r="B270" t="s">
        <v>2993</v>
      </c>
      <c r="C270">
        <v>20</v>
      </c>
      <c r="D270">
        <v>0</v>
      </c>
      <c r="E270" t="s">
        <v>303</v>
      </c>
      <c r="F270" t="s">
        <v>2171</v>
      </c>
      <c r="G270" t="s">
        <v>2172</v>
      </c>
      <c r="H270" t="s">
        <v>2941</v>
      </c>
      <c r="I270" t="s">
        <v>2173</v>
      </c>
      <c r="J270">
        <v>97</v>
      </c>
      <c r="K270">
        <v>20</v>
      </c>
      <c r="L270">
        <v>117</v>
      </c>
      <c r="M270">
        <v>19.12</v>
      </c>
      <c r="N270">
        <v>4.83</v>
      </c>
      <c r="O270">
        <v>4.1399999999999997</v>
      </c>
      <c r="Q270" t="s">
        <v>3745</v>
      </c>
      <c r="R270">
        <v>5907698030690</v>
      </c>
      <c r="S270">
        <v>60</v>
      </c>
      <c r="T270" t="s">
        <v>2174</v>
      </c>
      <c r="U270" t="s">
        <v>3746</v>
      </c>
      <c r="V270">
        <v>8413810090</v>
      </c>
    </row>
    <row r="271" spans="1:22" x14ac:dyDescent="0.25">
      <c r="A271">
        <v>350500</v>
      </c>
      <c r="B271" t="s">
        <v>2993</v>
      </c>
      <c r="C271">
        <v>4</v>
      </c>
      <c r="E271" t="s">
        <v>303</v>
      </c>
      <c r="F271" t="s">
        <v>3095</v>
      </c>
      <c r="G271" t="s">
        <v>3096</v>
      </c>
      <c r="H271" t="s">
        <v>2942</v>
      </c>
      <c r="I271" t="s">
        <v>3097</v>
      </c>
      <c r="J271">
        <v>39</v>
      </c>
      <c r="K271">
        <v>0</v>
      </c>
      <c r="L271">
        <v>39</v>
      </c>
      <c r="M271">
        <v>91</v>
      </c>
      <c r="N271">
        <v>23</v>
      </c>
      <c r="O271">
        <v>19.7</v>
      </c>
      <c r="Q271" t="s">
        <v>3745</v>
      </c>
      <c r="R271">
        <v>5907698030706</v>
      </c>
      <c r="S271">
        <v>20</v>
      </c>
      <c r="T271" t="s">
        <v>1112</v>
      </c>
      <c r="U271" t="s">
        <v>3746</v>
      </c>
      <c r="V271">
        <v>8204110000</v>
      </c>
    </row>
    <row r="272" spans="1:22" x14ac:dyDescent="0.25">
      <c r="A272">
        <v>350510</v>
      </c>
      <c r="B272" t="s">
        <v>302</v>
      </c>
      <c r="C272">
        <v>5</v>
      </c>
      <c r="E272" t="s">
        <v>303</v>
      </c>
      <c r="F272" t="s">
        <v>3098</v>
      </c>
      <c r="G272" t="s">
        <v>628</v>
      </c>
      <c r="H272" t="s">
        <v>1652</v>
      </c>
      <c r="I272" t="s">
        <v>627</v>
      </c>
      <c r="J272">
        <v>14</v>
      </c>
      <c r="K272">
        <v>0</v>
      </c>
      <c r="L272">
        <v>14</v>
      </c>
      <c r="M272">
        <v>136.72999999999999</v>
      </c>
      <c r="N272">
        <v>33</v>
      </c>
      <c r="O272">
        <v>30.31</v>
      </c>
      <c r="Q272" t="s">
        <v>3745</v>
      </c>
      <c r="R272">
        <v>5907698029700</v>
      </c>
      <c r="S272">
        <v>15</v>
      </c>
      <c r="T272" t="s">
        <v>616</v>
      </c>
      <c r="V272">
        <v>8205598000</v>
      </c>
    </row>
    <row r="273" spans="1:22" x14ac:dyDescent="0.25">
      <c r="A273">
        <v>350511</v>
      </c>
      <c r="B273" t="s">
        <v>2993</v>
      </c>
      <c r="C273">
        <v>2</v>
      </c>
      <c r="E273" t="s">
        <v>303</v>
      </c>
      <c r="F273" t="s">
        <v>3098</v>
      </c>
      <c r="G273" t="s">
        <v>628</v>
      </c>
      <c r="H273" t="s">
        <v>2943</v>
      </c>
      <c r="I273" t="s">
        <v>627</v>
      </c>
      <c r="J273">
        <v>39</v>
      </c>
      <c r="K273">
        <v>0</v>
      </c>
      <c r="L273">
        <v>39</v>
      </c>
      <c r="M273">
        <v>134.91</v>
      </c>
      <c r="N273">
        <v>34.1</v>
      </c>
      <c r="O273">
        <v>29.21</v>
      </c>
      <c r="Q273" t="s">
        <v>3745</v>
      </c>
      <c r="R273">
        <v>5907698030805</v>
      </c>
      <c r="S273">
        <v>20</v>
      </c>
      <c r="T273" t="s">
        <v>1112</v>
      </c>
      <c r="U273" t="s">
        <v>3746</v>
      </c>
      <c r="V273">
        <v>8205598000</v>
      </c>
    </row>
    <row r="274" spans="1:22" x14ac:dyDescent="0.25">
      <c r="A274">
        <v>350515</v>
      </c>
      <c r="B274" t="s">
        <v>302</v>
      </c>
      <c r="C274">
        <v>2</v>
      </c>
      <c r="E274" t="s">
        <v>303</v>
      </c>
      <c r="F274" t="s">
        <v>3098</v>
      </c>
      <c r="G274" t="s">
        <v>628</v>
      </c>
      <c r="H274" t="s">
        <v>1653</v>
      </c>
      <c r="I274" t="s">
        <v>627</v>
      </c>
      <c r="J274">
        <v>0</v>
      </c>
      <c r="K274">
        <v>0</v>
      </c>
      <c r="L274">
        <v>0</v>
      </c>
      <c r="M274">
        <v>272.17</v>
      </c>
      <c r="N274">
        <v>65.7</v>
      </c>
      <c r="O274">
        <v>60.34</v>
      </c>
      <c r="Q274" t="s">
        <v>3745</v>
      </c>
      <c r="R274">
        <v>5907698029717</v>
      </c>
      <c r="S274">
        <v>15</v>
      </c>
      <c r="T274" t="s">
        <v>616</v>
      </c>
      <c r="V274">
        <v>8205598000</v>
      </c>
    </row>
    <row r="275" spans="1:22" x14ac:dyDescent="0.25">
      <c r="A275">
        <v>350517</v>
      </c>
      <c r="B275" t="s">
        <v>302</v>
      </c>
      <c r="C275">
        <v>10</v>
      </c>
      <c r="E275" t="s">
        <v>303</v>
      </c>
      <c r="F275" t="s">
        <v>3099</v>
      </c>
      <c r="G275" t="s">
        <v>2738</v>
      </c>
      <c r="H275" t="s">
        <v>2560</v>
      </c>
      <c r="I275" t="s">
        <v>627</v>
      </c>
      <c r="J275">
        <v>8</v>
      </c>
      <c r="K275">
        <v>0</v>
      </c>
      <c r="L275">
        <v>8</v>
      </c>
      <c r="M275">
        <v>70.36</v>
      </c>
      <c r="N275">
        <v>16.98</v>
      </c>
      <c r="O275">
        <v>15.59</v>
      </c>
      <c r="Q275" t="s">
        <v>3745</v>
      </c>
      <c r="R275">
        <v>5907698029724</v>
      </c>
      <c r="S275">
        <v>15</v>
      </c>
      <c r="T275" t="s">
        <v>616</v>
      </c>
      <c r="V275">
        <v>8205598000</v>
      </c>
    </row>
    <row r="276" spans="1:22" x14ac:dyDescent="0.25">
      <c r="A276">
        <v>350520</v>
      </c>
      <c r="B276" t="s">
        <v>302</v>
      </c>
      <c r="C276">
        <v>5</v>
      </c>
      <c r="E276" t="s">
        <v>303</v>
      </c>
      <c r="F276" t="s">
        <v>3074</v>
      </c>
      <c r="G276" t="s">
        <v>628</v>
      </c>
      <c r="H276" t="s">
        <v>1654</v>
      </c>
      <c r="I276" t="s">
        <v>627</v>
      </c>
      <c r="J276">
        <v>6</v>
      </c>
      <c r="K276">
        <v>0</v>
      </c>
      <c r="L276">
        <v>6</v>
      </c>
      <c r="M276">
        <v>81.900000000000006</v>
      </c>
      <c r="N276">
        <v>19.760000000000002</v>
      </c>
      <c r="O276">
        <v>18.16</v>
      </c>
      <c r="Q276" t="s">
        <v>3745</v>
      </c>
      <c r="R276">
        <v>5907698029731</v>
      </c>
      <c r="S276">
        <v>15</v>
      </c>
      <c r="T276" t="s">
        <v>1779</v>
      </c>
      <c r="V276">
        <v>8205598000</v>
      </c>
    </row>
    <row r="277" spans="1:22" x14ac:dyDescent="0.25">
      <c r="A277">
        <v>350521</v>
      </c>
      <c r="B277" t="s">
        <v>2993</v>
      </c>
      <c r="C277">
        <v>4</v>
      </c>
      <c r="E277" t="s">
        <v>303</v>
      </c>
      <c r="F277" t="s">
        <v>3074</v>
      </c>
      <c r="G277" t="s">
        <v>628</v>
      </c>
      <c r="H277" t="s">
        <v>2944</v>
      </c>
      <c r="I277" t="s">
        <v>627</v>
      </c>
      <c r="J277">
        <v>39</v>
      </c>
      <c r="K277">
        <v>0</v>
      </c>
      <c r="L277">
        <v>39</v>
      </c>
      <c r="M277">
        <v>69.16</v>
      </c>
      <c r="N277">
        <v>17.489999999999998</v>
      </c>
      <c r="O277">
        <v>14.98</v>
      </c>
      <c r="Q277" t="s">
        <v>3745</v>
      </c>
      <c r="R277">
        <v>5907698030713</v>
      </c>
      <c r="S277">
        <v>20</v>
      </c>
      <c r="T277" t="s">
        <v>1112</v>
      </c>
      <c r="U277" t="s">
        <v>3746</v>
      </c>
      <c r="V277">
        <v>8205598000</v>
      </c>
    </row>
    <row r="278" spans="1:22" x14ac:dyDescent="0.25">
      <c r="A278">
        <v>350522</v>
      </c>
      <c r="B278" t="s">
        <v>2993</v>
      </c>
      <c r="C278">
        <v>5</v>
      </c>
      <c r="E278" t="s">
        <v>303</v>
      </c>
      <c r="F278" t="s">
        <v>3074</v>
      </c>
      <c r="G278" t="s">
        <v>628</v>
      </c>
      <c r="H278" t="s">
        <v>2945</v>
      </c>
      <c r="I278" t="s">
        <v>627</v>
      </c>
      <c r="J278">
        <v>39</v>
      </c>
      <c r="K278">
        <v>0</v>
      </c>
      <c r="L278">
        <v>39</v>
      </c>
      <c r="M278">
        <v>68.97</v>
      </c>
      <c r="N278">
        <v>17.43</v>
      </c>
      <c r="O278">
        <v>14.93</v>
      </c>
      <c r="Q278" t="s">
        <v>3745</v>
      </c>
      <c r="R278">
        <v>5907698030720</v>
      </c>
      <c r="S278">
        <v>20</v>
      </c>
      <c r="T278" t="s">
        <v>1112</v>
      </c>
      <c r="U278" t="s">
        <v>3746</v>
      </c>
      <c r="V278">
        <v>8205598000</v>
      </c>
    </row>
    <row r="279" spans="1:22" x14ac:dyDescent="0.25">
      <c r="A279">
        <v>350523</v>
      </c>
      <c r="B279" t="s">
        <v>302</v>
      </c>
      <c r="C279">
        <v>30</v>
      </c>
      <c r="E279" t="s">
        <v>303</v>
      </c>
      <c r="F279" t="s">
        <v>3100</v>
      </c>
      <c r="G279" t="s">
        <v>1791</v>
      </c>
      <c r="H279" t="s">
        <v>1655</v>
      </c>
      <c r="I279" t="s">
        <v>627</v>
      </c>
      <c r="J279">
        <v>15</v>
      </c>
      <c r="K279">
        <v>15</v>
      </c>
      <c r="L279">
        <v>30</v>
      </c>
      <c r="M279">
        <v>13.79</v>
      </c>
      <c r="N279">
        <v>3.49</v>
      </c>
      <c r="O279">
        <v>2.99</v>
      </c>
      <c r="Q279" t="s">
        <v>3745</v>
      </c>
      <c r="R279">
        <v>5907698029748</v>
      </c>
      <c r="S279">
        <v>15</v>
      </c>
      <c r="T279" t="s">
        <v>1792</v>
      </c>
      <c r="V279">
        <v>8205598000</v>
      </c>
    </row>
    <row r="280" spans="1:22" x14ac:dyDescent="0.25">
      <c r="A280">
        <v>350534</v>
      </c>
      <c r="B280" t="s">
        <v>2993</v>
      </c>
      <c r="C280">
        <v>4</v>
      </c>
      <c r="E280" t="s">
        <v>303</v>
      </c>
      <c r="F280" t="s">
        <v>3074</v>
      </c>
      <c r="G280" t="s">
        <v>628</v>
      </c>
      <c r="H280" t="s">
        <v>629</v>
      </c>
      <c r="I280" t="s">
        <v>627</v>
      </c>
      <c r="J280">
        <v>40</v>
      </c>
      <c r="K280">
        <v>4</v>
      </c>
      <c r="L280">
        <v>44</v>
      </c>
      <c r="M280">
        <v>130.97</v>
      </c>
      <c r="N280">
        <v>31.61</v>
      </c>
      <c r="O280">
        <v>29.03</v>
      </c>
      <c r="Q280" t="s">
        <v>3745</v>
      </c>
      <c r="R280">
        <v>5907698027966</v>
      </c>
      <c r="S280">
        <v>25</v>
      </c>
      <c r="T280" t="s">
        <v>616</v>
      </c>
      <c r="V280">
        <v>8205598000</v>
      </c>
    </row>
    <row r="281" spans="1:22" x14ac:dyDescent="0.25">
      <c r="A281">
        <v>350535</v>
      </c>
      <c r="B281" t="s">
        <v>2993</v>
      </c>
      <c r="C281">
        <v>25</v>
      </c>
      <c r="E281" t="s">
        <v>303</v>
      </c>
      <c r="F281" t="s">
        <v>3100</v>
      </c>
      <c r="G281" t="s">
        <v>1791</v>
      </c>
      <c r="H281" t="s">
        <v>1648</v>
      </c>
      <c r="I281" t="s">
        <v>627</v>
      </c>
      <c r="J281">
        <v>59</v>
      </c>
      <c r="K281">
        <v>140</v>
      </c>
      <c r="L281">
        <v>199</v>
      </c>
      <c r="M281">
        <v>24.46</v>
      </c>
      <c r="N281">
        <v>6.19</v>
      </c>
      <c r="O281">
        <v>5.3</v>
      </c>
      <c r="Q281" t="s">
        <v>3745</v>
      </c>
      <c r="R281">
        <v>5907698028772</v>
      </c>
      <c r="S281">
        <v>50</v>
      </c>
      <c r="T281" t="s">
        <v>1792</v>
      </c>
      <c r="V281">
        <v>8205598000</v>
      </c>
    </row>
    <row r="282" spans="1:22" x14ac:dyDescent="0.25">
      <c r="A282">
        <v>350539</v>
      </c>
      <c r="B282" t="s">
        <v>2993</v>
      </c>
      <c r="C282">
        <v>4</v>
      </c>
      <c r="E282" t="s">
        <v>303</v>
      </c>
      <c r="F282" t="s">
        <v>3101</v>
      </c>
      <c r="G282" t="s">
        <v>1793</v>
      </c>
      <c r="H282" t="s">
        <v>1649</v>
      </c>
      <c r="I282" t="s">
        <v>627</v>
      </c>
      <c r="J282">
        <v>0</v>
      </c>
      <c r="K282">
        <v>0</v>
      </c>
      <c r="L282">
        <v>0</v>
      </c>
      <c r="M282">
        <v>125.71</v>
      </c>
      <c r="N282">
        <v>30.34</v>
      </c>
      <c r="O282">
        <v>27.87</v>
      </c>
      <c r="Q282" t="s">
        <v>3745</v>
      </c>
      <c r="R282">
        <v>5907698027973</v>
      </c>
      <c r="S282">
        <v>25</v>
      </c>
      <c r="T282" t="s">
        <v>616</v>
      </c>
      <c r="V282">
        <v>8205598000</v>
      </c>
    </row>
    <row r="283" spans="1:22" x14ac:dyDescent="0.25">
      <c r="A283">
        <v>350540</v>
      </c>
      <c r="B283" t="s">
        <v>302</v>
      </c>
      <c r="C283">
        <v>2</v>
      </c>
      <c r="E283" t="s">
        <v>303</v>
      </c>
      <c r="F283" t="s">
        <v>3102</v>
      </c>
      <c r="G283" t="s">
        <v>628</v>
      </c>
      <c r="H283" t="s">
        <v>2739</v>
      </c>
      <c r="I283" t="s">
        <v>627</v>
      </c>
      <c r="J283">
        <v>32</v>
      </c>
      <c r="K283">
        <v>0</v>
      </c>
      <c r="L283">
        <v>32</v>
      </c>
      <c r="M283">
        <v>133.18</v>
      </c>
      <c r="N283">
        <v>33.659999999999997</v>
      </c>
      <c r="O283">
        <v>28.84</v>
      </c>
      <c r="Q283" t="s">
        <v>3745</v>
      </c>
      <c r="R283">
        <v>5907698029755</v>
      </c>
      <c r="S283">
        <v>25</v>
      </c>
      <c r="T283" t="s">
        <v>616</v>
      </c>
      <c r="V283">
        <v>8205598000</v>
      </c>
    </row>
    <row r="284" spans="1:22" x14ac:dyDescent="0.25">
      <c r="A284">
        <v>350541</v>
      </c>
      <c r="B284" t="s">
        <v>2993</v>
      </c>
      <c r="C284">
        <v>10</v>
      </c>
      <c r="E284" t="s">
        <v>303</v>
      </c>
      <c r="F284" t="s">
        <v>3074</v>
      </c>
      <c r="G284" t="s">
        <v>628</v>
      </c>
      <c r="H284" t="s">
        <v>2946</v>
      </c>
      <c r="I284" t="s">
        <v>627</v>
      </c>
      <c r="J284">
        <v>29</v>
      </c>
      <c r="K284">
        <v>10</v>
      </c>
      <c r="L284">
        <v>39</v>
      </c>
      <c r="M284">
        <v>38.04</v>
      </c>
      <c r="N284">
        <v>9.61</v>
      </c>
      <c r="O284">
        <v>8.24</v>
      </c>
      <c r="Q284" t="s">
        <v>3745</v>
      </c>
      <c r="R284">
        <v>5907698030737</v>
      </c>
      <c r="S284">
        <v>20</v>
      </c>
      <c r="T284" t="s">
        <v>1112</v>
      </c>
      <c r="U284" t="s">
        <v>3746</v>
      </c>
      <c r="V284">
        <v>8205598000</v>
      </c>
    </row>
    <row r="285" spans="1:22" x14ac:dyDescent="0.25">
      <c r="A285">
        <v>350550</v>
      </c>
      <c r="B285" t="s">
        <v>302</v>
      </c>
      <c r="C285">
        <v>4</v>
      </c>
      <c r="E285" t="s">
        <v>303</v>
      </c>
      <c r="F285" t="s">
        <v>3103</v>
      </c>
      <c r="G285" t="s">
        <v>1793</v>
      </c>
      <c r="H285" t="s">
        <v>2561</v>
      </c>
      <c r="I285" t="s">
        <v>627</v>
      </c>
      <c r="J285">
        <v>12</v>
      </c>
      <c r="K285">
        <v>0</v>
      </c>
      <c r="L285">
        <v>12</v>
      </c>
      <c r="M285">
        <v>243.78</v>
      </c>
      <c r="N285">
        <v>58.84</v>
      </c>
      <c r="O285">
        <v>54.04</v>
      </c>
      <c r="Q285" t="s">
        <v>3745</v>
      </c>
      <c r="R285">
        <v>5907698029762</v>
      </c>
      <c r="S285">
        <v>25</v>
      </c>
      <c r="T285" t="s">
        <v>616</v>
      </c>
      <c r="V285">
        <v>8205598000</v>
      </c>
    </row>
    <row r="286" spans="1:22" x14ac:dyDescent="0.25">
      <c r="A286">
        <v>350560</v>
      </c>
      <c r="B286" t="s">
        <v>302</v>
      </c>
      <c r="C286">
        <v>2</v>
      </c>
      <c r="E286" t="s">
        <v>303</v>
      </c>
      <c r="F286" t="s">
        <v>3104</v>
      </c>
      <c r="G286" t="s">
        <v>1793</v>
      </c>
      <c r="H286" t="s">
        <v>2562</v>
      </c>
      <c r="I286" t="s">
        <v>627</v>
      </c>
      <c r="J286">
        <v>21</v>
      </c>
      <c r="K286">
        <v>0</v>
      </c>
      <c r="L286">
        <v>21</v>
      </c>
      <c r="M286">
        <v>220.81</v>
      </c>
      <c r="N286">
        <v>53.3</v>
      </c>
      <c r="O286">
        <v>48.95</v>
      </c>
      <c r="Q286" t="s">
        <v>3745</v>
      </c>
      <c r="R286">
        <v>5907698029779</v>
      </c>
      <c r="S286">
        <v>15</v>
      </c>
      <c r="T286" t="s">
        <v>616</v>
      </c>
      <c r="V286">
        <v>8205598000</v>
      </c>
    </row>
    <row r="287" spans="1:22" x14ac:dyDescent="0.25">
      <c r="A287">
        <v>350570</v>
      </c>
      <c r="B287" t="s">
        <v>302</v>
      </c>
      <c r="C287">
        <v>4</v>
      </c>
      <c r="E287" t="s">
        <v>303</v>
      </c>
      <c r="F287" t="s">
        <v>3105</v>
      </c>
      <c r="G287" t="s">
        <v>1636</v>
      </c>
      <c r="H287">
        <v>4</v>
      </c>
      <c r="I287" t="s">
        <v>1823</v>
      </c>
      <c r="J287">
        <v>43</v>
      </c>
      <c r="K287">
        <v>0</v>
      </c>
      <c r="L287">
        <v>43</v>
      </c>
      <c r="M287">
        <v>47.11</v>
      </c>
      <c r="N287">
        <v>11.37</v>
      </c>
      <c r="O287">
        <v>10.44</v>
      </c>
      <c r="Q287" t="s">
        <v>3745</v>
      </c>
      <c r="R287">
        <v>5907698029458</v>
      </c>
      <c r="S287">
        <v>30</v>
      </c>
      <c r="T287" t="s">
        <v>404</v>
      </c>
      <c r="V287">
        <v>8204120000</v>
      </c>
    </row>
    <row r="288" spans="1:22" x14ac:dyDescent="0.25">
      <c r="A288">
        <v>350575</v>
      </c>
      <c r="B288" t="s">
        <v>2993</v>
      </c>
      <c r="C288">
        <v>100</v>
      </c>
      <c r="E288" t="s">
        <v>303</v>
      </c>
      <c r="F288" t="s">
        <v>3106</v>
      </c>
      <c r="G288" t="s">
        <v>3107</v>
      </c>
      <c r="H288" t="s">
        <v>2947</v>
      </c>
      <c r="I288" t="s">
        <v>3108</v>
      </c>
      <c r="J288">
        <v>299</v>
      </c>
      <c r="K288">
        <v>0</v>
      </c>
      <c r="L288">
        <v>299</v>
      </c>
      <c r="M288">
        <v>5.87</v>
      </c>
      <c r="N288">
        <v>1.48</v>
      </c>
      <c r="O288">
        <v>1.28</v>
      </c>
      <c r="Q288" t="s">
        <v>3745</v>
      </c>
      <c r="R288">
        <v>5907698030744</v>
      </c>
      <c r="S288">
        <v>150</v>
      </c>
      <c r="U288" t="s">
        <v>3746</v>
      </c>
      <c r="V288">
        <v>8205598000</v>
      </c>
    </row>
    <row r="289" spans="1:22" x14ac:dyDescent="0.25">
      <c r="A289">
        <v>350580</v>
      </c>
      <c r="B289" t="s">
        <v>2993</v>
      </c>
      <c r="C289">
        <v>100</v>
      </c>
      <c r="E289" t="s">
        <v>303</v>
      </c>
      <c r="F289" t="s">
        <v>3109</v>
      </c>
      <c r="G289" t="s">
        <v>1791</v>
      </c>
      <c r="H289" t="s">
        <v>3755</v>
      </c>
      <c r="I289" t="s">
        <v>627</v>
      </c>
      <c r="J289">
        <v>268</v>
      </c>
      <c r="K289">
        <v>30</v>
      </c>
      <c r="L289">
        <v>298</v>
      </c>
      <c r="M289">
        <v>10.02</v>
      </c>
      <c r="N289">
        <v>2.5299999999999998</v>
      </c>
      <c r="O289">
        <v>2.17</v>
      </c>
      <c r="Q289" t="s">
        <v>3745</v>
      </c>
      <c r="R289">
        <v>5907698030751</v>
      </c>
      <c r="S289">
        <v>150</v>
      </c>
      <c r="T289" t="s">
        <v>1792</v>
      </c>
      <c r="V289">
        <v>8205598000</v>
      </c>
    </row>
    <row r="290" spans="1:22" x14ac:dyDescent="0.25">
      <c r="A290">
        <v>350605</v>
      </c>
      <c r="B290" t="s">
        <v>302</v>
      </c>
      <c r="C290">
        <v>9</v>
      </c>
      <c r="E290" t="s">
        <v>303</v>
      </c>
      <c r="F290" t="s">
        <v>3110</v>
      </c>
      <c r="G290" t="s">
        <v>1806</v>
      </c>
      <c r="H290" t="s">
        <v>750</v>
      </c>
      <c r="I290" t="s">
        <v>1808</v>
      </c>
      <c r="J290">
        <v>176</v>
      </c>
      <c r="K290">
        <v>0</v>
      </c>
      <c r="L290">
        <v>176</v>
      </c>
      <c r="M290">
        <v>24.46</v>
      </c>
      <c r="N290">
        <v>5.79</v>
      </c>
      <c r="O290">
        <v>5.35</v>
      </c>
      <c r="Q290" t="s">
        <v>3745</v>
      </c>
      <c r="R290">
        <v>5907698029465</v>
      </c>
      <c r="S290">
        <v>100</v>
      </c>
      <c r="T290" t="s">
        <v>407</v>
      </c>
      <c r="V290">
        <v>8205598000</v>
      </c>
    </row>
    <row r="291" spans="1:22" x14ac:dyDescent="0.25">
      <c r="A291">
        <v>350624</v>
      </c>
      <c r="B291" t="s">
        <v>2993</v>
      </c>
      <c r="C291">
        <v>5</v>
      </c>
      <c r="E291" t="s">
        <v>303</v>
      </c>
      <c r="F291" t="s">
        <v>3111</v>
      </c>
      <c r="G291" t="s">
        <v>622</v>
      </c>
      <c r="H291" t="s">
        <v>2563</v>
      </c>
      <c r="I291" t="s">
        <v>1788</v>
      </c>
      <c r="J291">
        <v>0</v>
      </c>
      <c r="K291">
        <v>0</v>
      </c>
      <c r="L291">
        <v>0</v>
      </c>
      <c r="M291">
        <v>93</v>
      </c>
      <c r="N291">
        <v>23.49</v>
      </c>
      <c r="O291">
        <v>20.91</v>
      </c>
      <c r="Q291" t="s">
        <v>3745</v>
      </c>
      <c r="R291">
        <v>5907698028000</v>
      </c>
      <c r="S291">
        <v>30</v>
      </c>
      <c r="T291" t="s">
        <v>616</v>
      </c>
      <c r="V291">
        <v>8205598000</v>
      </c>
    </row>
    <row r="292" spans="1:22" x14ac:dyDescent="0.25">
      <c r="A292">
        <v>350627</v>
      </c>
      <c r="B292" t="s">
        <v>302</v>
      </c>
      <c r="C292">
        <v>1</v>
      </c>
      <c r="E292" t="s">
        <v>303</v>
      </c>
      <c r="F292" t="s">
        <v>3112</v>
      </c>
      <c r="G292" t="s">
        <v>1824</v>
      </c>
      <c r="H292" t="s">
        <v>1656</v>
      </c>
      <c r="I292" t="s">
        <v>1825</v>
      </c>
      <c r="J292">
        <v>23</v>
      </c>
      <c r="K292">
        <v>0</v>
      </c>
      <c r="L292">
        <v>23</v>
      </c>
      <c r="M292">
        <v>330.65</v>
      </c>
      <c r="N292">
        <v>79.81</v>
      </c>
      <c r="O292">
        <v>73.3</v>
      </c>
      <c r="Q292" t="s">
        <v>3745</v>
      </c>
      <c r="R292">
        <v>5907698029472</v>
      </c>
      <c r="S292">
        <v>15</v>
      </c>
      <c r="T292" t="s">
        <v>1802</v>
      </c>
      <c r="V292">
        <v>8205598000</v>
      </c>
    </row>
    <row r="293" spans="1:22" x14ac:dyDescent="0.25">
      <c r="A293">
        <v>350655</v>
      </c>
      <c r="B293" t="s">
        <v>2993</v>
      </c>
      <c r="C293">
        <v>5</v>
      </c>
      <c r="E293" t="s">
        <v>303</v>
      </c>
      <c r="F293" t="s">
        <v>3113</v>
      </c>
      <c r="G293" t="s">
        <v>1800</v>
      </c>
      <c r="H293" t="s">
        <v>1657</v>
      </c>
      <c r="I293" t="s">
        <v>1801</v>
      </c>
      <c r="J293">
        <v>67</v>
      </c>
      <c r="K293">
        <v>0</v>
      </c>
      <c r="L293">
        <v>67</v>
      </c>
      <c r="M293">
        <v>45.12</v>
      </c>
      <c r="N293">
        <v>11.41</v>
      </c>
      <c r="O293">
        <v>9.8000000000000007</v>
      </c>
      <c r="Q293" t="s">
        <v>3745</v>
      </c>
      <c r="R293">
        <v>5907698028833</v>
      </c>
      <c r="S293">
        <v>20</v>
      </c>
      <c r="T293" t="s">
        <v>1802</v>
      </c>
      <c r="V293">
        <v>8205598000</v>
      </c>
    </row>
    <row r="294" spans="1:22" x14ac:dyDescent="0.25">
      <c r="A294">
        <v>350661</v>
      </c>
      <c r="B294" t="s">
        <v>2993</v>
      </c>
      <c r="C294">
        <v>50</v>
      </c>
      <c r="E294" t="s">
        <v>303</v>
      </c>
      <c r="F294" t="s">
        <v>3114</v>
      </c>
      <c r="G294" t="s">
        <v>1803</v>
      </c>
      <c r="H294" t="s">
        <v>1658</v>
      </c>
      <c r="I294" t="s">
        <v>1804</v>
      </c>
      <c r="J294">
        <v>67</v>
      </c>
      <c r="K294">
        <v>0</v>
      </c>
      <c r="L294">
        <v>67</v>
      </c>
      <c r="M294">
        <v>28.9</v>
      </c>
      <c r="N294">
        <v>7.31</v>
      </c>
      <c r="O294">
        <v>6.27</v>
      </c>
      <c r="Q294" t="s">
        <v>3745</v>
      </c>
      <c r="R294">
        <v>5907698028826</v>
      </c>
      <c r="S294">
        <v>20</v>
      </c>
      <c r="T294" t="s">
        <v>1805</v>
      </c>
      <c r="V294">
        <v>8205598000</v>
      </c>
    </row>
    <row r="295" spans="1:22" x14ac:dyDescent="0.25">
      <c r="A295">
        <v>350672</v>
      </c>
      <c r="B295" t="s">
        <v>2993</v>
      </c>
      <c r="C295">
        <v>1</v>
      </c>
      <c r="E295" t="s">
        <v>303</v>
      </c>
      <c r="F295" t="s">
        <v>3115</v>
      </c>
      <c r="G295" t="s">
        <v>1786</v>
      </c>
      <c r="H295" t="s">
        <v>1659</v>
      </c>
      <c r="I295" t="s">
        <v>1787</v>
      </c>
      <c r="J295">
        <v>85</v>
      </c>
      <c r="K295">
        <v>0</v>
      </c>
      <c r="L295">
        <v>85</v>
      </c>
      <c r="M295">
        <v>307.97000000000003</v>
      </c>
      <c r="N295">
        <v>74.34</v>
      </c>
      <c r="O295">
        <v>68.27</v>
      </c>
      <c r="Q295" t="s">
        <v>3745</v>
      </c>
      <c r="R295">
        <v>5907698027942</v>
      </c>
      <c r="S295">
        <v>20</v>
      </c>
      <c r="T295" t="s">
        <v>616</v>
      </c>
      <c r="V295">
        <v>8205598000</v>
      </c>
    </row>
    <row r="296" spans="1:22" x14ac:dyDescent="0.25">
      <c r="A296">
        <v>350766</v>
      </c>
      <c r="B296" t="s">
        <v>2993</v>
      </c>
      <c r="C296">
        <v>100</v>
      </c>
      <c r="E296" t="s">
        <v>303</v>
      </c>
      <c r="F296" t="s">
        <v>3116</v>
      </c>
      <c r="G296" t="s">
        <v>1809</v>
      </c>
      <c r="H296" t="s">
        <v>2564</v>
      </c>
      <c r="I296" t="s">
        <v>1810</v>
      </c>
      <c r="J296">
        <v>200</v>
      </c>
      <c r="K296">
        <v>0</v>
      </c>
      <c r="L296">
        <v>200</v>
      </c>
      <c r="M296">
        <v>10.62</v>
      </c>
      <c r="N296">
        <v>2.68</v>
      </c>
      <c r="O296">
        <v>2.29</v>
      </c>
      <c r="Q296" t="s">
        <v>3745</v>
      </c>
      <c r="R296">
        <v>5907698028796</v>
      </c>
      <c r="S296">
        <v>140</v>
      </c>
      <c r="T296" t="s">
        <v>1792</v>
      </c>
      <c r="V296">
        <v>8205598000</v>
      </c>
    </row>
    <row r="297" spans="1:22" x14ac:dyDescent="0.25">
      <c r="A297">
        <v>350800</v>
      </c>
      <c r="B297" t="s">
        <v>2993</v>
      </c>
      <c r="C297">
        <v>20</v>
      </c>
      <c r="E297" t="s">
        <v>303</v>
      </c>
      <c r="F297" t="s">
        <v>3117</v>
      </c>
      <c r="G297" t="s">
        <v>3118</v>
      </c>
      <c r="H297" t="s">
        <v>2948</v>
      </c>
      <c r="I297" t="s">
        <v>3119</v>
      </c>
      <c r="J297">
        <v>99</v>
      </c>
      <c r="K297">
        <v>0</v>
      </c>
      <c r="L297">
        <v>99</v>
      </c>
      <c r="M297">
        <v>40.5</v>
      </c>
      <c r="N297">
        <v>10.23</v>
      </c>
      <c r="O297">
        <v>8.76</v>
      </c>
      <c r="Q297" t="s">
        <v>3745</v>
      </c>
      <c r="R297">
        <v>5907698030768</v>
      </c>
      <c r="S297">
        <v>50</v>
      </c>
      <c r="T297" t="s">
        <v>1112</v>
      </c>
      <c r="V297">
        <v>8204200000</v>
      </c>
    </row>
    <row r="298" spans="1:22" x14ac:dyDescent="0.25">
      <c r="A298">
        <v>350802</v>
      </c>
      <c r="B298" t="s">
        <v>2993</v>
      </c>
      <c r="C298">
        <v>20</v>
      </c>
      <c r="E298" t="s">
        <v>303</v>
      </c>
      <c r="F298" t="s">
        <v>3120</v>
      </c>
      <c r="G298" t="s">
        <v>3121</v>
      </c>
      <c r="H298" t="s">
        <v>3122</v>
      </c>
      <c r="I298" t="s">
        <v>3123</v>
      </c>
      <c r="J298">
        <v>0</v>
      </c>
      <c r="K298">
        <v>0</v>
      </c>
      <c r="L298">
        <v>0</v>
      </c>
      <c r="M298">
        <v>51.93</v>
      </c>
      <c r="N298">
        <v>13.24</v>
      </c>
      <c r="O298">
        <v>11.73</v>
      </c>
      <c r="Q298" t="s">
        <v>3745</v>
      </c>
      <c r="R298">
        <v>5907698030775</v>
      </c>
      <c r="S298">
        <v>25</v>
      </c>
      <c r="T298" t="s">
        <v>1829</v>
      </c>
    </row>
    <row r="299" spans="1:22" x14ac:dyDescent="0.25">
      <c r="A299">
        <v>350804</v>
      </c>
      <c r="B299" t="s">
        <v>302</v>
      </c>
      <c r="C299">
        <v>10</v>
      </c>
      <c r="E299" t="s">
        <v>303</v>
      </c>
      <c r="F299" t="s">
        <v>3124</v>
      </c>
      <c r="G299" t="s">
        <v>1826</v>
      </c>
      <c r="H299" t="s">
        <v>2565</v>
      </c>
      <c r="I299" t="s">
        <v>1827</v>
      </c>
      <c r="J299">
        <v>30</v>
      </c>
      <c r="K299">
        <v>0</v>
      </c>
      <c r="L299">
        <v>30</v>
      </c>
      <c r="M299">
        <v>63.42</v>
      </c>
      <c r="N299">
        <v>16.03</v>
      </c>
      <c r="O299">
        <v>13.73</v>
      </c>
      <c r="Q299" t="s">
        <v>3745</v>
      </c>
      <c r="R299">
        <v>5907698029786</v>
      </c>
      <c r="S299">
        <v>15</v>
      </c>
      <c r="T299" t="s">
        <v>1828</v>
      </c>
      <c r="V299">
        <v>8205598000</v>
      </c>
    </row>
    <row r="300" spans="1:22" x14ac:dyDescent="0.25">
      <c r="A300">
        <v>350805</v>
      </c>
      <c r="B300" t="s">
        <v>2993</v>
      </c>
      <c r="C300">
        <v>60</v>
      </c>
      <c r="E300" t="s">
        <v>303</v>
      </c>
      <c r="F300" t="s">
        <v>3125</v>
      </c>
      <c r="G300" t="s">
        <v>3126</v>
      </c>
      <c r="H300" t="s">
        <v>2949</v>
      </c>
      <c r="I300" t="s">
        <v>3127</v>
      </c>
      <c r="J300">
        <v>297</v>
      </c>
      <c r="K300">
        <v>0</v>
      </c>
      <c r="L300">
        <v>297</v>
      </c>
      <c r="M300">
        <v>9.11</v>
      </c>
      <c r="N300">
        <v>2.31</v>
      </c>
      <c r="O300">
        <v>1.97</v>
      </c>
      <c r="Q300" t="s">
        <v>3745</v>
      </c>
      <c r="R300">
        <v>5907698030782</v>
      </c>
      <c r="S300">
        <v>150</v>
      </c>
      <c r="T300" t="s">
        <v>1792</v>
      </c>
      <c r="V300">
        <v>8205598000</v>
      </c>
    </row>
    <row r="301" spans="1:22" x14ac:dyDescent="0.25">
      <c r="A301">
        <v>350806</v>
      </c>
      <c r="B301" t="s">
        <v>302</v>
      </c>
      <c r="C301">
        <v>6</v>
      </c>
      <c r="E301" t="s">
        <v>303</v>
      </c>
      <c r="F301" t="s">
        <v>640</v>
      </c>
      <c r="G301" t="s">
        <v>641</v>
      </c>
      <c r="H301" t="s">
        <v>2566</v>
      </c>
      <c r="I301" t="s">
        <v>642</v>
      </c>
      <c r="J301">
        <v>62</v>
      </c>
      <c r="K301">
        <v>0</v>
      </c>
      <c r="L301">
        <v>62</v>
      </c>
      <c r="M301">
        <v>21.75</v>
      </c>
      <c r="N301">
        <v>5.49</v>
      </c>
      <c r="O301">
        <v>4.8600000000000003</v>
      </c>
      <c r="Q301" t="s">
        <v>3745</v>
      </c>
      <c r="R301">
        <v>5907698029793</v>
      </c>
      <c r="S301">
        <v>50</v>
      </c>
      <c r="T301" t="s">
        <v>1829</v>
      </c>
      <c r="V301">
        <v>8205598000</v>
      </c>
    </row>
    <row r="302" spans="1:22" x14ac:dyDescent="0.25">
      <c r="A302">
        <v>350808</v>
      </c>
      <c r="B302" t="s">
        <v>2993</v>
      </c>
      <c r="C302">
        <v>10</v>
      </c>
      <c r="E302" t="s">
        <v>303</v>
      </c>
      <c r="F302" t="s">
        <v>640</v>
      </c>
      <c r="G302" t="s">
        <v>641</v>
      </c>
      <c r="H302" t="s">
        <v>2567</v>
      </c>
      <c r="I302" t="s">
        <v>642</v>
      </c>
      <c r="J302">
        <v>37</v>
      </c>
      <c r="K302">
        <v>0</v>
      </c>
      <c r="L302">
        <v>37</v>
      </c>
      <c r="M302">
        <v>68.22</v>
      </c>
      <c r="N302">
        <v>17.25</v>
      </c>
      <c r="O302">
        <v>14.77</v>
      </c>
      <c r="Q302" t="s">
        <v>3745</v>
      </c>
      <c r="R302">
        <v>5907698027492</v>
      </c>
      <c r="S302">
        <v>20</v>
      </c>
      <c r="T302" t="s">
        <v>643</v>
      </c>
      <c r="V302">
        <v>8205598000</v>
      </c>
    </row>
    <row r="303" spans="1:22" x14ac:dyDescent="0.25">
      <c r="A303">
        <v>350809</v>
      </c>
      <c r="B303" t="s">
        <v>2993</v>
      </c>
      <c r="C303">
        <v>10</v>
      </c>
      <c r="E303" t="s">
        <v>303</v>
      </c>
      <c r="F303" t="s">
        <v>640</v>
      </c>
      <c r="G303" t="s">
        <v>641</v>
      </c>
      <c r="H303" t="s">
        <v>3128</v>
      </c>
      <c r="I303" t="s">
        <v>642</v>
      </c>
      <c r="J303">
        <v>0</v>
      </c>
      <c r="K303">
        <v>0</v>
      </c>
      <c r="L303">
        <v>0</v>
      </c>
      <c r="M303">
        <v>115.16</v>
      </c>
      <c r="N303">
        <v>29.38</v>
      </c>
      <c r="O303">
        <v>26</v>
      </c>
      <c r="Q303" t="s">
        <v>3745</v>
      </c>
      <c r="R303">
        <v>5907698030799</v>
      </c>
      <c r="S303">
        <v>12</v>
      </c>
      <c r="T303" t="s">
        <v>1112</v>
      </c>
    </row>
    <row r="304" spans="1:22" x14ac:dyDescent="0.25">
      <c r="A304">
        <v>350823</v>
      </c>
      <c r="B304" t="s">
        <v>302</v>
      </c>
      <c r="C304">
        <v>60</v>
      </c>
      <c r="E304" t="s">
        <v>303</v>
      </c>
      <c r="F304" t="s">
        <v>3129</v>
      </c>
      <c r="G304" t="s">
        <v>1830</v>
      </c>
      <c r="H304" t="s">
        <v>1660</v>
      </c>
      <c r="I304" t="s">
        <v>1831</v>
      </c>
      <c r="J304">
        <v>0</v>
      </c>
      <c r="K304">
        <v>35</v>
      </c>
      <c r="L304">
        <v>35</v>
      </c>
      <c r="M304">
        <v>29.65</v>
      </c>
      <c r="N304">
        <v>7.48</v>
      </c>
      <c r="O304">
        <v>6.66</v>
      </c>
      <c r="Q304" t="s">
        <v>2548</v>
      </c>
      <c r="R304">
        <v>5907698029489</v>
      </c>
      <c r="S304">
        <v>100</v>
      </c>
      <c r="T304" t="s">
        <v>3130</v>
      </c>
      <c r="U304" t="s">
        <v>3131</v>
      </c>
      <c r="V304">
        <v>8207506000</v>
      </c>
    </row>
    <row r="305" spans="1:22" x14ac:dyDescent="0.25">
      <c r="A305">
        <v>350830</v>
      </c>
      <c r="B305" t="s">
        <v>302</v>
      </c>
      <c r="C305">
        <v>10</v>
      </c>
      <c r="E305" t="s">
        <v>303</v>
      </c>
      <c r="F305" t="s">
        <v>1832</v>
      </c>
      <c r="G305" t="s">
        <v>1833</v>
      </c>
      <c r="H305" t="s">
        <v>614</v>
      </c>
      <c r="I305" t="s">
        <v>1834</v>
      </c>
      <c r="J305">
        <v>14</v>
      </c>
      <c r="K305">
        <v>0</v>
      </c>
      <c r="L305">
        <v>14</v>
      </c>
      <c r="M305">
        <v>44.28</v>
      </c>
      <c r="N305">
        <v>11.21</v>
      </c>
      <c r="O305">
        <v>9.56</v>
      </c>
      <c r="Q305" t="s">
        <v>3745</v>
      </c>
      <c r="R305">
        <v>5907698029496</v>
      </c>
      <c r="S305">
        <v>15</v>
      </c>
      <c r="T305" t="s">
        <v>1779</v>
      </c>
      <c r="V305">
        <v>8204200000</v>
      </c>
    </row>
    <row r="306" spans="1:22" x14ac:dyDescent="0.25">
      <c r="A306">
        <v>350840</v>
      </c>
      <c r="B306" t="s">
        <v>302</v>
      </c>
      <c r="C306">
        <v>5</v>
      </c>
      <c r="E306" t="s">
        <v>303</v>
      </c>
      <c r="F306" t="s">
        <v>1835</v>
      </c>
      <c r="G306" t="s">
        <v>1836</v>
      </c>
      <c r="H306" t="s">
        <v>1661</v>
      </c>
      <c r="I306" t="s">
        <v>1837</v>
      </c>
      <c r="J306">
        <v>48</v>
      </c>
      <c r="K306">
        <v>10</v>
      </c>
      <c r="L306">
        <v>58</v>
      </c>
      <c r="M306">
        <v>75.13</v>
      </c>
      <c r="N306">
        <v>18.989999999999998</v>
      </c>
      <c r="O306">
        <v>16.27</v>
      </c>
      <c r="Q306" t="s">
        <v>3745</v>
      </c>
      <c r="R306">
        <v>5907698029502</v>
      </c>
      <c r="S306">
        <v>15</v>
      </c>
      <c r="T306" t="s">
        <v>1779</v>
      </c>
      <c r="V306">
        <v>9026204000</v>
      </c>
    </row>
    <row r="307" spans="1:22" x14ac:dyDescent="0.25">
      <c r="A307">
        <v>350841</v>
      </c>
      <c r="B307" t="s">
        <v>2993</v>
      </c>
      <c r="C307">
        <v>10</v>
      </c>
      <c r="E307" t="s">
        <v>303</v>
      </c>
      <c r="F307" t="s">
        <v>3132</v>
      </c>
      <c r="G307" t="s">
        <v>3133</v>
      </c>
      <c r="H307" t="s">
        <v>2950</v>
      </c>
      <c r="I307" t="s">
        <v>3134</v>
      </c>
      <c r="J307">
        <v>34</v>
      </c>
      <c r="K307">
        <v>5</v>
      </c>
      <c r="L307">
        <v>39</v>
      </c>
      <c r="M307">
        <v>79.52</v>
      </c>
      <c r="N307">
        <v>20.100000000000001</v>
      </c>
      <c r="O307">
        <v>17.21</v>
      </c>
      <c r="Q307" t="s">
        <v>3745</v>
      </c>
      <c r="R307">
        <v>5907698030812</v>
      </c>
      <c r="S307">
        <v>20</v>
      </c>
      <c r="T307" t="s">
        <v>1112</v>
      </c>
      <c r="U307" t="s">
        <v>3746</v>
      </c>
      <c r="V307">
        <v>9017809000</v>
      </c>
    </row>
    <row r="308" spans="1:22" x14ac:dyDescent="0.25">
      <c r="A308">
        <v>350842</v>
      </c>
      <c r="B308" t="s">
        <v>2993</v>
      </c>
      <c r="C308">
        <v>5</v>
      </c>
      <c r="E308" t="s">
        <v>303</v>
      </c>
      <c r="F308" t="s">
        <v>3135</v>
      </c>
      <c r="G308" t="s">
        <v>3136</v>
      </c>
      <c r="H308" t="s">
        <v>3756</v>
      </c>
      <c r="I308" t="s">
        <v>3137</v>
      </c>
      <c r="J308">
        <v>39</v>
      </c>
      <c r="K308">
        <v>0</v>
      </c>
      <c r="L308">
        <v>39</v>
      </c>
      <c r="M308">
        <v>87.25</v>
      </c>
      <c r="N308">
        <v>22.09</v>
      </c>
      <c r="O308">
        <v>18.829999999999998</v>
      </c>
      <c r="Q308" t="s">
        <v>3745</v>
      </c>
      <c r="R308">
        <v>5907698030829</v>
      </c>
      <c r="S308">
        <v>20</v>
      </c>
      <c r="T308" t="s">
        <v>1112</v>
      </c>
      <c r="U308" t="s">
        <v>3746</v>
      </c>
      <c r="V308">
        <v>8205598000</v>
      </c>
    </row>
    <row r="309" spans="1:22" x14ac:dyDescent="0.25">
      <c r="A309">
        <v>350846</v>
      </c>
      <c r="B309" t="s">
        <v>302</v>
      </c>
      <c r="C309">
        <v>10</v>
      </c>
      <c r="E309" t="s">
        <v>303</v>
      </c>
      <c r="F309" t="s">
        <v>2568</v>
      </c>
      <c r="G309" t="s">
        <v>1838</v>
      </c>
      <c r="H309" t="s">
        <v>1662</v>
      </c>
      <c r="I309" t="s">
        <v>2569</v>
      </c>
      <c r="J309">
        <v>59</v>
      </c>
      <c r="K309">
        <v>0</v>
      </c>
      <c r="L309">
        <v>59</v>
      </c>
      <c r="M309">
        <v>47.86</v>
      </c>
      <c r="N309">
        <v>12.1</v>
      </c>
      <c r="O309">
        <v>10.37</v>
      </c>
      <c r="Q309" t="s">
        <v>3745</v>
      </c>
      <c r="R309">
        <v>5907698029519</v>
      </c>
      <c r="S309">
        <v>15</v>
      </c>
      <c r="T309" t="s">
        <v>1779</v>
      </c>
      <c r="V309">
        <v>9026204000</v>
      </c>
    </row>
    <row r="310" spans="1:22" x14ac:dyDescent="0.25">
      <c r="A310">
        <v>350850</v>
      </c>
      <c r="B310" t="s">
        <v>2993</v>
      </c>
      <c r="C310">
        <v>50</v>
      </c>
      <c r="E310" t="s">
        <v>303</v>
      </c>
      <c r="F310" t="s">
        <v>3138</v>
      </c>
      <c r="G310" t="s">
        <v>3139</v>
      </c>
      <c r="H310" t="s">
        <v>2951</v>
      </c>
      <c r="I310" t="s">
        <v>3140</v>
      </c>
      <c r="J310">
        <v>297</v>
      </c>
      <c r="K310">
        <v>0</v>
      </c>
      <c r="L310">
        <v>297</v>
      </c>
      <c r="M310">
        <v>7.35</v>
      </c>
      <c r="N310">
        <v>1.86</v>
      </c>
      <c r="O310">
        <v>1.6</v>
      </c>
      <c r="Q310" t="s">
        <v>3745</v>
      </c>
      <c r="R310">
        <v>5907698030874</v>
      </c>
      <c r="S310">
        <v>150</v>
      </c>
      <c r="T310" t="s">
        <v>3141</v>
      </c>
      <c r="U310" t="s">
        <v>3746</v>
      </c>
      <c r="V310">
        <v>7326909890</v>
      </c>
    </row>
    <row r="311" spans="1:22" x14ac:dyDescent="0.25">
      <c r="A311">
        <v>350855</v>
      </c>
      <c r="B311" t="s">
        <v>2993</v>
      </c>
      <c r="C311">
        <v>20</v>
      </c>
      <c r="E311" t="s">
        <v>303</v>
      </c>
      <c r="F311" t="s">
        <v>3142</v>
      </c>
      <c r="G311" t="s">
        <v>3143</v>
      </c>
      <c r="H311" t="s">
        <v>2952</v>
      </c>
      <c r="I311" t="s">
        <v>3144</v>
      </c>
      <c r="J311">
        <v>88</v>
      </c>
      <c r="K311">
        <v>10</v>
      </c>
      <c r="L311">
        <v>98</v>
      </c>
      <c r="M311">
        <v>34.26</v>
      </c>
      <c r="N311">
        <v>8.67</v>
      </c>
      <c r="O311">
        <v>7.42</v>
      </c>
      <c r="Q311" t="s">
        <v>3745</v>
      </c>
      <c r="R311">
        <v>5907698030836</v>
      </c>
      <c r="S311">
        <v>50</v>
      </c>
      <c r="T311" t="s">
        <v>3145</v>
      </c>
      <c r="U311" t="s">
        <v>3746</v>
      </c>
      <c r="V311">
        <v>6804223000</v>
      </c>
    </row>
    <row r="312" spans="1:22" x14ac:dyDescent="0.25">
      <c r="A312">
        <v>350860</v>
      </c>
      <c r="B312" t="s">
        <v>2993</v>
      </c>
      <c r="C312">
        <v>10</v>
      </c>
      <c r="E312" t="s">
        <v>303</v>
      </c>
      <c r="F312" t="s">
        <v>3146</v>
      </c>
      <c r="G312" t="s">
        <v>3147</v>
      </c>
      <c r="H312" t="s">
        <v>2953</v>
      </c>
      <c r="I312" t="s">
        <v>3148</v>
      </c>
      <c r="J312">
        <v>78</v>
      </c>
      <c r="K312">
        <v>20</v>
      </c>
      <c r="L312">
        <v>98</v>
      </c>
      <c r="M312">
        <v>29.4</v>
      </c>
      <c r="N312">
        <v>7.44</v>
      </c>
      <c r="O312">
        <v>6.37</v>
      </c>
      <c r="Q312" t="s">
        <v>3745</v>
      </c>
      <c r="R312">
        <v>5907698030843</v>
      </c>
      <c r="S312">
        <v>50</v>
      </c>
      <c r="T312" t="s">
        <v>1112</v>
      </c>
      <c r="U312" t="s">
        <v>3746</v>
      </c>
      <c r="V312">
        <v>8205598000</v>
      </c>
    </row>
    <row r="313" spans="1:22" x14ac:dyDescent="0.25">
      <c r="A313">
        <v>350861</v>
      </c>
      <c r="B313" t="s">
        <v>2993</v>
      </c>
      <c r="C313">
        <v>5</v>
      </c>
      <c r="E313" t="s">
        <v>303</v>
      </c>
      <c r="F313" t="s">
        <v>3146</v>
      </c>
      <c r="G313" t="s">
        <v>3147</v>
      </c>
      <c r="H313" t="s">
        <v>2954</v>
      </c>
      <c r="I313" t="s">
        <v>3148</v>
      </c>
      <c r="J313">
        <v>29</v>
      </c>
      <c r="K313">
        <v>0</v>
      </c>
      <c r="L313">
        <v>29</v>
      </c>
      <c r="M313">
        <v>90.02</v>
      </c>
      <c r="N313">
        <v>22.75</v>
      </c>
      <c r="O313">
        <v>19.489999999999998</v>
      </c>
      <c r="Q313" t="s">
        <v>3745</v>
      </c>
      <c r="R313">
        <v>5907698030850</v>
      </c>
      <c r="S313">
        <v>15</v>
      </c>
      <c r="T313" t="s">
        <v>1112</v>
      </c>
      <c r="U313" t="s">
        <v>3746</v>
      </c>
      <c r="V313">
        <v>8205598000</v>
      </c>
    </row>
    <row r="314" spans="1:22" x14ac:dyDescent="0.25">
      <c r="A314">
        <v>350900</v>
      </c>
      <c r="B314" t="s">
        <v>302</v>
      </c>
      <c r="C314">
        <v>50</v>
      </c>
      <c r="E314" t="s">
        <v>303</v>
      </c>
      <c r="F314" t="s">
        <v>1839</v>
      </c>
      <c r="G314" t="s">
        <v>1638</v>
      </c>
      <c r="H314" t="s">
        <v>2570</v>
      </c>
      <c r="I314" t="s">
        <v>2434</v>
      </c>
      <c r="J314">
        <v>148</v>
      </c>
      <c r="K314">
        <v>0</v>
      </c>
      <c r="L314">
        <v>148</v>
      </c>
      <c r="M314">
        <v>9.5399999999999991</v>
      </c>
      <c r="N314">
        <v>2.41</v>
      </c>
      <c r="O314">
        <v>2.06</v>
      </c>
      <c r="Q314" t="s">
        <v>3745</v>
      </c>
      <c r="R314">
        <v>5907698029526</v>
      </c>
      <c r="S314">
        <v>75</v>
      </c>
      <c r="T314" t="s">
        <v>1792</v>
      </c>
      <c r="V314">
        <v>8205598000</v>
      </c>
    </row>
    <row r="315" spans="1:22" x14ac:dyDescent="0.25">
      <c r="A315">
        <v>350910</v>
      </c>
      <c r="B315" t="s">
        <v>302</v>
      </c>
      <c r="C315">
        <v>48</v>
      </c>
      <c r="E315" t="s">
        <v>303</v>
      </c>
      <c r="F315" t="s">
        <v>3149</v>
      </c>
      <c r="G315" t="s">
        <v>1840</v>
      </c>
      <c r="H315" t="s">
        <v>1663</v>
      </c>
      <c r="I315" t="s">
        <v>1841</v>
      </c>
      <c r="J315">
        <v>0</v>
      </c>
      <c r="K315">
        <v>14</v>
      </c>
      <c r="L315">
        <v>14</v>
      </c>
      <c r="M315">
        <v>9.86</v>
      </c>
      <c r="N315">
        <v>2.5</v>
      </c>
      <c r="O315">
        <v>2.2000000000000002</v>
      </c>
      <c r="Q315" t="s">
        <v>3745</v>
      </c>
      <c r="R315">
        <v>5907698029809</v>
      </c>
      <c r="S315">
        <v>72</v>
      </c>
      <c r="T315" t="s">
        <v>1792</v>
      </c>
      <c r="V315">
        <v>9031802000</v>
      </c>
    </row>
    <row r="316" spans="1:22" x14ac:dyDescent="0.25">
      <c r="A316">
        <v>350911</v>
      </c>
      <c r="B316" t="s">
        <v>2993</v>
      </c>
      <c r="C316">
        <v>4</v>
      </c>
      <c r="E316" t="s">
        <v>303</v>
      </c>
      <c r="F316" t="s">
        <v>3150</v>
      </c>
      <c r="G316" t="s">
        <v>3151</v>
      </c>
      <c r="H316" t="s">
        <v>2955</v>
      </c>
      <c r="I316" t="s">
        <v>3152</v>
      </c>
      <c r="J316">
        <v>39</v>
      </c>
      <c r="K316">
        <v>0</v>
      </c>
      <c r="L316">
        <v>39</v>
      </c>
      <c r="M316">
        <v>104.75</v>
      </c>
      <c r="N316">
        <v>26.47</v>
      </c>
      <c r="O316">
        <v>22.68</v>
      </c>
      <c r="Q316" t="s">
        <v>3745</v>
      </c>
      <c r="R316">
        <v>5907698030867</v>
      </c>
      <c r="S316">
        <v>20</v>
      </c>
      <c r="T316" t="s">
        <v>1112</v>
      </c>
      <c r="U316" t="s">
        <v>3746</v>
      </c>
      <c r="V316">
        <v>8204200000</v>
      </c>
    </row>
    <row r="317" spans="1:22" x14ac:dyDescent="0.25">
      <c r="A317">
        <v>350959</v>
      </c>
      <c r="B317" t="s">
        <v>302</v>
      </c>
      <c r="C317">
        <v>50</v>
      </c>
      <c r="E317" t="s">
        <v>303</v>
      </c>
      <c r="F317" t="s">
        <v>3153</v>
      </c>
      <c r="G317" t="s">
        <v>1842</v>
      </c>
      <c r="H317" t="s">
        <v>1664</v>
      </c>
      <c r="I317" t="s">
        <v>1843</v>
      </c>
      <c r="J317">
        <v>100</v>
      </c>
      <c r="K317">
        <v>0</v>
      </c>
      <c r="L317">
        <v>100</v>
      </c>
      <c r="M317">
        <v>15.86</v>
      </c>
      <c r="N317">
        <v>4</v>
      </c>
      <c r="O317">
        <v>3.44</v>
      </c>
      <c r="Q317" t="s">
        <v>3745</v>
      </c>
      <c r="R317">
        <v>5907698029816</v>
      </c>
      <c r="S317">
        <v>50</v>
      </c>
      <c r="T317" t="s">
        <v>906</v>
      </c>
      <c r="V317">
        <v>8505199089</v>
      </c>
    </row>
    <row r="318" spans="1:22" x14ac:dyDescent="0.25">
      <c r="A318">
        <v>400111</v>
      </c>
      <c r="B318" t="s">
        <v>2993</v>
      </c>
      <c r="C318">
        <v>20</v>
      </c>
      <c r="D318">
        <v>0</v>
      </c>
      <c r="E318" t="s">
        <v>303</v>
      </c>
      <c r="F318" t="s">
        <v>3154</v>
      </c>
      <c r="G318" t="s">
        <v>651</v>
      </c>
      <c r="H318" t="s">
        <v>2956</v>
      </c>
      <c r="I318" t="s">
        <v>652</v>
      </c>
      <c r="J318">
        <v>399</v>
      </c>
      <c r="K318">
        <v>0</v>
      </c>
      <c r="L318">
        <v>399</v>
      </c>
      <c r="M318">
        <v>9</v>
      </c>
      <c r="N318">
        <v>2.2799999999999998</v>
      </c>
      <c r="O318">
        <v>1.95</v>
      </c>
      <c r="Q318" t="s">
        <v>3745</v>
      </c>
      <c r="R318">
        <v>5907698030881</v>
      </c>
      <c r="S318">
        <v>200</v>
      </c>
      <c r="T318" t="s">
        <v>3155</v>
      </c>
      <c r="U318" t="s">
        <v>3746</v>
      </c>
      <c r="V318">
        <v>8207507000</v>
      </c>
    </row>
    <row r="319" spans="1:22" x14ac:dyDescent="0.25">
      <c r="A319">
        <v>400120</v>
      </c>
      <c r="B319" t="s">
        <v>302</v>
      </c>
      <c r="C319">
        <v>100</v>
      </c>
      <c r="D319">
        <v>50</v>
      </c>
      <c r="E319" t="s">
        <v>303</v>
      </c>
      <c r="F319" t="s">
        <v>3154</v>
      </c>
      <c r="G319" t="s">
        <v>651</v>
      </c>
      <c r="H319" t="s">
        <v>1844</v>
      </c>
      <c r="I319" t="s">
        <v>652</v>
      </c>
      <c r="J319">
        <v>719</v>
      </c>
      <c r="K319">
        <v>11</v>
      </c>
      <c r="L319">
        <v>730</v>
      </c>
      <c r="M319">
        <v>2.84</v>
      </c>
      <c r="N319">
        <v>0.72</v>
      </c>
      <c r="O319">
        <v>0.63</v>
      </c>
      <c r="Q319" t="s">
        <v>2</v>
      </c>
      <c r="R319">
        <v>5907698012245</v>
      </c>
      <c r="S319">
        <v>400</v>
      </c>
      <c r="T319" t="s">
        <v>653</v>
      </c>
      <c r="V319">
        <v>8207507000</v>
      </c>
    </row>
    <row r="320" spans="1:22" x14ac:dyDescent="0.25">
      <c r="A320">
        <v>400130</v>
      </c>
      <c r="B320" t="s">
        <v>302</v>
      </c>
      <c r="C320">
        <v>100</v>
      </c>
      <c r="D320">
        <v>10</v>
      </c>
      <c r="E320" t="s">
        <v>303</v>
      </c>
      <c r="F320" t="s">
        <v>3154</v>
      </c>
      <c r="G320" t="s">
        <v>654</v>
      </c>
      <c r="H320" t="s">
        <v>655</v>
      </c>
      <c r="I320" t="s">
        <v>656</v>
      </c>
      <c r="J320">
        <v>522</v>
      </c>
      <c r="K320">
        <v>11</v>
      </c>
      <c r="L320">
        <v>533</v>
      </c>
      <c r="M320">
        <v>4.88</v>
      </c>
      <c r="N320">
        <v>1.25</v>
      </c>
      <c r="O320">
        <v>1.07</v>
      </c>
      <c r="Q320" t="s">
        <v>2</v>
      </c>
      <c r="R320">
        <v>5907698012252</v>
      </c>
      <c r="S320">
        <v>300</v>
      </c>
      <c r="T320" t="s">
        <v>653</v>
      </c>
      <c r="V320">
        <v>8207507000</v>
      </c>
    </row>
    <row r="321" spans="1:22" x14ac:dyDescent="0.25">
      <c r="A321">
        <v>401140</v>
      </c>
      <c r="B321" t="s">
        <v>302</v>
      </c>
      <c r="C321">
        <v>100</v>
      </c>
      <c r="E321" t="s">
        <v>303</v>
      </c>
      <c r="F321" t="s">
        <v>3154</v>
      </c>
      <c r="G321" t="s">
        <v>654</v>
      </c>
      <c r="H321" t="s">
        <v>657</v>
      </c>
      <c r="I321" t="s">
        <v>652</v>
      </c>
      <c r="J321">
        <v>307</v>
      </c>
      <c r="K321">
        <v>11</v>
      </c>
      <c r="L321">
        <v>318</v>
      </c>
      <c r="M321">
        <v>8.2200000000000006</v>
      </c>
      <c r="N321">
        <v>2.11</v>
      </c>
      <c r="O321">
        <v>1.81</v>
      </c>
      <c r="Q321" t="s">
        <v>2</v>
      </c>
      <c r="R321">
        <v>5907698012276</v>
      </c>
      <c r="S321">
        <v>270</v>
      </c>
      <c r="T321" t="s">
        <v>653</v>
      </c>
      <c r="V321">
        <v>8207507000</v>
      </c>
    </row>
    <row r="322" spans="1:22" x14ac:dyDescent="0.25">
      <c r="A322">
        <v>401145</v>
      </c>
      <c r="B322" t="s">
        <v>302</v>
      </c>
      <c r="C322">
        <v>80</v>
      </c>
      <c r="E322" t="s">
        <v>303</v>
      </c>
      <c r="F322" t="s">
        <v>3154</v>
      </c>
      <c r="G322" t="s">
        <v>651</v>
      </c>
      <c r="H322" t="s">
        <v>658</v>
      </c>
      <c r="I322" t="s">
        <v>656</v>
      </c>
      <c r="J322">
        <v>36</v>
      </c>
      <c r="K322">
        <v>1</v>
      </c>
      <c r="L322">
        <v>37</v>
      </c>
      <c r="M322">
        <v>5.76</v>
      </c>
      <c r="N322">
        <v>1.36</v>
      </c>
      <c r="O322">
        <v>1.26</v>
      </c>
      <c r="Q322" t="s">
        <v>2548</v>
      </c>
      <c r="R322">
        <v>5907698025481</v>
      </c>
      <c r="S322">
        <v>480</v>
      </c>
      <c r="T322" t="s">
        <v>659</v>
      </c>
      <c r="V322">
        <v>8207507000</v>
      </c>
    </row>
    <row r="323" spans="1:22" x14ac:dyDescent="0.25">
      <c r="A323">
        <v>401190</v>
      </c>
      <c r="B323" t="s">
        <v>302</v>
      </c>
      <c r="C323">
        <v>40</v>
      </c>
      <c r="D323">
        <v>20</v>
      </c>
      <c r="E323" t="s">
        <v>303</v>
      </c>
      <c r="F323" t="s">
        <v>3156</v>
      </c>
      <c r="G323" t="s">
        <v>654</v>
      </c>
      <c r="H323" t="s">
        <v>1845</v>
      </c>
      <c r="I323" t="s">
        <v>652</v>
      </c>
      <c r="J323">
        <v>564</v>
      </c>
      <c r="K323">
        <v>1</v>
      </c>
      <c r="L323">
        <v>565</v>
      </c>
      <c r="M323">
        <v>7.8</v>
      </c>
      <c r="N323">
        <v>1.88</v>
      </c>
      <c r="O323">
        <v>1.71</v>
      </c>
      <c r="Q323" t="s">
        <v>2</v>
      </c>
      <c r="R323">
        <v>5907698012283</v>
      </c>
      <c r="S323">
        <v>180</v>
      </c>
      <c r="T323" t="s">
        <v>1846</v>
      </c>
      <c r="V323">
        <v>8207507000</v>
      </c>
    </row>
    <row r="324" spans="1:22" x14ac:dyDescent="0.25">
      <c r="A324">
        <v>401200</v>
      </c>
      <c r="B324" t="s">
        <v>302</v>
      </c>
      <c r="C324">
        <v>40</v>
      </c>
      <c r="E324" t="s">
        <v>303</v>
      </c>
      <c r="F324" t="s">
        <v>3154</v>
      </c>
      <c r="G324" t="s">
        <v>651</v>
      </c>
      <c r="H324" t="s">
        <v>1847</v>
      </c>
      <c r="I324" t="s">
        <v>656</v>
      </c>
      <c r="J324">
        <v>81</v>
      </c>
      <c r="K324">
        <v>1</v>
      </c>
      <c r="L324">
        <v>82</v>
      </c>
      <c r="M324">
        <v>11.82</v>
      </c>
      <c r="N324">
        <v>2.86</v>
      </c>
      <c r="O324">
        <v>2.62</v>
      </c>
      <c r="Q324" t="s">
        <v>3744</v>
      </c>
      <c r="R324">
        <v>5907698012290</v>
      </c>
      <c r="S324">
        <v>80</v>
      </c>
      <c r="T324" t="s">
        <v>653</v>
      </c>
      <c r="V324">
        <v>8207507000</v>
      </c>
    </row>
    <row r="325" spans="1:22" x14ac:dyDescent="0.25">
      <c r="A325">
        <v>402190</v>
      </c>
      <c r="B325" t="s">
        <v>302</v>
      </c>
      <c r="C325">
        <v>40</v>
      </c>
      <c r="D325">
        <v>10</v>
      </c>
      <c r="E325" t="s">
        <v>303</v>
      </c>
      <c r="F325" t="s">
        <v>3154</v>
      </c>
      <c r="G325" t="s">
        <v>651</v>
      </c>
      <c r="H325" t="s">
        <v>660</v>
      </c>
      <c r="I325" t="s">
        <v>656</v>
      </c>
      <c r="J325">
        <v>358</v>
      </c>
      <c r="K325">
        <v>1</v>
      </c>
      <c r="L325">
        <v>359</v>
      </c>
      <c r="M325">
        <v>18.16</v>
      </c>
      <c r="N325">
        <v>4.84</v>
      </c>
      <c r="O325">
        <v>4.08</v>
      </c>
      <c r="Q325" t="s">
        <v>3744</v>
      </c>
      <c r="R325">
        <v>5907698012306</v>
      </c>
      <c r="S325">
        <v>300</v>
      </c>
      <c r="T325" t="s">
        <v>661</v>
      </c>
      <c r="V325">
        <v>8207507000</v>
      </c>
    </row>
    <row r="326" spans="1:22" x14ac:dyDescent="0.25">
      <c r="A326">
        <v>402270</v>
      </c>
      <c r="B326" t="s">
        <v>302</v>
      </c>
      <c r="C326">
        <v>5</v>
      </c>
      <c r="D326">
        <v>1</v>
      </c>
      <c r="E326" t="s">
        <v>303</v>
      </c>
      <c r="F326" t="s">
        <v>3154</v>
      </c>
      <c r="G326" t="s">
        <v>651</v>
      </c>
      <c r="H326" t="s">
        <v>662</v>
      </c>
      <c r="I326" t="s">
        <v>656</v>
      </c>
      <c r="J326">
        <v>0</v>
      </c>
      <c r="K326">
        <v>0</v>
      </c>
      <c r="L326">
        <v>0</v>
      </c>
      <c r="M326">
        <v>101.78</v>
      </c>
      <c r="N326">
        <v>27.12</v>
      </c>
      <c r="O326">
        <v>22.87</v>
      </c>
      <c r="Q326" t="s">
        <v>3744</v>
      </c>
      <c r="R326">
        <v>5907698025719</v>
      </c>
      <c r="S326">
        <v>45</v>
      </c>
      <c r="T326" t="s">
        <v>663</v>
      </c>
      <c r="U326" t="s">
        <v>3064</v>
      </c>
      <c r="V326">
        <v>8207507000</v>
      </c>
    </row>
    <row r="327" spans="1:22" x14ac:dyDescent="0.25">
      <c r="A327">
        <v>403005</v>
      </c>
      <c r="B327" t="s">
        <v>302</v>
      </c>
      <c r="C327">
        <v>100</v>
      </c>
      <c r="D327">
        <v>0</v>
      </c>
      <c r="E327" t="s">
        <v>303</v>
      </c>
      <c r="F327" t="s">
        <v>3154</v>
      </c>
      <c r="G327" t="s">
        <v>654</v>
      </c>
      <c r="H327" t="s">
        <v>1848</v>
      </c>
      <c r="I327" t="s">
        <v>656</v>
      </c>
      <c r="J327">
        <v>0</v>
      </c>
      <c r="K327">
        <v>0</v>
      </c>
      <c r="L327">
        <v>0</v>
      </c>
      <c r="M327">
        <v>5.89</v>
      </c>
      <c r="N327">
        <v>1.39</v>
      </c>
      <c r="O327">
        <v>1.3</v>
      </c>
      <c r="Q327" t="s">
        <v>2548</v>
      </c>
      <c r="R327">
        <v>5907698028994</v>
      </c>
      <c r="S327">
        <v>100</v>
      </c>
      <c r="T327" t="s">
        <v>646</v>
      </c>
      <c r="V327">
        <v>8207507000</v>
      </c>
    </row>
    <row r="328" spans="1:22" x14ac:dyDescent="0.25">
      <c r="A328">
        <v>403013</v>
      </c>
      <c r="B328" t="s">
        <v>302</v>
      </c>
      <c r="C328">
        <v>50</v>
      </c>
      <c r="D328">
        <v>0</v>
      </c>
      <c r="E328" t="s">
        <v>303</v>
      </c>
      <c r="F328" t="s">
        <v>3154</v>
      </c>
      <c r="G328" t="s">
        <v>654</v>
      </c>
      <c r="H328" t="s">
        <v>664</v>
      </c>
      <c r="I328" t="s">
        <v>656</v>
      </c>
      <c r="J328">
        <v>260</v>
      </c>
      <c r="K328">
        <v>1</v>
      </c>
      <c r="L328">
        <v>261</v>
      </c>
      <c r="M328">
        <v>11.58</v>
      </c>
      <c r="N328">
        <v>3.08</v>
      </c>
      <c r="O328">
        <v>2.6</v>
      </c>
      <c r="Q328" t="s">
        <v>3744</v>
      </c>
      <c r="R328">
        <v>5907698028987</v>
      </c>
      <c r="S328">
        <v>140</v>
      </c>
      <c r="T328" t="s">
        <v>646</v>
      </c>
      <c r="U328" t="s">
        <v>3157</v>
      </c>
      <c r="V328">
        <v>8207507000</v>
      </c>
    </row>
    <row r="329" spans="1:22" x14ac:dyDescent="0.25">
      <c r="A329">
        <v>410090</v>
      </c>
      <c r="B329" t="s">
        <v>302</v>
      </c>
      <c r="C329">
        <v>100</v>
      </c>
      <c r="D329">
        <v>50</v>
      </c>
      <c r="E329" t="s">
        <v>303</v>
      </c>
      <c r="F329" t="s">
        <v>3158</v>
      </c>
      <c r="G329" t="s">
        <v>1849</v>
      </c>
      <c r="H329" t="s">
        <v>1850</v>
      </c>
      <c r="I329" t="s">
        <v>1851</v>
      </c>
      <c r="J329">
        <v>716</v>
      </c>
      <c r="K329">
        <v>10</v>
      </c>
      <c r="L329">
        <v>726</v>
      </c>
      <c r="M329">
        <v>4.1500000000000004</v>
      </c>
      <c r="N329">
        <v>1.04</v>
      </c>
      <c r="O329">
        <v>0.9</v>
      </c>
      <c r="Q329" t="s">
        <v>2</v>
      </c>
      <c r="R329">
        <v>5907698012344</v>
      </c>
      <c r="S329">
        <v>600</v>
      </c>
      <c r="T329" t="s">
        <v>653</v>
      </c>
      <c r="V329">
        <v>8207503000</v>
      </c>
    </row>
    <row r="330" spans="1:22" x14ac:dyDescent="0.25">
      <c r="A330">
        <v>410091</v>
      </c>
      <c r="B330" t="s">
        <v>2993</v>
      </c>
      <c r="C330">
        <v>100</v>
      </c>
      <c r="D330">
        <v>50</v>
      </c>
      <c r="E330" t="s">
        <v>303</v>
      </c>
      <c r="F330" t="s">
        <v>3158</v>
      </c>
      <c r="G330" t="s">
        <v>1849</v>
      </c>
      <c r="H330" t="s">
        <v>2957</v>
      </c>
      <c r="I330" t="s">
        <v>1851</v>
      </c>
      <c r="J330">
        <v>0</v>
      </c>
      <c r="K330">
        <v>0</v>
      </c>
      <c r="L330">
        <v>0</v>
      </c>
      <c r="M330">
        <v>7.56</v>
      </c>
      <c r="N330">
        <v>2.04</v>
      </c>
      <c r="O330">
        <v>1.72</v>
      </c>
      <c r="Q330" t="s">
        <v>3744</v>
      </c>
      <c r="R330">
        <v>5907698030898</v>
      </c>
      <c r="S330">
        <v>24</v>
      </c>
      <c r="T330" t="s">
        <v>653</v>
      </c>
      <c r="V330">
        <v>8207503000</v>
      </c>
    </row>
    <row r="331" spans="1:22" x14ac:dyDescent="0.25">
      <c r="A331">
        <v>410320</v>
      </c>
      <c r="B331" t="s">
        <v>302</v>
      </c>
      <c r="C331">
        <v>8</v>
      </c>
      <c r="E331" t="s">
        <v>303</v>
      </c>
      <c r="F331" t="s">
        <v>3159</v>
      </c>
      <c r="G331" t="s">
        <v>665</v>
      </c>
      <c r="H331" t="s">
        <v>666</v>
      </c>
      <c r="I331" t="s">
        <v>667</v>
      </c>
      <c r="J331">
        <v>43</v>
      </c>
      <c r="K331">
        <v>1</v>
      </c>
      <c r="L331">
        <v>44</v>
      </c>
      <c r="M331">
        <v>45.76</v>
      </c>
      <c r="N331">
        <v>12.32</v>
      </c>
      <c r="O331">
        <v>10.42</v>
      </c>
      <c r="Q331" t="s">
        <v>3744</v>
      </c>
      <c r="R331">
        <v>5907698012375</v>
      </c>
      <c r="S331">
        <v>60</v>
      </c>
      <c r="T331" t="s">
        <v>423</v>
      </c>
      <c r="V331">
        <v>8207503000</v>
      </c>
    </row>
    <row r="332" spans="1:22" x14ac:dyDescent="0.25">
      <c r="A332">
        <v>410340</v>
      </c>
      <c r="B332" t="s">
        <v>302</v>
      </c>
      <c r="C332">
        <v>40</v>
      </c>
      <c r="E332" t="s">
        <v>303</v>
      </c>
      <c r="F332" t="s">
        <v>3160</v>
      </c>
      <c r="G332" t="s">
        <v>668</v>
      </c>
      <c r="H332" t="s">
        <v>669</v>
      </c>
      <c r="I332" t="s">
        <v>670</v>
      </c>
      <c r="J332">
        <v>5</v>
      </c>
      <c r="K332">
        <v>1</v>
      </c>
      <c r="L332">
        <v>6</v>
      </c>
      <c r="M332">
        <v>8.7899999999999991</v>
      </c>
      <c r="N332">
        <v>2.25</v>
      </c>
      <c r="O332">
        <v>1.93</v>
      </c>
      <c r="Q332" t="s">
        <v>3744</v>
      </c>
      <c r="R332">
        <v>5907698012399</v>
      </c>
      <c r="S332">
        <v>270</v>
      </c>
      <c r="T332" t="s">
        <v>653</v>
      </c>
      <c r="V332">
        <v>8207503000</v>
      </c>
    </row>
    <row r="333" spans="1:22" x14ac:dyDescent="0.25">
      <c r="A333">
        <v>410409</v>
      </c>
      <c r="B333" t="s">
        <v>302</v>
      </c>
      <c r="C333">
        <v>24</v>
      </c>
      <c r="E333" t="s">
        <v>303</v>
      </c>
      <c r="F333" t="s">
        <v>1852</v>
      </c>
      <c r="G333" t="s">
        <v>1853</v>
      </c>
      <c r="H333" t="s">
        <v>1854</v>
      </c>
      <c r="I333" t="s">
        <v>1855</v>
      </c>
      <c r="J333">
        <v>189</v>
      </c>
      <c r="K333">
        <v>24</v>
      </c>
      <c r="L333">
        <v>213</v>
      </c>
      <c r="M333">
        <v>34.229999999999997</v>
      </c>
      <c r="N333">
        <v>8.66</v>
      </c>
      <c r="O333">
        <v>7.41</v>
      </c>
      <c r="Q333" t="s">
        <v>2548</v>
      </c>
      <c r="R333">
        <v>5907698028284</v>
      </c>
      <c r="S333">
        <v>80</v>
      </c>
      <c r="T333" t="s">
        <v>423</v>
      </c>
      <c r="V333">
        <v>8207503000</v>
      </c>
    </row>
    <row r="334" spans="1:22" x14ac:dyDescent="0.25">
      <c r="A334">
        <v>410520</v>
      </c>
      <c r="B334" t="s">
        <v>302</v>
      </c>
      <c r="C334">
        <v>12</v>
      </c>
      <c r="E334" t="s">
        <v>303</v>
      </c>
      <c r="F334" t="s">
        <v>1856</v>
      </c>
      <c r="G334" t="s">
        <v>1853</v>
      </c>
      <c r="H334" t="s">
        <v>1857</v>
      </c>
      <c r="I334" t="s">
        <v>1858</v>
      </c>
      <c r="J334">
        <v>110</v>
      </c>
      <c r="K334">
        <v>0</v>
      </c>
      <c r="L334">
        <v>110</v>
      </c>
      <c r="M334">
        <v>35</v>
      </c>
      <c r="N334">
        <v>9.42</v>
      </c>
      <c r="O334">
        <v>7.97</v>
      </c>
      <c r="Q334" t="s">
        <v>2548</v>
      </c>
      <c r="R334">
        <v>5907698019169</v>
      </c>
      <c r="S334">
        <v>170</v>
      </c>
      <c r="T334" t="s">
        <v>1859</v>
      </c>
      <c r="V334">
        <v>8207503000</v>
      </c>
    </row>
    <row r="335" spans="1:22" x14ac:dyDescent="0.25">
      <c r="A335">
        <v>410525</v>
      </c>
      <c r="B335" t="s">
        <v>302</v>
      </c>
      <c r="C335">
        <v>30</v>
      </c>
      <c r="E335" t="s">
        <v>303</v>
      </c>
      <c r="F335" t="s">
        <v>1860</v>
      </c>
      <c r="G335" t="s">
        <v>1861</v>
      </c>
      <c r="H335" t="s">
        <v>1862</v>
      </c>
      <c r="I335" t="s">
        <v>1863</v>
      </c>
      <c r="J335">
        <v>118</v>
      </c>
      <c r="K335">
        <v>0</v>
      </c>
      <c r="L335">
        <v>118</v>
      </c>
      <c r="M335">
        <v>16.82</v>
      </c>
      <c r="N335">
        <v>3.98</v>
      </c>
      <c r="O335">
        <v>3.67</v>
      </c>
      <c r="Q335" t="s">
        <v>2548</v>
      </c>
      <c r="R335">
        <v>5907698027195</v>
      </c>
      <c r="S335">
        <v>120</v>
      </c>
      <c r="T335" t="s">
        <v>1864</v>
      </c>
      <c r="V335">
        <v>8207503000</v>
      </c>
    </row>
    <row r="336" spans="1:22" x14ac:dyDescent="0.25">
      <c r="A336">
        <v>410526</v>
      </c>
      <c r="B336" t="s">
        <v>302</v>
      </c>
      <c r="C336">
        <v>50</v>
      </c>
      <c r="E336" t="s">
        <v>303</v>
      </c>
      <c r="F336" t="s">
        <v>1860</v>
      </c>
      <c r="G336" t="s">
        <v>1861</v>
      </c>
      <c r="H336" t="s">
        <v>1865</v>
      </c>
      <c r="I336" t="s">
        <v>1863</v>
      </c>
      <c r="J336">
        <v>40</v>
      </c>
      <c r="K336">
        <v>0</v>
      </c>
      <c r="L336">
        <v>40</v>
      </c>
      <c r="M336">
        <v>13.2</v>
      </c>
      <c r="N336">
        <v>3.12</v>
      </c>
      <c r="O336">
        <v>2.9</v>
      </c>
      <c r="Q336" t="s">
        <v>2548</v>
      </c>
      <c r="R336">
        <v>5907698023029</v>
      </c>
      <c r="S336">
        <v>140</v>
      </c>
      <c r="T336" t="s">
        <v>1864</v>
      </c>
      <c r="V336">
        <v>8207503000</v>
      </c>
    </row>
    <row r="337" spans="1:22" x14ac:dyDescent="0.25">
      <c r="A337">
        <v>410527</v>
      </c>
      <c r="B337" t="s">
        <v>302</v>
      </c>
      <c r="C337">
        <v>100</v>
      </c>
      <c r="E337" t="s">
        <v>303</v>
      </c>
      <c r="F337" t="s">
        <v>671</v>
      </c>
      <c r="G337" t="s">
        <v>672</v>
      </c>
      <c r="H337" t="s">
        <v>673</v>
      </c>
      <c r="I337" t="s">
        <v>674</v>
      </c>
      <c r="J337">
        <v>236</v>
      </c>
      <c r="K337">
        <v>1</v>
      </c>
      <c r="L337">
        <v>237</v>
      </c>
      <c r="M337">
        <v>5.74</v>
      </c>
      <c r="N337">
        <v>1.55</v>
      </c>
      <c r="O337">
        <v>1.3</v>
      </c>
      <c r="Q337" t="s">
        <v>3744</v>
      </c>
      <c r="R337">
        <v>5907698025429</v>
      </c>
      <c r="S337">
        <v>220</v>
      </c>
      <c r="T337" t="s">
        <v>646</v>
      </c>
      <c r="V337">
        <v>8207903000</v>
      </c>
    </row>
    <row r="338" spans="1:22" x14ac:dyDescent="0.25">
      <c r="A338">
        <v>410530</v>
      </c>
      <c r="B338" t="s">
        <v>302</v>
      </c>
      <c r="C338">
        <v>50</v>
      </c>
      <c r="D338">
        <v>0</v>
      </c>
      <c r="E338" t="s">
        <v>303</v>
      </c>
      <c r="F338" t="s">
        <v>3160</v>
      </c>
      <c r="G338" t="s">
        <v>675</v>
      </c>
      <c r="H338" t="s">
        <v>676</v>
      </c>
      <c r="I338" t="s">
        <v>670</v>
      </c>
      <c r="J338">
        <v>423</v>
      </c>
      <c r="K338">
        <v>1</v>
      </c>
      <c r="L338">
        <v>424</v>
      </c>
      <c r="M338">
        <v>10.53</v>
      </c>
      <c r="N338">
        <v>2.84</v>
      </c>
      <c r="O338">
        <v>2.4</v>
      </c>
      <c r="Q338" t="s">
        <v>3744</v>
      </c>
      <c r="R338">
        <v>5907698012429</v>
      </c>
      <c r="S338">
        <v>400</v>
      </c>
      <c r="T338" t="s">
        <v>677</v>
      </c>
      <c r="V338">
        <v>8207503000</v>
      </c>
    </row>
    <row r="339" spans="1:22" x14ac:dyDescent="0.25">
      <c r="A339">
        <v>410540</v>
      </c>
      <c r="B339" t="s">
        <v>302</v>
      </c>
      <c r="C339">
        <v>24</v>
      </c>
      <c r="D339">
        <v>0</v>
      </c>
      <c r="E339" t="s">
        <v>303</v>
      </c>
      <c r="F339" t="s">
        <v>3160</v>
      </c>
      <c r="G339" t="s">
        <v>675</v>
      </c>
      <c r="H339" t="s">
        <v>678</v>
      </c>
      <c r="I339" t="s">
        <v>670</v>
      </c>
      <c r="J339">
        <v>0</v>
      </c>
      <c r="K339">
        <v>505</v>
      </c>
      <c r="L339">
        <v>29</v>
      </c>
      <c r="M339">
        <v>21.54</v>
      </c>
      <c r="N339">
        <v>5.53</v>
      </c>
      <c r="O339">
        <v>4.7300000000000004</v>
      </c>
      <c r="Q339" t="s">
        <v>3026</v>
      </c>
      <c r="R339">
        <v>5907698012436</v>
      </c>
      <c r="S339">
        <v>600</v>
      </c>
      <c r="T339" t="s">
        <v>677</v>
      </c>
      <c r="V339">
        <v>8207503000</v>
      </c>
    </row>
    <row r="340" spans="1:22" x14ac:dyDescent="0.25">
      <c r="A340">
        <v>410620</v>
      </c>
      <c r="B340" t="s">
        <v>302</v>
      </c>
      <c r="C340">
        <v>48</v>
      </c>
      <c r="D340">
        <v>0</v>
      </c>
      <c r="E340" t="s">
        <v>303</v>
      </c>
      <c r="F340" t="s">
        <v>3161</v>
      </c>
      <c r="G340" t="s">
        <v>679</v>
      </c>
      <c r="H340" t="s">
        <v>680</v>
      </c>
      <c r="I340" t="s">
        <v>681</v>
      </c>
      <c r="J340">
        <v>260</v>
      </c>
      <c r="K340">
        <v>20</v>
      </c>
      <c r="L340">
        <v>280</v>
      </c>
      <c r="M340">
        <v>7.61</v>
      </c>
      <c r="N340">
        <v>2.0499999999999998</v>
      </c>
      <c r="O340">
        <v>1.73</v>
      </c>
      <c r="Q340" t="s">
        <v>3744</v>
      </c>
      <c r="R340">
        <v>5907698012443</v>
      </c>
      <c r="S340">
        <v>150</v>
      </c>
      <c r="T340" t="s">
        <v>383</v>
      </c>
      <c r="V340">
        <v>8207909900</v>
      </c>
    </row>
    <row r="341" spans="1:22" x14ac:dyDescent="0.25">
      <c r="A341">
        <v>410631</v>
      </c>
      <c r="B341" t="s">
        <v>302</v>
      </c>
      <c r="C341">
        <v>96</v>
      </c>
      <c r="D341">
        <v>24</v>
      </c>
      <c r="E341" t="s">
        <v>303</v>
      </c>
      <c r="F341" t="s">
        <v>3162</v>
      </c>
      <c r="G341" t="s">
        <v>682</v>
      </c>
      <c r="H341" t="s">
        <v>1866</v>
      </c>
      <c r="I341" t="s">
        <v>683</v>
      </c>
      <c r="J341">
        <v>208</v>
      </c>
      <c r="K341">
        <v>0</v>
      </c>
      <c r="L341">
        <v>208</v>
      </c>
      <c r="M341">
        <v>3.71</v>
      </c>
      <c r="N341">
        <v>0.88</v>
      </c>
      <c r="O341">
        <v>0.82</v>
      </c>
      <c r="Q341" t="s">
        <v>2</v>
      </c>
      <c r="R341">
        <v>5907698025016</v>
      </c>
      <c r="S341">
        <v>500</v>
      </c>
      <c r="T341" t="s">
        <v>369</v>
      </c>
      <c r="V341">
        <v>8207909900</v>
      </c>
    </row>
    <row r="342" spans="1:22" x14ac:dyDescent="0.25">
      <c r="A342">
        <v>410633</v>
      </c>
      <c r="B342" t="s">
        <v>302</v>
      </c>
      <c r="C342">
        <v>96</v>
      </c>
      <c r="D342">
        <v>16</v>
      </c>
      <c r="E342" t="s">
        <v>303</v>
      </c>
      <c r="F342" t="s">
        <v>3162</v>
      </c>
      <c r="G342" t="s">
        <v>682</v>
      </c>
      <c r="H342" t="s">
        <v>684</v>
      </c>
      <c r="I342" t="s">
        <v>683</v>
      </c>
      <c r="J342">
        <v>697</v>
      </c>
      <c r="K342">
        <v>1</v>
      </c>
      <c r="L342">
        <v>698</v>
      </c>
      <c r="M342">
        <v>3.81</v>
      </c>
      <c r="N342">
        <v>0.98</v>
      </c>
      <c r="O342">
        <v>0.83</v>
      </c>
      <c r="Q342" t="s">
        <v>3744</v>
      </c>
      <c r="R342">
        <v>5907698025023</v>
      </c>
      <c r="S342">
        <v>950</v>
      </c>
      <c r="T342" t="s">
        <v>369</v>
      </c>
      <c r="V342">
        <v>8207909900</v>
      </c>
    </row>
    <row r="343" spans="1:22" x14ac:dyDescent="0.25">
      <c r="A343">
        <v>410636</v>
      </c>
      <c r="B343" t="s">
        <v>302</v>
      </c>
      <c r="C343">
        <v>96</v>
      </c>
      <c r="D343">
        <v>0</v>
      </c>
      <c r="E343" t="s">
        <v>303</v>
      </c>
      <c r="F343" t="s">
        <v>3162</v>
      </c>
      <c r="G343" t="s">
        <v>682</v>
      </c>
      <c r="H343" t="s">
        <v>685</v>
      </c>
      <c r="I343" t="s">
        <v>683</v>
      </c>
      <c r="J343">
        <v>311</v>
      </c>
      <c r="K343">
        <v>0</v>
      </c>
      <c r="L343">
        <v>311</v>
      </c>
      <c r="M343">
        <v>5.22</v>
      </c>
      <c r="N343">
        <v>1.23</v>
      </c>
      <c r="O343">
        <v>1.1399999999999999</v>
      </c>
      <c r="Q343" t="s">
        <v>3744</v>
      </c>
      <c r="R343">
        <v>5907698022343</v>
      </c>
      <c r="S343">
        <v>150</v>
      </c>
      <c r="T343" t="s">
        <v>369</v>
      </c>
      <c r="V343">
        <v>8207909900</v>
      </c>
    </row>
    <row r="344" spans="1:22" x14ac:dyDescent="0.25">
      <c r="A344">
        <v>410770</v>
      </c>
      <c r="B344" t="s">
        <v>302</v>
      </c>
      <c r="C344">
        <v>50</v>
      </c>
      <c r="D344">
        <v>0</v>
      </c>
      <c r="E344" t="s">
        <v>303</v>
      </c>
      <c r="F344" t="s">
        <v>687</v>
      </c>
      <c r="G344" t="s">
        <v>688</v>
      </c>
      <c r="H344" t="s">
        <v>2529</v>
      </c>
      <c r="I344" t="s">
        <v>688</v>
      </c>
      <c r="J344">
        <v>0</v>
      </c>
      <c r="K344">
        <v>0</v>
      </c>
      <c r="L344">
        <v>0</v>
      </c>
      <c r="M344">
        <v>29</v>
      </c>
      <c r="N344">
        <v>7.43</v>
      </c>
      <c r="O344">
        <v>6.38</v>
      </c>
      <c r="Q344" t="s">
        <v>3744</v>
      </c>
      <c r="R344">
        <v>5907698025542</v>
      </c>
      <c r="S344">
        <v>150</v>
      </c>
      <c r="T344" t="s">
        <v>686</v>
      </c>
      <c r="U344" t="s">
        <v>2650</v>
      </c>
      <c r="V344">
        <v>8207909900</v>
      </c>
    </row>
    <row r="345" spans="1:22" x14ac:dyDescent="0.25">
      <c r="A345">
        <v>410830</v>
      </c>
      <c r="B345" t="s">
        <v>302</v>
      </c>
      <c r="C345">
        <v>60</v>
      </c>
      <c r="D345">
        <v>10</v>
      </c>
      <c r="E345" t="s">
        <v>303</v>
      </c>
      <c r="F345" t="s">
        <v>3163</v>
      </c>
      <c r="G345" t="s">
        <v>689</v>
      </c>
      <c r="H345" t="s">
        <v>690</v>
      </c>
      <c r="I345" t="s">
        <v>691</v>
      </c>
      <c r="J345">
        <v>2126</v>
      </c>
      <c r="K345">
        <v>51</v>
      </c>
      <c r="L345">
        <v>2177</v>
      </c>
      <c r="M345">
        <v>7.35</v>
      </c>
      <c r="N345">
        <v>1.97</v>
      </c>
      <c r="O345">
        <v>1.67</v>
      </c>
      <c r="Q345" t="s">
        <v>3026</v>
      </c>
      <c r="R345">
        <v>5907698012450</v>
      </c>
      <c r="S345">
        <v>2000</v>
      </c>
      <c r="T345" t="s">
        <v>1097</v>
      </c>
      <c r="V345">
        <v>8207909900</v>
      </c>
    </row>
    <row r="346" spans="1:22" x14ac:dyDescent="0.25">
      <c r="A346">
        <v>410870</v>
      </c>
      <c r="B346" t="s">
        <v>302</v>
      </c>
      <c r="C346">
        <v>48</v>
      </c>
      <c r="D346">
        <v>0</v>
      </c>
      <c r="E346" t="s">
        <v>303</v>
      </c>
      <c r="F346" t="s">
        <v>3164</v>
      </c>
      <c r="G346" t="s">
        <v>692</v>
      </c>
      <c r="H346" t="s">
        <v>693</v>
      </c>
      <c r="I346" t="s">
        <v>694</v>
      </c>
      <c r="J346">
        <v>1940</v>
      </c>
      <c r="K346">
        <v>92</v>
      </c>
      <c r="L346">
        <v>2032</v>
      </c>
      <c r="M346">
        <v>8.27</v>
      </c>
      <c r="N346">
        <v>2.2200000000000002</v>
      </c>
      <c r="O346">
        <v>1.88</v>
      </c>
      <c r="Q346" t="s">
        <v>3026</v>
      </c>
      <c r="R346">
        <v>5907698023043</v>
      </c>
      <c r="S346">
        <v>1900</v>
      </c>
      <c r="T346" t="s">
        <v>1097</v>
      </c>
      <c r="V346">
        <v>8207909900</v>
      </c>
    </row>
    <row r="347" spans="1:22" x14ac:dyDescent="0.25">
      <c r="A347">
        <v>410874</v>
      </c>
      <c r="B347" t="s">
        <v>2993</v>
      </c>
      <c r="C347">
        <v>36</v>
      </c>
      <c r="D347">
        <v>0</v>
      </c>
      <c r="E347" t="s">
        <v>303</v>
      </c>
      <c r="F347" t="s">
        <v>3164</v>
      </c>
      <c r="G347" t="s">
        <v>692</v>
      </c>
      <c r="H347" t="s">
        <v>3724</v>
      </c>
      <c r="I347" t="s">
        <v>694</v>
      </c>
      <c r="J347">
        <v>0</v>
      </c>
      <c r="K347">
        <v>0</v>
      </c>
      <c r="L347">
        <v>0</v>
      </c>
      <c r="M347">
        <v>12.06</v>
      </c>
      <c r="N347">
        <v>3.12</v>
      </c>
      <c r="O347">
        <v>2.64</v>
      </c>
      <c r="Q347" t="s">
        <v>3026</v>
      </c>
      <c r="S347">
        <v>400</v>
      </c>
      <c r="T347" t="s">
        <v>1097</v>
      </c>
      <c r="U347" t="s">
        <v>3757</v>
      </c>
      <c r="V347">
        <v>8207909900</v>
      </c>
    </row>
    <row r="348" spans="1:22" x14ac:dyDescent="0.25">
      <c r="A348">
        <v>410875</v>
      </c>
      <c r="B348" t="s">
        <v>3027</v>
      </c>
      <c r="C348">
        <v>50</v>
      </c>
      <c r="D348">
        <v>0</v>
      </c>
      <c r="E348" t="s">
        <v>303</v>
      </c>
      <c r="F348" t="s">
        <v>687</v>
      </c>
      <c r="G348" t="s">
        <v>688</v>
      </c>
      <c r="H348" t="s">
        <v>3165</v>
      </c>
      <c r="I348" t="s">
        <v>688</v>
      </c>
      <c r="J348">
        <v>1041</v>
      </c>
      <c r="K348">
        <v>850</v>
      </c>
      <c r="L348">
        <v>1891</v>
      </c>
      <c r="M348">
        <v>1</v>
      </c>
      <c r="N348">
        <v>0.27</v>
      </c>
      <c r="O348">
        <v>0.23</v>
      </c>
      <c r="R348">
        <v>410875</v>
      </c>
      <c r="S348">
        <v>0</v>
      </c>
      <c r="T348" t="s">
        <v>3145</v>
      </c>
      <c r="U348" t="s">
        <v>2650</v>
      </c>
      <c r="V348">
        <v>7326909890</v>
      </c>
    </row>
    <row r="349" spans="1:22" x14ac:dyDescent="0.25">
      <c r="A349">
        <v>420080</v>
      </c>
      <c r="B349" t="s">
        <v>302</v>
      </c>
      <c r="C349">
        <v>100</v>
      </c>
      <c r="D349">
        <v>25</v>
      </c>
      <c r="E349" t="s">
        <v>303</v>
      </c>
      <c r="F349" t="s">
        <v>3166</v>
      </c>
      <c r="G349" t="s">
        <v>695</v>
      </c>
      <c r="H349" t="s">
        <v>696</v>
      </c>
      <c r="I349" t="s">
        <v>697</v>
      </c>
      <c r="J349">
        <v>627</v>
      </c>
      <c r="K349">
        <v>0</v>
      </c>
      <c r="L349">
        <v>627</v>
      </c>
      <c r="M349">
        <v>3.06</v>
      </c>
      <c r="N349">
        <v>0.78</v>
      </c>
      <c r="O349">
        <v>0.67</v>
      </c>
      <c r="Q349" t="s">
        <v>2</v>
      </c>
      <c r="R349">
        <v>5907698012481</v>
      </c>
      <c r="S349">
        <v>400</v>
      </c>
      <c r="T349" t="s">
        <v>677</v>
      </c>
      <c r="V349">
        <v>8207509000</v>
      </c>
    </row>
    <row r="350" spans="1:22" x14ac:dyDescent="0.25">
      <c r="A350">
        <v>420090</v>
      </c>
      <c r="B350" t="s">
        <v>302</v>
      </c>
      <c r="C350">
        <v>100</v>
      </c>
      <c r="D350">
        <v>50</v>
      </c>
      <c r="E350" t="s">
        <v>303</v>
      </c>
      <c r="F350" t="s">
        <v>3166</v>
      </c>
      <c r="G350" t="s">
        <v>698</v>
      </c>
      <c r="H350" t="s">
        <v>699</v>
      </c>
      <c r="I350" t="s">
        <v>697</v>
      </c>
      <c r="J350">
        <v>249</v>
      </c>
      <c r="K350">
        <v>10</v>
      </c>
      <c r="L350">
        <v>259</v>
      </c>
      <c r="M350">
        <v>3.9</v>
      </c>
      <c r="N350">
        <v>0.94</v>
      </c>
      <c r="O350">
        <v>0.86</v>
      </c>
      <c r="Q350" t="s">
        <v>2</v>
      </c>
      <c r="R350">
        <v>5907698012498</v>
      </c>
      <c r="S350">
        <v>350</v>
      </c>
      <c r="T350" t="s">
        <v>653</v>
      </c>
      <c r="V350">
        <v>8207509000</v>
      </c>
    </row>
    <row r="351" spans="1:22" x14ac:dyDescent="0.25">
      <c r="A351">
        <v>420101</v>
      </c>
      <c r="B351" t="s">
        <v>2993</v>
      </c>
      <c r="C351">
        <v>24</v>
      </c>
      <c r="D351">
        <v>0</v>
      </c>
      <c r="E351" t="s">
        <v>303</v>
      </c>
      <c r="F351" t="s">
        <v>3166</v>
      </c>
      <c r="G351" t="s">
        <v>695</v>
      </c>
      <c r="H351" t="s">
        <v>2958</v>
      </c>
      <c r="I351" t="s">
        <v>697</v>
      </c>
      <c r="J351">
        <v>389</v>
      </c>
      <c r="K351">
        <v>10</v>
      </c>
      <c r="L351">
        <v>399</v>
      </c>
      <c r="M351">
        <v>7.64</v>
      </c>
      <c r="N351">
        <v>1.93</v>
      </c>
      <c r="O351">
        <v>1.65</v>
      </c>
      <c r="Q351" t="s">
        <v>3744</v>
      </c>
      <c r="R351">
        <v>5907698030904</v>
      </c>
      <c r="S351">
        <v>200</v>
      </c>
      <c r="T351" t="s">
        <v>3155</v>
      </c>
      <c r="U351" t="s">
        <v>3746</v>
      </c>
      <c r="V351">
        <v>8207509000</v>
      </c>
    </row>
    <row r="352" spans="1:22" x14ac:dyDescent="0.25">
      <c r="A352">
        <v>420105</v>
      </c>
      <c r="B352" t="s">
        <v>302</v>
      </c>
      <c r="C352">
        <v>80</v>
      </c>
      <c r="D352">
        <v>20</v>
      </c>
      <c r="E352" t="s">
        <v>303</v>
      </c>
      <c r="F352" t="s">
        <v>3166</v>
      </c>
      <c r="G352" t="s">
        <v>695</v>
      </c>
      <c r="H352" t="s">
        <v>700</v>
      </c>
      <c r="I352" t="s">
        <v>697</v>
      </c>
      <c r="J352">
        <v>10</v>
      </c>
      <c r="K352">
        <v>0</v>
      </c>
      <c r="L352">
        <v>10</v>
      </c>
      <c r="M352">
        <v>5.0599999999999996</v>
      </c>
      <c r="N352">
        <v>1.36</v>
      </c>
      <c r="O352">
        <v>1.1499999999999999</v>
      </c>
      <c r="Q352" t="s">
        <v>3744</v>
      </c>
      <c r="R352">
        <v>5907698029366</v>
      </c>
      <c r="S352">
        <v>100</v>
      </c>
      <c r="T352" t="s">
        <v>646</v>
      </c>
      <c r="U352" t="s">
        <v>3157</v>
      </c>
      <c r="V352">
        <v>8207509000</v>
      </c>
    </row>
    <row r="353" spans="1:22" x14ac:dyDescent="0.25">
      <c r="A353">
        <v>420113</v>
      </c>
      <c r="B353" t="s">
        <v>302</v>
      </c>
      <c r="C353">
        <v>48</v>
      </c>
      <c r="D353">
        <v>12</v>
      </c>
      <c r="E353" t="s">
        <v>303</v>
      </c>
      <c r="F353" t="s">
        <v>3166</v>
      </c>
      <c r="G353" t="s">
        <v>695</v>
      </c>
      <c r="H353" t="s">
        <v>701</v>
      </c>
      <c r="I353" t="s">
        <v>697</v>
      </c>
      <c r="J353">
        <v>0</v>
      </c>
      <c r="K353">
        <v>0</v>
      </c>
      <c r="L353">
        <v>0</v>
      </c>
      <c r="M353">
        <v>7.76</v>
      </c>
      <c r="N353">
        <v>2.09</v>
      </c>
      <c r="O353">
        <v>1.76</v>
      </c>
      <c r="Q353" t="s">
        <v>3744</v>
      </c>
      <c r="R353">
        <v>5907698029373</v>
      </c>
      <c r="S353">
        <v>100</v>
      </c>
      <c r="T353" t="s">
        <v>646</v>
      </c>
      <c r="U353" t="s">
        <v>3167</v>
      </c>
      <c r="V353">
        <v>8207509000</v>
      </c>
    </row>
    <row r="354" spans="1:22" x14ac:dyDescent="0.25">
      <c r="A354">
        <v>430030</v>
      </c>
      <c r="B354" t="s">
        <v>302</v>
      </c>
      <c r="C354">
        <v>60</v>
      </c>
      <c r="E354" t="s">
        <v>303</v>
      </c>
      <c r="F354" t="s">
        <v>3166</v>
      </c>
      <c r="G354" t="s">
        <v>695</v>
      </c>
      <c r="H354" t="s">
        <v>702</v>
      </c>
      <c r="I354" t="s">
        <v>697</v>
      </c>
      <c r="J354">
        <v>833</v>
      </c>
      <c r="K354">
        <v>30</v>
      </c>
      <c r="L354">
        <v>863</v>
      </c>
      <c r="M354">
        <v>6.46</v>
      </c>
      <c r="N354">
        <v>1.66</v>
      </c>
      <c r="O354">
        <v>1.41</v>
      </c>
      <c r="Q354" t="s">
        <v>2</v>
      </c>
      <c r="R354">
        <v>5907698012504</v>
      </c>
      <c r="S354">
        <v>1200</v>
      </c>
      <c r="T354" t="s">
        <v>677</v>
      </c>
      <c r="V354">
        <v>8207509000</v>
      </c>
    </row>
    <row r="355" spans="1:22" x14ac:dyDescent="0.25">
      <c r="A355">
        <v>430070</v>
      </c>
      <c r="B355" t="s">
        <v>302</v>
      </c>
      <c r="C355">
        <v>40</v>
      </c>
      <c r="E355" t="s">
        <v>303</v>
      </c>
      <c r="F355" t="s">
        <v>3166</v>
      </c>
      <c r="G355" t="s">
        <v>698</v>
      </c>
      <c r="H355" t="s">
        <v>703</v>
      </c>
      <c r="I355" t="s">
        <v>697</v>
      </c>
      <c r="J355">
        <v>0</v>
      </c>
      <c r="K355">
        <v>560</v>
      </c>
      <c r="L355">
        <v>137</v>
      </c>
      <c r="M355">
        <v>11.14</v>
      </c>
      <c r="N355">
        <v>2.86</v>
      </c>
      <c r="O355">
        <v>2.4500000000000002</v>
      </c>
      <c r="Q355" t="s">
        <v>2</v>
      </c>
      <c r="R355">
        <v>5907698012511</v>
      </c>
      <c r="S355">
        <v>2600</v>
      </c>
      <c r="T355" t="s">
        <v>677</v>
      </c>
      <c r="V355">
        <v>8207509000</v>
      </c>
    </row>
    <row r="356" spans="1:22" x14ac:dyDescent="0.25">
      <c r="A356">
        <v>440060</v>
      </c>
      <c r="B356" t="s">
        <v>302</v>
      </c>
      <c r="C356">
        <v>80</v>
      </c>
      <c r="D356">
        <v>0</v>
      </c>
      <c r="E356" t="s">
        <v>303</v>
      </c>
      <c r="F356" t="s">
        <v>3168</v>
      </c>
      <c r="G356" t="s">
        <v>704</v>
      </c>
      <c r="H356" t="s">
        <v>705</v>
      </c>
      <c r="I356" t="s">
        <v>706</v>
      </c>
      <c r="J356">
        <v>1003</v>
      </c>
      <c r="K356">
        <v>0</v>
      </c>
      <c r="L356">
        <v>1003</v>
      </c>
      <c r="M356">
        <v>6.62</v>
      </c>
      <c r="N356">
        <v>1.7</v>
      </c>
      <c r="O356">
        <v>1.46</v>
      </c>
      <c r="Q356" t="s">
        <v>3744</v>
      </c>
      <c r="R356">
        <v>5907698012528</v>
      </c>
      <c r="S356">
        <v>1200</v>
      </c>
      <c r="T356" t="s">
        <v>707</v>
      </c>
      <c r="V356">
        <v>8207509000</v>
      </c>
    </row>
    <row r="357" spans="1:22" x14ac:dyDescent="0.25">
      <c r="A357">
        <v>440063</v>
      </c>
      <c r="B357" t="s">
        <v>302</v>
      </c>
      <c r="C357">
        <v>1</v>
      </c>
      <c r="D357">
        <v>0</v>
      </c>
      <c r="E357" t="s">
        <v>303</v>
      </c>
      <c r="F357" t="s">
        <v>3168</v>
      </c>
      <c r="G357" t="s">
        <v>704</v>
      </c>
      <c r="H357" t="s">
        <v>708</v>
      </c>
      <c r="I357" t="s">
        <v>706</v>
      </c>
      <c r="J357">
        <v>0</v>
      </c>
      <c r="K357">
        <v>0</v>
      </c>
      <c r="L357">
        <v>0</v>
      </c>
      <c r="M357">
        <v>32.35</v>
      </c>
      <c r="N357">
        <v>8.7100000000000009</v>
      </c>
      <c r="O357">
        <v>7.37</v>
      </c>
      <c r="Q357" t="s">
        <v>3744</v>
      </c>
      <c r="R357">
        <v>5907698029359</v>
      </c>
      <c r="S357">
        <v>50</v>
      </c>
      <c r="T357" t="s">
        <v>709</v>
      </c>
      <c r="V357">
        <v>8207509000</v>
      </c>
    </row>
    <row r="358" spans="1:22" x14ac:dyDescent="0.25">
      <c r="A358">
        <v>440150</v>
      </c>
      <c r="B358" t="s">
        <v>302</v>
      </c>
      <c r="C358">
        <v>20</v>
      </c>
      <c r="E358" t="s">
        <v>303</v>
      </c>
      <c r="F358" t="s">
        <v>710</v>
      </c>
      <c r="G358" t="s">
        <v>711</v>
      </c>
      <c r="H358" t="s">
        <v>712</v>
      </c>
      <c r="I358" t="s">
        <v>713</v>
      </c>
      <c r="J358">
        <v>116</v>
      </c>
      <c r="K358">
        <v>0</v>
      </c>
      <c r="L358">
        <v>116</v>
      </c>
      <c r="M358">
        <v>22.12</v>
      </c>
      <c r="N358">
        <v>5.58</v>
      </c>
      <c r="O358">
        <v>4.9800000000000004</v>
      </c>
      <c r="Q358" t="s">
        <v>336</v>
      </c>
      <c r="R358">
        <v>5907698012542</v>
      </c>
      <c r="S358">
        <v>250</v>
      </c>
      <c r="T358" t="s">
        <v>714</v>
      </c>
      <c r="V358">
        <v>8207709000</v>
      </c>
    </row>
    <row r="359" spans="1:22" x14ac:dyDescent="0.25">
      <c r="A359">
        <v>440320</v>
      </c>
      <c r="B359" t="s">
        <v>302</v>
      </c>
      <c r="C359">
        <v>20</v>
      </c>
      <c r="E359" t="s">
        <v>303</v>
      </c>
      <c r="F359" t="s">
        <v>710</v>
      </c>
      <c r="G359" t="s">
        <v>1867</v>
      </c>
      <c r="H359" t="s">
        <v>1665</v>
      </c>
      <c r="I359" t="s">
        <v>1868</v>
      </c>
      <c r="J359">
        <v>14</v>
      </c>
      <c r="K359">
        <v>0</v>
      </c>
      <c r="L359">
        <v>14</v>
      </c>
      <c r="M359">
        <v>38.56</v>
      </c>
      <c r="N359">
        <v>10.38</v>
      </c>
      <c r="O359">
        <v>8.7799999999999994</v>
      </c>
      <c r="Q359" t="s">
        <v>2548</v>
      </c>
      <c r="R359">
        <v>5907698012566</v>
      </c>
      <c r="S359">
        <v>30</v>
      </c>
      <c r="T359" t="s">
        <v>714</v>
      </c>
      <c r="V359">
        <v>8207709000</v>
      </c>
    </row>
    <row r="360" spans="1:22" x14ac:dyDescent="0.25">
      <c r="A360">
        <v>440322</v>
      </c>
      <c r="B360" t="s">
        <v>302</v>
      </c>
      <c r="C360">
        <v>20</v>
      </c>
      <c r="E360" t="s">
        <v>303</v>
      </c>
      <c r="F360" t="s">
        <v>715</v>
      </c>
      <c r="G360" t="s">
        <v>716</v>
      </c>
      <c r="H360" t="s">
        <v>717</v>
      </c>
      <c r="I360" t="s">
        <v>718</v>
      </c>
      <c r="J360">
        <v>0</v>
      </c>
      <c r="K360">
        <v>0</v>
      </c>
      <c r="L360">
        <v>0</v>
      </c>
      <c r="M360">
        <v>45.74</v>
      </c>
      <c r="N360">
        <v>11.58</v>
      </c>
      <c r="O360">
        <v>10.220000000000001</v>
      </c>
      <c r="Q360" t="s">
        <v>336</v>
      </c>
      <c r="R360">
        <v>5907698028178</v>
      </c>
      <c r="S360">
        <v>40</v>
      </c>
      <c r="T360" t="s">
        <v>719</v>
      </c>
      <c r="V360">
        <v>8207709000</v>
      </c>
    </row>
    <row r="361" spans="1:22" x14ac:dyDescent="0.25">
      <c r="A361">
        <v>440352</v>
      </c>
      <c r="B361" t="s">
        <v>302</v>
      </c>
      <c r="C361">
        <v>5</v>
      </c>
      <c r="E361" t="s">
        <v>303</v>
      </c>
      <c r="F361" t="s">
        <v>715</v>
      </c>
      <c r="G361" t="s">
        <v>716</v>
      </c>
      <c r="H361" t="s">
        <v>720</v>
      </c>
      <c r="I361" t="s">
        <v>718</v>
      </c>
      <c r="J361">
        <v>0</v>
      </c>
      <c r="K361">
        <v>0</v>
      </c>
      <c r="L361">
        <v>0</v>
      </c>
      <c r="M361">
        <v>231.04</v>
      </c>
      <c r="N361">
        <v>58.51</v>
      </c>
      <c r="O361">
        <v>51.64</v>
      </c>
      <c r="Q361" t="s">
        <v>336</v>
      </c>
      <c r="R361">
        <v>5907698028185</v>
      </c>
      <c r="S361">
        <v>30</v>
      </c>
      <c r="T361" t="s">
        <v>719</v>
      </c>
      <c r="V361">
        <v>8207709000</v>
      </c>
    </row>
    <row r="362" spans="1:22" x14ac:dyDescent="0.25">
      <c r="A362">
        <v>450090</v>
      </c>
      <c r="B362" t="s">
        <v>302</v>
      </c>
      <c r="C362">
        <v>100</v>
      </c>
      <c r="E362" t="s">
        <v>303</v>
      </c>
      <c r="F362" t="s">
        <v>3169</v>
      </c>
      <c r="G362" t="s">
        <v>1869</v>
      </c>
      <c r="H362" t="s">
        <v>1870</v>
      </c>
      <c r="I362" t="s">
        <v>721</v>
      </c>
      <c r="J362">
        <v>692</v>
      </c>
      <c r="K362">
        <v>10</v>
      </c>
      <c r="L362">
        <v>702</v>
      </c>
      <c r="M362">
        <v>3.77</v>
      </c>
      <c r="N362">
        <v>0.91</v>
      </c>
      <c r="O362">
        <v>0.83</v>
      </c>
      <c r="Q362" t="s">
        <v>2</v>
      </c>
      <c r="R362">
        <v>5907698012573</v>
      </c>
      <c r="S362">
        <v>300</v>
      </c>
      <c r="T362" t="s">
        <v>653</v>
      </c>
      <c r="V362">
        <v>8207509000</v>
      </c>
    </row>
    <row r="363" spans="1:22" x14ac:dyDescent="0.25">
      <c r="A363">
        <v>450180</v>
      </c>
      <c r="B363" t="s">
        <v>302</v>
      </c>
      <c r="C363">
        <v>40</v>
      </c>
      <c r="E363" t="s">
        <v>303</v>
      </c>
      <c r="F363" t="s">
        <v>3169</v>
      </c>
      <c r="G363" t="s">
        <v>722</v>
      </c>
      <c r="H363" t="s">
        <v>723</v>
      </c>
      <c r="I363" t="s">
        <v>721</v>
      </c>
      <c r="J363">
        <v>104</v>
      </c>
      <c r="K363">
        <v>0</v>
      </c>
      <c r="L363">
        <v>104</v>
      </c>
      <c r="M363">
        <v>7.55</v>
      </c>
      <c r="N363">
        <v>2.0299999999999998</v>
      </c>
      <c r="O363">
        <v>1.73</v>
      </c>
      <c r="Q363" t="s">
        <v>2</v>
      </c>
      <c r="R363">
        <v>5907698012597</v>
      </c>
      <c r="S363">
        <v>250</v>
      </c>
      <c r="T363" t="s">
        <v>383</v>
      </c>
      <c r="V363">
        <v>8207509000</v>
      </c>
    </row>
    <row r="364" spans="1:22" x14ac:dyDescent="0.25">
      <c r="A364">
        <v>450405</v>
      </c>
      <c r="B364" t="s">
        <v>302</v>
      </c>
      <c r="C364">
        <v>200</v>
      </c>
      <c r="D364">
        <v>0</v>
      </c>
      <c r="E364" t="s">
        <v>303</v>
      </c>
      <c r="F364" t="s">
        <v>3170</v>
      </c>
      <c r="G364" t="s">
        <v>724</v>
      </c>
      <c r="H364" t="s">
        <v>725</v>
      </c>
      <c r="I364" t="s">
        <v>726</v>
      </c>
      <c r="J364">
        <v>416</v>
      </c>
      <c r="K364">
        <v>100</v>
      </c>
      <c r="L364">
        <v>516</v>
      </c>
      <c r="M364">
        <v>3.88</v>
      </c>
      <c r="N364">
        <v>0.98</v>
      </c>
      <c r="O364">
        <v>0.87</v>
      </c>
      <c r="Q364" t="s">
        <v>336</v>
      </c>
      <c r="R364">
        <v>5907698026730</v>
      </c>
      <c r="S364">
        <v>280</v>
      </c>
      <c r="T364" t="s">
        <v>727</v>
      </c>
      <c r="V364">
        <v>8205598000</v>
      </c>
    </row>
    <row r="365" spans="1:22" x14ac:dyDescent="0.25">
      <c r="A365">
        <v>450406</v>
      </c>
      <c r="B365" t="s">
        <v>2993</v>
      </c>
      <c r="C365">
        <v>100</v>
      </c>
      <c r="D365">
        <v>0</v>
      </c>
      <c r="E365" t="s">
        <v>303</v>
      </c>
      <c r="F365" t="s">
        <v>3170</v>
      </c>
      <c r="G365" t="s">
        <v>724</v>
      </c>
      <c r="H365" t="s">
        <v>728</v>
      </c>
      <c r="I365" t="s">
        <v>726</v>
      </c>
      <c r="J365">
        <v>417</v>
      </c>
      <c r="K365">
        <v>0</v>
      </c>
      <c r="L365">
        <v>417</v>
      </c>
      <c r="M365">
        <v>6.55</v>
      </c>
      <c r="N365">
        <v>1.65</v>
      </c>
      <c r="O365">
        <v>1.48</v>
      </c>
      <c r="Q365" t="s">
        <v>336</v>
      </c>
      <c r="R365">
        <v>5907698029403</v>
      </c>
      <c r="S365">
        <v>80</v>
      </c>
      <c r="T365" t="s">
        <v>727</v>
      </c>
      <c r="V365">
        <v>8205598000</v>
      </c>
    </row>
    <row r="366" spans="1:22" x14ac:dyDescent="0.25">
      <c r="A366">
        <v>483000</v>
      </c>
      <c r="B366" t="s">
        <v>302</v>
      </c>
      <c r="C366">
        <v>20</v>
      </c>
      <c r="E366" t="s">
        <v>303</v>
      </c>
      <c r="F366" t="s">
        <v>3171</v>
      </c>
      <c r="G366" t="s">
        <v>729</v>
      </c>
      <c r="H366" t="s">
        <v>730</v>
      </c>
      <c r="I366" t="s">
        <v>731</v>
      </c>
      <c r="J366">
        <v>574</v>
      </c>
      <c r="K366">
        <v>0</v>
      </c>
      <c r="L366">
        <v>574</v>
      </c>
      <c r="M366">
        <v>12.11</v>
      </c>
      <c r="N366">
        <v>3.05</v>
      </c>
      <c r="O366">
        <v>2.7</v>
      </c>
      <c r="Q366" t="s">
        <v>2</v>
      </c>
      <c r="R366">
        <v>5907698012658</v>
      </c>
      <c r="S366">
        <v>300</v>
      </c>
      <c r="T366" t="s">
        <v>732</v>
      </c>
      <c r="V366">
        <v>8207509000</v>
      </c>
    </row>
    <row r="367" spans="1:22" x14ac:dyDescent="0.25">
      <c r="A367">
        <v>490010</v>
      </c>
      <c r="B367" t="s">
        <v>2993</v>
      </c>
      <c r="C367">
        <v>5</v>
      </c>
      <c r="D367">
        <v>1</v>
      </c>
      <c r="E367" t="s">
        <v>303</v>
      </c>
      <c r="F367" t="s">
        <v>3172</v>
      </c>
      <c r="G367" t="s">
        <v>3173</v>
      </c>
      <c r="H367" t="s">
        <v>3174</v>
      </c>
      <c r="I367" t="s">
        <v>3175</v>
      </c>
      <c r="J367">
        <v>140</v>
      </c>
      <c r="K367">
        <v>3</v>
      </c>
      <c r="L367">
        <v>143</v>
      </c>
      <c r="M367">
        <v>165.52</v>
      </c>
      <c r="N367">
        <v>41.82</v>
      </c>
      <c r="O367">
        <v>37.03</v>
      </c>
      <c r="Q367" t="s">
        <v>3758</v>
      </c>
      <c r="R367">
        <v>5907698030331</v>
      </c>
      <c r="S367">
        <v>75</v>
      </c>
      <c r="T367" t="s">
        <v>3176</v>
      </c>
      <c r="V367">
        <v>8467292000</v>
      </c>
    </row>
    <row r="368" spans="1:22" x14ac:dyDescent="0.25">
      <c r="A368">
        <v>490020</v>
      </c>
      <c r="B368" t="s">
        <v>2993</v>
      </c>
      <c r="C368">
        <v>6</v>
      </c>
      <c r="D368">
        <v>1</v>
      </c>
      <c r="E368" t="s">
        <v>303</v>
      </c>
      <c r="F368" t="s">
        <v>3177</v>
      </c>
      <c r="G368" t="s">
        <v>3178</v>
      </c>
      <c r="H368" t="s">
        <v>3179</v>
      </c>
      <c r="I368" t="s">
        <v>3180</v>
      </c>
      <c r="J368">
        <v>141</v>
      </c>
      <c r="K368">
        <v>0</v>
      </c>
      <c r="L368">
        <v>141</v>
      </c>
      <c r="M368">
        <v>86.91</v>
      </c>
      <c r="N368">
        <v>21.96</v>
      </c>
      <c r="O368">
        <v>18.809999999999999</v>
      </c>
      <c r="Q368" t="s">
        <v>3758</v>
      </c>
      <c r="R368">
        <v>5907698030348</v>
      </c>
      <c r="S368">
        <v>75</v>
      </c>
      <c r="T368" t="s">
        <v>3181</v>
      </c>
      <c r="V368">
        <v>8467295100</v>
      </c>
    </row>
    <row r="369" spans="1:22" x14ac:dyDescent="0.25">
      <c r="A369">
        <v>490030</v>
      </c>
      <c r="B369" t="s">
        <v>2993</v>
      </c>
      <c r="C369">
        <v>6</v>
      </c>
      <c r="D369">
        <v>1</v>
      </c>
      <c r="E369" t="s">
        <v>303</v>
      </c>
      <c r="F369" t="s">
        <v>3182</v>
      </c>
      <c r="G369" t="s">
        <v>3183</v>
      </c>
      <c r="H369" t="s">
        <v>3184</v>
      </c>
      <c r="I369" t="s">
        <v>3185</v>
      </c>
      <c r="J369">
        <v>146</v>
      </c>
      <c r="K369">
        <v>1</v>
      </c>
      <c r="L369">
        <v>147</v>
      </c>
      <c r="M369">
        <v>83.68</v>
      </c>
      <c r="N369">
        <v>21.13</v>
      </c>
      <c r="O369">
        <v>18.72</v>
      </c>
      <c r="Q369" t="s">
        <v>3758</v>
      </c>
      <c r="R369">
        <v>5907698030355</v>
      </c>
      <c r="S369">
        <v>75</v>
      </c>
      <c r="T369" t="s">
        <v>3181</v>
      </c>
      <c r="V369">
        <v>8467229000</v>
      </c>
    </row>
    <row r="370" spans="1:22" x14ac:dyDescent="0.25">
      <c r="A370">
        <v>490040</v>
      </c>
      <c r="B370" t="s">
        <v>2993</v>
      </c>
      <c r="C370">
        <v>10</v>
      </c>
      <c r="D370">
        <v>1</v>
      </c>
      <c r="E370" t="s">
        <v>303</v>
      </c>
      <c r="F370" t="s">
        <v>3186</v>
      </c>
      <c r="G370" t="s">
        <v>3187</v>
      </c>
      <c r="H370" t="s">
        <v>3188</v>
      </c>
      <c r="I370" t="s">
        <v>3189</v>
      </c>
      <c r="J370">
        <v>93</v>
      </c>
      <c r="K370">
        <v>0</v>
      </c>
      <c r="L370">
        <v>93</v>
      </c>
      <c r="M370">
        <v>44.98</v>
      </c>
      <c r="N370">
        <v>11.37</v>
      </c>
      <c r="O370">
        <v>9.73</v>
      </c>
      <c r="Q370" t="s">
        <v>3758</v>
      </c>
      <c r="R370">
        <v>5907698030362</v>
      </c>
      <c r="S370">
        <v>60</v>
      </c>
      <c r="T370" t="s">
        <v>3181</v>
      </c>
      <c r="V370">
        <v>8516797090</v>
      </c>
    </row>
    <row r="371" spans="1:22" x14ac:dyDescent="0.25">
      <c r="A371">
        <v>490050</v>
      </c>
      <c r="B371" t="s">
        <v>2993</v>
      </c>
      <c r="C371">
        <v>4</v>
      </c>
      <c r="D371">
        <v>1</v>
      </c>
      <c r="E371" t="s">
        <v>303</v>
      </c>
      <c r="F371" t="s">
        <v>3190</v>
      </c>
      <c r="G371" t="s">
        <v>3191</v>
      </c>
      <c r="H371" t="s">
        <v>3192</v>
      </c>
      <c r="I371" t="s">
        <v>3193</v>
      </c>
      <c r="J371">
        <v>341</v>
      </c>
      <c r="K371">
        <v>0</v>
      </c>
      <c r="L371">
        <v>341</v>
      </c>
      <c r="M371">
        <v>148.35</v>
      </c>
      <c r="N371">
        <v>37.61</v>
      </c>
      <c r="O371">
        <v>33.32</v>
      </c>
      <c r="Q371" t="s">
        <v>3758</v>
      </c>
      <c r="R371">
        <v>5907698030379</v>
      </c>
      <c r="S371">
        <v>198</v>
      </c>
      <c r="T371" t="s">
        <v>3181</v>
      </c>
      <c r="V371">
        <v>8467298500</v>
      </c>
    </row>
    <row r="372" spans="1:22" x14ac:dyDescent="0.25">
      <c r="A372">
        <v>500750</v>
      </c>
      <c r="B372" t="s">
        <v>302</v>
      </c>
      <c r="C372">
        <v>4</v>
      </c>
      <c r="E372" t="s">
        <v>303</v>
      </c>
      <c r="F372" t="s">
        <v>3194</v>
      </c>
      <c r="G372" t="s">
        <v>733</v>
      </c>
      <c r="H372" t="s">
        <v>734</v>
      </c>
      <c r="I372" t="s">
        <v>735</v>
      </c>
      <c r="J372">
        <v>0</v>
      </c>
      <c r="K372">
        <v>0</v>
      </c>
      <c r="L372">
        <v>0</v>
      </c>
      <c r="M372">
        <v>52.81</v>
      </c>
      <c r="N372">
        <v>13.7</v>
      </c>
      <c r="O372">
        <v>11.89</v>
      </c>
      <c r="Q372" t="s">
        <v>4</v>
      </c>
      <c r="R372">
        <v>5907698012665</v>
      </c>
      <c r="S372">
        <v>20</v>
      </c>
      <c r="T372" t="s">
        <v>736</v>
      </c>
      <c r="V372">
        <v>8205700000</v>
      </c>
    </row>
    <row r="373" spans="1:22" x14ac:dyDescent="0.25">
      <c r="A373">
        <v>501000</v>
      </c>
      <c r="B373" t="s">
        <v>302</v>
      </c>
      <c r="C373">
        <v>2</v>
      </c>
      <c r="E373" t="s">
        <v>303</v>
      </c>
      <c r="F373" t="s">
        <v>3194</v>
      </c>
      <c r="G373" t="s">
        <v>733</v>
      </c>
      <c r="H373" t="s">
        <v>737</v>
      </c>
      <c r="I373" t="s">
        <v>735</v>
      </c>
      <c r="J373">
        <v>10</v>
      </c>
      <c r="K373">
        <v>1</v>
      </c>
      <c r="L373">
        <v>11</v>
      </c>
      <c r="M373">
        <v>61.44</v>
      </c>
      <c r="N373">
        <v>15.94</v>
      </c>
      <c r="O373">
        <v>13.84</v>
      </c>
      <c r="Q373" t="s">
        <v>4</v>
      </c>
      <c r="R373">
        <v>5907698012672</v>
      </c>
      <c r="S373">
        <v>50</v>
      </c>
      <c r="T373" t="s">
        <v>736</v>
      </c>
      <c r="V373">
        <v>8205700000</v>
      </c>
    </row>
    <row r="374" spans="1:22" x14ac:dyDescent="0.25">
      <c r="A374">
        <v>501250</v>
      </c>
      <c r="B374" t="s">
        <v>302</v>
      </c>
      <c r="C374">
        <v>2</v>
      </c>
      <c r="E374" t="s">
        <v>303</v>
      </c>
      <c r="F374" t="s">
        <v>3194</v>
      </c>
      <c r="G374" t="s">
        <v>733</v>
      </c>
      <c r="H374" t="s">
        <v>738</v>
      </c>
      <c r="I374" t="s">
        <v>735</v>
      </c>
      <c r="J374">
        <v>0</v>
      </c>
      <c r="K374">
        <v>0</v>
      </c>
      <c r="L374">
        <v>0</v>
      </c>
      <c r="M374">
        <v>68.540000000000006</v>
      </c>
      <c r="N374">
        <v>17.32</v>
      </c>
      <c r="O374">
        <v>14.84</v>
      </c>
      <c r="Q374" t="s">
        <v>4</v>
      </c>
      <c r="R374">
        <v>5907698012689</v>
      </c>
      <c r="S374">
        <v>70</v>
      </c>
      <c r="T374" t="s">
        <v>736</v>
      </c>
      <c r="V374">
        <v>8205700000</v>
      </c>
    </row>
    <row r="375" spans="1:22" x14ac:dyDescent="0.25">
      <c r="A375">
        <v>501500</v>
      </c>
      <c r="B375" t="s">
        <v>302</v>
      </c>
      <c r="C375">
        <v>2</v>
      </c>
      <c r="E375" t="s">
        <v>303</v>
      </c>
      <c r="F375" t="s">
        <v>3194</v>
      </c>
      <c r="G375" t="s">
        <v>733</v>
      </c>
      <c r="H375" t="s">
        <v>739</v>
      </c>
      <c r="I375" t="s">
        <v>735</v>
      </c>
      <c r="J375">
        <v>0</v>
      </c>
      <c r="K375">
        <v>0</v>
      </c>
      <c r="L375">
        <v>0</v>
      </c>
      <c r="M375">
        <v>89.47</v>
      </c>
      <c r="N375">
        <v>23.22</v>
      </c>
      <c r="O375">
        <v>20.149999999999999</v>
      </c>
      <c r="Q375" t="s">
        <v>4</v>
      </c>
      <c r="R375">
        <v>5907698012696</v>
      </c>
      <c r="S375">
        <v>40</v>
      </c>
      <c r="T375" t="s">
        <v>736</v>
      </c>
      <c r="V375">
        <v>8205700000</v>
      </c>
    </row>
    <row r="376" spans="1:22" x14ac:dyDescent="0.25">
      <c r="A376">
        <v>511000</v>
      </c>
      <c r="B376" t="s">
        <v>302</v>
      </c>
      <c r="C376">
        <v>2</v>
      </c>
      <c r="E376" t="s">
        <v>303</v>
      </c>
      <c r="F376" t="s">
        <v>3195</v>
      </c>
      <c r="G376" t="s">
        <v>740</v>
      </c>
      <c r="H376" t="s">
        <v>741</v>
      </c>
      <c r="I376" t="s">
        <v>742</v>
      </c>
      <c r="J376">
        <v>24</v>
      </c>
      <c r="K376">
        <v>0</v>
      </c>
      <c r="L376">
        <v>24</v>
      </c>
      <c r="M376">
        <v>64.75</v>
      </c>
      <c r="N376">
        <v>16.350000000000001</v>
      </c>
      <c r="O376">
        <v>14.56</v>
      </c>
      <c r="Q376" t="s">
        <v>4</v>
      </c>
      <c r="R376">
        <v>5907698012702</v>
      </c>
      <c r="S376">
        <v>30</v>
      </c>
      <c r="T376" t="s">
        <v>736</v>
      </c>
      <c r="V376">
        <v>8205700000</v>
      </c>
    </row>
    <row r="377" spans="1:22" x14ac:dyDescent="0.25">
      <c r="A377">
        <v>511250</v>
      </c>
      <c r="B377" t="s">
        <v>302</v>
      </c>
      <c r="C377">
        <v>2</v>
      </c>
      <c r="E377" t="s">
        <v>303</v>
      </c>
      <c r="F377" t="s">
        <v>3195</v>
      </c>
      <c r="G377" t="s">
        <v>743</v>
      </c>
      <c r="H377" t="s">
        <v>744</v>
      </c>
      <c r="I377" t="s">
        <v>745</v>
      </c>
      <c r="J377">
        <v>0</v>
      </c>
      <c r="K377">
        <v>0</v>
      </c>
      <c r="L377">
        <v>0</v>
      </c>
      <c r="M377">
        <v>79.5</v>
      </c>
      <c r="N377">
        <v>20.63</v>
      </c>
      <c r="O377">
        <v>17.899999999999999</v>
      </c>
      <c r="Q377" t="s">
        <v>4</v>
      </c>
      <c r="R377">
        <v>5907698012719</v>
      </c>
      <c r="S377">
        <v>40</v>
      </c>
      <c r="T377" t="s">
        <v>736</v>
      </c>
      <c r="V377">
        <v>8205700000</v>
      </c>
    </row>
    <row r="378" spans="1:22" x14ac:dyDescent="0.25">
      <c r="A378">
        <v>511500</v>
      </c>
      <c r="B378" t="s">
        <v>302</v>
      </c>
      <c r="C378">
        <v>2</v>
      </c>
      <c r="E378" t="s">
        <v>303</v>
      </c>
      <c r="F378" t="s">
        <v>3195</v>
      </c>
      <c r="G378" t="s">
        <v>740</v>
      </c>
      <c r="H378" t="s">
        <v>746</v>
      </c>
      <c r="I378" t="s">
        <v>742</v>
      </c>
      <c r="J378">
        <v>0</v>
      </c>
      <c r="K378">
        <v>0</v>
      </c>
      <c r="L378">
        <v>0</v>
      </c>
      <c r="M378">
        <v>106.43</v>
      </c>
      <c r="N378">
        <v>27.63</v>
      </c>
      <c r="O378">
        <v>23.97</v>
      </c>
      <c r="Q378" t="s">
        <v>4</v>
      </c>
      <c r="R378">
        <v>5907698012726</v>
      </c>
      <c r="S378">
        <v>25</v>
      </c>
      <c r="T378" t="s">
        <v>736</v>
      </c>
      <c r="V378">
        <v>8205700000</v>
      </c>
    </row>
    <row r="379" spans="1:22" x14ac:dyDescent="0.25">
      <c r="A379">
        <v>512100</v>
      </c>
      <c r="B379" t="s">
        <v>302</v>
      </c>
      <c r="C379">
        <v>1</v>
      </c>
      <c r="E379" t="s">
        <v>303</v>
      </c>
      <c r="F379" t="s">
        <v>3195</v>
      </c>
      <c r="G379" t="s">
        <v>740</v>
      </c>
      <c r="H379" t="s">
        <v>1871</v>
      </c>
      <c r="I379" t="s">
        <v>742</v>
      </c>
      <c r="J379">
        <v>23</v>
      </c>
      <c r="K379">
        <v>0</v>
      </c>
      <c r="L379">
        <v>23</v>
      </c>
      <c r="M379">
        <v>177.98</v>
      </c>
      <c r="N379">
        <v>44.89</v>
      </c>
      <c r="O379">
        <v>39.78</v>
      </c>
      <c r="Q379" t="s">
        <v>4</v>
      </c>
      <c r="R379">
        <v>5907698028239</v>
      </c>
      <c r="S379">
        <v>20</v>
      </c>
      <c r="T379" t="s">
        <v>736</v>
      </c>
      <c r="V379">
        <v>8205700000</v>
      </c>
    </row>
    <row r="380" spans="1:22" x14ac:dyDescent="0.25">
      <c r="A380">
        <v>513150</v>
      </c>
      <c r="B380" t="s">
        <v>2993</v>
      </c>
      <c r="C380">
        <v>1</v>
      </c>
      <c r="E380" t="s">
        <v>303</v>
      </c>
      <c r="F380" t="s">
        <v>3196</v>
      </c>
      <c r="G380" t="s">
        <v>2740</v>
      </c>
      <c r="H380" t="s">
        <v>520</v>
      </c>
      <c r="I380" t="s">
        <v>2741</v>
      </c>
      <c r="J380">
        <v>26</v>
      </c>
      <c r="K380">
        <v>0</v>
      </c>
      <c r="L380">
        <v>26</v>
      </c>
      <c r="M380">
        <v>115.26</v>
      </c>
      <c r="N380">
        <v>29.14</v>
      </c>
      <c r="O380">
        <v>24.96</v>
      </c>
      <c r="Q380" t="s">
        <v>4</v>
      </c>
      <c r="R380">
        <v>5907698030188</v>
      </c>
      <c r="S380">
        <v>15</v>
      </c>
      <c r="T380" t="s">
        <v>736</v>
      </c>
      <c r="V380">
        <v>8205700000</v>
      </c>
    </row>
    <row r="381" spans="1:22" x14ac:dyDescent="0.25">
      <c r="A381">
        <v>520400</v>
      </c>
      <c r="B381" t="s">
        <v>302</v>
      </c>
      <c r="C381">
        <v>32</v>
      </c>
      <c r="E381" t="s">
        <v>303</v>
      </c>
      <c r="F381" t="s">
        <v>3197</v>
      </c>
      <c r="G381" t="s">
        <v>747</v>
      </c>
      <c r="H381" t="s">
        <v>748</v>
      </c>
      <c r="I381" t="s">
        <v>749</v>
      </c>
      <c r="J381">
        <v>165</v>
      </c>
      <c r="K381">
        <v>0</v>
      </c>
      <c r="L381">
        <v>165</v>
      </c>
      <c r="M381">
        <v>7.71</v>
      </c>
      <c r="N381">
        <v>2</v>
      </c>
      <c r="O381">
        <v>1.74</v>
      </c>
      <c r="Q381" t="s">
        <v>4</v>
      </c>
      <c r="R381">
        <v>5907698012740</v>
      </c>
      <c r="S381">
        <v>260</v>
      </c>
      <c r="T381" t="s">
        <v>736</v>
      </c>
      <c r="V381">
        <v>8205700000</v>
      </c>
    </row>
    <row r="382" spans="1:22" x14ac:dyDescent="0.25">
      <c r="A382">
        <v>520450</v>
      </c>
      <c r="B382" t="s">
        <v>302</v>
      </c>
      <c r="C382">
        <v>20</v>
      </c>
      <c r="D382">
        <v>5</v>
      </c>
      <c r="E382" t="s">
        <v>303</v>
      </c>
      <c r="F382" t="s">
        <v>3197</v>
      </c>
      <c r="G382" t="s">
        <v>747</v>
      </c>
      <c r="H382" t="s">
        <v>750</v>
      </c>
      <c r="I382" t="s">
        <v>749</v>
      </c>
      <c r="J382">
        <v>172</v>
      </c>
      <c r="K382">
        <v>0</v>
      </c>
      <c r="L382">
        <v>172</v>
      </c>
      <c r="M382">
        <v>8.9</v>
      </c>
      <c r="N382">
        <v>2.31</v>
      </c>
      <c r="O382">
        <v>2</v>
      </c>
      <c r="Q382" t="s">
        <v>4</v>
      </c>
      <c r="R382">
        <v>5907698022749</v>
      </c>
      <c r="S382">
        <v>190</v>
      </c>
      <c r="T382" t="s">
        <v>736</v>
      </c>
      <c r="V382">
        <v>8205700000</v>
      </c>
    </row>
    <row r="383" spans="1:22" x14ac:dyDescent="0.25">
      <c r="A383">
        <v>520600</v>
      </c>
      <c r="B383" t="s">
        <v>302</v>
      </c>
      <c r="C383">
        <v>16</v>
      </c>
      <c r="E383" t="s">
        <v>303</v>
      </c>
      <c r="F383" t="s">
        <v>3198</v>
      </c>
      <c r="G383" t="s">
        <v>751</v>
      </c>
      <c r="H383" t="s">
        <v>752</v>
      </c>
      <c r="I383" t="s">
        <v>753</v>
      </c>
      <c r="J383">
        <v>152</v>
      </c>
      <c r="K383">
        <v>0</v>
      </c>
      <c r="L383">
        <v>152</v>
      </c>
      <c r="M383">
        <v>13.83</v>
      </c>
      <c r="N383">
        <v>3.58</v>
      </c>
      <c r="O383">
        <v>3.12</v>
      </c>
      <c r="Q383" t="s">
        <v>4</v>
      </c>
      <c r="R383">
        <v>5907698012757</v>
      </c>
      <c r="S383">
        <v>150</v>
      </c>
      <c r="T383" t="s">
        <v>736</v>
      </c>
      <c r="V383">
        <v>8205700000</v>
      </c>
    </row>
    <row r="384" spans="1:22" x14ac:dyDescent="0.25">
      <c r="A384">
        <v>520800</v>
      </c>
      <c r="B384" t="s">
        <v>302</v>
      </c>
      <c r="C384">
        <v>10</v>
      </c>
      <c r="E384" t="s">
        <v>303</v>
      </c>
      <c r="F384" t="s">
        <v>3199</v>
      </c>
      <c r="G384" t="s">
        <v>754</v>
      </c>
      <c r="H384" t="s">
        <v>755</v>
      </c>
      <c r="I384" t="s">
        <v>756</v>
      </c>
      <c r="J384">
        <v>0</v>
      </c>
      <c r="K384">
        <v>0</v>
      </c>
      <c r="L384">
        <v>0</v>
      </c>
      <c r="M384">
        <v>23.91</v>
      </c>
      <c r="N384">
        <v>6.41</v>
      </c>
      <c r="O384">
        <v>5.42</v>
      </c>
      <c r="Q384" t="s">
        <v>336</v>
      </c>
      <c r="R384">
        <v>5907698012771</v>
      </c>
      <c r="S384">
        <v>130</v>
      </c>
      <c r="T384" t="s">
        <v>736</v>
      </c>
      <c r="V384">
        <v>8205700000</v>
      </c>
    </row>
    <row r="385" spans="1:22" x14ac:dyDescent="0.25">
      <c r="A385">
        <v>531400</v>
      </c>
      <c r="B385" t="s">
        <v>302</v>
      </c>
      <c r="C385">
        <v>60</v>
      </c>
      <c r="D385">
        <v>10</v>
      </c>
      <c r="E385" t="s">
        <v>303</v>
      </c>
      <c r="F385" t="s">
        <v>3200</v>
      </c>
      <c r="G385" t="s">
        <v>757</v>
      </c>
      <c r="H385" t="s">
        <v>758</v>
      </c>
      <c r="I385" t="s">
        <v>759</v>
      </c>
      <c r="J385">
        <v>0</v>
      </c>
      <c r="K385">
        <v>0</v>
      </c>
      <c r="L385">
        <v>0</v>
      </c>
      <c r="M385">
        <v>4.95</v>
      </c>
      <c r="N385">
        <v>1.17</v>
      </c>
      <c r="O385">
        <v>1.0900000000000001</v>
      </c>
      <c r="Q385" t="s">
        <v>336</v>
      </c>
      <c r="R385">
        <v>5907698012788</v>
      </c>
      <c r="S385">
        <v>480</v>
      </c>
      <c r="T385" t="s">
        <v>760</v>
      </c>
      <c r="V385">
        <v>8202100000</v>
      </c>
    </row>
    <row r="386" spans="1:22" x14ac:dyDescent="0.25">
      <c r="A386">
        <v>531450</v>
      </c>
      <c r="B386" t="s">
        <v>302</v>
      </c>
      <c r="C386">
        <v>60</v>
      </c>
      <c r="D386">
        <v>10</v>
      </c>
      <c r="E386" t="s">
        <v>303</v>
      </c>
      <c r="F386" t="s">
        <v>3200</v>
      </c>
      <c r="G386" t="s">
        <v>757</v>
      </c>
      <c r="H386" t="s">
        <v>1872</v>
      </c>
      <c r="I386" t="s">
        <v>759</v>
      </c>
      <c r="J386">
        <v>0</v>
      </c>
      <c r="K386">
        <v>0</v>
      </c>
      <c r="L386">
        <v>0</v>
      </c>
      <c r="M386">
        <v>5.63</v>
      </c>
      <c r="N386">
        <v>1.34</v>
      </c>
      <c r="O386">
        <v>1.24</v>
      </c>
      <c r="Q386" t="s">
        <v>336</v>
      </c>
      <c r="R386">
        <v>5907698012795</v>
      </c>
      <c r="S386">
        <v>460</v>
      </c>
      <c r="T386" t="s">
        <v>760</v>
      </c>
      <c r="V386">
        <v>8202100000</v>
      </c>
    </row>
    <row r="387" spans="1:22" x14ac:dyDescent="0.25">
      <c r="A387">
        <v>531500</v>
      </c>
      <c r="B387" t="s">
        <v>302</v>
      </c>
      <c r="C387">
        <v>60</v>
      </c>
      <c r="D387">
        <v>10</v>
      </c>
      <c r="E387" t="s">
        <v>303</v>
      </c>
      <c r="F387" t="s">
        <v>3200</v>
      </c>
      <c r="G387" t="s">
        <v>757</v>
      </c>
      <c r="H387" t="s">
        <v>1873</v>
      </c>
      <c r="I387" t="s">
        <v>759</v>
      </c>
      <c r="J387">
        <v>0</v>
      </c>
      <c r="K387">
        <v>1</v>
      </c>
      <c r="L387">
        <v>1</v>
      </c>
      <c r="M387">
        <v>5.21</v>
      </c>
      <c r="N387">
        <v>1.24</v>
      </c>
      <c r="O387">
        <v>1.1399999999999999</v>
      </c>
      <c r="Q387" t="s">
        <v>336</v>
      </c>
      <c r="R387">
        <v>5907698012801</v>
      </c>
      <c r="S387">
        <v>240</v>
      </c>
      <c r="T387" t="s">
        <v>760</v>
      </c>
      <c r="V387">
        <v>8202100000</v>
      </c>
    </row>
    <row r="388" spans="1:22" x14ac:dyDescent="0.25">
      <c r="A388">
        <v>531520</v>
      </c>
      <c r="B388" t="s">
        <v>302</v>
      </c>
      <c r="C388">
        <v>24</v>
      </c>
      <c r="D388">
        <v>6</v>
      </c>
      <c r="E388" t="s">
        <v>303</v>
      </c>
      <c r="F388" t="s">
        <v>3200</v>
      </c>
      <c r="G388" t="s">
        <v>757</v>
      </c>
      <c r="H388" t="s">
        <v>761</v>
      </c>
      <c r="I388" t="s">
        <v>759</v>
      </c>
      <c r="J388">
        <v>6</v>
      </c>
      <c r="K388">
        <v>5</v>
      </c>
      <c r="L388">
        <v>11</v>
      </c>
      <c r="M388">
        <v>5.73</v>
      </c>
      <c r="N388">
        <v>1.39</v>
      </c>
      <c r="O388">
        <v>1.27</v>
      </c>
      <c r="Q388" t="s">
        <v>336</v>
      </c>
      <c r="R388">
        <v>5907698012818</v>
      </c>
      <c r="S388">
        <v>1000</v>
      </c>
      <c r="T388" t="s">
        <v>762</v>
      </c>
      <c r="V388">
        <v>8202100000</v>
      </c>
    </row>
    <row r="389" spans="1:22" x14ac:dyDescent="0.25">
      <c r="A389">
        <v>531530</v>
      </c>
      <c r="B389" t="s">
        <v>302</v>
      </c>
      <c r="C389">
        <v>24</v>
      </c>
      <c r="D389">
        <v>6</v>
      </c>
      <c r="E389" t="s">
        <v>303</v>
      </c>
      <c r="F389" t="s">
        <v>3200</v>
      </c>
      <c r="G389" t="s">
        <v>757</v>
      </c>
      <c r="H389" t="s">
        <v>763</v>
      </c>
      <c r="I389" t="s">
        <v>759</v>
      </c>
      <c r="J389">
        <v>0</v>
      </c>
      <c r="K389">
        <v>1</v>
      </c>
      <c r="L389">
        <v>1</v>
      </c>
      <c r="M389">
        <v>6.08</v>
      </c>
      <c r="N389">
        <v>1.46</v>
      </c>
      <c r="O389">
        <v>1.35</v>
      </c>
      <c r="Q389" t="s">
        <v>336</v>
      </c>
      <c r="R389">
        <v>5907698012825</v>
      </c>
      <c r="S389">
        <v>1100</v>
      </c>
      <c r="T389" t="s">
        <v>762</v>
      </c>
      <c r="V389">
        <v>8202100000</v>
      </c>
    </row>
    <row r="390" spans="1:22" x14ac:dyDescent="0.25">
      <c r="A390">
        <v>531540</v>
      </c>
      <c r="B390" t="s">
        <v>302</v>
      </c>
      <c r="C390">
        <v>24</v>
      </c>
      <c r="D390">
        <v>6</v>
      </c>
      <c r="E390" t="s">
        <v>303</v>
      </c>
      <c r="F390" t="s">
        <v>3200</v>
      </c>
      <c r="G390" t="s">
        <v>757</v>
      </c>
      <c r="H390" t="s">
        <v>764</v>
      </c>
      <c r="I390" t="s">
        <v>759</v>
      </c>
      <c r="J390">
        <v>261</v>
      </c>
      <c r="K390">
        <v>6</v>
      </c>
      <c r="L390">
        <v>267</v>
      </c>
      <c r="M390">
        <v>7.13</v>
      </c>
      <c r="N390">
        <v>1.91</v>
      </c>
      <c r="O390">
        <v>1.61</v>
      </c>
      <c r="Q390" t="s">
        <v>336</v>
      </c>
      <c r="R390">
        <v>5907698012832</v>
      </c>
      <c r="S390">
        <v>680</v>
      </c>
      <c r="T390" t="s">
        <v>762</v>
      </c>
      <c r="V390">
        <v>8202100000</v>
      </c>
    </row>
    <row r="391" spans="1:22" x14ac:dyDescent="0.25">
      <c r="A391">
        <v>531550</v>
      </c>
      <c r="B391" t="s">
        <v>302</v>
      </c>
      <c r="C391">
        <v>24</v>
      </c>
      <c r="D391">
        <v>6</v>
      </c>
      <c r="E391" t="s">
        <v>303</v>
      </c>
      <c r="F391" t="s">
        <v>3200</v>
      </c>
      <c r="G391" t="s">
        <v>757</v>
      </c>
      <c r="H391" t="s">
        <v>765</v>
      </c>
      <c r="I391" t="s">
        <v>759</v>
      </c>
      <c r="J391">
        <v>0</v>
      </c>
      <c r="K391">
        <v>0</v>
      </c>
      <c r="L391">
        <v>0</v>
      </c>
      <c r="M391">
        <v>7.69</v>
      </c>
      <c r="N391">
        <v>2.06</v>
      </c>
      <c r="O391">
        <v>1.74</v>
      </c>
      <c r="Q391" t="s">
        <v>336</v>
      </c>
      <c r="R391">
        <v>5907698012849</v>
      </c>
      <c r="S391">
        <v>240</v>
      </c>
      <c r="T391" t="s">
        <v>762</v>
      </c>
      <c r="V391">
        <v>8202100000</v>
      </c>
    </row>
    <row r="392" spans="1:22" x14ac:dyDescent="0.25">
      <c r="A392">
        <v>543002</v>
      </c>
      <c r="B392" t="s">
        <v>3034</v>
      </c>
      <c r="C392">
        <v>40</v>
      </c>
      <c r="D392">
        <v>10</v>
      </c>
      <c r="E392" t="s">
        <v>303</v>
      </c>
      <c r="F392" t="s">
        <v>3201</v>
      </c>
      <c r="G392" t="s">
        <v>766</v>
      </c>
      <c r="H392" t="s">
        <v>1874</v>
      </c>
      <c r="I392" t="s">
        <v>767</v>
      </c>
      <c r="J392">
        <v>114</v>
      </c>
      <c r="K392">
        <v>1</v>
      </c>
      <c r="L392">
        <v>115</v>
      </c>
      <c r="M392">
        <v>11.3</v>
      </c>
      <c r="N392">
        <v>2.67</v>
      </c>
      <c r="O392">
        <v>2.48</v>
      </c>
      <c r="Q392" t="s">
        <v>2</v>
      </c>
      <c r="R392">
        <v>5907698028710</v>
      </c>
      <c r="S392">
        <v>100</v>
      </c>
      <c r="T392" t="s">
        <v>768</v>
      </c>
      <c r="V392">
        <v>8202100000</v>
      </c>
    </row>
    <row r="393" spans="1:22" x14ac:dyDescent="0.25">
      <c r="A393">
        <v>543010</v>
      </c>
      <c r="B393" t="s">
        <v>302</v>
      </c>
      <c r="C393">
        <v>72</v>
      </c>
      <c r="D393">
        <v>24</v>
      </c>
      <c r="E393" t="s">
        <v>303</v>
      </c>
      <c r="F393" t="s">
        <v>3202</v>
      </c>
      <c r="G393" t="s">
        <v>769</v>
      </c>
      <c r="H393" t="s">
        <v>520</v>
      </c>
      <c r="I393" t="s">
        <v>770</v>
      </c>
      <c r="J393">
        <v>87</v>
      </c>
      <c r="K393">
        <v>73</v>
      </c>
      <c r="L393">
        <v>160</v>
      </c>
      <c r="M393">
        <v>6.57</v>
      </c>
      <c r="N393">
        <v>1.77</v>
      </c>
      <c r="O393">
        <v>1.5</v>
      </c>
      <c r="Q393" t="s">
        <v>2548</v>
      </c>
      <c r="R393">
        <v>5907698025559</v>
      </c>
      <c r="S393">
        <v>720</v>
      </c>
      <c r="T393" t="s">
        <v>771</v>
      </c>
      <c r="V393">
        <v>8202100000</v>
      </c>
    </row>
    <row r="394" spans="1:22" x14ac:dyDescent="0.25">
      <c r="A394">
        <v>543015</v>
      </c>
      <c r="B394" t="s">
        <v>2993</v>
      </c>
      <c r="C394">
        <v>60</v>
      </c>
      <c r="D394">
        <v>0</v>
      </c>
      <c r="E394" t="s">
        <v>303</v>
      </c>
      <c r="F394" t="s">
        <v>3203</v>
      </c>
      <c r="G394" t="s">
        <v>3204</v>
      </c>
      <c r="H394" t="s">
        <v>2959</v>
      </c>
      <c r="I394" t="s">
        <v>3205</v>
      </c>
      <c r="J394">
        <v>239</v>
      </c>
      <c r="K394">
        <v>0</v>
      </c>
      <c r="L394">
        <v>239</v>
      </c>
      <c r="M394">
        <v>9.6</v>
      </c>
      <c r="N394">
        <v>2.4300000000000002</v>
      </c>
      <c r="O394">
        <v>2.09</v>
      </c>
      <c r="Q394" t="s">
        <v>3745</v>
      </c>
      <c r="R394">
        <v>5907698030911</v>
      </c>
      <c r="S394">
        <v>120</v>
      </c>
      <c r="T394" t="s">
        <v>3145</v>
      </c>
      <c r="U394" t="s">
        <v>3746</v>
      </c>
      <c r="V394">
        <v>8211920000</v>
      </c>
    </row>
    <row r="395" spans="1:22" x14ac:dyDescent="0.25">
      <c r="A395">
        <v>552500</v>
      </c>
      <c r="B395" t="s">
        <v>302</v>
      </c>
      <c r="C395">
        <v>256</v>
      </c>
      <c r="E395" t="s">
        <v>303</v>
      </c>
      <c r="F395" t="s">
        <v>3206</v>
      </c>
      <c r="G395" t="s">
        <v>1875</v>
      </c>
      <c r="H395" t="s">
        <v>520</v>
      </c>
      <c r="I395" t="s">
        <v>1876</v>
      </c>
      <c r="J395">
        <v>0</v>
      </c>
      <c r="K395">
        <v>0</v>
      </c>
      <c r="L395">
        <v>0</v>
      </c>
      <c r="M395">
        <v>1.47</v>
      </c>
      <c r="N395">
        <v>0.35</v>
      </c>
      <c r="O395">
        <v>0.32</v>
      </c>
      <c r="Q395" t="s">
        <v>3</v>
      </c>
      <c r="R395">
        <v>5907698012900</v>
      </c>
      <c r="S395">
        <v>580</v>
      </c>
      <c r="T395" t="s">
        <v>360</v>
      </c>
      <c r="V395">
        <v>8202100000</v>
      </c>
    </row>
    <row r="396" spans="1:22" x14ac:dyDescent="0.25">
      <c r="A396">
        <v>553000</v>
      </c>
      <c r="B396" t="s">
        <v>302</v>
      </c>
      <c r="C396">
        <v>48</v>
      </c>
      <c r="D396">
        <v>6</v>
      </c>
      <c r="E396" t="s">
        <v>303</v>
      </c>
      <c r="F396" t="s">
        <v>3207</v>
      </c>
      <c r="G396" t="s">
        <v>1877</v>
      </c>
      <c r="H396" t="s">
        <v>523</v>
      </c>
      <c r="I396" t="s">
        <v>1878</v>
      </c>
      <c r="J396">
        <v>0</v>
      </c>
      <c r="K396">
        <v>2</v>
      </c>
      <c r="L396">
        <v>2</v>
      </c>
      <c r="M396">
        <v>4.41</v>
      </c>
      <c r="N396">
        <v>1.1499999999999999</v>
      </c>
      <c r="O396">
        <v>0.99</v>
      </c>
      <c r="Q396" t="s">
        <v>4</v>
      </c>
      <c r="R396">
        <v>5907698012917</v>
      </c>
      <c r="S396">
        <v>1000</v>
      </c>
      <c r="T396" t="s">
        <v>760</v>
      </c>
      <c r="V396">
        <v>8202100000</v>
      </c>
    </row>
    <row r="397" spans="1:22" x14ac:dyDescent="0.25">
      <c r="A397">
        <v>553500</v>
      </c>
      <c r="B397" t="s">
        <v>302</v>
      </c>
      <c r="C397">
        <v>60</v>
      </c>
      <c r="D397">
        <v>10</v>
      </c>
      <c r="E397" t="s">
        <v>303</v>
      </c>
      <c r="F397" t="s">
        <v>3208</v>
      </c>
      <c r="G397" t="s">
        <v>772</v>
      </c>
      <c r="H397" t="s">
        <v>773</v>
      </c>
      <c r="I397" t="s">
        <v>774</v>
      </c>
      <c r="J397">
        <v>940</v>
      </c>
      <c r="K397">
        <v>21</v>
      </c>
      <c r="L397">
        <v>961</v>
      </c>
      <c r="M397">
        <v>5.7</v>
      </c>
      <c r="N397">
        <v>1.38</v>
      </c>
      <c r="O397">
        <v>1.26</v>
      </c>
      <c r="Q397" t="s">
        <v>2</v>
      </c>
      <c r="R397">
        <v>5907698012924</v>
      </c>
      <c r="S397">
        <v>1300</v>
      </c>
      <c r="T397" t="s">
        <v>760</v>
      </c>
      <c r="V397">
        <v>8202100000</v>
      </c>
    </row>
    <row r="398" spans="1:22" x14ac:dyDescent="0.25">
      <c r="A398">
        <v>554000</v>
      </c>
      <c r="B398" t="s">
        <v>3034</v>
      </c>
      <c r="C398">
        <v>60</v>
      </c>
      <c r="D398">
        <v>10</v>
      </c>
      <c r="E398" t="s">
        <v>303</v>
      </c>
      <c r="F398" t="s">
        <v>3209</v>
      </c>
      <c r="G398" t="s">
        <v>775</v>
      </c>
      <c r="H398" t="s">
        <v>523</v>
      </c>
      <c r="I398" t="s">
        <v>776</v>
      </c>
      <c r="J398">
        <v>204</v>
      </c>
      <c r="K398">
        <v>21</v>
      </c>
      <c r="L398">
        <v>225</v>
      </c>
      <c r="M398">
        <v>3.47</v>
      </c>
      <c r="N398">
        <v>0.82</v>
      </c>
      <c r="O398">
        <v>0.75</v>
      </c>
      <c r="Q398" t="s">
        <v>2</v>
      </c>
      <c r="R398">
        <v>5907698012955</v>
      </c>
      <c r="S398">
        <v>800</v>
      </c>
      <c r="T398" t="s">
        <v>360</v>
      </c>
      <c r="V398">
        <v>8202100000</v>
      </c>
    </row>
    <row r="399" spans="1:22" x14ac:dyDescent="0.25">
      <c r="A399">
        <v>563000</v>
      </c>
      <c r="B399" t="s">
        <v>302</v>
      </c>
      <c r="C399">
        <v>80</v>
      </c>
      <c r="D399">
        <v>5</v>
      </c>
      <c r="E399" t="s">
        <v>303</v>
      </c>
      <c r="F399" t="s">
        <v>777</v>
      </c>
      <c r="G399" t="s">
        <v>778</v>
      </c>
      <c r="H399" t="s">
        <v>779</v>
      </c>
      <c r="I399" t="s">
        <v>780</v>
      </c>
      <c r="J399">
        <v>819</v>
      </c>
      <c r="K399">
        <v>35</v>
      </c>
      <c r="L399">
        <v>854</v>
      </c>
      <c r="M399">
        <v>3.44</v>
      </c>
      <c r="N399">
        <v>0.9</v>
      </c>
      <c r="O399">
        <v>0.77</v>
      </c>
      <c r="Q399" t="s">
        <v>4</v>
      </c>
      <c r="R399">
        <v>5907698012979</v>
      </c>
      <c r="S399">
        <v>500</v>
      </c>
      <c r="T399" t="s">
        <v>857</v>
      </c>
      <c r="V399">
        <v>8202992000</v>
      </c>
    </row>
    <row r="400" spans="1:22" x14ac:dyDescent="0.25">
      <c r="A400">
        <v>563102</v>
      </c>
      <c r="B400" t="s">
        <v>302</v>
      </c>
      <c r="C400">
        <v>144</v>
      </c>
      <c r="D400">
        <v>24</v>
      </c>
      <c r="E400" t="s">
        <v>303</v>
      </c>
      <c r="F400" t="s">
        <v>777</v>
      </c>
      <c r="G400" t="s">
        <v>778</v>
      </c>
      <c r="H400" t="s">
        <v>781</v>
      </c>
      <c r="I400" t="s">
        <v>780</v>
      </c>
      <c r="J400">
        <v>53</v>
      </c>
      <c r="K400">
        <v>25</v>
      </c>
      <c r="L400">
        <v>78</v>
      </c>
      <c r="M400">
        <v>6.64</v>
      </c>
      <c r="N400">
        <v>1.57</v>
      </c>
      <c r="O400">
        <v>1.46</v>
      </c>
      <c r="Q400" t="s">
        <v>336</v>
      </c>
      <c r="R400">
        <v>5907698022237</v>
      </c>
      <c r="S400">
        <v>400</v>
      </c>
      <c r="T400" t="s">
        <v>565</v>
      </c>
      <c r="V400">
        <v>8202992000</v>
      </c>
    </row>
    <row r="401" spans="1:22" x14ac:dyDescent="0.25">
      <c r="A401">
        <v>580010</v>
      </c>
      <c r="B401" t="s">
        <v>302</v>
      </c>
      <c r="C401">
        <v>80</v>
      </c>
      <c r="D401">
        <v>10</v>
      </c>
      <c r="E401" t="s">
        <v>303</v>
      </c>
      <c r="F401" t="s">
        <v>782</v>
      </c>
      <c r="G401" t="s">
        <v>783</v>
      </c>
      <c r="H401" t="s">
        <v>784</v>
      </c>
      <c r="I401" t="s">
        <v>785</v>
      </c>
      <c r="J401">
        <v>924</v>
      </c>
      <c r="K401">
        <v>10</v>
      </c>
      <c r="L401">
        <v>934</v>
      </c>
      <c r="M401">
        <v>3.82</v>
      </c>
      <c r="N401">
        <v>0.97</v>
      </c>
      <c r="O401">
        <v>0.86</v>
      </c>
      <c r="Q401" t="s">
        <v>336</v>
      </c>
      <c r="R401">
        <v>5907698013013</v>
      </c>
      <c r="S401">
        <v>1800</v>
      </c>
      <c r="T401" t="s">
        <v>482</v>
      </c>
      <c r="V401">
        <v>8207909900</v>
      </c>
    </row>
    <row r="402" spans="1:22" x14ac:dyDescent="0.25">
      <c r="A402">
        <v>580020</v>
      </c>
      <c r="B402" t="s">
        <v>302</v>
      </c>
      <c r="C402">
        <v>60</v>
      </c>
      <c r="D402">
        <v>6</v>
      </c>
      <c r="E402" t="s">
        <v>303</v>
      </c>
      <c r="F402" t="s">
        <v>782</v>
      </c>
      <c r="G402" t="s">
        <v>783</v>
      </c>
      <c r="H402" t="s">
        <v>786</v>
      </c>
      <c r="I402" t="s">
        <v>785</v>
      </c>
      <c r="J402">
        <v>0</v>
      </c>
      <c r="K402">
        <v>0</v>
      </c>
      <c r="L402">
        <v>0</v>
      </c>
      <c r="M402">
        <v>4.82</v>
      </c>
      <c r="N402">
        <v>1.1599999999999999</v>
      </c>
      <c r="O402">
        <v>1.07</v>
      </c>
      <c r="Q402" t="s">
        <v>336</v>
      </c>
      <c r="R402">
        <v>5907698013020</v>
      </c>
      <c r="S402">
        <v>1450</v>
      </c>
      <c r="T402" t="s">
        <v>482</v>
      </c>
      <c r="V402">
        <v>8207909900</v>
      </c>
    </row>
    <row r="403" spans="1:22" x14ac:dyDescent="0.25">
      <c r="A403">
        <v>588040</v>
      </c>
      <c r="B403" t="s">
        <v>302</v>
      </c>
      <c r="C403">
        <v>24</v>
      </c>
      <c r="D403">
        <v>6</v>
      </c>
      <c r="E403" t="s">
        <v>303</v>
      </c>
      <c r="F403" t="s">
        <v>782</v>
      </c>
      <c r="G403" t="s">
        <v>783</v>
      </c>
      <c r="H403" t="s">
        <v>787</v>
      </c>
      <c r="I403" t="s">
        <v>785</v>
      </c>
      <c r="J403">
        <v>409</v>
      </c>
      <c r="K403">
        <v>24</v>
      </c>
      <c r="L403">
        <v>433</v>
      </c>
      <c r="M403">
        <v>9.82</v>
      </c>
      <c r="N403">
        <v>2.48</v>
      </c>
      <c r="O403">
        <v>2.2000000000000002</v>
      </c>
      <c r="Q403" t="s">
        <v>336</v>
      </c>
      <c r="R403">
        <v>5907698013037</v>
      </c>
      <c r="S403">
        <v>950</v>
      </c>
      <c r="T403" t="s">
        <v>482</v>
      </c>
      <c r="V403">
        <v>8207909900</v>
      </c>
    </row>
    <row r="404" spans="1:22" x14ac:dyDescent="0.25">
      <c r="A404">
        <v>588110</v>
      </c>
      <c r="B404" t="s">
        <v>302</v>
      </c>
      <c r="C404">
        <v>20</v>
      </c>
      <c r="E404" t="s">
        <v>303</v>
      </c>
      <c r="F404" t="s">
        <v>782</v>
      </c>
      <c r="G404" t="s">
        <v>788</v>
      </c>
      <c r="H404" t="s">
        <v>789</v>
      </c>
      <c r="I404" t="s">
        <v>785</v>
      </c>
      <c r="J404">
        <v>332</v>
      </c>
      <c r="K404">
        <v>20</v>
      </c>
      <c r="L404">
        <v>352</v>
      </c>
      <c r="M404">
        <v>11.19</v>
      </c>
      <c r="N404">
        <v>2.82</v>
      </c>
      <c r="O404">
        <v>2.5099999999999998</v>
      </c>
      <c r="Q404" t="s">
        <v>3744</v>
      </c>
      <c r="R404">
        <v>5907698013044</v>
      </c>
      <c r="S404">
        <v>530</v>
      </c>
      <c r="T404" t="s">
        <v>423</v>
      </c>
      <c r="V404">
        <v>8207909900</v>
      </c>
    </row>
    <row r="405" spans="1:22" x14ac:dyDescent="0.25">
      <c r="A405">
        <v>588115</v>
      </c>
      <c r="B405" t="s">
        <v>3008</v>
      </c>
      <c r="C405">
        <v>20</v>
      </c>
      <c r="E405" t="s">
        <v>303</v>
      </c>
      <c r="F405" t="s">
        <v>782</v>
      </c>
      <c r="G405" t="s">
        <v>788</v>
      </c>
      <c r="H405" t="s">
        <v>790</v>
      </c>
      <c r="I405" t="s">
        <v>785</v>
      </c>
      <c r="J405">
        <v>157</v>
      </c>
      <c r="K405">
        <v>20</v>
      </c>
      <c r="L405">
        <v>177</v>
      </c>
      <c r="M405">
        <v>11.42</v>
      </c>
      <c r="N405">
        <v>3.04</v>
      </c>
      <c r="O405">
        <v>2.57</v>
      </c>
      <c r="Q405" t="s">
        <v>3744</v>
      </c>
      <c r="R405">
        <v>5907698023944</v>
      </c>
      <c r="S405">
        <v>300</v>
      </c>
      <c r="T405" t="s">
        <v>423</v>
      </c>
      <c r="V405">
        <v>8207909900</v>
      </c>
    </row>
    <row r="406" spans="1:22" x14ac:dyDescent="0.25">
      <c r="A406">
        <v>595000</v>
      </c>
      <c r="B406" t="s">
        <v>302</v>
      </c>
      <c r="C406">
        <v>40</v>
      </c>
      <c r="E406" t="s">
        <v>303</v>
      </c>
      <c r="F406" t="s">
        <v>3210</v>
      </c>
      <c r="G406" t="s">
        <v>791</v>
      </c>
      <c r="H406" t="s">
        <v>792</v>
      </c>
      <c r="I406" t="s">
        <v>793</v>
      </c>
      <c r="J406">
        <v>0</v>
      </c>
      <c r="K406">
        <v>0</v>
      </c>
      <c r="L406">
        <v>0</v>
      </c>
      <c r="M406">
        <v>10.49</v>
      </c>
      <c r="N406">
        <v>2.65</v>
      </c>
      <c r="O406">
        <v>2.36</v>
      </c>
      <c r="Q406" t="s">
        <v>336</v>
      </c>
      <c r="R406">
        <v>5907698013051</v>
      </c>
      <c r="S406">
        <v>700</v>
      </c>
      <c r="T406" t="s">
        <v>535</v>
      </c>
      <c r="V406">
        <v>8202100000</v>
      </c>
    </row>
    <row r="407" spans="1:22" x14ac:dyDescent="0.25">
      <c r="A407">
        <v>595050</v>
      </c>
      <c r="B407" t="s">
        <v>302</v>
      </c>
      <c r="C407">
        <v>36</v>
      </c>
      <c r="E407" t="s">
        <v>303</v>
      </c>
      <c r="F407" t="s">
        <v>3211</v>
      </c>
      <c r="G407" t="s">
        <v>794</v>
      </c>
      <c r="H407" t="s">
        <v>795</v>
      </c>
      <c r="I407" t="s">
        <v>796</v>
      </c>
      <c r="J407">
        <v>202</v>
      </c>
      <c r="K407">
        <v>324</v>
      </c>
      <c r="L407">
        <v>526</v>
      </c>
      <c r="M407">
        <v>5.95</v>
      </c>
      <c r="N407">
        <v>1.52</v>
      </c>
      <c r="O407">
        <v>1.3</v>
      </c>
      <c r="Q407" t="s">
        <v>336</v>
      </c>
      <c r="R407">
        <v>5907698013068</v>
      </c>
      <c r="S407">
        <v>540</v>
      </c>
      <c r="T407" t="s">
        <v>535</v>
      </c>
      <c r="V407">
        <v>8202100000</v>
      </c>
    </row>
    <row r="408" spans="1:22" x14ac:dyDescent="0.25">
      <c r="A408">
        <v>595500</v>
      </c>
      <c r="B408" t="s">
        <v>302</v>
      </c>
      <c r="C408">
        <v>1</v>
      </c>
      <c r="D408">
        <v>0</v>
      </c>
      <c r="E408" t="s">
        <v>303</v>
      </c>
      <c r="F408" t="s">
        <v>3212</v>
      </c>
      <c r="G408" t="s">
        <v>797</v>
      </c>
      <c r="H408" t="s">
        <v>798</v>
      </c>
      <c r="I408" t="s">
        <v>799</v>
      </c>
      <c r="J408">
        <v>0</v>
      </c>
      <c r="K408">
        <v>0</v>
      </c>
      <c r="L408">
        <v>0</v>
      </c>
      <c r="M408">
        <v>64.33</v>
      </c>
      <c r="N408">
        <v>16.489999999999998</v>
      </c>
      <c r="O408">
        <v>14.13</v>
      </c>
      <c r="Q408" t="s">
        <v>2</v>
      </c>
      <c r="R408">
        <v>5907698013075</v>
      </c>
      <c r="S408">
        <v>90</v>
      </c>
      <c r="T408" t="s">
        <v>736</v>
      </c>
      <c r="V408">
        <v>8202100000</v>
      </c>
    </row>
    <row r="409" spans="1:22" x14ac:dyDescent="0.25">
      <c r="A409">
        <v>597002</v>
      </c>
      <c r="B409" t="s">
        <v>302</v>
      </c>
      <c r="C409">
        <v>6</v>
      </c>
      <c r="E409" t="s">
        <v>303</v>
      </c>
      <c r="F409" t="s">
        <v>3213</v>
      </c>
      <c r="G409" t="s">
        <v>1879</v>
      </c>
      <c r="H409" t="s">
        <v>1880</v>
      </c>
      <c r="I409" t="s">
        <v>1881</v>
      </c>
      <c r="J409">
        <v>129</v>
      </c>
      <c r="K409">
        <v>0</v>
      </c>
      <c r="L409">
        <v>129</v>
      </c>
      <c r="M409">
        <v>66.260000000000005</v>
      </c>
      <c r="N409">
        <v>16.739999999999998</v>
      </c>
      <c r="O409">
        <v>14.35</v>
      </c>
      <c r="Q409" t="s">
        <v>2</v>
      </c>
      <c r="R409">
        <v>5907698025221</v>
      </c>
      <c r="S409">
        <v>64</v>
      </c>
      <c r="T409" t="s">
        <v>800</v>
      </c>
      <c r="V409">
        <v>8716800000</v>
      </c>
    </row>
    <row r="410" spans="1:22" x14ac:dyDescent="0.25">
      <c r="A410">
        <v>597015</v>
      </c>
      <c r="B410" t="s">
        <v>2993</v>
      </c>
      <c r="C410">
        <v>0</v>
      </c>
      <c r="E410" t="s">
        <v>303</v>
      </c>
      <c r="F410" t="s">
        <v>3213</v>
      </c>
      <c r="G410" t="s">
        <v>3759</v>
      </c>
      <c r="H410" t="s">
        <v>3760</v>
      </c>
      <c r="I410" t="s">
        <v>1881</v>
      </c>
      <c r="J410">
        <v>0</v>
      </c>
      <c r="K410">
        <v>0</v>
      </c>
      <c r="L410">
        <v>0</v>
      </c>
      <c r="M410">
        <v>78.02</v>
      </c>
      <c r="N410">
        <v>20.57</v>
      </c>
      <c r="O410">
        <v>17.420000000000002</v>
      </c>
      <c r="Q410" t="s">
        <v>3761</v>
      </c>
      <c r="R410">
        <v>597015</v>
      </c>
      <c r="S410">
        <v>100</v>
      </c>
      <c r="T410" t="s">
        <v>3762</v>
      </c>
    </row>
    <row r="411" spans="1:22" x14ac:dyDescent="0.25">
      <c r="A411">
        <v>597040</v>
      </c>
      <c r="B411" t="s">
        <v>2993</v>
      </c>
      <c r="C411">
        <v>0</v>
      </c>
      <c r="E411" t="s">
        <v>303</v>
      </c>
      <c r="F411" t="s">
        <v>3763</v>
      </c>
      <c r="G411" t="s">
        <v>3764</v>
      </c>
      <c r="H411" t="s">
        <v>3765</v>
      </c>
      <c r="I411" t="s">
        <v>3766</v>
      </c>
      <c r="J411">
        <v>0</v>
      </c>
      <c r="K411">
        <v>0</v>
      </c>
      <c r="L411">
        <v>0</v>
      </c>
      <c r="M411">
        <v>53.18</v>
      </c>
      <c r="N411">
        <v>14.03</v>
      </c>
      <c r="O411">
        <v>11.87</v>
      </c>
      <c r="Q411" t="s">
        <v>3761</v>
      </c>
      <c r="R411">
        <v>597040</v>
      </c>
      <c r="S411">
        <v>100</v>
      </c>
      <c r="T411" t="s">
        <v>3762</v>
      </c>
    </row>
    <row r="412" spans="1:22" x14ac:dyDescent="0.25">
      <c r="A412">
        <v>598120</v>
      </c>
      <c r="B412" t="s">
        <v>302</v>
      </c>
      <c r="C412">
        <v>36</v>
      </c>
      <c r="D412">
        <v>12</v>
      </c>
      <c r="E412" t="s">
        <v>303</v>
      </c>
      <c r="F412" t="s">
        <v>3214</v>
      </c>
      <c r="G412" t="s">
        <v>801</v>
      </c>
      <c r="H412" t="s">
        <v>802</v>
      </c>
      <c r="I412" t="s">
        <v>803</v>
      </c>
      <c r="J412">
        <v>251</v>
      </c>
      <c r="K412">
        <v>73</v>
      </c>
      <c r="L412">
        <v>324</v>
      </c>
      <c r="M412">
        <v>4.6399999999999997</v>
      </c>
      <c r="N412">
        <v>1.22</v>
      </c>
      <c r="O412">
        <v>1.03</v>
      </c>
      <c r="Q412" t="s">
        <v>2548</v>
      </c>
      <c r="R412">
        <v>5907698013082</v>
      </c>
      <c r="S412">
        <v>240</v>
      </c>
      <c r="T412" t="s">
        <v>482</v>
      </c>
      <c r="V412">
        <v>8302200090</v>
      </c>
    </row>
    <row r="413" spans="1:22" x14ac:dyDescent="0.25">
      <c r="A413">
        <v>598130</v>
      </c>
      <c r="B413" t="s">
        <v>302</v>
      </c>
      <c r="C413">
        <v>36</v>
      </c>
      <c r="D413">
        <v>12</v>
      </c>
      <c r="E413" t="s">
        <v>303</v>
      </c>
      <c r="F413" t="s">
        <v>3214</v>
      </c>
      <c r="G413" t="s">
        <v>801</v>
      </c>
      <c r="H413" t="s">
        <v>804</v>
      </c>
      <c r="I413" t="s">
        <v>805</v>
      </c>
      <c r="J413">
        <v>126</v>
      </c>
      <c r="K413">
        <v>73</v>
      </c>
      <c r="L413">
        <v>199</v>
      </c>
      <c r="M413">
        <v>5.47</v>
      </c>
      <c r="N413">
        <v>1.44</v>
      </c>
      <c r="O413">
        <v>1.22</v>
      </c>
      <c r="Q413" t="s">
        <v>3031</v>
      </c>
      <c r="R413">
        <v>5907698013099</v>
      </c>
      <c r="S413">
        <v>360</v>
      </c>
      <c r="T413" t="s">
        <v>482</v>
      </c>
      <c r="V413">
        <v>8302200090</v>
      </c>
    </row>
    <row r="414" spans="1:22" x14ac:dyDescent="0.25">
      <c r="A414">
        <v>598140</v>
      </c>
      <c r="B414" t="s">
        <v>302</v>
      </c>
      <c r="C414">
        <v>48</v>
      </c>
      <c r="D414">
        <v>12</v>
      </c>
      <c r="E414" t="s">
        <v>303</v>
      </c>
      <c r="F414" t="s">
        <v>3214</v>
      </c>
      <c r="G414" t="s">
        <v>801</v>
      </c>
      <c r="H414" t="s">
        <v>806</v>
      </c>
      <c r="I414" t="s">
        <v>805</v>
      </c>
      <c r="J414">
        <v>0</v>
      </c>
      <c r="K414">
        <v>0</v>
      </c>
      <c r="L414">
        <v>0</v>
      </c>
      <c r="M414">
        <v>5.31</v>
      </c>
      <c r="N414">
        <v>1.39</v>
      </c>
      <c r="O414">
        <v>1.17</v>
      </c>
      <c r="Q414" t="s">
        <v>2548</v>
      </c>
      <c r="R414">
        <v>5907698013105</v>
      </c>
      <c r="S414">
        <v>320</v>
      </c>
      <c r="T414" t="s">
        <v>482</v>
      </c>
      <c r="V414">
        <v>8302200090</v>
      </c>
    </row>
    <row r="415" spans="1:22" x14ac:dyDescent="0.25">
      <c r="A415">
        <v>598150</v>
      </c>
      <c r="B415" t="s">
        <v>302</v>
      </c>
      <c r="C415">
        <v>32</v>
      </c>
      <c r="D415">
        <v>8</v>
      </c>
      <c r="E415" t="s">
        <v>303</v>
      </c>
      <c r="F415" t="s">
        <v>3214</v>
      </c>
      <c r="G415" t="s">
        <v>801</v>
      </c>
      <c r="H415" t="s">
        <v>807</v>
      </c>
      <c r="I415" t="s">
        <v>805</v>
      </c>
      <c r="J415">
        <v>829</v>
      </c>
      <c r="K415">
        <v>73</v>
      </c>
      <c r="L415">
        <v>902</v>
      </c>
      <c r="M415">
        <v>4.54</v>
      </c>
      <c r="N415">
        <v>1.19</v>
      </c>
      <c r="O415">
        <v>1.02</v>
      </c>
      <c r="Q415" t="s">
        <v>2548</v>
      </c>
      <c r="R415">
        <v>5907698013112</v>
      </c>
      <c r="S415">
        <v>560</v>
      </c>
      <c r="T415" t="s">
        <v>482</v>
      </c>
      <c r="V415">
        <v>8302200090</v>
      </c>
    </row>
    <row r="416" spans="1:22" x14ac:dyDescent="0.25">
      <c r="A416">
        <v>598240</v>
      </c>
      <c r="B416" t="s">
        <v>302</v>
      </c>
      <c r="C416">
        <v>60</v>
      </c>
      <c r="D416">
        <v>10</v>
      </c>
      <c r="E416" t="s">
        <v>303</v>
      </c>
      <c r="F416" t="s">
        <v>3215</v>
      </c>
      <c r="G416" t="s">
        <v>808</v>
      </c>
      <c r="H416" t="s">
        <v>2645</v>
      </c>
      <c r="I416" t="s">
        <v>809</v>
      </c>
      <c r="J416">
        <v>550</v>
      </c>
      <c r="K416">
        <v>60</v>
      </c>
      <c r="L416">
        <v>610</v>
      </c>
      <c r="M416">
        <v>3.73</v>
      </c>
      <c r="N416">
        <v>0.94</v>
      </c>
      <c r="O416">
        <v>0.82</v>
      </c>
      <c r="Q416" t="s">
        <v>2548</v>
      </c>
      <c r="R416">
        <v>5907698019978</v>
      </c>
      <c r="S416">
        <v>1500</v>
      </c>
      <c r="T416" t="s">
        <v>565</v>
      </c>
      <c r="U416" t="s">
        <v>3216</v>
      </c>
      <c r="V416">
        <v>5602900000</v>
      </c>
    </row>
    <row r="417" spans="1:22" x14ac:dyDescent="0.25">
      <c r="A417">
        <v>598262</v>
      </c>
      <c r="B417" t="s">
        <v>302</v>
      </c>
      <c r="C417">
        <v>144</v>
      </c>
      <c r="D417">
        <v>24</v>
      </c>
      <c r="E417" t="s">
        <v>303</v>
      </c>
      <c r="F417" t="s">
        <v>3215</v>
      </c>
      <c r="G417" t="s">
        <v>810</v>
      </c>
      <c r="H417" t="s">
        <v>811</v>
      </c>
      <c r="I417" t="s">
        <v>812</v>
      </c>
      <c r="J417">
        <v>636</v>
      </c>
      <c r="K417">
        <v>72</v>
      </c>
      <c r="L417">
        <v>708</v>
      </c>
      <c r="M417">
        <v>2.02</v>
      </c>
      <c r="N417">
        <v>0.51</v>
      </c>
      <c r="O417">
        <v>0.45</v>
      </c>
      <c r="Q417" t="s">
        <v>336</v>
      </c>
      <c r="R417">
        <v>5907698026013</v>
      </c>
      <c r="S417">
        <v>1300</v>
      </c>
      <c r="T417" t="s">
        <v>813</v>
      </c>
      <c r="V417">
        <v>5602900000</v>
      </c>
    </row>
    <row r="418" spans="1:22" x14ac:dyDescent="0.25">
      <c r="A418">
        <v>598266</v>
      </c>
      <c r="B418" t="s">
        <v>302</v>
      </c>
      <c r="C418">
        <v>96</v>
      </c>
      <c r="D418">
        <v>0</v>
      </c>
      <c r="E418" t="s">
        <v>303</v>
      </c>
      <c r="F418" t="s">
        <v>3215</v>
      </c>
      <c r="G418" t="s">
        <v>810</v>
      </c>
      <c r="H418" t="s">
        <v>814</v>
      </c>
      <c r="I418" t="s">
        <v>812</v>
      </c>
      <c r="J418">
        <v>938</v>
      </c>
      <c r="K418">
        <v>97</v>
      </c>
      <c r="L418">
        <v>1035</v>
      </c>
      <c r="M418">
        <v>3.25</v>
      </c>
      <c r="N418">
        <v>0.82</v>
      </c>
      <c r="O418">
        <v>0.74</v>
      </c>
      <c r="Q418" t="s">
        <v>336</v>
      </c>
      <c r="R418">
        <v>5907698027683</v>
      </c>
      <c r="S418">
        <v>380</v>
      </c>
      <c r="T418" t="s">
        <v>813</v>
      </c>
      <c r="V418">
        <v>5602900000</v>
      </c>
    </row>
    <row r="419" spans="1:22" x14ac:dyDescent="0.25">
      <c r="A419">
        <v>598267</v>
      </c>
      <c r="B419" t="s">
        <v>302</v>
      </c>
      <c r="C419">
        <v>288</v>
      </c>
      <c r="D419">
        <v>0</v>
      </c>
      <c r="E419" t="s">
        <v>303</v>
      </c>
      <c r="F419" t="s">
        <v>3215</v>
      </c>
      <c r="G419" t="s">
        <v>810</v>
      </c>
      <c r="H419" t="s">
        <v>815</v>
      </c>
      <c r="I419" t="s">
        <v>812</v>
      </c>
      <c r="J419">
        <v>1245</v>
      </c>
      <c r="K419">
        <v>96</v>
      </c>
      <c r="L419">
        <v>1341</v>
      </c>
      <c r="M419">
        <v>3.25</v>
      </c>
      <c r="N419">
        <v>0.82</v>
      </c>
      <c r="O419">
        <v>0.74</v>
      </c>
      <c r="Q419" t="s">
        <v>336</v>
      </c>
      <c r="R419">
        <v>5907698027676</v>
      </c>
      <c r="S419">
        <v>800</v>
      </c>
      <c r="T419" t="s">
        <v>813</v>
      </c>
      <c r="V419">
        <v>5602900000</v>
      </c>
    </row>
    <row r="420" spans="1:22" x14ac:dyDescent="0.25">
      <c r="A420">
        <v>598272</v>
      </c>
      <c r="B420" t="s">
        <v>302</v>
      </c>
      <c r="C420">
        <v>144</v>
      </c>
      <c r="D420">
        <v>24</v>
      </c>
      <c r="E420" t="s">
        <v>303</v>
      </c>
      <c r="F420" t="s">
        <v>3215</v>
      </c>
      <c r="G420" t="s">
        <v>810</v>
      </c>
      <c r="H420" t="s">
        <v>816</v>
      </c>
      <c r="I420" t="s">
        <v>812</v>
      </c>
      <c r="J420">
        <v>573</v>
      </c>
      <c r="K420">
        <v>72</v>
      </c>
      <c r="L420">
        <v>645</v>
      </c>
      <c r="M420">
        <v>2.09</v>
      </c>
      <c r="N420">
        <v>0.53</v>
      </c>
      <c r="O420">
        <v>0.47</v>
      </c>
      <c r="Q420" t="s">
        <v>336</v>
      </c>
      <c r="R420">
        <v>5907698026020</v>
      </c>
      <c r="S420">
        <v>1000</v>
      </c>
      <c r="T420" t="s">
        <v>813</v>
      </c>
      <c r="V420">
        <v>5602900000</v>
      </c>
    </row>
    <row r="421" spans="1:22" x14ac:dyDescent="0.25">
      <c r="A421">
        <v>598274</v>
      </c>
      <c r="B421" t="s">
        <v>302</v>
      </c>
      <c r="C421">
        <v>144</v>
      </c>
      <c r="D421">
        <v>24</v>
      </c>
      <c r="E421" t="s">
        <v>303</v>
      </c>
      <c r="F421" t="s">
        <v>3215</v>
      </c>
      <c r="G421" t="s">
        <v>817</v>
      </c>
      <c r="H421" t="s">
        <v>1882</v>
      </c>
      <c r="I421" t="s">
        <v>1883</v>
      </c>
      <c r="J421">
        <v>702</v>
      </c>
      <c r="K421">
        <v>72</v>
      </c>
      <c r="L421">
        <v>774</v>
      </c>
      <c r="M421">
        <v>1.98</v>
      </c>
      <c r="N421">
        <v>0.5</v>
      </c>
      <c r="O421">
        <v>0.45</v>
      </c>
      <c r="Q421" t="s">
        <v>336</v>
      </c>
      <c r="R421">
        <v>5907698026037</v>
      </c>
      <c r="S421">
        <v>1152</v>
      </c>
      <c r="T421" t="s">
        <v>813</v>
      </c>
      <c r="V421">
        <v>5602900000</v>
      </c>
    </row>
    <row r="422" spans="1:22" x14ac:dyDescent="0.25">
      <c r="A422">
        <v>598281</v>
      </c>
      <c r="B422" t="s">
        <v>302</v>
      </c>
      <c r="C422">
        <v>72</v>
      </c>
      <c r="D422">
        <v>12</v>
      </c>
      <c r="E422" t="s">
        <v>303</v>
      </c>
      <c r="F422" t="s">
        <v>3215</v>
      </c>
      <c r="G422" t="s">
        <v>817</v>
      </c>
      <c r="H422" t="s">
        <v>1884</v>
      </c>
      <c r="I422" t="s">
        <v>1885</v>
      </c>
      <c r="J422">
        <v>57</v>
      </c>
      <c r="K422">
        <v>84</v>
      </c>
      <c r="L422">
        <v>141</v>
      </c>
      <c r="M422">
        <v>2.83</v>
      </c>
      <c r="N422">
        <v>0.71</v>
      </c>
      <c r="O422">
        <v>0.64</v>
      </c>
      <c r="Q422" t="s">
        <v>336</v>
      </c>
      <c r="R422">
        <v>5907698024729</v>
      </c>
      <c r="S422">
        <v>360</v>
      </c>
      <c r="T422" t="s">
        <v>565</v>
      </c>
      <c r="V422">
        <v>5602900000</v>
      </c>
    </row>
    <row r="423" spans="1:22" x14ac:dyDescent="0.25">
      <c r="A423">
        <v>598282</v>
      </c>
      <c r="B423" t="s">
        <v>302</v>
      </c>
      <c r="C423">
        <v>72</v>
      </c>
      <c r="D423">
        <v>12</v>
      </c>
      <c r="E423" t="s">
        <v>303</v>
      </c>
      <c r="F423" t="s">
        <v>3215</v>
      </c>
      <c r="G423" t="s">
        <v>817</v>
      </c>
      <c r="H423" t="s">
        <v>818</v>
      </c>
      <c r="I423" t="s">
        <v>812</v>
      </c>
      <c r="J423">
        <v>0</v>
      </c>
      <c r="K423">
        <v>0</v>
      </c>
      <c r="L423">
        <v>0</v>
      </c>
      <c r="M423">
        <v>2.94</v>
      </c>
      <c r="N423">
        <v>0.74</v>
      </c>
      <c r="O423">
        <v>0.67</v>
      </c>
      <c r="Q423" t="s">
        <v>336</v>
      </c>
      <c r="R423">
        <v>5907698024736</v>
      </c>
      <c r="S423">
        <v>400</v>
      </c>
      <c r="T423" t="s">
        <v>565</v>
      </c>
      <c r="V423">
        <v>5602900000</v>
      </c>
    </row>
    <row r="424" spans="1:22" x14ac:dyDescent="0.25">
      <c r="A424">
        <v>600030</v>
      </c>
      <c r="B424" t="s">
        <v>302</v>
      </c>
      <c r="C424">
        <v>120</v>
      </c>
      <c r="D424">
        <v>40</v>
      </c>
      <c r="E424" t="s">
        <v>303</v>
      </c>
      <c r="F424" t="s">
        <v>3217</v>
      </c>
      <c r="G424" t="s">
        <v>819</v>
      </c>
      <c r="H424" t="s">
        <v>645</v>
      </c>
      <c r="I424" t="s">
        <v>820</v>
      </c>
      <c r="J424">
        <v>0</v>
      </c>
      <c r="K424">
        <v>0</v>
      </c>
      <c r="L424">
        <v>0</v>
      </c>
      <c r="M424">
        <v>3.57</v>
      </c>
      <c r="N424">
        <v>0.85</v>
      </c>
      <c r="O424">
        <v>0.78</v>
      </c>
      <c r="Q424" t="s">
        <v>3026</v>
      </c>
      <c r="R424">
        <v>5907698013129</v>
      </c>
      <c r="S424">
        <v>360</v>
      </c>
      <c r="T424" t="s">
        <v>565</v>
      </c>
      <c r="V424">
        <v>8211920000</v>
      </c>
    </row>
    <row r="425" spans="1:22" x14ac:dyDescent="0.25">
      <c r="A425">
        <v>600031</v>
      </c>
      <c r="B425" t="s">
        <v>2993</v>
      </c>
      <c r="C425">
        <v>120</v>
      </c>
      <c r="D425">
        <v>40</v>
      </c>
      <c r="E425" t="s">
        <v>303</v>
      </c>
      <c r="F425" t="s">
        <v>3217</v>
      </c>
      <c r="G425" t="s">
        <v>819</v>
      </c>
      <c r="H425" t="s">
        <v>2960</v>
      </c>
      <c r="I425" t="s">
        <v>820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Q425" t="s">
        <v>3026</v>
      </c>
      <c r="R425">
        <v>5907698031147</v>
      </c>
      <c r="S425">
        <v>360</v>
      </c>
      <c r="T425" t="s">
        <v>565</v>
      </c>
      <c r="V425">
        <v>8211920000</v>
      </c>
    </row>
    <row r="426" spans="1:22" x14ac:dyDescent="0.25">
      <c r="A426">
        <v>600032</v>
      </c>
      <c r="B426" t="s">
        <v>302</v>
      </c>
      <c r="C426">
        <v>100</v>
      </c>
      <c r="D426">
        <v>50</v>
      </c>
      <c r="E426" t="s">
        <v>303</v>
      </c>
      <c r="F426" t="s">
        <v>3217</v>
      </c>
      <c r="G426" t="s">
        <v>3218</v>
      </c>
      <c r="H426" t="s">
        <v>821</v>
      </c>
      <c r="I426" t="s">
        <v>820</v>
      </c>
      <c r="J426">
        <v>0</v>
      </c>
      <c r="K426">
        <v>0</v>
      </c>
      <c r="L426">
        <v>0</v>
      </c>
      <c r="M426">
        <v>9.43</v>
      </c>
      <c r="N426">
        <v>2.23</v>
      </c>
      <c r="O426">
        <v>2.06</v>
      </c>
      <c r="Q426" t="s">
        <v>3026</v>
      </c>
      <c r="R426">
        <v>5907698023005</v>
      </c>
      <c r="S426">
        <v>240</v>
      </c>
      <c r="T426" t="s">
        <v>822</v>
      </c>
      <c r="V426">
        <v>8211920000</v>
      </c>
    </row>
    <row r="427" spans="1:22" x14ac:dyDescent="0.25">
      <c r="A427">
        <v>600110</v>
      </c>
      <c r="B427" t="s">
        <v>302</v>
      </c>
      <c r="C427">
        <v>240</v>
      </c>
      <c r="D427">
        <v>12</v>
      </c>
      <c r="E427" t="s">
        <v>303</v>
      </c>
      <c r="F427" t="s">
        <v>1886</v>
      </c>
      <c r="G427" t="s">
        <v>1887</v>
      </c>
      <c r="H427" t="s">
        <v>1888</v>
      </c>
      <c r="I427" t="s">
        <v>1889</v>
      </c>
      <c r="J427">
        <v>358</v>
      </c>
      <c r="K427">
        <v>36</v>
      </c>
      <c r="L427">
        <v>394</v>
      </c>
      <c r="M427">
        <v>4.9000000000000004</v>
      </c>
      <c r="N427">
        <v>1.1599999999999999</v>
      </c>
      <c r="O427">
        <v>1.07</v>
      </c>
      <c r="Q427" t="s">
        <v>2</v>
      </c>
      <c r="R427">
        <v>5907698013136</v>
      </c>
      <c r="S427">
        <v>420</v>
      </c>
      <c r="T427" t="s">
        <v>407</v>
      </c>
      <c r="V427">
        <v>8211930000</v>
      </c>
    </row>
    <row r="428" spans="1:22" x14ac:dyDescent="0.25">
      <c r="A428">
        <v>600394</v>
      </c>
      <c r="B428" t="s">
        <v>302</v>
      </c>
      <c r="C428">
        <v>120</v>
      </c>
      <c r="E428" t="s">
        <v>303</v>
      </c>
      <c r="F428" t="s">
        <v>3219</v>
      </c>
      <c r="G428" t="s">
        <v>1890</v>
      </c>
      <c r="H428" t="s">
        <v>1891</v>
      </c>
      <c r="I428" t="s">
        <v>1892</v>
      </c>
      <c r="J428">
        <v>1405</v>
      </c>
      <c r="K428">
        <v>0</v>
      </c>
      <c r="L428">
        <v>1405</v>
      </c>
      <c r="M428">
        <v>6.27</v>
      </c>
      <c r="N428">
        <v>1.69</v>
      </c>
      <c r="O428">
        <v>1.42</v>
      </c>
      <c r="Q428" t="s">
        <v>2548</v>
      </c>
      <c r="R428">
        <v>5907698028659</v>
      </c>
      <c r="S428">
        <v>420</v>
      </c>
      <c r="T428" t="s">
        <v>427</v>
      </c>
      <c r="V428">
        <v>8211930000</v>
      </c>
    </row>
    <row r="429" spans="1:22" x14ac:dyDescent="0.25">
      <c r="A429">
        <v>600401</v>
      </c>
      <c r="B429" t="s">
        <v>302</v>
      </c>
      <c r="C429">
        <v>120</v>
      </c>
      <c r="E429" t="s">
        <v>303</v>
      </c>
      <c r="F429" t="s">
        <v>3220</v>
      </c>
      <c r="G429" t="s">
        <v>823</v>
      </c>
      <c r="H429" t="s">
        <v>824</v>
      </c>
      <c r="I429" t="s">
        <v>825</v>
      </c>
      <c r="J429">
        <v>227</v>
      </c>
      <c r="K429">
        <v>0</v>
      </c>
      <c r="L429">
        <v>227</v>
      </c>
      <c r="M429">
        <v>6.09</v>
      </c>
      <c r="N429">
        <v>1.57</v>
      </c>
      <c r="O429">
        <v>1.33</v>
      </c>
      <c r="Q429" t="s">
        <v>2</v>
      </c>
      <c r="R429">
        <v>5907698022817</v>
      </c>
      <c r="S429">
        <v>700</v>
      </c>
      <c r="T429" t="s">
        <v>427</v>
      </c>
      <c r="U429" t="s">
        <v>3221</v>
      </c>
      <c r="V429">
        <v>8211930000</v>
      </c>
    </row>
    <row r="430" spans="1:22" x14ac:dyDescent="0.25">
      <c r="A430">
        <v>610060</v>
      </c>
      <c r="B430" t="s">
        <v>302</v>
      </c>
      <c r="C430">
        <v>288</v>
      </c>
      <c r="D430">
        <v>24</v>
      </c>
      <c r="E430" t="s">
        <v>303</v>
      </c>
      <c r="F430" t="s">
        <v>3222</v>
      </c>
      <c r="G430" t="s">
        <v>1893</v>
      </c>
      <c r="H430" t="s">
        <v>1865</v>
      </c>
      <c r="I430" t="s">
        <v>1894</v>
      </c>
      <c r="J430">
        <v>1454</v>
      </c>
      <c r="K430">
        <v>321</v>
      </c>
      <c r="L430">
        <v>1775</v>
      </c>
      <c r="M430">
        <v>1.4</v>
      </c>
      <c r="N430">
        <v>0.33</v>
      </c>
      <c r="O430">
        <v>0.3</v>
      </c>
      <c r="Q430" t="s">
        <v>336</v>
      </c>
      <c r="R430">
        <v>5907698013167</v>
      </c>
      <c r="S430">
        <v>1200</v>
      </c>
      <c r="T430" t="s">
        <v>352</v>
      </c>
      <c r="V430">
        <v>8205598000</v>
      </c>
    </row>
    <row r="431" spans="1:22" x14ac:dyDescent="0.25">
      <c r="A431">
        <v>610182</v>
      </c>
      <c r="B431" t="s">
        <v>302</v>
      </c>
      <c r="C431">
        <v>240</v>
      </c>
      <c r="D431">
        <v>20</v>
      </c>
      <c r="E431" t="s">
        <v>303</v>
      </c>
      <c r="F431" t="s">
        <v>3223</v>
      </c>
      <c r="G431" t="s">
        <v>1895</v>
      </c>
      <c r="H431" t="s">
        <v>1896</v>
      </c>
      <c r="I431" t="s">
        <v>1897</v>
      </c>
      <c r="J431">
        <v>0</v>
      </c>
      <c r="K431">
        <v>5533</v>
      </c>
      <c r="L431">
        <v>11</v>
      </c>
      <c r="M431">
        <v>0.97</v>
      </c>
      <c r="N431">
        <v>0.26</v>
      </c>
      <c r="O431">
        <v>0.22</v>
      </c>
      <c r="Q431" t="s">
        <v>2</v>
      </c>
      <c r="R431">
        <v>5907698020325</v>
      </c>
      <c r="S431">
        <v>25000</v>
      </c>
      <c r="T431" t="s">
        <v>653</v>
      </c>
      <c r="V431">
        <v>8211940000</v>
      </c>
    </row>
    <row r="432" spans="1:22" x14ac:dyDescent="0.25">
      <c r="A432">
        <v>611180</v>
      </c>
      <c r="B432" t="s">
        <v>302</v>
      </c>
      <c r="C432">
        <v>480</v>
      </c>
      <c r="D432">
        <v>24</v>
      </c>
      <c r="E432" t="s">
        <v>303</v>
      </c>
      <c r="F432" t="s">
        <v>3224</v>
      </c>
      <c r="G432" t="s">
        <v>826</v>
      </c>
      <c r="H432" t="s">
        <v>1898</v>
      </c>
      <c r="I432" t="s">
        <v>1899</v>
      </c>
      <c r="J432">
        <v>3247</v>
      </c>
      <c r="K432">
        <v>1</v>
      </c>
      <c r="L432">
        <v>3248</v>
      </c>
      <c r="M432">
        <v>0.85</v>
      </c>
      <c r="N432">
        <v>0.21</v>
      </c>
      <c r="O432">
        <v>0.19</v>
      </c>
      <c r="Q432" t="s">
        <v>2</v>
      </c>
      <c r="R432">
        <v>5907698013198</v>
      </c>
      <c r="S432">
        <v>5000</v>
      </c>
      <c r="T432" t="s">
        <v>352</v>
      </c>
      <c r="V432">
        <v>8211930000</v>
      </c>
    </row>
    <row r="433" spans="1:22" x14ac:dyDescent="0.25">
      <c r="A433">
        <v>611182</v>
      </c>
      <c r="B433" t="s">
        <v>302</v>
      </c>
      <c r="C433">
        <v>288</v>
      </c>
      <c r="D433">
        <v>24</v>
      </c>
      <c r="E433" t="s">
        <v>303</v>
      </c>
      <c r="F433" t="s">
        <v>3224</v>
      </c>
      <c r="G433" t="s">
        <v>826</v>
      </c>
      <c r="H433" t="s">
        <v>1900</v>
      </c>
      <c r="I433" t="s">
        <v>1899</v>
      </c>
      <c r="J433">
        <v>3470</v>
      </c>
      <c r="K433">
        <v>2</v>
      </c>
      <c r="L433">
        <v>3472</v>
      </c>
      <c r="M433">
        <v>2.73</v>
      </c>
      <c r="N433">
        <v>0.69</v>
      </c>
      <c r="O433">
        <v>0.62</v>
      </c>
      <c r="Q433" t="s">
        <v>2</v>
      </c>
      <c r="R433">
        <v>5907698019633</v>
      </c>
      <c r="S433">
        <v>4200</v>
      </c>
      <c r="T433" t="s">
        <v>352</v>
      </c>
      <c r="V433">
        <v>8211930000</v>
      </c>
    </row>
    <row r="434" spans="1:22" x14ac:dyDescent="0.25">
      <c r="A434">
        <v>611191</v>
      </c>
      <c r="B434" t="s">
        <v>302</v>
      </c>
      <c r="C434">
        <v>200</v>
      </c>
      <c r="D434">
        <v>50</v>
      </c>
      <c r="E434" t="s">
        <v>303</v>
      </c>
      <c r="F434" t="s">
        <v>3224</v>
      </c>
      <c r="G434" t="s">
        <v>826</v>
      </c>
      <c r="H434" t="s">
        <v>827</v>
      </c>
      <c r="I434" t="s">
        <v>828</v>
      </c>
      <c r="J434">
        <v>3930</v>
      </c>
      <c r="K434">
        <v>552</v>
      </c>
      <c r="L434">
        <v>4482</v>
      </c>
      <c r="M434">
        <v>1.47</v>
      </c>
      <c r="N434">
        <v>0.38</v>
      </c>
      <c r="O434">
        <v>0.32</v>
      </c>
      <c r="Q434" t="s">
        <v>2</v>
      </c>
      <c r="R434">
        <v>5907698013204</v>
      </c>
      <c r="S434">
        <v>6000</v>
      </c>
      <c r="T434" t="s">
        <v>352</v>
      </c>
      <c r="V434">
        <v>8211930000</v>
      </c>
    </row>
    <row r="435" spans="1:22" x14ac:dyDescent="0.25">
      <c r="A435">
        <v>611195</v>
      </c>
      <c r="B435" t="s">
        <v>302</v>
      </c>
      <c r="C435">
        <v>96</v>
      </c>
      <c r="D435">
        <v>12</v>
      </c>
      <c r="E435" t="s">
        <v>303</v>
      </c>
      <c r="F435" t="s">
        <v>3225</v>
      </c>
      <c r="G435" t="s">
        <v>829</v>
      </c>
      <c r="H435" t="s">
        <v>830</v>
      </c>
      <c r="I435" t="s">
        <v>831</v>
      </c>
      <c r="J435">
        <v>2169</v>
      </c>
      <c r="K435">
        <v>2</v>
      </c>
      <c r="L435">
        <v>2171</v>
      </c>
      <c r="M435">
        <v>6.37</v>
      </c>
      <c r="N435">
        <v>1.61</v>
      </c>
      <c r="O435">
        <v>1.42</v>
      </c>
      <c r="Q435" t="s">
        <v>2</v>
      </c>
      <c r="R435">
        <v>5907698025566</v>
      </c>
      <c r="S435">
        <v>1400</v>
      </c>
      <c r="T435" t="s">
        <v>768</v>
      </c>
      <c r="V435">
        <v>8211930000</v>
      </c>
    </row>
    <row r="436" spans="1:22" x14ac:dyDescent="0.25">
      <c r="A436">
        <v>613000</v>
      </c>
      <c r="B436" t="s">
        <v>302</v>
      </c>
      <c r="C436">
        <v>300</v>
      </c>
      <c r="D436">
        <v>50</v>
      </c>
      <c r="E436" t="s">
        <v>303</v>
      </c>
      <c r="F436" t="s">
        <v>3226</v>
      </c>
      <c r="G436" t="s">
        <v>1901</v>
      </c>
      <c r="H436" t="s">
        <v>1902</v>
      </c>
      <c r="I436" t="s">
        <v>832</v>
      </c>
      <c r="J436">
        <v>624</v>
      </c>
      <c r="K436">
        <v>50</v>
      </c>
      <c r="L436">
        <v>674</v>
      </c>
      <c r="M436">
        <v>3.6</v>
      </c>
      <c r="N436">
        <v>0.86</v>
      </c>
      <c r="O436">
        <v>0.79</v>
      </c>
      <c r="Q436" t="s">
        <v>2</v>
      </c>
      <c r="R436">
        <v>5907698013242</v>
      </c>
      <c r="S436">
        <v>400</v>
      </c>
      <c r="T436" t="s">
        <v>352</v>
      </c>
      <c r="V436">
        <v>8211930000</v>
      </c>
    </row>
    <row r="437" spans="1:22" x14ac:dyDescent="0.25">
      <c r="A437">
        <v>614012</v>
      </c>
      <c r="B437" t="s">
        <v>302</v>
      </c>
      <c r="C437">
        <v>120</v>
      </c>
      <c r="D437">
        <v>12</v>
      </c>
      <c r="E437" t="s">
        <v>303</v>
      </c>
      <c r="F437" t="s">
        <v>3227</v>
      </c>
      <c r="G437" t="s">
        <v>833</v>
      </c>
      <c r="H437" t="s">
        <v>1903</v>
      </c>
      <c r="I437" t="s">
        <v>1904</v>
      </c>
      <c r="J437">
        <v>1316</v>
      </c>
      <c r="K437">
        <v>0</v>
      </c>
      <c r="L437">
        <v>1316</v>
      </c>
      <c r="M437">
        <v>3.63</v>
      </c>
      <c r="N437">
        <v>0.93</v>
      </c>
      <c r="O437">
        <v>0.8</v>
      </c>
      <c r="Q437" t="s">
        <v>336</v>
      </c>
      <c r="R437">
        <v>5907698020585</v>
      </c>
      <c r="S437">
        <v>760</v>
      </c>
      <c r="T437" t="s">
        <v>383</v>
      </c>
      <c r="V437">
        <v>8205598000</v>
      </c>
    </row>
    <row r="438" spans="1:22" x14ac:dyDescent="0.25">
      <c r="A438">
        <v>614018</v>
      </c>
      <c r="B438" t="s">
        <v>302</v>
      </c>
      <c r="C438">
        <v>120</v>
      </c>
      <c r="D438">
        <v>12</v>
      </c>
      <c r="E438" t="s">
        <v>303</v>
      </c>
      <c r="F438" t="s">
        <v>3228</v>
      </c>
      <c r="G438" t="s">
        <v>1905</v>
      </c>
      <c r="H438" t="s">
        <v>1906</v>
      </c>
      <c r="I438" t="s">
        <v>1907</v>
      </c>
      <c r="J438">
        <v>584</v>
      </c>
      <c r="K438">
        <v>0</v>
      </c>
      <c r="L438">
        <v>584</v>
      </c>
      <c r="M438">
        <v>4.84</v>
      </c>
      <c r="N438">
        <v>1.23</v>
      </c>
      <c r="O438">
        <v>1.06</v>
      </c>
      <c r="Q438" t="s">
        <v>336</v>
      </c>
      <c r="R438">
        <v>5907698020608</v>
      </c>
      <c r="S438">
        <v>540</v>
      </c>
      <c r="T438" t="s">
        <v>383</v>
      </c>
      <c r="V438">
        <v>8205598000</v>
      </c>
    </row>
    <row r="439" spans="1:22" x14ac:dyDescent="0.25">
      <c r="A439">
        <v>614160</v>
      </c>
      <c r="B439" t="s">
        <v>302</v>
      </c>
      <c r="C439">
        <v>100</v>
      </c>
      <c r="E439" t="s">
        <v>303</v>
      </c>
      <c r="F439" t="s">
        <v>3229</v>
      </c>
      <c r="G439" t="s">
        <v>1908</v>
      </c>
      <c r="H439" t="s">
        <v>1909</v>
      </c>
      <c r="I439" t="s">
        <v>1910</v>
      </c>
      <c r="J439">
        <v>712</v>
      </c>
      <c r="K439">
        <v>20</v>
      </c>
      <c r="L439">
        <v>732</v>
      </c>
      <c r="M439">
        <v>4.93</v>
      </c>
      <c r="N439">
        <v>1.25</v>
      </c>
      <c r="O439">
        <v>1.1100000000000001</v>
      </c>
      <c r="Q439" t="s">
        <v>2548</v>
      </c>
      <c r="R439">
        <v>5907698013280</v>
      </c>
      <c r="S439">
        <v>520</v>
      </c>
      <c r="T439" t="s">
        <v>383</v>
      </c>
      <c r="V439">
        <v>8211100000</v>
      </c>
    </row>
    <row r="440" spans="1:22" x14ac:dyDescent="0.25">
      <c r="A440">
        <v>620040</v>
      </c>
      <c r="B440" t="s">
        <v>302</v>
      </c>
      <c r="C440">
        <v>40</v>
      </c>
      <c r="E440" t="s">
        <v>303</v>
      </c>
      <c r="F440" t="s">
        <v>3230</v>
      </c>
      <c r="G440" t="s">
        <v>834</v>
      </c>
      <c r="H440" t="s">
        <v>835</v>
      </c>
      <c r="I440" t="s">
        <v>836</v>
      </c>
      <c r="J440">
        <v>291</v>
      </c>
      <c r="K440">
        <v>0</v>
      </c>
      <c r="L440">
        <v>291</v>
      </c>
      <c r="M440">
        <v>9.09</v>
      </c>
      <c r="N440">
        <v>2.29</v>
      </c>
      <c r="O440">
        <v>2.04</v>
      </c>
      <c r="Q440" t="s">
        <v>2548</v>
      </c>
      <c r="R440">
        <v>5907698013297</v>
      </c>
      <c r="S440">
        <v>1000</v>
      </c>
      <c r="T440" t="s">
        <v>677</v>
      </c>
      <c r="V440">
        <v>8205300000</v>
      </c>
    </row>
    <row r="441" spans="1:22" x14ac:dyDescent="0.25">
      <c r="A441">
        <v>620050</v>
      </c>
      <c r="B441" t="s">
        <v>302</v>
      </c>
      <c r="C441">
        <v>40</v>
      </c>
      <c r="D441">
        <v>0</v>
      </c>
      <c r="E441" t="s">
        <v>303</v>
      </c>
      <c r="F441" t="s">
        <v>3231</v>
      </c>
      <c r="G441" t="s">
        <v>837</v>
      </c>
      <c r="H441" t="s">
        <v>838</v>
      </c>
      <c r="I441" t="s">
        <v>839</v>
      </c>
      <c r="J441">
        <v>0</v>
      </c>
      <c r="K441">
        <v>0</v>
      </c>
      <c r="L441">
        <v>0</v>
      </c>
      <c r="M441">
        <v>14.06</v>
      </c>
      <c r="N441">
        <v>3.33</v>
      </c>
      <c r="O441">
        <v>3.07</v>
      </c>
      <c r="Q441" t="s">
        <v>2548</v>
      </c>
      <c r="R441">
        <v>5907698013303</v>
      </c>
      <c r="S441">
        <v>350</v>
      </c>
      <c r="T441" t="s">
        <v>482</v>
      </c>
      <c r="V441">
        <v>8205300000</v>
      </c>
    </row>
    <row r="442" spans="1:22" x14ac:dyDescent="0.25">
      <c r="A442">
        <v>620169</v>
      </c>
      <c r="B442" t="s">
        <v>302</v>
      </c>
      <c r="C442">
        <v>50</v>
      </c>
      <c r="D442">
        <v>10</v>
      </c>
      <c r="E442" t="s">
        <v>303</v>
      </c>
      <c r="F442" t="s">
        <v>1911</v>
      </c>
      <c r="G442" t="s">
        <v>1912</v>
      </c>
      <c r="H442" t="s">
        <v>1913</v>
      </c>
      <c r="I442" t="s">
        <v>1914</v>
      </c>
      <c r="J442">
        <v>56</v>
      </c>
      <c r="K442">
        <v>4</v>
      </c>
      <c r="L442">
        <v>60</v>
      </c>
      <c r="M442">
        <v>9.9</v>
      </c>
      <c r="N442">
        <v>2.35</v>
      </c>
      <c r="O442">
        <v>2.17</v>
      </c>
      <c r="Q442" t="s">
        <v>2548</v>
      </c>
      <c r="R442">
        <v>5907698026693</v>
      </c>
      <c r="S442">
        <v>140</v>
      </c>
      <c r="T442" t="s">
        <v>840</v>
      </c>
      <c r="V442">
        <v>8205598000</v>
      </c>
    </row>
    <row r="443" spans="1:22" x14ac:dyDescent="0.25">
      <c r="A443">
        <v>620171</v>
      </c>
      <c r="B443" t="s">
        <v>302</v>
      </c>
      <c r="C443">
        <v>10</v>
      </c>
      <c r="D443">
        <v>0</v>
      </c>
      <c r="E443" t="s">
        <v>303</v>
      </c>
      <c r="F443" t="s">
        <v>3232</v>
      </c>
      <c r="G443" t="s">
        <v>842</v>
      </c>
      <c r="H443" t="s">
        <v>843</v>
      </c>
      <c r="I443" t="s">
        <v>844</v>
      </c>
      <c r="J443">
        <v>113</v>
      </c>
      <c r="K443">
        <v>0</v>
      </c>
      <c r="L443">
        <v>113</v>
      </c>
      <c r="M443">
        <v>29.45</v>
      </c>
      <c r="N443">
        <v>6.96</v>
      </c>
      <c r="O443">
        <v>6.44</v>
      </c>
      <c r="Q443" t="s">
        <v>2548</v>
      </c>
      <c r="R443">
        <v>5907698026723</v>
      </c>
      <c r="S443">
        <v>58</v>
      </c>
      <c r="T443" t="s">
        <v>845</v>
      </c>
      <c r="V443">
        <v>3926909790</v>
      </c>
    </row>
    <row r="444" spans="1:22" x14ac:dyDescent="0.25">
      <c r="A444">
        <v>620174</v>
      </c>
      <c r="B444" t="s">
        <v>302</v>
      </c>
      <c r="C444">
        <v>60</v>
      </c>
      <c r="D444">
        <v>0</v>
      </c>
      <c r="E444" t="s">
        <v>303</v>
      </c>
      <c r="F444" t="s">
        <v>3232</v>
      </c>
      <c r="G444" t="s">
        <v>842</v>
      </c>
      <c r="H444" t="s">
        <v>846</v>
      </c>
      <c r="I444" t="s">
        <v>844</v>
      </c>
      <c r="J444">
        <v>0</v>
      </c>
      <c r="K444">
        <v>0</v>
      </c>
      <c r="L444">
        <v>0</v>
      </c>
      <c r="M444">
        <v>8.93</v>
      </c>
      <c r="N444">
        <v>2.11</v>
      </c>
      <c r="O444">
        <v>1.95</v>
      </c>
      <c r="Q444" t="s">
        <v>2548</v>
      </c>
      <c r="R444">
        <v>5907698027522</v>
      </c>
      <c r="S444">
        <v>420</v>
      </c>
      <c r="T444" t="s">
        <v>482</v>
      </c>
      <c r="V444">
        <v>3926909790</v>
      </c>
    </row>
    <row r="445" spans="1:22" x14ac:dyDescent="0.25">
      <c r="A445">
        <v>621050</v>
      </c>
      <c r="B445" t="s">
        <v>302</v>
      </c>
      <c r="C445">
        <v>100</v>
      </c>
      <c r="D445">
        <v>10</v>
      </c>
      <c r="E445" t="s">
        <v>303</v>
      </c>
      <c r="F445" t="s">
        <v>847</v>
      </c>
      <c r="G445" t="s">
        <v>848</v>
      </c>
      <c r="H445" t="s">
        <v>849</v>
      </c>
      <c r="I445" t="s">
        <v>850</v>
      </c>
      <c r="J445">
        <v>1017</v>
      </c>
      <c r="K445">
        <v>0</v>
      </c>
      <c r="L445">
        <v>1017</v>
      </c>
      <c r="M445">
        <v>7.44</v>
      </c>
      <c r="N445">
        <v>1.79</v>
      </c>
      <c r="O445">
        <v>1.63</v>
      </c>
      <c r="Q445" t="s">
        <v>2</v>
      </c>
      <c r="R445">
        <v>5907698013341</v>
      </c>
      <c r="S445">
        <v>280</v>
      </c>
      <c r="T445" t="s">
        <v>736</v>
      </c>
      <c r="V445">
        <v>8205300000</v>
      </c>
    </row>
    <row r="446" spans="1:22" x14ac:dyDescent="0.25">
      <c r="A446">
        <v>621100</v>
      </c>
      <c r="B446" t="s">
        <v>302</v>
      </c>
      <c r="C446">
        <v>30</v>
      </c>
      <c r="E446" t="s">
        <v>303</v>
      </c>
      <c r="F446" t="s">
        <v>847</v>
      </c>
      <c r="G446" t="s">
        <v>851</v>
      </c>
      <c r="H446" t="s">
        <v>852</v>
      </c>
      <c r="I446" t="s">
        <v>853</v>
      </c>
      <c r="J446">
        <v>48</v>
      </c>
      <c r="K446">
        <v>0</v>
      </c>
      <c r="L446">
        <v>48</v>
      </c>
      <c r="M446">
        <v>13.22</v>
      </c>
      <c r="N446">
        <v>3.18</v>
      </c>
      <c r="O446">
        <v>2.9</v>
      </c>
      <c r="Q446" t="s">
        <v>2</v>
      </c>
      <c r="R446">
        <v>5907698013358</v>
      </c>
      <c r="S446">
        <v>420</v>
      </c>
      <c r="T446" t="s">
        <v>736</v>
      </c>
      <c r="V446">
        <v>8205300000</v>
      </c>
    </row>
    <row r="447" spans="1:22" x14ac:dyDescent="0.25">
      <c r="A447">
        <v>622250</v>
      </c>
      <c r="B447" t="s">
        <v>302</v>
      </c>
      <c r="C447">
        <v>24</v>
      </c>
      <c r="E447" t="s">
        <v>303</v>
      </c>
      <c r="F447" t="s">
        <v>3233</v>
      </c>
      <c r="G447" t="s">
        <v>854</v>
      </c>
      <c r="H447" t="s">
        <v>855</v>
      </c>
      <c r="I447" t="s">
        <v>856</v>
      </c>
      <c r="J447">
        <v>0</v>
      </c>
      <c r="K447">
        <v>0</v>
      </c>
      <c r="L447">
        <v>0</v>
      </c>
      <c r="M447">
        <v>3.37</v>
      </c>
      <c r="N447">
        <v>0.79</v>
      </c>
      <c r="O447">
        <v>0.74</v>
      </c>
      <c r="Q447" t="s">
        <v>4</v>
      </c>
      <c r="R447">
        <v>5907698013372</v>
      </c>
      <c r="S447">
        <v>480</v>
      </c>
      <c r="T447" t="s">
        <v>857</v>
      </c>
      <c r="V447">
        <v>8205591000</v>
      </c>
    </row>
    <row r="448" spans="1:22" x14ac:dyDescent="0.25">
      <c r="A448">
        <v>622300</v>
      </c>
      <c r="B448" t="s">
        <v>302</v>
      </c>
      <c r="C448">
        <v>24</v>
      </c>
      <c r="E448" t="s">
        <v>303</v>
      </c>
      <c r="F448" t="s">
        <v>3233</v>
      </c>
      <c r="G448" t="s">
        <v>1915</v>
      </c>
      <c r="H448" t="s">
        <v>1916</v>
      </c>
      <c r="I448" t="s">
        <v>858</v>
      </c>
      <c r="J448">
        <v>493</v>
      </c>
      <c r="K448">
        <v>0</v>
      </c>
      <c r="L448">
        <v>493</v>
      </c>
      <c r="M448">
        <v>4.2699999999999996</v>
      </c>
      <c r="N448">
        <v>1.08</v>
      </c>
      <c r="O448">
        <v>0.96</v>
      </c>
      <c r="Q448" t="s">
        <v>4</v>
      </c>
      <c r="R448">
        <v>5907698013396</v>
      </c>
      <c r="S448">
        <v>800</v>
      </c>
      <c r="T448" t="s">
        <v>857</v>
      </c>
      <c r="V448">
        <v>8205591000</v>
      </c>
    </row>
    <row r="449" spans="1:22" x14ac:dyDescent="0.25">
      <c r="A449">
        <v>622310</v>
      </c>
      <c r="B449" t="s">
        <v>3008</v>
      </c>
      <c r="C449">
        <v>24</v>
      </c>
      <c r="D449">
        <v>12</v>
      </c>
      <c r="E449" t="s">
        <v>303</v>
      </c>
      <c r="F449" t="s">
        <v>3234</v>
      </c>
      <c r="G449" t="s">
        <v>859</v>
      </c>
      <c r="H449" t="s">
        <v>860</v>
      </c>
      <c r="I449" t="s">
        <v>861</v>
      </c>
      <c r="J449">
        <v>306</v>
      </c>
      <c r="K449">
        <v>0</v>
      </c>
      <c r="L449">
        <v>306</v>
      </c>
      <c r="M449">
        <v>3.65</v>
      </c>
      <c r="N449">
        <v>0.86</v>
      </c>
      <c r="O449">
        <v>0.8</v>
      </c>
      <c r="Q449" t="s">
        <v>4</v>
      </c>
      <c r="R449">
        <v>5907698013402</v>
      </c>
      <c r="S449">
        <v>480</v>
      </c>
      <c r="T449" t="s">
        <v>857</v>
      </c>
      <c r="V449">
        <v>8205591000</v>
      </c>
    </row>
    <row r="450" spans="1:22" x14ac:dyDescent="0.25">
      <c r="A450">
        <v>622400</v>
      </c>
      <c r="B450" t="s">
        <v>302</v>
      </c>
      <c r="C450">
        <v>24</v>
      </c>
      <c r="D450">
        <v>6</v>
      </c>
      <c r="E450" t="s">
        <v>303</v>
      </c>
      <c r="F450" t="s">
        <v>3233</v>
      </c>
      <c r="G450" t="s">
        <v>854</v>
      </c>
      <c r="H450" t="s">
        <v>862</v>
      </c>
      <c r="I450" t="s">
        <v>858</v>
      </c>
      <c r="J450">
        <v>168</v>
      </c>
      <c r="K450">
        <v>0</v>
      </c>
      <c r="L450">
        <v>168</v>
      </c>
      <c r="M450">
        <v>5.52</v>
      </c>
      <c r="N450">
        <v>1.44</v>
      </c>
      <c r="O450">
        <v>1.24</v>
      </c>
      <c r="Q450" t="s">
        <v>4</v>
      </c>
      <c r="R450">
        <v>5907698020066</v>
      </c>
      <c r="S450">
        <v>1500</v>
      </c>
      <c r="T450" t="s">
        <v>360</v>
      </c>
      <c r="V450">
        <v>8205591000</v>
      </c>
    </row>
    <row r="451" spans="1:22" x14ac:dyDescent="0.25">
      <c r="A451">
        <v>622410</v>
      </c>
      <c r="B451" t="s">
        <v>302</v>
      </c>
      <c r="C451">
        <v>24</v>
      </c>
      <c r="D451">
        <v>0</v>
      </c>
      <c r="E451" t="s">
        <v>303</v>
      </c>
      <c r="F451" t="s">
        <v>3234</v>
      </c>
      <c r="G451" t="s">
        <v>859</v>
      </c>
      <c r="H451" t="s">
        <v>863</v>
      </c>
      <c r="I451" t="s">
        <v>861</v>
      </c>
      <c r="J451">
        <v>33</v>
      </c>
      <c r="K451">
        <v>0</v>
      </c>
      <c r="L451">
        <v>33</v>
      </c>
      <c r="M451">
        <v>5.58</v>
      </c>
      <c r="N451">
        <v>1.32</v>
      </c>
      <c r="O451">
        <v>1.22</v>
      </c>
      <c r="Q451" t="s">
        <v>4</v>
      </c>
      <c r="R451">
        <v>5907698020073</v>
      </c>
      <c r="S451">
        <v>200</v>
      </c>
      <c r="T451" t="s">
        <v>360</v>
      </c>
      <c r="V451">
        <v>8205591000</v>
      </c>
    </row>
    <row r="452" spans="1:22" x14ac:dyDescent="0.25">
      <c r="A452">
        <v>622600</v>
      </c>
      <c r="B452" t="s">
        <v>302</v>
      </c>
      <c r="C452">
        <v>20</v>
      </c>
      <c r="D452">
        <v>10</v>
      </c>
      <c r="E452" t="s">
        <v>303</v>
      </c>
      <c r="F452" t="s">
        <v>3233</v>
      </c>
      <c r="G452" t="s">
        <v>864</v>
      </c>
      <c r="H452" t="s">
        <v>340</v>
      </c>
      <c r="I452" t="s">
        <v>865</v>
      </c>
      <c r="J452">
        <v>0</v>
      </c>
      <c r="K452">
        <v>0</v>
      </c>
      <c r="L452">
        <v>0</v>
      </c>
      <c r="M452">
        <v>5.5</v>
      </c>
      <c r="N452">
        <v>1.42</v>
      </c>
      <c r="O452">
        <v>1.23</v>
      </c>
      <c r="Q452" t="s">
        <v>4</v>
      </c>
      <c r="R452">
        <v>5907698013419</v>
      </c>
      <c r="S452">
        <v>840</v>
      </c>
      <c r="T452" t="s">
        <v>360</v>
      </c>
      <c r="V452">
        <v>8205591000</v>
      </c>
    </row>
    <row r="453" spans="1:22" x14ac:dyDescent="0.25">
      <c r="A453">
        <v>622624</v>
      </c>
      <c r="B453" t="s">
        <v>302</v>
      </c>
      <c r="C453">
        <v>20</v>
      </c>
      <c r="D453">
        <v>10</v>
      </c>
      <c r="E453" t="s">
        <v>303</v>
      </c>
      <c r="F453" t="s">
        <v>3233</v>
      </c>
      <c r="G453" t="s">
        <v>866</v>
      </c>
      <c r="H453" t="s">
        <v>867</v>
      </c>
      <c r="I453" t="s">
        <v>865</v>
      </c>
      <c r="J453">
        <v>127</v>
      </c>
      <c r="K453">
        <v>0</v>
      </c>
      <c r="L453">
        <v>127</v>
      </c>
      <c r="M453">
        <v>6.68</v>
      </c>
      <c r="N453">
        <v>1.74</v>
      </c>
      <c r="O453">
        <v>1.51</v>
      </c>
      <c r="Q453" t="s">
        <v>4</v>
      </c>
      <c r="R453">
        <v>5907698022213</v>
      </c>
      <c r="S453">
        <v>420</v>
      </c>
      <c r="T453" t="s">
        <v>360</v>
      </c>
      <c r="V453">
        <v>8205591000</v>
      </c>
    </row>
    <row r="454" spans="1:22" x14ac:dyDescent="0.25">
      <c r="A454">
        <v>623010</v>
      </c>
      <c r="B454" t="s">
        <v>302</v>
      </c>
      <c r="C454">
        <v>36</v>
      </c>
      <c r="D454">
        <v>6</v>
      </c>
      <c r="E454" t="s">
        <v>303</v>
      </c>
      <c r="F454" t="s">
        <v>868</v>
      </c>
      <c r="G454" t="s">
        <v>869</v>
      </c>
      <c r="H454" t="s">
        <v>870</v>
      </c>
      <c r="I454" t="s">
        <v>871</v>
      </c>
      <c r="J454">
        <v>854</v>
      </c>
      <c r="K454">
        <v>1</v>
      </c>
      <c r="L454">
        <v>855</v>
      </c>
      <c r="M454">
        <v>10.29</v>
      </c>
      <c r="N454">
        <v>2.63</v>
      </c>
      <c r="O454">
        <v>2.2599999999999998</v>
      </c>
      <c r="Q454" t="s">
        <v>2</v>
      </c>
      <c r="R454">
        <v>5907698013433</v>
      </c>
      <c r="S454">
        <v>680</v>
      </c>
      <c r="T454" t="s">
        <v>383</v>
      </c>
      <c r="V454">
        <v>8203400000</v>
      </c>
    </row>
    <row r="455" spans="1:22" x14ac:dyDescent="0.25">
      <c r="A455">
        <v>623012</v>
      </c>
      <c r="B455" t="s">
        <v>302</v>
      </c>
      <c r="C455">
        <v>60</v>
      </c>
      <c r="D455">
        <v>6</v>
      </c>
      <c r="E455" t="s">
        <v>303</v>
      </c>
      <c r="F455" t="s">
        <v>868</v>
      </c>
      <c r="G455" t="s">
        <v>869</v>
      </c>
      <c r="H455" t="s">
        <v>872</v>
      </c>
      <c r="I455" t="s">
        <v>871</v>
      </c>
      <c r="J455">
        <v>0</v>
      </c>
      <c r="K455">
        <v>1</v>
      </c>
      <c r="L455">
        <v>1</v>
      </c>
      <c r="M455">
        <v>7.54</v>
      </c>
      <c r="N455">
        <v>1.78</v>
      </c>
      <c r="O455">
        <v>1.65</v>
      </c>
      <c r="Q455" t="s">
        <v>2548</v>
      </c>
      <c r="R455">
        <v>5907698026990</v>
      </c>
      <c r="S455">
        <v>220</v>
      </c>
      <c r="T455" t="s">
        <v>383</v>
      </c>
      <c r="V455">
        <v>8203400000</v>
      </c>
    </row>
    <row r="456" spans="1:22" x14ac:dyDescent="0.25">
      <c r="A456">
        <v>623071</v>
      </c>
      <c r="B456" t="s">
        <v>302</v>
      </c>
      <c r="C456">
        <v>4</v>
      </c>
      <c r="D456">
        <v>0</v>
      </c>
      <c r="E456" t="s">
        <v>303</v>
      </c>
      <c r="F456" t="s">
        <v>873</v>
      </c>
      <c r="G456" t="s">
        <v>874</v>
      </c>
      <c r="H456" t="s">
        <v>875</v>
      </c>
      <c r="I456" t="s">
        <v>876</v>
      </c>
      <c r="J456">
        <v>0</v>
      </c>
      <c r="K456">
        <v>0</v>
      </c>
      <c r="L456">
        <v>0</v>
      </c>
      <c r="M456">
        <v>65.38</v>
      </c>
      <c r="N456">
        <v>16.760000000000002</v>
      </c>
      <c r="O456">
        <v>14.36</v>
      </c>
      <c r="Q456" t="s">
        <v>2</v>
      </c>
      <c r="R456">
        <v>5907698019022</v>
      </c>
      <c r="S456">
        <v>32</v>
      </c>
      <c r="T456" t="s">
        <v>877</v>
      </c>
      <c r="V456">
        <v>8207403000</v>
      </c>
    </row>
    <row r="457" spans="1:22" x14ac:dyDescent="0.25">
      <c r="A457">
        <v>623090</v>
      </c>
      <c r="B457" t="s">
        <v>302</v>
      </c>
      <c r="C457">
        <v>4</v>
      </c>
      <c r="D457">
        <v>0</v>
      </c>
      <c r="E457" t="s">
        <v>303</v>
      </c>
      <c r="F457" t="s">
        <v>873</v>
      </c>
      <c r="G457" t="s">
        <v>874</v>
      </c>
      <c r="H457" t="s">
        <v>878</v>
      </c>
      <c r="I457" t="s">
        <v>876</v>
      </c>
      <c r="J457">
        <v>0</v>
      </c>
      <c r="K457">
        <v>1</v>
      </c>
      <c r="L457">
        <v>1</v>
      </c>
      <c r="M457">
        <v>81.28</v>
      </c>
      <c r="N457">
        <v>19.53</v>
      </c>
      <c r="O457">
        <v>17.850000000000001</v>
      </c>
      <c r="Q457" t="s">
        <v>2</v>
      </c>
      <c r="R457">
        <v>5907698013440</v>
      </c>
      <c r="S457">
        <v>140</v>
      </c>
      <c r="T457" t="s">
        <v>423</v>
      </c>
      <c r="V457">
        <v>8207403000</v>
      </c>
    </row>
    <row r="458" spans="1:22" x14ac:dyDescent="0.25">
      <c r="A458">
        <v>624106</v>
      </c>
      <c r="B458" t="s">
        <v>302</v>
      </c>
      <c r="C458">
        <v>40</v>
      </c>
      <c r="D458">
        <v>10</v>
      </c>
      <c r="E458" t="s">
        <v>303</v>
      </c>
      <c r="F458" t="s">
        <v>879</v>
      </c>
      <c r="G458" t="s">
        <v>880</v>
      </c>
      <c r="H458" t="s">
        <v>881</v>
      </c>
      <c r="I458" t="s">
        <v>882</v>
      </c>
      <c r="J458">
        <v>174</v>
      </c>
      <c r="K458">
        <v>0</v>
      </c>
      <c r="L458">
        <v>174</v>
      </c>
      <c r="M458">
        <v>14.4</v>
      </c>
      <c r="N458">
        <v>3.42</v>
      </c>
      <c r="O458">
        <v>3.15</v>
      </c>
      <c r="Q458" t="s">
        <v>336</v>
      </c>
      <c r="R458">
        <v>5907698025795</v>
      </c>
      <c r="S458">
        <v>100</v>
      </c>
      <c r="T458" t="s">
        <v>565</v>
      </c>
      <c r="V458">
        <v>8207403000</v>
      </c>
    </row>
    <row r="459" spans="1:22" x14ac:dyDescent="0.25">
      <c r="A459">
        <v>624116</v>
      </c>
      <c r="B459" t="s">
        <v>302</v>
      </c>
      <c r="C459">
        <v>40</v>
      </c>
      <c r="D459">
        <v>10</v>
      </c>
      <c r="E459" t="s">
        <v>303</v>
      </c>
      <c r="F459" t="s">
        <v>883</v>
      </c>
      <c r="G459" t="s">
        <v>884</v>
      </c>
      <c r="H459" t="s">
        <v>885</v>
      </c>
      <c r="I459" t="s">
        <v>882</v>
      </c>
      <c r="J459">
        <v>166</v>
      </c>
      <c r="K459">
        <v>0</v>
      </c>
      <c r="L459">
        <v>166</v>
      </c>
      <c r="M459">
        <v>14.6</v>
      </c>
      <c r="N459">
        <v>3.45</v>
      </c>
      <c r="O459">
        <v>3.2</v>
      </c>
      <c r="Q459" t="s">
        <v>336</v>
      </c>
      <c r="R459">
        <v>5907698025801</v>
      </c>
      <c r="S459">
        <v>60</v>
      </c>
      <c r="T459" t="s">
        <v>383</v>
      </c>
      <c r="V459">
        <v>8207401000</v>
      </c>
    </row>
    <row r="460" spans="1:22" x14ac:dyDescent="0.25">
      <c r="A460">
        <v>624200</v>
      </c>
      <c r="B460" t="s">
        <v>302</v>
      </c>
      <c r="C460">
        <v>20</v>
      </c>
      <c r="E460" t="s">
        <v>303</v>
      </c>
      <c r="F460" t="s">
        <v>879</v>
      </c>
      <c r="G460" t="s">
        <v>886</v>
      </c>
      <c r="H460" t="s">
        <v>887</v>
      </c>
      <c r="I460" t="s">
        <v>882</v>
      </c>
      <c r="J460">
        <v>225</v>
      </c>
      <c r="K460">
        <v>2</v>
      </c>
      <c r="L460">
        <v>227</v>
      </c>
      <c r="M460">
        <v>21.8</v>
      </c>
      <c r="N460">
        <v>5.49</v>
      </c>
      <c r="O460">
        <v>4.9000000000000004</v>
      </c>
      <c r="Q460" t="s">
        <v>2548</v>
      </c>
      <c r="R460">
        <v>5907698013457</v>
      </c>
      <c r="S460">
        <v>180</v>
      </c>
      <c r="T460" t="s">
        <v>888</v>
      </c>
      <c r="V460">
        <v>8207403000</v>
      </c>
    </row>
    <row r="461" spans="1:22" x14ac:dyDescent="0.25">
      <c r="A461">
        <v>624241</v>
      </c>
      <c r="B461" t="s">
        <v>302</v>
      </c>
      <c r="C461">
        <v>16</v>
      </c>
      <c r="E461" t="s">
        <v>303</v>
      </c>
      <c r="F461" t="s">
        <v>879</v>
      </c>
      <c r="G461" t="s">
        <v>886</v>
      </c>
      <c r="H461" t="s">
        <v>889</v>
      </c>
      <c r="I461" t="s">
        <v>882</v>
      </c>
      <c r="J461">
        <v>0</v>
      </c>
      <c r="K461">
        <v>0</v>
      </c>
      <c r="L461">
        <v>0</v>
      </c>
      <c r="M461">
        <v>50.81</v>
      </c>
      <c r="N461">
        <v>12.8</v>
      </c>
      <c r="O461">
        <v>11.41</v>
      </c>
      <c r="Q461" t="s">
        <v>336</v>
      </c>
      <c r="R461">
        <v>5907698019145</v>
      </c>
      <c r="S461">
        <v>160</v>
      </c>
      <c r="T461" t="s">
        <v>890</v>
      </c>
      <c r="U461" t="s">
        <v>2651</v>
      </c>
      <c r="V461">
        <v>8207403000</v>
      </c>
    </row>
    <row r="462" spans="1:22" x14ac:dyDescent="0.25">
      <c r="A462">
        <v>624400</v>
      </c>
      <c r="B462" t="s">
        <v>302</v>
      </c>
      <c r="C462">
        <v>20</v>
      </c>
      <c r="E462" t="s">
        <v>303</v>
      </c>
      <c r="F462" t="s">
        <v>879</v>
      </c>
      <c r="G462" t="s">
        <v>886</v>
      </c>
      <c r="H462" t="s">
        <v>891</v>
      </c>
      <c r="I462" t="s">
        <v>882</v>
      </c>
      <c r="J462">
        <v>216</v>
      </c>
      <c r="K462">
        <v>0</v>
      </c>
      <c r="L462">
        <v>216</v>
      </c>
      <c r="M462">
        <v>31.91</v>
      </c>
      <c r="N462">
        <v>8.0500000000000007</v>
      </c>
      <c r="O462">
        <v>7.17</v>
      </c>
      <c r="Q462" t="s">
        <v>2548</v>
      </c>
      <c r="R462">
        <v>5907698013464</v>
      </c>
      <c r="S462">
        <v>220</v>
      </c>
      <c r="T462" t="s">
        <v>736</v>
      </c>
      <c r="V462">
        <v>8207403000</v>
      </c>
    </row>
    <row r="463" spans="1:22" x14ac:dyDescent="0.25">
      <c r="A463">
        <v>624600</v>
      </c>
      <c r="B463" t="s">
        <v>302</v>
      </c>
      <c r="C463">
        <v>10</v>
      </c>
      <c r="E463" t="s">
        <v>303</v>
      </c>
      <c r="F463" t="s">
        <v>879</v>
      </c>
      <c r="G463" t="s">
        <v>892</v>
      </c>
      <c r="H463" t="s">
        <v>893</v>
      </c>
      <c r="I463" t="s">
        <v>894</v>
      </c>
      <c r="J463">
        <v>2</v>
      </c>
      <c r="K463">
        <v>0</v>
      </c>
      <c r="L463">
        <v>2</v>
      </c>
      <c r="M463">
        <v>85.7</v>
      </c>
      <c r="N463">
        <v>21.66</v>
      </c>
      <c r="O463">
        <v>18.55</v>
      </c>
      <c r="Q463" t="s">
        <v>336</v>
      </c>
      <c r="R463">
        <v>5907698013471</v>
      </c>
      <c r="S463">
        <v>200</v>
      </c>
      <c r="T463" t="s">
        <v>895</v>
      </c>
      <c r="V463">
        <v>8207403000</v>
      </c>
    </row>
    <row r="464" spans="1:22" x14ac:dyDescent="0.25">
      <c r="A464">
        <v>625000</v>
      </c>
      <c r="B464" t="s">
        <v>302</v>
      </c>
      <c r="C464">
        <v>60</v>
      </c>
      <c r="D464">
        <v>10</v>
      </c>
      <c r="E464" t="s">
        <v>303</v>
      </c>
      <c r="F464" t="s">
        <v>896</v>
      </c>
      <c r="G464" t="s">
        <v>897</v>
      </c>
      <c r="H464" t="s">
        <v>898</v>
      </c>
      <c r="I464" t="s">
        <v>899</v>
      </c>
      <c r="J464">
        <v>600</v>
      </c>
      <c r="K464">
        <v>0</v>
      </c>
      <c r="L464">
        <v>600</v>
      </c>
      <c r="M464">
        <v>5.46</v>
      </c>
      <c r="N464">
        <v>1.38</v>
      </c>
      <c r="O464">
        <v>1.23</v>
      </c>
      <c r="Q464" t="s">
        <v>2548</v>
      </c>
      <c r="R464">
        <v>5907698013488</v>
      </c>
      <c r="S464">
        <v>600</v>
      </c>
      <c r="T464" t="s">
        <v>352</v>
      </c>
      <c r="V464">
        <v>8205598000</v>
      </c>
    </row>
    <row r="465" spans="1:22" x14ac:dyDescent="0.25">
      <c r="A465">
        <v>625002</v>
      </c>
      <c r="B465" t="s">
        <v>302</v>
      </c>
      <c r="C465">
        <v>60</v>
      </c>
      <c r="D465">
        <v>10</v>
      </c>
      <c r="E465" t="s">
        <v>303</v>
      </c>
      <c r="F465" t="s">
        <v>896</v>
      </c>
      <c r="G465" t="s">
        <v>897</v>
      </c>
      <c r="H465" t="s">
        <v>1917</v>
      </c>
      <c r="I465" t="s">
        <v>899</v>
      </c>
      <c r="J465">
        <v>727</v>
      </c>
      <c r="K465">
        <v>34</v>
      </c>
      <c r="L465">
        <v>761</v>
      </c>
      <c r="M465">
        <v>4.2699999999999996</v>
      </c>
      <c r="N465">
        <v>1.07</v>
      </c>
      <c r="O465">
        <v>0.93</v>
      </c>
      <c r="Q465" t="s">
        <v>2548</v>
      </c>
      <c r="R465">
        <v>5907698028635</v>
      </c>
      <c r="S465">
        <v>480</v>
      </c>
      <c r="T465" t="s">
        <v>352</v>
      </c>
      <c r="V465">
        <v>8205598000</v>
      </c>
    </row>
    <row r="466" spans="1:22" x14ac:dyDescent="0.25">
      <c r="A466">
        <v>625010</v>
      </c>
      <c r="B466" t="s">
        <v>302</v>
      </c>
      <c r="C466">
        <v>24</v>
      </c>
      <c r="D466">
        <v>12</v>
      </c>
      <c r="E466" t="s">
        <v>303</v>
      </c>
      <c r="F466" t="s">
        <v>900</v>
      </c>
      <c r="G466" t="s">
        <v>901</v>
      </c>
      <c r="H466" t="s">
        <v>902</v>
      </c>
      <c r="I466" t="s">
        <v>903</v>
      </c>
      <c r="J466">
        <v>324</v>
      </c>
      <c r="K466">
        <v>0</v>
      </c>
      <c r="L466">
        <v>324</v>
      </c>
      <c r="M466">
        <v>14.07</v>
      </c>
      <c r="N466">
        <v>3.78</v>
      </c>
      <c r="O466">
        <v>3.2</v>
      </c>
      <c r="Q466" t="s">
        <v>2548</v>
      </c>
      <c r="R466">
        <v>5907698025573</v>
      </c>
      <c r="S466">
        <v>160</v>
      </c>
      <c r="T466" t="s">
        <v>904</v>
      </c>
      <c r="U466" t="s">
        <v>3235</v>
      </c>
      <c r="V466">
        <v>8205598000</v>
      </c>
    </row>
    <row r="467" spans="1:22" x14ac:dyDescent="0.25">
      <c r="A467">
        <v>625121</v>
      </c>
      <c r="B467" t="s">
        <v>302</v>
      </c>
      <c r="C467">
        <v>240</v>
      </c>
      <c r="D467">
        <v>12</v>
      </c>
      <c r="E467" t="s">
        <v>303</v>
      </c>
      <c r="F467" t="s">
        <v>3236</v>
      </c>
      <c r="G467" t="s">
        <v>1918</v>
      </c>
      <c r="H467" t="s">
        <v>1919</v>
      </c>
      <c r="I467" t="s">
        <v>1920</v>
      </c>
      <c r="J467">
        <v>0</v>
      </c>
      <c r="K467">
        <v>0</v>
      </c>
      <c r="L467">
        <v>0</v>
      </c>
      <c r="M467">
        <v>6.05</v>
      </c>
      <c r="N467">
        <v>1.6</v>
      </c>
      <c r="O467">
        <v>1.34</v>
      </c>
      <c r="Q467" t="s">
        <v>1548</v>
      </c>
      <c r="R467">
        <v>5907698025399</v>
      </c>
      <c r="S467">
        <v>240</v>
      </c>
      <c r="T467" t="s">
        <v>905</v>
      </c>
      <c r="V467">
        <v>8481801990</v>
      </c>
    </row>
    <row r="468" spans="1:22" x14ac:dyDescent="0.25">
      <c r="A468">
        <v>626905</v>
      </c>
      <c r="B468" t="s">
        <v>302</v>
      </c>
      <c r="C468">
        <v>50</v>
      </c>
      <c r="E468" t="s">
        <v>303</v>
      </c>
      <c r="F468" t="s">
        <v>3237</v>
      </c>
      <c r="G468" t="s">
        <v>1921</v>
      </c>
      <c r="H468" t="s">
        <v>1922</v>
      </c>
      <c r="I468" t="s">
        <v>1923</v>
      </c>
      <c r="J468">
        <v>64</v>
      </c>
      <c r="K468">
        <v>50</v>
      </c>
      <c r="L468">
        <v>114</v>
      </c>
      <c r="M468">
        <v>8.92</v>
      </c>
      <c r="N468">
        <v>2.25</v>
      </c>
      <c r="O468">
        <v>2.0099999999999998</v>
      </c>
      <c r="Q468" t="s">
        <v>2548</v>
      </c>
      <c r="R468">
        <v>5907698026976</v>
      </c>
      <c r="S468">
        <v>450</v>
      </c>
      <c r="T468" t="s">
        <v>907</v>
      </c>
      <c r="V468">
        <v>3926909790</v>
      </c>
    </row>
    <row r="469" spans="1:22" x14ac:dyDescent="0.25">
      <c r="A469">
        <v>627010</v>
      </c>
      <c r="B469" t="s">
        <v>302</v>
      </c>
      <c r="C469">
        <v>24</v>
      </c>
      <c r="E469" t="s">
        <v>303</v>
      </c>
      <c r="F469" t="s">
        <v>3238</v>
      </c>
      <c r="G469" t="s">
        <v>1924</v>
      </c>
      <c r="H469" t="s">
        <v>1666</v>
      </c>
      <c r="I469" t="s">
        <v>1925</v>
      </c>
      <c r="J469">
        <v>2384</v>
      </c>
      <c r="K469">
        <v>240</v>
      </c>
      <c r="L469">
        <v>2624</v>
      </c>
      <c r="M469">
        <v>3.1</v>
      </c>
      <c r="N469">
        <v>0.81</v>
      </c>
      <c r="O469">
        <v>0.69</v>
      </c>
      <c r="Q469" t="s">
        <v>908</v>
      </c>
      <c r="R469">
        <v>5907698023999</v>
      </c>
      <c r="S469">
        <v>300</v>
      </c>
      <c r="T469" t="s">
        <v>307</v>
      </c>
      <c r="V469">
        <v>3920999090</v>
      </c>
    </row>
    <row r="470" spans="1:22" x14ac:dyDescent="0.25">
      <c r="A470">
        <v>627014</v>
      </c>
      <c r="B470" t="s">
        <v>302</v>
      </c>
      <c r="C470">
        <v>16</v>
      </c>
      <c r="E470" t="s">
        <v>303</v>
      </c>
      <c r="F470" t="s">
        <v>3238</v>
      </c>
      <c r="G470" t="s">
        <v>1924</v>
      </c>
      <c r="H470" t="s">
        <v>1667</v>
      </c>
      <c r="I470" t="s">
        <v>1925</v>
      </c>
      <c r="J470">
        <v>135</v>
      </c>
      <c r="K470">
        <v>0</v>
      </c>
      <c r="L470">
        <v>135</v>
      </c>
      <c r="M470">
        <v>7.74</v>
      </c>
      <c r="N470">
        <v>2.0499999999999998</v>
      </c>
      <c r="O470">
        <v>1.76</v>
      </c>
      <c r="Q470" t="s">
        <v>908</v>
      </c>
      <c r="R470">
        <v>5907698024408</v>
      </c>
      <c r="S470">
        <v>80</v>
      </c>
      <c r="T470" t="s">
        <v>307</v>
      </c>
      <c r="V470">
        <v>3920999090</v>
      </c>
    </row>
    <row r="471" spans="1:22" x14ac:dyDescent="0.25">
      <c r="A471">
        <v>627030</v>
      </c>
      <c r="B471" t="s">
        <v>302</v>
      </c>
      <c r="C471">
        <v>240</v>
      </c>
      <c r="D471">
        <v>24</v>
      </c>
      <c r="E471" t="s">
        <v>303</v>
      </c>
      <c r="F471" t="s">
        <v>3239</v>
      </c>
      <c r="G471" t="s">
        <v>909</v>
      </c>
      <c r="H471" t="s">
        <v>1926</v>
      </c>
      <c r="I471" t="s">
        <v>910</v>
      </c>
      <c r="J471">
        <v>1898</v>
      </c>
      <c r="K471">
        <v>265</v>
      </c>
      <c r="L471">
        <v>2163</v>
      </c>
      <c r="M471">
        <v>1.39</v>
      </c>
      <c r="N471">
        <v>0.36</v>
      </c>
      <c r="O471">
        <v>0.31</v>
      </c>
      <c r="Q471" t="s">
        <v>3744</v>
      </c>
      <c r="R471">
        <v>5907698013501</v>
      </c>
      <c r="S471">
        <v>1000</v>
      </c>
      <c r="T471" t="s">
        <v>352</v>
      </c>
      <c r="V471">
        <v>3920999090</v>
      </c>
    </row>
    <row r="472" spans="1:22" x14ac:dyDescent="0.25">
      <c r="A472">
        <v>627031</v>
      </c>
      <c r="B472" t="s">
        <v>302</v>
      </c>
      <c r="C472">
        <v>100</v>
      </c>
      <c r="D472">
        <v>10</v>
      </c>
      <c r="E472" t="s">
        <v>303</v>
      </c>
      <c r="F472" t="s">
        <v>3239</v>
      </c>
      <c r="G472" t="s">
        <v>909</v>
      </c>
      <c r="H472" t="s">
        <v>911</v>
      </c>
      <c r="I472" t="s">
        <v>910</v>
      </c>
      <c r="J472">
        <v>202</v>
      </c>
      <c r="K472">
        <v>20</v>
      </c>
      <c r="L472">
        <v>222</v>
      </c>
      <c r="M472">
        <v>4.46</v>
      </c>
      <c r="N472">
        <v>1.1200000000000001</v>
      </c>
      <c r="O472">
        <v>1.01</v>
      </c>
      <c r="Q472" t="s">
        <v>3011</v>
      </c>
      <c r="R472">
        <v>5907698025214</v>
      </c>
      <c r="S472">
        <v>800</v>
      </c>
      <c r="T472" t="s">
        <v>331</v>
      </c>
      <c r="V472">
        <v>3920999090</v>
      </c>
    </row>
    <row r="473" spans="1:22" x14ac:dyDescent="0.25">
      <c r="A473">
        <v>627051</v>
      </c>
      <c r="B473" t="s">
        <v>302</v>
      </c>
      <c r="C473">
        <v>40</v>
      </c>
      <c r="E473" t="s">
        <v>303</v>
      </c>
      <c r="F473" t="s">
        <v>912</v>
      </c>
      <c r="G473" t="s">
        <v>913</v>
      </c>
      <c r="H473" t="s">
        <v>914</v>
      </c>
      <c r="I473" t="s">
        <v>915</v>
      </c>
      <c r="J473">
        <v>1278</v>
      </c>
      <c r="K473">
        <v>20</v>
      </c>
      <c r="L473">
        <v>1298</v>
      </c>
      <c r="M473">
        <v>8.0399999999999991</v>
      </c>
      <c r="N473">
        <v>2.04</v>
      </c>
      <c r="O473">
        <v>1.82</v>
      </c>
      <c r="Q473" t="s">
        <v>2</v>
      </c>
      <c r="R473">
        <v>5907698026570</v>
      </c>
      <c r="S473">
        <v>720</v>
      </c>
      <c r="T473" t="s">
        <v>840</v>
      </c>
      <c r="V473">
        <v>3917320090</v>
      </c>
    </row>
    <row r="474" spans="1:22" x14ac:dyDescent="0.25">
      <c r="A474">
        <v>627052</v>
      </c>
      <c r="B474" t="s">
        <v>2993</v>
      </c>
      <c r="C474">
        <v>25</v>
      </c>
      <c r="E474" t="s">
        <v>303</v>
      </c>
      <c r="F474" t="s">
        <v>912</v>
      </c>
      <c r="G474" t="s">
        <v>913</v>
      </c>
      <c r="H474" t="s">
        <v>2961</v>
      </c>
      <c r="I474" t="s">
        <v>915</v>
      </c>
      <c r="J474">
        <v>419</v>
      </c>
      <c r="K474">
        <v>80</v>
      </c>
      <c r="L474">
        <v>499</v>
      </c>
      <c r="M474">
        <v>12.59</v>
      </c>
      <c r="N474">
        <v>3.18</v>
      </c>
      <c r="O474">
        <v>2.73</v>
      </c>
      <c r="Q474" t="s">
        <v>3745</v>
      </c>
      <c r="R474">
        <v>5907698030928</v>
      </c>
      <c r="S474">
        <v>250</v>
      </c>
      <c r="T474" t="s">
        <v>840</v>
      </c>
      <c r="U474" t="s">
        <v>3746</v>
      </c>
      <c r="V474">
        <v>3917320090</v>
      </c>
    </row>
    <row r="475" spans="1:22" x14ac:dyDescent="0.25">
      <c r="A475">
        <v>627053</v>
      </c>
      <c r="B475" t="s">
        <v>2993</v>
      </c>
      <c r="C475">
        <v>25</v>
      </c>
      <c r="E475" t="s">
        <v>303</v>
      </c>
      <c r="F475" t="s">
        <v>912</v>
      </c>
      <c r="G475" t="s">
        <v>913</v>
      </c>
      <c r="H475" t="s">
        <v>2962</v>
      </c>
      <c r="I475" t="s">
        <v>915</v>
      </c>
      <c r="J475">
        <v>251</v>
      </c>
      <c r="K475">
        <v>48</v>
      </c>
      <c r="L475">
        <v>299</v>
      </c>
      <c r="M475">
        <v>15.57</v>
      </c>
      <c r="N475">
        <v>3.93</v>
      </c>
      <c r="O475">
        <v>3.38</v>
      </c>
      <c r="Q475" t="s">
        <v>3745</v>
      </c>
      <c r="R475">
        <v>5907698030935</v>
      </c>
      <c r="S475">
        <v>150</v>
      </c>
      <c r="T475" t="s">
        <v>840</v>
      </c>
      <c r="U475" t="s">
        <v>3746</v>
      </c>
      <c r="V475">
        <v>3917320090</v>
      </c>
    </row>
    <row r="476" spans="1:22" x14ac:dyDescent="0.25">
      <c r="A476">
        <v>627060</v>
      </c>
      <c r="B476" t="s">
        <v>302</v>
      </c>
      <c r="C476">
        <v>100</v>
      </c>
      <c r="E476" t="s">
        <v>303</v>
      </c>
      <c r="F476" t="s">
        <v>3240</v>
      </c>
      <c r="G476" t="s">
        <v>916</v>
      </c>
      <c r="H476" t="s">
        <v>2447</v>
      </c>
      <c r="I476" t="s">
        <v>917</v>
      </c>
      <c r="J476">
        <v>4075</v>
      </c>
      <c r="K476">
        <v>1</v>
      </c>
      <c r="L476">
        <v>4076</v>
      </c>
      <c r="M476">
        <v>2.14</v>
      </c>
      <c r="N476">
        <v>0.55000000000000004</v>
      </c>
      <c r="O476">
        <v>0.48</v>
      </c>
      <c r="Q476" t="s">
        <v>2</v>
      </c>
      <c r="R476">
        <v>5907698013518</v>
      </c>
      <c r="S476">
        <v>1000</v>
      </c>
      <c r="T476" t="s">
        <v>2652</v>
      </c>
      <c r="V476">
        <v>3919108090</v>
      </c>
    </row>
    <row r="477" spans="1:22" x14ac:dyDescent="0.25">
      <c r="A477">
        <v>627100</v>
      </c>
      <c r="B477" t="s">
        <v>302</v>
      </c>
      <c r="C477">
        <v>50</v>
      </c>
      <c r="E477" t="s">
        <v>303</v>
      </c>
      <c r="F477" t="s">
        <v>3241</v>
      </c>
      <c r="G477" t="s">
        <v>918</v>
      </c>
      <c r="H477" t="s">
        <v>2448</v>
      </c>
      <c r="I477" t="s">
        <v>919</v>
      </c>
      <c r="J477">
        <v>3416</v>
      </c>
      <c r="K477">
        <v>1</v>
      </c>
      <c r="L477">
        <v>3417</v>
      </c>
      <c r="M477">
        <v>6.12</v>
      </c>
      <c r="N477">
        <v>1.54</v>
      </c>
      <c r="O477">
        <v>1.37</v>
      </c>
      <c r="Q477" t="s">
        <v>2</v>
      </c>
      <c r="R477">
        <v>5907698023135</v>
      </c>
      <c r="S477">
        <v>900</v>
      </c>
      <c r="T477" t="s">
        <v>920</v>
      </c>
      <c r="V477">
        <v>3919108090</v>
      </c>
    </row>
    <row r="478" spans="1:22" x14ac:dyDescent="0.25">
      <c r="A478">
        <v>627150</v>
      </c>
      <c r="B478" t="s">
        <v>302</v>
      </c>
      <c r="C478">
        <v>100</v>
      </c>
      <c r="E478" t="s">
        <v>303</v>
      </c>
      <c r="F478" t="s">
        <v>3240</v>
      </c>
      <c r="G478" t="s">
        <v>921</v>
      </c>
      <c r="H478" t="s">
        <v>2449</v>
      </c>
      <c r="I478" t="s">
        <v>922</v>
      </c>
      <c r="J478">
        <v>3884</v>
      </c>
      <c r="K478">
        <v>11</v>
      </c>
      <c r="L478">
        <v>3895</v>
      </c>
      <c r="M478">
        <v>3.17</v>
      </c>
      <c r="N478">
        <v>0.8</v>
      </c>
      <c r="O478">
        <v>0.71</v>
      </c>
      <c r="Q478" t="s">
        <v>2</v>
      </c>
      <c r="R478">
        <v>5907698013525</v>
      </c>
      <c r="S478">
        <v>1800</v>
      </c>
      <c r="T478" t="s">
        <v>1058</v>
      </c>
      <c r="V478">
        <v>3919108090</v>
      </c>
    </row>
    <row r="479" spans="1:22" x14ac:dyDescent="0.25">
      <c r="A479">
        <v>627200</v>
      </c>
      <c r="B479" t="s">
        <v>302</v>
      </c>
      <c r="C479">
        <v>100</v>
      </c>
      <c r="D479">
        <v>20</v>
      </c>
      <c r="E479" t="s">
        <v>303</v>
      </c>
      <c r="F479" t="s">
        <v>3241</v>
      </c>
      <c r="G479" t="s">
        <v>1927</v>
      </c>
      <c r="H479" t="s">
        <v>1928</v>
      </c>
      <c r="I479" t="s">
        <v>922</v>
      </c>
      <c r="J479">
        <v>489</v>
      </c>
      <c r="K479">
        <v>221</v>
      </c>
      <c r="L479">
        <v>710</v>
      </c>
      <c r="M479">
        <v>1.75</v>
      </c>
      <c r="N479">
        <v>0.45</v>
      </c>
      <c r="O479">
        <v>0.38</v>
      </c>
      <c r="Q479" t="s">
        <v>2</v>
      </c>
      <c r="R479">
        <v>5907698013532</v>
      </c>
      <c r="S479">
        <v>1000</v>
      </c>
      <c r="T479" t="s">
        <v>535</v>
      </c>
      <c r="V479">
        <v>3919108090</v>
      </c>
    </row>
    <row r="480" spans="1:22" x14ac:dyDescent="0.25">
      <c r="A480">
        <v>627312</v>
      </c>
      <c r="B480" t="s">
        <v>302</v>
      </c>
      <c r="C480">
        <v>24</v>
      </c>
      <c r="E480" t="s">
        <v>303</v>
      </c>
      <c r="F480" t="s">
        <v>3242</v>
      </c>
      <c r="G480" t="s">
        <v>1929</v>
      </c>
      <c r="H480" t="s">
        <v>1930</v>
      </c>
      <c r="I480" t="s">
        <v>1931</v>
      </c>
      <c r="J480">
        <v>1293</v>
      </c>
      <c r="K480">
        <v>0</v>
      </c>
      <c r="L480">
        <v>1293</v>
      </c>
      <c r="M480">
        <v>1.59</v>
      </c>
      <c r="N480">
        <v>0.42</v>
      </c>
      <c r="O480">
        <v>0.35</v>
      </c>
      <c r="Q480" t="s">
        <v>908</v>
      </c>
      <c r="R480">
        <v>5907698021995</v>
      </c>
      <c r="S480">
        <v>500</v>
      </c>
      <c r="T480" t="s">
        <v>307</v>
      </c>
      <c r="V480">
        <v>3919108090</v>
      </c>
    </row>
    <row r="481" spans="1:22" x14ac:dyDescent="0.25">
      <c r="A481">
        <v>627313</v>
      </c>
      <c r="B481" t="s">
        <v>302</v>
      </c>
      <c r="C481">
        <v>24</v>
      </c>
      <c r="E481" t="s">
        <v>303</v>
      </c>
      <c r="F481" t="s">
        <v>3242</v>
      </c>
      <c r="G481" t="s">
        <v>1932</v>
      </c>
      <c r="H481" t="s">
        <v>1933</v>
      </c>
      <c r="I481" t="s">
        <v>1931</v>
      </c>
      <c r="J481">
        <v>1336</v>
      </c>
      <c r="K481">
        <v>1</v>
      </c>
      <c r="L481">
        <v>1337</v>
      </c>
      <c r="M481">
        <v>3.67</v>
      </c>
      <c r="N481">
        <v>0.96</v>
      </c>
      <c r="O481">
        <v>0.82</v>
      </c>
      <c r="Q481" t="s">
        <v>908</v>
      </c>
      <c r="R481">
        <v>5907698025351</v>
      </c>
      <c r="S481">
        <v>180</v>
      </c>
      <c r="T481" t="s">
        <v>307</v>
      </c>
      <c r="V481">
        <v>3919108090</v>
      </c>
    </row>
    <row r="482" spans="1:22" x14ac:dyDescent="0.25">
      <c r="A482">
        <v>627315</v>
      </c>
      <c r="B482" t="s">
        <v>302</v>
      </c>
      <c r="C482">
        <v>24</v>
      </c>
      <c r="E482" t="s">
        <v>303</v>
      </c>
      <c r="F482" t="s">
        <v>3242</v>
      </c>
      <c r="G482" t="s">
        <v>1929</v>
      </c>
      <c r="H482" t="s">
        <v>1934</v>
      </c>
      <c r="I482" t="s">
        <v>1931</v>
      </c>
      <c r="J482">
        <v>1452</v>
      </c>
      <c r="K482">
        <v>1</v>
      </c>
      <c r="L482">
        <v>1453</v>
      </c>
      <c r="M482">
        <v>6.46</v>
      </c>
      <c r="N482">
        <v>1.7</v>
      </c>
      <c r="O482">
        <v>1.44</v>
      </c>
      <c r="Q482" t="s">
        <v>908</v>
      </c>
      <c r="R482">
        <v>5907698023913</v>
      </c>
      <c r="S482">
        <v>210</v>
      </c>
      <c r="T482" t="s">
        <v>307</v>
      </c>
      <c r="V482">
        <v>3919108090</v>
      </c>
    </row>
    <row r="483" spans="1:22" x14ac:dyDescent="0.25">
      <c r="A483">
        <v>627325</v>
      </c>
      <c r="B483" t="s">
        <v>302</v>
      </c>
      <c r="C483">
        <v>24</v>
      </c>
      <c r="E483" t="s">
        <v>303</v>
      </c>
      <c r="F483" t="s">
        <v>3242</v>
      </c>
      <c r="G483" t="s">
        <v>1929</v>
      </c>
      <c r="H483" t="s">
        <v>2429</v>
      </c>
      <c r="I483" t="s">
        <v>1931</v>
      </c>
      <c r="J483">
        <v>124</v>
      </c>
      <c r="K483">
        <v>0</v>
      </c>
      <c r="L483">
        <v>124</v>
      </c>
      <c r="M483">
        <v>7.28</v>
      </c>
      <c r="N483">
        <v>1.91</v>
      </c>
      <c r="O483">
        <v>1.63</v>
      </c>
      <c r="Q483" t="s">
        <v>908</v>
      </c>
      <c r="R483">
        <v>5907698026617</v>
      </c>
      <c r="S483">
        <v>100</v>
      </c>
      <c r="T483" t="s">
        <v>307</v>
      </c>
      <c r="V483">
        <v>3919108090</v>
      </c>
    </row>
    <row r="484" spans="1:22" x14ac:dyDescent="0.25">
      <c r="A484">
        <v>627531</v>
      </c>
      <c r="B484" t="s">
        <v>302</v>
      </c>
      <c r="C484">
        <v>36</v>
      </c>
      <c r="E484" t="s">
        <v>303</v>
      </c>
      <c r="F484" t="s">
        <v>3767</v>
      </c>
      <c r="G484" t="s">
        <v>3768</v>
      </c>
      <c r="H484" t="s">
        <v>3769</v>
      </c>
      <c r="I484" t="s">
        <v>3770</v>
      </c>
      <c r="J484">
        <v>0</v>
      </c>
      <c r="K484">
        <v>0</v>
      </c>
      <c r="L484">
        <v>0</v>
      </c>
      <c r="M484">
        <v>1.25</v>
      </c>
      <c r="N484">
        <v>0.3</v>
      </c>
      <c r="O484">
        <v>0.27</v>
      </c>
      <c r="Q484" t="s">
        <v>908</v>
      </c>
      <c r="R484">
        <v>5907698024279</v>
      </c>
      <c r="S484">
        <v>180</v>
      </c>
      <c r="T484" t="s">
        <v>307</v>
      </c>
      <c r="V484">
        <v>3919108090</v>
      </c>
    </row>
    <row r="485" spans="1:22" x14ac:dyDescent="0.25">
      <c r="A485">
        <v>628317</v>
      </c>
      <c r="B485" t="s">
        <v>302</v>
      </c>
      <c r="C485">
        <v>144</v>
      </c>
      <c r="D485">
        <v>36</v>
      </c>
      <c r="E485" t="s">
        <v>303</v>
      </c>
      <c r="F485" t="s">
        <v>923</v>
      </c>
      <c r="G485" t="s">
        <v>924</v>
      </c>
      <c r="H485" t="s">
        <v>925</v>
      </c>
      <c r="I485" t="s">
        <v>926</v>
      </c>
      <c r="J485">
        <v>1445</v>
      </c>
      <c r="K485">
        <v>1</v>
      </c>
      <c r="L485">
        <v>1446</v>
      </c>
      <c r="M485">
        <v>2.66</v>
      </c>
      <c r="N485">
        <v>0.63</v>
      </c>
      <c r="O485">
        <v>0.59</v>
      </c>
      <c r="Q485" t="s">
        <v>2</v>
      </c>
      <c r="R485">
        <v>5907698022428</v>
      </c>
      <c r="S485">
        <v>680</v>
      </c>
      <c r="T485" t="s">
        <v>927</v>
      </c>
      <c r="V485">
        <v>8205598000</v>
      </c>
    </row>
    <row r="486" spans="1:22" x14ac:dyDescent="0.25">
      <c r="A486">
        <v>628350</v>
      </c>
      <c r="B486" t="s">
        <v>302</v>
      </c>
      <c r="C486">
        <v>40</v>
      </c>
      <c r="E486" t="s">
        <v>303</v>
      </c>
      <c r="F486" t="s">
        <v>923</v>
      </c>
      <c r="G486" t="s">
        <v>924</v>
      </c>
      <c r="H486" t="s">
        <v>928</v>
      </c>
      <c r="I486" t="s">
        <v>926</v>
      </c>
      <c r="J486">
        <v>0</v>
      </c>
      <c r="K486">
        <v>0</v>
      </c>
      <c r="L486">
        <v>0</v>
      </c>
      <c r="M486">
        <v>3.9</v>
      </c>
      <c r="N486">
        <v>1</v>
      </c>
      <c r="O486">
        <v>0.86</v>
      </c>
      <c r="Q486" t="s">
        <v>2</v>
      </c>
      <c r="R486">
        <v>5907698013570</v>
      </c>
      <c r="S486">
        <v>4000</v>
      </c>
      <c r="T486" t="s">
        <v>927</v>
      </c>
      <c r="V486">
        <v>8205598000</v>
      </c>
    </row>
    <row r="487" spans="1:22" x14ac:dyDescent="0.25">
      <c r="A487">
        <v>628365</v>
      </c>
      <c r="B487" t="s">
        <v>302</v>
      </c>
      <c r="C487">
        <v>20</v>
      </c>
      <c r="E487" t="s">
        <v>303</v>
      </c>
      <c r="F487" t="s">
        <v>923</v>
      </c>
      <c r="G487" t="s">
        <v>929</v>
      </c>
      <c r="H487" t="s">
        <v>930</v>
      </c>
      <c r="I487" t="s">
        <v>926</v>
      </c>
      <c r="J487">
        <v>0</v>
      </c>
      <c r="K487">
        <v>1</v>
      </c>
      <c r="L487">
        <v>1</v>
      </c>
      <c r="M487">
        <v>9.25</v>
      </c>
      <c r="N487">
        <v>2.5</v>
      </c>
      <c r="O487">
        <v>2.11</v>
      </c>
      <c r="Q487" t="s">
        <v>2</v>
      </c>
      <c r="R487">
        <v>5907698023951</v>
      </c>
      <c r="S487">
        <v>700</v>
      </c>
      <c r="T487" t="s">
        <v>927</v>
      </c>
      <c r="V487">
        <v>8205598000</v>
      </c>
    </row>
    <row r="488" spans="1:22" x14ac:dyDescent="0.25">
      <c r="A488">
        <v>628401</v>
      </c>
      <c r="B488" t="s">
        <v>302</v>
      </c>
      <c r="C488">
        <v>20</v>
      </c>
      <c r="D488">
        <v>10</v>
      </c>
      <c r="E488" t="s">
        <v>303</v>
      </c>
      <c r="F488" t="s">
        <v>923</v>
      </c>
      <c r="G488" t="s">
        <v>924</v>
      </c>
      <c r="H488" t="s">
        <v>931</v>
      </c>
      <c r="I488" t="s">
        <v>932</v>
      </c>
      <c r="J488">
        <v>952</v>
      </c>
      <c r="K488">
        <v>80</v>
      </c>
      <c r="L488">
        <v>1032</v>
      </c>
      <c r="M488">
        <v>11.34</v>
      </c>
      <c r="N488">
        <v>3.05</v>
      </c>
      <c r="O488">
        <v>2.58</v>
      </c>
      <c r="Q488" t="s">
        <v>2</v>
      </c>
      <c r="R488">
        <v>5907698019091</v>
      </c>
      <c r="S488">
        <v>1200</v>
      </c>
      <c r="T488" t="s">
        <v>927</v>
      </c>
      <c r="V488">
        <v>8205598000</v>
      </c>
    </row>
    <row r="489" spans="1:22" x14ac:dyDescent="0.25">
      <c r="A489">
        <v>628407</v>
      </c>
      <c r="B489" t="s">
        <v>302</v>
      </c>
      <c r="C489">
        <v>10</v>
      </c>
      <c r="D489">
        <v>5</v>
      </c>
      <c r="E489" t="s">
        <v>303</v>
      </c>
      <c r="F489" t="s">
        <v>923</v>
      </c>
      <c r="G489" t="s">
        <v>924</v>
      </c>
      <c r="H489" t="s">
        <v>933</v>
      </c>
      <c r="I489" t="s">
        <v>926</v>
      </c>
      <c r="J489">
        <v>201</v>
      </c>
      <c r="K489">
        <v>10</v>
      </c>
      <c r="L489">
        <v>211</v>
      </c>
      <c r="M489">
        <v>16.579999999999998</v>
      </c>
      <c r="N489">
        <v>3.99</v>
      </c>
      <c r="O489">
        <v>3.66</v>
      </c>
      <c r="Q489" t="s">
        <v>2</v>
      </c>
      <c r="R489">
        <v>5907698019862</v>
      </c>
      <c r="S489">
        <v>520</v>
      </c>
      <c r="T489" t="s">
        <v>927</v>
      </c>
      <c r="V489">
        <v>8205598000</v>
      </c>
    </row>
    <row r="490" spans="1:22" x14ac:dyDescent="0.25">
      <c r="A490">
        <v>628600</v>
      </c>
      <c r="B490" t="s">
        <v>302</v>
      </c>
      <c r="C490">
        <v>10</v>
      </c>
      <c r="D490">
        <v>5</v>
      </c>
      <c r="E490" t="s">
        <v>303</v>
      </c>
      <c r="F490" t="s">
        <v>923</v>
      </c>
      <c r="G490" t="s">
        <v>924</v>
      </c>
      <c r="H490" t="s">
        <v>934</v>
      </c>
      <c r="I490" t="s">
        <v>932</v>
      </c>
      <c r="J490">
        <v>345</v>
      </c>
      <c r="K490">
        <v>0</v>
      </c>
      <c r="L490">
        <v>345</v>
      </c>
      <c r="M490">
        <v>19.88</v>
      </c>
      <c r="N490">
        <v>5.35</v>
      </c>
      <c r="O490">
        <v>4.5199999999999996</v>
      </c>
      <c r="Q490" t="s">
        <v>2</v>
      </c>
      <c r="R490">
        <v>5907698013587</v>
      </c>
      <c r="S490">
        <v>900</v>
      </c>
      <c r="T490" t="s">
        <v>927</v>
      </c>
      <c r="V490">
        <v>8205598000</v>
      </c>
    </row>
    <row r="491" spans="1:22" x14ac:dyDescent="0.25">
      <c r="A491">
        <v>632011</v>
      </c>
      <c r="B491" t="s">
        <v>302</v>
      </c>
      <c r="C491">
        <v>72</v>
      </c>
      <c r="D491">
        <v>36</v>
      </c>
      <c r="E491" t="s">
        <v>303</v>
      </c>
      <c r="F491" t="s">
        <v>3243</v>
      </c>
      <c r="G491" t="s">
        <v>935</v>
      </c>
      <c r="H491" t="s">
        <v>936</v>
      </c>
      <c r="I491" t="s">
        <v>937</v>
      </c>
      <c r="J491">
        <v>0</v>
      </c>
      <c r="K491">
        <v>0</v>
      </c>
      <c r="L491">
        <v>0</v>
      </c>
      <c r="M491">
        <v>5.16</v>
      </c>
      <c r="N491">
        <v>1.22</v>
      </c>
      <c r="O491">
        <v>1.1399999999999999</v>
      </c>
      <c r="Q491" t="s">
        <v>336</v>
      </c>
      <c r="R491">
        <v>5907698020783</v>
      </c>
      <c r="S491">
        <v>280</v>
      </c>
      <c r="T491" t="s">
        <v>2477</v>
      </c>
      <c r="V491">
        <v>8213000000</v>
      </c>
    </row>
    <row r="492" spans="1:22" x14ac:dyDescent="0.25">
      <c r="A492">
        <v>632012</v>
      </c>
      <c r="B492" t="s">
        <v>302</v>
      </c>
      <c r="C492">
        <v>240</v>
      </c>
      <c r="D492">
        <v>40</v>
      </c>
      <c r="E492" t="s">
        <v>303</v>
      </c>
      <c r="F492" t="s">
        <v>3243</v>
      </c>
      <c r="G492" t="s">
        <v>939</v>
      </c>
      <c r="H492" t="s">
        <v>940</v>
      </c>
      <c r="I492" t="s">
        <v>941</v>
      </c>
      <c r="J492">
        <v>409</v>
      </c>
      <c r="K492">
        <v>161</v>
      </c>
      <c r="L492">
        <v>570</v>
      </c>
      <c r="M492">
        <v>4.0999999999999996</v>
      </c>
      <c r="N492">
        <v>1.04</v>
      </c>
      <c r="O492">
        <v>0.92</v>
      </c>
      <c r="Q492" t="s">
        <v>336</v>
      </c>
      <c r="R492">
        <v>5907698020790</v>
      </c>
      <c r="S492">
        <v>300</v>
      </c>
      <c r="T492" t="s">
        <v>2477</v>
      </c>
      <c r="U492" t="s">
        <v>3244</v>
      </c>
      <c r="V492">
        <v>8213000000</v>
      </c>
    </row>
    <row r="493" spans="1:22" x14ac:dyDescent="0.25">
      <c r="A493">
        <v>632021</v>
      </c>
      <c r="B493" t="s">
        <v>302</v>
      </c>
      <c r="C493">
        <v>108</v>
      </c>
      <c r="E493" t="s">
        <v>303</v>
      </c>
      <c r="F493" t="s">
        <v>3245</v>
      </c>
      <c r="G493" t="s">
        <v>942</v>
      </c>
      <c r="H493" t="s">
        <v>2478</v>
      </c>
      <c r="I493" t="s">
        <v>943</v>
      </c>
      <c r="J493">
        <v>0</v>
      </c>
      <c r="K493">
        <v>2</v>
      </c>
      <c r="L493">
        <v>2</v>
      </c>
      <c r="M493">
        <v>5.81</v>
      </c>
      <c r="N493">
        <v>1.37</v>
      </c>
      <c r="O493">
        <v>1.27</v>
      </c>
      <c r="Q493" t="s">
        <v>336</v>
      </c>
      <c r="R493">
        <v>5907698022206</v>
      </c>
      <c r="S493">
        <v>640</v>
      </c>
      <c r="T493" t="s">
        <v>427</v>
      </c>
      <c r="V493">
        <v>8213000000</v>
      </c>
    </row>
    <row r="494" spans="1:22" x14ac:dyDescent="0.25">
      <c r="A494">
        <v>632030</v>
      </c>
      <c r="B494" t="s">
        <v>302</v>
      </c>
      <c r="C494">
        <v>120</v>
      </c>
      <c r="E494" t="s">
        <v>303</v>
      </c>
      <c r="F494" t="s">
        <v>3245</v>
      </c>
      <c r="G494" t="s">
        <v>942</v>
      </c>
      <c r="H494" t="s">
        <v>2468</v>
      </c>
      <c r="I494" t="s">
        <v>943</v>
      </c>
      <c r="J494">
        <v>339</v>
      </c>
      <c r="K494">
        <v>11</v>
      </c>
      <c r="L494">
        <v>350</v>
      </c>
      <c r="M494">
        <v>10.37</v>
      </c>
      <c r="N494">
        <v>2.61</v>
      </c>
      <c r="O494">
        <v>2.33</v>
      </c>
      <c r="Q494" t="s">
        <v>336</v>
      </c>
      <c r="R494">
        <v>5907698013600</v>
      </c>
      <c r="S494">
        <v>460</v>
      </c>
      <c r="T494" t="s">
        <v>383</v>
      </c>
      <c r="U494" t="s">
        <v>3244</v>
      </c>
      <c r="V494">
        <v>8213000000</v>
      </c>
    </row>
    <row r="495" spans="1:22" x14ac:dyDescent="0.25">
      <c r="A495">
        <v>633000</v>
      </c>
      <c r="B495" t="s">
        <v>302</v>
      </c>
      <c r="C495">
        <v>144</v>
      </c>
      <c r="D495">
        <v>24</v>
      </c>
      <c r="E495" t="s">
        <v>303</v>
      </c>
      <c r="F495" t="s">
        <v>3246</v>
      </c>
      <c r="G495" t="s">
        <v>1935</v>
      </c>
      <c r="H495" t="s">
        <v>936</v>
      </c>
      <c r="I495" t="s">
        <v>1936</v>
      </c>
      <c r="J495">
        <v>677</v>
      </c>
      <c r="K495">
        <v>2</v>
      </c>
      <c r="L495">
        <v>679</v>
      </c>
      <c r="M495">
        <v>3.06</v>
      </c>
      <c r="N495">
        <v>0.78</v>
      </c>
      <c r="O495">
        <v>0.68</v>
      </c>
      <c r="Q495" t="s">
        <v>336</v>
      </c>
      <c r="R495">
        <v>5907698013617</v>
      </c>
      <c r="S495">
        <v>300</v>
      </c>
      <c r="T495" t="s">
        <v>938</v>
      </c>
      <c r="U495" t="s">
        <v>3244</v>
      </c>
      <c r="V495">
        <v>8213000000</v>
      </c>
    </row>
    <row r="496" spans="1:22" x14ac:dyDescent="0.25">
      <c r="A496">
        <v>633192</v>
      </c>
      <c r="B496" t="s">
        <v>2993</v>
      </c>
      <c r="C496">
        <v>72</v>
      </c>
      <c r="D496">
        <v>0</v>
      </c>
      <c r="E496" t="s">
        <v>303</v>
      </c>
      <c r="F496" t="s">
        <v>3243</v>
      </c>
      <c r="G496" t="s">
        <v>939</v>
      </c>
      <c r="H496" t="s">
        <v>2430</v>
      </c>
      <c r="I496" t="s">
        <v>941</v>
      </c>
      <c r="J496">
        <v>210</v>
      </c>
      <c r="K496">
        <v>2</v>
      </c>
      <c r="L496">
        <v>212</v>
      </c>
      <c r="M496">
        <v>13.95</v>
      </c>
      <c r="N496">
        <v>3.51</v>
      </c>
      <c r="O496">
        <v>3.13</v>
      </c>
      <c r="Q496" t="s">
        <v>336</v>
      </c>
      <c r="R496">
        <v>5907698029632</v>
      </c>
      <c r="S496">
        <v>100</v>
      </c>
      <c r="T496" t="s">
        <v>646</v>
      </c>
      <c r="V496">
        <v>8213000000</v>
      </c>
    </row>
    <row r="497" spans="1:22" x14ac:dyDescent="0.25">
      <c r="A497">
        <v>633215</v>
      </c>
      <c r="B497" t="s">
        <v>2993</v>
      </c>
      <c r="C497">
        <v>72</v>
      </c>
      <c r="D497">
        <v>0</v>
      </c>
      <c r="E497" t="s">
        <v>303</v>
      </c>
      <c r="F497" t="s">
        <v>3243</v>
      </c>
      <c r="G497" t="s">
        <v>939</v>
      </c>
      <c r="H497" t="s">
        <v>2431</v>
      </c>
      <c r="I497" t="s">
        <v>941</v>
      </c>
      <c r="J497">
        <v>200</v>
      </c>
      <c r="K497">
        <v>2</v>
      </c>
      <c r="L497">
        <v>202</v>
      </c>
      <c r="M497">
        <v>14.74</v>
      </c>
      <c r="N497">
        <v>3.72</v>
      </c>
      <c r="O497">
        <v>3.31</v>
      </c>
      <c r="Q497" t="s">
        <v>336</v>
      </c>
      <c r="R497">
        <v>5907698029649</v>
      </c>
      <c r="S497">
        <v>100</v>
      </c>
      <c r="T497" t="s">
        <v>646</v>
      </c>
      <c r="V497">
        <v>8213000000</v>
      </c>
    </row>
    <row r="498" spans="1:22" x14ac:dyDescent="0.25">
      <c r="A498">
        <v>633228</v>
      </c>
      <c r="B498" t="s">
        <v>302</v>
      </c>
      <c r="C498">
        <v>96</v>
      </c>
      <c r="D498">
        <v>0</v>
      </c>
      <c r="E498" t="s">
        <v>303</v>
      </c>
      <c r="F498" t="s">
        <v>3247</v>
      </c>
      <c r="G498" t="s">
        <v>944</v>
      </c>
      <c r="H498" t="s">
        <v>945</v>
      </c>
      <c r="I498" t="s">
        <v>946</v>
      </c>
      <c r="J498">
        <v>0</v>
      </c>
      <c r="K498">
        <v>1</v>
      </c>
      <c r="L498">
        <v>1</v>
      </c>
      <c r="M498">
        <v>14.55</v>
      </c>
      <c r="N498">
        <v>3.44</v>
      </c>
      <c r="O498">
        <v>3.19</v>
      </c>
      <c r="Q498" t="s">
        <v>2548</v>
      </c>
      <c r="R498">
        <v>5907698028291</v>
      </c>
      <c r="S498">
        <v>100</v>
      </c>
      <c r="T498" t="s">
        <v>427</v>
      </c>
      <c r="V498">
        <v>8213000000</v>
      </c>
    </row>
    <row r="499" spans="1:22" x14ac:dyDescent="0.25">
      <c r="A499">
        <v>633230</v>
      </c>
      <c r="B499" t="s">
        <v>302</v>
      </c>
      <c r="C499">
        <v>96</v>
      </c>
      <c r="D499">
        <v>0</v>
      </c>
      <c r="E499" t="s">
        <v>303</v>
      </c>
      <c r="F499" t="s">
        <v>3247</v>
      </c>
      <c r="G499" t="s">
        <v>944</v>
      </c>
      <c r="H499" t="s">
        <v>947</v>
      </c>
      <c r="I499" t="s">
        <v>946</v>
      </c>
      <c r="J499">
        <v>0</v>
      </c>
      <c r="K499">
        <v>5</v>
      </c>
      <c r="L499">
        <v>5</v>
      </c>
      <c r="M499">
        <v>16.78</v>
      </c>
      <c r="N499">
        <v>3.97</v>
      </c>
      <c r="O499">
        <v>3.67</v>
      </c>
      <c r="Q499" t="s">
        <v>2548</v>
      </c>
      <c r="R499">
        <v>5907698028314</v>
      </c>
      <c r="S499">
        <v>80</v>
      </c>
      <c r="T499" t="s">
        <v>427</v>
      </c>
      <c r="V499">
        <v>8213000000</v>
      </c>
    </row>
    <row r="500" spans="1:22" x14ac:dyDescent="0.25">
      <c r="A500">
        <v>634190</v>
      </c>
      <c r="B500" t="s">
        <v>302</v>
      </c>
      <c r="C500">
        <v>20</v>
      </c>
      <c r="E500" t="s">
        <v>303</v>
      </c>
      <c r="F500" t="s">
        <v>3248</v>
      </c>
      <c r="G500" t="s">
        <v>1937</v>
      </c>
      <c r="H500" t="s">
        <v>1938</v>
      </c>
      <c r="I500" t="s">
        <v>1939</v>
      </c>
      <c r="J500">
        <v>188</v>
      </c>
      <c r="K500">
        <v>32</v>
      </c>
      <c r="L500">
        <v>220</v>
      </c>
      <c r="M500">
        <v>23.76</v>
      </c>
      <c r="N500">
        <v>5.72</v>
      </c>
      <c r="O500">
        <v>5.25</v>
      </c>
      <c r="Q500" t="s">
        <v>2</v>
      </c>
      <c r="R500">
        <v>5907698013655</v>
      </c>
      <c r="S500">
        <v>240</v>
      </c>
      <c r="T500" t="s">
        <v>948</v>
      </c>
      <c r="V500">
        <v>8203400000</v>
      </c>
    </row>
    <row r="501" spans="1:22" x14ac:dyDescent="0.25">
      <c r="A501">
        <v>634250</v>
      </c>
      <c r="B501" t="s">
        <v>302</v>
      </c>
      <c r="C501">
        <v>10</v>
      </c>
      <c r="E501" t="s">
        <v>303</v>
      </c>
      <c r="F501" t="s">
        <v>3248</v>
      </c>
      <c r="G501" t="s">
        <v>949</v>
      </c>
      <c r="H501" t="s">
        <v>1668</v>
      </c>
      <c r="I501" t="s">
        <v>950</v>
      </c>
      <c r="J501">
        <v>0</v>
      </c>
      <c r="K501">
        <v>0</v>
      </c>
      <c r="L501">
        <v>0</v>
      </c>
      <c r="M501">
        <v>30.59</v>
      </c>
      <c r="N501">
        <v>7.72</v>
      </c>
      <c r="O501">
        <v>6.88</v>
      </c>
      <c r="Q501" t="s">
        <v>2</v>
      </c>
      <c r="R501">
        <v>5907698013679</v>
      </c>
      <c r="S501">
        <v>160</v>
      </c>
      <c r="T501" t="s">
        <v>948</v>
      </c>
      <c r="V501">
        <v>8203400000</v>
      </c>
    </row>
    <row r="502" spans="1:22" x14ac:dyDescent="0.25">
      <c r="A502">
        <v>634310</v>
      </c>
      <c r="B502" t="s">
        <v>302</v>
      </c>
      <c r="C502">
        <v>5</v>
      </c>
      <c r="D502">
        <v>1</v>
      </c>
      <c r="E502" t="s">
        <v>303</v>
      </c>
      <c r="F502" t="s">
        <v>3248</v>
      </c>
      <c r="G502" t="s">
        <v>949</v>
      </c>
      <c r="H502" t="s">
        <v>951</v>
      </c>
      <c r="I502" t="s">
        <v>950</v>
      </c>
      <c r="J502">
        <v>0</v>
      </c>
      <c r="K502">
        <v>5</v>
      </c>
      <c r="L502">
        <v>2</v>
      </c>
      <c r="M502">
        <v>42.23</v>
      </c>
      <c r="N502">
        <v>10.15</v>
      </c>
      <c r="O502">
        <v>9.27</v>
      </c>
      <c r="Q502" t="s">
        <v>2</v>
      </c>
      <c r="R502">
        <v>5907698013693</v>
      </c>
      <c r="S502">
        <v>120</v>
      </c>
      <c r="T502" t="s">
        <v>948</v>
      </c>
      <c r="V502">
        <v>8203400000</v>
      </c>
    </row>
    <row r="503" spans="1:22" x14ac:dyDescent="0.25">
      <c r="A503">
        <v>634370</v>
      </c>
      <c r="B503" t="s">
        <v>302</v>
      </c>
      <c r="C503">
        <v>5</v>
      </c>
      <c r="D503">
        <v>1</v>
      </c>
      <c r="E503" t="s">
        <v>303</v>
      </c>
      <c r="F503" t="s">
        <v>3248</v>
      </c>
      <c r="G503" t="s">
        <v>949</v>
      </c>
      <c r="H503" t="s">
        <v>1669</v>
      </c>
      <c r="I503" t="s">
        <v>950</v>
      </c>
      <c r="J503">
        <v>342</v>
      </c>
      <c r="K503">
        <v>2</v>
      </c>
      <c r="L503">
        <v>344</v>
      </c>
      <c r="M503">
        <v>54.61</v>
      </c>
      <c r="N503">
        <v>13.16</v>
      </c>
      <c r="O503">
        <v>12.07</v>
      </c>
      <c r="Q503" t="s">
        <v>2</v>
      </c>
      <c r="R503">
        <v>5907698026587</v>
      </c>
      <c r="S503">
        <v>120</v>
      </c>
      <c r="T503" t="s">
        <v>948</v>
      </c>
      <c r="V503">
        <v>8203400000</v>
      </c>
    </row>
    <row r="504" spans="1:22" x14ac:dyDescent="0.25">
      <c r="A504">
        <v>635030</v>
      </c>
      <c r="B504" t="s">
        <v>302</v>
      </c>
      <c r="C504">
        <v>20</v>
      </c>
      <c r="D504">
        <v>5</v>
      </c>
      <c r="E504" t="s">
        <v>303</v>
      </c>
      <c r="F504" t="s">
        <v>3249</v>
      </c>
      <c r="G504" t="s">
        <v>952</v>
      </c>
      <c r="H504" t="s">
        <v>953</v>
      </c>
      <c r="I504" t="s">
        <v>954</v>
      </c>
      <c r="J504">
        <v>202</v>
      </c>
      <c r="K504">
        <v>3</v>
      </c>
      <c r="L504">
        <v>205</v>
      </c>
      <c r="M504">
        <v>21.94</v>
      </c>
      <c r="N504">
        <v>5.55</v>
      </c>
      <c r="O504">
        <v>4.8899999999999997</v>
      </c>
      <c r="Q504" t="s">
        <v>2</v>
      </c>
      <c r="R504">
        <v>5907698013723</v>
      </c>
      <c r="S504">
        <v>250</v>
      </c>
      <c r="T504" t="s">
        <v>955</v>
      </c>
      <c r="U504" t="s">
        <v>2653</v>
      </c>
      <c r="V504">
        <v>8203300000</v>
      </c>
    </row>
    <row r="505" spans="1:22" x14ac:dyDescent="0.25">
      <c r="A505">
        <v>635034</v>
      </c>
      <c r="B505" t="s">
        <v>302</v>
      </c>
      <c r="C505">
        <v>60</v>
      </c>
      <c r="D505">
        <v>10</v>
      </c>
      <c r="E505" t="s">
        <v>303</v>
      </c>
      <c r="F505" t="s">
        <v>3250</v>
      </c>
      <c r="G505" t="s">
        <v>952</v>
      </c>
      <c r="H505" t="s">
        <v>956</v>
      </c>
      <c r="I505" t="s">
        <v>954</v>
      </c>
      <c r="J505">
        <v>302</v>
      </c>
      <c r="K505">
        <v>3</v>
      </c>
      <c r="L505">
        <v>305</v>
      </c>
      <c r="M505">
        <v>7.5</v>
      </c>
      <c r="N505">
        <v>1.96</v>
      </c>
      <c r="O505">
        <v>1.67</v>
      </c>
      <c r="Q505" t="s">
        <v>2</v>
      </c>
      <c r="R505">
        <v>5907698022220</v>
      </c>
      <c r="S505">
        <v>480</v>
      </c>
      <c r="T505" t="s">
        <v>535</v>
      </c>
      <c r="U505" t="s">
        <v>3251</v>
      </c>
      <c r="V505">
        <v>8203300000</v>
      </c>
    </row>
    <row r="506" spans="1:22" x14ac:dyDescent="0.25">
      <c r="A506">
        <v>635040</v>
      </c>
      <c r="B506" t="s">
        <v>302</v>
      </c>
      <c r="C506">
        <v>20</v>
      </c>
      <c r="D506">
        <v>0</v>
      </c>
      <c r="E506" t="s">
        <v>303</v>
      </c>
      <c r="F506" t="s">
        <v>3250</v>
      </c>
      <c r="G506" t="s">
        <v>1940</v>
      </c>
      <c r="H506" t="s">
        <v>1941</v>
      </c>
      <c r="I506" t="s">
        <v>1942</v>
      </c>
      <c r="J506">
        <v>23</v>
      </c>
      <c r="K506">
        <v>0</v>
      </c>
      <c r="L506">
        <v>23</v>
      </c>
      <c r="M506">
        <v>48.99</v>
      </c>
      <c r="N506">
        <v>11.83</v>
      </c>
      <c r="O506">
        <v>10.85</v>
      </c>
      <c r="Q506" t="s">
        <v>336</v>
      </c>
      <c r="R506">
        <v>5907698029083</v>
      </c>
      <c r="S506">
        <v>30</v>
      </c>
      <c r="T506" t="s">
        <v>427</v>
      </c>
      <c r="V506">
        <v>8467990000</v>
      </c>
    </row>
    <row r="507" spans="1:22" x14ac:dyDescent="0.25">
      <c r="A507">
        <v>642300</v>
      </c>
      <c r="B507" t="s">
        <v>302</v>
      </c>
      <c r="C507">
        <v>120</v>
      </c>
      <c r="D507">
        <v>12</v>
      </c>
      <c r="E507" t="s">
        <v>303</v>
      </c>
      <c r="F507" t="s">
        <v>3252</v>
      </c>
      <c r="G507" t="s">
        <v>1943</v>
      </c>
      <c r="H507" t="s">
        <v>1944</v>
      </c>
      <c r="I507" t="s">
        <v>957</v>
      </c>
      <c r="J507">
        <v>744</v>
      </c>
      <c r="K507">
        <v>300</v>
      </c>
      <c r="L507">
        <v>1044</v>
      </c>
      <c r="M507">
        <v>2.75</v>
      </c>
      <c r="N507">
        <v>0.71</v>
      </c>
      <c r="O507">
        <v>0.6</v>
      </c>
      <c r="Q507" t="s">
        <v>3026</v>
      </c>
      <c r="R507">
        <v>5907698013730</v>
      </c>
      <c r="S507">
        <v>300</v>
      </c>
      <c r="T507" t="s">
        <v>383</v>
      </c>
      <c r="V507">
        <v>9017203900</v>
      </c>
    </row>
    <row r="508" spans="1:22" x14ac:dyDescent="0.25">
      <c r="A508">
        <v>642310</v>
      </c>
      <c r="B508" t="s">
        <v>302</v>
      </c>
      <c r="C508">
        <v>60</v>
      </c>
      <c r="D508">
        <v>20</v>
      </c>
      <c r="E508" t="s">
        <v>303</v>
      </c>
      <c r="F508" t="s">
        <v>3253</v>
      </c>
      <c r="G508" t="s">
        <v>958</v>
      </c>
      <c r="H508" t="s">
        <v>959</v>
      </c>
      <c r="I508" t="s">
        <v>957</v>
      </c>
      <c r="J508">
        <v>845</v>
      </c>
      <c r="K508">
        <v>81</v>
      </c>
      <c r="L508">
        <v>926</v>
      </c>
      <c r="M508">
        <v>5.77</v>
      </c>
      <c r="N508">
        <v>1.47</v>
      </c>
      <c r="O508">
        <v>1.26</v>
      </c>
      <c r="Q508" t="s">
        <v>3026</v>
      </c>
      <c r="R508">
        <v>5907698013747</v>
      </c>
      <c r="S508">
        <v>2000</v>
      </c>
      <c r="T508" t="s">
        <v>482</v>
      </c>
      <c r="V508">
        <v>9017203900</v>
      </c>
    </row>
    <row r="509" spans="1:22" x14ac:dyDescent="0.25">
      <c r="A509">
        <v>642900</v>
      </c>
      <c r="B509" t="s">
        <v>302</v>
      </c>
      <c r="C509">
        <v>18</v>
      </c>
      <c r="E509" t="s">
        <v>303</v>
      </c>
      <c r="F509" t="s">
        <v>3254</v>
      </c>
      <c r="G509" t="s">
        <v>1945</v>
      </c>
      <c r="H509" t="s">
        <v>1946</v>
      </c>
      <c r="I509" t="s">
        <v>1947</v>
      </c>
      <c r="J509">
        <v>989</v>
      </c>
      <c r="K509">
        <v>36</v>
      </c>
      <c r="L509">
        <v>1025</v>
      </c>
      <c r="M509">
        <v>0.96</v>
      </c>
      <c r="N509">
        <v>0.26</v>
      </c>
      <c r="O509">
        <v>0.21</v>
      </c>
      <c r="Q509" t="s">
        <v>1948</v>
      </c>
      <c r="R509">
        <v>5907698024064</v>
      </c>
      <c r="S509">
        <v>220</v>
      </c>
      <c r="T509" t="s">
        <v>360</v>
      </c>
      <c r="V509">
        <v>3924900090</v>
      </c>
    </row>
    <row r="510" spans="1:22" x14ac:dyDescent="0.25">
      <c r="A510">
        <v>643400</v>
      </c>
      <c r="B510" t="s">
        <v>302</v>
      </c>
      <c r="C510">
        <v>8</v>
      </c>
      <c r="E510" t="s">
        <v>303</v>
      </c>
      <c r="F510" t="s">
        <v>3255</v>
      </c>
      <c r="G510" t="s">
        <v>960</v>
      </c>
      <c r="H510" t="s">
        <v>961</v>
      </c>
      <c r="I510" t="s">
        <v>962</v>
      </c>
      <c r="J510">
        <v>56</v>
      </c>
      <c r="K510">
        <v>0</v>
      </c>
      <c r="L510">
        <v>56</v>
      </c>
      <c r="M510">
        <v>42.81</v>
      </c>
      <c r="N510">
        <v>10.79</v>
      </c>
      <c r="O510">
        <v>9.61</v>
      </c>
      <c r="Q510" t="s">
        <v>2548</v>
      </c>
      <c r="R510">
        <v>5907698013761</v>
      </c>
      <c r="S510">
        <v>80</v>
      </c>
      <c r="T510" t="s">
        <v>736</v>
      </c>
      <c r="V510">
        <v>8205598000</v>
      </c>
    </row>
    <row r="511" spans="1:22" x14ac:dyDescent="0.25">
      <c r="A511">
        <v>644000</v>
      </c>
      <c r="B511" t="s">
        <v>302</v>
      </c>
      <c r="C511">
        <v>4</v>
      </c>
      <c r="E511" t="s">
        <v>303</v>
      </c>
      <c r="F511" t="s">
        <v>3256</v>
      </c>
      <c r="G511" t="s">
        <v>1949</v>
      </c>
      <c r="H511" t="s">
        <v>1950</v>
      </c>
      <c r="I511" t="s">
        <v>963</v>
      </c>
      <c r="J511">
        <v>37</v>
      </c>
      <c r="K511">
        <v>0</v>
      </c>
      <c r="L511">
        <v>37</v>
      </c>
      <c r="M511">
        <v>65.7</v>
      </c>
      <c r="N511">
        <v>16.559999999999999</v>
      </c>
      <c r="O511">
        <v>14.76</v>
      </c>
      <c r="Q511" t="s">
        <v>2548</v>
      </c>
      <c r="R511">
        <v>5907698013778</v>
      </c>
      <c r="S511">
        <v>30</v>
      </c>
      <c r="T511" t="s">
        <v>736</v>
      </c>
      <c r="V511">
        <v>8205598000</v>
      </c>
    </row>
    <row r="512" spans="1:22" x14ac:dyDescent="0.25">
      <c r="A512">
        <v>644006</v>
      </c>
      <c r="B512" t="s">
        <v>302</v>
      </c>
      <c r="C512">
        <v>4</v>
      </c>
      <c r="E512" t="s">
        <v>303</v>
      </c>
      <c r="F512" t="s">
        <v>3256</v>
      </c>
      <c r="G512" t="s">
        <v>1949</v>
      </c>
      <c r="H512" t="s">
        <v>964</v>
      </c>
      <c r="I512" t="s">
        <v>963</v>
      </c>
      <c r="J512">
        <v>71</v>
      </c>
      <c r="K512">
        <v>0</v>
      </c>
      <c r="L512">
        <v>71</v>
      </c>
      <c r="M512">
        <v>84.4</v>
      </c>
      <c r="N512">
        <v>20.37</v>
      </c>
      <c r="O512">
        <v>18.71</v>
      </c>
      <c r="Q512" t="s">
        <v>2548</v>
      </c>
      <c r="R512">
        <v>5907698029380</v>
      </c>
      <c r="S512">
        <v>30</v>
      </c>
      <c r="T512" t="s">
        <v>965</v>
      </c>
      <c r="V512">
        <v>8205598000</v>
      </c>
    </row>
    <row r="513" spans="1:22" x14ac:dyDescent="0.25">
      <c r="A513">
        <v>645000</v>
      </c>
      <c r="B513" t="s">
        <v>302</v>
      </c>
      <c r="C513">
        <v>120</v>
      </c>
      <c r="D513">
        <v>12</v>
      </c>
      <c r="E513" t="s">
        <v>303</v>
      </c>
      <c r="F513" t="s">
        <v>966</v>
      </c>
      <c r="G513" t="s">
        <v>967</v>
      </c>
      <c r="H513" t="s">
        <v>968</v>
      </c>
      <c r="I513" t="s">
        <v>969</v>
      </c>
      <c r="J513">
        <v>0</v>
      </c>
      <c r="K513">
        <v>0</v>
      </c>
      <c r="L513">
        <v>0</v>
      </c>
      <c r="M513">
        <v>2.4900000000000002</v>
      </c>
      <c r="N513">
        <v>0.62</v>
      </c>
      <c r="O513">
        <v>0.56999999999999995</v>
      </c>
      <c r="Q513" t="s">
        <v>2548</v>
      </c>
      <c r="R513">
        <v>5907698013792</v>
      </c>
      <c r="S513">
        <v>680</v>
      </c>
      <c r="T513" t="s">
        <v>352</v>
      </c>
      <c r="V513">
        <v>9031808000</v>
      </c>
    </row>
    <row r="514" spans="1:22" x14ac:dyDescent="0.25">
      <c r="A514">
        <v>645002</v>
      </c>
      <c r="B514" t="s">
        <v>2993</v>
      </c>
      <c r="C514">
        <v>100</v>
      </c>
      <c r="D514">
        <v>10</v>
      </c>
      <c r="E514" t="s">
        <v>303</v>
      </c>
      <c r="F514" t="s">
        <v>966</v>
      </c>
      <c r="G514" t="s">
        <v>967</v>
      </c>
      <c r="H514" t="s">
        <v>2722</v>
      </c>
      <c r="I514" t="s">
        <v>969</v>
      </c>
      <c r="J514">
        <v>185</v>
      </c>
      <c r="K514">
        <v>10</v>
      </c>
      <c r="L514">
        <v>195</v>
      </c>
      <c r="M514">
        <v>4.82</v>
      </c>
      <c r="N514">
        <v>1.25</v>
      </c>
      <c r="O514">
        <v>1.08</v>
      </c>
      <c r="Q514" t="s">
        <v>4</v>
      </c>
      <c r="R514">
        <v>5907698030157</v>
      </c>
      <c r="S514">
        <v>100</v>
      </c>
      <c r="T514" t="s">
        <v>352</v>
      </c>
      <c r="V514">
        <v>9031808000</v>
      </c>
    </row>
    <row r="515" spans="1:22" x14ac:dyDescent="0.25">
      <c r="A515">
        <v>645301</v>
      </c>
      <c r="B515" t="s">
        <v>302</v>
      </c>
      <c r="C515">
        <v>30</v>
      </c>
      <c r="E515" t="s">
        <v>303</v>
      </c>
      <c r="F515" t="s">
        <v>3257</v>
      </c>
      <c r="G515" t="s">
        <v>1951</v>
      </c>
      <c r="H515" t="s">
        <v>1952</v>
      </c>
      <c r="I515" t="s">
        <v>1953</v>
      </c>
      <c r="J515">
        <v>47</v>
      </c>
      <c r="K515">
        <v>120</v>
      </c>
      <c r="L515">
        <v>167</v>
      </c>
      <c r="M515">
        <v>3.32</v>
      </c>
      <c r="N515">
        <v>0.86</v>
      </c>
      <c r="O515">
        <v>0.73</v>
      </c>
      <c r="Q515" t="s">
        <v>970</v>
      </c>
      <c r="R515">
        <v>5907698013969</v>
      </c>
      <c r="S515">
        <v>40</v>
      </c>
      <c r="T515" t="s">
        <v>307</v>
      </c>
      <c r="V515">
        <v>3926909790</v>
      </c>
    </row>
    <row r="516" spans="1:22" x14ac:dyDescent="0.25">
      <c r="A516">
        <v>645302</v>
      </c>
      <c r="B516" t="s">
        <v>302</v>
      </c>
      <c r="C516">
        <v>30</v>
      </c>
      <c r="E516" t="s">
        <v>303</v>
      </c>
      <c r="F516" t="s">
        <v>1954</v>
      </c>
      <c r="G516" t="s">
        <v>1955</v>
      </c>
      <c r="H516" t="s">
        <v>1952</v>
      </c>
      <c r="I516" t="s">
        <v>1956</v>
      </c>
      <c r="J516">
        <v>114</v>
      </c>
      <c r="K516">
        <v>1</v>
      </c>
      <c r="L516">
        <v>115</v>
      </c>
      <c r="M516">
        <v>3.11</v>
      </c>
      <c r="N516">
        <v>0.8</v>
      </c>
      <c r="O516">
        <v>0.68</v>
      </c>
      <c r="Q516" t="s">
        <v>970</v>
      </c>
      <c r="R516">
        <v>5907698013976</v>
      </c>
      <c r="S516">
        <v>10</v>
      </c>
      <c r="T516" t="s">
        <v>307</v>
      </c>
      <c r="V516">
        <v>3926909790</v>
      </c>
    </row>
    <row r="517" spans="1:22" x14ac:dyDescent="0.25">
      <c r="A517">
        <v>646000</v>
      </c>
      <c r="B517" t="s">
        <v>302</v>
      </c>
      <c r="C517">
        <v>60</v>
      </c>
      <c r="D517">
        <v>10</v>
      </c>
      <c r="E517" t="s">
        <v>303</v>
      </c>
      <c r="F517" t="s">
        <v>3258</v>
      </c>
      <c r="G517" t="s">
        <v>971</v>
      </c>
      <c r="H517" t="s">
        <v>972</v>
      </c>
      <c r="I517" t="s">
        <v>973</v>
      </c>
      <c r="J517">
        <v>3408</v>
      </c>
      <c r="K517">
        <v>0</v>
      </c>
      <c r="L517">
        <v>3408</v>
      </c>
      <c r="M517">
        <v>3.33</v>
      </c>
      <c r="N517">
        <v>0.9</v>
      </c>
      <c r="O517">
        <v>0.76</v>
      </c>
      <c r="Q517" t="s">
        <v>2548</v>
      </c>
      <c r="R517">
        <v>5907698014676</v>
      </c>
      <c r="S517">
        <v>2800</v>
      </c>
      <c r="T517" t="s">
        <v>1792</v>
      </c>
      <c r="V517">
        <v>9609101000</v>
      </c>
    </row>
    <row r="518" spans="1:22" x14ac:dyDescent="0.25">
      <c r="A518">
        <v>650019</v>
      </c>
      <c r="B518" t="s">
        <v>302</v>
      </c>
      <c r="C518">
        <v>50</v>
      </c>
      <c r="E518" t="s">
        <v>303</v>
      </c>
      <c r="F518" t="s">
        <v>1957</v>
      </c>
      <c r="G518" t="s">
        <v>1958</v>
      </c>
      <c r="H518" t="s">
        <v>1959</v>
      </c>
      <c r="I518" t="s">
        <v>1960</v>
      </c>
      <c r="J518">
        <v>133</v>
      </c>
      <c r="K518">
        <v>5</v>
      </c>
      <c r="L518">
        <v>138</v>
      </c>
      <c r="M518">
        <v>1.4</v>
      </c>
      <c r="N518">
        <v>0.36</v>
      </c>
      <c r="O518">
        <v>0.31</v>
      </c>
      <c r="Q518" t="s">
        <v>970</v>
      </c>
      <c r="R518">
        <v>5907698014690</v>
      </c>
      <c r="S518">
        <v>10</v>
      </c>
      <c r="T518" t="s">
        <v>307</v>
      </c>
      <c r="V518">
        <v>8205591000</v>
      </c>
    </row>
    <row r="519" spans="1:22" x14ac:dyDescent="0.25">
      <c r="A519">
        <v>650021</v>
      </c>
      <c r="B519" t="s">
        <v>302</v>
      </c>
      <c r="C519">
        <v>50</v>
      </c>
      <c r="E519" t="s">
        <v>303</v>
      </c>
      <c r="F519" t="s">
        <v>1957</v>
      </c>
      <c r="G519" t="s">
        <v>1961</v>
      </c>
      <c r="H519" t="s">
        <v>940</v>
      </c>
      <c r="I519" t="s">
        <v>1962</v>
      </c>
      <c r="J519">
        <v>121</v>
      </c>
      <c r="K519">
        <v>0</v>
      </c>
      <c r="L519">
        <v>121</v>
      </c>
      <c r="M519">
        <v>1.85</v>
      </c>
      <c r="N519">
        <v>0.47</v>
      </c>
      <c r="O519">
        <v>0.4</v>
      </c>
      <c r="Q519" t="s">
        <v>970</v>
      </c>
      <c r="R519">
        <v>5907698014706</v>
      </c>
      <c r="S519">
        <v>10</v>
      </c>
      <c r="T519" t="s">
        <v>307</v>
      </c>
      <c r="V519">
        <v>8205591000</v>
      </c>
    </row>
    <row r="520" spans="1:22" x14ac:dyDescent="0.25">
      <c r="A520">
        <v>650025</v>
      </c>
      <c r="B520" t="s">
        <v>302</v>
      </c>
      <c r="C520">
        <v>50</v>
      </c>
      <c r="E520" t="s">
        <v>303</v>
      </c>
      <c r="F520" t="s">
        <v>1957</v>
      </c>
      <c r="G520" t="s">
        <v>1963</v>
      </c>
      <c r="H520" t="s">
        <v>1964</v>
      </c>
      <c r="I520" t="s">
        <v>1965</v>
      </c>
      <c r="J520">
        <v>65</v>
      </c>
      <c r="K520">
        <v>5</v>
      </c>
      <c r="L520">
        <v>70</v>
      </c>
      <c r="M520">
        <v>2.35</v>
      </c>
      <c r="N520">
        <v>0.6</v>
      </c>
      <c r="O520">
        <v>0.51</v>
      </c>
      <c r="Q520" t="s">
        <v>970</v>
      </c>
      <c r="R520">
        <v>5907698014713</v>
      </c>
      <c r="S520">
        <v>10</v>
      </c>
      <c r="T520" t="s">
        <v>307</v>
      </c>
      <c r="V520">
        <v>8205591000</v>
      </c>
    </row>
    <row r="521" spans="1:22" x14ac:dyDescent="0.25">
      <c r="A521">
        <v>650030</v>
      </c>
      <c r="B521" t="s">
        <v>302</v>
      </c>
      <c r="C521">
        <v>50</v>
      </c>
      <c r="E521" t="s">
        <v>303</v>
      </c>
      <c r="F521" t="s">
        <v>1957</v>
      </c>
      <c r="G521" t="s">
        <v>1966</v>
      </c>
      <c r="H521" t="s">
        <v>1967</v>
      </c>
      <c r="I521" t="s">
        <v>1968</v>
      </c>
      <c r="J521">
        <v>118</v>
      </c>
      <c r="K521">
        <v>1</v>
      </c>
      <c r="L521">
        <v>119</v>
      </c>
      <c r="M521">
        <v>2.83</v>
      </c>
      <c r="N521">
        <v>0.73</v>
      </c>
      <c r="O521">
        <v>0.62</v>
      </c>
      <c r="Q521" t="s">
        <v>970</v>
      </c>
      <c r="R521">
        <v>5907698028086</v>
      </c>
      <c r="S521">
        <v>10</v>
      </c>
      <c r="T521" t="s">
        <v>307</v>
      </c>
      <c r="V521">
        <v>8205591000</v>
      </c>
    </row>
    <row r="522" spans="1:22" x14ac:dyDescent="0.25">
      <c r="A522">
        <v>650045</v>
      </c>
      <c r="B522" t="s">
        <v>302</v>
      </c>
      <c r="C522">
        <v>50</v>
      </c>
      <c r="E522" t="s">
        <v>303</v>
      </c>
      <c r="F522" t="s">
        <v>1957</v>
      </c>
      <c r="G522" t="s">
        <v>1969</v>
      </c>
      <c r="H522" t="s">
        <v>1970</v>
      </c>
      <c r="I522" t="s">
        <v>1971</v>
      </c>
      <c r="J522">
        <v>99</v>
      </c>
      <c r="K522">
        <v>5</v>
      </c>
      <c r="L522">
        <v>104</v>
      </c>
      <c r="M522">
        <v>3.78</v>
      </c>
      <c r="N522">
        <v>0.98</v>
      </c>
      <c r="O522">
        <v>0.82</v>
      </c>
      <c r="Q522" t="s">
        <v>970</v>
      </c>
      <c r="R522">
        <v>5907698014737</v>
      </c>
      <c r="S522">
        <v>10</v>
      </c>
      <c r="T522" t="s">
        <v>307</v>
      </c>
      <c r="V522">
        <v>8205591000</v>
      </c>
    </row>
    <row r="523" spans="1:22" x14ac:dyDescent="0.25">
      <c r="A523">
        <v>650061</v>
      </c>
      <c r="B523" t="s">
        <v>302</v>
      </c>
      <c r="C523">
        <v>20</v>
      </c>
      <c r="E523" t="s">
        <v>303</v>
      </c>
      <c r="F523" t="s">
        <v>1957</v>
      </c>
      <c r="G523" t="s">
        <v>1972</v>
      </c>
      <c r="H523" t="s">
        <v>1973</v>
      </c>
      <c r="I523" t="s">
        <v>1974</v>
      </c>
      <c r="J523">
        <v>182</v>
      </c>
      <c r="K523">
        <v>0</v>
      </c>
      <c r="L523">
        <v>182</v>
      </c>
      <c r="M523">
        <v>5.68</v>
      </c>
      <c r="N523">
        <v>1.46</v>
      </c>
      <c r="O523">
        <v>1.24</v>
      </c>
      <c r="Q523" t="s">
        <v>970</v>
      </c>
      <c r="R523">
        <v>5907698014744</v>
      </c>
      <c r="S523">
        <v>10</v>
      </c>
      <c r="T523" t="s">
        <v>307</v>
      </c>
      <c r="V523">
        <v>8205591000</v>
      </c>
    </row>
    <row r="524" spans="1:22" x14ac:dyDescent="0.25">
      <c r="A524">
        <v>650441</v>
      </c>
      <c r="B524" t="s">
        <v>302</v>
      </c>
      <c r="C524">
        <v>20</v>
      </c>
      <c r="E524" t="s">
        <v>303</v>
      </c>
      <c r="F524" t="s">
        <v>1975</v>
      </c>
      <c r="G524" t="s">
        <v>1976</v>
      </c>
      <c r="H524" t="s">
        <v>1977</v>
      </c>
      <c r="I524" t="s">
        <v>1978</v>
      </c>
      <c r="J524">
        <v>326</v>
      </c>
      <c r="K524">
        <v>6</v>
      </c>
      <c r="L524">
        <v>332</v>
      </c>
      <c r="M524">
        <v>0.75</v>
      </c>
      <c r="N524">
        <v>0.2</v>
      </c>
      <c r="O524">
        <v>0.17</v>
      </c>
      <c r="Q524" t="s">
        <v>970</v>
      </c>
      <c r="R524">
        <v>5907698014867</v>
      </c>
      <c r="S524">
        <v>10</v>
      </c>
      <c r="T524" t="s">
        <v>307</v>
      </c>
      <c r="V524">
        <v>8205591000</v>
      </c>
    </row>
    <row r="525" spans="1:22" x14ac:dyDescent="0.25">
      <c r="A525">
        <v>650461</v>
      </c>
      <c r="B525" t="s">
        <v>302</v>
      </c>
      <c r="C525">
        <v>20</v>
      </c>
      <c r="E525" t="s">
        <v>303</v>
      </c>
      <c r="F525" t="s">
        <v>1975</v>
      </c>
      <c r="G525" t="s">
        <v>1979</v>
      </c>
      <c r="H525" t="s">
        <v>1980</v>
      </c>
      <c r="I525" t="s">
        <v>1978</v>
      </c>
      <c r="J525">
        <v>288</v>
      </c>
      <c r="K525">
        <v>60</v>
      </c>
      <c r="L525">
        <v>348</v>
      </c>
      <c r="M525">
        <v>0.92</v>
      </c>
      <c r="N525">
        <v>0.23</v>
      </c>
      <c r="O525">
        <v>0.2</v>
      </c>
      <c r="Q525" t="s">
        <v>970</v>
      </c>
      <c r="R525">
        <v>5907698014874</v>
      </c>
      <c r="S525">
        <v>10</v>
      </c>
      <c r="T525" t="s">
        <v>307</v>
      </c>
      <c r="V525">
        <v>8205591000</v>
      </c>
    </row>
    <row r="526" spans="1:22" x14ac:dyDescent="0.25">
      <c r="A526">
        <v>650481</v>
      </c>
      <c r="B526" t="s">
        <v>302</v>
      </c>
      <c r="C526">
        <v>20</v>
      </c>
      <c r="E526" t="s">
        <v>303</v>
      </c>
      <c r="F526" t="s">
        <v>1975</v>
      </c>
      <c r="G526" t="s">
        <v>1981</v>
      </c>
      <c r="H526" t="s">
        <v>1982</v>
      </c>
      <c r="I526" t="s">
        <v>1978</v>
      </c>
      <c r="J526">
        <v>240</v>
      </c>
      <c r="K526">
        <v>5</v>
      </c>
      <c r="L526">
        <v>245</v>
      </c>
      <c r="M526">
        <v>1.0900000000000001</v>
      </c>
      <c r="N526">
        <v>0.28999999999999998</v>
      </c>
      <c r="O526">
        <v>0.23</v>
      </c>
      <c r="Q526" t="s">
        <v>970</v>
      </c>
      <c r="R526">
        <v>5907698014881</v>
      </c>
      <c r="S526">
        <v>10</v>
      </c>
      <c r="T526" t="s">
        <v>307</v>
      </c>
      <c r="V526">
        <v>8205591000</v>
      </c>
    </row>
    <row r="527" spans="1:22" x14ac:dyDescent="0.25">
      <c r="A527">
        <v>650499</v>
      </c>
      <c r="B527" t="s">
        <v>302</v>
      </c>
      <c r="C527">
        <v>20</v>
      </c>
      <c r="E527" t="s">
        <v>303</v>
      </c>
      <c r="F527" t="s">
        <v>1975</v>
      </c>
      <c r="G527" t="s">
        <v>1981</v>
      </c>
      <c r="H527" t="s">
        <v>1983</v>
      </c>
      <c r="I527" t="s">
        <v>1978</v>
      </c>
      <c r="J527">
        <v>228</v>
      </c>
      <c r="K527">
        <v>65</v>
      </c>
      <c r="L527">
        <v>293</v>
      </c>
      <c r="M527">
        <v>1.33</v>
      </c>
      <c r="N527">
        <v>0.34</v>
      </c>
      <c r="O527">
        <v>0.28999999999999998</v>
      </c>
      <c r="Q527" t="s">
        <v>970</v>
      </c>
      <c r="R527">
        <v>5907698014898</v>
      </c>
      <c r="S527">
        <v>10</v>
      </c>
      <c r="T527" t="s">
        <v>307</v>
      </c>
      <c r="V527">
        <v>8205591000</v>
      </c>
    </row>
    <row r="528" spans="1:22" x14ac:dyDescent="0.25">
      <c r="A528">
        <v>651100</v>
      </c>
      <c r="B528" t="s">
        <v>302</v>
      </c>
      <c r="C528">
        <v>40</v>
      </c>
      <c r="E528" t="s">
        <v>303</v>
      </c>
      <c r="F528" t="s">
        <v>3259</v>
      </c>
      <c r="G528" t="s">
        <v>977</v>
      </c>
      <c r="H528" t="s">
        <v>412</v>
      </c>
      <c r="I528" t="s">
        <v>978</v>
      </c>
      <c r="J528">
        <v>2709</v>
      </c>
      <c r="K528">
        <v>240</v>
      </c>
      <c r="L528">
        <v>2949</v>
      </c>
      <c r="M528">
        <v>2.94</v>
      </c>
      <c r="N528">
        <v>0.8</v>
      </c>
      <c r="O528">
        <v>0.68</v>
      </c>
      <c r="Q528" t="s">
        <v>2</v>
      </c>
      <c r="R528">
        <v>5907698014959</v>
      </c>
      <c r="S528">
        <v>2500</v>
      </c>
      <c r="T528" t="s">
        <v>390</v>
      </c>
      <c r="V528">
        <v>8205598000</v>
      </c>
    </row>
    <row r="529" spans="1:22" x14ac:dyDescent="0.25">
      <c r="A529">
        <v>651101</v>
      </c>
      <c r="B529" t="s">
        <v>3034</v>
      </c>
      <c r="C529">
        <v>24</v>
      </c>
      <c r="E529" t="s">
        <v>303</v>
      </c>
      <c r="F529" t="s">
        <v>3259</v>
      </c>
      <c r="G529" t="s">
        <v>977</v>
      </c>
      <c r="H529" t="s">
        <v>979</v>
      </c>
      <c r="I529" t="s">
        <v>978</v>
      </c>
      <c r="J529">
        <v>432</v>
      </c>
      <c r="K529">
        <v>0</v>
      </c>
      <c r="L529">
        <v>432</v>
      </c>
      <c r="M529">
        <v>6.09</v>
      </c>
      <c r="N529">
        <v>1.43</v>
      </c>
      <c r="O529">
        <v>1.34</v>
      </c>
      <c r="Q529" t="s">
        <v>2</v>
      </c>
      <c r="R529">
        <v>5907698029076</v>
      </c>
      <c r="S529">
        <v>600</v>
      </c>
      <c r="T529" t="s">
        <v>980</v>
      </c>
      <c r="V529">
        <v>8205598000</v>
      </c>
    </row>
    <row r="530" spans="1:22" x14ac:dyDescent="0.25">
      <c r="A530">
        <v>651105</v>
      </c>
      <c r="B530" t="s">
        <v>302</v>
      </c>
      <c r="C530">
        <v>40</v>
      </c>
      <c r="E530" t="s">
        <v>303</v>
      </c>
      <c r="F530" t="s">
        <v>974</v>
      </c>
      <c r="G530" t="s">
        <v>975</v>
      </c>
      <c r="H530" t="s">
        <v>1984</v>
      </c>
      <c r="I530" t="s">
        <v>976</v>
      </c>
      <c r="J530">
        <v>768</v>
      </c>
      <c r="K530">
        <v>1</v>
      </c>
      <c r="L530">
        <v>769</v>
      </c>
      <c r="M530">
        <v>4.9800000000000004</v>
      </c>
      <c r="N530">
        <v>1.19</v>
      </c>
      <c r="O530">
        <v>1.1000000000000001</v>
      </c>
      <c r="Q530" t="s">
        <v>2</v>
      </c>
      <c r="R530">
        <v>5907698028567</v>
      </c>
      <c r="S530">
        <v>1100</v>
      </c>
      <c r="T530" t="s">
        <v>390</v>
      </c>
      <c r="V530">
        <v>8205598000</v>
      </c>
    </row>
    <row r="531" spans="1:22" x14ac:dyDescent="0.25">
      <c r="A531">
        <v>651200</v>
      </c>
      <c r="B531" t="s">
        <v>302</v>
      </c>
      <c r="C531">
        <v>40</v>
      </c>
      <c r="E531" t="s">
        <v>303</v>
      </c>
      <c r="F531" t="s">
        <v>981</v>
      </c>
      <c r="G531" t="s">
        <v>982</v>
      </c>
      <c r="H531" t="s">
        <v>412</v>
      </c>
      <c r="I531" t="s">
        <v>983</v>
      </c>
      <c r="J531">
        <v>1</v>
      </c>
      <c r="K531">
        <v>0</v>
      </c>
      <c r="L531">
        <v>1</v>
      </c>
      <c r="M531">
        <v>4.88</v>
      </c>
      <c r="N531">
        <v>1.26</v>
      </c>
      <c r="O531">
        <v>1.07</v>
      </c>
      <c r="Q531" t="s">
        <v>2</v>
      </c>
      <c r="R531">
        <v>5907698014966</v>
      </c>
      <c r="S531">
        <v>3400</v>
      </c>
      <c r="T531" t="s">
        <v>984</v>
      </c>
      <c r="V531">
        <v>8205598000</v>
      </c>
    </row>
    <row r="532" spans="1:22" x14ac:dyDescent="0.25">
      <c r="A532">
        <v>651201</v>
      </c>
      <c r="B532" t="s">
        <v>302</v>
      </c>
      <c r="C532">
        <v>24</v>
      </c>
      <c r="E532" t="s">
        <v>303</v>
      </c>
      <c r="F532" t="s">
        <v>981</v>
      </c>
      <c r="G532" t="s">
        <v>982</v>
      </c>
      <c r="H532" t="s">
        <v>985</v>
      </c>
      <c r="I532" t="s">
        <v>983</v>
      </c>
      <c r="J532">
        <v>0</v>
      </c>
      <c r="K532">
        <v>0</v>
      </c>
      <c r="L532">
        <v>0</v>
      </c>
      <c r="M532">
        <v>6.82</v>
      </c>
      <c r="N532">
        <v>1.75</v>
      </c>
      <c r="O532">
        <v>1.49</v>
      </c>
      <c r="Q532" t="s">
        <v>2</v>
      </c>
      <c r="R532">
        <v>5907698027560</v>
      </c>
      <c r="S532">
        <v>240</v>
      </c>
      <c r="T532" t="s">
        <v>984</v>
      </c>
      <c r="V532">
        <v>8205598000</v>
      </c>
    </row>
    <row r="533" spans="1:22" x14ac:dyDescent="0.25">
      <c r="A533">
        <v>651207</v>
      </c>
      <c r="B533" t="s">
        <v>302</v>
      </c>
      <c r="C533">
        <v>36</v>
      </c>
      <c r="E533" t="s">
        <v>303</v>
      </c>
      <c r="F533" t="s">
        <v>981</v>
      </c>
      <c r="G533" t="s">
        <v>982</v>
      </c>
      <c r="H533" t="s">
        <v>986</v>
      </c>
      <c r="I533" t="s">
        <v>983</v>
      </c>
      <c r="J533">
        <v>0</v>
      </c>
      <c r="K533">
        <v>7</v>
      </c>
      <c r="L533">
        <v>7</v>
      </c>
      <c r="M533">
        <v>4.03</v>
      </c>
      <c r="N533">
        <v>0.97</v>
      </c>
      <c r="O533">
        <v>0.89</v>
      </c>
      <c r="Q533" t="s">
        <v>2</v>
      </c>
      <c r="R533">
        <v>5907698027775</v>
      </c>
      <c r="S533">
        <v>800</v>
      </c>
      <c r="T533" t="s">
        <v>984</v>
      </c>
      <c r="V533">
        <v>8205598000</v>
      </c>
    </row>
    <row r="534" spans="1:22" x14ac:dyDescent="0.25">
      <c r="A534">
        <v>651300</v>
      </c>
      <c r="B534" t="s">
        <v>302</v>
      </c>
      <c r="C534">
        <v>20</v>
      </c>
      <c r="E534" t="s">
        <v>303</v>
      </c>
      <c r="F534" t="s">
        <v>987</v>
      </c>
      <c r="G534" t="s">
        <v>988</v>
      </c>
      <c r="H534" t="s">
        <v>989</v>
      </c>
      <c r="I534" t="s">
        <v>990</v>
      </c>
      <c r="J534">
        <v>1089</v>
      </c>
      <c r="K534">
        <v>5</v>
      </c>
      <c r="L534">
        <v>1094</v>
      </c>
      <c r="M534">
        <v>11.31</v>
      </c>
      <c r="N534">
        <v>3.04</v>
      </c>
      <c r="O534">
        <v>2.57</v>
      </c>
      <c r="Q534" t="s">
        <v>2</v>
      </c>
      <c r="R534">
        <v>5907698014980</v>
      </c>
      <c r="S534">
        <v>1200</v>
      </c>
      <c r="T534" t="s">
        <v>360</v>
      </c>
      <c r="V534">
        <v>8205598000</v>
      </c>
    </row>
    <row r="535" spans="1:22" x14ac:dyDescent="0.25">
      <c r="A535">
        <v>651401</v>
      </c>
      <c r="B535" t="s">
        <v>302</v>
      </c>
      <c r="C535">
        <v>24</v>
      </c>
      <c r="E535" t="s">
        <v>303</v>
      </c>
      <c r="F535" t="s">
        <v>991</v>
      </c>
      <c r="G535" t="s">
        <v>975</v>
      </c>
      <c r="H535" t="s">
        <v>992</v>
      </c>
      <c r="I535" t="s">
        <v>976</v>
      </c>
      <c r="J535">
        <v>113</v>
      </c>
      <c r="K535">
        <v>24</v>
      </c>
      <c r="L535">
        <v>137</v>
      </c>
      <c r="M535">
        <v>8.74</v>
      </c>
      <c r="N535">
        <v>2.33</v>
      </c>
      <c r="O535">
        <v>1.96</v>
      </c>
      <c r="Q535" t="s">
        <v>2</v>
      </c>
      <c r="R535">
        <v>5907698019565</v>
      </c>
      <c r="S535">
        <v>800</v>
      </c>
      <c r="T535" t="s">
        <v>360</v>
      </c>
      <c r="V535">
        <v>8205598000</v>
      </c>
    </row>
    <row r="536" spans="1:22" x14ac:dyDescent="0.25">
      <c r="A536">
        <v>651402</v>
      </c>
      <c r="B536" t="s">
        <v>302</v>
      </c>
      <c r="C536">
        <v>24</v>
      </c>
      <c r="E536" t="s">
        <v>303</v>
      </c>
      <c r="F536" t="s">
        <v>991</v>
      </c>
      <c r="G536" t="s">
        <v>975</v>
      </c>
      <c r="H536" t="s">
        <v>993</v>
      </c>
      <c r="I536" t="s">
        <v>976</v>
      </c>
      <c r="J536">
        <v>0</v>
      </c>
      <c r="K536">
        <v>240</v>
      </c>
      <c r="L536">
        <v>1</v>
      </c>
      <c r="M536">
        <v>7.82</v>
      </c>
      <c r="N536">
        <v>2.0099999999999998</v>
      </c>
      <c r="O536">
        <v>1.71</v>
      </c>
      <c r="Q536" t="s">
        <v>2</v>
      </c>
      <c r="R536">
        <v>5907698021346</v>
      </c>
      <c r="S536">
        <v>2100</v>
      </c>
      <c r="T536" t="s">
        <v>390</v>
      </c>
      <c r="V536">
        <v>8205598000</v>
      </c>
    </row>
    <row r="537" spans="1:22" x14ac:dyDescent="0.25">
      <c r="A537">
        <v>651404</v>
      </c>
      <c r="B537" t="s">
        <v>302</v>
      </c>
      <c r="C537">
        <v>12</v>
      </c>
      <c r="E537" t="s">
        <v>303</v>
      </c>
      <c r="F537" t="s">
        <v>991</v>
      </c>
      <c r="G537" t="s">
        <v>975</v>
      </c>
      <c r="H537" t="s">
        <v>994</v>
      </c>
      <c r="I537" t="s">
        <v>976</v>
      </c>
      <c r="J537">
        <v>0</v>
      </c>
      <c r="K537">
        <v>0</v>
      </c>
      <c r="L537">
        <v>0</v>
      </c>
      <c r="M537">
        <v>22.96</v>
      </c>
      <c r="N537">
        <v>5.44</v>
      </c>
      <c r="O537">
        <v>5.0199999999999996</v>
      </c>
      <c r="Q537" t="s">
        <v>3744</v>
      </c>
      <c r="R537">
        <v>5907698027577</v>
      </c>
      <c r="S537">
        <v>320</v>
      </c>
      <c r="T537" t="s">
        <v>995</v>
      </c>
      <c r="U537" t="s">
        <v>3064</v>
      </c>
      <c r="V537">
        <v>8205598000</v>
      </c>
    </row>
    <row r="538" spans="1:22" x14ac:dyDescent="0.25">
      <c r="A538">
        <v>652050</v>
      </c>
      <c r="B538" t="s">
        <v>302</v>
      </c>
      <c r="C538">
        <v>20</v>
      </c>
      <c r="E538" t="s">
        <v>303</v>
      </c>
      <c r="F538" t="s">
        <v>996</v>
      </c>
      <c r="G538" t="s">
        <v>997</v>
      </c>
      <c r="H538" t="s">
        <v>1670</v>
      </c>
      <c r="I538" t="s">
        <v>998</v>
      </c>
      <c r="J538">
        <v>1125</v>
      </c>
      <c r="K538">
        <v>10</v>
      </c>
      <c r="L538">
        <v>1135</v>
      </c>
      <c r="M538">
        <v>17.48</v>
      </c>
      <c r="N538">
        <v>4.41</v>
      </c>
      <c r="O538">
        <v>3.9</v>
      </c>
      <c r="Q538" t="s">
        <v>2</v>
      </c>
      <c r="R538">
        <v>5907698021391</v>
      </c>
      <c r="S538">
        <v>2500</v>
      </c>
      <c r="T538" t="s">
        <v>736</v>
      </c>
      <c r="V538">
        <v>8205598000</v>
      </c>
    </row>
    <row r="539" spans="1:22" x14ac:dyDescent="0.25">
      <c r="A539" t="s">
        <v>2726</v>
      </c>
      <c r="B539" t="s">
        <v>3027</v>
      </c>
      <c r="C539">
        <v>20</v>
      </c>
      <c r="E539" t="s">
        <v>303</v>
      </c>
      <c r="F539" t="s">
        <v>996</v>
      </c>
      <c r="G539" t="s">
        <v>997</v>
      </c>
      <c r="H539" t="s">
        <v>2742</v>
      </c>
      <c r="I539" t="s">
        <v>998</v>
      </c>
      <c r="J539">
        <v>342</v>
      </c>
      <c r="K539">
        <v>0</v>
      </c>
      <c r="L539">
        <v>342</v>
      </c>
      <c r="M539">
        <v>17.48</v>
      </c>
      <c r="N539">
        <v>4.41</v>
      </c>
      <c r="O539">
        <v>3.91</v>
      </c>
      <c r="Q539" t="s">
        <v>2743</v>
      </c>
      <c r="S539">
        <v>100</v>
      </c>
      <c r="T539" t="s">
        <v>736</v>
      </c>
      <c r="V539">
        <v>8205598000</v>
      </c>
    </row>
    <row r="540" spans="1:22" x14ac:dyDescent="0.25">
      <c r="A540">
        <v>652051</v>
      </c>
      <c r="B540" t="s">
        <v>302</v>
      </c>
      <c r="C540">
        <v>20</v>
      </c>
      <c r="D540">
        <v>0</v>
      </c>
      <c r="E540" t="s">
        <v>303</v>
      </c>
      <c r="F540" t="s">
        <v>996</v>
      </c>
      <c r="G540" t="s">
        <v>997</v>
      </c>
      <c r="H540" t="s">
        <v>1985</v>
      </c>
      <c r="I540" t="s">
        <v>999</v>
      </c>
      <c r="J540">
        <v>1017</v>
      </c>
      <c r="K540">
        <v>0</v>
      </c>
      <c r="L540">
        <v>1017</v>
      </c>
      <c r="M540">
        <v>14.59</v>
      </c>
      <c r="N540">
        <v>3.93</v>
      </c>
      <c r="O540">
        <v>3.32</v>
      </c>
      <c r="Q540" t="s">
        <v>3744</v>
      </c>
      <c r="R540">
        <v>5907698027669</v>
      </c>
      <c r="S540">
        <v>400</v>
      </c>
      <c r="T540" t="s">
        <v>1986</v>
      </c>
      <c r="V540">
        <v>8205598000</v>
      </c>
    </row>
    <row r="541" spans="1:22" x14ac:dyDescent="0.25">
      <c r="A541">
        <v>652052</v>
      </c>
      <c r="B541" t="s">
        <v>302</v>
      </c>
      <c r="C541">
        <v>36</v>
      </c>
      <c r="D541">
        <v>6</v>
      </c>
      <c r="E541" t="s">
        <v>303</v>
      </c>
      <c r="F541" t="s">
        <v>996</v>
      </c>
      <c r="G541" t="s">
        <v>997</v>
      </c>
      <c r="H541" t="s">
        <v>1000</v>
      </c>
      <c r="I541" t="s">
        <v>999</v>
      </c>
      <c r="J541">
        <v>3789</v>
      </c>
      <c r="K541">
        <v>24</v>
      </c>
      <c r="L541">
        <v>3813</v>
      </c>
      <c r="M541">
        <v>9.35</v>
      </c>
      <c r="N541">
        <v>2.52</v>
      </c>
      <c r="O541">
        <v>2.13</v>
      </c>
      <c r="Q541" t="s">
        <v>2</v>
      </c>
      <c r="R541">
        <v>5907698022503</v>
      </c>
      <c r="S541">
        <v>3200</v>
      </c>
      <c r="T541" t="s">
        <v>1001</v>
      </c>
      <c r="V541">
        <v>8205598000</v>
      </c>
    </row>
    <row r="542" spans="1:22" x14ac:dyDescent="0.25">
      <c r="A542">
        <v>652058</v>
      </c>
      <c r="B542" t="s">
        <v>302</v>
      </c>
      <c r="C542">
        <v>100</v>
      </c>
      <c r="D542">
        <v>0</v>
      </c>
      <c r="E542" t="s">
        <v>303</v>
      </c>
      <c r="F542" t="s">
        <v>996</v>
      </c>
      <c r="G542" t="s">
        <v>1002</v>
      </c>
      <c r="H542" t="s">
        <v>1003</v>
      </c>
      <c r="I542" t="s">
        <v>999</v>
      </c>
      <c r="J542">
        <v>3</v>
      </c>
      <c r="K542">
        <v>0</v>
      </c>
      <c r="L542">
        <v>3</v>
      </c>
      <c r="M542">
        <v>3.67</v>
      </c>
      <c r="N542">
        <v>0.88</v>
      </c>
      <c r="O542">
        <v>0.81</v>
      </c>
      <c r="Q542" t="s">
        <v>2</v>
      </c>
      <c r="R542">
        <v>5907698027799</v>
      </c>
      <c r="S542">
        <v>1000</v>
      </c>
      <c r="T542" t="s">
        <v>390</v>
      </c>
      <c r="U542" t="s">
        <v>3260</v>
      </c>
      <c r="V542">
        <v>3925908000</v>
      </c>
    </row>
    <row r="543" spans="1:22" x14ac:dyDescent="0.25">
      <c r="A543">
        <v>652060</v>
      </c>
      <c r="B543" t="s">
        <v>302</v>
      </c>
      <c r="C543">
        <v>20</v>
      </c>
      <c r="E543" t="s">
        <v>303</v>
      </c>
      <c r="F543" t="s">
        <v>1004</v>
      </c>
      <c r="G543" t="s">
        <v>1005</v>
      </c>
      <c r="H543" t="s">
        <v>1671</v>
      </c>
      <c r="I543" t="s">
        <v>1006</v>
      </c>
      <c r="J543">
        <v>219</v>
      </c>
      <c r="K543">
        <v>10</v>
      </c>
      <c r="L543">
        <v>229</v>
      </c>
      <c r="M543">
        <v>27.02</v>
      </c>
      <c r="N543">
        <v>7.28</v>
      </c>
      <c r="O543">
        <v>6.15</v>
      </c>
      <c r="Q543" t="s">
        <v>2548</v>
      </c>
      <c r="R543">
        <v>5907698025085</v>
      </c>
      <c r="S543">
        <v>800</v>
      </c>
      <c r="T543" t="s">
        <v>736</v>
      </c>
      <c r="V543">
        <v>8205598000</v>
      </c>
    </row>
    <row r="544" spans="1:22" x14ac:dyDescent="0.25">
      <c r="A544">
        <v>652062</v>
      </c>
      <c r="B544" t="s">
        <v>302</v>
      </c>
      <c r="C544">
        <v>20</v>
      </c>
      <c r="E544" t="s">
        <v>303</v>
      </c>
      <c r="F544" t="s">
        <v>996</v>
      </c>
      <c r="G544" t="s">
        <v>1987</v>
      </c>
      <c r="H544" t="s">
        <v>1988</v>
      </c>
      <c r="I544" t="s">
        <v>1989</v>
      </c>
      <c r="J544">
        <v>401</v>
      </c>
      <c r="K544">
        <v>10</v>
      </c>
      <c r="L544">
        <v>411</v>
      </c>
      <c r="M544">
        <v>29.06</v>
      </c>
      <c r="N544">
        <v>7.71</v>
      </c>
      <c r="O544">
        <v>6.53</v>
      </c>
      <c r="Q544" t="s">
        <v>2</v>
      </c>
      <c r="R544">
        <v>5907698029267</v>
      </c>
      <c r="S544">
        <v>400</v>
      </c>
      <c r="T544" t="s">
        <v>1990</v>
      </c>
      <c r="V544">
        <v>8205598000</v>
      </c>
    </row>
    <row r="545" spans="1:22" x14ac:dyDescent="0.25">
      <c r="A545">
        <v>652070</v>
      </c>
      <c r="B545" t="s">
        <v>302</v>
      </c>
      <c r="C545">
        <v>20</v>
      </c>
      <c r="E545" t="s">
        <v>303</v>
      </c>
      <c r="F545" t="s">
        <v>1004</v>
      </c>
      <c r="G545" t="s">
        <v>1005</v>
      </c>
      <c r="H545" t="s">
        <v>1007</v>
      </c>
      <c r="I545" t="s">
        <v>1006</v>
      </c>
      <c r="J545">
        <v>103</v>
      </c>
      <c r="K545">
        <v>10</v>
      </c>
      <c r="L545">
        <v>113</v>
      </c>
      <c r="M545">
        <v>37.659999999999997</v>
      </c>
      <c r="N545">
        <v>9.52</v>
      </c>
      <c r="O545">
        <v>8.15</v>
      </c>
      <c r="Q545" t="s">
        <v>2548</v>
      </c>
      <c r="R545">
        <v>5907698027782</v>
      </c>
      <c r="S545">
        <v>160</v>
      </c>
      <c r="T545" t="s">
        <v>1008</v>
      </c>
      <c r="U545" t="s">
        <v>2419</v>
      </c>
      <c r="V545">
        <v>8205598000</v>
      </c>
    </row>
    <row r="546" spans="1:22" x14ac:dyDescent="0.25">
      <c r="A546">
        <v>660036</v>
      </c>
      <c r="B546" t="s">
        <v>3082</v>
      </c>
      <c r="C546">
        <v>400</v>
      </c>
      <c r="E546" t="s">
        <v>303</v>
      </c>
      <c r="F546" t="s">
        <v>3261</v>
      </c>
      <c r="G546" t="s">
        <v>3262</v>
      </c>
      <c r="H546" t="s">
        <v>3263</v>
      </c>
      <c r="I546" t="s">
        <v>2434</v>
      </c>
      <c r="J546">
        <v>100</v>
      </c>
      <c r="K546">
        <v>0</v>
      </c>
      <c r="L546">
        <v>100</v>
      </c>
      <c r="M546">
        <v>1.07</v>
      </c>
      <c r="N546">
        <v>0.28999999999999998</v>
      </c>
      <c r="O546">
        <v>0.25</v>
      </c>
      <c r="Q546" t="s">
        <v>3264</v>
      </c>
      <c r="R546">
        <v>660036</v>
      </c>
      <c r="S546">
        <v>0</v>
      </c>
    </row>
    <row r="547" spans="1:22" x14ac:dyDescent="0.25">
      <c r="A547">
        <v>660050</v>
      </c>
      <c r="B547" t="s">
        <v>302</v>
      </c>
      <c r="C547">
        <v>48</v>
      </c>
      <c r="E547" t="s">
        <v>303</v>
      </c>
      <c r="F547" t="s">
        <v>3265</v>
      </c>
      <c r="G547" t="s">
        <v>1009</v>
      </c>
      <c r="H547" t="s">
        <v>1010</v>
      </c>
      <c r="I547" t="s">
        <v>1011</v>
      </c>
      <c r="J547">
        <v>335</v>
      </c>
      <c r="K547">
        <v>10</v>
      </c>
      <c r="L547">
        <v>345</v>
      </c>
      <c r="M547">
        <v>3.02</v>
      </c>
      <c r="N547">
        <v>0.77</v>
      </c>
      <c r="O547">
        <v>0.67</v>
      </c>
      <c r="Q547" t="s">
        <v>2</v>
      </c>
      <c r="R547">
        <v>5907698015086</v>
      </c>
      <c r="S547">
        <v>1100</v>
      </c>
      <c r="T547" t="s">
        <v>352</v>
      </c>
      <c r="V547">
        <v>9603401000</v>
      </c>
    </row>
    <row r="548" spans="1:22" x14ac:dyDescent="0.25">
      <c r="A548">
        <v>660100</v>
      </c>
      <c r="B548" t="s">
        <v>302</v>
      </c>
      <c r="C548">
        <v>48</v>
      </c>
      <c r="E548" t="s">
        <v>303</v>
      </c>
      <c r="F548" t="s">
        <v>3266</v>
      </c>
      <c r="G548" t="s">
        <v>1619</v>
      </c>
      <c r="H548" t="s">
        <v>1620</v>
      </c>
      <c r="I548" t="s">
        <v>1018</v>
      </c>
      <c r="J548">
        <v>868</v>
      </c>
      <c r="K548">
        <v>0</v>
      </c>
      <c r="L548">
        <v>868</v>
      </c>
      <c r="M548">
        <v>6.06</v>
      </c>
      <c r="N548">
        <v>1.43</v>
      </c>
      <c r="O548">
        <v>1.33</v>
      </c>
      <c r="Q548" t="s">
        <v>2</v>
      </c>
      <c r="R548">
        <v>5907698015093</v>
      </c>
      <c r="S548">
        <v>1500</v>
      </c>
      <c r="T548" t="s">
        <v>352</v>
      </c>
      <c r="V548">
        <v>9603401000</v>
      </c>
    </row>
    <row r="549" spans="1:22" x14ac:dyDescent="0.25">
      <c r="A549">
        <v>660111</v>
      </c>
      <c r="B549" t="s">
        <v>302</v>
      </c>
      <c r="C549">
        <v>12</v>
      </c>
      <c r="D549">
        <v>0</v>
      </c>
      <c r="E549" t="s">
        <v>303</v>
      </c>
      <c r="F549" t="s">
        <v>3267</v>
      </c>
      <c r="G549" t="s">
        <v>1012</v>
      </c>
      <c r="H549" t="s">
        <v>1991</v>
      </c>
      <c r="I549" t="s">
        <v>1992</v>
      </c>
      <c r="J549">
        <v>33</v>
      </c>
      <c r="K549">
        <v>12</v>
      </c>
      <c r="L549">
        <v>45</v>
      </c>
      <c r="M549">
        <v>1.78</v>
      </c>
      <c r="N549">
        <v>0.47</v>
      </c>
      <c r="O549">
        <v>0.4</v>
      </c>
      <c r="Q549" t="s">
        <v>2453</v>
      </c>
      <c r="R549">
        <v>5907698015109</v>
      </c>
      <c r="S549">
        <v>10</v>
      </c>
      <c r="V549">
        <v>9603401000</v>
      </c>
    </row>
    <row r="550" spans="1:22" x14ac:dyDescent="0.25">
      <c r="A550">
        <v>660115</v>
      </c>
      <c r="B550" t="s">
        <v>302</v>
      </c>
      <c r="C550">
        <v>12</v>
      </c>
      <c r="D550">
        <v>0</v>
      </c>
      <c r="E550" t="s">
        <v>303</v>
      </c>
      <c r="F550" t="s">
        <v>3267</v>
      </c>
      <c r="G550" t="s">
        <v>1012</v>
      </c>
      <c r="H550" t="s">
        <v>1993</v>
      </c>
      <c r="I550" t="s">
        <v>1992</v>
      </c>
      <c r="J550">
        <v>47</v>
      </c>
      <c r="K550">
        <v>12</v>
      </c>
      <c r="L550">
        <v>59</v>
      </c>
      <c r="M550">
        <v>1.98</v>
      </c>
      <c r="N550">
        <v>0.52</v>
      </c>
      <c r="O550">
        <v>0.46</v>
      </c>
      <c r="Q550" t="s">
        <v>2453</v>
      </c>
      <c r="R550">
        <v>5907698015116</v>
      </c>
      <c r="S550">
        <v>10</v>
      </c>
      <c r="V550">
        <v>9603401000</v>
      </c>
    </row>
    <row r="551" spans="1:22" x14ac:dyDescent="0.25">
      <c r="A551">
        <v>660121</v>
      </c>
      <c r="B551" t="s">
        <v>302</v>
      </c>
      <c r="C551">
        <v>12</v>
      </c>
      <c r="D551">
        <v>0</v>
      </c>
      <c r="E551" t="s">
        <v>303</v>
      </c>
      <c r="F551" t="s">
        <v>3267</v>
      </c>
      <c r="G551" t="s">
        <v>1012</v>
      </c>
      <c r="H551" t="s">
        <v>1994</v>
      </c>
      <c r="I551" t="s">
        <v>2434</v>
      </c>
      <c r="J551">
        <v>5</v>
      </c>
      <c r="K551">
        <v>101</v>
      </c>
      <c r="L551">
        <v>106</v>
      </c>
      <c r="M551">
        <v>2.25</v>
      </c>
      <c r="N551">
        <v>0.6</v>
      </c>
      <c r="O551">
        <v>0.51</v>
      </c>
      <c r="Q551" t="s">
        <v>2453</v>
      </c>
      <c r="R551">
        <v>5907698015123</v>
      </c>
      <c r="S551">
        <v>10</v>
      </c>
      <c r="V551">
        <v>9603401000</v>
      </c>
    </row>
    <row r="552" spans="1:22" x14ac:dyDescent="0.25">
      <c r="A552">
        <v>660125</v>
      </c>
      <c r="B552" t="s">
        <v>302</v>
      </c>
      <c r="C552">
        <v>12</v>
      </c>
      <c r="D552">
        <v>0</v>
      </c>
      <c r="E552" t="s">
        <v>303</v>
      </c>
      <c r="F552" t="s">
        <v>3267</v>
      </c>
      <c r="G552" t="s">
        <v>1012</v>
      </c>
      <c r="H552" t="s">
        <v>1995</v>
      </c>
      <c r="I552" t="s">
        <v>2434</v>
      </c>
      <c r="J552">
        <v>72</v>
      </c>
      <c r="K552">
        <v>12</v>
      </c>
      <c r="L552">
        <v>84</v>
      </c>
      <c r="M552">
        <v>3</v>
      </c>
      <c r="N552">
        <v>0.79</v>
      </c>
      <c r="O552">
        <v>0.68</v>
      </c>
      <c r="Q552" t="s">
        <v>2453</v>
      </c>
      <c r="R552">
        <v>5907698015130</v>
      </c>
      <c r="S552">
        <v>10</v>
      </c>
      <c r="V552">
        <v>9603401000</v>
      </c>
    </row>
    <row r="553" spans="1:22" x14ac:dyDescent="0.25">
      <c r="A553">
        <v>660131</v>
      </c>
      <c r="B553" t="s">
        <v>302</v>
      </c>
      <c r="C553">
        <v>12</v>
      </c>
      <c r="D553">
        <v>0</v>
      </c>
      <c r="E553" t="s">
        <v>303</v>
      </c>
      <c r="F553" t="s">
        <v>3267</v>
      </c>
      <c r="G553" t="s">
        <v>1012</v>
      </c>
      <c r="H553" t="s">
        <v>1013</v>
      </c>
      <c r="I553" t="s">
        <v>2434</v>
      </c>
      <c r="J553">
        <v>80</v>
      </c>
      <c r="K553">
        <v>12</v>
      </c>
      <c r="L553">
        <v>92</v>
      </c>
      <c r="M553">
        <v>3.94</v>
      </c>
      <c r="N553">
        <v>1.04</v>
      </c>
      <c r="O553">
        <v>0.9</v>
      </c>
      <c r="Q553" t="s">
        <v>2453</v>
      </c>
      <c r="R553">
        <v>5907698015147</v>
      </c>
      <c r="S553">
        <v>10</v>
      </c>
      <c r="V553">
        <v>9603401000</v>
      </c>
    </row>
    <row r="554" spans="1:22" x14ac:dyDescent="0.25">
      <c r="A554">
        <v>661050</v>
      </c>
      <c r="B554" t="s">
        <v>302</v>
      </c>
      <c r="C554">
        <v>60</v>
      </c>
      <c r="E554" t="s">
        <v>303</v>
      </c>
      <c r="F554" t="s">
        <v>3268</v>
      </c>
      <c r="G554" t="s">
        <v>1014</v>
      </c>
      <c r="H554" t="s">
        <v>1015</v>
      </c>
      <c r="I554" t="s">
        <v>1016</v>
      </c>
      <c r="J554">
        <v>403</v>
      </c>
      <c r="K554">
        <v>0</v>
      </c>
      <c r="L554">
        <v>403</v>
      </c>
      <c r="M554">
        <v>4.08</v>
      </c>
      <c r="N554">
        <v>1.03</v>
      </c>
      <c r="O554">
        <v>0.9</v>
      </c>
      <c r="Q554" t="s">
        <v>2</v>
      </c>
      <c r="R554">
        <v>5907698015246</v>
      </c>
      <c r="S554">
        <v>420</v>
      </c>
      <c r="T554" t="s">
        <v>352</v>
      </c>
      <c r="V554">
        <v>9603401000</v>
      </c>
    </row>
    <row r="555" spans="1:22" x14ac:dyDescent="0.25">
      <c r="A555">
        <v>661150</v>
      </c>
      <c r="B555" t="s">
        <v>302</v>
      </c>
      <c r="C555">
        <v>48</v>
      </c>
      <c r="D555">
        <v>12</v>
      </c>
      <c r="E555" t="s">
        <v>303</v>
      </c>
      <c r="F555" t="s">
        <v>3269</v>
      </c>
      <c r="G555" t="s">
        <v>1017</v>
      </c>
      <c r="H555" t="s">
        <v>1996</v>
      </c>
      <c r="I555" t="s">
        <v>1018</v>
      </c>
      <c r="J555">
        <v>0</v>
      </c>
      <c r="K555">
        <v>4</v>
      </c>
      <c r="L555">
        <v>4</v>
      </c>
      <c r="M555">
        <v>3.66</v>
      </c>
      <c r="N555">
        <v>0.93</v>
      </c>
      <c r="O555">
        <v>0.83</v>
      </c>
      <c r="Q555" t="s">
        <v>2</v>
      </c>
      <c r="R555">
        <v>5907698015314</v>
      </c>
      <c r="S555">
        <v>1200</v>
      </c>
      <c r="T555" t="s">
        <v>352</v>
      </c>
      <c r="V555">
        <v>9603401000</v>
      </c>
    </row>
    <row r="556" spans="1:22" x14ac:dyDescent="0.25">
      <c r="A556">
        <v>661170</v>
      </c>
      <c r="B556" t="s">
        <v>302</v>
      </c>
      <c r="C556">
        <v>48</v>
      </c>
      <c r="D556">
        <v>8</v>
      </c>
      <c r="E556" t="s">
        <v>303</v>
      </c>
      <c r="F556" t="s">
        <v>3269</v>
      </c>
      <c r="G556" t="s">
        <v>1017</v>
      </c>
      <c r="H556" t="s">
        <v>1019</v>
      </c>
      <c r="I556" t="s">
        <v>1011</v>
      </c>
      <c r="J556">
        <v>1197</v>
      </c>
      <c r="K556">
        <v>0</v>
      </c>
      <c r="L556">
        <v>1197</v>
      </c>
      <c r="M556">
        <v>4.92</v>
      </c>
      <c r="N556">
        <v>1.24</v>
      </c>
      <c r="O556">
        <v>1.1000000000000001</v>
      </c>
      <c r="Q556" t="s">
        <v>2</v>
      </c>
      <c r="R556">
        <v>5907698015321</v>
      </c>
      <c r="S556">
        <v>490</v>
      </c>
      <c r="T556" t="s">
        <v>352</v>
      </c>
      <c r="V556">
        <v>9603401000</v>
      </c>
    </row>
    <row r="557" spans="1:22" x14ac:dyDescent="0.25">
      <c r="A557">
        <v>661171</v>
      </c>
      <c r="B557" t="s">
        <v>2993</v>
      </c>
      <c r="C557">
        <v>72</v>
      </c>
      <c r="D557">
        <v>0</v>
      </c>
      <c r="E557" t="s">
        <v>303</v>
      </c>
      <c r="F557" t="s">
        <v>3269</v>
      </c>
      <c r="G557" t="s">
        <v>1017</v>
      </c>
      <c r="H557" t="s">
        <v>638</v>
      </c>
      <c r="I557" t="s">
        <v>1011</v>
      </c>
      <c r="J557">
        <v>661</v>
      </c>
      <c r="K557">
        <v>1</v>
      </c>
      <c r="L557">
        <v>662</v>
      </c>
      <c r="M557">
        <v>7.29</v>
      </c>
      <c r="N557">
        <v>1.72</v>
      </c>
      <c r="O557">
        <v>1.59</v>
      </c>
      <c r="Q557" t="s">
        <v>2</v>
      </c>
      <c r="R557">
        <v>5907698029571</v>
      </c>
      <c r="S557">
        <v>500</v>
      </c>
      <c r="T557" t="s">
        <v>352</v>
      </c>
      <c r="U557" t="s">
        <v>2654</v>
      </c>
      <c r="V557">
        <v>9603401000</v>
      </c>
    </row>
    <row r="558" spans="1:22" x14ac:dyDescent="0.25">
      <c r="A558">
        <v>661230</v>
      </c>
      <c r="B558" t="s">
        <v>302</v>
      </c>
      <c r="C558">
        <v>80</v>
      </c>
      <c r="D558">
        <v>20</v>
      </c>
      <c r="E558" t="s">
        <v>303</v>
      </c>
      <c r="F558" t="s">
        <v>3270</v>
      </c>
      <c r="G558" t="s">
        <v>1997</v>
      </c>
      <c r="H558" t="s">
        <v>1998</v>
      </c>
      <c r="I558" t="s">
        <v>1999</v>
      </c>
      <c r="J558">
        <v>313</v>
      </c>
      <c r="K558">
        <v>0</v>
      </c>
      <c r="L558">
        <v>313</v>
      </c>
      <c r="M558">
        <v>4.8600000000000003</v>
      </c>
      <c r="N558">
        <v>1.1399999999999999</v>
      </c>
      <c r="O558">
        <v>1.06</v>
      </c>
      <c r="Q558" t="s">
        <v>2548</v>
      </c>
      <c r="R558">
        <v>5907698015338</v>
      </c>
      <c r="S558">
        <v>220</v>
      </c>
      <c r="T558" t="s">
        <v>352</v>
      </c>
      <c r="V558">
        <v>9603401000</v>
      </c>
    </row>
    <row r="559" spans="1:22" x14ac:dyDescent="0.25">
      <c r="A559">
        <v>662073</v>
      </c>
      <c r="B559" t="s">
        <v>302</v>
      </c>
      <c r="C559">
        <v>80</v>
      </c>
      <c r="D559">
        <v>0</v>
      </c>
      <c r="E559" t="s">
        <v>303</v>
      </c>
      <c r="F559" t="s">
        <v>3271</v>
      </c>
      <c r="G559" t="s">
        <v>1020</v>
      </c>
      <c r="H559" t="s">
        <v>1021</v>
      </c>
      <c r="I559" t="s">
        <v>1022</v>
      </c>
      <c r="J559">
        <v>0</v>
      </c>
      <c r="K559">
        <v>16</v>
      </c>
      <c r="L559">
        <v>16</v>
      </c>
      <c r="M559">
        <v>3.37</v>
      </c>
      <c r="N559">
        <v>0.9</v>
      </c>
      <c r="O559">
        <v>0.77</v>
      </c>
      <c r="Q559" t="s">
        <v>2453</v>
      </c>
      <c r="R559">
        <v>5907698015406</v>
      </c>
      <c r="S559">
        <v>10</v>
      </c>
      <c r="V559">
        <v>9603401000</v>
      </c>
    </row>
    <row r="560" spans="1:22" x14ac:dyDescent="0.25">
      <c r="A560">
        <v>662090</v>
      </c>
      <c r="B560" t="s">
        <v>302</v>
      </c>
      <c r="C560">
        <v>160</v>
      </c>
      <c r="D560">
        <v>20</v>
      </c>
      <c r="E560" t="s">
        <v>303</v>
      </c>
      <c r="F560" t="s">
        <v>3272</v>
      </c>
      <c r="G560" t="s">
        <v>2000</v>
      </c>
      <c r="H560" t="s">
        <v>625</v>
      </c>
      <c r="I560" t="s">
        <v>2001</v>
      </c>
      <c r="J560">
        <v>134</v>
      </c>
      <c r="K560">
        <v>320</v>
      </c>
      <c r="L560">
        <v>454</v>
      </c>
      <c r="M560">
        <v>4.76</v>
      </c>
      <c r="N560">
        <v>1.21</v>
      </c>
      <c r="O560">
        <v>1.03</v>
      </c>
      <c r="Q560" t="s">
        <v>336</v>
      </c>
      <c r="R560">
        <v>5907698015413</v>
      </c>
      <c r="S560">
        <v>1300</v>
      </c>
      <c r="T560" t="s">
        <v>352</v>
      </c>
      <c r="V560">
        <v>9603401000</v>
      </c>
    </row>
    <row r="561" spans="1:22" x14ac:dyDescent="0.25">
      <c r="A561">
        <v>662093</v>
      </c>
      <c r="B561" t="s">
        <v>302</v>
      </c>
      <c r="C561">
        <v>80</v>
      </c>
      <c r="E561" t="s">
        <v>303</v>
      </c>
      <c r="F561" t="s">
        <v>3271</v>
      </c>
      <c r="G561" t="s">
        <v>1020</v>
      </c>
      <c r="H561" t="s">
        <v>1023</v>
      </c>
      <c r="I561" t="s">
        <v>1022</v>
      </c>
      <c r="J561">
        <v>0</v>
      </c>
      <c r="K561">
        <v>103</v>
      </c>
      <c r="L561">
        <v>103</v>
      </c>
      <c r="M561">
        <v>3.34</v>
      </c>
      <c r="N561">
        <v>0.88</v>
      </c>
      <c r="O561">
        <v>0.75</v>
      </c>
      <c r="Q561" t="s">
        <v>2453</v>
      </c>
      <c r="R561">
        <v>5907698015420</v>
      </c>
      <c r="S561">
        <v>10</v>
      </c>
      <c r="V561">
        <v>9603401000</v>
      </c>
    </row>
    <row r="562" spans="1:22" x14ac:dyDescent="0.25">
      <c r="A562">
        <v>662103</v>
      </c>
      <c r="B562" t="s">
        <v>302</v>
      </c>
      <c r="C562">
        <v>120</v>
      </c>
      <c r="E562" t="s">
        <v>303</v>
      </c>
      <c r="F562" t="s">
        <v>3271</v>
      </c>
      <c r="G562" t="s">
        <v>1020</v>
      </c>
      <c r="H562" t="s">
        <v>2002</v>
      </c>
      <c r="I562" t="s">
        <v>1022</v>
      </c>
      <c r="J562">
        <v>99</v>
      </c>
      <c r="K562">
        <v>0</v>
      </c>
      <c r="L562">
        <v>99</v>
      </c>
      <c r="M562">
        <v>4.3600000000000003</v>
      </c>
      <c r="N562">
        <v>1.1599999999999999</v>
      </c>
      <c r="O562">
        <v>0.99</v>
      </c>
      <c r="Q562" t="s">
        <v>2453</v>
      </c>
      <c r="R562">
        <v>5907698015437</v>
      </c>
      <c r="S562">
        <v>10</v>
      </c>
      <c r="V562">
        <v>9603401000</v>
      </c>
    </row>
    <row r="563" spans="1:22" x14ac:dyDescent="0.25">
      <c r="A563">
        <v>662120</v>
      </c>
      <c r="B563" t="s">
        <v>302</v>
      </c>
      <c r="C563">
        <v>160</v>
      </c>
      <c r="D563">
        <v>20</v>
      </c>
      <c r="E563" t="s">
        <v>303</v>
      </c>
      <c r="F563" t="s">
        <v>3273</v>
      </c>
      <c r="G563" t="s">
        <v>2003</v>
      </c>
      <c r="H563" t="s">
        <v>614</v>
      </c>
      <c r="I563" t="s">
        <v>2004</v>
      </c>
      <c r="J563">
        <v>1145</v>
      </c>
      <c r="K563">
        <v>0</v>
      </c>
      <c r="L563">
        <v>1145</v>
      </c>
      <c r="M563">
        <v>4.71</v>
      </c>
      <c r="N563">
        <v>1.21</v>
      </c>
      <c r="O563">
        <v>1.02</v>
      </c>
      <c r="Q563" t="s">
        <v>336</v>
      </c>
      <c r="R563">
        <v>5907698015444</v>
      </c>
      <c r="S563">
        <v>1000</v>
      </c>
      <c r="T563" t="s">
        <v>352</v>
      </c>
      <c r="V563">
        <v>9603401000</v>
      </c>
    </row>
    <row r="564" spans="1:22" x14ac:dyDescent="0.25">
      <c r="A564">
        <v>662125</v>
      </c>
      <c r="B564" t="s">
        <v>302</v>
      </c>
      <c r="C564">
        <v>72</v>
      </c>
      <c r="D564">
        <v>36</v>
      </c>
      <c r="E564" t="s">
        <v>303</v>
      </c>
      <c r="F564" t="s">
        <v>3274</v>
      </c>
      <c r="G564" t="s">
        <v>2005</v>
      </c>
      <c r="H564" t="s">
        <v>2006</v>
      </c>
      <c r="I564" t="s">
        <v>2007</v>
      </c>
      <c r="J564">
        <v>2510</v>
      </c>
      <c r="K564">
        <v>72</v>
      </c>
      <c r="L564">
        <v>2582</v>
      </c>
      <c r="M564">
        <v>4.2</v>
      </c>
      <c r="N564">
        <v>1.07</v>
      </c>
      <c r="O564">
        <v>0.95</v>
      </c>
      <c r="Q564" t="s">
        <v>2</v>
      </c>
      <c r="R564">
        <v>5907698025597</v>
      </c>
      <c r="S564">
        <v>480</v>
      </c>
      <c r="T564" t="s">
        <v>768</v>
      </c>
      <c r="V564">
        <v>9603401000</v>
      </c>
    </row>
    <row r="565" spans="1:22" x14ac:dyDescent="0.25">
      <c r="A565">
        <v>662133</v>
      </c>
      <c r="B565" t="s">
        <v>302</v>
      </c>
      <c r="C565">
        <v>80</v>
      </c>
      <c r="E565" t="s">
        <v>303</v>
      </c>
      <c r="F565" t="s">
        <v>3271</v>
      </c>
      <c r="G565" t="s">
        <v>1020</v>
      </c>
      <c r="H565" t="s">
        <v>2008</v>
      </c>
      <c r="I565" t="s">
        <v>2009</v>
      </c>
      <c r="J565">
        <v>0</v>
      </c>
      <c r="K565">
        <v>10</v>
      </c>
      <c r="L565">
        <v>10</v>
      </c>
      <c r="M565">
        <v>5.08</v>
      </c>
      <c r="N565">
        <v>1.35</v>
      </c>
      <c r="O565">
        <v>1.1599999999999999</v>
      </c>
      <c r="Q565" t="s">
        <v>2453</v>
      </c>
      <c r="R565">
        <v>5907698015451</v>
      </c>
      <c r="S565">
        <v>10</v>
      </c>
      <c r="V565">
        <v>9603401000</v>
      </c>
    </row>
    <row r="566" spans="1:22" x14ac:dyDescent="0.25">
      <c r="A566">
        <v>662144</v>
      </c>
      <c r="B566" t="s">
        <v>302</v>
      </c>
      <c r="C566">
        <v>80</v>
      </c>
      <c r="E566" t="s">
        <v>303</v>
      </c>
      <c r="F566" t="s">
        <v>3271</v>
      </c>
      <c r="G566" t="s">
        <v>1020</v>
      </c>
      <c r="H566" t="s">
        <v>2010</v>
      </c>
      <c r="I566" t="s">
        <v>1022</v>
      </c>
      <c r="J566">
        <v>5</v>
      </c>
      <c r="K566">
        <v>10</v>
      </c>
      <c r="L566">
        <v>15</v>
      </c>
      <c r="M566">
        <v>6.63</v>
      </c>
      <c r="N566">
        <v>1.76</v>
      </c>
      <c r="O566">
        <v>1.51</v>
      </c>
      <c r="Q566" t="s">
        <v>2453</v>
      </c>
      <c r="R566">
        <v>5907698015468</v>
      </c>
      <c r="S566">
        <v>10</v>
      </c>
      <c r="V566">
        <v>9603401000</v>
      </c>
    </row>
    <row r="567" spans="1:22" x14ac:dyDescent="0.25">
      <c r="A567">
        <v>662155</v>
      </c>
      <c r="B567" t="s">
        <v>302</v>
      </c>
      <c r="C567">
        <v>70</v>
      </c>
      <c r="E567" t="s">
        <v>303</v>
      </c>
      <c r="F567" t="s">
        <v>3271</v>
      </c>
      <c r="G567" t="s">
        <v>1020</v>
      </c>
      <c r="H567" t="s">
        <v>2011</v>
      </c>
      <c r="I567" t="s">
        <v>1022</v>
      </c>
      <c r="J567">
        <v>20</v>
      </c>
      <c r="K567">
        <v>0</v>
      </c>
      <c r="L567">
        <v>20</v>
      </c>
      <c r="M567">
        <v>8.76</v>
      </c>
      <c r="N567">
        <v>2.33</v>
      </c>
      <c r="O567">
        <v>1.99</v>
      </c>
      <c r="Q567" t="s">
        <v>2453</v>
      </c>
      <c r="R567">
        <v>5907698015482</v>
      </c>
      <c r="S567">
        <v>10</v>
      </c>
      <c r="V567">
        <v>9603401000</v>
      </c>
    </row>
    <row r="568" spans="1:22" x14ac:dyDescent="0.25">
      <c r="A568">
        <v>662305</v>
      </c>
      <c r="B568" t="s">
        <v>2993</v>
      </c>
      <c r="C568">
        <v>40</v>
      </c>
      <c r="E568" t="s">
        <v>303</v>
      </c>
      <c r="F568" t="s">
        <v>3275</v>
      </c>
      <c r="G568" t="s">
        <v>1025</v>
      </c>
      <c r="H568" t="s">
        <v>2530</v>
      </c>
      <c r="I568" t="s">
        <v>1024</v>
      </c>
      <c r="J568">
        <v>906</v>
      </c>
      <c r="K568">
        <v>80</v>
      </c>
      <c r="L568">
        <v>986</v>
      </c>
      <c r="M568">
        <v>3.34</v>
      </c>
      <c r="N568">
        <v>0.79</v>
      </c>
      <c r="O568">
        <v>0.73</v>
      </c>
      <c r="Q568" t="s">
        <v>2</v>
      </c>
      <c r="R568">
        <v>5907698029663</v>
      </c>
      <c r="S568">
        <v>300</v>
      </c>
      <c r="T568" t="s">
        <v>2571</v>
      </c>
      <c r="V568">
        <v>9603409000</v>
      </c>
    </row>
    <row r="569" spans="1:22" x14ac:dyDescent="0.25">
      <c r="A569">
        <v>662320</v>
      </c>
      <c r="B569" t="s">
        <v>302</v>
      </c>
      <c r="C569">
        <v>40</v>
      </c>
      <c r="D569">
        <v>20</v>
      </c>
      <c r="E569" t="s">
        <v>303</v>
      </c>
      <c r="F569" t="s">
        <v>3276</v>
      </c>
      <c r="G569" t="s">
        <v>2012</v>
      </c>
      <c r="H569" t="s">
        <v>2572</v>
      </c>
      <c r="I569" t="s">
        <v>1024</v>
      </c>
      <c r="J569">
        <v>493</v>
      </c>
      <c r="K569">
        <v>0</v>
      </c>
      <c r="L569">
        <v>493</v>
      </c>
      <c r="M569">
        <v>6.39</v>
      </c>
      <c r="N569">
        <v>1.51</v>
      </c>
      <c r="O569">
        <v>1.4</v>
      </c>
      <c r="R569">
        <v>5907698015505</v>
      </c>
      <c r="S569">
        <v>220</v>
      </c>
      <c r="T569" t="s">
        <v>2013</v>
      </c>
      <c r="V569">
        <v>9603409000</v>
      </c>
    </row>
    <row r="570" spans="1:22" x14ac:dyDescent="0.25">
      <c r="A570">
        <v>662321</v>
      </c>
      <c r="B570" t="s">
        <v>302</v>
      </c>
      <c r="C570">
        <v>60</v>
      </c>
      <c r="E570" t="s">
        <v>303</v>
      </c>
      <c r="F570" t="s">
        <v>3276</v>
      </c>
      <c r="G570" t="s">
        <v>2012</v>
      </c>
      <c r="H570" t="s">
        <v>2573</v>
      </c>
      <c r="I570" t="s">
        <v>1024</v>
      </c>
      <c r="J570">
        <v>246</v>
      </c>
      <c r="K570">
        <v>60</v>
      </c>
      <c r="L570">
        <v>306</v>
      </c>
      <c r="M570">
        <v>3.25</v>
      </c>
      <c r="N570">
        <v>0.77</v>
      </c>
      <c r="O570">
        <v>0.72</v>
      </c>
      <c r="R570">
        <v>5907698021452</v>
      </c>
      <c r="S570">
        <v>420</v>
      </c>
      <c r="T570" t="s">
        <v>907</v>
      </c>
      <c r="V570">
        <v>9603409000</v>
      </c>
    </row>
    <row r="571" spans="1:22" x14ac:dyDescent="0.25">
      <c r="A571">
        <v>662350</v>
      </c>
      <c r="B571" t="s">
        <v>302</v>
      </c>
      <c r="C571">
        <v>24</v>
      </c>
      <c r="E571" t="s">
        <v>303</v>
      </c>
      <c r="F571" t="s">
        <v>3276</v>
      </c>
      <c r="G571" t="s">
        <v>1025</v>
      </c>
      <c r="H571" t="s">
        <v>2531</v>
      </c>
      <c r="I571" t="s">
        <v>1024</v>
      </c>
      <c r="J571">
        <v>620</v>
      </c>
      <c r="K571">
        <v>24</v>
      </c>
      <c r="L571">
        <v>644</v>
      </c>
      <c r="M571">
        <v>4.2300000000000004</v>
      </c>
      <c r="N571">
        <v>1.06</v>
      </c>
      <c r="O571">
        <v>0.95</v>
      </c>
      <c r="Q571" t="s">
        <v>2</v>
      </c>
      <c r="R571">
        <v>5907698015512</v>
      </c>
      <c r="S571">
        <v>1000</v>
      </c>
      <c r="T571" t="s">
        <v>800</v>
      </c>
      <c r="V571">
        <v>9603409000</v>
      </c>
    </row>
    <row r="572" spans="1:22" x14ac:dyDescent="0.25">
      <c r="A572">
        <v>662353</v>
      </c>
      <c r="B572" t="s">
        <v>302</v>
      </c>
      <c r="C572">
        <v>48</v>
      </c>
      <c r="E572" t="s">
        <v>303</v>
      </c>
      <c r="F572" t="s">
        <v>3276</v>
      </c>
      <c r="G572" t="s">
        <v>1025</v>
      </c>
      <c r="H572" t="s">
        <v>2532</v>
      </c>
      <c r="I572" t="s">
        <v>1024</v>
      </c>
      <c r="J572">
        <v>617</v>
      </c>
      <c r="K572">
        <v>48</v>
      </c>
      <c r="L572">
        <v>665</v>
      </c>
      <c r="M572">
        <v>8.49</v>
      </c>
      <c r="N572">
        <v>2.0099999999999998</v>
      </c>
      <c r="O572">
        <v>1.86</v>
      </c>
      <c r="Q572" t="s">
        <v>2</v>
      </c>
      <c r="R572">
        <v>5907698021469</v>
      </c>
      <c r="S572">
        <v>300</v>
      </c>
      <c r="T572" t="s">
        <v>800</v>
      </c>
      <c r="V572">
        <v>9603409000</v>
      </c>
    </row>
    <row r="573" spans="1:22" x14ac:dyDescent="0.25">
      <c r="A573">
        <v>662426</v>
      </c>
      <c r="B573" t="s">
        <v>302</v>
      </c>
      <c r="C573">
        <v>48</v>
      </c>
      <c r="E573" t="s">
        <v>303</v>
      </c>
      <c r="F573" t="s">
        <v>3277</v>
      </c>
      <c r="G573" t="s">
        <v>2655</v>
      </c>
      <c r="H573" t="s">
        <v>2656</v>
      </c>
      <c r="I573" t="s">
        <v>2657</v>
      </c>
      <c r="J573">
        <v>0</v>
      </c>
      <c r="K573">
        <v>0</v>
      </c>
      <c r="L573">
        <v>0</v>
      </c>
      <c r="M573">
        <v>9.0299999999999994</v>
      </c>
      <c r="N573">
        <v>2.14</v>
      </c>
      <c r="O573">
        <v>1.98</v>
      </c>
      <c r="Q573" t="s">
        <v>2658</v>
      </c>
      <c r="R573">
        <v>5907698015673</v>
      </c>
      <c r="S573">
        <v>0</v>
      </c>
      <c r="V573">
        <v>9603409000</v>
      </c>
    </row>
    <row r="574" spans="1:22" x14ac:dyDescent="0.25">
      <c r="A574">
        <v>662530</v>
      </c>
      <c r="B574" t="s">
        <v>2993</v>
      </c>
      <c r="C574">
        <v>40</v>
      </c>
      <c r="E574" t="s">
        <v>303</v>
      </c>
      <c r="F574" t="s">
        <v>3275</v>
      </c>
      <c r="G574" t="s">
        <v>1025</v>
      </c>
      <c r="H574" t="s">
        <v>2533</v>
      </c>
      <c r="I574" t="s">
        <v>1024</v>
      </c>
      <c r="J574">
        <v>1725</v>
      </c>
      <c r="K574">
        <v>120</v>
      </c>
      <c r="L574">
        <v>1845</v>
      </c>
      <c r="M574">
        <v>4.42</v>
      </c>
      <c r="N574">
        <v>1.1200000000000001</v>
      </c>
      <c r="O574">
        <v>0.97</v>
      </c>
      <c r="Q574" t="s">
        <v>2</v>
      </c>
      <c r="R574">
        <v>5907698029656</v>
      </c>
      <c r="S574">
        <v>800</v>
      </c>
      <c r="T574" t="s">
        <v>2571</v>
      </c>
      <c r="V574">
        <v>9603409000</v>
      </c>
    </row>
    <row r="575" spans="1:22" x14ac:dyDescent="0.25">
      <c r="A575">
        <v>662545</v>
      </c>
      <c r="B575" t="s">
        <v>302</v>
      </c>
      <c r="C575">
        <v>144</v>
      </c>
      <c r="E575" t="s">
        <v>303</v>
      </c>
      <c r="F575" t="s">
        <v>3275</v>
      </c>
      <c r="G575" t="s">
        <v>2014</v>
      </c>
      <c r="H575" t="s">
        <v>2534</v>
      </c>
      <c r="I575" t="s">
        <v>1024</v>
      </c>
      <c r="J575">
        <v>582</v>
      </c>
      <c r="K575">
        <v>82</v>
      </c>
      <c r="L575">
        <v>664</v>
      </c>
      <c r="M575">
        <v>3.36</v>
      </c>
      <c r="N575">
        <v>0.8</v>
      </c>
      <c r="O575">
        <v>0.74</v>
      </c>
      <c r="Q575" t="s">
        <v>2</v>
      </c>
      <c r="R575">
        <v>5907698023937</v>
      </c>
      <c r="S575">
        <v>550</v>
      </c>
      <c r="T575" t="s">
        <v>2574</v>
      </c>
      <c r="V575">
        <v>9603409000</v>
      </c>
    </row>
    <row r="576" spans="1:22" x14ac:dyDescent="0.25">
      <c r="A576">
        <v>662550</v>
      </c>
      <c r="B576" t="s">
        <v>302</v>
      </c>
      <c r="C576">
        <v>50</v>
      </c>
      <c r="E576" t="s">
        <v>303</v>
      </c>
      <c r="F576" t="s">
        <v>3275</v>
      </c>
      <c r="G576" t="s">
        <v>1026</v>
      </c>
      <c r="H576" t="s">
        <v>2535</v>
      </c>
      <c r="I576" t="s">
        <v>1024</v>
      </c>
      <c r="J576">
        <v>0</v>
      </c>
      <c r="K576">
        <v>0</v>
      </c>
      <c r="L576">
        <v>0</v>
      </c>
      <c r="M576">
        <v>5.47</v>
      </c>
      <c r="N576">
        <v>1.39</v>
      </c>
      <c r="O576">
        <v>1.23</v>
      </c>
      <c r="Q576" t="s">
        <v>2</v>
      </c>
      <c r="R576">
        <v>5907698024460</v>
      </c>
      <c r="S576">
        <v>700</v>
      </c>
      <c r="T576" t="s">
        <v>1027</v>
      </c>
      <c r="V576">
        <v>9603409000</v>
      </c>
    </row>
    <row r="577" spans="1:22" x14ac:dyDescent="0.25">
      <c r="A577">
        <v>664800</v>
      </c>
      <c r="B577" t="s">
        <v>302</v>
      </c>
      <c r="C577">
        <v>48</v>
      </c>
      <c r="E577" t="s">
        <v>303</v>
      </c>
      <c r="F577" t="s">
        <v>3278</v>
      </c>
      <c r="G577" t="s">
        <v>1028</v>
      </c>
      <c r="H577" t="s">
        <v>1029</v>
      </c>
      <c r="I577" t="s">
        <v>1030</v>
      </c>
      <c r="J577">
        <v>131</v>
      </c>
      <c r="K577">
        <v>96</v>
      </c>
      <c r="L577">
        <v>227</v>
      </c>
      <c r="M577">
        <v>4.6399999999999997</v>
      </c>
      <c r="N577">
        <v>1.17</v>
      </c>
      <c r="O577">
        <v>1.04</v>
      </c>
      <c r="Q577" t="s">
        <v>336</v>
      </c>
      <c r="R577">
        <v>5907698016038</v>
      </c>
      <c r="S577">
        <v>1200</v>
      </c>
      <c r="T577" t="s">
        <v>905</v>
      </c>
      <c r="V577">
        <v>8207909900</v>
      </c>
    </row>
    <row r="578" spans="1:22" x14ac:dyDescent="0.25">
      <c r="A578">
        <v>664810</v>
      </c>
      <c r="B578" t="s">
        <v>302</v>
      </c>
      <c r="C578">
        <v>24</v>
      </c>
      <c r="E578" t="s">
        <v>303</v>
      </c>
      <c r="F578" t="s">
        <v>3279</v>
      </c>
      <c r="G578" t="s">
        <v>2015</v>
      </c>
      <c r="H578" t="s">
        <v>2016</v>
      </c>
      <c r="I578" t="s">
        <v>1031</v>
      </c>
      <c r="J578">
        <v>0</v>
      </c>
      <c r="K578">
        <v>0</v>
      </c>
      <c r="L578">
        <v>0</v>
      </c>
      <c r="M578">
        <v>6.39</v>
      </c>
      <c r="N578">
        <v>1.51</v>
      </c>
      <c r="O578">
        <v>1.4</v>
      </c>
      <c r="Q578" t="s">
        <v>2</v>
      </c>
      <c r="R578">
        <v>5907698016045</v>
      </c>
      <c r="S578">
        <v>280</v>
      </c>
      <c r="T578" t="s">
        <v>905</v>
      </c>
      <c r="V578">
        <v>8207909900</v>
      </c>
    </row>
    <row r="579" spans="1:22" x14ac:dyDescent="0.25">
      <c r="A579">
        <v>664812</v>
      </c>
      <c r="B579" t="s">
        <v>302</v>
      </c>
      <c r="C579">
        <v>20</v>
      </c>
      <c r="E579" t="s">
        <v>303</v>
      </c>
      <c r="F579" t="s">
        <v>3280</v>
      </c>
      <c r="G579" t="s">
        <v>1032</v>
      </c>
      <c r="H579" t="s">
        <v>1033</v>
      </c>
      <c r="I579" t="s">
        <v>1034</v>
      </c>
      <c r="J579">
        <v>48</v>
      </c>
      <c r="K579">
        <v>1</v>
      </c>
      <c r="L579">
        <v>49</v>
      </c>
      <c r="M579">
        <v>8.82</v>
      </c>
      <c r="N579">
        <v>2.09</v>
      </c>
      <c r="O579">
        <v>1.94</v>
      </c>
      <c r="Q579" t="s">
        <v>2</v>
      </c>
      <c r="R579">
        <v>5907698023036</v>
      </c>
      <c r="S579">
        <v>220</v>
      </c>
      <c r="T579" t="s">
        <v>1035</v>
      </c>
      <c r="V579">
        <v>8207909900</v>
      </c>
    </row>
    <row r="580" spans="1:22" x14ac:dyDescent="0.25">
      <c r="A580">
        <v>664830</v>
      </c>
      <c r="B580" t="s">
        <v>302</v>
      </c>
      <c r="C580">
        <v>24</v>
      </c>
      <c r="E580" t="s">
        <v>303</v>
      </c>
      <c r="F580" t="s">
        <v>3281</v>
      </c>
      <c r="G580" t="s">
        <v>2017</v>
      </c>
      <c r="H580" t="s">
        <v>645</v>
      </c>
      <c r="I580" t="s">
        <v>2018</v>
      </c>
      <c r="J580">
        <v>0</v>
      </c>
      <c r="K580">
        <v>0</v>
      </c>
      <c r="L580">
        <v>0</v>
      </c>
      <c r="M580">
        <v>11.07</v>
      </c>
      <c r="N580">
        <v>2.79</v>
      </c>
      <c r="O580">
        <v>2.4900000000000002</v>
      </c>
      <c r="Q580" t="s">
        <v>336</v>
      </c>
      <c r="R580">
        <v>5907698016076</v>
      </c>
      <c r="S580">
        <v>180</v>
      </c>
      <c r="T580" t="s">
        <v>352</v>
      </c>
      <c r="V580">
        <v>8207909900</v>
      </c>
    </row>
    <row r="581" spans="1:22" x14ac:dyDescent="0.25">
      <c r="A581">
        <v>664834</v>
      </c>
      <c r="B581" t="s">
        <v>302</v>
      </c>
      <c r="C581">
        <v>50</v>
      </c>
      <c r="E581" t="s">
        <v>303</v>
      </c>
      <c r="F581" t="s">
        <v>3282</v>
      </c>
      <c r="G581" t="s">
        <v>1036</v>
      </c>
      <c r="H581" t="s">
        <v>1037</v>
      </c>
      <c r="I581" t="s">
        <v>1031</v>
      </c>
      <c r="J581">
        <v>450</v>
      </c>
      <c r="K581">
        <v>51</v>
      </c>
      <c r="L581">
        <v>501</v>
      </c>
      <c r="M581">
        <v>5.43</v>
      </c>
      <c r="N581">
        <v>1.44</v>
      </c>
      <c r="O581">
        <v>1.21</v>
      </c>
      <c r="Q581" t="s">
        <v>970</v>
      </c>
      <c r="R581">
        <v>5907698016083</v>
      </c>
      <c r="S581">
        <v>30</v>
      </c>
      <c r="T581" t="s">
        <v>307</v>
      </c>
      <c r="V581">
        <v>8207909900</v>
      </c>
    </row>
    <row r="582" spans="1:22" x14ac:dyDescent="0.25">
      <c r="A582">
        <v>664836</v>
      </c>
      <c r="B582" t="s">
        <v>302</v>
      </c>
      <c r="C582">
        <v>40</v>
      </c>
      <c r="E582" t="s">
        <v>303</v>
      </c>
      <c r="F582" t="s">
        <v>3282</v>
      </c>
      <c r="G582" t="s">
        <v>1038</v>
      </c>
      <c r="H582" t="s">
        <v>1039</v>
      </c>
      <c r="I582" t="s">
        <v>1040</v>
      </c>
      <c r="J582">
        <v>280</v>
      </c>
      <c r="K582">
        <v>20</v>
      </c>
      <c r="L582">
        <v>300</v>
      </c>
      <c r="M582">
        <v>6.21</v>
      </c>
      <c r="N582">
        <v>1.64</v>
      </c>
      <c r="O582">
        <v>1.39</v>
      </c>
      <c r="Q582" t="s">
        <v>970</v>
      </c>
      <c r="R582">
        <v>5907698016090</v>
      </c>
      <c r="S582">
        <v>25</v>
      </c>
      <c r="T582" t="s">
        <v>307</v>
      </c>
      <c r="V582">
        <v>8207909900</v>
      </c>
    </row>
    <row r="583" spans="1:22" x14ac:dyDescent="0.25">
      <c r="A583">
        <v>664915</v>
      </c>
      <c r="B583" t="s">
        <v>2993</v>
      </c>
      <c r="C583">
        <v>24</v>
      </c>
      <c r="D583">
        <v>6</v>
      </c>
      <c r="E583" t="s">
        <v>303</v>
      </c>
      <c r="F583" t="s">
        <v>3283</v>
      </c>
      <c r="G583" t="s">
        <v>2575</v>
      </c>
      <c r="H583" t="s">
        <v>2576</v>
      </c>
      <c r="I583" t="s">
        <v>2577</v>
      </c>
      <c r="J583">
        <v>86</v>
      </c>
      <c r="K583">
        <v>0</v>
      </c>
      <c r="L583">
        <v>86</v>
      </c>
      <c r="M583">
        <v>8.34</v>
      </c>
      <c r="N583">
        <v>2.23</v>
      </c>
      <c r="O583">
        <v>1.88</v>
      </c>
      <c r="Q583" t="s">
        <v>908</v>
      </c>
      <c r="R583">
        <v>5907698027188</v>
      </c>
      <c r="S583">
        <v>0</v>
      </c>
      <c r="T583" t="s">
        <v>1043</v>
      </c>
      <c r="V583">
        <v>3919108090</v>
      </c>
    </row>
    <row r="584" spans="1:22" x14ac:dyDescent="0.25">
      <c r="A584">
        <v>664918</v>
      </c>
      <c r="B584" t="s">
        <v>302</v>
      </c>
      <c r="C584">
        <v>48</v>
      </c>
      <c r="D584">
        <v>12</v>
      </c>
      <c r="E584" t="s">
        <v>303</v>
      </c>
      <c r="F584" t="s">
        <v>3284</v>
      </c>
      <c r="G584" t="s">
        <v>1041</v>
      </c>
      <c r="H584" t="s">
        <v>2019</v>
      </c>
      <c r="I584" t="s">
        <v>1042</v>
      </c>
      <c r="J584">
        <v>307</v>
      </c>
      <c r="K584">
        <v>0</v>
      </c>
      <c r="L584">
        <v>307</v>
      </c>
      <c r="M584">
        <v>1.1299999999999999</v>
      </c>
      <c r="N584">
        <v>0.26</v>
      </c>
      <c r="O584">
        <v>0.25</v>
      </c>
      <c r="Q584" t="s">
        <v>908</v>
      </c>
      <c r="R584">
        <v>5907698024286</v>
      </c>
      <c r="S584">
        <v>12</v>
      </c>
      <c r="T584" t="s">
        <v>1043</v>
      </c>
      <c r="V584">
        <v>4811419000</v>
      </c>
    </row>
    <row r="585" spans="1:22" x14ac:dyDescent="0.25">
      <c r="A585">
        <v>664919</v>
      </c>
      <c r="B585" t="s">
        <v>302</v>
      </c>
      <c r="C585">
        <v>48</v>
      </c>
      <c r="D585">
        <v>12</v>
      </c>
      <c r="E585" t="s">
        <v>303</v>
      </c>
      <c r="F585" t="s">
        <v>3284</v>
      </c>
      <c r="G585" t="s">
        <v>1041</v>
      </c>
      <c r="H585" t="s">
        <v>2020</v>
      </c>
      <c r="I585" t="s">
        <v>2021</v>
      </c>
      <c r="J585">
        <v>481</v>
      </c>
      <c r="K585">
        <v>0</v>
      </c>
      <c r="L585">
        <v>481</v>
      </c>
      <c r="M585">
        <v>0.6</v>
      </c>
      <c r="N585">
        <v>0.16</v>
      </c>
      <c r="O585">
        <v>0.14000000000000001</v>
      </c>
      <c r="Q585" t="s">
        <v>908</v>
      </c>
      <c r="R585">
        <v>5907698025344</v>
      </c>
      <c r="S585">
        <v>70</v>
      </c>
      <c r="T585" t="s">
        <v>1043</v>
      </c>
      <c r="V585">
        <v>4811419000</v>
      </c>
    </row>
    <row r="586" spans="1:22" x14ac:dyDescent="0.25">
      <c r="A586">
        <v>664924</v>
      </c>
      <c r="B586" t="s">
        <v>302</v>
      </c>
      <c r="C586">
        <v>36</v>
      </c>
      <c r="D586">
        <v>9</v>
      </c>
      <c r="E586" t="s">
        <v>303</v>
      </c>
      <c r="F586" t="s">
        <v>3284</v>
      </c>
      <c r="G586" t="s">
        <v>1041</v>
      </c>
      <c r="H586" t="s">
        <v>2022</v>
      </c>
      <c r="I586" t="s">
        <v>1042</v>
      </c>
      <c r="J586">
        <v>601</v>
      </c>
      <c r="K586">
        <v>0</v>
      </c>
      <c r="L586">
        <v>601</v>
      </c>
      <c r="M586">
        <v>1.49</v>
      </c>
      <c r="N586">
        <v>0.4</v>
      </c>
      <c r="O586">
        <v>0.34</v>
      </c>
      <c r="Q586" t="s">
        <v>908</v>
      </c>
      <c r="R586">
        <v>5907698024293</v>
      </c>
      <c r="S586">
        <v>30</v>
      </c>
      <c r="T586" t="s">
        <v>1043</v>
      </c>
      <c r="V586">
        <v>4811419000</v>
      </c>
    </row>
    <row r="587" spans="1:22" x14ac:dyDescent="0.25">
      <c r="A587">
        <v>664925</v>
      </c>
      <c r="B587" t="s">
        <v>302</v>
      </c>
      <c r="C587">
        <v>36</v>
      </c>
      <c r="D587">
        <v>9</v>
      </c>
      <c r="E587" t="s">
        <v>303</v>
      </c>
      <c r="F587" t="s">
        <v>3284</v>
      </c>
      <c r="G587" t="s">
        <v>1041</v>
      </c>
      <c r="H587" t="s">
        <v>1044</v>
      </c>
      <c r="I587" t="s">
        <v>1042</v>
      </c>
      <c r="J587">
        <v>1223</v>
      </c>
      <c r="K587">
        <v>0</v>
      </c>
      <c r="L587">
        <v>1223</v>
      </c>
      <c r="M587">
        <v>0.82</v>
      </c>
      <c r="N587">
        <v>0.2</v>
      </c>
      <c r="O587">
        <v>0.18</v>
      </c>
      <c r="Q587" t="s">
        <v>908</v>
      </c>
      <c r="R587">
        <v>5907698023883</v>
      </c>
      <c r="S587">
        <v>150</v>
      </c>
      <c r="T587" t="s">
        <v>1043</v>
      </c>
      <c r="V587">
        <v>4811419000</v>
      </c>
    </row>
    <row r="588" spans="1:22" x14ac:dyDescent="0.25">
      <c r="A588">
        <v>664937</v>
      </c>
      <c r="B588" t="s">
        <v>302</v>
      </c>
      <c r="C588">
        <v>24</v>
      </c>
      <c r="D588">
        <v>6</v>
      </c>
      <c r="E588" t="s">
        <v>303</v>
      </c>
      <c r="F588" t="s">
        <v>3284</v>
      </c>
      <c r="G588" t="s">
        <v>2023</v>
      </c>
      <c r="H588" t="s">
        <v>2024</v>
      </c>
      <c r="I588" t="s">
        <v>1042</v>
      </c>
      <c r="J588">
        <v>2</v>
      </c>
      <c r="K588">
        <v>0</v>
      </c>
      <c r="L588">
        <v>2</v>
      </c>
      <c r="M588">
        <v>2.34</v>
      </c>
      <c r="N588">
        <v>0.55000000000000004</v>
      </c>
      <c r="O588">
        <v>0.51</v>
      </c>
      <c r="Q588" t="s">
        <v>908</v>
      </c>
      <c r="R588">
        <v>5907698024309</v>
      </c>
      <c r="S588">
        <v>40</v>
      </c>
      <c r="T588" t="s">
        <v>1043</v>
      </c>
      <c r="V588">
        <v>4811419000</v>
      </c>
    </row>
    <row r="589" spans="1:22" x14ac:dyDescent="0.25">
      <c r="A589">
        <v>664938</v>
      </c>
      <c r="B589" t="s">
        <v>302</v>
      </c>
      <c r="C589">
        <v>24</v>
      </c>
      <c r="D589">
        <v>6</v>
      </c>
      <c r="E589" t="s">
        <v>303</v>
      </c>
      <c r="F589" t="s">
        <v>3284</v>
      </c>
      <c r="G589" t="s">
        <v>1041</v>
      </c>
      <c r="H589" t="s">
        <v>2025</v>
      </c>
      <c r="I589" t="s">
        <v>2021</v>
      </c>
      <c r="J589">
        <v>404</v>
      </c>
      <c r="K589">
        <v>0</v>
      </c>
      <c r="L589">
        <v>404</v>
      </c>
      <c r="M589">
        <v>1.19</v>
      </c>
      <c r="N589">
        <v>0.31</v>
      </c>
      <c r="O589">
        <v>0.26</v>
      </c>
      <c r="Q589" t="s">
        <v>908</v>
      </c>
      <c r="R589">
        <v>5907698023821</v>
      </c>
      <c r="S589">
        <v>70</v>
      </c>
      <c r="T589" t="s">
        <v>1043</v>
      </c>
      <c r="V589">
        <v>4811419000</v>
      </c>
    </row>
    <row r="590" spans="1:22" x14ac:dyDescent="0.25">
      <c r="A590">
        <v>664945</v>
      </c>
      <c r="B590" t="s">
        <v>302</v>
      </c>
      <c r="C590">
        <v>24</v>
      </c>
      <c r="D590">
        <v>6</v>
      </c>
      <c r="E590" t="s">
        <v>303</v>
      </c>
      <c r="F590" t="s">
        <v>3285</v>
      </c>
      <c r="G590" t="s">
        <v>1045</v>
      </c>
      <c r="H590" t="s">
        <v>1046</v>
      </c>
      <c r="I590" t="s">
        <v>2435</v>
      </c>
      <c r="J590">
        <v>122</v>
      </c>
      <c r="K590">
        <v>0</v>
      </c>
      <c r="L590">
        <v>122</v>
      </c>
      <c r="M590">
        <v>5.4</v>
      </c>
      <c r="N590">
        <v>1.43</v>
      </c>
      <c r="O590">
        <v>1.21</v>
      </c>
      <c r="Q590" t="s">
        <v>908</v>
      </c>
      <c r="R590">
        <v>5907698024644</v>
      </c>
      <c r="S590">
        <v>5</v>
      </c>
      <c r="T590" t="s">
        <v>1043</v>
      </c>
      <c r="V590">
        <v>4811419000</v>
      </c>
    </row>
    <row r="591" spans="1:22" x14ac:dyDescent="0.25">
      <c r="A591">
        <v>664946</v>
      </c>
      <c r="B591" t="s">
        <v>302</v>
      </c>
      <c r="C591">
        <v>24</v>
      </c>
      <c r="E591" t="s">
        <v>303</v>
      </c>
      <c r="F591" t="s">
        <v>3285</v>
      </c>
      <c r="G591" t="s">
        <v>2026</v>
      </c>
      <c r="H591" t="s">
        <v>2027</v>
      </c>
      <c r="I591" t="s">
        <v>2436</v>
      </c>
      <c r="J591">
        <v>183</v>
      </c>
      <c r="K591">
        <v>48</v>
      </c>
      <c r="L591">
        <v>231</v>
      </c>
      <c r="M591">
        <v>2.7</v>
      </c>
      <c r="N591">
        <v>0.72</v>
      </c>
      <c r="O591">
        <v>0.61</v>
      </c>
      <c r="Q591" t="s">
        <v>908</v>
      </c>
      <c r="R591">
        <v>5907698024323</v>
      </c>
      <c r="S591">
        <v>20</v>
      </c>
      <c r="T591" t="s">
        <v>1043</v>
      </c>
      <c r="V591">
        <v>4811419000</v>
      </c>
    </row>
    <row r="592" spans="1:22" x14ac:dyDescent="0.25">
      <c r="A592">
        <v>664947</v>
      </c>
      <c r="B592" t="s">
        <v>302</v>
      </c>
      <c r="C592">
        <v>24</v>
      </c>
      <c r="D592">
        <v>6</v>
      </c>
      <c r="E592" t="s">
        <v>303</v>
      </c>
      <c r="F592" t="s">
        <v>3284</v>
      </c>
      <c r="G592" t="s">
        <v>1041</v>
      </c>
      <c r="H592" t="s">
        <v>1672</v>
      </c>
      <c r="I592" t="s">
        <v>1042</v>
      </c>
      <c r="J592">
        <v>484</v>
      </c>
      <c r="K592">
        <v>0</v>
      </c>
      <c r="L592">
        <v>484</v>
      </c>
      <c r="M592">
        <v>2.79</v>
      </c>
      <c r="N592">
        <v>0.74</v>
      </c>
      <c r="O592">
        <v>0.63</v>
      </c>
      <c r="Q592" t="s">
        <v>908</v>
      </c>
      <c r="R592">
        <v>5907698024316</v>
      </c>
      <c r="S592">
        <v>100</v>
      </c>
      <c r="T592" t="s">
        <v>1043</v>
      </c>
      <c r="V592">
        <v>4811419000</v>
      </c>
    </row>
    <row r="593" spans="1:22" x14ac:dyDescent="0.25">
      <c r="A593">
        <v>664948</v>
      </c>
      <c r="B593" t="s">
        <v>302</v>
      </c>
      <c r="C593">
        <v>24</v>
      </c>
      <c r="D593">
        <v>6</v>
      </c>
      <c r="E593" t="s">
        <v>303</v>
      </c>
      <c r="F593" t="s">
        <v>3284</v>
      </c>
      <c r="G593" t="s">
        <v>1041</v>
      </c>
      <c r="H593" t="s">
        <v>2028</v>
      </c>
      <c r="I593" t="s">
        <v>2021</v>
      </c>
      <c r="J593">
        <v>0</v>
      </c>
      <c r="K593">
        <v>240</v>
      </c>
      <c r="L593">
        <v>240</v>
      </c>
      <c r="M593">
        <v>1.48</v>
      </c>
      <c r="N593">
        <v>0.39</v>
      </c>
      <c r="O593">
        <v>0.34</v>
      </c>
      <c r="Q593" t="s">
        <v>908</v>
      </c>
      <c r="R593">
        <v>5907698023906</v>
      </c>
      <c r="S593">
        <v>40</v>
      </c>
      <c r="T593" t="s">
        <v>1043</v>
      </c>
      <c r="V593">
        <v>4811419000</v>
      </c>
    </row>
    <row r="594" spans="1:22" x14ac:dyDescent="0.25">
      <c r="A594">
        <v>665012</v>
      </c>
      <c r="B594" t="s">
        <v>302</v>
      </c>
      <c r="C594">
        <v>10</v>
      </c>
      <c r="E594" t="s">
        <v>303</v>
      </c>
      <c r="F594" t="s">
        <v>2029</v>
      </c>
      <c r="G594" t="s">
        <v>2030</v>
      </c>
      <c r="H594" t="s">
        <v>2031</v>
      </c>
      <c r="I594" t="s">
        <v>2032</v>
      </c>
      <c r="J594">
        <v>299</v>
      </c>
      <c r="K594">
        <v>130</v>
      </c>
      <c r="L594">
        <v>429</v>
      </c>
      <c r="M594">
        <v>2.2799999999999998</v>
      </c>
      <c r="N594">
        <v>0.6</v>
      </c>
      <c r="O594">
        <v>0.52</v>
      </c>
      <c r="Q594" t="s">
        <v>2033</v>
      </c>
      <c r="R594">
        <v>5907698016106</v>
      </c>
      <c r="S594">
        <v>140</v>
      </c>
      <c r="T594" t="s">
        <v>307</v>
      </c>
      <c r="V594">
        <v>3924900090</v>
      </c>
    </row>
    <row r="595" spans="1:22" x14ac:dyDescent="0.25">
      <c r="A595">
        <v>665016</v>
      </c>
      <c r="B595" t="s">
        <v>302</v>
      </c>
      <c r="C595">
        <v>10</v>
      </c>
      <c r="E595" t="s">
        <v>303</v>
      </c>
      <c r="F595" t="s">
        <v>2029</v>
      </c>
      <c r="G595" t="s">
        <v>2030</v>
      </c>
      <c r="H595" t="s">
        <v>2034</v>
      </c>
      <c r="I595" t="s">
        <v>2035</v>
      </c>
      <c r="J595">
        <v>492</v>
      </c>
      <c r="K595">
        <v>31</v>
      </c>
      <c r="L595">
        <v>523</v>
      </c>
      <c r="M595">
        <v>3.45</v>
      </c>
      <c r="N595">
        <v>0.92</v>
      </c>
      <c r="O595">
        <v>0.78</v>
      </c>
      <c r="Q595" t="s">
        <v>2033</v>
      </c>
      <c r="R595">
        <v>5907698016113</v>
      </c>
      <c r="S595">
        <v>40</v>
      </c>
      <c r="T595" t="s">
        <v>307</v>
      </c>
      <c r="V595">
        <v>3924900090</v>
      </c>
    </row>
    <row r="596" spans="1:22" x14ac:dyDescent="0.25">
      <c r="A596">
        <v>665020</v>
      </c>
      <c r="B596" t="s">
        <v>302</v>
      </c>
      <c r="C596">
        <v>10</v>
      </c>
      <c r="E596" t="s">
        <v>303</v>
      </c>
      <c r="F596" t="s">
        <v>2029</v>
      </c>
      <c r="G596" t="s">
        <v>2036</v>
      </c>
      <c r="H596" t="s">
        <v>2037</v>
      </c>
      <c r="I596" t="s">
        <v>2035</v>
      </c>
      <c r="J596">
        <v>241</v>
      </c>
      <c r="K596">
        <v>130</v>
      </c>
      <c r="L596">
        <v>371</v>
      </c>
      <c r="M596">
        <v>4.03</v>
      </c>
      <c r="N596">
        <v>1.04</v>
      </c>
      <c r="O596">
        <v>0.88</v>
      </c>
      <c r="Q596" t="s">
        <v>2033</v>
      </c>
      <c r="R596">
        <v>5907698016120</v>
      </c>
      <c r="S596">
        <v>50</v>
      </c>
      <c r="T596" t="s">
        <v>307</v>
      </c>
      <c r="V596">
        <v>3924900090</v>
      </c>
    </row>
    <row r="597" spans="1:22" x14ac:dyDescent="0.25">
      <c r="A597">
        <v>665040</v>
      </c>
      <c r="B597" t="s">
        <v>302</v>
      </c>
      <c r="C597">
        <v>10</v>
      </c>
      <c r="E597" t="s">
        <v>303</v>
      </c>
      <c r="F597" t="s">
        <v>3286</v>
      </c>
      <c r="G597" t="s">
        <v>2038</v>
      </c>
      <c r="H597" t="s">
        <v>2039</v>
      </c>
      <c r="I597" t="s">
        <v>2040</v>
      </c>
      <c r="J597">
        <v>2</v>
      </c>
      <c r="K597">
        <v>0</v>
      </c>
      <c r="L597">
        <v>2</v>
      </c>
      <c r="M597">
        <v>8.58</v>
      </c>
      <c r="N597">
        <v>2.29</v>
      </c>
      <c r="O597">
        <v>1.92</v>
      </c>
      <c r="Q597" t="s">
        <v>2033</v>
      </c>
      <c r="R597">
        <v>5907698016137</v>
      </c>
      <c r="S597">
        <v>20</v>
      </c>
      <c r="T597" t="s">
        <v>307</v>
      </c>
      <c r="V597">
        <v>3924900090</v>
      </c>
    </row>
    <row r="598" spans="1:22" x14ac:dyDescent="0.25">
      <c r="A598">
        <v>665065</v>
      </c>
      <c r="B598" t="s">
        <v>302</v>
      </c>
      <c r="C598">
        <v>10</v>
      </c>
      <c r="E598" t="s">
        <v>303</v>
      </c>
      <c r="F598" t="s">
        <v>3287</v>
      </c>
      <c r="G598" t="s">
        <v>2038</v>
      </c>
      <c r="H598" t="s">
        <v>2041</v>
      </c>
      <c r="I598" t="s">
        <v>2040</v>
      </c>
      <c r="J598">
        <v>14</v>
      </c>
      <c r="K598">
        <v>0</v>
      </c>
      <c r="L598">
        <v>14</v>
      </c>
      <c r="M598">
        <v>9.8800000000000008</v>
      </c>
      <c r="N598">
        <v>2.64</v>
      </c>
      <c r="O598">
        <v>2.2200000000000002</v>
      </c>
      <c r="Q598" t="s">
        <v>2033</v>
      </c>
      <c r="R598">
        <v>5907698016144</v>
      </c>
      <c r="S598">
        <v>10</v>
      </c>
      <c r="T598" t="s">
        <v>307</v>
      </c>
      <c r="V598">
        <v>3924900090</v>
      </c>
    </row>
    <row r="599" spans="1:22" x14ac:dyDescent="0.25">
      <c r="A599">
        <v>665090</v>
      </c>
      <c r="B599" t="s">
        <v>302</v>
      </c>
      <c r="C599">
        <v>10</v>
      </c>
      <c r="E599" t="s">
        <v>303</v>
      </c>
      <c r="F599" t="s">
        <v>3288</v>
      </c>
      <c r="G599" t="s">
        <v>2042</v>
      </c>
      <c r="H599" t="s">
        <v>2043</v>
      </c>
      <c r="I599" t="s">
        <v>2040</v>
      </c>
      <c r="J599">
        <v>71</v>
      </c>
      <c r="K599">
        <v>0</v>
      </c>
      <c r="L599">
        <v>71</v>
      </c>
      <c r="M599">
        <v>12.48</v>
      </c>
      <c r="N599">
        <v>3.33</v>
      </c>
      <c r="O599">
        <v>2.81</v>
      </c>
      <c r="Q599" t="s">
        <v>2033</v>
      </c>
      <c r="R599">
        <v>5907698016151</v>
      </c>
      <c r="S599">
        <v>15</v>
      </c>
      <c r="T599" t="s">
        <v>307</v>
      </c>
      <c r="V599">
        <v>3924900090</v>
      </c>
    </row>
    <row r="600" spans="1:22" x14ac:dyDescent="0.25">
      <c r="A600">
        <v>665140</v>
      </c>
      <c r="B600" t="s">
        <v>302</v>
      </c>
      <c r="C600">
        <v>1</v>
      </c>
      <c r="E600" t="s">
        <v>303</v>
      </c>
      <c r="F600" t="s">
        <v>3289</v>
      </c>
      <c r="G600" t="s">
        <v>2044</v>
      </c>
      <c r="H600" t="s">
        <v>2039</v>
      </c>
      <c r="I600" t="s">
        <v>2045</v>
      </c>
      <c r="J600">
        <v>43</v>
      </c>
      <c r="K600">
        <v>10</v>
      </c>
      <c r="L600">
        <v>53</v>
      </c>
      <c r="M600">
        <v>8.7100000000000009</v>
      </c>
      <c r="N600">
        <v>2.31</v>
      </c>
      <c r="O600">
        <v>1.98</v>
      </c>
      <c r="Q600" t="s">
        <v>2033</v>
      </c>
      <c r="R600">
        <v>5907698024330</v>
      </c>
      <c r="S600">
        <v>10</v>
      </c>
      <c r="T600" t="s">
        <v>307</v>
      </c>
      <c r="V600">
        <v>3924900090</v>
      </c>
    </row>
    <row r="601" spans="1:22" x14ac:dyDescent="0.25">
      <c r="A601">
        <v>665165</v>
      </c>
      <c r="B601" t="s">
        <v>302</v>
      </c>
      <c r="C601">
        <v>1</v>
      </c>
      <c r="E601" t="s">
        <v>303</v>
      </c>
      <c r="F601" t="s">
        <v>3289</v>
      </c>
      <c r="G601" t="s">
        <v>2044</v>
      </c>
      <c r="H601" t="s">
        <v>2041</v>
      </c>
      <c r="I601" t="s">
        <v>2045</v>
      </c>
      <c r="J601">
        <v>37</v>
      </c>
      <c r="K601">
        <v>11</v>
      </c>
      <c r="L601">
        <v>48</v>
      </c>
      <c r="M601">
        <v>10.14</v>
      </c>
      <c r="N601">
        <v>2.67</v>
      </c>
      <c r="O601">
        <v>2.2599999999999998</v>
      </c>
      <c r="Q601" t="s">
        <v>2033</v>
      </c>
      <c r="R601">
        <v>5907698028529</v>
      </c>
      <c r="S601">
        <v>10</v>
      </c>
      <c r="T601" t="s">
        <v>307</v>
      </c>
      <c r="V601">
        <v>3924900090</v>
      </c>
    </row>
    <row r="602" spans="1:22" x14ac:dyDescent="0.25">
      <c r="A602">
        <v>665190</v>
      </c>
      <c r="B602" t="s">
        <v>302</v>
      </c>
      <c r="C602">
        <v>1</v>
      </c>
      <c r="E602" t="s">
        <v>303</v>
      </c>
      <c r="F602" t="s">
        <v>3289</v>
      </c>
      <c r="G602" t="s">
        <v>2044</v>
      </c>
      <c r="H602" t="s">
        <v>2043</v>
      </c>
      <c r="I602" t="s">
        <v>2045</v>
      </c>
      <c r="J602">
        <v>78</v>
      </c>
      <c r="K602">
        <v>0</v>
      </c>
      <c r="L602">
        <v>78</v>
      </c>
      <c r="M602">
        <v>13.13</v>
      </c>
      <c r="N602">
        <v>3.45</v>
      </c>
      <c r="O602">
        <v>2.93</v>
      </c>
      <c r="Q602" t="s">
        <v>2033</v>
      </c>
      <c r="R602">
        <v>5907698028536</v>
      </c>
      <c r="S602">
        <v>10</v>
      </c>
      <c r="T602" t="s">
        <v>307</v>
      </c>
      <c r="V602">
        <v>3924900090</v>
      </c>
    </row>
    <row r="603" spans="1:22" x14ac:dyDescent="0.25">
      <c r="A603">
        <v>667005</v>
      </c>
      <c r="B603" t="s">
        <v>302</v>
      </c>
      <c r="C603">
        <v>10</v>
      </c>
      <c r="E603" t="s">
        <v>303</v>
      </c>
      <c r="F603" t="s">
        <v>2046</v>
      </c>
      <c r="G603" t="s">
        <v>2047</v>
      </c>
      <c r="H603" t="s">
        <v>2048</v>
      </c>
      <c r="I603" t="s">
        <v>2049</v>
      </c>
      <c r="J603">
        <v>102</v>
      </c>
      <c r="K603">
        <v>50</v>
      </c>
      <c r="L603">
        <v>152</v>
      </c>
      <c r="M603">
        <v>7.25</v>
      </c>
      <c r="N603">
        <v>1.84</v>
      </c>
      <c r="O603">
        <v>1.56</v>
      </c>
      <c r="Q603" t="s">
        <v>2578</v>
      </c>
      <c r="R603">
        <v>5907698026624</v>
      </c>
      <c r="S603">
        <v>10</v>
      </c>
      <c r="T603" t="s">
        <v>307</v>
      </c>
      <c r="V603">
        <v>7323990090</v>
      </c>
    </row>
    <row r="604" spans="1:22" x14ac:dyDescent="0.25">
      <c r="A604">
        <v>667007</v>
      </c>
      <c r="B604" t="s">
        <v>302</v>
      </c>
      <c r="C604">
        <v>10</v>
      </c>
      <c r="E604" t="s">
        <v>303</v>
      </c>
      <c r="F604" t="s">
        <v>2046</v>
      </c>
      <c r="G604" t="s">
        <v>2047</v>
      </c>
      <c r="H604" t="s">
        <v>2050</v>
      </c>
      <c r="I604" t="s">
        <v>2049</v>
      </c>
      <c r="J604">
        <v>128</v>
      </c>
      <c r="K604">
        <v>15</v>
      </c>
      <c r="L604">
        <v>143</v>
      </c>
      <c r="M604">
        <v>7.83</v>
      </c>
      <c r="N604">
        <v>2.09</v>
      </c>
      <c r="O604">
        <v>1.76</v>
      </c>
      <c r="Q604" t="s">
        <v>2578</v>
      </c>
      <c r="R604">
        <v>5907698023838</v>
      </c>
      <c r="S604">
        <v>20</v>
      </c>
      <c r="V604">
        <v>7323990090</v>
      </c>
    </row>
    <row r="605" spans="1:22" x14ac:dyDescent="0.25">
      <c r="A605">
        <v>667010</v>
      </c>
      <c r="B605" t="s">
        <v>302</v>
      </c>
      <c r="C605">
        <v>10</v>
      </c>
      <c r="E605" t="s">
        <v>303</v>
      </c>
      <c r="F605" t="s">
        <v>2046</v>
      </c>
      <c r="G605" t="s">
        <v>2047</v>
      </c>
      <c r="H605" t="s">
        <v>1048</v>
      </c>
      <c r="I605" t="s">
        <v>2049</v>
      </c>
      <c r="J605">
        <v>227</v>
      </c>
      <c r="K605">
        <v>15</v>
      </c>
      <c r="L605">
        <v>242</v>
      </c>
      <c r="M605">
        <v>7.75</v>
      </c>
      <c r="N605">
        <v>2.06</v>
      </c>
      <c r="O605">
        <v>1.74</v>
      </c>
      <c r="Q605" t="s">
        <v>2578</v>
      </c>
      <c r="R605">
        <v>5907698023852</v>
      </c>
      <c r="S605">
        <v>15</v>
      </c>
      <c r="V605">
        <v>7323990090</v>
      </c>
    </row>
    <row r="606" spans="1:22" x14ac:dyDescent="0.25">
      <c r="A606">
        <v>667012</v>
      </c>
      <c r="B606" t="s">
        <v>302</v>
      </c>
      <c r="C606">
        <v>10</v>
      </c>
      <c r="E606" t="s">
        <v>303</v>
      </c>
      <c r="F606" t="s">
        <v>2046</v>
      </c>
      <c r="G606" t="s">
        <v>2047</v>
      </c>
      <c r="H606" t="s">
        <v>2031</v>
      </c>
      <c r="I606" t="s">
        <v>2049</v>
      </c>
      <c r="J606">
        <v>159</v>
      </c>
      <c r="K606">
        <v>0</v>
      </c>
      <c r="L606">
        <v>159</v>
      </c>
      <c r="M606">
        <v>9.1999999999999993</v>
      </c>
      <c r="N606">
        <v>2.4500000000000002</v>
      </c>
      <c r="O606">
        <v>2.06</v>
      </c>
      <c r="Q606" t="s">
        <v>2578</v>
      </c>
      <c r="R606">
        <v>5907698023869</v>
      </c>
      <c r="S606">
        <v>15</v>
      </c>
      <c r="V606">
        <v>7323990090</v>
      </c>
    </row>
    <row r="607" spans="1:22" x14ac:dyDescent="0.25">
      <c r="A607">
        <v>667015</v>
      </c>
      <c r="B607" t="s">
        <v>302</v>
      </c>
      <c r="C607">
        <v>10</v>
      </c>
      <c r="E607" t="s">
        <v>303</v>
      </c>
      <c r="F607" t="s">
        <v>2046</v>
      </c>
      <c r="G607" t="s">
        <v>2047</v>
      </c>
      <c r="H607" t="s">
        <v>2051</v>
      </c>
      <c r="I607" t="s">
        <v>2049</v>
      </c>
      <c r="J607">
        <v>143</v>
      </c>
      <c r="K607">
        <v>15</v>
      </c>
      <c r="L607">
        <v>158</v>
      </c>
      <c r="M607">
        <v>10.24</v>
      </c>
      <c r="N607">
        <v>2.73</v>
      </c>
      <c r="O607">
        <v>2.2999999999999998</v>
      </c>
      <c r="Q607" t="s">
        <v>2578</v>
      </c>
      <c r="R607">
        <v>5907698025047</v>
      </c>
      <c r="S607">
        <v>20</v>
      </c>
      <c r="V607">
        <v>7323990090</v>
      </c>
    </row>
    <row r="608" spans="1:22" x14ac:dyDescent="0.25">
      <c r="A608">
        <v>667115</v>
      </c>
      <c r="B608" t="s">
        <v>302</v>
      </c>
      <c r="E608" t="s">
        <v>303</v>
      </c>
      <c r="F608" t="s">
        <v>3290</v>
      </c>
      <c r="G608" t="s">
        <v>2052</v>
      </c>
      <c r="H608" t="s">
        <v>2053</v>
      </c>
      <c r="I608" t="s">
        <v>2054</v>
      </c>
      <c r="J608">
        <v>0</v>
      </c>
      <c r="K608">
        <v>0</v>
      </c>
      <c r="L608">
        <v>0</v>
      </c>
      <c r="M608">
        <v>18.399999999999999</v>
      </c>
      <c r="N608">
        <v>4.9000000000000004</v>
      </c>
      <c r="O608">
        <v>4.1399999999999997</v>
      </c>
      <c r="Q608" t="s">
        <v>2578</v>
      </c>
      <c r="R608">
        <v>5907698023845</v>
      </c>
      <c r="S608">
        <v>1</v>
      </c>
      <c r="V608">
        <v>7323990090</v>
      </c>
    </row>
    <row r="609" spans="1:22" x14ac:dyDescent="0.25">
      <c r="A609">
        <v>667125</v>
      </c>
      <c r="B609" t="s">
        <v>302</v>
      </c>
      <c r="E609" t="s">
        <v>303</v>
      </c>
      <c r="F609" t="s">
        <v>3290</v>
      </c>
      <c r="G609" t="s">
        <v>2052</v>
      </c>
      <c r="H609" t="s">
        <v>2055</v>
      </c>
      <c r="I609" t="s">
        <v>2054</v>
      </c>
      <c r="J609">
        <v>5</v>
      </c>
      <c r="K609">
        <v>0</v>
      </c>
      <c r="L609">
        <v>5</v>
      </c>
      <c r="M609">
        <v>28.75</v>
      </c>
      <c r="N609">
        <v>7.66</v>
      </c>
      <c r="O609">
        <v>6.46</v>
      </c>
      <c r="Q609" t="s">
        <v>2578</v>
      </c>
      <c r="R609">
        <v>5907698026754</v>
      </c>
      <c r="S609">
        <v>1</v>
      </c>
      <c r="V609">
        <v>7323990090</v>
      </c>
    </row>
    <row r="610" spans="1:22" x14ac:dyDescent="0.25">
      <c r="A610">
        <v>667132</v>
      </c>
      <c r="B610" t="s">
        <v>302</v>
      </c>
      <c r="E610" t="s">
        <v>303</v>
      </c>
      <c r="F610" t="s">
        <v>3290</v>
      </c>
      <c r="G610" t="s">
        <v>2052</v>
      </c>
      <c r="H610" t="s">
        <v>2056</v>
      </c>
      <c r="I610" t="s">
        <v>2054</v>
      </c>
      <c r="J610">
        <v>3</v>
      </c>
      <c r="K610">
        <v>0</v>
      </c>
      <c r="L610">
        <v>3</v>
      </c>
      <c r="M610">
        <v>29.9</v>
      </c>
      <c r="N610">
        <v>7.96</v>
      </c>
      <c r="O610">
        <v>6.71</v>
      </c>
      <c r="Q610" t="s">
        <v>2578</v>
      </c>
      <c r="R610">
        <v>5907698026761</v>
      </c>
      <c r="S610">
        <v>1</v>
      </c>
      <c r="V610">
        <v>7323990090</v>
      </c>
    </row>
    <row r="611" spans="1:22" x14ac:dyDescent="0.25">
      <c r="A611">
        <v>667213</v>
      </c>
      <c r="B611" t="s">
        <v>302</v>
      </c>
      <c r="E611" t="s">
        <v>303</v>
      </c>
      <c r="F611" t="s">
        <v>1049</v>
      </c>
      <c r="G611" t="s">
        <v>1050</v>
      </c>
      <c r="H611" t="s">
        <v>1051</v>
      </c>
      <c r="I611" t="s">
        <v>1052</v>
      </c>
      <c r="J611">
        <v>13</v>
      </c>
      <c r="K611">
        <v>0</v>
      </c>
      <c r="L611">
        <v>13</v>
      </c>
      <c r="M611">
        <v>12.65</v>
      </c>
      <c r="N611">
        <v>3.38</v>
      </c>
      <c r="O611">
        <v>2.84</v>
      </c>
      <c r="Q611" t="s">
        <v>2578</v>
      </c>
      <c r="R611">
        <v>5907698026785</v>
      </c>
      <c r="S611">
        <v>1</v>
      </c>
      <c r="V611">
        <v>7323990090</v>
      </c>
    </row>
    <row r="612" spans="1:22" x14ac:dyDescent="0.25">
      <c r="A612">
        <v>667227</v>
      </c>
      <c r="B612" t="s">
        <v>302</v>
      </c>
      <c r="E612" t="s">
        <v>303</v>
      </c>
      <c r="F612" t="s">
        <v>1049</v>
      </c>
      <c r="G612" t="s">
        <v>1050</v>
      </c>
      <c r="H612" t="s">
        <v>1053</v>
      </c>
      <c r="I612" t="s">
        <v>1052</v>
      </c>
      <c r="J612">
        <v>7</v>
      </c>
      <c r="K612">
        <v>0</v>
      </c>
      <c r="L612">
        <v>7</v>
      </c>
      <c r="M612">
        <v>21.85</v>
      </c>
      <c r="N612">
        <v>5.83</v>
      </c>
      <c r="O612">
        <v>4.91</v>
      </c>
      <c r="Q612" t="s">
        <v>2578</v>
      </c>
      <c r="R612">
        <v>5907698026808</v>
      </c>
      <c r="S612">
        <v>1</v>
      </c>
      <c r="V612">
        <v>7323990090</v>
      </c>
    </row>
    <row r="613" spans="1:22" x14ac:dyDescent="0.25">
      <c r="A613">
        <v>667307</v>
      </c>
      <c r="B613" t="s">
        <v>302</v>
      </c>
      <c r="E613" t="s">
        <v>303</v>
      </c>
      <c r="F613" t="s">
        <v>2057</v>
      </c>
      <c r="G613" t="s">
        <v>2058</v>
      </c>
      <c r="H613" t="s">
        <v>2059</v>
      </c>
      <c r="I613" t="s">
        <v>2060</v>
      </c>
      <c r="J613">
        <v>10</v>
      </c>
      <c r="K613">
        <v>0</v>
      </c>
      <c r="L613">
        <v>10</v>
      </c>
      <c r="M613">
        <v>41.4</v>
      </c>
      <c r="N613">
        <v>10.48</v>
      </c>
      <c r="O613">
        <v>8.94</v>
      </c>
      <c r="Q613" t="s">
        <v>2578</v>
      </c>
      <c r="R613">
        <v>5907698026815</v>
      </c>
      <c r="S613">
        <v>1</v>
      </c>
      <c r="V613">
        <v>7323990090</v>
      </c>
    </row>
    <row r="614" spans="1:22" x14ac:dyDescent="0.25">
      <c r="A614">
        <v>667310</v>
      </c>
      <c r="B614" t="s">
        <v>302</v>
      </c>
      <c r="C614">
        <v>1</v>
      </c>
      <c r="E614" t="s">
        <v>303</v>
      </c>
      <c r="F614" t="s">
        <v>2057</v>
      </c>
      <c r="G614" t="s">
        <v>2058</v>
      </c>
      <c r="H614" t="s">
        <v>2061</v>
      </c>
      <c r="I614" t="s">
        <v>2060</v>
      </c>
      <c r="J614">
        <v>6</v>
      </c>
      <c r="K614">
        <v>0</v>
      </c>
      <c r="L614">
        <v>6</v>
      </c>
      <c r="M614">
        <v>49.45</v>
      </c>
      <c r="N614">
        <v>12.51</v>
      </c>
      <c r="O614">
        <v>10.68</v>
      </c>
      <c r="Q614" t="s">
        <v>2578</v>
      </c>
      <c r="R614">
        <v>5907698026822</v>
      </c>
      <c r="S614">
        <v>1</v>
      </c>
      <c r="V614">
        <v>7323990090</v>
      </c>
    </row>
    <row r="615" spans="1:22" x14ac:dyDescent="0.25">
      <c r="A615">
        <v>667312</v>
      </c>
      <c r="B615" t="s">
        <v>302</v>
      </c>
      <c r="E615" t="s">
        <v>303</v>
      </c>
      <c r="F615" t="s">
        <v>2057</v>
      </c>
      <c r="G615" t="s">
        <v>2058</v>
      </c>
      <c r="H615" t="s">
        <v>2062</v>
      </c>
      <c r="I615" t="s">
        <v>2060</v>
      </c>
      <c r="J615">
        <v>28</v>
      </c>
      <c r="K615">
        <v>0</v>
      </c>
      <c r="L615">
        <v>28</v>
      </c>
      <c r="M615">
        <v>54.05</v>
      </c>
      <c r="N615">
        <v>13.69</v>
      </c>
      <c r="O615">
        <v>11.66</v>
      </c>
      <c r="Q615" t="s">
        <v>2578</v>
      </c>
      <c r="R615">
        <v>5907698026839</v>
      </c>
      <c r="S615">
        <v>1</v>
      </c>
      <c r="V615">
        <v>7323990090</v>
      </c>
    </row>
    <row r="616" spans="1:22" x14ac:dyDescent="0.25">
      <c r="A616">
        <v>680010</v>
      </c>
      <c r="B616" t="s">
        <v>302</v>
      </c>
      <c r="C616">
        <v>200</v>
      </c>
      <c r="D616">
        <v>0</v>
      </c>
      <c r="E616" t="s">
        <v>303</v>
      </c>
      <c r="F616" t="s">
        <v>3291</v>
      </c>
      <c r="G616" t="s">
        <v>2659</v>
      </c>
      <c r="H616" t="s">
        <v>2646</v>
      </c>
      <c r="I616" t="s">
        <v>2660</v>
      </c>
      <c r="J616">
        <v>605</v>
      </c>
      <c r="K616">
        <v>0</v>
      </c>
      <c r="L616">
        <v>605</v>
      </c>
      <c r="M616">
        <v>2.41</v>
      </c>
      <c r="N616">
        <v>0.64</v>
      </c>
      <c r="O616">
        <v>0.55000000000000004</v>
      </c>
      <c r="Q616" t="s">
        <v>3744</v>
      </c>
      <c r="R616">
        <v>5907698016175</v>
      </c>
      <c r="S616">
        <v>120</v>
      </c>
      <c r="T616" t="s">
        <v>307</v>
      </c>
      <c r="V616">
        <v>9017801000</v>
      </c>
    </row>
    <row r="617" spans="1:22" x14ac:dyDescent="0.25">
      <c r="A617">
        <v>680020</v>
      </c>
      <c r="B617" t="s">
        <v>302</v>
      </c>
      <c r="C617">
        <v>120</v>
      </c>
      <c r="D617">
        <v>12</v>
      </c>
      <c r="E617" t="s">
        <v>303</v>
      </c>
      <c r="F617" t="s">
        <v>3292</v>
      </c>
      <c r="G617" t="s">
        <v>2744</v>
      </c>
      <c r="H617" t="s">
        <v>2745</v>
      </c>
      <c r="I617" t="s">
        <v>2746</v>
      </c>
      <c r="J617">
        <v>80</v>
      </c>
      <c r="K617">
        <v>0</v>
      </c>
      <c r="L617">
        <v>80</v>
      </c>
      <c r="M617">
        <v>5.36</v>
      </c>
      <c r="N617">
        <v>1.27</v>
      </c>
      <c r="O617">
        <v>1.17</v>
      </c>
      <c r="Q617" t="s">
        <v>3744</v>
      </c>
      <c r="R617">
        <v>5907698016182</v>
      </c>
      <c r="S617">
        <v>520</v>
      </c>
      <c r="T617" t="s">
        <v>760</v>
      </c>
      <c r="V617">
        <v>9017801000</v>
      </c>
    </row>
    <row r="618" spans="1:22" x14ac:dyDescent="0.25">
      <c r="A618">
        <v>682500</v>
      </c>
      <c r="B618" t="s">
        <v>302</v>
      </c>
      <c r="C618">
        <v>120</v>
      </c>
      <c r="D618">
        <v>12</v>
      </c>
      <c r="E618" t="s">
        <v>303</v>
      </c>
      <c r="F618" t="s">
        <v>3293</v>
      </c>
      <c r="G618" t="s">
        <v>1054</v>
      </c>
      <c r="H618" t="s">
        <v>393</v>
      </c>
      <c r="I618" t="s">
        <v>1055</v>
      </c>
      <c r="J618">
        <v>25</v>
      </c>
      <c r="K618">
        <v>1</v>
      </c>
      <c r="L618">
        <v>26</v>
      </c>
      <c r="M618">
        <v>2.27</v>
      </c>
      <c r="N618">
        <v>0.59</v>
      </c>
      <c r="O618">
        <v>0.51</v>
      </c>
      <c r="Q618" t="s">
        <v>2</v>
      </c>
      <c r="R618">
        <v>5907698016199</v>
      </c>
      <c r="S618">
        <v>360</v>
      </c>
      <c r="T618" t="s">
        <v>1056</v>
      </c>
      <c r="U618" t="s">
        <v>2479</v>
      </c>
      <c r="V618">
        <v>9017203900</v>
      </c>
    </row>
    <row r="619" spans="1:22" x14ac:dyDescent="0.25">
      <c r="A619">
        <v>682510</v>
      </c>
      <c r="B619" t="s">
        <v>302</v>
      </c>
      <c r="C619">
        <v>60</v>
      </c>
      <c r="D619">
        <v>10</v>
      </c>
      <c r="E619" t="s">
        <v>303</v>
      </c>
      <c r="F619" t="s">
        <v>3293</v>
      </c>
      <c r="G619" t="s">
        <v>1057</v>
      </c>
      <c r="H619" t="s">
        <v>2063</v>
      </c>
      <c r="I619" t="s">
        <v>1055</v>
      </c>
      <c r="J619">
        <v>328</v>
      </c>
      <c r="K619">
        <v>1</v>
      </c>
      <c r="L619">
        <v>329</v>
      </c>
      <c r="M619">
        <v>9.41</v>
      </c>
      <c r="N619">
        <v>2.39</v>
      </c>
      <c r="O619">
        <v>2.06</v>
      </c>
      <c r="Q619" t="s">
        <v>3744</v>
      </c>
      <c r="R619">
        <v>5907698016205</v>
      </c>
      <c r="S619">
        <v>40</v>
      </c>
      <c r="T619" t="s">
        <v>1058</v>
      </c>
      <c r="U619" t="s">
        <v>3294</v>
      </c>
      <c r="V619">
        <v>9017203900</v>
      </c>
    </row>
    <row r="620" spans="1:22" x14ac:dyDescent="0.25">
      <c r="A620">
        <v>682512</v>
      </c>
      <c r="B620" t="s">
        <v>302</v>
      </c>
      <c r="C620">
        <v>60</v>
      </c>
      <c r="D620">
        <v>10</v>
      </c>
      <c r="E620" t="s">
        <v>303</v>
      </c>
      <c r="F620" t="s">
        <v>3293</v>
      </c>
      <c r="G620" t="s">
        <v>1057</v>
      </c>
      <c r="H620" t="s">
        <v>2064</v>
      </c>
      <c r="I620" t="s">
        <v>1055</v>
      </c>
      <c r="J620">
        <v>0</v>
      </c>
      <c r="K620">
        <v>1</v>
      </c>
      <c r="L620">
        <v>1</v>
      </c>
      <c r="M620">
        <v>9.52</v>
      </c>
      <c r="N620">
        <v>2.4300000000000002</v>
      </c>
      <c r="O620">
        <v>2.08</v>
      </c>
      <c r="Q620" t="s">
        <v>3744</v>
      </c>
      <c r="R620">
        <v>5907698026518</v>
      </c>
      <c r="S620">
        <v>90</v>
      </c>
      <c r="T620" t="s">
        <v>1058</v>
      </c>
      <c r="V620">
        <v>9017203900</v>
      </c>
    </row>
    <row r="621" spans="1:22" x14ac:dyDescent="0.25">
      <c r="A621">
        <v>683000</v>
      </c>
      <c r="B621" t="s">
        <v>302</v>
      </c>
      <c r="C621">
        <v>120</v>
      </c>
      <c r="D621">
        <v>12</v>
      </c>
      <c r="E621" t="s">
        <v>303</v>
      </c>
      <c r="F621" t="s">
        <v>3293</v>
      </c>
      <c r="G621" t="s">
        <v>1054</v>
      </c>
      <c r="H621" t="s">
        <v>523</v>
      </c>
      <c r="I621" t="s">
        <v>1055</v>
      </c>
      <c r="J621">
        <v>1387</v>
      </c>
      <c r="K621">
        <v>1</v>
      </c>
      <c r="L621">
        <v>1388</v>
      </c>
      <c r="M621">
        <v>2.61</v>
      </c>
      <c r="N621">
        <v>0.7</v>
      </c>
      <c r="O621">
        <v>0.59</v>
      </c>
      <c r="Q621" t="s">
        <v>2</v>
      </c>
      <c r="R621">
        <v>5907698016212</v>
      </c>
      <c r="S621">
        <v>1800</v>
      </c>
      <c r="T621" t="s">
        <v>1056</v>
      </c>
      <c r="V621">
        <v>9017203900</v>
      </c>
    </row>
    <row r="622" spans="1:22" x14ac:dyDescent="0.25">
      <c r="A622">
        <v>683010</v>
      </c>
      <c r="B622" t="s">
        <v>302</v>
      </c>
      <c r="C622">
        <v>60</v>
      </c>
      <c r="D622">
        <v>10</v>
      </c>
      <c r="E622" t="s">
        <v>303</v>
      </c>
      <c r="F622" t="s">
        <v>3293</v>
      </c>
      <c r="G622" t="s">
        <v>1057</v>
      </c>
      <c r="H622" t="s">
        <v>773</v>
      </c>
      <c r="I622" t="s">
        <v>1055</v>
      </c>
      <c r="J622">
        <v>270</v>
      </c>
      <c r="K622">
        <v>1</v>
      </c>
      <c r="L622">
        <v>271</v>
      </c>
      <c r="M622">
        <v>11.7</v>
      </c>
      <c r="N622">
        <v>2.77</v>
      </c>
      <c r="O622">
        <v>2.56</v>
      </c>
      <c r="Q622" t="s">
        <v>3744</v>
      </c>
      <c r="R622">
        <v>5907698016229</v>
      </c>
      <c r="S622">
        <v>120</v>
      </c>
      <c r="T622" t="s">
        <v>535</v>
      </c>
      <c r="V622">
        <v>9017203900</v>
      </c>
    </row>
    <row r="623" spans="1:22" x14ac:dyDescent="0.25">
      <c r="A623">
        <v>683012</v>
      </c>
      <c r="B623" t="s">
        <v>302</v>
      </c>
      <c r="C623">
        <v>60</v>
      </c>
      <c r="D623">
        <v>10</v>
      </c>
      <c r="E623" t="s">
        <v>303</v>
      </c>
      <c r="F623" t="s">
        <v>3293</v>
      </c>
      <c r="G623" t="s">
        <v>1057</v>
      </c>
      <c r="H623" t="s">
        <v>1059</v>
      </c>
      <c r="I623" t="s">
        <v>1055</v>
      </c>
      <c r="J623">
        <v>9</v>
      </c>
      <c r="K623">
        <v>1</v>
      </c>
      <c r="L623">
        <v>10</v>
      </c>
      <c r="M623">
        <v>10.66</v>
      </c>
      <c r="N623">
        <v>2.5299999999999998</v>
      </c>
      <c r="O623">
        <v>2.33</v>
      </c>
      <c r="Q623" t="s">
        <v>3744</v>
      </c>
      <c r="R623">
        <v>5907698026525</v>
      </c>
      <c r="S623">
        <v>120</v>
      </c>
      <c r="T623" t="s">
        <v>1058</v>
      </c>
      <c r="V623">
        <v>9017203900</v>
      </c>
    </row>
    <row r="624" spans="1:22" x14ac:dyDescent="0.25">
      <c r="A624">
        <v>683500</v>
      </c>
      <c r="B624" t="s">
        <v>302</v>
      </c>
      <c r="C624">
        <v>120</v>
      </c>
      <c r="D624">
        <v>12</v>
      </c>
      <c r="E624" t="s">
        <v>303</v>
      </c>
      <c r="F624" t="s">
        <v>3293</v>
      </c>
      <c r="G624" t="s">
        <v>1057</v>
      </c>
      <c r="H624" t="s">
        <v>1060</v>
      </c>
      <c r="I624" t="s">
        <v>1055</v>
      </c>
      <c r="J624">
        <v>517</v>
      </c>
      <c r="K624">
        <v>1</v>
      </c>
      <c r="L624">
        <v>518</v>
      </c>
      <c r="M624">
        <v>3.02</v>
      </c>
      <c r="N624">
        <v>0.73</v>
      </c>
      <c r="O624">
        <v>0.66</v>
      </c>
      <c r="Q624" t="s">
        <v>2</v>
      </c>
      <c r="R624">
        <v>5907698016236</v>
      </c>
      <c r="S624">
        <v>1400</v>
      </c>
      <c r="T624" t="s">
        <v>1056</v>
      </c>
      <c r="V624">
        <v>9017203900</v>
      </c>
    </row>
    <row r="625" spans="1:22" x14ac:dyDescent="0.25">
      <c r="A625">
        <v>683510</v>
      </c>
      <c r="B625" t="s">
        <v>302</v>
      </c>
      <c r="C625">
        <v>60</v>
      </c>
      <c r="D625">
        <v>10</v>
      </c>
      <c r="E625" t="s">
        <v>303</v>
      </c>
      <c r="F625" t="s">
        <v>3293</v>
      </c>
      <c r="G625" t="s">
        <v>1054</v>
      </c>
      <c r="H625" t="s">
        <v>2065</v>
      </c>
      <c r="I625" t="s">
        <v>1055</v>
      </c>
      <c r="J625">
        <v>0</v>
      </c>
      <c r="K625">
        <v>1</v>
      </c>
      <c r="L625">
        <v>1</v>
      </c>
      <c r="M625">
        <v>12.82</v>
      </c>
      <c r="N625">
        <v>3.03</v>
      </c>
      <c r="O625">
        <v>2.81</v>
      </c>
      <c r="Q625" t="s">
        <v>3744</v>
      </c>
      <c r="R625">
        <v>5907698016243</v>
      </c>
      <c r="S625">
        <v>320</v>
      </c>
      <c r="T625" t="s">
        <v>535</v>
      </c>
      <c r="V625">
        <v>9017203900</v>
      </c>
    </row>
    <row r="626" spans="1:22" x14ac:dyDescent="0.25">
      <c r="A626">
        <v>683512</v>
      </c>
      <c r="B626" t="s">
        <v>302</v>
      </c>
      <c r="C626">
        <v>60</v>
      </c>
      <c r="D626">
        <v>10</v>
      </c>
      <c r="E626" t="s">
        <v>303</v>
      </c>
      <c r="F626" t="s">
        <v>3293</v>
      </c>
      <c r="G626" t="s">
        <v>1057</v>
      </c>
      <c r="H626" t="s">
        <v>1061</v>
      </c>
      <c r="I626" t="s">
        <v>1055</v>
      </c>
      <c r="J626">
        <v>348</v>
      </c>
      <c r="K626">
        <v>1</v>
      </c>
      <c r="L626">
        <v>349</v>
      </c>
      <c r="M626">
        <v>11.02</v>
      </c>
      <c r="N626">
        <v>2.82</v>
      </c>
      <c r="O626">
        <v>2.4</v>
      </c>
      <c r="Q626" t="s">
        <v>3744</v>
      </c>
      <c r="R626">
        <v>5907698026532</v>
      </c>
      <c r="S626">
        <v>300</v>
      </c>
      <c r="T626" t="s">
        <v>1058</v>
      </c>
      <c r="V626">
        <v>9017203900</v>
      </c>
    </row>
    <row r="627" spans="1:22" x14ac:dyDescent="0.25">
      <c r="A627">
        <v>683540</v>
      </c>
      <c r="B627" t="s">
        <v>302</v>
      </c>
      <c r="C627">
        <v>120</v>
      </c>
      <c r="D627">
        <v>12</v>
      </c>
      <c r="E627" t="s">
        <v>303</v>
      </c>
      <c r="F627" t="s">
        <v>3293</v>
      </c>
      <c r="G627" t="s">
        <v>1054</v>
      </c>
      <c r="H627" t="s">
        <v>961</v>
      </c>
      <c r="I627" t="s">
        <v>1055</v>
      </c>
      <c r="J627">
        <v>1704</v>
      </c>
      <c r="K627">
        <v>1</v>
      </c>
      <c r="L627">
        <v>1705</v>
      </c>
      <c r="M627">
        <v>3.02</v>
      </c>
      <c r="N627">
        <v>0.81</v>
      </c>
      <c r="O627">
        <v>0.69</v>
      </c>
      <c r="Q627" t="s">
        <v>2</v>
      </c>
      <c r="R627">
        <v>5907698022404</v>
      </c>
      <c r="S627">
        <v>1200</v>
      </c>
      <c r="T627" t="s">
        <v>1056</v>
      </c>
      <c r="U627" t="s">
        <v>2479</v>
      </c>
      <c r="V627">
        <v>9017203900</v>
      </c>
    </row>
    <row r="628" spans="1:22" x14ac:dyDescent="0.25">
      <c r="A628">
        <v>683542</v>
      </c>
      <c r="B628" t="s">
        <v>302</v>
      </c>
      <c r="C628">
        <v>60</v>
      </c>
      <c r="D628">
        <v>10</v>
      </c>
      <c r="E628" t="s">
        <v>303</v>
      </c>
      <c r="F628" t="s">
        <v>3293</v>
      </c>
      <c r="G628" t="s">
        <v>1057</v>
      </c>
      <c r="H628" t="s">
        <v>2066</v>
      </c>
      <c r="I628" t="s">
        <v>1055</v>
      </c>
      <c r="J628">
        <v>3</v>
      </c>
      <c r="K628">
        <v>1</v>
      </c>
      <c r="L628">
        <v>4</v>
      </c>
      <c r="M628">
        <v>12.11</v>
      </c>
      <c r="N628">
        <v>3.09</v>
      </c>
      <c r="O628">
        <v>2.64</v>
      </c>
      <c r="Q628" t="s">
        <v>3744</v>
      </c>
      <c r="R628">
        <v>5907698026549</v>
      </c>
      <c r="S628">
        <v>240</v>
      </c>
      <c r="T628" t="s">
        <v>1058</v>
      </c>
      <c r="V628">
        <v>9017203900</v>
      </c>
    </row>
    <row r="629" spans="1:22" x14ac:dyDescent="0.25">
      <c r="A629">
        <v>684000</v>
      </c>
      <c r="B629" t="s">
        <v>302</v>
      </c>
      <c r="C629">
        <v>48</v>
      </c>
      <c r="D629">
        <v>12</v>
      </c>
      <c r="E629" t="s">
        <v>303</v>
      </c>
      <c r="F629" t="s">
        <v>3295</v>
      </c>
      <c r="G629" t="s">
        <v>1062</v>
      </c>
      <c r="H629" t="s">
        <v>1063</v>
      </c>
      <c r="I629" t="s">
        <v>1064</v>
      </c>
      <c r="J629">
        <v>196</v>
      </c>
      <c r="K629">
        <v>0</v>
      </c>
      <c r="L629">
        <v>196</v>
      </c>
      <c r="M629">
        <v>5.84</v>
      </c>
      <c r="N629">
        <v>1.38</v>
      </c>
      <c r="O629">
        <v>1.28</v>
      </c>
      <c r="Q629" t="s">
        <v>2</v>
      </c>
      <c r="R629">
        <v>5907698016250</v>
      </c>
      <c r="S629">
        <v>900</v>
      </c>
      <c r="T629" t="s">
        <v>1058</v>
      </c>
      <c r="V629">
        <v>9017203900</v>
      </c>
    </row>
    <row r="630" spans="1:22" x14ac:dyDescent="0.25">
      <c r="A630">
        <v>684005</v>
      </c>
      <c r="B630" t="s">
        <v>302</v>
      </c>
      <c r="C630">
        <v>100</v>
      </c>
      <c r="D630">
        <v>25</v>
      </c>
      <c r="E630" t="s">
        <v>303</v>
      </c>
      <c r="F630" t="s">
        <v>3296</v>
      </c>
      <c r="G630" t="s">
        <v>1065</v>
      </c>
      <c r="H630" t="s">
        <v>1003</v>
      </c>
      <c r="I630" t="s">
        <v>1066</v>
      </c>
      <c r="J630">
        <v>0</v>
      </c>
      <c r="K630">
        <v>0</v>
      </c>
      <c r="L630">
        <v>0</v>
      </c>
      <c r="M630">
        <v>4.8600000000000003</v>
      </c>
      <c r="N630">
        <v>1.1399999999999999</v>
      </c>
      <c r="O630">
        <v>1.06</v>
      </c>
      <c r="Q630" t="s">
        <v>2548</v>
      </c>
      <c r="R630">
        <v>5907698028376</v>
      </c>
      <c r="S630">
        <v>600</v>
      </c>
      <c r="T630" t="s">
        <v>1056</v>
      </c>
      <c r="V630">
        <v>9017203900</v>
      </c>
    </row>
    <row r="631" spans="1:22" x14ac:dyDescent="0.25">
      <c r="A631">
        <v>685130</v>
      </c>
      <c r="B631" t="s">
        <v>3082</v>
      </c>
      <c r="C631">
        <v>72</v>
      </c>
      <c r="D631">
        <v>12</v>
      </c>
      <c r="E631" t="s">
        <v>303</v>
      </c>
      <c r="F631" t="s">
        <v>1067</v>
      </c>
      <c r="G631" t="s">
        <v>1068</v>
      </c>
      <c r="H631" t="s">
        <v>1673</v>
      </c>
      <c r="I631" t="s">
        <v>1069</v>
      </c>
      <c r="J631">
        <v>1255</v>
      </c>
      <c r="K631">
        <v>1</v>
      </c>
      <c r="L631">
        <v>1256</v>
      </c>
      <c r="M631">
        <v>3.15</v>
      </c>
      <c r="N631">
        <v>0.8</v>
      </c>
      <c r="O631">
        <v>0.69</v>
      </c>
      <c r="Q631" t="s">
        <v>3</v>
      </c>
      <c r="R631">
        <v>5907698029120</v>
      </c>
      <c r="S631">
        <v>900</v>
      </c>
      <c r="T631" t="s">
        <v>905</v>
      </c>
      <c r="U631" t="s">
        <v>2579</v>
      </c>
      <c r="V631">
        <v>9017801000</v>
      </c>
    </row>
    <row r="632" spans="1:22" x14ac:dyDescent="0.25">
      <c r="A632">
        <v>685150</v>
      </c>
      <c r="B632" t="s">
        <v>3082</v>
      </c>
      <c r="C632">
        <v>60</v>
      </c>
      <c r="D632">
        <v>12</v>
      </c>
      <c r="E632" t="s">
        <v>303</v>
      </c>
      <c r="F632" t="s">
        <v>1067</v>
      </c>
      <c r="G632" t="s">
        <v>1068</v>
      </c>
      <c r="H632" t="s">
        <v>1674</v>
      </c>
      <c r="I632" t="s">
        <v>1069</v>
      </c>
      <c r="J632">
        <v>2730</v>
      </c>
      <c r="K632">
        <v>1</v>
      </c>
      <c r="L632">
        <v>2731</v>
      </c>
      <c r="M632">
        <v>5.31</v>
      </c>
      <c r="N632">
        <v>1.42</v>
      </c>
      <c r="O632">
        <v>1.2</v>
      </c>
      <c r="Q632" t="s">
        <v>3</v>
      </c>
      <c r="R632">
        <v>5907698029137</v>
      </c>
      <c r="S632">
        <v>800</v>
      </c>
      <c r="T632" t="s">
        <v>905</v>
      </c>
      <c r="U632" t="s">
        <v>2579</v>
      </c>
      <c r="V632">
        <v>9017801000</v>
      </c>
    </row>
    <row r="633" spans="1:22" x14ac:dyDescent="0.25">
      <c r="A633">
        <v>685180</v>
      </c>
      <c r="B633" t="s">
        <v>3082</v>
      </c>
      <c r="C633">
        <v>48</v>
      </c>
      <c r="D633">
        <v>6</v>
      </c>
      <c r="E633" t="s">
        <v>303</v>
      </c>
      <c r="F633" t="s">
        <v>1067</v>
      </c>
      <c r="G633" t="s">
        <v>1068</v>
      </c>
      <c r="H633" t="s">
        <v>2067</v>
      </c>
      <c r="I633" t="s">
        <v>1069</v>
      </c>
      <c r="J633">
        <v>909</v>
      </c>
      <c r="K633">
        <v>1</v>
      </c>
      <c r="L633">
        <v>910</v>
      </c>
      <c r="M633">
        <v>9.4499999999999993</v>
      </c>
      <c r="N633">
        <v>2.54</v>
      </c>
      <c r="O633">
        <v>2.15</v>
      </c>
      <c r="Q633" t="s">
        <v>3</v>
      </c>
      <c r="R633">
        <v>5907698029144</v>
      </c>
      <c r="S633">
        <v>260</v>
      </c>
      <c r="T633" t="s">
        <v>905</v>
      </c>
      <c r="U633" t="s">
        <v>2579</v>
      </c>
      <c r="V633">
        <v>9017801000</v>
      </c>
    </row>
    <row r="634" spans="1:22" x14ac:dyDescent="0.25">
      <c r="A634">
        <v>685603</v>
      </c>
      <c r="B634" t="s">
        <v>3034</v>
      </c>
      <c r="C634">
        <v>96</v>
      </c>
      <c r="D634">
        <v>12</v>
      </c>
      <c r="E634" t="s">
        <v>303</v>
      </c>
      <c r="F634" t="s">
        <v>1067</v>
      </c>
      <c r="G634" t="s">
        <v>1068</v>
      </c>
      <c r="H634" t="s">
        <v>1675</v>
      </c>
      <c r="I634" t="s">
        <v>1069</v>
      </c>
      <c r="J634">
        <v>4934</v>
      </c>
      <c r="K634">
        <v>1</v>
      </c>
      <c r="L634">
        <v>4935</v>
      </c>
      <c r="M634">
        <v>3.96</v>
      </c>
      <c r="N634">
        <v>1.01</v>
      </c>
      <c r="O634">
        <v>0.89</v>
      </c>
      <c r="Q634" t="s">
        <v>3026</v>
      </c>
      <c r="R634">
        <v>5907698027911</v>
      </c>
      <c r="S634">
        <v>680</v>
      </c>
      <c r="T634" t="s">
        <v>905</v>
      </c>
      <c r="U634" t="s">
        <v>3297</v>
      </c>
      <c r="V634">
        <v>9017801000</v>
      </c>
    </row>
    <row r="635" spans="1:22" x14ac:dyDescent="0.25">
      <c r="A635">
        <v>685605</v>
      </c>
      <c r="B635" t="s">
        <v>3034</v>
      </c>
      <c r="C635">
        <v>120</v>
      </c>
      <c r="D635">
        <v>12</v>
      </c>
      <c r="E635" t="s">
        <v>303</v>
      </c>
      <c r="F635" t="s">
        <v>1067</v>
      </c>
      <c r="G635" t="s">
        <v>1068</v>
      </c>
      <c r="H635" t="s">
        <v>1070</v>
      </c>
      <c r="I635" t="s">
        <v>1069</v>
      </c>
      <c r="J635">
        <v>4102</v>
      </c>
      <c r="K635">
        <v>1</v>
      </c>
      <c r="L635">
        <v>4103</v>
      </c>
      <c r="M635">
        <v>5.85</v>
      </c>
      <c r="N635">
        <v>1.48</v>
      </c>
      <c r="O635">
        <v>1.32</v>
      </c>
      <c r="Q635" t="s">
        <v>3026</v>
      </c>
      <c r="R635">
        <v>5907698027928</v>
      </c>
      <c r="S635">
        <v>1200</v>
      </c>
      <c r="T635" t="s">
        <v>905</v>
      </c>
      <c r="U635" t="s">
        <v>3298</v>
      </c>
      <c r="V635">
        <v>9017801000</v>
      </c>
    </row>
    <row r="636" spans="1:22" x14ac:dyDescent="0.25">
      <c r="A636">
        <v>685608</v>
      </c>
      <c r="B636" t="s">
        <v>302</v>
      </c>
      <c r="C636">
        <v>48</v>
      </c>
      <c r="D636">
        <v>6</v>
      </c>
      <c r="E636" t="s">
        <v>303</v>
      </c>
      <c r="F636" t="s">
        <v>1067</v>
      </c>
      <c r="G636" t="s">
        <v>1068</v>
      </c>
      <c r="H636" t="s">
        <v>1676</v>
      </c>
      <c r="I636" t="s">
        <v>1069</v>
      </c>
      <c r="J636">
        <v>630</v>
      </c>
      <c r="K636">
        <v>1</v>
      </c>
      <c r="L636">
        <v>631</v>
      </c>
      <c r="M636">
        <v>11.38</v>
      </c>
      <c r="N636">
        <v>2.88</v>
      </c>
      <c r="O636">
        <v>2.46</v>
      </c>
      <c r="Q636" t="s">
        <v>3026</v>
      </c>
      <c r="R636">
        <v>5907698027935</v>
      </c>
      <c r="S636">
        <v>160</v>
      </c>
      <c r="T636" t="s">
        <v>905</v>
      </c>
      <c r="U636" t="s">
        <v>2579</v>
      </c>
      <c r="V636">
        <v>9017801000</v>
      </c>
    </row>
    <row r="637" spans="1:22" x14ac:dyDescent="0.25">
      <c r="A637">
        <v>686100</v>
      </c>
      <c r="B637" t="s">
        <v>302</v>
      </c>
      <c r="C637">
        <v>40</v>
      </c>
      <c r="E637" t="s">
        <v>303</v>
      </c>
      <c r="F637" t="s">
        <v>3299</v>
      </c>
      <c r="G637" t="s">
        <v>1071</v>
      </c>
      <c r="H637" t="s">
        <v>1072</v>
      </c>
      <c r="I637" t="s">
        <v>1073</v>
      </c>
      <c r="J637">
        <v>11</v>
      </c>
      <c r="K637">
        <v>0</v>
      </c>
      <c r="L637">
        <v>11</v>
      </c>
      <c r="M637">
        <v>4.75</v>
      </c>
      <c r="N637">
        <v>1.26</v>
      </c>
      <c r="O637">
        <v>1.08</v>
      </c>
      <c r="Q637" t="s">
        <v>3744</v>
      </c>
      <c r="R637">
        <v>5907698026662</v>
      </c>
      <c r="S637">
        <v>20</v>
      </c>
      <c r="T637" t="s">
        <v>531</v>
      </c>
      <c r="V637">
        <v>9017801000</v>
      </c>
    </row>
    <row r="638" spans="1:22" x14ac:dyDescent="0.25">
      <c r="A638">
        <v>686200</v>
      </c>
      <c r="B638" t="s">
        <v>302</v>
      </c>
      <c r="C638">
        <v>40</v>
      </c>
      <c r="E638" t="s">
        <v>303</v>
      </c>
      <c r="F638" t="s">
        <v>3299</v>
      </c>
      <c r="G638" t="s">
        <v>1071</v>
      </c>
      <c r="H638" t="s">
        <v>1074</v>
      </c>
      <c r="I638" t="s">
        <v>1073</v>
      </c>
      <c r="J638">
        <v>14</v>
      </c>
      <c r="K638">
        <v>1</v>
      </c>
      <c r="L638">
        <v>15</v>
      </c>
      <c r="M638">
        <v>6.75</v>
      </c>
      <c r="N638">
        <v>1.8</v>
      </c>
      <c r="O638">
        <v>1.54</v>
      </c>
      <c r="Q638" t="s">
        <v>3744</v>
      </c>
      <c r="R638">
        <v>5907698016359</v>
      </c>
      <c r="S638">
        <v>20</v>
      </c>
      <c r="T638" t="s">
        <v>1075</v>
      </c>
      <c r="V638">
        <v>9017801000</v>
      </c>
    </row>
    <row r="639" spans="1:22" x14ac:dyDescent="0.25">
      <c r="A639">
        <v>686202</v>
      </c>
      <c r="B639" t="s">
        <v>3027</v>
      </c>
      <c r="C639">
        <v>48</v>
      </c>
      <c r="D639">
        <v>12</v>
      </c>
      <c r="E639" t="s">
        <v>303</v>
      </c>
      <c r="F639" t="s">
        <v>3299</v>
      </c>
      <c r="G639" t="s">
        <v>1071</v>
      </c>
      <c r="H639" t="s">
        <v>2068</v>
      </c>
      <c r="I639" t="s">
        <v>1073</v>
      </c>
      <c r="J639">
        <v>58</v>
      </c>
      <c r="K639">
        <v>0</v>
      </c>
      <c r="L639">
        <v>58</v>
      </c>
      <c r="M639">
        <v>14.27</v>
      </c>
      <c r="N639">
        <v>3.45</v>
      </c>
      <c r="O639">
        <v>3.16</v>
      </c>
      <c r="Q639" t="s">
        <v>2548</v>
      </c>
      <c r="R639">
        <v>5907698028338</v>
      </c>
      <c r="S639">
        <v>10</v>
      </c>
      <c r="T639" t="s">
        <v>1075</v>
      </c>
      <c r="V639">
        <v>9017801000</v>
      </c>
    </row>
    <row r="640" spans="1:22" x14ac:dyDescent="0.25">
      <c r="A640">
        <v>686300</v>
      </c>
      <c r="B640" t="s">
        <v>302</v>
      </c>
      <c r="C640">
        <v>20</v>
      </c>
      <c r="E640" t="s">
        <v>303</v>
      </c>
      <c r="F640" t="s">
        <v>3299</v>
      </c>
      <c r="G640" t="s">
        <v>3300</v>
      </c>
      <c r="H640" t="s">
        <v>3301</v>
      </c>
      <c r="I640" t="s">
        <v>3302</v>
      </c>
      <c r="J640">
        <v>0</v>
      </c>
      <c r="K640">
        <v>0</v>
      </c>
      <c r="L640">
        <v>0</v>
      </c>
      <c r="M640">
        <v>14.59</v>
      </c>
      <c r="N640">
        <v>3.98</v>
      </c>
      <c r="O640">
        <v>3.33</v>
      </c>
      <c r="R640">
        <v>5907698016366</v>
      </c>
      <c r="S640">
        <v>160</v>
      </c>
      <c r="T640" t="s">
        <v>1075</v>
      </c>
      <c r="V640">
        <v>9017801000</v>
      </c>
    </row>
    <row r="641" spans="1:22" x14ac:dyDescent="0.25">
      <c r="A641">
        <v>687250</v>
      </c>
      <c r="B641" t="s">
        <v>302</v>
      </c>
      <c r="C641">
        <v>50</v>
      </c>
      <c r="E641" t="s">
        <v>303</v>
      </c>
      <c r="F641" t="s">
        <v>1076</v>
      </c>
      <c r="G641" t="s">
        <v>1077</v>
      </c>
      <c r="H641" t="s">
        <v>1078</v>
      </c>
      <c r="I641" t="s">
        <v>1079</v>
      </c>
      <c r="J641">
        <v>426</v>
      </c>
      <c r="K641">
        <v>25</v>
      </c>
      <c r="L641">
        <v>451</v>
      </c>
      <c r="M641">
        <v>13.97</v>
      </c>
      <c r="N641">
        <v>3.57</v>
      </c>
      <c r="O641">
        <v>3.08</v>
      </c>
      <c r="Q641" t="s">
        <v>2</v>
      </c>
      <c r="R641">
        <v>5907698016403</v>
      </c>
      <c r="S641">
        <v>60</v>
      </c>
      <c r="T641" t="s">
        <v>423</v>
      </c>
      <c r="V641">
        <v>9017300000</v>
      </c>
    </row>
    <row r="642" spans="1:22" x14ac:dyDescent="0.25">
      <c r="A642">
        <v>687252</v>
      </c>
      <c r="B642" t="s">
        <v>302</v>
      </c>
      <c r="C642">
        <v>50</v>
      </c>
      <c r="E642" t="s">
        <v>303</v>
      </c>
      <c r="F642" t="s">
        <v>1076</v>
      </c>
      <c r="G642" t="s">
        <v>1077</v>
      </c>
      <c r="H642" t="s">
        <v>1080</v>
      </c>
      <c r="I642" t="s">
        <v>1081</v>
      </c>
      <c r="J642">
        <v>109</v>
      </c>
      <c r="K642">
        <v>0</v>
      </c>
      <c r="L642">
        <v>109</v>
      </c>
      <c r="M642">
        <v>25.9</v>
      </c>
      <c r="N642">
        <v>6.62</v>
      </c>
      <c r="O642">
        <v>5.7</v>
      </c>
      <c r="Q642" t="s">
        <v>2</v>
      </c>
      <c r="R642">
        <v>5907698024859</v>
      </c>
      <c r="S642">
        <v>20</v>
      </c>
      <c r="T642" t="s">
        <v>423</v>
      </c>
      <c r="U642" t="s">
        <v>3303</v>
      </c>
      <c r="V642">
        <v>9017300000</v>
      </c>
    </row>
    <row r="643" spans="1:22" x14ac:dyDescent="0.25">
      <c r="A643">
        <v>688028</v>
      </c>
      <c r="B643" t="s">
        <v>2993</v>
      </c>
      <c r="C643">
        <v>50</v>
      </c>
      <c r="E643" t="s">
        <v>303</v>
      </c>
      <c r="F643" t="s">
        <v>3304</v>
      </c>
      <c r="G643" t="s">
        <v>3305</v>
      </c>
      <c r="H643" t="s">
        <v>2963</v>
      </c>
      <c r="I643" t="s">
        <v>3306</v>
      </c>
      <c r="J643">
        <v>199</v>
      </c>
      <c r="K643">
        <v>0</v>
      </c>
      <c r="L643">
        <v>199</v>
      </c>
      <c r="M643">
        <v>9.34</v>
      </c>
      <c r="N643">
        <v>2.37</v>
      </c>
      <c r="O643">
        <v>2.02</v>
      </c>
      <c r="Q643" t="s">
        <v>3745</v>
      </c>
      <c r="R643">
        <v>5907698030942</v>
      </c>
      <c r="S643">
        <v>100</v>
      </c>
      <c r="T643" t="s">
        <v>3307</v>
      </c>
      <c r="V643">
        <v>9017809000</v>
      </c>
    </row>
    <row r="644" spans="1:22" x14ac:dyDescent="0.25">
      <c r="A644">
        <v>690400</v>
      </c>
      <c r="B644" t="s">
        <v>302</v>
      </c>
      <c r="C644">
        <v>60</v>
      </c>
      <c r="E644" t="s">
        <v>303</v>
      </c>
      <c r="F644" t="s">
        <v>2069</v>
      </c>
      <c r="G644" t="s">
        <v>2070</v>
      </c>
      <c r="H644" t="s">
        <v>961</v>
      </c>
      <c r="I644" t="s">
        <v>2071</v>
      </c>
      <c r="J644">
        <v>0</v>
      </c>
      <c r="K644">
        <v>0</v>
      </c>
      <c r="L644">
        <v>0</v>
      </c>
      <c r="M644">
        <v>4.24</v>
      </c>
      <c r="N644">
        <v>1</v>
      </c>
      <c r="O644">
        <v>0.93</v>
      </c>
      <c r="Q644" t="s">
        <v>3744</v>
      </c>
      <c r="R644">
        <v>5907698016427</v>
      </c>
      <c r="S644">
        <v>150</v>
      </c>
      <c r="T644" t="s">
        <v>535</v>
      </c>
      <c r="V644">
        <v>9031808000</v>
      </c>
    </row>
    <row r="645" spans="1:22" x14ac:dyDescent="0.25">
      <c r="A645">
        <v>690600</v>
      </c>
      <c r="B645" t="s">
        <v>302</v>
      </c>
      <c r="C645">
        <v>60</v>
      </c>
      <c r="E645" t="s">
        <v>303</v>
      </c>
      <c r="F645" t="s">
        <v>2069</v>
      </c>
      <c r="G645" t="s">
        <v>2070</v>
      </c>
      <c r="H645" t="s">
        <v>2072</v>
      </c>
      <c r="I645" t="s">
        <v>2073</v>
      </c>
      <c r="J645">
        <v>0</v>
      </c>
      <c r="K645">
        <v>0</v>
      </c>
      <c r="L645">
        <v>0</v>
      </c>
      <c r="M645">
        <v>4.8099999999999996</v>
      </c>
      <c r="N645">
        <v>1.1299999999999999</v>
      </c>
      <c r="O645">
        <v>1.04</v>
      </c>
      <c r="Q645" t="s">
        <v>3744</v>
      </c>
      <c r="R645">
        <v>5907698016458</v>
      </c>
      <c r="S645">
        <v>250</v>
      </c>
      <c r="T645" t="s">
        <v>535</v>
      </c>
      <c r="V645">
        <v>9031808000</v>
      </c>
    </row>
    <row r="646" spans="1:22" x14ac:dyDescent="0.25">
      <c r="A646">
        <v>690800</v>
      </c>
      <c r="B646" t="s">
        <v>302</v>
      </c>
      <c r="C646">
        <v>60</v>
      </c>
      <c r="D646">
        <v>30</v>
      </c>
      <c r="E646" t="s">
        <v>303</v>
      </c>
      <c r="F646" t="s">
        <v>2069</v>
      </c>
      <c r="G646" t="s">
        <v>2074</v>
      </c>
      <c r="H646" t="s">
        <v>2075</v>
      </c>
      <c r="I646" t="s">
        <v>2071</v>
      </c>
      <c r="J646">
        <v>0</v>
      </c>
      <c r="K646">
        <v>0</v>
      </c>
      <c r="L646">
        <v>0</v>
      </c>
      <c r="M646">
        <v>6.14</v>
      </c>
      <c r="N646">
        <v>1.45</v>
      </c>
      <c r="O646">
        <v>1.35</v>
      </c>
      <c r="Q646" t="s">
        <v>3744</v>
      </c>
      <c r="R646">
        <v>5907698016496</v>
      </c>
      <c r="S646">
        <v>200</v>
      </c>
      <c r="T646" t="s">
        <v>535</v>
      </c>
      <c r="V646">
        <v>9031808000</v>
      </c>
    </row>
    <row r="647" spans="1:22" x14ac:dyDescent="0.25">
      <c r="A647">
        <v>700024</v>
      </c>
      <c r="B647" t="s">
        <v>302</v>
      </c>
      <c r="C647">
        <v>120</v>
      </c>
      <c r="D647">
        <v>20</v>
      </c>
      <c r="E647" t="s">
        <v>303</v>
      </c>
      <c r="F647" t="s">
        <v>3308</v>
      </c>
      <c r="G647" t="s">
        <v>1084</v>
      </c>
      <c r="H647" t="s">
        <v>1085</v>
      </c>
      <c r="I647" t="s">
        <v>1086</v>
      </c>
      <c r="J647">
        <v>3264</v>
      </c>
      <c r="K647">
        <v>0</v>
      </c>
      <c r="L647">
        <v>3264</v>
      </c>
      <c r="M647">
        <v>1.73</v>
      </c>
      <c r="N647">
        <v>0.44</v>
      </c>
      <c r="O647">
        <v>0.37</v>
      </c>
      <c r="Q647" t="s">
        <v>336</v>
      </c>
      <c r="R647">
        <v>5907698025054</v>
      </c>
      <c r="S647">
        <v>3800</v>
      </c>
      <c r="T647" t="s">
        <v>646</v>
      </c>
      <c r="V647">
        <v>8207903000</v>
      </c>
    </row>
    <row r="648" spans="1:22" x14ac:dyDescent="0.25">
      <c r="A648">
        <v>700025</v>
      </c>
      <c r="B648" t="s">
        <v>2993</v>
      </c>
      <c r="C648">
        <v>100</v>
      </c>
      <c r="D648">
        <v>0</v>
      </c>
      <c r="E648" t="s">
        <v>303</v>
      </c>
      <c r="F648" t="s">
        <v>3308</v>
      </c>
      <c r="G648" t="s">
        <v>1084</v>
      </c>
      <c r="H648" t="s">
        <v>2964</v>
      </c>
      <c r="I648" t="s">
        <v>1086</v>
      </c>
      <c r="J648">
        <v>549</v>
      </c>
      <c r="K648">
        <v>50</v>
      </c>
      <c r="L648">
        <v>599</v>
      </c>
      <c r="M648">
        <v>6.39</v>
      </c>
      <c r="N648">
        <v>1.62</v>
      </c>
      <c r="O648">
        <v>1.39</v>
      </c>
      <c r="Q648" t="s">
        <v>3745</v>
      </c>
      <c r="R648">
        <v>5907698030959</v>
      </c>
      <c r="S648">
        <v>200</v>
      </c>
      <c r="T648" t="s">
        <v>482</v>
      </c>
      <c r="U648" t="s">
        <v>3746</v>
      </c>
      <c r="V648">
        <v>8207903000</v>
      </c>
    </row>
    <row r="649" spans="1:22" x14ac:dyDescent="0.25">
      <c r="A649">
        <v>700041</v>
      </c>
      <c r="B649" t="s">
        <v>302</v>
      </c>
      <c r="C649">
        <v>120</v>
      </c>
      <c r="D649">
        <v>20</v>
      </c>
      <c r="E649" t="s">
        <v>303</v>
      </c>
      <c r="F649" t="s">
        <v>3309</v>
      </c>
      <c r="G649" t="s">
        <v>1082</v>
      </c>
      <c r="H649" t="s">
        <v>1677</v>
      </c>
      <c r="I649" t="s">
        <v>1083</v>
      </c>
      <c r="J649">
        <v>925</v>
      </c>
      <c r="K649">
        <v>0</v>
      </c>
      <c r="L649">
        <v>925</v>
      </c>
      <c r="M649">
        <v>2.2000000000000002</v>
      </c>
      <c r="N649">
        <v>0.56999999999999995</v>
      </c>
      <c r="O649">
        <v>0.5</v>
      </c>
      <c r="Q649" t="s">
        <v>336</v>
      </c>
      <c r="R649">
        <v>5907698023661</v>
      </c>
      <c r="S649">
        <v>800</v>
      </c>
      <c r="T649" t="s">
        <v>646</v>
      </c>
      <c r="V649">
        <v>8207903000</v>
      </c>
    </row>
    <row r="650" spans="1:22" x14ac:dyDescent="0.25">
      <c r="A650">
        <v>700042</v>
      </c>
      <c r="B650" t="s">
        <v>302</v>
      </c>
      <c r="C650">
        <v>120</v>
      </c>
      <c r="D650">
        <v>20</v>
      </c>
      <c r="E650" t="s">
        <v>303</v>
      </c>
      <c r="F650" t="s">
        <v>3309</v>
      </c>
      <c r="G650" t="s">
        <v>1082</v>
      </c>
      <c r="H650" t="s">
        <v>1087</v>
      </c>
      <c r="I650" t="s">
        <v>1083</v>
      </c>
      <c r="J650">
        <v>1395</v>
      </c>
      <c r="K650">
        <v>120</v>
      </c>
      <c r="L650">
        <v>1515</v>
      </c>
      <c r="M650">
        <v>2.52</v>
      </c>
      <c r="N650">
        <v>0.63</v>
      </c>
      <c r="O650">
        <v>0.56999999999999995</v>
      </c>
      <c r="Q650" t="s">
        <v>336</v>
      </c>
      <c r="R650">
        <v>5907698023678</v>
      </c>
      <c r="S650">
        <v>600</v>
      </c>
      <c r="T650" t="s">
        <v>646</v>
      </c>
      <c r="V650">
        <v>8207903000</v>
      </c>
    </row>
    <row r="651" spans="1:22" x14ac:dyDescent="0.25">
      <c r="A651">
        <v>700080</v>
      </c>
      <c r="B651" t="s">
        <v>3008</v>
      </c>
      <c r="C651">
        <v>100</v>
      </c>
      <c r="D651">
        <v>20</v>
      </c>
      <c r="E651" t="s">
        <v>303</v>
      </c>
      <c r="F651" t="s">
        <v>3309</v>
      </c>
      <c r="G651" t="s">
        <v>1082</v>
      </c>
      <c r="H651" t="s">
        <v>1088</v>
      </c>
      <c r="I651" t="s">
        <v>1089</v>
      </c>
      <c r="J651">
        <v>870</v>
      </c>
      <c r="K651">
        <v>0</v>
      </c>
      <c r="L651">
        <v>870</v>
      </c>
      <c r="M651">
        <v>2.4900000000000002</v>
      </c>
      <c r="N651">
        <v>0.67</v>
      </c>
      <c r="O651">
        <v>0.56000000000000005</v>
      </c>
      <c r="Q651" t="s">
        <v>336</v>
      </c>
      <c r="R651">
        <v>5907698016717</v>
      </c>
      <c r="S651">
        <v>750</v>
      </c>
      <c r="T651" t="s">
        <v>565</v>
      </c>
      <c r="V651">
        <v>8207903000</v>
      </c>
    </row>
    <row r="652" spans="1:22" x14ac:dyDescent="0.25">
      <c r="A652">
        <v>700090</v>
      </c>
      <c r="B652" t="s">
        <v>302</v>
      </c>
      <c r="C652">
        <v>72</v>
      </c>
      <c r="D652">
        <v>12</v>
      </c>
      <c r="E652" t="s">
        <v>303</v>
      </c>
      <c r="F652" t="s">
        <v>3309</v>
      </c>
      <c r="G652" t="s">
        <v>1090</v>
      </c>
      <c r="H652" t="s">
        <v>1091</v>
      </c>
      <c r="I652" t="s">
        <v>1089</v>
      </c>
      <c r="J652">
        <v>410</v>
      </c>
      <c r="K652">
        <v>0</v>
      </c>
      <c r="L652">
        <v>410</v>
      </c>
      <c r="M652">
        <v>3.02</v>
      </c>
      <c r="N652">
        <v>0.81</v>
      </c>
      <c r="O652">
        <v>0.69</v>
      </c>
      <c r="Q652" t="s">
        <v>3744</v>
      </c>
      <c r="R652">
        <v>5907698016724</v>
      </c>
      <c r="S652">
        <v>340</v>
      </c>
      <c r="T652" t="s">
        <v>565</v>
      </c>
      <c r="V652">
        <v>8207903000</v>
      </c>
    </row>
    <row r="653" spans="1:22" x14ac:dyDescent="0.25">
      <c r="A653">
        <v>700100</v>
      </c>
      <c r="B653" t="s">
        <v>3027</v>
      </c>
      <c r="C653">
        <v>120</v>
      </c>
      <c r="D653">
        <v>12</v>
      </c>
      <c r="E653" t="s">
        <v>303</v>
      </c>
      <c r="F653" t="s">
        <v>3310</v>
      </c>
      <c r="G653" t="s">
        <v>2076</v>
      </c>
      <c r="H653" t="s">
        <v>2077</v>
      </c>
      <c r="I653" t="s">
        <v>2078</v>
      </c>
      <c r="J653">
        <v>107</v>
      </c>
      <c r="K653">
        <v>0</v>
      </c>
      <c r="L653">
        <v>107</v>
      </c>
      <c r="M653">
        <v>4.34</v>
      </c>
      <c r="N653">
        <v>1.05</v>
      </c>
      <c r="O653">
        <v>0.97</v>
      </c>
      <c r="Q653" t="s">
        <v>336</v>
      </c>
      <c r="R653">
        <v>5907698016731</v>
      </c>
      <c r="S653">
        <v>220</v>
      </c>
      <c r="T653" t="s">
        <v>482</v>
      </c>
      <c r="V653">
        <v>8207903000</v>
      </c>
    </row>
    <row r="654" spans="1:22" x14ac:dyDescent="0.25">
      <c r="A654">
        <v>700160</v>
      </c>
      <c r="B654" t="s">
        <v>302</v>
      </c>
      <c r="C654">
        <v>60</v>
      </c>
      <c r="D654">
        <v>10</v>
      </c>
      <c r="E654" t="s">
        <v>303</v>
      </c>
      <c r="F654" t="s">
        <v>3309</v>
      </c>
      <c r="G654" t="s">
        <v>1082</v>
      </c>
      <c r="H654" t="s">
        <v>1092</v>
      </c>
      <c r="I654" t="s">
        <v>1089</v>
      </c>
      <c r="J654">
        <v>0</v>
      </c>
      <c r="K654">
        <v>0</v>
      </c>
      <c r="L654">
        <v>0</v>
      </c>
      <c r="M654">
        <v>6.5</v>
      </c>
      <c r="N654">
        <v>1.64</v>
      </c>
      <c r="O654">
        <v>1.46</v>
      </c>
      <c r="Q654" t="s">
        <v>336</v>
      </c>
      <c r="R654">
        <v>5907698016755</v>
      </c>
      <c r="S654">
        <v>510</v>
      </c>
      <c r="T654" t="s">
        <v>1093</v>
      </c>
      <c r="V654">
        <v>8207903000</v>
      </c>
    </row>
    <row r="655" spans="1:22" x14ac:dyDescent="0.25">
      <c r="A655">
        <v>700280</v>
      </c>
      <c r="B655" t="s">
        <v>302</v>
      </c>
      <c r="C655">
        <v>100</v>
      </c>
      <c r="D655">
        <v>25</v>
      </c>
      <c r="E655" t="s">
        <v>303</v>
      </c>
      <c r="F655" t="s">
        <v>3311</v>
      </c>
      <c r="G655" t="s">
        <v>1094</v>
      </c>
      <c r="H655" t="s">
        <v>1095</v>
      </c>
      <c r="I655" t="s">
        <v>1096</v>
      </c>
      <c r="J655">
        <v>0</v>
      </c>
      <c r="K655">
        <v>0</v>
      </c>
      <c r="L655">
        <v>0</v>
      </c>
      <c r="M655">
        <v>4.26</v>
      </c>
      <c r="N655">
        <v>1</v>
      </c>
      <c r="O655">
        <v>0.94</v>
      </c>
      <c r="Q655" t="s">
        <v>3744</v>
      </c>
      <c r="R655">
        <v>5907698016786</v>
      </c>
      <c r="S655">
        <v>500</v>
      </c>
      <c r="T655" t="s">
        <v>383</v>
      </c>
      <c r="V655">
        <v>8207903000</v>
      </c>
    </row>
    <row r="656" spans="1:22" x14ac:dyDescent="0.25">
      <c r="A656">
        <v>700282</v>
      </c>
      <c r="B656" t="s">
        <v>302</v>
      </c>
      <c r="C656">
        <v>250</v>
      </c>
      <c r="D656">
        <v>50</v>
      </c>
      <c r="E656" t="s">
        <v>303</v>
      </c>
      <c r="F656" t="s">
        <v>3312</v>
      </c>
      <c r="G656" t="s">
        <v>2079</v>
      </c>
      <c r="H656" t="s">
        <v>2080</v>
      </c>
      <c r="I656" t="s">
        <v>1096</v>
      </c>
      <c r="J656">
        <v>0</v>
      </c>
      <c r="K656">
        <v>0</v>
      </c>
      <c r="L656">
        <v>0</v>
      </c>
      <c r="M656">
        <v>1.76</v>
      </c>
      <c r="N656">
        <v>0.42</v>
      </c>
      <c r="O656">
        <v>0.38</v>
      </c>
      <c r="Q656" t="s">
        <v>2</v>
      </c>
      <c r="R656">
        <v>5907698023685</v>
      </c>
      <c r="S656">
        <v>2000</v>
      </c>
      <c r="T656" t="s">
        <v>383</v>
      </c>
      <c r="V656">
        <v>8207903000</v>
      </c>
    </row>
    <row r="657" spans="1:22" x14ac:dyDescent="0.25">
      <c r="A657">
        <v>700285</v>
      </c>
      <c r="B657" t="s">
        <v>2993</v>
      </c>
      <c r="C657">
        <v>100</v>
      </c>
      <c r="D657">
        <v>10</v>
      </c>
      <c r="E657" t="s">
        <v>303</v>
      </c>
      <c r="F657" t="s">
        <v>3312</v>
      </c>
      <c r="G657" t="s">
        <v>2079</v>
      </c>
      <c r="H657" t="s">
        <v>2536</v>
      </c>
      <c r="I657" t="s">
        <v>1096</v>
      </c>
      <c r="J657">
        <v>0</v>
      </c>
      <c r="K657">
        <v>30</v>
      </c>
      <c r="L657">
        <v>0</v>
      </c>
      <c r="M657">
        <v>7.23</v>
      </c>
      <c r="N657">
        <v>1.83</v>
      </c>
      <c r="O657">
        <v>1.62</v>
      </c>
      <c r="Q657" t="s">
        <v>2</v>
      </c>
      <c r="R657">
        <v>5907698029854</v>
      </c>
      <c r="S657">
        <v>500</v>
      </c>
      <c r="T657" t="s">
        <v>840</v>
      </c>
      <c r="V657">
        <v>8207903000</v>
      </c>
    </row>
    <row r="658" spans="1:22" x14ac:dyDescent="0.25">
      <c r="A658">
        <v>700286</v>
      </c>
      <c r="B658" t="s">
        <v>302</v>
      </c>
      <c r="C658">
        <v>200</v>
      </c>
      <c r="D658">
        <v>20</v>
      </c>
      <c r="E658" t="s">
        <v>303</v>
      </c>
      <c r="F658" t="s">
        <v>3313</v>
      </c>
      <c r="G658" t="s">
        <v>2081</v>
      </c>
      <c r="H658" t="s">
        <v>2082</v>
      </c>
      <c r="I658" t="s">
        <v>2083</v>
      </c>
      <c r="J658">
        <v>0</v>
      </c>
      <c r="K658">
        <v>0</v>
      </c>
      <c r="L658">
        <v>0</v>
      </c>
      <c r="M658">
        <v>4.01</v>
      </c>
      <c r="N658">
        <v>1.08</v>
      </c>
      <c r="O658">
        <v>0.91</v>
      </c>
      <c r="Q658" t="s">
        <v>3744</v>
      </c>
      <c r="R658">
        <v>5907698029038</v>
      </c>
      <c r="S658">
        <v>200</v>
      </c>
      <c r="T658" t="s">
        <v>383</v>
      </c>
      <c r="V658">
        <v>8207903000</v>
      </c>
    </row>
    <row r="659" spans="1:22" x14ac:dyDescent="0.25">
      <c r="A659">
        <v>700293</v>
      </c>
      <c r="B659" t="s">
        <v>302</v>
      </c>
      <c r="C659">
        <v>144</v>
      </c>
      <c r="D659">
        <v>0</v>
      </c>
      <c r="E659" t="s">
        <v>303</v>
      </c>
      <c r="F659" t="s">
        <v>3314</v>
      </c>
      <c r="G659" t="s">
        <v>2084</v>
      </c>
      <c r="H659" t="s">
        <v>2085</v>
      </c>
      <c r="I659" t="s">
        <v>2086</v>
      </c>
      <c r="J659">
        <v>477</v>
      </c>
      <c r="K659">
        <v>0</v>
      </c>
      <c r="L659">
        <v>477</v>
      </c>
      <c r="M659">
        <v>5.45</v>
      </c>
      <c r="N659">
        <v>1.38</v>
      </c>
      <c r="O659">
        <v>1.23</v>
      </c>
      <c r="Q659" t="s">
        <v>2548</v>
      </c>
      <c r="R659">
        <v>5907698029069</v>
      </c>
      <c r="S659">
        <v>200</v>
      </c>
      <c r="T659" t="s">
        <v>1097</v>
      </c>
      <c r="V659">
        <v>8207903000</v>
      </c>
    </row>
    <row r="660" spans="1:22" x14ac:dyDescent="0.25">
      <c r="A660">
        <v>700294</v>
      </c>
      <c r="B660" t="s">
        <v>2993</v>
      </c>
      <c r="C660">
        <v>60</v>
      </c>
      <c r="D660">
        <v>0</v>
      </c>
      <c r="E660" t="s">
        <v>303</v>
      </c>
      <c r="F660" t="s">
        <v>3314</v>
      </c>
      <c r="G660" t="s">
        <v>2084</v>
      </c>
      <c r="H660" t="s">
        <v>2965</v>
      </c>
      <c r="I660" t="s">
        <v>2086</v>
      </c>
      <c r="J660">
        <v>493</v>
      </c>
      <c r="K660">
        <v>96</v>
      </c>
      <c r="L660">
        <v>589</v>
      </c>
      <c r="M660">
        <v>2.87</v>
      </c>
      <c r="N660">
        <v>0.73</v>
      </c>
      <c r="O660">
        <v>0.62</v>
      </c>
      <c r="Q660" t="s">
        <v>3745</v>
      </c>
      <c r="R660">
        <v>5907698030966</v>
      </c>
      <c r="S660">
        <v>100</v>
      </c>
      <c r="T660" t="s">
        <v>1097</v>
      </c>
      <c r="U660" t="s">
        <v>3746</v>
      </c>
      <c r="V660">
        <v>8207903000</v>
      </c>
    </row>
    <row r="661" spans="1:22" x14ac:dyDescent="0.25">
      <c r="A661">
        <v>700296</v>
      </c>
      <c r="B661" t="s">
        <v>302</v>
      </c>
      <c r="C661">
        <v>72</v>
      </c>
      <c r="D661">
        <v>12</v>
      </c>
      <c r="E661" t="s">
        <v>303</v>
      </c>
      <c r="F661" t="s">
        <v>3309</v>
      </c>
      <c r="G661" t="s">
        <v>1082</v>
      </c>
      <c r="H661" t="s">
        <v>1098</v>
      </c>
      <c r="I661" t="s">
        <v>1083</v>
      </c>
      <c r="J661">
        <v>18</v>
      </c>
      <c r="K661">
        <v>12</v>
      </c>
      <c r="L661">
        <v>30</v>
      </c>
      <c r="M661">
        <v>10.199999999999999</v>
      </c>
      <c r="N661">
        <v>2.58</v>
      </c>
      <c r="O661">
        <v>2.31</v>
      </c>
      <c r="Q661" t="s">
        <v>336</v>
      </c>
      <c r="R661">
        <v>5907698029021</v>
      </c>
      <c r="S661">
        <v>700</v>
      </c>
      <c r="T661" t="s">
        <v>1097</v>
      </c>
      <c r="V661">
        <v>8207903000</v>
      </c>
    </row>
    <row r="662" spans="1:22" x14ac:dyDescent="0.25">
      <c r="A662">
        <v>700297</v>
      </c>
      <c r="B662" t="s">
        <v>2993</v>
      </c>
      <c r="C662">
        <v>200</v>
      </c>
      <c r="D662">
        <v>20</v>
      </c>
      <c r="E662" t="s">
        <v>303</v>
      </c>
      <c r="F662" t="s">
        <v>3313</v>
      </c>
      <c r="G662" t="s">
        <v>3315</v>
      </c>
      <c r="H662" t="s">
        <v>3316</v>
      </c>
      <c r="I662" t="s">
        <v>3317</v>
      </c>
      <c r="J662">
        <v>916</v>
      </c>
      <c r="K662">
        <v>0</v>
      </c>
      <c r="L662">
        <v>916</v>
      </c>
      <c r="M662">
        <v>2.85</v>
      </c>
      <c r="N662">
        <v>0.77</v>
      </c>
      <c r="O662">
        <v>0.66</v>
      </c>
      <c r="Q662" t="s">
        <v>2548</v>
      </c>
      <c r="R662">
        <v>5907698030317</v>
      </c>
      <c r="S662">
        <v>500</v>
      </c>
      <c r="T662" t="s">
        <v>1549</v>
      </c>
      <c r="V662">
        <v>8207903000</v>
      </c>
    </row>
    <row r="663" spans="1:22" x14ac:dyDescent="0.25">
      <c r="A663">
        <v>700298</v>
      </c>
      <c r="B663" t="s">
        <v>2993</v>
      </c>
      <c r="C663">
        <v>200</v>
      </c>
      <c r="D663">
        <v>20</v>
      </c>
      <c r="E663" t="s">
        <v>303</v>
      </c>
      <c r="F663" t="s">
        <v>3318</v>
      </c>
      <c r="G663" t="s">
        <v>3319</v>
      </c>
      <c r="H663" t="s">
        <v>3320</v>
      </c>
      <c r="I663" t="s">
        <v>3321</v>
      </c>
      <c r="J663">
        <v>951</v>
      </c>
      <c r="K663">
        <v>0</v>
      </c>
      <c r="L663">
        <v>951</v>
      </c>
      <c r="M663">
        <v>2.67</v>
      </c>
      <c r="N663">
        <v>0.73</v>
      </c>
      <c r="O663">
        <v>0.61</v>
      </c>
      <c r="Q663" t="s">
        <v>2548</v>
      </c>
      <c r="R663">
        <v>5907698030324</v>
      </c>
      <c r="S663">
        <v>500</v>
      </c>
      <c r="T663" t="s">
        <v>1549</v>
      </c>
      <c r="V663">
        <v>8205598000</v>
      </c>
    </row>
    <row r="664" spans="1:22" x14ac:dyDescent="0.25">
      <c r="A664">
        <v>700332</v>
      </c>
      <c r="B664" t="s">
        <v>302</v>
      </c>
      <c r="C664">
        <v>48</v>
      </c>
      <c r="D664">
        <v>6</v>
      </c>
      <c r="E664" t="s">
        <v>303</v>
      </c>
      <c r="F664" t="s">
        <v>3309</v>
      </c>
      <c r="G664" t="s">
        <v>1082</v>
      </c>
      <c r="H664" t="s">
        <v>1099</v>
      </c>
      <c r="I664" t="s">
        <v>1083</v>
      </c>
      <c r="J664">
        <v>91</v>
      </c>
      <c r="K664">
        <v>23</v>
      </c>
      <c r="L664">
        <v>114</v>
      </c>
      <c r="M664">
        <v>16.489999999999998</v>
      </c>
      <c r="N664">
        <v>4.4400000000000004</v>
      </c>
      <c r="O664">
        <v>3.76</v>
      </c>
      <c r="Q664" t="s">
        <v>2</v>
      </c>
      <c r="R664">
        <v>5907698021032</v>
      </c>
      <c r="S664">
        <v>480</v>
      </c>
      <c r="T664" t="s">
        <v>1100</v>
      </c>
      <c r="V664">
        <v>8207903000</v>
      </c>
    </row>
    <row r="665" spans="1:22" x14ac:dyDescent="0.25">
      <c r="A665">
        <v>700333</v>
      </c>
      <c r="B665" t="s">
        <v>302</v>
      </c>
      <c r="C665">
        <v>100</v>
      </c>
      <c r="D665">
        <v>10</v>
      </c>
      <c r="E665" t="s">
        <v>303</v>
      </c>
      <c r="F665" t="s">
        <v>3309</v>
      </c>
      <c r="G665" t="s">
        <v>1082</v>
      </c>
      <c r="H665" t="s">
        <v>1101</v>
      </c>
      <c r="I665" t="s">
        <v>1083</v>
      </c>
      <c r="J665">
        <v>0</v>
      </c>
      <c r="K665">
        <v>1</v>
      </c>
      <c r="L665">
        <v>1</v>
      </c>
      <c r="M665">
        <v>6.89</v>
      </c>
      <c r="N665">
        <v>1.77</v>
      </c>
      <c r="O665">
        <v>1.52</v>
      </c>
      <c r="Q665" t="s">
        <v>2</v>
      </c>
      <c r="R665">
        <v>5907698026655</v>
      </c>
      <c r="S665">
        <v>270</v>
      </c>
      <c r="T665" t="s">
        <v>383</v>
      </c>
      <c r="V665">
        <v>8207903000</v>
      </c>
    </row>
    <row r="666" spans="1:22" x14ac:dyDescent="0.25">
      <c r="A666">
        <v>700336</v>
      </c>
      <c r="B666" t="s">
        <v>302</v>
      </c>
      <c r="C666">
        <v>72</v>
      </c>
      <c r="D666">
        <v>12</v>
      </c>
      <c r="E666" t="s">
        <v>303</v>
      </c>
      <c r="F666" t="s">
        <v>3309</v>
      </c>
      <c r="G666" t="s">
        <v>1082</v>
      </c>
      <c r="H666" t="s">
        <v>1102</v>
      </c>
      <c r="I666" t="s">
        <v>1083</v>
      </c>
      <c r="J666">
        <v>247</v>
      </c>
      <c r="K666">
        <v>1</v>
      </c>
      <c r="L666">
        <v>248</v>
      </c>
      <c r="M666">
        <v>14.17</v>
      </c>
      <c r="N666">
        <v>3.7</v>
      </c>
      <c r="O666">
        <v>3.15</v>
      </c>
      <c r="Q666" t="s">
        <v>2</v>
      </c>
      <c r="R666">
        <v>5907698025436</v>
      </c>
      <c r="S666">
        <v>300</v>
      </c>
      <c r="T666" t="s">
        <v>1103</v>
      </c>
      <c r="V666">
        <v>8207903000</v>
      </c>
    </row>
    <row r="667" spans="1:22" x14ac:dyDescent="0.25">
      <c r="A667">
        <v>700337</v>
      </c>
      <c r="B667" t="s">
        <v>302</v>
      </c>
      <c r="C667">
        <v>24</v>
      </c>
      <c r="D667">
        <v>6</v>
      </c>
      <c r="E667" t="s">
        <v>303</v>
      </c>
      <c r="F667" t="s">
        <v>3309</v>
      </c>
      <c r="G667" t="s">
        <v>1082</v>
      </c>
      <c r="H667" t="s">
        <v>2087</v>
      </c>
      <c r="I667" t="s">
        <v>1083</v>
      </c>
      <c r="J667">
        <v>221</v>
      </c>
      <c r="K667">
        <v>1</v>
      </c>
      <c r="L667">
        <v>222</v>
      </c>
      <c r="M667">
        <v>17.8</v>
      </c>
      <c r="N667">
        <v>4.21</v>
      </c>
      <c r="O667">
        <v>3.9</v>
      </c>
      <c r="Q667" t="s">
        <v>336</v>
      </c>
      <c r="R667">
        <v>5907698028666</v>
      </c>
      <c r="S667">
        <v>120</v>
      </c>
      <c r="T667" t="s">
        <v>1097</v>
      </c>
      <c r="V667">
        <v>8207903000</v>
      </c>
    </row>
    <row r="668" spans="1:22" x14ac:dyDescent="0.25">
      <c r="A668">
        <v>700339</v>
      </c>
      <c r="B668" t="s">
        <v>302</v>
      </c>
      <c r="C668">
        <v>72</v>
      </c>
      <c r="D668">
        <v>12</v>
      </c>
      <c r="E668" t="s">
        <v>303</v>
      </c>
      <c r="F668" t="s">
        <v>3309</v>
      </c>
      <c r="G668" t="s">
        <v>1082</v>
      </c>
      <c r="H668" t="s">
        <v>1104</v>
      </c>
      <c r="I668" t="s">
        <v>1083</v>
      </c>
      <c r="J668">
        <v>105</v>
      </c>
      <c r="K668">
        <v>1</v>
      </c>
      <c r="L668">
        <v>106</v>
      </c>
      <c r="M668">
        <v>16.52</v>
      </c>
      <c r="N668">
        <v>4.2300000000000004</v>
      </c>
      <c r="O668">
        <v>3.63</v>
      </c>
      <c r="Q668" t="s">
        <v>2</v>
      </c>
      <c r="R668">
        <v>5907698025443</v>
      </c>
      <c r="S668">
        <v>200</v>
      </c>
      <c r="T668" t="s">
        <v>1103</v>
      </c>
      <c r="V668">
        <v>8207903000</v>
      </c>
    </row>
    <row r="669" spans="1:22" x14ac:dyDescent="0.25">
      <c r="A669">
        <v>700400</v>
      </c>
      <c r="B669" t="s">
        <v>302</v>
      </c>
      <c r="C669">
        <v>12</v>
      </c>
      <c r="E669" t="s">
        <v>303</v>
      </c>
      <c r="F669" t="s">
        <v>3322</v>
      </c>
      <c r="G669" t="s">
        <v>2088</v>
      </c>
      <c r="H669" t="s">
        <v>2089</v>
      </c>
      <c r="I669" t="s">
        <v>1083</v>
      </c>
      <c r="J669">
        <v>170</v>
      </c>
      <c r="K669">
        <v>0</v>
      </c>
      <c r="L669">
        <v>170</v>
      </c>
      <c r="M669">
        <v>34.39</v>
      </c>
      <c r="N669">
        <v>8.7200000000000006</v>
      </c>
      <c r="O669">
        <v>7.74</v>
      </c>
      <c r="Q669" t="s">
        <v>2</v>
      </c>
      <c r="R669">
        <v>5907698016809</v>
      </c>
      <c r="S669">
        <v>130</v>
      </c>
      <c r="T669" t="s">
        <v>423</v>
      </c>
      <c r="V669">
        <v>8207903000</v>
      </c>
    </row>
    <row r="670" spans="1:22" x14ac:dyDescent="0.25">
      <c r="A670">
        <v>701173</v>
      </c>
      <c r="B670" t="s">
        <v>302</v>
      </c>
      <c r="C670">
        <v>24</v>
      </c>
      <c r="D670">
        <v>12</v>
      </c>
      <c r="E670" t="s">
        <v>303</v>
      </c>
      <c r="F670" t="s">
        <v>561</v>
      </c>
      <c r="G670" t="s">
        <v>1105</v>
      </c>
      <c r="H670" t="s">
        <v>1106</v>
      </c>
      <c r="I670" t="s">
        <v>1107</v>
      </c>
      <c r="J670">
        <v>5</v>
      </c>
      <c r="K670">
        <v>192</v>
      </c>
      <c r="L670">
        <v>197</v>
      </c>
      <c r="M670">
        <v>19.329999999999998</v>
      </c>
      <c r="N670">
        <v>4.57</v>
      </c>
      <c r="O670">
        <v>4.2300000000000004</v>
      </c>
      <c r="Q670" t="s">
        <v>2548</v>
      </c>
      <c r="R670">
        <v>5907698022022</v>
      </c>
      <c r="S670">
        <v>100</v>
      </c>
      <c r="T670" t="s">
        <v>482</v>
      </c>
      <c r="V670">
        <v>8204110000</v>
      </c>
    </row>
    <row r="671" spans="1:22" x14ac:dyDescent="0.25">
      <c r="A671">
        <v>701174</v>
      </c>
      <c r="B671" t="s">
        <v>302</v>
      </c>
      <c r="C671">
        <v>24</v>
      </c>
      <c r="D671">
        <v>12</v>
      </c>
      <c r="E671" t="s">
        <v>303</v>
      </c>
      <c r="F671" t="s">
        <v>2090</v>
      </c>
      <c r="G671" t="s">
        <v>2091</v>
      </c>
      <c r="H671" t="s">
        <v>2092</v>
      </c>
      <c r="I671" t="s">
        <v>1107</v>
      </c>
      <c r="J671">
        <v>225</v>
      </c>
      <c r="K671">
        <v>0</v>
      </c>
      <c r="L671">
        <v>225</v>
      </c>
      <c r="M671">
        <v>16.73</v>
      </c>
      <c r="N671">
        <v>3.96</v>
      </c>
      <c r="O671">
        <v>3.67</v>
      </c>
      <c r="Q671" t="s">
        <v>2548</v>
      </c>
      <c r="R671">
        <v>5907698022039</v>
      </c>
      <c r="S671">
        <v>100</v>
      </c>
      <c r="T671" t="s">
        <v>482</v>
      </c>
      <c r="V671">
        <v>8204110000</v>
      </c>
    </row>
    <row r="672" spans="1:22" x14ac:dyDescent="0.25">
      <c r="A672">
        <v>701210</v>
      </c>
      <c r="B672" t="s">
        <v>302</v>
      </c>
      <c r="C672">
        <v>60</v>
      </c>
      <c r="D672">
        <v>0</v>
      </c>
      <c r="E672" t="s">
        <v>303</v>
      </c>
      <c r="F672" t="s">
        <v>3323</v>
      </c>
      <c r="G672" t="s">
        <v>2093</v>
      </c>
      <c r="H672" t="s">
        <v>621</v>
      </c>
      <c r="I672" t="s">
        <v>1107</v>
      </c>
      <c r="J672">
        <v>249</v>
      </c>
      <c r="K672">
        <v>0</v>
      </c>
      <c r="L672">
        <v>249</v>
      </c>
      <c r="M672">
        <v>3.78</v>
      </c>
      <c r="N672">
        <v>0.96</v>
      </c>
      <c r="O672">
        <v>0.86</v>
      </c>
      <c r="Q672" t="s">
        <v>2548</v>
      </c>
      <c r="R672">
        <v>5907698016823</v>
      </c>
      <c r="S672">
        <v>500</v>
      </c>
      <c r="T672" t="s">
        <v>482</v>
      </c>
      <c r="V672">
        <v>8206000000</v>
      </c>
    </row>
    <row r="673" spans="1:22" x14ac:dyDescent="0.25">
      <c r="A673">
        <v>701220</v>
      </c>
      <c r="B673" t="s">
        <v>302</v>
      </c>
      <c r="C673">
        <v>48</v>
      </c>
      <c r="E673" t="s">
        <v>303</v>
      </c>
      <c r="F673" t="s">
        <v>3324</v>
      </c>
      <c r="G673" t="s">
        <v>1108</v>
      </c>
      <c r="H673" t="s">
        <v>621</v>
      </c>
      <c r="I673" t="s">
        <v>1107</v>
      </c>
      <c r="J673">
        <v>1407</v>
      </c>
      <c r="K673">
        <v>0</v>
      </c>
      <c r="L673">
        <v>1407</v>
      </c>
      <c r="M673">
        <v>4.0999999999999996</v>
      </c>
      <c r="N673">
        <v>1.1000000000000001</v>
      </c>
      <c r="O673">
        <v>0.93</v>
      </c>
      <c r="Q673" t="s">
        <v>2</v>
      </c>
      <c r="R673">
        <v>5907698016830</v>
      </c>
      <c r="S673">
        <v>800</v>
      </c>
      <c r="T673" t="s">
        <v>482</v>
      </c>
      <c r="V673">
        <v>8206000000</v>
      </c>
    </row>
    <row r="674" spans="1:22" x14ac:dyDescent="0.25">
      <c r="A674">
        <v>701228</v>
      </c>
      <c r="B674" t="s">
        <v>302</v>
      </c>
      <c r="C674">
        <v>48</v>
      </c>
      <c r="D674">
        <v>0</v>
      </c>
      <c r="E674" t="s">
        <v>303</v>
      </c>
      <c r="F674" t="s">
        <v>3323</v>
      </c>
      <c r="G674" t="s">
        <v>2093</v>
      </c>
      <c r="H674" t="s">
        <v>2094</v>
      </c>
      <c r="I674" t="s">
        <v>1107</v>
      </c>
      <c r="J674">
        <v>78</v>
      </c>
      <c r="K674">
        <v>0</v>
      </c>
      <c r="L674">
        <v>78</v>
      </c>
      <c r="M674">
        <v>20.83</v>
      </c>
      <c r="N674">
        <v>4.92</v>
      </c>
      <c r="O674">
        <v>4.55</v>
      </c>
      <c r="Q674" t="s">
        <v>2548</v>
      </c>
      <c r="R674">
        <v>5907698029175</v>
      </c>
      <c r="S674">
        <v>50</v>
      </c>
      <c r="T674" t="s">
        <v>482</v>
      </c>
      <c r="V674">
        <v>8206000000</v>
      </c>
    </row>
    <row r="675" spans="1:22" x14ac:dyDescent="0.25">
      <c r="A675">
        <v>701237</v>
      </c>
      <c r="B675" t="s">
        <v>3034</v>
      </c>
      <c r="C675">
        <v>32</v>
      </c>
      <c r="D675">
        <v>8</v>
      </c>
      <c r="E675" t="s">
        <v>303</v>
      </c>
      <c r="F675" t="s">
        <v>3323</v>
      </c>
      <c r="G675" t="s">
        <v>2093</v>
      </c>
      <c r="H675" t="s">
        <v>2095</v>
      </c>
      <c r="I675" t="s">
        <v>1107</v>
      </c>
      <c r="J675">
        <v>131</v>
      </c>
      <c r="K675">
        <v>0</v>
      </c>
      <c r="L675">
        <v>131</v>
      </c>
      <c r="M675">
        <v>16.829999999999998</v>
      </c>
      <c r="N675">
        <v>3.99</v>
      </c>
      <c r="O675">
        <v>3.68</v>
      </c>
      <c r="Q675" t="s">
        <v>2548</v>
      </c>
      <c r="R675">
        <v>5907698029168</v>
      </c>
      <c r="S675">
        <v>60</v>
      </c>
      <c r="T675" t="s">
        <v>482</v>
      </c>
      <c r="U675" t="s">
        <v>2096</v>
      </c>
      <c r="V675">
        <v>8206000000</v>
      </c>
    </row>
    <row r="676" spans="1:22" x14ac:dyDescent="0.25">
      <c r="A676">
        <v>712015</v>
      </c>
      <c r="B676" t="s">
        <v>302</v>
      </c>
      <c r="C676">
        <v>60</v>
      </c>
      <c r="E676" t="s">
        <v>303</v>
      </c>
      <c r="F676" t="s">
        <v>3325</v>
      </c>
      <c r="G676" t="s">
        <v>1109</v>
      </c>
      <c r="H676" t="s">
        <v>1110</v>
      </c>
      <c r="I676" t="s">
        <v>1111</v>
      </c>
      <c r="J676">
        <v>125</v>
      </c>
      <c r="K676">
        <v>0</v>
      </c>
      <c r="L676">
        <v>125</v>
      </c>
      <c r="M676">
        <v>7.48</v>
      </c>
      <c r="N676">
        <v>1.77</v>
      </c>
      <c r="O676">
        <v>1.64</v>
      </c>
      <c r="Q676" t="s">
        <v>2548</v>
      </c>
      <c r="R676">
        <v>5907698024996</v>
      </c>
      <c r="S676">
        <v>200</v>
      </c>
      <c r="T676" t="s">
        <v>1112</v>
      </c>
      <c r="V676">
        <v>8204200000</v>
      </c>
    </row>
    <row r="677" spans="1:22" x14ac:dyDescent="0.25">
      <c r="A677">
        <v>712041</v>
      </c>
      <c r="B677" t="s">
        <v>302</v>
      </c>
      <c r="C677">
        <v>24</v>
      </c>
      <c r="D677">
        <v>12</v>
      </c>
      <c r="E677" t="s">
        <v>303</v>
      </c>
      <c r="F677" t="s">
        <v>3325</v>
      </c>
      <c r="G677" t="s">
        <v>1109</v>
      </c>
      <c r="H677" t="s">
        <v>1113</v>
      </c>
      <c r="I677" t="s">
        <v>1111</v>
      </c>
      <c r="J677">
        <v>451</v>
      </c>
      <c r="K677">
        <v>0</v>
      </c>
      <c r="L677">
        <v>451</v>
      </c>
      <c r="M677">
        <v>8.58</v>
      </c>
      <c r="N677">
        <v>2.31</v>
      </c>
      <c r="O677">
        <v>1.95</v>
      </c>
      <c r="Q677" t="s">
        <v>2548</v>
      </c>
      <c r="R677">
        <v>5907698025009</v>
      </c>
      <c r="S677">
        <v>450</v>
      </c>
      <c r="T677" t="s">
        <v>1112</v>
      </c>
      <c r="V677">
        <v>8204200000</v>
      </c>
    </row>
    <row r="678" spans="1:22" x14ac:dyDescent="0.25">
      <c r="A678">
        <v>712042</v>
      </c>
      <c r="B678" t="s">
        <v>3034</v>
      </c>
      <c r="C678">
        <v>50</v>
      </c>
      <c r="D678">
        <v>10</v>
      </c>
      <c r="E678" t="s">
        <v>303</v>
      </c>
      <c r="F678" t="s">
        <v>3326</v>
      </c>
      <c r="G678" t="s">
        <v>1114</v>
      </c>
      <c r="H678" t="s">
        <v>1115</v>
      </c>
      <c r="I678" t="s">
        <v>1116</v>
      </c>
      <c r="J678">
        <v>565</v>
      </c>
      <c r="K678">
        <v>0</v>
      </c>
      <c r="L678">
        <v>565</v>
      </c>
      <c r="M678">
        <v>7.47</v>
      </c>
      <c r="N678">
        <v>2.02</v>
      </c>
      <c r="O678">
        <v>1.71</v>
      </c>
      <c r="Q678" t="s">
        <v>2548</v>
      </c>
      <c r="R678">
        <v>5907698025764</v>
      </c>
      <c r="S678">
        <v>330</v>
      </c>
      <c r="T678" t="s">
        <v>1607</v>
      </c>
      <c r="V678">
        <v>8204200000</v>
      </c>
    </row>
    <row r="679" spans="1:22" x14ac:dyDescent="0.25">
      <c r="A679">
        <v>712250</v>
      </c>
      <c r="B679" t="s">
        <v>302</v>
      </c>
      <c r="C679">
        <v>60</v>
      </c>
      <c r="E679" t="s">
        <v>303</v>
      </c>
      <c r="F679" t="s">
        <v>3327</v>
      </c>
      <c r="G679" t="s">
        <v>1117</v>
      </c>
      <c r="H679" t="s">
        <v>639</v>
      </c>
      <c r="I679" t="s">
        <v>1118</v>
      </c>
      <c r="J679">
        <v>750</v>
      </c>
      <c r="K679">
        <v>0</v>
      </c>
      <c r="L679">
        <v>750</v>
      </c>
      <c r="M679">
        <v>3.98</v>
      </c>
      <c r="N679">
        <v>1.07</v>
      </c>
      <c r="O679">
        <v>0.91</v>
      </c>
      <c r="Q679" t="s">
        <v>3744</v>
      </c>
      <c r="R679">
        <v>5907698016939</v>
      </c>
      <c r="S679">
        <v>440</v>
      </c>
      <c r="T679" t="s">
        <v>677</v>
      </c>
      <c r="V679">
        <v>8205400000</v>
      </c>
    </row>
    <row r="680" spans="1:22" x14ac:dyDescent="0.25">
      <c r="A680">
        <v>712370</v>
      </c>
      <c r="B680" t="s">
        <v>302</v>
      </c>
      <c r="C680">
        <v>25</v>
      </c>
      <c r="D680">
        <v>5</v>
      </c>
      <c r="E680" t="s">
        <v>303</v>
      </c>
      <c r="F680" t="s">
        <v>3328</v>
      </c>
      <c r="G680" t="s">
        <v>1119</v>
      </c>
      <c r="H680" t="s">
        <v>1120</v>
      </c>
      <c r="I680" t="s">
        <v>1121</v>
      </c>
      <c r="J680">
        <v>373</v>
      </c>
      <c r="K680">
        <v>0</v>
      </c>
      <c r="L680">
        <v>373</v>
      </c>
      <c r="M680">
        <v>14.25</v>
      </c>
      <c r="N680">
        <v>3.65</v>
      </c>
      <c r="O680">
        <v>3.13</v>
      </c>
      <c r="Q680" t="s">
        <v>2</v>
      </c>
      <c r="R680">
        <v>5907698025863</v>
      </c>
      <c r="S680">
        <v>300</v>
      </c>
      <c r="T680" t="s">
        <v>1122</v>
      </c>
      <c r="V680">
        <v>8205400000</v>
      </c>
    </row>
    <row r="681" spans="1:22" x14ac:dyDescent="0.25">
      <c r="A681">
        <v>712376</v>
      </c>
      <c r="B681" t="s">
        <v>302</v>
      </c>
      <c r="C681">
        <v>24</v>
      </c>
      <c r="D681">
        <v>6</v>
      </c>
      <c r="E681" t="s">
        <v>303</v>
      </c>
      <c r="F681" t="s">
        <v>3329</v>
      </c>
      <c r="G681" t="s">
        <v>1123</v>
      </c>
      <c r="H681" t="s">
        <v>1124</v>
      </c>
      <c r="I681" t="s">
        <v>1125</v>
      </c>
      <c r="J681">
        <v>141</v>
      </c>
      <c r="K681">
        <v>1</v>
      </c>
      <c r="L681">
        <v>142</v>
      </c>
      <c r="M681">
        <v>21.57</v>
      </c>
      <c r="N681">
        <v>5.19</v>
      </c>
      <c r="O681">
        <v>4.7699999999999996</v>
      </c>
      <c r="Q681" t="s">
        <v>336</v>
      </c>
      <c r="R681">
        <v>5907698025603</v>
      </c>
      <c r="S681">
        <v>200</v>
      </c>
      <c r="T681" t="s">
        <v>677</v>
      </c>
      <c r="V681">
        <v>8205400000</v>
      </c>
    </row>
    <row r="682" spans="1:22" x14ac:dyDescent="0.25">
      <c r="A682">
        <v>712377</v>
      </c>
      <c r="B682" t="s">
        <v>302</v>
      </c>
      <c r="C682">
        <v>24</v>
      </c>
      <c r="D682">
        <v>0</v>
      </c>
      <c r="E682" t="s">
        <v>303</v>
      </c>
      <c r="F682" t="s">
        <v>3329</v>
      </c>
      <c r="G682" t="s">
        <v>1126</v>
      </c>
      <c r="H682" t="s">
        <v>1127</v>
      </c>
      <c r="I682" t="s">
        <v>1125</v>
      </c>
      <c r="J682">
        <v>119</v>
      </c>
      <c r="K682">
        <v>2</v>
      </c>
      <c r="L682">
        <v>121</v>
      </c>
      <c r="M682">
        <v>11.82</v>
      </c>
      <c r="N682">
        <v>3.18</v>
      </c>
      <c r="O682">
        <v>2.69</v>
      </c>
      <c r="Q682" t="s">
        <v>3744</v>
      </c>
      <c r="R682">
        <v>5907698029199</v>
      </c>
      <c r="S682">
        <v>240</v>
      </c>
      <c r="T682" t="s">
        <v>677</v>
      </c>
      <c r="V682">
        <v>8205400000</v>
      </c>
    </row>
    <row r="683" spans="1:22" x14ac:dyDescent="0.25">
      <c r="A683">
        <v>712560</v>
      </c>
      <c r="B683" t="s">
        <v>302</v>
      </c>
      <c r="C683">
        <v>40</v>
      </c>
      <c r="E683" t="s">
        <v>303</v>
      </c>
      <c r="F683" t="s">
        <v>3327</v>
      </c>
      <c r="G683" t="s">
        <v>1128</v>
      </c>
      <c r="H683" t="s">
        <v>1129</v>
      </c>
      <c r="I683" t="s">
        <v>1118</v>
      </c>
      <c r="J683">
        <v>324</v>
      </c>
      <c r="K683">
        <v>10</v>
      </c>
      <c r="L683">
        <v>334</v>
      </c>
      <c r="M683">
        <v>6.51</v>
      </c>
      <c r="N683">
        <v>1.76</v>
      </c>
      <c r="O683">
        <v>1.48</v>
      </c>
      <c r="Q683" t="s">
        <v>3744</v>
      </c>
      <c r="R683">
        <v>5907698016977</v>
      </c>
      <c r="S683">
        <v>1100</v>
      </c>
      <c r="T683" t="s">
        <v>482</v>
      </c>
      <c r="U683" t="s">
        <v>3064</v>
      </c>
      <c r="V683">
        <v>8205400000</v>
      </c>
    </row>
    <row r="684" spans="1:22" x14ac:dyDescent="0.25">
      <c r="A684">
        <v>712702</v>
      </c>
      <c r="B684" t="s">
        <v>302</v>
      </c>
      <c r="C684">
        <v>240</v>
      </c>
      <c r="D684">
        <v>12</v>
      </c>
      <c r="E684" t="s">
        <v>303</v>
      </c>
      <c r="F684" t="s">
        <v>3326</v>
      </c>
      <c r="G684" t="s">
        <v>1117</v>
      </c>
      <c r="H684" t="s">
        <v>2097</v>
      </c>
      <c r="I684" t="s">
        <v>1130</v>
      </c>
      <c r="J684">
        <v>0</v>
      </c>
      <c r="K684">
        <v>0</v>
      </c>
      <c r="L684">
        <v>0</v>
      </c>
      <c r="M684">
        <v>2.25</v>
      </c>
      <c r="N684">
        <v>0.53</v>
      </c>
      <c r="O684">
        <v>0.49</v>
      </c>
      <c r="R684">
        <v>5907698028932</v>
      </c>
      <c r="S684">
        <v>400</v>
      </c>
      <c r="T684" t="s">
        <v>559</v>
      </c>
      <c r="V684">
        <v>8205400000</v>
      </c>
    </row>
    <row r="685" spans="1:22" x14ac:dyDescent="0.25">
      <c r="A685">
        <v>713235</v>
      </c>
      <c r="B685" t="s">
        <v>302</v>
      </c>
      <c r="C685">
        <v>360</v>
      </c>
      <c r="D685">
        <v>60</v>
      </c>
      <c r="E685" t="s">
        <v>303</v>
      </c>
      <c r="F685" t="s">
        <v>3326</v>
      </c>
      <c r="G685" t="s">
        <v>1114</v>
      </c>
      <c r="H685" t="s">
        <v>1131</v>
      </c>
      <c r="I685" t="s">
        <v>1116</v>
      </c>
      <c r="J685">
        <v>0</v>
      </c>
      <c r="K685">
        <v>0</v>
      </c>
      <c r="L685">
        <v>0</v>
      </c>
      <c r="M685">
        <v>1.23</v>
      </c>
      <c r="N685">
        <v>0.28999999999999998</v>
      </c>
      <c r="O685">
        <v>0.27</v>
      </c>
      <c r="Q685" t="s">
        <v>2</v>
      </c>
      <c r="R685">
        <v>5907698022305</v>
      </c>
      <c r="S685">
        <v>2500</v>
      </c>
      <c r="T685" t="s">
        <v>1132</v>
      </c>
      <c r="V685">
        <v>8205400000</v>
      </c>
    </row>
    <row r="686" spans="1:22" x14ac:dyDescent="0.25">
      <c r="A686">
        <v>713241</v>
      </c>
      <c r="B686" t="s">
        <v>302</v>
      </c>
      <c r="C686">
        <v>360</v>
      </c>
      <c r="D686">
        <v>60</v>
      </c>
      <c r="E686" t="s">
        <v>303</v>
      </c>
      <c r="F686" t="s">
        <v>3326</v>
      </c>
      <c r="G686" t="s">
        <v>1114</v>
      </c>
      <c r="H686" t="s">
        <v>1678</v>
      </c>
      <c r="I686" t="s">
        <v>1116</v>
      </c>
      <c r="J686">
        <v>1</v>
      </c>
      <c r="K686">
        <v>0</v>
      </c>
      <c r="L686">
        <v>1</v>
      </c>
      <c r="M686">
        <v>0.86</v>
      </c>
      <c r="N686">
        <v>0.21</v>
      </c>
      <c r="O686">
        <v>0.19</v>
      </c>
      <c r="Q686" t="s">
        <v>2</v>
      </c>
      <c r="R686">
        <v>5907698022978</v>
      </c>
      <c r="S686">
        <v>400</v>
      </c>
      <c r="T686" t="s">
        <v>1132</v>
      </c>
      <c r="V686">
        <v>8205400000</v>
      </c>
    </row>
    <row r="687" spans="1:22" x14ac:dyDescent="0.25">
      <c r="A687">
        <v>713245</v>
      </c>
      <c r="B687" t="s">
        <v>302</v>
      </c>
      <c r="C687">
        <v>360</v>
      </c>
      <c r="D687">
        <v>60</v>
      </c>
      <c r="E687" t="s">
        <v>303</v>
      </c>
      <c r="F687" t="s">
        <v>3326</v>
      </c>
      <c r="G687" t="s">
        <v>1114</v>
      </c>
      <c r="H687" t="s">
        <v>2098</v>
      </c>
      <c r="I687" t="s">
        <v>1116</v>
      </c>
      <c r="J687">
        <v>2042</v>
      </c>
      <c r="K687">
        <v>0</v>
      </c>
      <c r="L687">
        <v>2042</v>
      </c>
      <c r="M687">
        <v>0.96</v>
      </c>
      <c r="N687">
        <v>0.23</v>
      </c>
      <c r="O687">
        <v>0.22</v>
      </c>
      <c r="Q687" t="s">
        <v>2</v>
      </c>
      <c r="R687">
        <v>5907698022329</v>
      </c>
      <c r="S687">
        <v>380</v>
      </c>
      <c r="T687" t="s">
        <v>1132</v>
      </c>
      <c r="V687">
        <v>8205400000</v>
      </c>
    </row>
    <row r="688" spans="1:22" x14ac:dyDescent="0.25">
      <c r="A688">
        <v>713650</v>
      </c>
      <c r="B688" t="s">
        <v>302</v>
      </c>
      <c r="C688">
        <v>40</v>
      </c>
      <c r="E688" t="s">
        <v>303</v>
      </c>
      <c r="F688" t="s">
        <v>3330</v>
      </c>
      <c r="G688" t="s">
        <v>1117</v>
      </c>
      <c r="H688" t="s">
        <v>2966</v>
      </c>
      <c r="I688" t="s">
        <v>1130</v>
      </c>
      <c r="J688">
        <v>1</v>
      </c>
      <c r="K688">
        <v>1</v>
      </c>
      <c r="L688">
        <v>2</v>
      </c>
      <c r="M688">
        <v>8.61</v>
      </c>
      <c r="N688">
        <v>2.31</v>
      </c>
      <c r="O688">
        <v>1.96</v>
      </c>
      <c r="Q688" t="s">
        <v>3744</v>
      </c>
      <c r="R688">
        <v>5907698017042</v>
      </c>
      <c r="S688">
        <v>1000</v>
      </c>
      <c r="T688" t="s">
        <v>1133</v>
      </c>
      <c r="V688">
        <v>8205400000</v>
      </c>
    </row>
    <row r="689" spans="1:22" x14ac:dyDescent="0.25">
      <c r="A689">
        <v>713661</v>
      </c>
      <c r="B689" t="s">
        <v>302</v>
      </c>
      <c r="C689">
        <v>40</v>
      </c>
      <c r="D689">
        <v>20</v>
      </c>
      <c r="E689" t="s">
        <v>303</v>
      </c>
      <c r="F689" t="s">
        <v>3330</v>
      </c>
      <c r="G689" t="s">
        <v>1117</v>
      </c>
      <c r="H689" t="s">
        <v>3331</v>
      </c>
      <c r="I689" t="s">
        <v>1130</v>
      </c>
      <c r="J689">
        <v>970</v>
      </c>
      <c r="K689">
        <v>6</v>
      </c>
      <c r="L689">
        <v>976</v>
      </c>
      <c r="M689">
        <v>15.7</v>
      </c>
      <c r="N689">
        <v>3.77</v>
      </c>
      <c r="O689">
        <v>3.44</v>
      </c>
      <c r="Q689" t="s">
        <v>3744</v>
      </c>
      <c r="R689">
        <v>5907698019985</v>
      </c>
      <c r="S689">
        <v>360</v>
      </c>
      <c r="T689" t="s">
        <v>1133</v>
      </c>
      <c r="V689">
        <v>8205400000</v>
      </c>
    </row>
    <row r="690" spans="1:22" x14ac:dyDescent="0.25">
      <c r="A690">
        <v>713670</v>
      </c>
      <c r="B690" t="s">
        <v>302</v>
      </c>
      <c r="C690">
        <v>240</v>
      </c>
      <c r="D690">
        <v>12</v>
      </c>
      <c r="E690" t="s">
        <v>303</v>
      </c>
      <c r="F690" t="s">
        <v>3326</v>
      </c>
      <c r="G690" t="s">
        <v>1114</v>
      </c>
      <c r="H690" t="s">
        <v>1134</v>
      </c>
      <c r="I690" t="s">
        <v>1116</v>
      </c>
      <c r="J690">
        <v>121</v>
      </c>
      <c r="K690">
        <v>0</v>
      </c>
      <c r="L690">
        <v>121</v>
      </c>
      <c r="M690">
        <v>1.77</v>
      </c>
      <c r="N690">
        <v>0.42</v>
      </c>
      <c r="O690">
        <v>0.39</v>
      </c>
      <c r="Q690" t="s">
        <v>2</v>
      </c>
      <c r="R690">
        <v>5907698022244</v>
      </c>
      <c r="S690">
        <v>470</v>
      </c>
      <c r="T690" t="s">
        <v>1135</v>
      </c>
      <c r="V690">
        <v>8205400000</v>
      </c>
    </row>
    <row r="691" spans="1:22" x14ac:dyDescent="0.25">
      <c r="A691">
        <v>713672</v>
      </c>
      <c r="B691" t="s">
        <v>302</v>
      </c>
      <c r="C691">
        <v>240</v>
      </c>
      <c r="D691">
        <v>12</v>
      </c>
      <c r="E691" t="s">
        <v>303</v>
      </c>
      <c r="F691" t="s">
        <v>3326</v>
      </c>
      <c r="G691" t="s">
        <v>1114</v>
      </c>
      <c r="H691" t="s">
        <v>1136</v>
      </c>
      <c r="I691" t="s">
        <v>1116</v>
      </c>
      <c r="J691">
        <v>1168</v>
      </c>
      <c r="K691">
        <v>0</v>
      </c>
      <c r="L691">
        <v>1168</v>
      </c>
      <c r="M691">
        <v>2.27</v>
      </c>
      <c r="N691">
        <v>0.54</v>
      </c>
      <c r="O691">
        <v>0.5</v>
      </c>
      <c r="Q691" t="s">
        <v>2</v>
      </c>
      <c r="R691">
        <v>5907698022251</v>
      </c>
      <c r="S691">
        <v>700</v>
      </c>
      <c r="T691" t="s">
        <v>1135</v>
      </c>
      <c r="V691">
        <v>8205400000</v>
      </c>
    </row>
    <row r="692" spans="1:22" x14ac:dyDescent="0.25">
      <c r="A692">
        <v>713673</v>
      </c>
      <c r="B692" t="s">
        <v>302</v>
      </c>
      <c r="C692">
        <v>240</v>
      </c>
      <c r="D692">
        <v>12</v>
      </c>
      <c r="E692" t="s">
        <v>303</v>
      </c>
      <c r="F692" t="s">
        <v>3326</v>
      </c>
      <c r="G692" t="s">
        <v>1114</v>
      </c>
      <c r="H692" t="s">
        <v>2099</v>
      </c>
      <c r="I692" t="s">
        <v>1116</v>
      </c>
      <c r="J692">
        <v>153</v>
      </c>
      <c r="K692">
        <v>0</v>
      </c>
      <c r="L692">
        <v>153</v>
      </c>
      <c r="M692">
        <v>2.54</v>
      </c>
      <c r="N692">
        <v>0.6</v>
      </c>
      <c r="O692">
        <v>0.55000000000000004</v>
      </c>
      <c r="Q692" t="s">
        <v>2</v>
      </c>
      <c r="R692">
        <v>5907698022992</v>
      </c>
      <c r="S692">
        <v>200</v>
      </c>
      <c r="T692" t="s">
        <v>1135</v>
      </c>
      <c r="V692">
        <v>8205400000</v>
      </c>
    </row>
    <row r="693" spans="1:22" x14ac:dyDescent="0.25">
      <c r="A693">
        <v>713675</v>
      </c>
      <c r="B693" t="s">
        <v>302</v>
      </c>
      <c r="C693">
        <v>240</v>
      </c>
      <c r="D693">
        <v>12</v>
      </c>
      <c r="E693" t="s">
        <v>303</v>
      </c>
      <c r="F693" t="s">
        <v>3326</v>
      </c>
      <c r="G693" t="s">
        <v>1114</v>
      </c>
      <c r="H693" t="s">
        <v>1137</v>
      </c>
      <c r="I693" t="s">
        <v>1116</v>
      </c>
      <c r="J693">
        <v>743</v>
      </c>
      <c r="K693">
        <v>0</v>
      </c>
      <c r="L693">
        <v>743</v>
      </c>
      <c r="M693">
        <v>2.11</v>
      </c>
      <c r="N693">
        <v>0.54</v>
      </c>
      <c r="O693">
        <v>0.47</v>
      </c>
      <c r="Q693" t="s">
        <v>2</v>
      </c>
      <c r="R693">
        <v>5907698022275</v>
      </c>
      <c r="S693">
        <v>500</v>
      </c>
      <c r="T693" t="s">
        <v>1135</v>
      </c>
      <c r="V693">
        <v>8205400000</v>
      </c>
    </row>
    <row r="694" spans="1:22" x14ac:dyDescent="0.25">
      <c r="A694">
        <v>713677</v>
      </c>
      <c r="B694" t="s">
        <v>302</v>
      </c>
      <c r="C694">
        <v>240</v>
      </c>
      <c r="D694">
        <v>12</v>
      </c>
      <c r="E694" t="s">
        <v>303</v>
      </c>
      <c r="F694" t="s">
        <v>3326</v>
      </c>
      <c r="G694" t="s">
        <v>1114</v>
      </c>
      <c r="H694" t="s">
        <v>1138</v>
      </c>
      <c r="I694" t="s">
        <v>1116</v>
      </c>
      <c r="J694">
        <v>0</v>
      </c>
      <c r="K694">
        <v>0</v>
      </c>
      <c r="L694">
        <v>0</v>
      </c>
      <c r="M694">
        <v>1.88</v>
      </c>
      <c r="N694">
        <v>0.45</v>
      </c>
      <c r="O694">
        <v>0.42</v>
      </c>
      <c r="Q694" t="s">
        <v>2</v>
      </c>
      <c r="R694">
        <v>5907698022282</v>
      </c>
      <c r="S694">
        <v>850</v>
      </c>
      <c r="T694" t="s">
        <v>1135</v>
      </c>
      <c r="V694">
        <v>8205400000</v>
      </c>
    </row>
    <row r="695" spans="1:22" x14ac:dyDescent="0.25">
      <c r="A695">
        <v>713678</v>
      </c>
      <c r="B695" t="s">
        <v>302</v>
      </c>
      <c r="C695">
        <v>240</v>
      </c>
      <c r="D695">
        <v>12</v>
      </c>
      <c r="E695" t="s">
        <v>303</v>
      </c>
      <c r="F695" t="s">
        <v>3326</v>
      </c>
      <c r="G695" t="s">
        <v>1114</v>
      </c>
      <c r="H695" t="s">
        <v>2100</v>
      </c>
      <c r="I695" t="s">
        <v>1116</v>
      </c>
      <c r="J695">
        <v>832</v>
      </c>
      <c r="K695">
        <v>0</v>
      </c>
      <c r="L695">
        <v>832</v>
      </c>
      <c r="M695">
        <v>2.54</v>
      </c>
      <c r="N695">
        <v>0.6</v>
      </c>
      <c r="O695">
        <v>0.56000000000000005</v>
      </c>
      <c r="Q695" t="s">
        <v>2</v>
      </c>
      <c r="R695">
        <v>5907698022985</v>
      </c>
      <c r="S695">
        <v>400</v>
      </c>
      <c r="T695" t="s">
        <v>1135</v>
      </c>
      <c r="V695">
        <v>8205400000</v>
      </c>
    </row>
    <row r="696" spans="1:22" x14ac:dyDescent="0.25">
      <c r="A696">
        <v>714070</v>
      </c>
      <c r="B696" t="s">
        <v>302</v>
      </c>
      <c r="C696">
        <v>72</v>
      </c>
      <c r="D696">
        <v>12</v>
      </c>
      <c r="E696" t="s">
        <v>303</v>
      </c>
      <c r="F696" t="s">
        <v>3332</v>
      </c>
      <c r="G696" t="s">
        <v>2101</v>
      </c>
      <c r="H696" t="s">
        <v>1127</v>
      </c>
      <c r="I696" t="s">
        <v>1139</v>
      </c>
      <c r="J696">
        <v>80</v>
      </c>
      <c r="K696">
        <v>0</v>
      </c>
      <c r="L696">
        <v>80</v>
      </c>
      <c r="M696">
        <v>3.21</v>
      </c>
      <c r="N696">
        <v>0.76</v>
      </c>
      <c r="O696">
        <v>0.7</v>
      </c>
      <c r="Q696" t="s">
        <v>336</v>
      </c>
      <c r="R696">
        <v>5907698017066</v>
      </c>
      <c r="S696">
        <v>800</v>
      </c>
      <c r="T696" t="s">
        <v>383</v>
      </c>
      <c r="V696">
        <v>8205400000</v>
      </c>
    </row>
    <row r="697" spans="1:22" x14ac:dyDescent="0.25">
      <c r="A697">
        <v>714110</v>
      </c>
      <c r="B697" t="s">
        <v>302</v>
      </c>
      <c r="C697">
        <v>72</v>
      </c>
      <c r="D697">
        <v>12</v>
      </c>
      <c r="E697" t="s">
        <v>303</v>
      </c>
      <c r="F697" t="s">
        <v>3332</v>
      </c>
      <c r="G697" t="s">
        <v>1140</v>
      </c>
      <c r="H697" t="s">
        <v>1141</v>
      </c>
      <c r="I697" t="s">
        <v>1139</v>
      </c>
      <c r="J697">
        <v>0</v>
      </c>
      <c r="K697">
        <v>0</v>
      </c>
      <c r="L697">
        <v>0</v>
      </c>
      <c r="M697">
        <v>4.34</v>
      </c>
      <c r="N697">
        <v>1.02</v>
      </c>
      <c r="O697">
        <v>0.94</v>
      </c>
      <c r="Q697" t="s">
        <v>336</v>
      </c>
      <c r="R697">
        <v>5907698017073</v>
      </c>
      <c r="S697">
        <v>680</v>
      </c>
      <c r="T697" t="s">
        <v>565</v>
      </c>
      <c r="V697">
        <v>8205400000</v>
      </c>
    </row>
    <row r="698" spans="1:22" x14ac:dyDescent="0.25">
      <c r="A698">
        <v>714250</v>
      </c>
      <c r="B698" t="s">
        <v>302</v>
      </c>
      <c r="C698">
        <v>40</v>
      </c>
      <c r="E698" t="s">
        <v>303</v>
      </c>
      <c r="F698" t="s">
        <v>2102</v>
      </c>
      <c r="G698" t="s">
        <v>2103</v>
      </c>
      <c r="H698" t="s">
        <v>2104</v>
      </c>
      <c r="I698" t="s">
        <v>2105</v>
      </c>
      <c r="J698">
        <v>312</v>
      </c>
      <c r="K698">
        <v>0</v>
      </c>
      <c r="L698">
        <v>312</v>
      </c>
      <c r="M698">
        <v>13.19</v>
      </c>
      <c r="N698">
        <v>3.32</v>
      </c>
      <c r="O698">
        <v>2.94</v>
      </c>
      <c r="Q698" t="s">
        <v>336</v>
      </c>
      <c r="R698">
        <v>5907698017097</v>
      </c>
      <c r="S698">
        <v>100</v>
      </c>
      <c r="T698" t="s">
        <v>2106</v>
      </c>
      <c r="V698">
        <v>8206000000</v>
      </c>
    </row>
    <row r="699" spans="1:22" x14ac:dyDescent="0.25">
      <c r="A699">
        <v>714408</v>
      </c>
      <c r="B699" t="s">
        <v>3027</v>
      </c>
      <c r="C699">
        <v>100</v>
      </c>
      <c r="E699" t="s">
        <v>303</v>
      </c>
      <c r="F699" t="s">
        <v>3333</v>
      </c>
      <c r="G699" t="s">
        <v>2107</v>
      </c>
      <c r="H699" t="s">
        <v>2108</v>
      </c>
      <c r="I699" t="s">
        <v>2109</v>
      </c>
      <c r="J699">
        <v>172</v>
      </c>
      <c r="K699">
        <v>0</v>
      </c>
      <c r="L699">
        <v>172</v>
      </c>
      <c r="M699">
        <v>6.57</v>
      </c>
      <c r="N699">
        <v>1.58</v>
      </c>
      <c r="O699">
        <v>1.45</v>
      </c>
      <c r="Q699" t="s">
        <v>2</v>
      </c>
      <c r="R699">
        <v>5907698025283</v>
      </c>
      <c r="S699">
        <v>50</v>
      </c>
      <c r="T699" t="s">
        <v>646</v>
      </c>
      <c r="V699">
        <v>8205400000</v>
      </c>
    </row>
    <row r="700" spans="1:22" x14ac:dyDescent="0.25">
      <c r="A700">
        <v>714416</v>
      </c>
      <c r="B700" t="s">
        <v>3027</v>
      </c>
      <c r="C700">
        <v>60</v>
      </c>
      <c r="E700" t="s">
        <v>303</v>
      </c>
      <c r="F700" t="s">
        <v>3333</v>
      </c>
      <c r="G700" t="s">
        <v>1143</v>
      </c>
      <c r="H700" t="s">
        <v>2110</v>
      </c>
      <c r="I700" t="s">
        <v>2111</v>
      </c>
      <c r="J700">
        <v>61</v>
      </c>
      <c r="K700">
        <v>0</v>
      </c>
      <c r="L700">
        <v>61</v>
      </c>
      <c r="M700">
        <v>12.5</v>
      </c>
      <c r="N700">
        <v>3.02</v>
      </c>
      <c r="O700">
        <v>2.77</v>
      </c>
      <c r="Q700" t="s">
        <v>2</v>
      </c>
      <c r="R700">
        <v>5907698021100</v>
      </c>
      <c r="S700">
        <v>40</v>
      </c>
      <c r="T700" t="s">
        <v>2112</v>
      </c>
      <c r="V700">
        <v>8205400000</v>
      </c>
    </row>
    <row r="701" spans="1:22" x14ac:dyDescent="0.25">
      <c r="A701">
        <v>714422</v>
      </c>
      <c r="B701" t="s">
        <v>302</v>
      </c>
      <c r="C701">
        <v>144</v>
      </c>
      <c r="D701">
        <v>24</v>
      </c>
      <c r="E701" t="s">
        <v>303</v>
      </c>
      <c r="F701" t="s">
        <v>3334</v>
      </c>
      <c r="G701" t="s">
        <v>1143</v>
      </c>
      <c r="H701" t="s">
        <v>1144</v>
      </c>
      <c r="I701" t="s">
        <v>1142</v>
      </c>
      <c r="J701">
        <v>1750</v>
      </c>
      <c r="K701">
        <v>73</v>
      </c>
      <c r="L701">
        <v>1823</v>
      </c>
      <c r="M701">
        <v>5.54</v>
      </c>
      <c r="N701">
        <v>1.4</v>
      </c>
      <c r="O701">
        <v>1.2</v>
      </c>
      <c r="Q701" t="s">
        <v>2</v>
      </c>
      <c r="R701">
        <v>5907698023159</v>
      </c>
      <c r="S701">
        <v>1000</v>
      </c>
      <c r="T701" t="s">
        <v>1145</v>
      </c>
      <c r="V701">
        <v>8205400000</v>
      </c>
    </row>
    <row r="702" spans="1:22" x14ac:dyDescent="0.25">
      <c r="A702">
        <v>714431</v>
      </c>
      <c r="B702" t="s">
        <v>302</v>
      </c>
      <c r="C702">
        <v>120</v>
      </c>
      <c r="D702">
        <v>10</v>
      </c>
      <c r="E702" t="s">
        <v>303</v>
      </c>
      <c r="F702" t="s">
        <v>3334</v>
      </c>
      <c r="G702" t="s">
        <v>1143</v>
      </c>
      <c r="H702" t="s">
        <v>2113</v>
      </c>
      <c r="I702" t="s">
        <v>1142</v>
      </c>
      <c r="J702">
        <v>40</v>
      </c>
      <c r="K702">
        <v>1</v>
      </c>
      <c r="L702">
        <v>41</v>
      </c>
      <c r="M702">
        <v>4.72</v>
      </c>
      <c r="N702">
        <v>1.22</v>
      </c>
      <c r="O702">
        <v>1.04</v>
      </c>
      <c r="Q702" t="s">
        <v>2</v>
      </c>
      <c r="R702">
        <v>5907698022725</v>
      </c>
      <c r="S702">
        <v>1600</v>
      </c>
      <c r="T702" t="s">
        <v>2114</v>
      </c>
      <c r="U702" t="s">
        <v>3221</v>
      </c>
      <c r="V702">
        <v>8205400000</v>
      </c>
    </row>
    <row r="703" spans="1:22" x14ac:dyDescent="0.25">
      <c r="A703">
        <v>714432</v>
      </c>
      <c r="B703" t="s">
        <v>302</v>
      </c>
      <c r="C703">
        <v>120</v>
      </c>
      <c r="D703">
        <v>30</v>
      </c>
      <c r="E703" t="s">
        <v>303</v>
      </c>
      <c r="F703" t="s">
        <v>3334</v>
      </c>
      <c r="G703" t="s">
        <v>1143</v>
      </c>
      <c r="H703" t="s">
        <v>2115</v>
      </c>
      <c r="I703" t="s">
        <v>1142</v>
      </c>
      <c r="J703">
        <v>265</v>
      </c>
      <c r="K703">
        <v>1</v>
      </c>
      <c r="L703">
        <v>266</v>
      </c>
      <c r="M703">
        <v>5.99</v>
      </c>
      <c r="N703">
        <v>1.54</v>
      </c>
      <c r="O703">
        <v>1.32</v>
      </c>
      <c r="Q703" t="s">
        <v>2</v>
      </c>
      <c r="R703">
        <v>5907698025139</v>
      </c>
      <c r="S703">
        <v>1000</v>
      </c>
      <c r="T703" t="s">
        <v>2116</v>
      </c>
      <c r="V703">
        <v>8205400000</v>
      </c>
    </row>
    <row r="704" spans="1:22" x14ac:dyDescent="0.25">
      <c r="A704">
        <v>714441</v>
      </c>
      <c r="B704" t="s">
        <v>302</v>
      </c>
      <c r="C704">
        <v>200</v>
      </c>
      <c r="D704">
        <v>50</v>
      </c>
      <c r="E704" t="s">
        <v>303</v>
      </c>
      <c r="F704" t="s">
        <v>3335</v>
      </c>
      <c r="G704" t="s">
        <v>2117</v>
      </c>
      <c r="H704" t="s">
        <v>2420</v>
      </c>
      <c r="I704" t="s">
        <v>2109</v>
      </c>
      <c r="J704">
        <v>722</v>
      </c>
      <c r="K704">
        <v>0</v>
      </c>
      <c r="L704">
        <v>722</v>
      </c>
      <c r="M704">
        <v>4.4400000000000004</v>
      </c>
      <c r="N704">
        <v>1.05</v>
      </c>
      <c r="O704">
        <v>0.97</v>
      </c>
      <c r="Q704" t="s">
        <v>2</v>
      </c>
      <c r="R704">
        <v>5907698025771</v>
      </c>
      <c r="S704">
        <v>300</v>
      </c>
      <c r="T704" t="s">
        <v>2118</v>
      </c>
      <c r="V704">
        <v>8205400000</v>
      </c>
    </row>
    <row r="705" spans="1:22" x14ac:dyDescent="0.25">
      <c r="A705">
        <v>730330</v>
      </c>
      <c r="B705" t="s">
        <v>302</v>
      </c>
      <c r="C705">
        <v>48</v>
      </c>
      <c r="D705">
        <v>12</v>
      </c>
      <c r="E705" t="s">
        <v>303</v>
      </c>
      <c r="F705" t="s">
        <v>3336</v>
      </c>
      <c r="G705" t="s">
        <v>1146</v>
      </c>
      <c r="H705" t="s">
        <v>1147</v>
      </c>
      <c r="I705" t="s">
        <v>1148</v>
      </c>
      <c r="J705">
        <v>772</v>
      </c>
      <c r="K705">
        <v>1</v>
      </c>
      <c r="L705">
        <v>773</v>
      </c>
      <c r="M705">
        <v>8.02</v>
      </c>
      <c r="N705">
        <v>1.93</v>
      </c>
      <c r="O705">
        <v>1.76</v>
      </c>
      <c r="Q705" t="s">
        <v>2</v>
      </c>
      <c r="R705">
        <v>5907698017165</v>
      </c>
      <c r="S705">
        <v>530</v>
      </c>
      <c r="T705" t="s">
        <v>482</v>
      </c>
      <c r="V705">
        <v>8203100000</v>
      </c>
    </row>
    <row r="706" spans="1:22" x14ac:dyDescent="0.25">
      <c r="A706">
        <v>730340</v>
      </c>
      <c r="B706" t="s">
        <v>302</v>
      </c>
      <c r="C706">
        <v>48</v>
      </c>
      <c r="D706">
        <v>12</v>
      </c>
      <c r="E706" t="s">
        <v>303</v>
      </c>
      <c r="F706" t="s">
        <v>1149</v>
      </c>
      <c r="G706" t="s">
        <v>1150</v>
      </c>
      <c r="H706" t="s">
        <v>1147</v>
      </c>
      <c r="I706" t="s">
        <v>1151</v>
      </c>
      <c r="J706">
        <v>1</v>
      </c>
      <c r="K706">
        <v>14</v>
      </c>
      <c r="L706">
        <v>15</v>
      </c>
      <c r="M706">
        <v>6.67</v>
      </c>
      <c r="N706">
        <v>1.61</v>
      </c>
      <c r="O706">
        <v>1.46</v>
      </c>
      <c r="Q706" t="s">
        <v>2</v>
      </c>
      <c r="R706">
        <v>5907698017172</v>
      </c>
      <c r="S706">
        <v>600</v>
      </c>
      <c r="T706" t="s">
        <v>482</v>
      </c>
      <c r="V706">
        <v>8203100000</v>
      </c>
    </row>
    <row r="707" spans="1:22" x14ac:dyDescent="0.25">
      <c r="A707">
        <v>731060</v>
      </c>
      <c r="B707" t="s">
        <v>302</v>
      </c>
      <c r="C707">
        <v>120</v>
      </c>
      <c r="D707">
        <v>30</v>
      </c>
      <c r="E707" t="s">
        <v>303</v>
      </c>
      <c r="F707" t="s">
        <v>2119</v>
      </c>
      <c r="G707" t="s">
        <v>2120</v>
      </c>
      <c r="H707" t="s">
        <v>2121</v>
      </c>
      <c r="I707" t="s">
        <v>2122</v>
      </c>
      <c r="J707">
        <v>0</v>
      </c>
      <c r="K707">
        <v>0</v>
      </c>
      <c r="L707">
        <v>0</v>
      </c>
      <c r="M707">
        <v>4.2699999999999996</v>
      </c>
      <c r="N707">
        <v>1.01</v>
      </c>
      <c r="O707">
        <v>0.94</v>
      </c>
      <c r="Q707" t="s">
        <v>2</v>
      </c>
      <c r="R707">
        <v>5907698017196</v>
      </c>
      <c r="S707">
        <v>600</v>
      </c>
      <c r="T707" t="s">
        <v>677</v>
      </c>
      <c r="V707">
        <v>8203100000</v>
      </c>
    </row>
    <row r="708" spans="1:22" x14ac:dyDescent="0.25">
      <c r="A708">
        <v>732060</v>
      </c>
      <c r="B708" t="s">
        <v>302</v>
      </c>
      <c r="C708">
        <v>50</v>
      </c>
      <c r="E708" t="s">
        <v>303</v>
      </c>
      <c r="F708" t="s">
        <v>3337</v>
      </c>
      <c r="G708" t="s">
        <v>1152</v>
      </c>
      <c r="H708" t="s">
        <v>1153</v>
      </c>
      <c r="I708" t="s">
        <v>1154</v>
      </c>
      <c r="J708">
        <v>20</v>
      </c>
      <c r="K708">
        <v>20</v>
      </c>
      <c r="L708">
        <v>40</v>
      </c>
      <c r="M708">
        <v>1.95</v>
      </c>
      <c r="N708">
        <v>0.45</v>
      </c>
      <c r="O708">
        <v>0.42</v>
      </c>
      <c r="Q708" t="s">
        <v>336</v>
      </c>
      <c r="R708">
        <v>5907698017202</v>
      </c>
      <c r="S708">
        <v>1000</v>
      </c>
      <c r="T708" t="s">
        <v>760</v>
      </c>
      <c r="V708">
        <v>6804300000</v>
      </c>
    </row>
    <row r="709" spans="1:22" x14ac:dyDescent="0.25">
      <c r="A709">
        <v>732080</v>
      </c>
      <c r="B709" t="s">
        <v>302</v>
      </c>
      <c r="C709">
        <v>60</v>
      </c>
      <c r="E709" t="s">
        <v>303</v>
      </c>
      <c r="F709" t="s">
        <v>3337</v>
      </c>
      <c r="G709" t="s">
        <v>1152</v>
      </c>
      <c r="H709" t="s">
        <v>1155</v>
      </c>
      <c r="I709" t="s">
        <v>1156</v>
      </c>
      <c r="J709">
        <v>580</v>
      </c>
      <c r="K709">
        <v>1</v>
      </c>
      <c r="L709">
        <v>581</v>
      </c>
      <c r="M709">
        <v>1.67</v>
      </c>
      <c r="N709">
        <v>0.39</v>
      </c>
      <c r="O709">
        <v>0.36</v>
      </c>
      <c r="Q709" t="s">
        <v>336</v>
      </c>
      <c r="R709">
        <v>5907698017226</v>
      </c>
      <c r="S709">
        <v>950</v>
      </c>
      <c r="T709" t="s">
        <v>1157</v>
      </c>
      <c r="V709">
        <v>6804300000</v>
      </c>
    </row>
    <row r="710" spans="1:22" x14ac:dyDescent="0.25">
      <c r="A710">
        <v>732090</v>
      </c>
      <c r="B710" t="s">
        <v>302</v>
      </c>
      <c r="C710">
        <v>40</v>
      </c>
      <c r="E710" t="s">
        <v>303</v>
      </c>
      <c r="F710" t="s">
        <v>3337</v>
      </c>
      <c r="G710" t="s">
        <v>1152</v>
      </c>
      <c r="H710" t="s">
        <v>1158</v>
      </c>
      <c r="I710" t="s">
        <v>1156</v>
      </c>
      <c r="J710">
        <v>0</v>
      </c>
      <c r="K710">
        <v>0</v>
      </c>
      <c r="L710">
        <v>0</v>
      </c>
      <c r="M710">
        <v>2.6</v>
      </c>
      <c r="N710">
        <v>0.62</v>
      </c>
      <c r="O710">
        <v>0.56999999999999995</v>
      </c>
      <c r="Q710" t="s">
        <v>336</v>
      </c>
      <c r="R710">
        <v>5907698020936</v>
      </c>
      <c r="S710">
        <v>400</v>
      </c>
      <c r="T710" t="s">
        <v>719</v>
      </c>
      <c r="V710">
        <v>6804300000</v>
      </c>
    </row>
    <row r="711" spans="1:22" x14ac:dyDescent="0.25">
      <c r="A711">
        <v>733403</v>
      </c>
      <c r="B711" t="s">
        <v>2993</v>
      </c>
      <c r="C711">
        <v>36</v>
      </c>
      <c r="D711">
        <v>0</v>
      </c>
      <c r="E711" t="s">
        <v>303</v>
      </c>
      <c r="F711" t="s">
        <v>3338</v>
      </c>
      <c r="G711" t="s">
        <v>3339</v>
      </c>
      <c r="H711" t="s">
        <v>2967</v>
      </c>
      <c r="I711" t="s">
        <v>2150</v>
      </c>
      <c r="J711">
        <v>187</v>
      </c>
      <c r="K711">
        <v>12</v>
      </c>
      <c r="L711">
        <v>199</v>
      </c>
      <c r="M711">
        <v>18.89</v>
      </c>
      <c r="N711">
        <v>4.7699999999999996</v>
      </c>
      <c r="O711">
        <v>4.09</v>
      </c>
      <c r="Q711" t="s">
        <v>3745</v>
      </c>
      <c r="R711">
        <v>5907698030973</v>
      </c>
      <c r="S711">
        <v>100</v>
      </c>
      <c r="T711" t="s">
        <v>383</v>
      </c>
      <c r="U711" t="s">
        <v>3746</v>
      </c>
      <c r="V711">
        <v>9603909900</v>
      </c>
    </row>
    <row r="712" spans="1:22" x14ac:dyDescent="0.25">
      <c r="A712">
        <v>733405</v>
      </c>
      <c r="B712" t="s">
        <v>2993</v>
      </c>
      <c r="C712">
        <v>30</v>
      </c>
      <c r="D712">
        <v>0</v>
      </c>
      <c r="E712" t="s">
        <v>303</v>
      </c>
      <c r="F712" t="s">
        <v>3338</v>
      </c>
      <c r="G712" t="s">
        <v>3339</v>
      </c>
      <c r="H712" t="s">
        <v>2968</v>
      </c>
      <c r="I712" t="s">
        <v>2150</v>
      </c>
      <c r="J712">
        <v>137</v>
      </c>
      <c r="K712">
        <v>12</v>
      </c>
      <c r="L712">
        <v>149</v>
      </c>
      <c r="M712">
        <v>23</v>
      </c>
      <c r="N712">
        <v>5.81</v>
      </c>
      <c r="O712">
        <v>4.9800000000000004</v>
      </c>
      <c r="Q712" t="s">
        <v>3341</v>
      </c>
      <c r="R712">
        <v>5907698030980</v>
      </c>
      <c r="S712">
        <v>100</v>
      </c>
      <c r="T712" t="s">
        <v>383</v>
      </c>
      <c r="U712" t="s">
        <v>3746</v>
      </c>
      <c r="V712">
        <v>9603909900</v>
      </c>
    </row>
    <row r="713" spans="1:22" x14ac:dyDescent="0.25">
      <c r="A713">
        <v>733510</v>
      </c>
      <c r="B713" t="s">
        <v>302</v>
      </c>
      <c r="C713">
        <v>100</v>
      </c>
      <c r="D713">
        <v>25</v>
      </c>
      <c r="E713" t="s">
        <v>303</v>
      </c>
      <c r="F713" t="s">
        <v>1159</v>
      </c>
      <c r="G713" t="s">
        <v>1160</v>
      </c>
      <c r="H713" t="s">
        <v>1161</v>
      </c>
      <c r="I713" t="s">
        <v>1162</v>
      </c>
      <c r="J713">
        <v>0</v>
      </c>
      <c r="K713">
        <v>1</v>
      </c>
      <c r="L713">
        <v>1</v>
      </c>
      <c r="M713">
        <v>2.78</v>
      </c>
      <c r="N713">
        <v>0.71</v>
      </c>
      <c r="O713">
        <v>0.62</v>
      </c>
      <c r="Q713" t="s">
        <v>2</v>
      </c>
      <c r="R713">
        <v>5907698024491</v>
      </c>
      <c r="S713">
        <v>2000</v>
      </c>
      <c r="T713" t="s">
        <v>907</v>
      </c>
      <c r="V713">
        <v>4016999790</v>
      </c>
    </row>
    <row r="714" spans="1:22" x14ac:dyDescent="0.25">
      <c r="A714">
        <v>733511</v>
      </c>
      <c r="B714" t="s">
        <v>2993</v>
      </c>
      <c r="C714">
        <v>0</v>
      </c>
      <c r="D714">
        <v>0</v>
      </c>
      <c r="E714" t="s">
        <v>303</v>
      </c>
      <c r="F714" t="s">
        <v>687</v>
      </c>
      <c r="G714" t="s">
        <v>688</v>
      </c>
      <c r="H714" t="s">
        <v>2969</v>
      </c>
      <c r="I714" t="s">
        <v>688</v>
      </c>
      <c r="J714">
        <v>0</v>
      </c>
      <c r="K714">
        <v>0</v>
      </c>
      <c r="L714">
        <v>0</v>
      </c>
      <c r="M714">
        <v>4.4400000000000004</v>
      </c>
      <c r="N714">
        <v>1.1399999999999999</v>
      </c>
      <c r="O714">
        <v>0.97</v>
      </c>
      <c r="Q714" t="s">
        <v>2</v>
      </c>
      <c r="R714">
        <v>5907698031130</v>
      </c>
      <c r="S714">
        <v>500</v>
      </c>
      <c r="T714" t="s">
        <v>3342</v>
      </c>
      <c r="U714" t="s">
        <v>3343</v>
      </c>
      <c r="V714">
        <v>7326909890</v>
      </c>
    </row>
    <row r="715" spans="1:22" x14ac:dyDescent="0.25">
      <c r="A715">
        <v>733520</v>
      </c>
      <c r="B715" t="s">
        <v>302</v>
      </c>
      <c r="C715">
        <v>100</v>
      </c>
      <c r="D715">
        <v>50</v>
      </c>
      <c r="E715" t="s">
        <v>303</v>
      </c>
      <c r="F715" t="s">
        <v>1163</v>
      </c>
      <c r="G715" t="s">
        <v>1160</v>
      </c>
      <c r="H715" t="s">
        <v>1164</v>
      </c>
      <c r="I715" t="s">
        <v>1162</v>
      </c>
      <c r="J715">
        <v>0</v>
      </c>
      <c r="K715">
        <v>29</v>
      </c>
      <c r="L715">
        <v>29</v>
      </c>
      <c r="M715">
        <v>3.5</v>
      </c>
      <c r="N715">
        <v>0.9</v>
      </c>
      <c r="O715">
        <v>0.78</v>
      </c>
      <c r="Q715" t="s">
        <v>2</v>
      </c>
      <c r="R715">
        <v>5907698023715</v>
      </c>
      <c r="S715">
        <v>2800</v>
      </c>
      <c r="T715" t="s">
        <v>907</v>
      </c>
      <c r="V715">
        <v>4016999790</v>
      </c>
    </row>
    <row r="716" spans="1:22" x14ac:dyDescent="0.25">
      <c r="A716">
        <v>733525</v>
      </c>
      <c r="B716" t="s">
        <v>2993</v>
      </c>
      <c r="C716">
        <v>100</v>
      </c>
      <c r="D716">
        <v>50</v>
      </c>
      <c r="E716" t="s">
        <v>303</v>
      </c>
      <c r="F716" t="s">
        <v>1163</v>
      </c>
      <c r="G716" t="s">
        <v>1160</v>
      </c>
      <c r="H716" t="s">
        <v>2747</v>
      </c>
      <c r="I716" t="s">
        <v>1162</v>
      </c>
      <c r="J716">
        <v>788</v>
      </c>
      <c r="K716">
        <v>101</v>
      </c>
      <c r="L716">
        <v>889</v>
      </c>
      <c r="M716">
        <v>4.62</v>
      </c>
      <c r="N716">
        <v>1.17</v>
      </c>
      <c r="O716">
        <v>1.04</v>
      </c>
      <c r="Q716" t="s">
        <v>2</v>
      </c>
      <c r="R716">
        <v>5907698029915</v>
      </c>
      <c r="S716">
        <v>1000</v>
      </c>
      <c r="T716" t="s">
        <v>907</v>
      </c>
      <c r="V716">
        <v>4016999790</v>
      </c>
    </row>
    <row r="717" spans="1:22" x14ac:dyDescent="0.25">
      <c r="A717">
        <v>733540</v>
      </c>
      <c r="B717" t="s">
        <v>302</v>
      </c>
      <c r="C717">
        <v>100</v>
      </c>
      <c r="D717">
        <v>25</v>
      </c>
      <c r="E717" t="s">
        <v>303</v>
      </c>
      <c r="F717" t="s">
        <v>2123</v>
      </c>
      <c r="G717" t="s">
        <v>2124</v>
      </c>
      <c r="H717" t="s">
        <v>2125</v>
      </c>
      <c r="I717" t="s">
        <v>2126</v>
      </c>
      <c r="J717">
        <v>337</v>
      </c>
      <c r="K717">
        <v>500</v>
      </c>
      <c r="L717">
        <v>837</v>
      </c>
      <c r="M717">
        <v>3.68</v>
      </c>
      <c r="N717">
        <v>0.95</v>
      </c>
      <c r="O717">
        <v>0.81</v>
      </c>
      <c r="Q717" t="s">
        <v>2</v>
      </c>
      <c r="R717">
        <v>5907698023708</v>
      </c>
      <c r="S717">
        <v>1300</v>
      </c>
      <c r="T717" t="s">
        <v>1822</v>
      </c>
      <c r="V717">
        <v>4304000000</v>
      </c>
    </row>
    <row r="718" spans="1:22" x14ac:dyDescent="0.25">
      <c r="A718">
        <v>733546</v>
      </c>
      <c r="B718" t="s">
        <v>2993</v>
      </c>
      <c r="C718">
        <v>30</v>
      </c>
      <c r="D718">
        <v>15</v>
      </c>
      <c r="E718" t="s">
        <v>303</v>
      </c>
      <c r="F718" t="s">
        <v>3344</v>
      </c>
      <c r="G718" t="s">
        <v>3345</v>
      </c>
      <c r="H718" t="s">
        <v>2970</v>
      </c>
      <c r="I718" t="s">
        <v>3346</v>
      </c>
      <c r="J718">
        <v>237</v>
      </c>
      <c r="K718">
        <v>60</v>
      </c>
      <c r="L718">
        <v>297</v>
      </c>
      <c r="M718">
        <v>14.08</v>
      </c>
      <c r="N718">
        <v>3.56</v>
      </c>
      <c r="O718">
        <v>3.05</v>
      </c>
      <c r="Q718" t="s">
        <v>3745</v>
      </c>
      <c r="R718">
        <v>5907698030997</v>
      </c>
      <c r="S718">
        <v>100</v>
      </c>
      <c r="T718" t="s">
        <v>907</v>
      </c>
      <c r="U718" t="s">
        <v>3746</v>
      </c>
      <c r="V718">
        <v>3926909790</v>
      </c>
    </row>
    <row r="719" spans="1:22" x14ac:dyDescent="0.25">
      <c r="A719">
        <v>733552</v>
      </c>
      <c r="B719" t="s">
        <v>302</v>
      </c>
      <c r="C719">
        <v>100</v>
      </c>
      <c r="E719" t="s">
        <v>303</v>
      </c>
      <c r="F719" t="s">
        <v>3347</v>
      </c>
      <c r="G719" t="s">
        <v>2127</v>
      </c>
      <c r="H719" t="s">
        <v>2128</v>
      </c>
      <c r="I719" t="s">
        <v>2129</v>
      </c>
      <c r="J719">
        <v>30</v>
      </c>
      <c r="K719">
        <v>0</v>
      </c>
      <c r="L719">
        <v>30</v>
      </c>
      <c r="M719">
        <v>2.5299999999999998</v>
      </c>
      <c r="N719">
        <v>0.6</v>
      </c>
      <c r="O719">
        <v>0.55000000000000004</v>
      </c>
      <c r="Q719" t="s">
        <v>2130</v>
      </c>
      <c r="R719">
        <v>5907698024750</v>
      </c>
      <c r="S719">
        <v>25</v>
      </c>
      <c r="T719" t="s">
        <v>2131</v>
      </c>
      <c r="V719">
        <v>6804229000</v>
      </c>
    </row>
    <row r="720" spans="1:22" x14ac:dyDescent="0.25">
      <c r="A720">
        <v>733553</v>
      </c>
      <c r="B720" t="s">
        <v>302</v>
      </c>
      <c r="C720">
        <v>100</v>
      </c>
      <c r="E720" t="s">
        <v>303</v>
      </c>
      <c r="F720" t="s">
        <v>3347</v>
      </c>
      <c r="G720" t="s">
        <v>2127</v>
      </c>
      <c r="H720" t="s">
        <v>2132</v>
      </c>
      <c r="I720" t="s">
        <v>2129</v>
      </c>
      <c r="J720">
        <v>338</v>
      </c>
      <c r="K720">
        <v>0</v>
      </c>
      <c r="L720">
        <v>338</v>
      </c>
      <c r="M720">
        <v>2.4</v>
      </c>
      <c r="N720">
        <v>0.56999999999999995</v>
      </c>
      <c r="O720">
        <v>0.53</v>
      </c>
      <c r="Q720" t="s">
        <v>2130</v>
      </c>
      <c r="R720">
        <v>5907698024767</v>
      </c>
      <c r="S720">
        <v>20</v>
      </c>
      <c r="T720" t="s">
        <v>2131</v>
      </c>
      <c r="V720">
        <v>6804229000</v>
      </c>
    </row>
    <row r="721" spans="1:22" x14ac:dyDescent="0.25">
      <c r="A721">
        <v>733554</v>
      </c>
      <c r="B721" t="s">
        <v>302</v>
      </c>
      <c r="C721">
        <v>100</v>
      </c>
      <c r="E721" t="s">
        <v>303</v>
      </c>
      <c r="F721" t="s">
        <v>3347</v>
      </c>
      <c r="G721" t="s">
        <v>2127</v>
      </c>
      <c r="H721" t="s">
        <v>2133</v>
      </c>
      <c r="I721" t="s">
        <v>2129</v>
      </c>
      <c r="J721">
        <v>223</v>
      </c>
      <c r="K721">
        <v>0</v>
      </c>
      <c r="L721">
        <v>223</v>
      </c>
      <c r="M721">
        <v>2.5299999999999998</v>
      </c>
      <c r="N721">
        <v>0.6</v>
      </c>
      <c r="O721">
        <v>0.55000000000000004</v>
      </c>
      <c r="Q721" t="s">
        <v>2130</v>
      </c>
      <c r="R721">
        <v>5907698024774</v>
      </c>
      <c r="S721">
        <v>30</v>
      </c>
      <c r="T721" t="s">
        <v>2131</v>
      </c>
      <c r="V721">
        <v>6804229000</v>
      </c>
    </row>
    <row r="722" spans="1:22" x14ac:dyDescent="0.25">
      <c r="A722">
        <v>733556</v>
      </c>
      <c r="B722" t="s">
        <v>302</v>
      </c>
      <c r="C722">
        <v>100</v>
      </c>
      <c r="E722" t="s">
        <v>303</v>
      </c>
      <c r="F722" t="s">
        <v>3347</v>
      </c>
      <c r="G722" t="s">
        <v>2127</v>
      </c>
      <c r="H722" t="s">
        <v>2134</v>
      </c>
      <c r="I722" t="s">
        <v>2129</v>
      </c>
      <c r="J722">
        <v>125</v>
      </c>
      <c r="K722">
        <v>0</v>
      </c>
      <c r="L722">
        <v>125</v>
      </c>
      <c r="M722">
        <v>2.5299999999999998</v>
      </c>
      <c r="N722">
        <v>0.6</v>
      </c>
      <c r="O722">
        <v>0.55000000000000004</v>
      </c>
      <c r="Q722" t="s">
        <v>2130</v>
      </c>
      <c r="R722">
        <v>5907698024798</v>
      </c>
      <c r="S722">
        <v>20</v>
      </c>
      <c r="T722" t="s">
        <v>2131</v>
      </c>
      <c r="V722">
        <v>6804229000</v>
      </c>
    </row>
    <row r="723" spans="1:22" x14ac:dyDescent="0.25">
      <c r="A723">
        <v>734050</v>
      </c>
      <c r="B723" t="s">
        <v>302</v>
      </c>
      <c r="C723">
        <v>120</v>
      </c>
      <c r="D723">
        <v>30</v>
      </c>
      <c r="E723" t="s">
        <v>303</v>
      </c>
      <c r="F723" t="s">
        <v>1165</v>
      </c>
      <c r="G723" t="s">
        <v>1166</v>
      </c>
      <c r="H723" t="s">
        <v>639</v>
      </c>
      <c r="I723" t="s">
        <v>1167</v>
      </c>
      <c r="J723">
        <v>1355</v>
      </c>
      <c r="K723">
        <v>0</v>
      </c>
      <c r="L723">
        <v>1355</v>
      </c>
      <c r="M723">
        <v>2.4500000000000002</v>
      </c>
      <c r="N723">
        <v>0.59</v>
      </c>
      <c r="O723">
        <v>0.54</v>
      </c>
      <c r="Q723" t="s">
        <v>2</v>
      </c>
      <c r="R723">
        <v>5907698017264</v>
      </c>
      <c r="S723">
        <v>5100</v>
      </c>
      <c r="T723" t="s">
        <v>482</v>
      </c>
      <c r="V723">
        <v>6804223000</v>
      </c>
    </row>
    <row r="724" spans="1:22" x14ac:dyDescent="0.25">
      <c r="A724">
        <v>734059</v>
      </c>
      <c r="B724" t="s">
        <v>302</v>
      </c>
      <c r="C724">
        <v>120</v>
      </c>
      <c r="D724">
        <v>30</v>
      </c>
      <c r="E724" t="s">
        <v>303</v>
      </c>
      <c r="F724" t="s">
        <v>1165</v>
      </c>
      <c r="G724" t="s">
        <v>1166</v>
      </c>
      <c r="H724" t="s">
        <v>638</v>
      </c>
      <c r="I724" t="s">
        <v>1167</v>
      </c>
      <c r="J724">
        <v>231</v>
      </c>
      <c r="K724">
        <v>0</v>
      </c>
      <c r="L724">
        <v>231</v>
      </c>
      <c r="M724">
        <v>3.56</v>
      </c>
      <c r="N724">
        <v>0.95</v>
      </c>
      <c r="O724">
        <v>0.8</v>
      </c>
      <c r="Q724" t="s">
        <v>2</v>
      </c>
      <c r="R724">
        <v>5907698024453</v>
      </c>
      <c r="S724">
        <v>1600</v>
      </c>
      <c r="T724" t="s">
        <v>646</v>
      </c>
      <c r="V724">
        <v>6804223000</v>
      </c>
    </row>
    <row r="725" spans="1:22" x14ac:dyDescent="0.25">
      <c r="A725">
        <v>734061</v>
      </c>
      <c r="B725" t="s">
        <v>2993</v>
      </c>
      <c r="C725">
        <v>24</v>
      </c>
      <c r="D725">
        <v>1</v>
      </c>
      <c r="E725" t="s">
        <v>303</v>
      </c>
      <c r="F725" t="s">
        <v>3344</v>
      </c>
      <c r="G725" t="s">
        <v>3348</v>
      </c>
      <c r="H725" t="s">
        <v>1141</v>
      </c>
      <c r="I725" t="s">
        <v>3349</v>
      </c>
      <c r="J725">
        <v>214</v>
      </c>
      <c r="K725">
        <v>24</v>
      </c>
      <c r="L725">
        <v>238</v>
      </c>
      <c r="M725">
        <v>26.35</v>
      </c>
      <c r="N725">
        <v>6.66</v>
      </c>
      <c r="O725">
        <v>5.7</v>
      </c>
      <c r="Q725" t="s">
        <v>3745</v>
      </c>
      <c r="R725">
        <v>5907698031000</v>
      </c>
      <c r="S725">
        <v>100</v>
      </c>
      <c r="T725" t="s">
        <v>427</v>
      </c>
      <c r="U725" t="s">
        <v>3746</v>
      </c>
      <c r="V725">
        <v>6804223000</v>
      </c>
    </row>
    <row r="726" spans="1:22" x14ac:dyDescent="0.25">
      <c r="A726">
        <v>734100</v>
      </c>
      <c r="B726" t="s">
        <v>302</v>
      </c>
      <c r="C726">
        <v>25</v>
      </c>
      <c r="D726">
        <v>0</v>
      </c>
      <c r="E726" t="s">
        <v>303</v>
      </c>
      <c r="F726" t="s">
        <v>1168</v>
      </c>
      <c r="G726" t="s">
        <v>1169</v>
      </c>
      <c r="H726" t="s">
        <v>1170</v>
      </c>
      <c r="I726" t="s">
        <v>2437</v>
      </c>
      <c r="J726">
        <v>51</v>
      </c>
      <c r="K726">
        <v>0</v>
      </c>
      <c r="L726">
        <v>51</v>
      </c>
      <c r="M726">
        <v>19.23</v>
      </c>
      <c r="N726">
        <v>4.97</v>
      </c>
      <c r="O726">
        <v>4.2</v>
      </c>
      <c r="Q726" t="s">
        <v>2</v>
      </c>
      <c r="R726">
        <v>5907698025108</v>
      </c>
      <c r="S726">
        <v>180</v>
      </c>
      <c r="T726" t="s">
        <v>1171</v>
      </c>
      <c r="V726">
        <v>6804223000</v>
      </c>
    </row>
    <row r="727" spans="1:22" x14ac:dyDescent="0.25">
      <c r="A727">
        <v>735011</v>
      </c>
      <c r="B727" t="s">
        <v>302</v>
      </c>
      <c r="C727">
        <v>400</v>
      </c>
      <c r="D727">
        <v>50</v>
      </c>
      <c r="E727" t="s">
        <v>303</v>
      </c>
      <c r="F727" t="s">
        <v>1172</v>
      </c>
      <c r="G727" t="s">
        <v>1173</v>
      </c>
      <c r="H727" t="s">
        <v>1174</v>
      </c>
      <c r="I727" t="s">
        <v>1175</v>
      </c>
      <c r="J727">
        <v>0</v>
      </c>
      <c r="K727">
        <v>0</v>
      </c>
      <c r="L727">
        <v>0</v>
      </c>
      <c r="M727">
        <v>1.21</v>
      </c>
      <c r="N727">
        <v>0.28999999999999998</v>
      </c>
      <c r="O727">
        <v>0.27</v>
      </c>
      <c r="Q727" t="s">
        <v>3744</v>
      </c>
      <c r="R727">
        <v>5907698020264</v>
      </c>
      <c r="S727">
        <v>2400</v>
      </c>
      <c r="T727" t="s">
        <v>535</v>
      </c>
      <c r="V727">
        <v>6804229000</v>
      </c>
    </row>
    <row r="728" spans="1:22" x14ac:dyDescent="0.25">
      <c r="A728">
        <v>735056</v>
      </c>
      <c r="B728" t="s">
        <v>302</v>
      </c>
      <c r="C728">
        <v>400</v>
      </c>
      <c r="D728">
        <v>100</v>
      </c>
      <c r="E728" t="s">
        <v>303</v>
      </c>
      <c r="F728" t="s">
        <v>1172</v>
      </c>
      <c r="G728" t="s">
        <v>1173</v>
      </c>
      <c r="H728" t="s">
        <v>1176</v>
      </c>
      <c r="I728" t="s">
        <v>1175</v>
      </c>
      <c r="J728">
        <v>0</v>
      </c>
      <c r="K728">
        <v>0</v>
      </c>
      <c r="L728">
        <v>0</v>
      </c>
      <c r="M728">
        <v>1.1299999999999999</v>
      </c>
      <c r="N728">
        <v>0.27</v>
      </c>
      <c r="O728">
        <v>0.25</v>
      </c>
      <c r="Q728" t="s">
        <v>3744</v>
      </c>
      <c r="R728">
        <v>5907698021971</v>
      </c>
      <c r="S728">
        <v>1000</v>
      </c>
      <c r="T728" t="s">
        <v>535</v>
      </c>
      <c r="V728">
        <v>6804229000</v>
      </c>
    </row>
    <row r="729" spans="1:22" x14ac:dyDescent="0.25">
      <c r="A729">
        <v>735062</v>
      </c>
      <c r="B729" t="s">
        <v>302</v>
      </c>
      <c r="C729">
        <v>10</v>
      </c>
      <c r="D729">
        <v>10</v>
      </c>
      <c r="E729" t="s">
        <v>303</v>
      </c>
      <c r="F729" t="s">
        <v>3350</v>
      </c>
      <c r="G729" t="s">
        <v>1173</v>
      </c>
      <c r="H729" t="s">
        <v>1177</v>
      </c>
      <c r="I729" t="s">
        <v>1175</v>
      </c>
      <c r="J729">
        <v>2606</v>
      </c>
      <c r="K729">
        <v>0</v>
      </c>
      <c r="L729">
        <v>2606</v>
      </c>
      <c r="M729">
        <v>3.32</v>
      </c>
      <c r="N729">
        <v>0.83</v>
      </c>
      <c r="O729">
        <v>0.74</v>
      </c>
      <c r="Q729" t="s">
        <v>3744</v>
      </c>
      <c r="R729">
        <v>5907698021278</v>
      </c>
      <c r="S729">
        <v>1180</v>
      </c>
      <c r="T729" t="s">
        <v>535</v>
      </c>
      <c r="V729">
        <v>6804229000</v>
      </c>
    </row>
    <row r="730" spans="1:22" x14ac:dyDescent="0.25">
      <c r="A730">
        <v>735071</v>
      </c>
      <c r="B730" t="s">
        <v>302</v>
      </c>
      <c r="C730">
        <v>500</v>
      </c>
      <c r="D730">
        <v>50</v>
      </c>
      <c r="E730" t="s">
        <v>303</v>
      </c>
      <c r="F730" t="s">
        <v>1172</v>
      </c>
      <c r="G730" t="s">
        <v>1173</v>
      </c>
      <c r="H730" t="s">
        <v>1178</v>
      </c>
      <c r="I730" t="s">
        <v>2580</v>
      </c>
      <c r="J730">
        <v>0</v>
      </c>
      <c r="K730">
        <v>1</v>
      </c>
      <c r="L730">
        <v>1</v>
      </c>
      <c r="M730">
        <v>1.29</v>
      </c>
      <c r="N730">
        <v>0.3</v>
      </c>
      <c r="O730">
        <v>0.28999999999999998</v>
      </c>
      <c r="Q730" t="s">
        <v>3744</v>
      </c>
      <c r="R730">
        <v>5907698020271</v>
      </c>
      <c r="S730">
        <v>2450</v>
      </c>
      <c r="T730" t="s">
        <v>535</v>
      </c>
      <c r="V730">
        <v>6804229000</v>
      </c>
    </row>
    <row r="731" spans="1:22" x14ac:dyDescent="0.25">
      <c r="A731">
        <v>735076</v>
      </c>
      <c r="B731" t="s">
        <v>302</v>
      </c>
      <c r="C731">
        <v>400</v>
      </c>
      <c r="D731">
        <v>100</v>
      </c>
      <c r="E731" t="s">
        <v>303</v>
      </c>
      <c r="F731" t="s">
        <v>1172</v>
      </c>
      <c r="G731" t="s">
        <v>1173</v>
      </c>
      <c r="H731" t="s">
        <v>1179</v>
      </c>
      <c r="I731" t="s">
        <v>1175</v>
      </c>
      <c r="J731">
        <v>5</v>
      </c>
      <c r="K731">
        <v>0</v>
      </c>
      <c r="L731">
        <v>5</v>
      </c>
      <c r="M731">
        <v>1.39</v>
      </c>
      <c r="N731">
        <v>0.32</v>
      </c>
      <c r="O731">
        <v>0.31</v>
      </c>
      <c r="Q731" t="s">
        <v>3744</v>
      </c>
      <c r="R731">
        <v>5907698021988</v>
      </c>
      <c r="S731">
        <v>900</v>
      </c>
      <c r="T731" t="s">
        <v>535</v>
      </c>
      <c r="V731">
        <v>6804229000</v>
      </c>
    </row>
    <row r="732" spans="1:22" x14ac:dyDescent="0.25">
      <c r="A732">
        <v>738434</v>
      </c>
      <c r="B732" t="s">
        <v>302</v>
      </c>
      <c r="C732">
        <v>40</v>
      </c>
      <c r="E732" t="s">
        <v>303</v>
      </c>
      <c r="F732" t="s">
        <v>3351</v>
      </c>
      <c r="G732" t="s">
        <v>1180</v>
      </c>
      <c r="H732" t="s">
        <v>1181</v>
      </c>
      <c r="I732" t="s">
        <v>1182</v>
      </c>
      <c r="J732">
        <v>5</v>
      </c>
      <c r="K732">
        <v>0</v>
      </c>
      <c r="L732">
        <v>5</v>
      </c>
      <c r="M732">
        <v>6.26</v>
      </c>
      <c r="N732">
        <v>1.5</v>
      </c>
      <c r="O732">
        <v>1.38</v>
      </c>
      <c r="Q732" t="s">
        <v>3744</v>
      </c>
      <c r="R732">
        <v>5907698019404</v>
      </c>
      <c r="S732">
        <v>350</v>
      </c>
      <c r="T732" t="s">
        <v>1183</v>
      </c>
      <c r="U732" t="s">
        <v>3221</v>
      </c>
      <c r="V732">
        <v>6804229000</v>
      </c>
    </row>
    <row r="733" spans="1:22" x14ac:dyDescent="0.25">
      <c r="A733">
        <v>738436</v>
      </c>
      <c r="B733" t="s">
        <v>302</v>
      </c>
      <c r="C733">
        <v>40</v>
      </c>
      <c r="E733" t="s">
        <v>303</v>
      </c>
      <c r="F733" t="s">
        <v>3351</v>
      </c>
      <c r="G733" t="s">
        <v>1180</v>
      </c>
      <c r="H733" t="s">
        <v>2135</v>
      </c>
      <c r="I733" t="s">
        <v>1182</v>
      </c>
      <c r="J733">
        <v>328</v>
      </c>
      <c r="K733">
        <v>0</v>
      </c>
      <c r="L733">
        <v>328</v>
      </c>
      <c r="M733">
        <v>6.18</v>
      </c>
      <c r="N733">
        <v>1.49</v>
      </c>
      <c r="O733">
        <v>1.36</v>
      </c>
      <c r="Q733" t="s">
        <v>3744</v>
      </c>
      <c r="R733">
        <v>5907698019411</v>
      </c>
      <c r="S733">
        <v>250</v>
      </c>
      <c r="T733" t="s">
        <v>1183</v>
      </c>
      <c r="U733" t="s">
        <v>3221</v>
      </c>
      <c r="V733">
        <v>6804229000</v>
      </c>
    </row>
    <row r="734" spans="1:22" x14ac:dyDescent="0.25">
      <c r="A734">
        <v>738438</v>
      </c>
      <c r="B734" t="s">
        <v>302</v>
      </c>
      <c r="C734">
        <v>40</v>
      </c>
      <c r="E734" t="s">
        <v>303</v>
      </c>
      <c r="F734" t="s">
        <v>3351</v>
      </c>
      <c r="G734" t="s">
        <v>1184</v>
      </c>
      <c r="H734" t="s">
        <v>2136</v>
      </c>
      <c r="I734" t="s">
        <v>2137</v>
      </c>
      <c r="J734">
        <v>14</v>
      </c>
      <c r="K734">
        <v>0</v>
      </c>
      <c r="L734">
        <v>14</v>
      </c>
      <c r="M734">
        <v>6.11</v>
      </c>
      <c r="N734">
        <v>1.55</v>
      </c>
      <c r="O734">
        <v>1.38</v>
      </c>
      <c r="Q734" t="s">
        <v>3744</v>
      </c>
      <c r="R734">
        <v>5907698020387</v>
      </c>
      <c r="S734">
        <v>250</v>
      </c>
      <c r="T734" t="s">
        <v>1183</v>
      </c>
      <c r="V734">
        <v>6804229000</v>
      </c>
    </row>
    <row r="735" spans="1:22" x14ac:dyDescent="0.25">
      <c r="A735">
        <v>738440</v>
      </c>
      <c r="B735" t="s">
        <v>302</v>
      </c>
      <c r="C735">
        <v>40</v>
      </c>
      <c r="E735" t="s">
        <v>303</v>
      </c>
      <c r="F735" t="s">
        <v>3351</v>
      </c>
      <c r="G735" t="s">
        <v>1184</v>
      </c>
      <c r="H735" t="s">
        <v>2138</v>
      </c>
      <c r="I735" t="s">
        <v>2139</v>
      </c>
      <c r="J735">
        <v>460</v>
      </c>
      <c r="K735">
        <v>40</v>
      </c>
      <c r="L735">
        <v>500</v>
      </c>
      <c r="M735">
        <v>7.47</v>
      </c>
      <c r="N735">
        <v>1.91</v>
      </c>
      <c r="O735">
        <v>1.68</v>
      </c>
      <c r="Q735" t="s">
        <v>3744</v>
      </c>
      <c r="R735">
        <v>5907698020394</v>
      </c>
      <c r="S735">
        <v>200</v>
      </c>
      <c r="T735" t="s">
        <v>1183</v>
      </c>
      <c r="V735">
        <v>6804229000</v>
      </c>
    </row>
    <row r="736" spans="1:22" x14ac:dyDescent="0.25">
      <c r="A736">
        <v>738534</v>
      </c>
      <c r="B736" t="s">
        <v>302</v>
      </c>
      <c r="C736">
        <v>40</v>
      </c>
      <c r="E736" t="s">
        <v>303</v>
      </c>
      <c r="F736" t="s">
        <v>3351</v>
      </c>
      <c r="G736" t="s">
        <v>1184</v>
      </c>
      <c r="H736" t="s">
        <v>2140</v>
      </c>
      <c r="I736" t="s">
        <v>2141</v>
      </c>
      <c r="J736">
        <v>685</v>
      </c>
      <c r="K736">
        <v>13</v>
      </c>
      <c r="L736">
        <v>698</v>
      </c>
      <c r="M736">
        <v>8.5399999999999991</v>
      </c>
      <c r="N736">
        <v>2.06</v>
      </c>
      <c r="O736">
        <v>1.87</v>
      </c>
      <c r="Q736" t="s">
        <v>3744</v>
      </c>
      <c r="R736">
        <v>5907698019428</v>
      </c>
      <c r="S736">
        <v>300</v>
      </c>
      <c r="T736" t="s">
        <v>1183</v>
      </c>
      <c r="U736" t="s">
        <v>3221</v>
      </c>
      <c r="V736">
        <v>6804229000</v>
      </c>
    </row>
    <row r="737" spans="1:22" x14ac:dyDescent="0.25">
      <c r="A737">
        <v>738536</v>
      </c>
      <c r="B737" t="s">
        <v>302</v>
      </c>
      <c r="C737">
        <v>40</v>
      </c>
      <c r="E737" t="s">
        <v>303</v>
      </c>
      <c r="F737" t="s">
        <v>3351</v>
      </c>
      <c r="G737" t="s">
        <v>1184</v>
      </c>
      <c r="H737" t="s">
        <v>2142</v>
      </c>
      <c r="I737" t="s">
        <v>2143</v>
      </c>
      <c r="J737">
        <v>42</v>
      </c>
      <c r="K737">
        <v>0</v>
      </c>
      <c r="L737">
        <v>42</v>
      </c>
      <c r="M737">
        <v>7.5</v>
      </c>
      <c r="N737">
        <v>1.92</v>
      </c>
      <c r="O737">
        <v>1.65</v>
      </c>
      <c r="Q737" t="s">
        <v>3744</v>
      </c>
      <c r="R737">
        <v>5907698019435</v>
      </c>
      <c r="S737">
        <v>400</v>
      </c>
      <c r="T737" t="s">
        <v>1183</v>
      </c>
      <c r="V737">
        <v>6804229000</v>
      </c>
    </row>
    <row r="738" spans="1:22" x14ac:dyDescent="0.25">
      <c r="A738">
        <v>738538</v>
      </c>
      <c r="B738" t="s">
        <v>302</v>
      </c>
      <c r="C738">
        <v>40</v>
      </c>
      <c r="E738" t="s">
        <v>303</v>
      </c>
      <c r="F738" t="s">
        <v>3351</v>
      </c>
      <c r="G738" t="s">
        <v>1184</v>
      </c>
      <c r="H738" t="s">
        <v>1679</v>
      </c>
      <c r="I738" t="s">
        <v>2144</v>
      </c>
      <c r="J738">
        <v>424</v>
      </c>
      <c r="K738">
        <v>0</v>
      </c>
      <c r="L738">
        <v>424</v>
      </c>
      <c r="M738">
        <v>7.83</v>
      </c>
      <c r="N738">
        <v>1.89</v>
      </c>
      <c r="O738">
        <v>1.73</v>
      </c>
      <c r="Q738" t="s">
        <v>3744</v>
      </c>
      <c r="R738">
        <v>5907698021216</v>
      </c>
      <c r="S738">
        <v>500</v>
      </c>
      <c r="T738" t="s">
        <v>1183</v>
      </c>
      <c r="U738" t="s">
        <v>3221</v>
      </c>
      <c r="V738">
        <v>6804229000</v>
      </c>
    </row>
    <row r="739" spans="1:22" x14ac:dyDescent="0.25">
      <c r="A739">
        <v>739534</v>
      </c>
      <c r="B739" t="s">
        <v>302</v>
      </c>
      <c r="C739">
        <v>40</v>
      </c>
      <c r="E739" t="s">
        <v>303</v>
      </c>
      <c r="F739" t="s">
        <v>3351</v>
      </c>
      <c r="G739" t="s">
        <v>1184</v>
      </c>
      <c r="H739" t="s">
        <v>1185</v>
      </c>
      <c r="I739" t="s">
        <v>1186</v>
      </c>
      <c r="J739">
        <v>0</v>
      </c>
      <c r="K739">
        <v>0</v>
      </c>
      <c r="L739">
        <v>0</v>
      </c>
      <c r="M739">
        <v>8.49</v>
      </c>
      <c r="N739">
        <v>2.1800000000000002</v>
      </c>
      <c r="O739">
        <v>1.86</v>
      </c>
      <c r="Q739" t="s">
        <v>3744</v>
      </c>
      <c r="R739">
        <v>5907698022398</v>
      </c>
      <c r="S739">
        <v>350</v>
      </c>
      <c r="T739" t="s">
        <v>1183</v>
      </c>
      <c r="V739">
        <v>6804229000</v>
      </c>
    </row>
    <row r="740" spans="1:22" x14ac:dyDescent="0.25">
      <c r="A740">
        <v>739536</v>
      </c>
      <c r="B740" t="s">
        <v>302</v>
      </c>
      <c r="C740">
        <v>40</v>
      </c>
      <c r="E740" t="s">
        <v>303</v>
      </c>
      <c r="F740" t="s">
        <v>3351</v>
      </c>
      <c r="G740" t="s">
        <v>1184</v>
      </c>
      <c r="H740" t="s">
        <v>1187</v>
      </c>
      <c r="I740" t="s">
        <v>1188</v>
      </c>
      <c r="J740">
        <v>287</v>
      </c>
      <c r="K740">
        <v>0</v>
      </c>
      <c r="L740">
        <v>287</v>
      </c>
      <c r="M740">
        <v>8.83</v>
      </c>
      <c r="N740">
        <v>2.2400000000000002</v>
      </c>
      <c r="O740">
        <v>1.98</v>
      </c>
      <c r="Q740" t="s">
        <v>3744</v>
      </c>
      <c r="R740">
        <v>5907698022381</v>
      </c>
      <c r="S740">
        <v>250</v>
      </c>
      <c r="T740" t="s">
        <v>1183</v>
      </c>
      <c r="V740">
        <v>6804229000</v>
      </c>
    </row>
    <row r="741" spans="1:22" x14ac:dyDescent="0.25">
      <c r="A741">
        <v>739538</v>
      </c>
      <c r="B741" t="s">
        <v>302</v>
      </c>
      <c r="C741">
        <v>40</v>
      </c>
      <c r="E741" t="s">
        <v>303</v>
      </c>
      <c r="F741" t="s">
        <v>3351</v>
      </c>
      <c r="G741" t="s">
        <v>1184</v>
      </c>
      <c r="H741" t="s">
        <v>1189</v>
      </c>
      <c r="I741" t="s">
        <v>1190</v>
      </c>
      <c r="J741">
        <v>383</v>
      </c>
      <c r="K741">
        <v>0</v>
      </c>
      <c r="L741">
        <v>383</v>
      </c>
      <c r="M741">
        <v>7.85</v>
      </c>
      <c r="N741">
        <v>1.86</v>
      </c>
      <c r="O741">
        <v>1.71</v>
      </c>
      <c r="Q741" t="s">
        <v>3744</v>
      </c>
      <c r="R741">
        <v>5907698022374</v>
      </c>
      <c r="S741">
        <v>350</v>
      </c>
      <c r="T741" t="s">
        <v>1183</v>
      </c>
      <c r="V741">
        <v>6804229000</v>
      </c>
    </row>
    <row r="742" spans="1:22" x14ac:dyDescent="0.25">
      <c r="A742">
        <v>740000</v>
      </c>
      <c r="B742" t="s">
        <v>302</v>
      </c>
      <c r="C742">
        <v>100</v>
      </c>
      <c r="E742" t="s">
        <v>303</v>
      </c>
      <c r="F742" t="s">
        <v>1191</v>
      </c>
      <c r="G742" t="s">
        <v>1192</v>
      </c>
      <c r="H742" t="s">
        <v>2145</v>
      </c>
      <c r="I742" t="s">
        <v>1193</v>
      </c>
      <c r="J742">
        <v>1133</v>
      </c>
      <c r="K742">
        <v>200</v>
      </c>
      <c r="L742">
        <v>1333</v>
      </c>
      <c r="M742">
        <v>8.65</v>
      </c>
      <c r="N742">
        <v>2.19</v>
      </c>
      <c r="O742">
        <v>1.88</v>
      </c>
      <c r="Q742" t="s">
        <v>2</v>
      </c>
      <c r="R742">
        <v>5907698017547</v>
      </c>
      <c r="S742">
        <v>420</v>
      </c>
      <c r="T742" t="s">
        <v>482</v>
      </c>
      <c r="U742" t="s">
        <v>2581</v>
      </c>
      <c r="V742">
        <v>9603909900</v>
      </c>
    </row>
    <row r="743" spans="1:22" x14ac:dyDescent="0.25">
      <c r="A743">
        <v>740001</v>
      </c>
      <c r="B743" t="s">
        <v>302</v>
      </c>
      <c r="C743">
        <v>40</v>
      </c>
      <c r="E743" t="s">
        <v>303</v>
      </c>
      <c r="F743" t="s">
        <v>1191</v>
      </c>
      <c r="G743" t="s">
        <v>1192</v>
      </c>
      <c r="H743" t="s">
        <v>1194</v>
      </c>
      <c r="I743" t="s">
        <v>1193</v>
      </c>
      <c r="J743">
        <v>341</v>
      </c>
      <c r="K743">
        <v>120</v>
      </c>
      <c r="L743">
        <v>461</v>
      </c>
      <c r="M743">
        <v>9.6999999999999993</v>
      </c>
      <c r="N743">
        <v>2.29</v>
      </c>
      <c r="O743">
        <v>2.12</v>
      </c>
      <c r="Q743" t="s">
        <v>2</v>
      </c>
      <c r="R743">
        <v>5907698020660</v>
      </c>
      <c r="S743">
        <v>200</v>
      </c>
      <c r="T743" t="s">
        <v>482</v>
      </c>
      <c r="V743">
        <v>9603909900</v>
      </c>
    </row>
    <row r="744" spans="1:22" x14ac:dyDescent="0.25">
      <c r="A744">
        <v>740011</v>
      </c>
      <c r="B744" t="s">
        <v>302</v>
      </c>
      <c r="C744">
        <v>100</v>
      </c>
      <c r="D744">
        <v>0</v>
      </c>
      <c r="E744" t="s">
        <v>303</v>
      </c>
      <c r="F744" t="s">
        <v>1191</v>
      </c>
      <c r="G744" t="s">
        <v>1192</v>
      </c>
      <c r="H744" t="s">
        <v>1195</v>
      </c>
      <c r="I744" t="s">
        <v>1193</v>
      </c>
      <c r="J744">
        <v>281</v>
      </c>
      <c r="K744">
        <v>0</v>
      </c>
      <c r="L744">
        <v>281</v>
      </c>
      <c r="M744">
        <v>5.23</v>
      </c>
      <c r="N744">
        <v>1.25</v>
      </c>
      <c r="O744">
        <v>1.1399999999999999</v>
      </c>
      <c r="Q744" t="s">
        <v>2</v>
      </c>
      <c r="R744">
        <v>5907698020745</v>
      </c>
      <c r="S744">
        <v>250</v>
      </c>
      <c r="T744" t="s">
        <v>482</v>
      </c>
      <c r="U744" t="s">
        <v>2582</v>
      </c>
      <c r="V744">
        <v>9603909900</v>
      </c>
    </row>
    <row r="745" spans="1:22" x14ac:dyDescent="0.25">
      <c r="A745">
        <v>740012</v>
      </c>
      <c r="B745" t="s">
        <v>302</v>
      </c>
      <c r="C745">
        <v>80</v>
      </c>
      <c r="D745">
        <v>0</v>
      </c>
      <c r="E745" t="s">
        <v>303</v>
      </c>
      <c r="F745" t="s">
        <v>1191</v>
      </c>
      <c r="G745" t="s">
        <v>1192</v>
      </c>
      <c r="H745" t="s">
        <v>2146</v>
      </c>
      <c r="I745" t="s">
        <v>1193</v>
      </c>
      <c r="J745">
        <v>892</v>
      </c>
      <c r="K745">
        <v>180</v>
      </c>
      <c r="L745">
        <v>1072</v>
      </c>
      <c r="M745">
        <v>5.62</v>
      </c>
      <c r="N745">
        <v>1.33</v>
      </c>
      <c r="O745">
        <v>1.23</v>
      </c>
      <c r="Q745" t="s">
        <v>2</v>
      </c>
      <c r="R745">
        <v>5907698020684</v>
      </c>
      <c r="S745">
        <v>600</v>
      </c>
      <c r="T745" t="s">
        <v>482</v>
      </c>
      <c r="U745" t="s">
        <v>2748</v>
      </c>
      <c r="V745">
        <v>9603909900</v>
      </c>
    </row>
    <row r="746" spans="1:22" x14ac:dyDescent="0.25">
      <c r="A746">
        <v>740050</v>
      </c>
      <c r="B746" t="s">
        <v>302</v>
      </c>
      <c r="C746">
        <v>48</v>
      </c>
      <c r="D746">
        <v>12</v>
      </c>
      <c r="E746" t="s">
        <v>303</v>
      </c>
      <c r="F746" t="s">
        <v>2147</v>
      </c>
      <c r="G746" t="s">
        <v>2148</v>
      </c>
      <c r="H746" t="s">
        <v>2149</v>
      </c>
      <c r="I746" t="s">
        <v>2150</v>
      </c>
      <c r="J746">
        <v>243</v>
      </c>
      <c r="K746">
        <v>0</v>
      </c>
      <c r="L746">
        <v>243</v>
      </c>
      <c r="M746">
        <v>7.51</v>
      </c>
      <c r="N746">
        <v>1.78</v>
      </c>
      <c r="O746">
        <v>1.65</v>
      </c>
      <c r="Q746" t="s">
        <v>336</v>
      </c>
      <c r="R746">
        <v>5907698017578</v>
      </c>
      <c r="S746">
        <v>300</v>
      </c>
      <c r="T746" t="s">
        <v>383</v>
      </c>
      <c r="V746">
        <v>9603909900</v>
      </c>
    </row>
    <row r="747" spans="1:22" x14ac:dyDescent="0.25">
      <c r="A747">
        <v>740100</v>
      </c>
      <c r="B747" t="s">
        <v>302</v>
      </c>
      <c r="C747">
        <v>100</v>
      </c>
      <c r="D747">
        <v>0</v>
      </c>
      <c r="E747" t="s">
        <v>303</v>
      </c>
      <c r="F747" t="s">
        <v>1191</v>
      </c>
      <c r="G747" t="s">
        <v>1192</v>
      </c>
      <c r="H747" t="s">
        <v>1196</v>
      </c>
      <c r="I747" t="s">
        <v>1197</v>
      </c>
      <c r="J747">
        <v>0</v>
      </c>
      <c r="K747">
        <v>200</v>
      </c>
      <c r="L747">
        <v>72</v>
      </c>
      <c r="M747">
        <v>3.96</v>
      </c>
      <c r="N747">
        <v>0.93</v>
      </c>
      <c r="O747">
        <v>0.87</v>
      </c>
      <c r="Q747" t="s">
        <v>2548</v>
      </c>
      <c r="R747">
        <v>5907698020646</v>
      </c>
      <c r="S747">
        <v>450</v>
      </c>
      <c r="T747" t="s">
        <v>482</v>
      </c>
      <c r="V747">
        <v>9603909900</v>
      </c>
    </row>
    <row r="748" spans="1:22" x14ac:dyDescent="0.25">
      <c r="A748">
        <v>740101</v>
      </c>
      <c r="B748" t="s">
        <v>302</v>
      </c>
      <c r="C748">
        <v>100</v>
      </c>
      <c r="D748">
        <v>0</v>
      </c>
      <c r="E748" t="s">
        <v>303</v>
      </c>
      <c r="F748" t="s">
        <v>1191</v>
      </c>
      <c r="G748" t="s">
        <v>1192</v>
      </c>
      <c r="H748" t="s">
        <v>1680</v>
      </c>
      <c r="I748" t="s">
        <v>1197</v>
      </c>
      <c r="J748">
        <v>0</v>
      </c>
      <c r="K748">
        <v>20</v>
      </c>
      <c r="L748">
        <v>0</v>
      </c>
      <c r="M748">
        <v>4.54</v>
      </c>
      <c r="N748">
        <v>1.07</v>
      </c>
      <c r="O748">
        <v>0.99</v>
      </c>
      <c r="Q748" t="s">
        <v>2548</v>
      </c>
      <c r="R748">
        <v>5907698020653</v>
      </c>
      <c r="S748">
        <v>700</v>
      </c>
      <c r="T748" t="s">
        <v>482</v>
      </c>
      <c r="V748">
        <v>9603909900</v>
      </c>
    </row>
    <row r="749" spans="1:22" x14ac:dyDescent="0.25">
      <c r="A749">
        <v>740102</v>
      </c>
      <c r="B749" t="s">
        <v>302</v>
      </c>
      <c r="C749">
        <v>60</v>
      </c>
      <c r="D749">
        <v>0</v>
      </c>
      <c r="E749" t="s">
        <v>303</v>
      </c>
      <c r="F749" t="s">
        <v>1191</v>
      </c>
      <c r="G749" t="s">
        <v>1192</v>
      </c>
      <c r="H749" t="s">
        <v>1198</v>
      </c>
      <c r="I749" t="s">
        <v>1197</v>
      </c>
      <c r="J749">
        <v>0</v>
      </c>
      <c r="K749">
        <v>120</v>
      </c>
      <c r="L749">
        <v>0</v>
      </c>
      <c r="M749">
        <v>5.67</v>
      </c>
      <c r="N749">
        <v>1.34</v>
      </c>
      <c r="O749">
        <v>1.25</v>
      </c>
      <c r="Q749" t="s">
        <v>2548</v>
      </c>
      <c r="R749">
        <v>5907698020677</v>
      </c>
      <c r="S749">
        <v>750</v>
      </c>
      <c r="T749" t="s">
        <v>482</v>
      </c>
      <c r="V749">
        <v>9603909900</v>
      </c>
    </row>
    <row r="750" spans="1:22" x14ac:dyDescent="0.25">
      <c r="A750">
        <v>740230</v>
      </c>
      <c r="B750" t="s">
        <v>302</v>
      </c>
      <c r="C750">
        <v>80</v>
      </c>
      <c r="D750">
        <v>8</v>
      </c>
      <c r="E750" t="s">
        <v>303</v>
      </c>
      <c r="F750" t="s">
        <v>2147</v>
      </c>
      <c r="G750" t="s">
        <v>2148</v>
      </c>
      <c r="H750" t="s">
        <v>1681</v>
      </c>
      <c r="I750" t="s">
        <v>2151</v>
      </c>
      <c r="J750">
        <v>823</v>
      </c>
      <c r="K750">
        <v>0</v>
      </c>
      <c r="L750">
        <v>823</v>
      </c>
      <c r="M750">
        <v>5.9</v>
      </c>
      <c r="N750">
        <v>1.39</v>
      </c>
      <c r="O750">
        <v>1.29</v>
      </c>
      <c r="Q750" t="s">
        <v>2548</v>
      </c>
      <c r="R750">
        <v>5907698017592</v>
      </c>
      <c r="S750">
        <v>350</v>
      </c>
      <c r="T750" t="s">
        <v>383</v>
      </c>
      <c r="V750">
        <v>9603909900</v>
      </c>
    </row>
    <row r="751" spans="1:22" x14ac:dyDescent="0.25">
      <c r="A751">
        <v>741010</v>
      </c>
      <c r="B751" t="s">
        <v>302</v>
      </c>
      <c r="C751">
        <v>96</v>
      </c>
      <c r="D751">
        <v>12</v>
      </c>
      <c r="E751" t="s">
        <v>303</v>
      </c>
      <c r="F751" t="s">
        <v>1191</v>
      </c>
      <c r="G751" t="s">
        <v>1192</v>
      </c>
      <c r="H751" t="s">
        <v>1200</v>
      </c>
      <c r="I751" t="s">
        <v>1197</v>
      </c>
      <c r="J751">
        <v>856</v>
      </c>
      <c r="K751">
        <v>0</v>
      </c>
      <c r="L751">
        <v>856</v>
      </c>
      <c r="M751">
        <v>3.21</v>
      </c>
      <c r="N751">
        <v>0.77</v>
      </c>
      <c r="O751">
        <v>0.71</v>
      </c>
      <c r="Q751" t="s">
        <v>2548</v>
      </c>
      <c r="R751">
        <v>5907698020448</v>
      </c>
      <c r="S751">
        <v>480</v>
      </c>
      <c r="T751" t="s">
        <v>482</v>
      </c>
      <c r="V751">
        <v>9603909900</v>
      </c>
    </row>
    <row r="752" spans="1:22" x14ac:dyDescent="0.25">
      <c r="A752">
        <v>741011</v>
      </c>
      <c r="B752" t="s">
        <v>302</v>
      </c>
      <c r="C752">
        <v>96</v>
      </c>
      <c r="D752">
        <v>12</v>
      </c>
      <c r="E752" t="s">
        <v>303</v>
      </c>
      <c r="F752" t="s">
        <v>1191</v>
      </c>
      <c r="G752" t="s">
        <v>1192</v>
      </c>
      <c r="H752" t="s">
        <v>1201</v>
      </c>
      <c r="I752" t="s">
        <v>1197</v>
      </c>
      <c r="J752">
        <v>478</v>
      </c>
      <c r="K752">
        <v>0</v>
      </c>
      <c r="L752">
        <v>478</v>
      </c>
      <c r="M752">
        <v>3.47</v>
      </c>
      <c r="N752">
        <v>0.83</v>
      </c>
      <c r="O752">
        <v>0.76</v>
      </c>
      <c r="Q752" t="s">
        <v>2548</v>
      </c>
      <c r="R752">
        <v>5907698020455</v>
      </c>
      <c r="S752">
        <v>850</v>
      </c>
      <c r="T752" t="s">
        <v>482</v>
      </c>
      <c r="V752">
        <v>9603909900</v>
      </c>
    </row>
    <row r="753" spans="1:22" x14ac:dyDescent="0.25">
      <c r="A753">
        <v>741012</v>
      </c>
      <c r="B753" t="s">
        <v>302</v>
      </c>
      <c r="C753">
        <v>56</v>
      </c>
      <c r="D753">
        <v>14</v>
      </c>
      <c r="E753" t="s">
        <v>303</v>
      </c>
      <c r="F753" t="s">
        <v>1191</v>
      </c>
      <c r="G753" t="s">
        <v>1192</v>
      </c>
      <c r="H753" t="s">
        <v>2152</v>
      </c>
      <c r="I753" t="s">
        <v>1197</v>
      </c>
      <c r="J753">
        <v>634</v>
      </c>
      <c r="K753">
        <v>0</v>
      </c>
      <c r="L753">
        <v>634</v>
      </c>
      <c r="M753">
        <v>5.44</v>
      </c>
      <c r="N753">
        <v>1.28</v>
      </c>
      <c r="O753">
        <v>1.2</v>
      </c>
      <c r="Q753" t="s">
        <v>2548</v>
      </c>
      <c r="R753">
        <v>5907698020462</v>
      </c>
      <c r="S753">
        <v>400</v>
      </c>
      <c r="T753" t="s">
        <v>482</v>
      </c>
      <c r="V753">
        <v>9603909900</v>
      </c>
    </row>
    <row r="754" spans="1:22" x14ac:dyDescent="0.25">
      <c r="A754">
        <v>741120</v>
      </c>
      <c r="B754" t="s">
        <v>302</v>
      </c>
      <c r="C754">
        <v>200</v>
      </c>
      <c r="D754">
        <v>0</v>
      </c>
      <c r="E754" t="s">
        <v>303</v>
      </c>
      <c r="F754" t="s">
        <v>2404</v>
      </c>
      <c r="G754" t="s">
        <v>1192</v>
      </c>
      <c r="H754" t="s">
        <v>1202</v>
      </c>
      <c r="I754" t="s">
        <v>1197</v>
      </c>
      <c r="J754">
        <v>0</v>
      </c>
      <c r="K754">
        <v>80</v>
      </c>
      <c r="L754">
        <v>1</v>
      </c>
      <c r="M754">
        <v>2.67</v>
      </c>
      <c r="N754">
        <v>0.63</v>
      </c>
      <c r="O754">
        <v>0.57999999999999996</v>
      </c>
      <c r="Q754" t="s">
        <v>2548</v>
      </c>
      <c r="R754">
        <v>5907698020479</v>
      </c>
      <c r="S754">
        <v>500</v>
      </c>
      <c r="T754" t="s">
        <v>482</v>
      </c>
      <c r="V754">
        <v>9603909900</v>
      </c>
    </row>
    <row r="755" spans="1:22" x14ac:dyDescent="0.25">
      <c r="A755">
        <v>741121</v>
      </c>
      <c r="B755" t="s">
        <v>302</v>
      </c>
      <c r="C755">
        <v>128</v>
      </c>
      <c r="D755">
        <v>16</v>
      </c>
      <c r="E755" t="s">
        <v>303</v>
      </c>
      <c r="F755" t="s">
        <v>1191</v>
      </c>
      <c r="G755" t="s">
        <v>1192</v>
      </c>
      <c r="H755" t="s">
        <v>1203</v>
      </c>
      <c r="I755" t="s">
        <v>1197</v>
      </c>
      <c r="J755">
        <v>495</v>
      </c>
      <c r="K755">
        <v>64</v>
      </c>
      <c r="L755">
        <v>559</v>
      </c>
      <c r="M755">
        <v>2.66</v>
      </c>
      <c r="N755">
        <v>0.63</v>
      </c>
      <c r="O755">
        <v>0.57999999999999996</v>
      </c>
      <c r="Q755" t="s">
        <v>2548</v>
      </c>
      <c r="R755">
        <v>5907698020486</v>
      </c>
      <c r="S755">
        <v>700</v>
      </c>
      <c r="T755" t="s">
        <v>482</v>
      </c>
      <c r="V755">
        <v>9603909900</v>
      </c>
    </row>
    <row r="756" spans="1:22" x14ac:dyDescent="0.25">
      <c r="A756">
        <v>741122</v>
      </c>
      <c r="B756" t="s">
        <v>302</v>
      </c>
      <c r="C756">
        <v>96</v>
      </c>
      <c r="D756">
        <v>48</v>
      </c>
      <c r="E756" t="s">
        <v>303</v>
      </c>
      <c r="F756" t="s">
        <v>1191</v>
      </c>
      <c r="G756" t="s">
        <v>1192</v>
      </c>
      <c r="H756" t="s">
        <v>1204</v>
      </c>
      <c r="I756" t="s">
        <v>1197</v>
      </c>
      <c r="J756">
        <v>0</v>
      </c>
      <c r="K756">
        <v>96</v>
      </c>
      <c r="L756">
        <v>0</v>
      </c>
      <c r="M756">
        <v>3</v>
      </c>
      <c r="N756">
        <v>0.71</v>
      </c>
      <c r="O756">
        <v>0.66</v>
      </c>
      <c r="Q756" t="s">
        <v>2548</v>
      </c>
      <c r="R756">
        <v>5907698020493</v>
      </c>
      <c r="S756">
        <v>1100</v>
      </c>
      <c r="T756" t="s">
        <v>646</v>
      </c>
      <c r="V756">
        <v>9603909900</v>
      </c>
    </row>
    <row r="757" spans="1:22" x14ac:dyDescent="0.25">
      <c r="A757">
        <v>741124</v>
      </c>
      <c r="B757" t="s">
        <v>302</v>
      </c>
      <c r="C757">
        <v>32</v>
      </c>
      <c r="D757">
        <v>8</v>
      </c>
      <c r="E757" t="s">
        <v>303</v>
      </c>
      <c r="F757" t="s">
        <v>2153</v>
      </c>
      <c r="G757" t="s">
        <v>1192</v>
      </c>
      <c r="H757" t="s">
        <v>2154</v>
      </c>
      <c r="I757" t="s">
        <v>1193</v>
      </c>
      <c r="J757">
        <v>577</v>
      </c>
      <c r="K757">
        <v>96</v>
      </c>
      <c r="L757">
        <v>673</v>
      </c>
      <c r="M757">
        <v>3.18</v>
      </c>
      <c r="N757">
        <v>0.76</v>
      </c>
      <c r="O757">
        <v>0.7</v>
      </c>
      <c r="Q757" t="s">
        <v>2548</v>
      </c>
      <c r="R757">
        <v>5907698020509</v>
      </c>
      <c r="S757">
        <v>200</v>
      </c>
      <c r="T757" t="s">
        <v>482</v>
      </c>
      <c r="V757">
        <v>9603909900</v>
      </c>
    </row>
    <row r="758" spans="1:22" x14ac:dyDescent="0.25">
      <c r="A758">
        <v>750030</v>
      </c>
      <c r="B758" t="s">
        <v>302</v>
      </c>
      <c r="C758">
        <v>100</v>
      </c>
      <c r="D758">
        <v>10</v>
      </c>
      <c r="E758" t="s">
        <v>303</v>
      </c>
      <c r="F758" t="s">
        <v>1205</v>
      </c>
      <c r="G758" t="s">
        <v>2155</v>
      </c>
      <c r="H758" t="s">
        <v>2156</v>
      </c>
      <c r="I758" t="s">
        <v>1206</v>
      </c>
      <c r="J758">
        <v>1222</v>
      </c>
      <c r="K758">
        <v>20</v>
      </c>
      <c r="L758">
        <v>1242</v>
      </c>
      <c r="M758">
        <v>2.31</v>
      </c>
      <c r="N758">
        <v>0.57999999999999996</v>
      </c>
      <c r="O758">
        <v>0.52</v>
      </c>
      <c r="Q758" t="s">
        <v>336</v>
      </c>
      <c r="R758">
        <v>5907698017608</v>
      </c>
      <c r="S758">
        <v>1500</v>
      </c>
      <c r="T758" t="s">
        <v>646</v>
      </c>
      <c r="V758">
        <v>9603909900</v>
      </c>
    </row>
    <row r="759" spans="1:22" x14ac:dyDescent="0.25">
      <c r="A759">
        <v>750040</v>
      </c>
      <c r="B759" t="s">
        <v>302</v>
      </c>
      <c r="C759">
        <v>48</v>
      </c>
      <c r="D759">
        <v>6</v>
      </c>
      <c r="E759" t="s">
        <v>303</v>
      </c>
      <c r="F759" t="s">
        <v>1205</v>
      </c>
      <c r="G759" t="s">
        <v>1207</v>
      </c>
      <c r="H759" t="s">
        <v>1208</v>
      </c>
      <c r="I759" t="s">
        <v>1206</v>
      </c>
      <c r="J759">
        <v>418</v>
      </c>
      <c r="K759">
        <v>6</v>
      </c>
      <c r="L759">
        <v>424</v>
      </c>
      <c r="M759">
        <v>4.22</v>
      </c>
      <c r="N759">
        <v>1.07</v>
      </c>
      <c r="O759">
        <v>0.95</v>
      </c>
      <c r="Q759" t="s">
        <v>336</v>
      </c>
      <c r="R759">
        <v>5907698017615</v>
      </c>
      <c r="S759">
        <v>700</v>
      </c>
      <c r="T759" t="s">
        <v>383</v>
      </c>
      <c r="V759">
        <v>9603909900</v>
      </c>
    </row>
    <row r="760" spans="1:22" x14ac:dyDescent="0.25">
      <c r="A760">
        <v>750100</v>
      </c>
      <c r="B760" t="s">
        <v>302</v>
      </c>
      <c r="C760">
        <v>120</v>
      </c>
      <c r="D760">
        <v>12</v>
      </c>
      <c r="E760" t="s">
        <v>303</v>
      </c>
      <c r="F760" t="s">
        <v>1209</v>
      </c>
      <c r="G760" t="s">
        <v>1210</v>
      </c>
      <c r="H760" t="s">
        <v>1211</v>
      </c>
      <c r="I760" t="s">
        <v>1212</v>
      </c>
      <c r="J760">
        <v>0</v>
      </c>
      <c r="K760">
        <v>0</v>
      </c>
      <c r="L760">
        <v>0</v>
      </c>
      <c r="M760">
        <v>2.11</v>
      </c>
      <c r="N760">
        <v>0.55000000000000004</v>
      </c>
      <c r="O760">
        <v>0.47</v>
      </c>
      <c r="Q760" t="s">
        <v>2</v>
      </c>
      <c r="R760">
        <v>5907698017622</v>
      </c>
      <c r="S760">
        <v>4000</v>
      </c>
      <c r="T760" t="s">
        <v>331</v>
      </c>
      <c r="V760">
        <v>9603909900</v>
      </c>
    </row>
    <row r="761" spans="1:22" x14ac:dyDescent="0.25">
      <c r="A761">
        <v>750130</v>
      </c>
      <c r="B761" t="s">
        <v>302</v>
      </c>
      <c r="C761">
        <v>36</v>
      </c>
      <c r="E761" t="s">
        <v>303</v>
      </c>
      <c r="F761" t="s">
        <v>1205</v>
      </c>
      <c r="G761" t="s">
        <v>1017</v>
      </c>
      <c r="H761" t="s">
        <v>1213</v>
      </c>
      <c r="I761" t="s">
        <v>1199</v>
      </c>
      <c r="J761">
        <v>389</v>
      </c>
      <c r="K761">
        <v>0</v>
      </c>
      <c r="L761">
        <v>389</v>
      </c>
      <c r="M761">
        <v>4.05</v>
      </c>
      <c r="N761">
        <v>1.02</v>
      </c>
      <c r="O761">
        <v>0.87</v>
      </c>
      <c r="Q761" t="s">
        <v>336</v>
      </c>
      <c r="R761">
        <v>5907698017646</v>
      </c>
      <c r="S761">
        <v>750</v>
      </c>
      <c r="T761" t="s">
        <v>360</v>
      </c>
      <c r="V761">
        <v>9603909900</v>
      </c>
    </row>
    <row r="762" spans="1:22" x14ac:dyDescent="0.25">
      <c r="A762">
        <v>750140</v>
      </c>
      <c r="B762" t="s">
        <v>302</v>
      </c>
      <c r="C762">
        <v>120</v>
      </c>
      <c r="D762">
        <v>12</v>
      </c>
      <c r="E762" t="s">
        <v>303</v>
      </c>
      <c r="F762" t="s">
        <v>1214</v>
      </c>
      <c r="G762" t="s">
        <v>1215</v>
      </c>
      <c r="H762" t="s">
        <v>1216</v>
      </c>
      <c r="I762" t="s">
        <v>1217</v>
      </c>
      <c r="J762">
        <v>633</v>
      </c>
      <c r="K762">
        <v>0</v>
      </c>
      <c r="L762">
        <v>633</v>
      </c>
      <c r="M762">
        <v>1.41</v>
      </c>
      <c r="N762">
        <v>0.36</v>
      </c>
      <c r="O762">
        <v>0.3</v>
      </c>
      <c r="Q762" t="s">
        <v>336</v>
      </c>
      <c r="R762">
        <v>5907698017653</v>
      </c>
      <c r="S762">
        <v>2800</v>
      </c>
      <c r="T762" t="s">
        <v>331</v>
      </c>
      <c r="V762">
        <v>9603909900</v>
      </c>
    </row>
    <row r="763" spans="1:22" x14ac:dyDescent="0.25">
      <c r="A763">
        <v>750150</v>
      </c>
      <c r="B763" t="s">
        <v>302</v>
      </c>
      <c r="C763">
        <v>120</v>
      </c>
      <c r="D763">
        <v>12</v>
      </c>
      <c r="E763" t="s">
        <v>303</v>
      </c>
      <c r="F763" t="s">
        <v>1214</v>
      </c>
      <c r="G763" t="s">
        <v>1215</v>
      </c>
      <c r="H763" t="s">
        <v>1218</v>
      </c>
      <c r="I763" t="s">
        <v>1217</v>
      </c>
      <c r="J763">
        <v>4721</v>
      </c>
      <c r="K763">
        <v>240</v>
      </c>
      <c r="L763">
        <v>4961</v>
      </c>
      <c r="M763">
        <v>1.6</v>
      </c>
      <c r="N763">
        <v>0.41</v>
      </c>
      <c r="O763">
        <v>0.35</v>
      </c>
      <c r="Q763" t="s">
        <v>336</v>
      </c>
      <c r="R763">
        <v>5907698017660</v>
      </c>
      <c r="S763">
        <v>4500</v>
      </c>
      <c r="T763" t="s">
        <v>331</v>
      </c>
      <c r="V763">
        <v>9603909900</v>
      </c>
    </row>
    <row r="764" spans="1:22" x14ac:dyDescent="0.25">
      <c r="A764">
        <v>750160</v>
      </c>
      <c r="B764" t="s">
        <v>302</v>
      </c>
      <c r="C764">
        <v>120</v>
      </c>
      <c r="D764">
        <v>12</v>
      </c>
      <c r="E764" t="s">
        <v>303</v>
      </c>
      <c r="F764" t="s">
        <v>1214</v>
      </c>
      <c r="G764" t="s">
        <v>1215</v>
      </c>
      <c r="H764" t="s">
        <v>1219</v>
      </c>
      <c r="I764" t="s">
        <v>1217</v>
      </c>
      <c r="J764">
        <v>0</v>
      </c>
      <c r="K764">
        <v>0</v>
      </c>
      <c r="L764">
        <v>0</v>
      </c>
      <c r="M764">
        <v>1.7</v>
      </c>
      <c r="N764">
        <v>0.44</v>
      </c>
      <c r="O764">
        <v>0.36</v>
      </c>
      <c r="Q764" t="s">
        <v>336</v>
      </c>
      <c r="R764">
        <v>5907698017677</v>
      </c>
      <c r="S764">
        <v>1000</v>
      </c>
      <c r="T764" t="s">
        <v>331</v>
      </c>
      <c r="V764">
        <v>9603909900</v>
      </c>
    </row>
    <row r="765" spans="1:22" x14ac:dyDescent="0.25">
      <c r="A765">
        <v>770010</v>
      </c>
      <c r="B765" t="s">
        <v>302</v>
      </c>
      <c r="C765">
        <v>50</v>
      </c>
      <c r="E765" t="s">
        <v>303</v>
      </c>
      <c r="F765" t="s">
        <v>1220</v>
      </c>
      <c r="G765" t="s">
        <v>1221</v>
      </c>
      <c r="H765" t="s">
        <v>1222</v>
      </c>
      <c r="I765" t="s">
        <v>1223</v>
      </c>
      <c r="J765">
        <v>0</v>
      </c>
      <c r="K765">
        <v>0</v>
      </c>
      <c r="L765">
        <v>0</v>
      </c>
      <c r="M765">
        <v>5.41</v>
      </c>
      <c r="N765">
        <v>1.31</v>
      </c>
      <c r="O765">
        <v>1.2</v>
      </c>
      <c r="Q765" t="s">
        <v>2548</v>
      </c>
      <c r="R765">
        <v>5907698017691</v>
      </c>
      <c r="S765">
        <v>2500</v>
      </c>
      <c r="T765" t="s">
        <v>352</v>
      </c>
      <c r="U765" t="s">
        <v>2583</v>
      </c>
      <c r="V765">
        <v>3926909790</v>
      </c>
    </row>
    <row r="766" spans="1:22" x14ac:dyDescent="0.25">
      <c r="A766">
        <v>771100</v>
      </c>
      <c r="B766" t="s">
        <v>302</v>
      </c>
      <c r="C766">
        <v>100</v>
      </c>
      <c r="D766">
        <v>0</v>
      </c>
      <c r="E766" t="s">
        <v>303</v>
      </c>
      <c r="F766" t="s">
        <v>1224</v>
      </c>
      <c r="G766" t="s">
        <v>2157</v>
      </c>
      <c r="H766" t="s">
        <v>2158</v>
      </c>
      <c r="I766" t="s">
        <v>1225</v>
      </c>
      <c r="J766">
        <v>1098</v>
      </c>
      <c r="K766">
        <v>510</v>
      </c>
      <c r="L766">
        <v>1608</v>
      </c>
      <c r="M766">
        <v>3.69</v>
      </c>
      <c r="N766">
        <v>0.95</v>
      </c>
      <c r="O766">
        <v>0.81</v>
      </c>
      <c r="Q766" t="s">
        <v>336</v>
      </c>
      <c r="R766">
        <v>5907698017714</v>
      </c>
      <c r="S766">
        <v>2000</v>
      </c>
      <c r="T766" t="s">
        <v>2159</v>
      </c>
      <c r="U766" t="s">
        <v>3352</v>
      </c>
      <c r="V766">
        <v>9004901000</v>
      </c>
    </row>
    <row r="767" spans="1:22" x14ac:dyDescent="0.25">
      <c r="A767">
        <v>771102</v>
      </c>
      <c r="B767" t="s">
        <v>2993</v>
      </c>
      <c r="C767">
        <v>200</v>
      </c>
      <c r="D767">
        <v>0</v>
      </c>
      <c r="E767" t="s">
        <v>303</v>
      </c>
      <c r="F767" t="s">
        <v>1224</v>
      </c>
      <c r="G767" t="s">
        <v>2157</v>
      </c>
      <c r="H767" t="s">
        <v>3353</v>
      </c>
      <c r="I767" t="s">
        <v>1225</v>
      </c>
      <c r="J767">
        <v>0</v>
      </c>
      <c r="K767">
        <v>0</v>
      </c>
      <c r="L767">
        <v>0</v>
      </c>
      <c r="M767">
        <v>4.4800000000000004</v>
      </c>
      <c r="N767">
        <v>1.1299999999999999</v>
      </c>
      <c r="O767">
        <v>1.01</v>
      </c>
      <c r="Q767" t="s">
        <v>3745</v>
      </c>
      <c r="R767">
        <v>771102</v>
      </c>
      <c r="S767">
        <v>500</v>
      </c>
      <c r="T767" t="s">
        <v>2159</v>
      </c>
      <c r="U767" t="s">
        <v>3340</v>
      </c>
      <c r="V767">
        <v>9004901000</v>
      </c>
    </row>
    <row r="768" spans="1:22" x14ac:dyDescent="0.25">
      <c r="A768">
        <v>771104</v>
      </c>
      <c r="B768" t="s">
        <v>2993</v>
      </c>
      <c r="C768">
        <v>200</v>
      </c>
      <c r="D768">
        <v>0</v>
      </c>
      <c r="E768" t="s">
        <v>303</v>
      </c>
      <c r="F768" t="s">
        <v>1224</v>
      </c>
      <c r="G768" t="s">
        <v>2157</v>
      </c>
      <c r="H768" t="s">
        <v>3354</v>
      </c>
      <c r="I768" t="s">
        <v>1225</v>
      </c>
      <c r="J768">
        <v>0</v>
      </c>
      <c r="K768">
        <v>0</v>
      </c>
      <c r="L768">
        <v>0</v>
      </c>
      <c r="M768">
        <v>4.3099999999999996</v>
      </c>
      <c r="N768">
        <v>1.0900000000000001</v>
      </c>
      <c r="O768">
        <v>0.97</v>
      </c>
      <c r="Q768" t="s">
        <v>3745</v>
      </c>
      <c r="R768">
        <v>771104</v>
      </c>
      <c r="S768">
        <v>200</v>
      </c>
      <c r="T768" t="s">
        <v>2159</v>
      </c>
      <c r="U768" t="s">
        <v>3340</v>
      </c>
      <c r="V768">
        <v>9004901000</v>
      </c>
    </row>
    <row r="769" spans="1:22" x14ac:dyDescent="0.25">
      <c r="A769">
        <v>771105</v>
      </c>
      <c r="B769" t="s">
        <v>2993</v>
      </c>
      <c r="C769">
        <v>200</v>
      </c>
      <c r="D769">
        <v>0</v>
      </c>
      <c r="E769" t="s">
        <v>303</v>
      </c>
      <c r="F769" t="s">
        <v>1224</v>
      </c>
      <c r="G769" t="s">
        <v>2157</v>
      </c>
      <c r="H769" t="s">
        <v>3006</v>
      </c>
      <c r="I769" t="s">
        <v>1225</v>
      </c>
      <c r="J769">
        <v>0</v>
      </c>
      <c r="K769">
        <v>0</v>
      </c>
      <c r="L769">
        <v>0</v>
      </c>
      <c r="M769">
        <v>7.39</v>
      </c>
      <c r="N769">
        <v>1.86</v>
      </c>
      <c r="O769">
        <v>1.67</v>
      </c>
      <c r="Q769" t="s">
        <v>3745</v>
      </c>
      <c r="R769">
        <v>771105</v>
      </c>
      <c r="S769">
        <v>100</v>
      </c>
      <c r="T769" t="s">
        <v>2159</v>
      </c>
      <c r="U769" t="s">
        <v>3340</v>
      </c>
      <c r="V769">
        <v>9004901000</v>
      </c>
    </row>
    <row r="770" spans="1:22" x14ac:dyDescent="0.25">
      <c r="A770">
        <v>771200</v>
      </c>
      <c r="B770" t="s">
        <v>302</v>
      </c>
      <c r="C770">
        <v>200</v>
      </c>
      <c r="D770">
        <v>0</v>
      </c>
      <c r="E770" t="s">
        <v>303</v>
      </c>
      <c r="F770" t="s">
        <v>1226</v>
      </c>
      <c r="G770" t="s">
        <v>1227</v>
      </c>
      <c r="H770" t="s">
        <v>1228</v>
      </c>
      <c r="I770" t="s">
        <v>1229</v>
      </c>
      <c r="J770">
        <v>0</v>
      </c>
      <c r="K770">
        <v>211</v>
      </c>
      <c r="L770">
        <v>211</v>
      </c>
      <c r="M770">
        <v>2.69</v>
      </c>
      <c r="N770">
        <v>0.69</v>
      </c>
      <c r="O770">
        <v>0.59</v>
      </c>
      <c r="Q770" t="s">
        <v>336</v>
      </c>
      <c r="R770">
        <v>5907698019534</v>
      </c>
      <c r="S770">
        <v>6000</v>
      </c>
      <c r="T770" t="s">
        <v>2159</v>
      </c>
      <c r="U770" t="s">
        <v>2160</v>
      </c>
      <c r="V770">
        <v>9004901000</v>
      </c>
    </row>
    <row r="771" spans="1:22" x14ac:dyDescent="0.25">
      <c r="A771">
        <v>771202</v>
      </c>
      <c r="B771" t="s">
        <v>302</v>
      </c>
      <c r="C771">
        <v>200</v>
      </c>
      <c r="D771">
        <v>10</v>
      </c>
      <c r="E771" t="s">
        <v>303</v>
      </c>
      <c r="F771" t="s">
        <v>1224</v>
      </c>
      <c r="G771" t="s">
        <v>1230</v>
      </c>
      <c r="H771" t="s">
        <v>1228</v>
      </c>
      <c r="I771" t="s">
        <v>1225</v>
      </c>
      <c r="J771">
        <v>5</v>
      </c>
      <c r="K771">
        <v>1</v>
      </c>
      <c r="L771">
        <v>6</v>
      </c>
      <c r="M771">
        <v>2.96</v>
      </c>
      <c r="N771">
        <v>0.75</v>
      </c>
      <c r="O771">
        <v>0.64</v>
      </c>
      <c r="Q771" t="s">
        <v>336</v>
      </c>
      <c r="R771">
        <v>5907698024835</v>
      </c>
      <c r="S771">
        <v>2500</v>
      </c>
      <c r="T771" t="s">
        <v>2159</v>
      </c>
      <c r="U771" t="s">
        <v>2661</v>
      </c>
      <c r="V771">
        <v>9004901000</v>
      </c>
    </row>
    <row r="772" spans="1:22" x14ac:dyDescent="0.25">
      <c r="A772">
        <v>771301</v>
      </c>
      <c r="B772" t="s">
        <v>302</v>
      </c>
      <c r="C772">
        <v>70</v>
      </c>
      <c r="D772">
        <v>0</v>
      </c>
      <c r="E772" t="s">
        <v>303</v>
      </c>
      <c r="F772" t="s">
        <v>3355</v>
      </c>
      <c r="G772" t="s">
        <v>3356</v>
      </c>
      <c r="I772" t="s">
        <v>2707</v>
      </c>
      <c r="J772">
        <v>65</v>
      </c>
      <c r="K772">
        <v>0</v>
      </c>
      <c r="L772">
        <v>65</v>
      </c>
      <c r="M772">
        <v>19.489999999999998</v>
      </c>
      <c r="N772">
        <v>5.0599999999999996</v>
      </c>
      <c r="O772">
        <v>4.32</v>
      </c>
      <c r="Q772" t="s">
        <v>3357</v>
      </c>
      <c r="R772">
        <v>5907698030263</v>
      </c>
      <c r="S772">
        <v>100</v>
      </c>
      <c r="V772">
        <v>3926909790</v>
      </c>
    </row>
    <row r="773" spans="1:22" x14ac:dyDescent="0.25">
      <c r="A773">
        <v>771302</v>
      </c>
      <c r="B773" t="s">
        <v>302</v>
      </c>
      <c r="C773">
        <v>50</v>
      </c>
      <c r="D773">
        <v>0</v>
      </c>
      <c r="E773" t="s">
        <v>303</v>
      </c>
      <c r="F773" t="s">
        <v>3771</v>
      </c>
      <c r="G773" t="s">
        <v>3772</v>
      </c>
      <c r="H773" t="s">
        <v>3773</v>
      </c>
      <c r="I773" t="s">
        <v>2707</v>
      </c>
      <c r="J773">
        <v>52</v>
      </c>
      <c r="K773">
        <v>0</v>
      </c>
      <c r="L773">
        <v>52</v>
      </c>
      <c r="M773">
        <v>9.0399999999999991</v>
      </c>
      <c r="N773">
        <v>2.29</v>
      </c>
      <c r="O773">
        <v>1.95</v>
      </c>
      <c r="Q773" t="s">
        <v>3357</v>
      </c>
      <c r="R773">
        <v>5907698031185</v>
      </c>
      <c r="S773">
        <v>50</v>
      </c>
      <c r="V773">
        <v>3926909790</v>
      </c>
    </row>
    <row r="774" spans="1:22" x14ac:dyDescent="0.25">
      <c r="A774">
        <v>771303</v>
      </c>
      <c r="B774" t="s">
        <v>302</v>
      </c>
      <c r="C774">
        <v>50</v>
      </c>
      <c r="D774">
        <v>0</v>
      </c>
      <c r="E774" t="s">
        <v>303</v>
      </c>
      <c r="F774" t="s">
        <v>3771</v>
      </c>
      <c r="G774" t="s">
        <v>3772</v>
      </c>
      <c r="H774" t="s">
        <v>3774</v>
      </c>
      <c r="I774" t="s">
        <v>2707</v>
      </c>
      <c r="J774">
        <v>32</v>
      </c>
      <c r="K774">
        <v>0</v>
      </c>
      <c r="L774">
        <v>32</v>
      </c>
      <c r="M774">
        <v>9.0399999999999991</v>
      </c>
      <c r="N774">
        <v>2.38</v>
      </c>
      <c r="O774">
        <v>2.02</v>
      </c>
      <c r="Q774" t="s">
        <v>3357</v>
      </c>
      <c r="R774">
        <v>5907698031192</v>
      </c>
      <c r="S774">
        <v>50</v>
      </c>
      <c r="V774">
        <v>3926909790</v>
      </c>
    </row>
    <row r="775" spans="1:22" x14ac:dyDescent="0.25">
      <c r="A775">
        <v>772001</v>
      </c>
      <c r="B775" t="s">
        <v>3027</v>
      </c>
      <c r="C775">
        <v>25</v>
      </c>
      <c r="D775">
        <v>0</v>
      </c>
      <c r="E775" t="s">
        <v>303</v>
      </c>
      <c r="F775" t="s">
        <v>3358</v>
      </c>
      <c r="G775" t="s">
        <v>2749</v>
      </c>
      <c r="H775" t="s">
        <v>2708</v>
      </c>
      <c r="I775" t="s">
        <v>1233</v>
      </c>
      <c r="J775">
        <v>13</v>
      </c>
      <c r="K775">
        <v>0</v>
      </c>
      <c r="L775">
        <v>13</v>
      </c>
      <c r="M775">
        <v>2.73</v>
      </c>
      <c r="N775">
        <v>0.73</v>
      </c>
      <c r="O775">
        <v>0.62</v>
      </c>
      <c r="Q775" t="s">
        <v>2750</v>
      </c>
      <c r="R775">
        <v>5907698030232</v>
      </c>
      <c r="S775">
        <v>30</v>
      </c>
      <c r="T775" t="s">
        <v>1234</v>
      </c>
      <c r="V775">
        <v>6307901000</v>
      </c>
    </row>
    <row r="776" spans="1:22" x14ac:dyDescent="0.25">
      <c r="A776">
        <v>772100</v>
      </c>
      <c r="B776" t="s">
        <v>302</v>
      </c>
      <c r="C776">
        <v>100</v>
      </c>
      <c r="D776">
        <v>50</v>
      </c>
      <c r="E776" t="s">
        <v>303</v>
      </c>
      <c r="F776" t="s">
        <v>1231</v>
      </c>
      <c r="G776" t="s">
        <v>1232</v>
      </c>
      <c r="H776" t="s">
        <v>638</v>
      </c>
      <c r="I776" t="s">
        <v>1233</v>
      </c>
      <c r="J776">
        <v>334</v>
      </c>
      <c r="K776">
        <v>3</v>
      </c>
      <c r="L776">
        <v>337</v>
      </c>
      <c r="M776">
        <v>1.96</v>
      </c>
      <c r="N776">
        <v>0.51</v>
      </c>
      <c r="O776">
        <v>0.44</v>
      </c>
      <c r="Q776" t="s">
        <v>2</v>
      </c>
      <c r="R776">
        <v>5907698017721</v>
      </c>
      <c r="S776">
        <v>2000</v>
      </c>
      <c r="T776" t="s">
        <v>1234</v>
      </c>
      <c r="U776" t="s">
        <v>3359</v>
      </c>
      <c r="V776">
        <v>6307909817</v>
      </c>
    </row>
    <row r="777" spans="1:22" x14ac:dyDescent="0.25">
      <c r="A777">
        <v>772105</v>
      </c>
      <c r="B777" t="s">
        <v>302</v>
      </c>
      <c r="C777">
        <v>20</v>
      </c>
      <c r="D777">
        <v>0</v>
      </c>
      <c r="E777" t="s">
        <v>303</v>
      </c>
      <c r="F777" t="s">
        <v>1231</v>
      </c>
      <c r="G777" t="s">
        <v>1232</v>
      </c>
      <c r="H777" t="s">
        <v>2662</v>
      </c>
      <c r="I777" t="s">
        <v>1233</v>
      </c>
      <c r="J777">
        <v>0</v>
      </c>
      <c r="K777">
        <v>0</v>
      </c>
      <c r="L777">
        <v>0</v>
      </c>
      <c r="M777">
        <v>6.25</v>
      </c>
      <c r="N777">
        <v>1.58</v>
      </c>
      <c r="O777">
        <v>1.4</v>
      </c>
      <c r="Q777" t="s">
        <v>2</v>
      </c>
      <c r="R777">
        <v>5907698029427</v>
      </c>
      <c r="S777">
        <v>1200</v>
      </c>
      <c r="T777" t="s">
        <v>1234</v>
      </c>
      <c r="V777">
        <v>6307909817</v>
      </c>
    </row>
    <row r="778" spans="1:22" x14ac:dyDescent="0.25">
      <c r="A778">
        <v>772120</v>
      </c>
      <c r="B778" t="s">
        <v>302</v>
      </c>
      <c r="C778">
        <v>120</v>
      </c>
      <c r="D778">
        <v>30</v>
      </c>
      <c r="E778" t="s">
        <v>303</v>
      </c>
      <c r="F778" t="s">
        <v>3360</v>
      </c>
      <c r="G778" t="s">
        <v>1235</v>
      </c>
      <c r="H778" t="s">
        <v>1614</v>
      </c>
      <c r="I778" t="s">
        <v>1236</v>
      </c>
      <c r="J778">
        <v>0</v>
      </c>
      <c r="K778">
        <v>0</v>
      </c>
      <c r="L778">
        <v>0</v>
      </c>
      <c r="M778">
        <v>3.67</v>
      </c>
      <c r="N778">
        <v>0.86</v>
      </c>
      <c r="O778">
        <v>0.8</v>
      </c>
      <c r="Q778" t="s">
        <v>2548</v>
      </c>
      <c r="R778">
        <v>5907698017738</v>
      </c>
      <c r="S778">
        <v>550</v>
      </c>
      <c r="T778" t="s">
        <v>352</v>
      </c>
      <c r="U778" t="s">
        <v>2579</v>
      </c>
      <c r="V778">
        <v>6307909813</v>
      </c>
    </row>
    <row r="779" spans="1:22" x14ac:dyDescent="0.25">
      <c r="A779">
        <v>772200</v>
      </c>
      <c r="B779" t="s">
        <v>302</v>
      </c>
      <c r="C779">
        <v>200</v>
      </c>
      <c r="D779">
        <v>50</v>
      </c>
      <c r="E779" t="s">
        <v>303</v>
      </c>
      <c r="F779" t="s">
        <v>1604</v>
      </c>
      <c r="G779" t="s">
        <v>1232</v>
      </c>
      <c r="H779" t="s">
        <v>1605</v>
      </c>
      <c r="I779" t="s">
        <v>1233</v>
      </c>
      <c r="J779">
        <v>1845</v>
      </c>
      <c r="K779">
        <v>500</v>
      </c>
      <c r="L779">
        <v>2345</v>
      </c>
      <c r="M779">
        <v>1.34</v>
      </c>
      <c r="N779">
        <v>0.35</v>
      </c>
      <c r="O779">
        <v>0.3</v>
      </c>
      <c r="Q779" t="s">
        <v>2</v>
      </c>
      <c r="R779">
        <v>5907698017745</v>
      </c>
      <c r="S779">
        <v>1500</v>
      </c>
      <c r="T779" t="s">
        <v>352</v>
      </c>
      <c r="U779" t="s">
        <v>3359</v>
      </c>
      <c r="V779">
        <v>6307909817</v>
      </c>
    </row>
    <row r="780" spans="1:22" x14ac:dyDescent="0.25">
      <c r="A780">
        <v>772210</v>
      </c>
      <c r="B780" t="s">
        <v>302</v>
      </c>
      <c r="C780">
        <v>96</v>
      </c>
      <c r="D780">
        <v>16</v>
      </c>
      <c r="E780" t="s">
        <v>303</v>
      </c>
      <c r="F780" t="s">
        <v>3360</v>
      </c>
      <c r="G780" t="s">
        <v>1237</v>
      </c>
      <c r="H780" t="s">
        <v>1238</v>
      </c>
      <c r="I780" t="s">
        <v>1239</v>
      </c>
      <c r="J780">
        <v>0</v>
      </c>
      <c r="K780">
        <v>0</v>
      </c>
      <c r="L780">
        <v>0</v>
      </c>
      <c r="M780">
        <v>8.6999999999999993</v>
      </c>
      <c r="N780">
        <v>2.0699999999999998</v>
      </c>
      <c r="O780">
        <v>1.89</v>
      </c>
      <c r="Q780" t="s">
        <v>336</v>
      </c>
      <c r="R780">
        <v>5907698017752</v>
      </c>
      <c r="S780">
        <v>1200</v>
      </c>
      <c r="T780" t="s">
        <v>352</v>
      </c>
      <c r="U780" t="s">
        <v>2579</v>
      </c>
      <c r="V780">
        <v>6307909813</v>
      </c>
    </row>
    <row r="781" spans="1:22" x14ac:dyDescent="0.25">
      <c r="A781" t="s">
        <v>2988</v>
      </c>
      <c r="B781" t="s">
        <v>2993</v>
      </c>
      <c r="C781">
        <v>2000</v>
      </c>
      <c r="D781">
        <v>50</v>
      </c>
      <c r="E781" t="s">
        <v>303</v>
      </c>
      <c r="F781" t="s">
        <v>3361</v>
      </c>
      <c r="G781" t="s">
        <v>3362</v>
      </c>
      <c r="H781" t="s">
        <v>3363</v>
      </c>
      <c r="I781" t="s">
        <v>3364</v>
      </c>
      <c r="J781">
        <v>2450</v>
      </c>
      <c r="K781">
        <v>2000</v>
      </c>
      <c r="L781">
        <v>4450</v>
      </c>
      <c r="M781">
        <v>0.91</v>
      </c>
      <c r="N781">
        <v>0.24</v>
      </c>
      <c r="O781">
        <v>0.2</v>
      </c>
      <c r="Q781" t="s">
        <v>3365</v>
      </c>
      <c r="R781">
        <v>5907783070174</v>
      </c>
      <c r="S781">
        <v>500</v>
      </c>
      <c r="T781" t="s">
        <v>404</v>
      </c>
      <c r="U781" t="s">
        <v>3366</v>
      </c>
      <c r="V781">
        <v>6307909815</v>
      </c>
    </row>
    <row r="782" spans="1:22" x14ac:dyDescent="0.25">
      <c r="A782">
        <v>779000</v>
      </c>
      <c r="B782" t="s">
        <v>302</v>
      </c>
      <c r="C782">
        <v>200</v>
      </c>
      <c r="E782" t="s">
        <v>303</v>
      </c>
      <c r="F782" t="s">
        <v>3775</v>
      </c>
      <c r="G782" t="s">
        <v>3776</v>
      </c>
      <c r="H782" t="s">
        <v>3725</v>
      </c>
      <c r="I782" t="s">
        <v>3777</v>
      </c>
      <c r="J782">
        <v>0</v>
      </c>
      <c r="K782">
        <v>0</v>
      </c>
      <c r="L782">
        <v>0</v>
      </c>
      <c r="M782">
        <v>20.43</v>
      </c>
      <c r="N782">
        <v>5.4</v>
      </c>
      <c r="O782">
        <v>4.5599999999999996</v>
      </c>
      <c r="Q782" t="s">
        <v>3026</v>
      </c>
      <c r="R782">
        <v>5907698031321</v>
      </c>
      <c r="S782">
        <v>500</v>
      </c>
      <c r="T782" t="s">
        <v>3778</v>
      </c>
      <c r="U782" t="s">
        <v>3779</v>
      </c>
      <c r="V782">
        <v>9018191000</v>
      </c>
    </row>
    <row r="783" spans="1:22" x14ac:dyDescent="0.25">
      <c r="A783">
        <v>779001</v>
      </c>
      <c r="B783" t="s">
        <v>302</v>
      </c>
      <c r="C783">
        <v>200</v>
      </c>
      <c r="E783" t="s">
        <v>303</v>
      </c>
      <c r="F783" t="s">
        <v>3775</v>
      </c>
      <c r="G783" t="s">
        <v>3776</v>
      </c>
      <c r="H783" t="s">
        <v>3726</v>
      </c>
      <c r="I783" t="s">
        <v>3777</v>
      </c>
      <c r="J783">
        <v>0</v>
      </c>
      <c r="K783">
        <v>0</v>
      </c>
      <c r="L783">
        <v>0</v>
      </c>
      <c r="M783">
        <v>37.01</v>
      </c>
      <c r="N783">
        <v>9.8000000000000007</v>
      </c>
      <c r="O783">
        <v>8.25</v>
      </c>
      <c r="Q783" t="s">
        <v>3026</v>
      </c>
      <c r="R783">
        <v>5907698031338</v>
      </c>
      <c r="S783">
        <v>500</v>
      </c>
      <c r="T783" t="s">
        <v>3778</v>
      </c>
      <c r="U783" t="s">
        <v>3779</v>
      </c>
      <c r="V783">
        <v>9018191000</v>
      </c>
    </row>
    <row r="784" spans="1:22" x14ac:dyDescent="0.25">
      <c r="A784">
        <v>786000</v>
      </c>
      <c r="B784" t="s">
        <v>302</v>
      </c>
      <c r="C784">
        <v>120</v>
      </c>
      <c r="E784" t="s">
        <v>303</v>
      </c>
      <c r="F784" t="s">
        <v>1240</v>
      </c>
      <c r="G784" t="s">
        <v>1241</v>
      </c>
      <c r="H784" t="s">
        <v>1242</v>
      </c>
      <c r="I784" t="s">
        <v>1243</v>
      </c>
      <c r="J784">
        <v>0</v>
      </c>
      <c r="K784">
        <v>0</v>
      </c>
      <c r="L784">
        <v>0</v>
      </c>
      <c r="M784">
        <v>4.4000000000000004</v>
      </c>
      <c r="N784">
        <v>1.05</v>
      </c>
      <c r="O784">
        <v>0.97</v>
      </c>
      <c r="Q784" t="s">
        <v>336</v>
      </c>
      <c r="R784">
        <v>5907698017875</v>
      </c>
      <c r="S784">
        <v>700</v>
      </c>
      <c r="T784" t="s">
        <v>1244</v>
      </c>
      <c r="V784">
        <v>8301500000</v>
      </c>
    </row>
    <row r="785" spans="1:22" x14ac:dyDescent="0.25">
      <c r="A785">
        <v>786004</v>
      </c>
      <c r="B785" t="s">
        <v>3027</v>
      </c>
      <c r="C785">
        <v>60</v>
      </c>
      <c r="D785">
        <v>0</v>
      </c>
      <c r="E785" t="s">
        <v>303</v>
      </c>
      <c r="F785" t="s">
        <v>1240</v>
      </c>
      <c r="G785" t="s">
        <v>1241</v>
      </c>
      <c r="H785" t="s">
        <v>1245</v>
      </c>
      <c r="I785" t="s">
        <v>1243</v>
      </c>
      <c r="J785">
        <v>700</v>
      </c>
      <c r="K785">
        <v>0</v>
      </c>
      <c r="L785">
        <v>700</v>
      </c>
      <c r="M785">
        <v>7.82</v>
      </c>
      <c r="N785">
        <v>2.08</v>
      </c>
      <c r="O785">
        <v>1.76</v>
      </c>
      <c r="Q785" t="s">
        <v>336</v>
      </c>
      <c r="R785">
        <v>5907698028628</v>
      </c>
      <c r="S785">
        <v>600</v>
      </c>
      <c r="T785" t="s">
        <v>1246</v>
      </c>
      <c r="V785">
        <v>8301500000</v>
      </c>
    </row>
    <row r="786" spans="1:22" x14ac:dyDescent="0.25">
      <c r="A786">
        <v>786005</v>
      </c>
      <c r="B786" t="s">
        <v>2993</v>
      </c>
      <c r="C786">
        <v>60</v>
      </c>
      <c r="D786">
        <v>0</v>
      </c>
      <c r="E786" t="s">
        <v>303</v>
      </c>
      <c r="F786" t="s">
        <v>1240</v>
      </c>
      <c r="G786" t="s">
        <v>1241</v>
      </c>
      <c r="H786" t="s">
        <v>3780</v>
      </c>
      <c r="I786" t="s">
        <v>1243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Q786" t="s">
        <v>336</v>
      </c>
      <c r="R786">
        <v>786005</v>
      </c>
      <c r="S786">
        <v>400</v>
      </c>
      <c r="T786" t="s">
        <v>1246</v>
      </c>
      <c r="V786">
        <v>8301500000</v>
      </c>
    </row>
    <row r="787" spans="1:22" x14ac:dyDescent="0.25">
      <c r="A787">
        <v>786007</v>
      </c>
      <c r="B787" t="s">
        <v>302</v>
      </c>
      <c r="C787">
        <v>120</v>
      </c>
      <c r="E787" t="s">
        <v>303</v>
      </c>
      <c r="F787" t="s">
        <v>1247</v>
      </c>
      <c r="G787" t="s">
        <v>1241</v>
      </c>
      <c r="H787" t="s">
        <v>1248</v>
      </c>
      <c r="I787" t="s">
        <v>1243</v>
      </c>
      <c r="J787">
        <v>0</v>
      </c>
      <c r="K787">
        <v>0</v>
      </c>
      <c r="L787">
        <v>0</v>
      </c>
      <c r="M787">
        <v>6.07</v>
      </c>
      <c r="N787">
        <v>1.43</v>
      </c>
      <c r="O787">
        <v>1.34</v>
      </c>
      <c r="Q787" t="s">
        <v>336</v>
      </c>
      <c r="R787">
        <v>5907698025733</v>
      </c>
      <c r="S787">
        <v>350</v>
      </c>
      <c r="T787" t="s">
        <v>1249</v>
      </c>
      <c r="U787" t="s">
        <v>2419</v>
      </c>
      <c r="V787">
        <v>8301500000</v>
      </c>
    </row>
    <row r="788" spans="1:22" x14ac:dyDescent="0.25">
      <c r="A788">
        <v>786020</v>
      </c>
      <c r="B788" t="s">
        <v>3008</v>
      </c>
      <c r="C788">
        <v>100</v>
      </c>
      <c r="E788" t="s">
        <v>303</v>
      </c>
      <c r="F788" t="s">
        <v>2161</v>
      </c>
      <c r="G788" t="s">
        <v>2162</v>
      </c>
      <c r="H788" t="s">
        <v>2163</v>
      </c>
      <c r="I788" t="s">
        <v>2164</v>
      </c>
      <c r="J788">
        <v>599</v>
      </c>
      <c r="K788">
        <v>1</v>
      </c>
      <c r="L788">
        <v>600</v>
      </c>
      <c r="M788">
        <v>5.1100000000000003</v>
      </c>
      <c r="N788">
        <v>1.34</v>
      </c>
      <c r="O788">
        <v>1.1399999999999999</v>
      </c>
      <c r="Q788" t="s">
        <v>2</v>
      </c>
      <c r="R788">
        <v>5907698025467</v>
      </c>
      <c r="S788">
        <v>400</v>
      </c>
      <c r="T788" t="s">
        <v>2165</v>
      </c>
      <c r="V788">
        <v>8204110000</v>
      </c>
    </row>
    <row r="789" spans="1:22" x14ac:dyDescent="0.25">
      <c r="A789">
        <v>786030</v>
      </c>
      <c r="B789" t="s">
        <v>302</v>
      </c>
      <c r="C789">
        <v>100</v>
      </c>
      <c r="D789">
        <v>0</v>
      </c>
      <c r="E789" t="s">
        <v>303</v>
      </c>
      <c r="F789" t="s">
        <v>2166</v>
      </c>
      <c r="G789" t="s">
        <v>2167</v>
      </c>
      <c r="H789" t="s">
        <v>2168</v>
      </c>
      <c r="I789" t="s">
        <v>2169</v>
      </c>
      <c r="J789">
        <v>153</v>
      </c>
      <c r="K789">
        <v>0</v>
      </c>
      <c r="L789">
        <v>153</v>
      </c>
      <c r="M789">
        <v>4.9800000000000004</v>
      </c>
      <c r="N789">
        <v>1.31</v>
      </c>
      <c r="O789">
        <v>1.1100000000000001</v>
      </c>
      <c r="Q789" t="s">
        <v>2548</v>
      </c>
      <c r="R789">
        <v>5907698025689</v>
      </c>
      <c r="S789">
        <v>250</v>
      </c>
      <c r="T789" t="s">
        <v>2170</v>
      </c>
      <c r="V789">
        <v>8414202000</v>
      </c>
    </row>
    <row r="790" spans="1:22" x14ac:dyDescent="0.25">
      <c r="A790">
        <v>786035</v>
      </c>
      <c r="B790" t="s">
        <v>3082</v>
      </c>
      <c r="C790">
        <v>20</v>
      </c>
      <c r="D790">
        <v>0</v>
      </c>
      <c r="E790" t="s">
        <v>303</v>
      </c>
      <c r="F790" t="s">
        <v>2171</v>
      </c>
      <c r="G790" t="s">
        <v>2172</v>
      </c>
      <c r="H790" t="s">
        <v>3367</v>
      </c>
      <c r="I790" t="s">
        <v>2173</v>
      </c>
      <c r="J790">
        <v>10</v>
      </c>
      <c r="K790">
        <v>0</v>
      </c>
      <c r="L790">
        <v>10</v>
      </c>
      <c r="M790">
        <v>39.46</v>
      </c>
      <c r="N790">
        <v>9.5</v>
      </c>
      <c r="O790">
        <v>8.7200000000000006</v>
      </c>
      <c r="Q790" t="s">
        <v>2</v>
      </c>
      <c r="R790">
        <v>5907698028048</v>
      </c>
      <c r="S790">
        <v>130</v>
      </c>
      <c r="T790" t="s">
        <v>2174</v>
      </c>
      <c r="V790">
        <v>8414202000</v>
      </c>
    </row>
    <row r="791" spans="1:22" x14ac:dyDescent="0.25">
      <c r="A791">
        <v>786036</v>
      </c>
      <c r="B791" t="s">
        <v>2993</v>
      </c>
      <c r="C791">
        <v>10</v>
      </c>
      <c r="D791">
        <v>0</v>
      </c>
      <c r="E791" t="s">
        <v>303</v>
      </c>
      <c r="F791" t="s">
        <v>2171</v>
      </c>
      <c r="G791" t="s">
        <v>2172</v>
      </c>
      <c r="H791" t="s">
        <v>2971</v>
      </c>
      <c r="I791" t="s">
        <v>2173</v>
      </c>
      <c r="J791">
        <v>345</v>
      </c>
      <c r="K791">
        <v>0</v>
      </c>
      <c r="L791">
        <v>345</v>
      </c>
      <c r="M791">
        <v>39.08</v>
      </c>
      <c r="N791">
        <v>10.14</v>
      </c>
      <c r="O791">
        <v>8.8000000000000007</v>
      </c>
      <c r="Q791" t="s">
        <v>2</v>
      </c>
      <c r="R791">
        <v>5907698030300</v>
      </c>
      <c r="S791">
        <v>130</v>
      </c>
      <c r="T791" t="s">
        <v>2174</v>
      </c>
      <c r="V791">
        <v>8414202000</v>
      </c>
    </row>
    <row r="792" spans="1:22" x14ac:dyDescent="0.25">
      <c r="A792">
        <v>786046</v>
      </c>
      <c r="B792" t="s">
        <v>302</v>
      </c>
      <c r="C792">
        <v>50</v>
      </c>
      <c r="E792" t="s">
        <v>303</v>
      </c>
      <c r="F792" t="s">
        <v>2175</v>
      </c>
      <c r="G792" t="s">
        <v>2176</v>
      </c>
      <c r="H792" t="s">
        <v>2177</v>
      </c>
      <c r="I792" t="s">
        <v>2178</v>
      </c>
      <c r="J792">
        <v>45</v>
      </c>
      <c r="K792">
        <v>0</v>
      </c>
      <c r="L792">
        <v>45</v>
      </c>
      <c r="M792">
        <v>2.97</v>
      </c>
      <c r="N792">
        <v>0.78</v>
      </c>
      <c r="O792">
        <v>0.66</v>
      </c>
      <c r="Q792" t="s">
        <v>1250</v>
      </c>
      <c r="R792">
        <v>5907698027003</v>
      </c>
      <c r="S792">
        <v>24</v>
      </c>
      <c r="T792" t="s">
        <v>306</v>
      </c>
      <c r="V792">
        <v>9603909900</v>
      </c>
    </row>
    <row r="793" spans="1:22" x14ac:dyDescent="0.25">
      <c r="A793">
        <v>800524</v>
      </c>
      <c r="B793" t="s">
        <v>3082</v>
      </c>
      <c r="C793">
        <v>1</v>
      </c>
      <c r="E793" t="s">
        <v>3781</v>
      </c>
      <c r="F793" t="s">
        <v>3368</v>
      </c>
      <c r="G793" t="s">
        <v>1251</v>
      </c>
      <c r="H793" t="s">
        <v>2179</v>
      </c>
      <c r="I793" t="s">
        <v>1252</v>
      </c>
      <c r="J793">
        <v>0</v>
      </c>
      <c r="K793">
        <v>0</v>
      </c>
      <c r="L793">
        <v>0</v>
      </c>
      <c r="M793">
        <v>38.78</v>
      </c>
      <c r="N793">
        <v>10.33</v>
      </c>
      <c r="O793">
        <v>8.81</v>
      </c>
      <c r="Q793" t="s">
        <v>1253</v>
      </c>
      <c r="R793">
        <v>5907698027645</v>
      </c>
      <c r="S793">
        <v>10</v>
      </c>
      <c r="T793" t="s">
        <v>1254</v>
      </c>
      <c r="V793">
        <v>3926909790</v>
      </c>
    </row>
    <row r="794" spans="1:22" x14ac:dyDescent="0.25">
      <c r="A794">
        <v>800525</v>
      </c>
      <c r="B794" t="s">
        <v>302</v>
      </c>
      <c r="C794">
        <v>1</v>
      </c>
      <c r="E794" t="s">
        <v>303</v>
      </c>
      <c r="F794" t="s">
        <v>3368</v>
      </c>
      <c r="G794" t="s">
        <v>1251</v>
      </c>
      <c r="H794" t="s">
        <v>1255</v>
      </c>
      <c r="I794" t="s">
        <v>1252</v>
      </c>
      <c r="J794">
        <v>4</v>
      </c>
      <c r="K794">
        <v>0</v>
      </c>
      <c r="L794">
        <v>4</v>
      </c>
      <c r="M794">
        <v>44.59</v>
      </c>
      <c r="N794">
        <v>11.88</v>
      </c>
      <c r="O794">
        <v>10.14</v>
      </c>
      <c r="Q794" t="s">
        <v>1253</v>
      </c>
      <c r="R794">
        <v>5907698027652</v>
      </c>
      <c r="S794">
        <v>20</v>
      </c>
      <c r="T794" t="s">
        <v>1254</v>
      </c>
      <c r="V794">
        <v>3926909790</v>
      </c>
    </row>
    <row r="795" spans="1:22" x14ac:dyDescent="0.25">
      <c r="A795">
        <v>800543</v>
      </c>
      <c r="B795" t="s">
        <v>302</v>
      </c>
      <c r="C795">
        <v>1</v>
      </c>
      <c r="E795" t="s">
        <v>303</v>
      </c>
      <c r="F795" t="s">
        <v>3368</v>
      </c>
      <c r="G795" t="s">
        <v>1251</v>
      </c>
      <c r="H795" t="s">
        <v>2180</v>
      </c>
      <c r="I795" t="s">
        <v>1252</v>
      </c>
      <c r="J795">
        <v>47</v>
      </c>
      <c r="K795">
        <v>0</v>
      </c>
      <c r="L795">
        <v>47</v>
      </c>
      <c r="M795">
        <v>8.56</v>
      </c>
      <c r="N795">
        <v>2.2000000000000002</v>
      </c>
      <c r="O795">
        <v>1.88</v>
      </c>
      <c r="Q795" t="s">
        <v>1253</v>
      </c>
      <c r="R795">
        <v>5907698027416</v>
      </c>
      <c r="S795">
        <v>20</v>
      </c>
      <c r="T795" t="s">
        <v>1254</v>
      </c>
      <c r="V795">
        <v>3926909790</v>
      </c>
    </row>
    <row r="796" spans="1:22" x14ac:dyDescent="0.25">
      <c r="A796">
        <v>800544</v>
      </c>
      <c r="B796" t="s">
        <v>302</v>
      </c>
      <c r="C796">
        <v>1</v>
      </c>
      <c r="E796" t="s">
        <v>303</v>
      </c>
      <c r="F796" t="s">
        <v>3368</v>
      </c>
      <c r="G796" t="s">
        <v>1251</v>
      </c>
      <c r="H796" t="s">
        <v>2181</v>
      </c>
      <c r="I796" t="s">
        <v>2182</v>
      </c>
      <c r="J796">
        <v>63</v>
      </c>
      <c r="K796">
        <v>1</v>
      </c>
      <c r="L796">
        <v>64</v>
      </c>
      <c r="M796">
        <v>14.63</v>
      </c>
      <c r="N796">
        <v>3.9</v>
      </c>
      <c r="O796">
        <v>3.33</v>
      </c>
      <c r="Q796" t="s">
        <v>1253</v>
      </c>
      <c r="R796">
        <v>5907698027423</v>
      </c>
      <c r="S796">
        <v>15</v>
      </c>
      <c r="T796" t="s">
        <v>1254</v>
      </c>
      <c r="V796">
        <v>3926909790</v>
      </c>
    </row>
    <row r="797" spans="1:22" x14ac:dyDescent="0.25">
      <c r="A797">
        <v>800545</v>
      </c>
      <c r="B797" t="s">
        <v>302</v>
      </c>
      <c r="C797">
        <v>1</v>
      </c>
      <c r="E797" t="s">
        <v>303</v>
      </c>
      <c r="F797" t="s">
        <v>3368</v>
      </c>
      <c r="G797" t="s">
        <v>1251</v>
      </c>
      <c r="H797" t="s">
        <v>1256</v>
      </c>
      <c r="I797" t="s">
        <v>1252</v>
      </c>
      <c r="J797">
        <v>32</v>
      </c>
      <c r="K797">
        <v>0</v>
      </c>
      <c r="L797">
        <v>32</v>
      </c>
      <c r="M797">
        <v>24.25</v>
      </c>
      <c r="N797">
        <v>6.24</v>
      </c>
      <c r="O797">
        <v>5.33</v>
      </c>
      <c r="Q797" t="s">
        <v>1253</v>
      </c>
      <c r="R797">
        <v>5907698027430</v>
      </c>
      <c r="S797">
        <v>10</v>
      </c>
      <c r="T797" t="s">
        <v>1254</v>
      </c>
      <c r="V797">
        <v>3926909790</v>
      </c>
    </row>
    <row r="798" spans="1:22" x14ac:dyDescent="0.25">
      <c r="A798">
        <v>800546</v>
      </c>
      <c r="B798" t="s">
        <v>302</v>
      </c>
      <c r="C798">
        <v>1</v>
      </c>
      <c r="E798" t="s">
        <v>303</v>
      </c>
      <c r="F798" t="s">
        <v>3368</v>
      </c>
      <c r="G798" t="s">
        <v>1251</v>
      </c>
      <c r="H798" t="s">
        <v>2183</v>
      </c>
      <c r="I798" t="s">
        <v>1252</v>
      </c>
      <c r="J798">
        <v>7</v>
      </c>
      <c r="K798">
        <v>0</v>
      </c>
      <c r="L798">
        <v>7</v>
      </c>
      <c r="M798">
        <v>41.55</v>
      </c>
      <c r="N798">
        <v>10.68</v>
      </c>
      <c r="O798">
        <v>9.1300000000000008</v>
      </c>
      <c r="Q798" t="s">
        <v>1253</v>
      </c>
      <c r="R798">
        <v>5907698027447</v>
      </c>
      <c r="S798">
        <v>1</v>
      </c>
      <c r="T798" t="s">
        <v>1254</v>
      </c>
      <c r="V798">
        <v>3926909790</v>
      </c>
    </row>
    <row r="799" spans="1:22" x14ac:dyDescent="0.25">
      <c r="A799">
        <v>800620</v>
      </c>
      <c r="B799" t="s">
        <v>302</v>
      </c>
      <c r="C799">
        <v>40</v>
      </c>
      <c r="D799">
        <v>10</v>
      </c>
      <c r="E799" t="s">
        <v>303</v>
      </c>
      <c r="F799" t="s">
        <v>3369</v>
      </c>
      <c r="G799" t="s">
        <v>1257</v>
      </c>
      <c r="H799" t="s">
        <v>752</v>
      </c>
      <c r="I799" t="s">
        <v>2438</v>
      </c>
      <c r="J799">
        <v>0</v>
      </c>
      <c r="K799">
        <v>0</v>
      </c>
      <c r="L799">
        <v>0</v>
      </c>
      <c r="M799">
        <v>8.06</v>
      </c>
      <c r="N799">
        <v>2.06</v>
      </c>
      <c r="O799">
        <v>1.82</v>
      </c>
      <c r="Q799" t="s">
        <v>2</v>
      </c>
      <c r="R799">
        <v>5907698017899</v>
      </c>
      <c r="S799">
        <v>200</v>
      </c>
      <c r="T799" t="s">
        <v>1258</v>
      </c>
      <c r="V799">
        <v>8205700000</v>
      </c>
    </row>
    <row r="800" spans="1:22" x14ac:dyDescent="0.25">
      <c r="A800">
        <v>800624</v>
      </c>
      <c r="B800" t="s">
        <v>3082</v>
      </c>
      <c r="C800">
        <v>24</v>
      </c>
      <c r="D800">
        <v>0</v>
      </c>
      <c r="E800" t="s">
        <v>303</v>
      </c>
      <c r="F800" t="s">
        <v>3370</v>
      </c>
      <c r="G800" t="s">
        <v>2184</v>
      </c>
      <c r="H800" t="s">
        <v>2185</v>
      </c>
      <c r="I800" t="s">
        <v>2439</v>
      </c>
      <c r="J800">
        <v>335</v>
      </c>
      <c r="K800">
        <v>0</v>
      </c>
      <c r="L800">
        <v>335</v>
      </c>
      <c r="M800">
        <v>17.940000000000001</v>
      </c>
      <c r="N800">
        <v>4.83</v>
      </c>
      <c r="O800">
        <v>4.0599999999999996</v>
      </c>
      <c r="Q800" t="s">
        <v>2</v>
      </c>
      <c r="R800">
        <v>5907698028598</v>
      </c>
      <c r="S800">
        <v>200</v>
      </c>
      <c r="T800" t="s">
        <v>2186</v>
      </c>
      <c r="U800" t="s">
        <v>1612</v>
      </c>
      <c r="V800">
        <v>8205700000</v>
      </c>
    </row>
    <row r="801" spans="1:22" x14ac:dyDescent="0.25">
      <c r="A801">
        <v>812500</v>
      </c>
      <c r="B801" t="s">
        <v>302</v>
      </c>
      <c r="C801">
        <v>30</v>
      </c>
      <c r="E801" t="s">
        <v>303</v>
      </c>
      <c r="F801" t="s">
        <v>1259</v>
      </c>
      <c r="G801" t="s">
        <v>1260</v>
      </c>
      <c r="H801" t="s">
        <v>1261</v>
      </c>
      <c r="I801" t="s">
        <v>1262</v>
      </c>
      <c r="J801">
        <v>0</v>
      </c>
      <c r="K801">
        <v>0</v>
      </c>
      <c r="L801">
        <v>0</v>
      </c>
      <c r="M801">
        <v>9.67</v>
      </c>
      <c r="N801">
        <v>2.33</v>
      </c>
      <c r="O801">
        <v>2.15</v>
      </c>
      <c r="R801">
        <v>5907698017929</v>
      </c>
      <c r="S801">
        <v>1000</v>
      </c>
      <c r="T801" t="s">
        <v>535</v>
      </c>
      <c r="U801" t="s">
        <v>1613</v>
      </c>
      <c r="V801">
        <v>9405500090</v>
      </c>
    </row>
    <row r="802" spans="1:22" x14ac:dyDescent="0.25">
      <c r="A802">
        <v>812502</v>
      </c>
      <c r="B802" t="s">
        <v>302</v>
      </c>
      <c r="C802">
        <v>24</v>
      </c>
      <c r="E802" t="s">
        <v>303</v>
      </c>
      <c r="F802" t="s">
        <v>1259</v>
      </c>
      <c r="G802" t="s">
        <v>1263</v>
      </c>
      <c r="H802" t="s">
        <v>1264</v>
      </c>
      <c r="I802" t="s">
        <v>1265</v>
      </c>
      <c r="J802">
        <v>0</v>
      </c>
      <c r="K802">
        <v>3</v>
      </c>
      <c r="L802">
        <v>3</v>
      </c>
      <c r="M802">
        <v>12.12</v>
      </c>
      <c r="N802">
        <v>2.91</v>
      </c>
      <c r="O802">
        <v>2.68</v>
      </c>
      <c r="R802">
        <v>5907698017936</v>
      </c>
      <c r="S802">
        <v>1000</v>
      </c>
      <c r="T802" t="s">
        <v>535</v>
      </c>
      <c r="U802" t="s">
        <v>2663</v>
      </c>
      <c r="V802">
        <v>9405500090</v>
      </c>
    </row>
    <row r="803" spans="1:22" x14ac:dyDescent="0.25">
      <c r="A803">
        <v>812600</v>
      </c>
      <c r="B803" t="s">
        <v>3034</v>
      </c>
      <c r="C803">
        <v>24</v>
      </c>
      <c r="E803" t="s">
        <v>303</v>
      </c>
      <c r="F803" t="s">
        <v>1266</v>
      </c>
      <c r="G803" t="s">
        <v>1267</v>
      </c>
      <c r="H803" t="s">
        <v>3371</v>
      </c>
      <c r="I803" t="s">
        <v>1268</v>
      </c>
      <c r="J803">
        <v>620</v>
      </c>
      <c r="K803">
        <v>24</v>
      </c>
      <c r="L803">
        <v>644</v>
      </c>
      <c r="M803">
        <v>16.260000000000002</v>
      </c>
      <c r="N803">
        <v>4.38</v>
      </c>
      <c r="O803">
        <v>3.71</v>
      </c>
      <c r="Q803" t="s">
        <v>3782</v>
      </c>
      <c r="R803">
        <v>5907698028673</v>
      </c>
      <c r="S803">
        <v>400</v>
      </c>
      <c r="T803" t="s">
        <v>3372</v>
      </c>
      <c r="U803" t="s">
        <v>3373</v>
      </c>
      <c r="V803">
        <v>8513100000</v>
      </c>
    </row>
    <row r="804" spans="1:22" x14ac:dyDescent="0.25">
      <c r="A804">
        <v>812861</v>
      </c>
      <c r="B804" t="s">
        <v>3027</v>
      </c>
      <c r="C804">
        <v>240</v>
      </c>
      <c r="D804">
        <v>40</v>
      </c>
      <c r="E804" t="s">
        <v>303</v>
      </c>
      <c r="F804" t="s">
        <v>2187</v>
      </c>
      <c r="G804" t="s">
        <v>2188</v>
      </c>
      <c r="H804" t="s">
        <v>2189</v>
      </c>
      <c r="I804" t="s">
        <v>2190</v>
      </c>
      <c r="J804">
        <v>756</v>
      </c>
      <c r="K804">
        <v>0</v>
      </c>
      <c r="L804">
        <v>756</v>
      </c>
      <c r="M804">
        <v>1.45</v>
      </c>
      <c r="N804">
        <v>0.35</v>
      </c>
      <c r="O804">
        <v>0.32</v>
      </c>
      <c r="Q804" t="s">
        <v>2548</v>
      </c>
      <c r="R804">
        <v>5907698027287</v>
      </c>
      <c r="S804">
        <v>0</v>
      </c>
      <c r="T804" t="s">
        <v>1792</v>
      </c>
      <c r="V804">
        <v>8513100000</v>
      </c>
    </row>
    <row r="805" spans="1:22" x14ac:dyDescent="0.25">
      <c r="A805">
        <v>812864</v>
      </c>
      <c r="B805" t="s">
        <v>3027</v>
      </c>
      <c r="C805">
        <v>240</v>
      </c>
      <c r="D805">
        <v>0</v>
      </c>
      <c r="E805" t="s">
        <v>303</v>
      </c>
      <c r="F805" t="s">
        <v>2187</v>
      </c>
      <c r="G805" t="s">
        <v>2188</v>
      </c>
      <c r="H805" t="s">
        <v>2191</v>
      </c>
      <c r="I805" t="s">
        <v>2190</v>
      </c>
      <c r="J805">
        <v>278</v>
      </c>
      <c r="K805">
        <v>0</v>
      </c>
      <c r="L805">
        <v>278</v>
      </c>
      <c r="M805">
        <v>1.44</v>
      </c>
      <c r="N805">
        <v>0.35</v>
      </c>
      <c r="O805">
        <v>0.32</v>
      </c>
      <c r="Q805" t="s">
        <v>2548</v>
      </c>
      <c r="R805">
        <v>5907698027317</v>
      </c>
      <c r="S805">
        <v>0</v>
      </c>
      <c r="T805" t="s">
        <v>1792</v>
      </c>
      <c r="V805">
        <v>8513100000</v>
      </c>
    </row>
    <row r="806" spans="1:22" x14ac:dyDescent="0.25">
      <c r="A806">
        <v>812877</v>
      </c>
      <c r="B806" t="s">
        <v>2993</v>
      </c>
      <c r="C806">
        <v>48</v>
      </c>
      <c r="D806">
        <v>0</v>
      </c>
      <c r="E806" t="s">
        <v>303</v>
      </c>
      <c r="F806" t="s">
        <v>3374</v>
      </c>
      <c r="G806" t="s">
        <v>1269</v>
      </c>
      <c r="H806" t="s">
        <v>3375</v>
      </c>
      <c r="I806" t="s">
        <v>1270</v>
      </c>
      <c r="J806">
        <v>1654</v>
      </c>
      <c r="K806">
        <v>58</v>
      </c>
      <c r="L806">
        <v>1712</v>
      </c>
      <c r="M806">
        <v>6.77</v>
      </c>
      <c r="N806">
        <v>1.82</v>
      </c>
      <c r="O806">
        <v>1.54</v>
      </c>
      <c r="Q806" t="s">
        <v>3782</v>
      </c>
      <c r="R806">
        <v>5907698030447</v>
      </c>
      <c r="S806">
        <v>500</v>
      </c>
      <c r="T806" t="s">
        <v>768</v>
      </c>
      <c r="U806" t="s">
        <v>3373</v>
      </c>
      <c r="V806">
        <v>8513100000</v>
      </c>
    </row>
    <row r="807" spans="1:22" x14ac:dyDescent="0.25">
      <c r="A807">
        <v>812879</v>
      </c>
      <c r="B807" t="s">
        <v>3082</v>
      </c>
      <c r="C807">
        <v>80</v>
      </c>
      <c r="D807">
        <v>0</v>
      </c>
      <c r="E807" t="s">
        <v>303</v>
      </c>
      <c r="F807" t="s">
        <v>3374</v>
      </c>
      <c r="G807" t="s">
        <v>1269</v>
      </c>
      <c r="H807" t="s">
        <v>2192</v>
      </c>
      <c r="I807" t="s">
        <v>1270</v>
      </c>
      <c r="J807">
        <v>900</v>
      </c>
      <c r="K807">
        <v>104</v>
      </c>
      <c r="L807">
        <v>1004</v>
      </c>
      <c r="M807">
        <v>8.3800000000000008</v>
      </c>
      <c r="N807">
        <v>2.23</v>
      </c>
      <c r="O807">
        <v>1.89</v>
      </c>
      <c r="R807">
        <v>5907698026747</v>
      </c>
      <c r="S807">
        <v>300</v>
      </c>
      <c r="T807" t="s">
        <v>768</v>
      </c>
      <c r="U807" t="s">
        <v>1612</v>
      </c>
      <c r="V807">
        <v>8513100000</v>
      </c>
    </row>
    <row r="808" spans="1:22" x14ac:dyDescent="0.25">
      <c r="A808">
        <v>812881</v>
      </c>
      <c r="B808" t="s">
        <v>302</v>
      </c>
      <c r="C808">
        <v>144</v>
      </c>
      <c r="E808" t="s">
        <v>303</v>
      </c>
      <c r="F808" t="s">
        <v>2193</v>
      </c>
      <c r="G808" t="s">
        <v>2194</v>
      </c>
      <c r="H808" t="s">
        <v>2195</v>
      </c>
      <c r="I808" t="s">
        <v>2196</v>
      </c>
      <c r="J808">
        <v>384</v>
      </c>
      <c r="K808">
        <v>15</v>
      </c>
      <c r="L808">
        <v>399</v>
      </c>
      <c r="M808">
        <v>9.27</v>
      </c>
      <c r="N808">
        <v>2.19</v>
      </c>
      <c r="O808">
        <v>2.02</v>
      </c>
      <c r="Q808" t="s">
        <v>2548</v>
      </c>
      <c r="R808">
        <v>5907698027478</v>
      </c>
      <c r="S808">
        <v>300</v>
      </c>
      <c r="T808" t="s">
        <v>531</v>
      </c>
      <c r="U808" t="s">
        <v>1612</v>
      </c>
      <c r="V808">
        <v>8513100000</v>
      </c>
    </row>
    <row r="809" spans="1:22" x14ac:dyDescent="0.25">
      <c r="A809">
        <v>812890</v>
      </c>
      <c r="B809" t="s">
        <v>302</v>
      </c>
      <c r="C809">
        <v>100</v>
      </c>
      <c r="D809">
        <v>50</v>
      </c>
      <c r="E809" t="s">
        <v>303</v>
      </c>
      <c r="F809" t="s">
        <v>2193</v>
      </c>
      <c r="G809" t="s">
        <v>2197</v>
      </c>
      <c r="H809" t="s">
        <v>3376</v>
      </c>
      <c r="I809" t="s">
        <v>2198</v>
      </c>
      <c r="J809">
        <v>3277</v>
      </c>
      <c r="K809">
        <v>50</v>
      </c>
      <c r="L809">
        <v>3327</v>
      </c>
      <c r="M809">
        <v>3.35</v>
      </c>
      <c r="N809">
        <v>0.91</v>
      </c>
      <c r="O809">
        <v>0.76</v>
      </c>
      <c r="Q809" t="s">
        <v>3782</v>
      </c>
      <c r="R809">
        <v>5907698023722</v>
      </c>
      <c r="S809">
        <v>400</v>
      </c>
      <c r="T809" t="s">
        <v>768</v>
      </c>
      <c r="U809" t="s">
        <v>3373</v>
      </c>
      <c r="V809">
        <v>8513100000</v>
      </c>
    </row>
    <row r="810" spans="1:22" x14ac:dyDescent="0.25">
      <c r="A810">
        <v>812897</v>
      </c>
      <c r="B810" t="s">
        <v>2993</v>
      </c>
      <c r="C810">
        <v>48</v>
      </c>
      <c r="D810">
        <v>0</v>
      </c>
      <c r="E810" t="s">
        <v>303</v>
      </c>
      <c r="F810" t="s">
        <v>3377</v>
      </c>
      <c r="G810" t="s">
        <v>3378</v>
      </c>
      <c r="H810" t="s">
        <v>3379</v>
      </c>
      <c r="I810" t="s">
        <v>3380</v>
      </c>
      <c r="J810">
        <v>1854</v>
      </c>
      <c r="K810">
        <v>48</v>
      </c>
      <c r="L810">
        <v>1902</v>
      </c>
      <c r="M810">
        <v>5.58</v>
      </c>
      <c r="N810">
        <v>1.5</v>
      </c>
      <c r="O810">
        <v>1.27</v>
      </c>
      <c r="Q810" t="s">
        <v>3782</v>
      </c>
      <c r="R810">
        <v>5907698030430</v>
      </c>
      <c r="S810">
        <v>600</v>
      </c>
      <c r="T810" t="s">
        <v>3381</v>
      </c>
      <c r="U810" t="s">
        <v>3382</v>
      </c>
      <c r="V810">
        <v>8513100000</v>
      </c>
    </row>
    <row r="811" spans="1:22" x14ac:dyDescent="0.25">
      <c r="A811">
        <v>812910</v>
      </c>
      <c r="B811" t="s">
        <v>2993</v>
      </c>
      <c r="C811">
        <v>96</v>
      </c>
      <c r="D811">
        <v>0</v>
      </c>
      <c r="E811" t="s">
        <v>303</v>
      </c>
      <c r="F811" t="s">
        <v>3377</v>
      </c>
      <c r="G811" t="s">
        <v>3378</v>
      </c>
      <c r="H811" t="s">
        <v>3383</v>
      </c>
      <c r="I811" t="s">
        <v>3380</v>
      </c>
      <c r="J811">
        <v>787</v>
      </c>
      <c r="K811">
        <v>36</v>
      </c>
      <c r="L811">
        <v>823</v>
      </c>
      <c r="M811">
        <v>4.9400000000000004</v>
      </c>
      <c r="N811">
        <v>1.33</v>
      </c>
      <c r="O811">
        <v>1.1200000000000001</v>
      </c>
      <c r="Q811" t="s">
        <v>3782</v>
      </c>
      <c r="R811">
        <v>5907698030454</v>
      </c>
      <c r="S811">
        <v>400</v>
      </c>
      <c r="T811" t="s">
        <v>3381</v>
      </c>
      <c r="U811" t="s">
        <v>3382</v>
      </c>
      <c r="V811">
        <v>8513100000</v>
      </c>
    </row>
    <row r="812" spans="1:22" x14ac:dyDescent="0.25">
      <c r="A812">
        <v>812912</v>
      </c>
      <c r="B812" t="s">
        <v>2993</v>
      </c>
      <c r="C812">
        <v>48</v>
      </c>
      <c r="D812">
        <v>0</v>
      </c>
      <c r="E812" t="s">
        <v>303</v>
      </c>
      <c r="F812" t="s">
        <v>3377</v>
      </c>
      <c r="G812" t="s">
        <v>3378</v>
      </c>
      <c r="H812" t="s">
        <v>3384</v>
      </c>
      <c r="I812" t="s">
        <v>3380</v>
      </c>
      <c r="J812">
        <v>725</v>
      </c>
      <c r="K812">
        <v>11</v>
      </c>
      <c r="L812">
        <v>736</v>
      </c>
      <c r="M812">
        <v>10.7</v>
      </c>
      <c r="N812">
        <v>2.88</v>
      </c>
      <c r="O812">
        <v>2.4300000000000002</v>
      </c>
      <c r="Q812" t="s">
        <v>3782</v>
      </c>
      <c r="R812">
        <v>5907698030461</v>
      </c>
      <c r="S812">
        <v>300</v>
      </c>
      <c r="T812" t="s">
        <v>3381</v>
      </c>
      <c r="U812" t="s">
        <v>3382</v>
      </c>
      <c r="V812">
        <v>8513100000</v>
      </c>
    </row>
    <row r="813" spans="1:22" x14ac:dyDescent="0.25">
      <c r="A813">
        <v>812930</v>
      </c>
      <c r="B813" t="s">
        <v>2993</v>
      </c>
      <c r="C813">
        <v>48</v>
      </c>
      <c r="D813">
        <v>0</v>
      </c>
      <c r="E813" t="s">
        <v>303</v>
      </c>
      <c r="F813" t="s">
        <v>3385</v>
      </c>
      <c r="G813" t="s">
        <v>3386</v>
      </c>
      <c r="H813" t="s">
        <v>3387</v>
      </c>
      <c r="I813" t="s">
        <v>3388</v>
      </c>
      <c r="J813">
        <v>849</v>
      </c>
      <c r="K813">
        <v>48</v>
      </c>
      <c r="L813">
        <v>897</v>
      </c>
      <c r="M813">
        <v>9.57</v>
      </c>
      <c r="N813">
        <v>2.58</v>
      </c>
      <c r="O813">
        <v>2.1800000000000002</v>
      </c>
      <c r="Q813" t="s">
        <v>3782</v>
      </c>
      <c r="R813">
        <v>5907698030478</v>
      </c>
      <c r="S813">
        <v>400</v>
      </c>
      <c r="T813" t="s">
        <v>768</v>
      </c>
      <c r="U813" t="s">
        <v>3373</v>
      </c>
      <c r="V813">
        <v>8513100000</v>
      </c>
    </row>
    <row r="814" spans="1:22" x14ac:dyDescent="0.25">
      <c r="A814">
        <v>812932</v>
      </c>
      <c r="B814" t="s">
        <v>2993</v>
      </c>
      <c r="C814">
        <v>100</v>
      </c>
      <c r="D814">
        <v>50</v>
      </c>
      <c r="E814" t="s">
        <v>303</v>
      </c>
      <c r="F814" t="s">
        <v>2193</v>
      </c>
      <c r="G814" t="s">
        <v>2197</v>
      </c>
      <c r="H814" t="s">
        <v>3389</v>
      </c>
      <c r="I814" t="s">
        <v>2198</v>
      </c>
      <c r="J814">
        <v>886</v>
      </c>
      <c r="K814">
        <v>20</v>
      </c>
      <c r="L814">
        <v>906</v>
      </c>
      <c r="M814">
        <v>9.98</v>
      </c>
      <c r="N814">
        <v>2.68</v>
      </c>
      <c r="O814">
        <v>2.2799999999999998</v>
      </c>
      <c r="Q814" t="s">
        <v>3782</v>
      </c>
      <c r="R814">
        <v>5907698030485</v>
      </c>
      <c r="S814">
        <v>400</v>
      </c>
      <c r="T814" t="s">
        <v>768</v>
      </c>
      <c r="U814" t="s">
        <v>3373</v>
      </c>
      <c r="V814">
        <v>8513100000</v>
      </c>
    </row>
    <row r="815" spans="1:22" x14ac:dyDescent="0.25">
      <c r="A815">
        <v>812950</v>
      </c>
      <c r="B815" t="s">
        <v>2993</v>
      </c>
      <c r="C815">
        <v>48</v>
      </c>
      <c r="D815">
        <v>0</v>
      </c>
      <c r="E815" t="s">
        <v>303</v>
      </c>
      <c r="F815" t="s">
        <v>3390</v>
      </c>
      <c r="G815" t="s">
        <v>3391</v>
      </c>
      <c r="H815" t="s">
        <v>3392</v>
      </c>
      <c r="I815" t="s">
        <v>3393</v>
      </c>
      <c r="J815">
        <v>55</v>
      </c>
      <c r="K815">
        <v>289</v>
      </c>
      <c r="L815">
        <v>344</v>
      </c>
      <c r="M815">
        <v>23.84</v>
      </c>
      <c r="N815">
        <v>6.42</v>
      </c>
      <c r="O815">
        <v>5.42</v>
      </c>
      <c r="Q815" t="s">
        <v>3782</v>
      </c>
      <c r="R815">
        <v>5907698030492</v>
      </c>
      <c r="S815">
        <v>100</v>
      </c>
      <c r="T815" t="s">
        <v>3381</v>
      </c>
      <c r="U815" t="s">
        <v>3382</v>
      </c>
      <c r="V815">
        <v>9405409990</v>
      </c>
    </row>
    <row r="816" spans="1:22" x14ac:dyDescent="0.25">
      <c r="A816">
        <v>820000</v>
      </c>
      <c r="B816" t="s">
        <v>302</v>
      </c>
      <c r="C816">
        <v>20</v>
      </c>
      <c r="D816">
        <v>0</v>
      </c>
      <c r="E816" t="s">
        <v>303</v>
      </c>
      <c r="F816" t="s">
        <v>3394</v>
      </c>
      <c r="G816" t="s">
        <v>1271</v>
      </c>
      <c r="H816" t="s">
        <v>1272</v>
      </c>
      <c r="I816" t="s">
        <v>1273</v>
      </c>
      <c r="J816">
        <v>131</v>
      </c>
      <c r="K816">
        <v>0</v>
      </c>
      <c r="L816">
        <v>131</v>
      </c>
      <c r="M816">
        <v>16.75</v>
      </c>
      <c r="N816">
        <v>4.04</v>
      </c>
      <c r="O816">
        <v>3.7</v>
      </c>
      <c r="Q816" t="s">
        <v>2548</v>
      </c>
      <c r="R816">
        <v>5907698017950</v>
      </c>
      <c r="S816">
        <v>250</v>
      </c>
      <c r="T816" t="s">
        <v>482</v>
      </c>
      <c r="V816">
        <v>8204110000</v>
      </c>
    </row>
    <row r="817" spans="1:22" x14ac:dyDescent="0.25">
      <c r="A817">
        <v>820500</v>
      </c>
      <c r="B817" t="s">
        <v>302</v>
      </c>
      <c r="C817">
        <v>10</v>
      </c>
      <c r="E817" t="s">
        <v>303</v>
      </c>
      <c r="F817" t="s">
        <v>3395</v>
      </c>
      <c r="G817" t="s">
        <v>2199</v>
      </c>
      <c r="H817" t="s">
        <v>1682</v>
      </c>
      <c r="I817" t="s">
        <v>2200</v>
      </c>
      <c r="J817">
        <v>0</v>
      </c>
      <c r="K817">
        <v>70</v>
      </c>
      <c r="L817">
        <v>70</v>
      </c>
      <c r="M817">
        <v>10.95</v>
      </c>
      <c r="N817">
        <v>2.84</v>
      </c>
      <c r="O817">
        <v>2.46</v>
      </c>
      <c r="Q817" t="s">
        <v>4</v>
      </c>
      <c r="R817">
        <v>5907698017967</v>
      </c>
      <c r="S817">
        <v>200</v>
      </c>
      <c r="T817" t="s">
        <v>369</v>
      </c>
      <c r="V817">
        <v>8204110000</v>
      </c>
    </row>
    <row r="818" spans="1:22" x14ac:dyDescent="0.25">
      <c r="A818">
        <v>820511</v>
      </c>
      <c r="B818" t="s">
        <v>302</v>
      </c>
      <c r="C818">
        <v>10</v>
      </c>
      <c r="E818" t="s">
        <v>303</v>
      </c>
      <c r="F818" t="s">
        <v>3395</v>
      </c>
      <c r="G818" t="s">
        <v>1274</v>
      </c>
      <c r="H818" t="s">
        <v>1275</v>
      </c>
      <c r="I818" t="s">
        <v>1276</v>
      </c>
      <c r="J818">
        <v>253</v>
      </c>
      <c r="K818">
        <v>10</v>
      </c>
      <c r="L818">
        <v>263</v>
      </c>
      <c r="M818">
        <v>15.19</v>
      </c>
      <c r="N818">
        <v>3.95</v>
      </c>
      <c r="O818">
        <v>3.42</v>
      </c>
      <c r="Q818" t="s">
        <v>4</v>
      </c>
      <c r="R818">
        <v>5907698021476</v>
      </c>
      <c r="S818">
        <v>100</v>
      </c>
      <c r="T818" t="s">
        <v>369</v>
      </c>
      <c r="V818">
        <v>8204110000</v>
      </c>
    </row>
    <row r="819" spans="1:22" x14ac:dyDescent="0.25">
      <c r="A819">
        <v>820612</v>
      </c>
      <c r="B819" t="s">
        <v>302</v>
      </c>
      <c r="C819">
        <v>10</v>
      </c>
      <c r="D819">
        <v>0</v>
      </c>
      <c r="E819" t="s">
        <v>303</v>
      </c>
      <c r="F819" t="s">
        <v>1277</v>
      </c>
      <c r="G819" t="s">
        <v>1278</v>
      </c>
      <c r="H819" t="s">
        <v>1279</v>
      </c>
      <c r="I819" t="s">
        <v>1280</v>
      </c>
      <c r="J819">
        <v>34</v>
      </c>
      <c r="K819">
        <v>10</v>
      </c>
      <c r="L819">
        <v>44</v>
      </c>
      <c r="M819">
        <v>57.08</v>
      </c>
      <c r="N819">
        <v>14.43</v>
      </c>
      <c r="O819">
        <v>12.36</v>
      </c>
      <c r="Q819" t="s">
        <v>3745</v>
      </c>
      <c r="R819">
        <v>5907698027546</v>
      </c>
      <c r="S819">
        <v>30</v>
      </c>
      <c r="T819" t="s">
        <v>1281</v>
      </c>
      <c r="V819">
        <v>8204110000</v>
      </c>
    </row>
    <row r="820" spans="1:22" x14ac:dyDescent="0.25">
      <c r="A820">
        <v>820613</v>
      </c>
      <c r="B820" t="s">
        <v>2993</v>
      </c>
      <c r="C820">
        <v>20</v>
      </c>
      <c r="D820">
        <v>0</v>
      </c>
      <c r="E820" t="s">
        <v>303</v>
      </c>
      <c r="F820" t="s">
        <v>1277</v>
      </c>
      <c r="G820" t="s">
        <v>1278</v>
      </c>
      <c r="H820" t="s">
        <v>2972</v>
      </c>
      <c r="I820" t="s">
        <v>1280</v>
      </c>
      <c r="J820">
        <v>98</v>
      </c>
      <c r="K820">
        <v>0</v>
      </c>
      <c r="L820">
        <v>98</v>
      </c>
      <c r="M820">
        <v>45.22</v>
      </c>
      <c r="N820">
        <v>11.42</v>
      </c>
      <c r="O820">
        <v>9.7899999999999991</v>
      </c>
      <c r="Q820" t="s">
        <v>3745</v>
      </c>
      <c r="R820">
        <v>5907698031017</v>
      </c>
      <c r="S820">
        <v>30</v>
      </c>
      <c r="T820" t="s">
        <v>1281</v>
      </c>
      <c r="U820" t="s">
        <v>3746</v>
      </c>
      <c r="V820">
        <v>8204110000</v>
      </c>
    </row>
    <row r="821" spans="1:22" x14ac:dyDescent="0.25">
      <c r="A821">
        <v>820614</v>
      </c>
      <c r="B821" t="s">
        <v>2993</v>
      </c>
      <c r="C821">
        <v>20</v>
      </c>
      <c r="D821">
        <v>0</v>
      </c>
      <c r="E821" t="s">
        <v>303</v>
      </c>
      <c r="F821" t="s">
        <v>1277</v>
      </c>
      <c r="G821" t="s">
        <v>1278</v>
      </c>
      <c r="H821" t="s">
        <v>2973</v>
      </c>
      <c r="I821" t="s">
        <v>1280</v>
      </c>
      <c r="J821">
        <v>98</v>
      </c>
      <c r="K821">
        <v>0</v>
      </c>
      <c r="L821">
        <v>98</v>
      </c>
      <c r="M821">
        <v>39.28</v>
      </c>
      <c r="N821">
        <v>9.93</v>
      </c>
      <c r="O821">
        <v>8.51</v>
      </c>
      <c r="Q821" t="s">
        <v>3745</v>
      </c>
      <c r="R821">
        <v>5907698030294</v>
      </c>
      <c r="S821">
        <v>80</v>
      </c>
      <c r="T821" t="s">
        <v>1281</v>
      </c>
      <c r="U821" t="s">
        <v>3746</v>
      </c>
      <c r="V821">
        <v>8204110000</v>
      </c>
    </row>
    <row r="822" spans="1:22" x14ac:dyDescent="0.25">
      <c r="A822">
        <v>820705</v>
      </c>
      <c r="B822" t="s">
        <v>2993</v>
      </c>
      <c r="C822">
        <v>30</v>
      </c>
      <c r="D822">
        <v>1</v>
      </c>
      <c r="E822" t="s">
        <v>303</v>
      </c>
      <c r="F822" t="s">
        <v>3396</v>
      </c>
      <c r="G822" t="s">
        <v>2751</v>
      </c>
      <c r="H822" t="s">
        <v>3397</v>
      </c>
      <c r="I822" t="s">
        <v>2752</v>
      </c>
      <c r="J822">
        <v>74</v>
      </c>
      <c r="K822">
        <v>30</v>
      </c>
      <c r="L822">
        <v>104</v>
      </c>
      <c r="M822">
        <v>6.92</v>
      </c>
      <c r="N822">
        <v>1.8</v>
      </c>
      <c r="O822">
        <v>1.55</v>
      </c>
      <c r="Q822" t="s">
        <v>4</v>
      </c>
      <c r="R822">
        <v>5907698030195</v>
      </c>
      <c r="S822">
        <v>150</v>
      </c>
      <c r="T822" t="s">
        <v>331</v>
      </c>
      <c r="V822">
        <v>8205598000</v>
      </c>
    </row>
    <row r="823" spans="1:22" x14ac:dyDescent="0.25">
      <c r="A823">
        <v>830250</v>
      </c>
      <c r="B823" t="s">
        <v>302</v>
      </c>
      <c r="C823">
        <v>10</v>
      </c>
      <c r="E823" t="s">
        <v>303</v>
      </c>
      <c r="F823" t="s">
        <v>3110</v>
      </c>
      <c r="G823" t="s">
        <v>1282</v>
      </c>
      <c r="H823" t="s">
        <v>393</v>
      </c>
      <c r="I823" t="s">
        <v>1283</v>
      </c>
      <c r="J823">
        <v>64</v>
      </c>
      <c r="K823">
        <v>20</v>
      </c>
      <c r="L823">
        <v>84</v>
      </c>
      <c r="M823">
        <v>28.88</v>
      </c>
      <c r="N823">
        <v>7.49</v>
      </c>
      <c r="O823">
        <v>6.51</v>
      </c>
      <c r="Q823" t="s">
        <v>4</v>
      </c>
      <c r="R823">
        <v>5907698018971</v>
      </c>
      <c r="S823">
        <v>400</v>
      </c>
      <c r="T823" t="s">
        <v>736</v>
      </c>
      <c r="V823">
        <v>8205598000</v>
      </c>
    </row>
    <row r="824" spans="1:22" x14ac:dyDescent="0.25">
      <c r="A824">
        <v>831030</v>
      </c>
      <c r="B824" t="s">
        <v>302</v>
      </c>
      <c r="C824">
        <v>8</v>
      </c>
      <c r="E824" t="s">
        <v>303</v>
      </c>
      <c r="F824" t="s">
        <v>3398</v>
      </c>
      <c r="G824" t="s">
        <v>1284</v>
      </c>
      <c r="H824" t="s">
        <v>2974</v>
      </c>
      <c r="I824" t="s">
        <v>1285</v>
      </c>
      <c r="J824">
        <v>0</v>
      </c>
      <c r="K824">
        <v>0</v>
      </c>
      <c r="L824">
        <v>0</v>
      </c>
      <c r="M824">
        <v>25.65</v>
      </c>
      <c r="N824">
        <v>6.66</v>
      </c>
      <c r="O824">
        <v>5.77</v>
      </c>
      <c r="Q824" t="s">
        <v>4</v>
      </c>
      <c r="R824">
        <v>5907698017981</v>
      </c>
      <c r="S824">
        <v>1600</v>
      </c>
      <c r="T824" t="s">
        <v>736</v>
      </c>
      <c r="V824">
        <v>8205598000</v>
      </c>
    </row>
    <row r="825" spans="1:22" x14ac:dyDescent="0.25">
      <c r="A825">
        <v>831033</v>
      </c>
      <c r="B825" t="s">
        <v>302</v>
      </c>
      <c r="C825">
        <v>8</v>
      </c>
      <c r="E825" t="s">
        <v>303</v>
      </c>
      <c r="F825" t="s">
        <v>3398</v>
      </c>
      <c r="G825" t="s">
        <v>1284</v>
      </c>
      <c r="H825" t="s">
        <v>2975</v>
      </c>
      <c r="I825" t="s">
        <v>1285</v>
      </c>
      <c r="J825">
        <v>0</v>
      </c>
      <c r="K825">
        <v>0</v>
      </c>
      <c r="L825">
        <v>0</v>
      </c>
      <c r="M825">
        <v>26.07</v>
      </c>
      <c r="N825">
        <v>6.77</v>
      </c>
      <c r="O825">
        <v>5.87</v>
      </c>
      <c r="Q825" t="s">
        <v>4</v>
      </c>
      <c r="R825">
        <v>5907698027881</v>
      </c>
      <c r="S825">
        <v>1050</v>
      </c>
      <c r="T825" t="s">
        <v>736</v>
      </c>
      <c r="V825">
        <v>8205598000</v>
      </c>
    </row>
    <row r="826" spans="1:22" x14ac:dyDescent="0.25">
      <c r="A826">
        <v>832000</v>
      </c>
      <c r="B826" t="s">
        <v>302</v>
      </c>
      <c r="C826">
        <v>40</v>
      </c>
      <c r="D826">
        <v>10</v>
      </c>
      <c r="E826" t="s">
        <v>303</v>
      </c>
      <c r="F826" t="s">
        <v>3399</v>
      </c>
      <c r="G826" t="s">
        <v>6</v>
      </c>
      <c r="I826" t="s">
        <v>1286</v>
      </c>
      <c r="J826">
        <v>42</v>
      </c>
      <c r="K826">
        <v>0</v>
      </c>
      <c r="L826">
        <v>42</v>
      </c>
      <c r="M826">
        <v>3.57</v>
      </c>
      <c r="N826">
        <v>0.93</v>
      </c>
      <c r="O826">
        <v>0.8</v>
      </c>
      <c r="Q826" t="s">
        <v>4</v>
      </c>
      <c r="R826">
        <v>5907698017998</v>
      </c>
      <c r="S826">
        <v>350</v>
      </c>
      <c r="T826" t="s">
        <v>360</v>
      </c>
      <c r="V826">
        <v>8205598000</v>
      </c>
    </row>
    <row r="827" spans="1:22" x14ac:dyDescent="0.25">
      <c r="A827">
        <v>832005</v>
      </c>
      <c r="B827" t="s">
        <v>302</v>
      </c>
      <c r="C827">
        <v>100</v>
      </c>
      <c r="D827">
        <v>10</v>
      </c>
      <c r="E827" t="s">
        <v>303</v>
      </c>
      <c r="F827" t="s">
        <v>3400</v>
      </c>
      <c r="G827" t="s">
        <v>1287</v>
      </c>
      <c r="H827" t="s">
        <v>1288</v>
      </c>
      <c r="I827" t="s">
        <v>1289</v>
      </c>
      <c r="J827">
        <v>47</v>
      </c>
      <c r="K827">
        <v>0</v>
      </c>
      <c r="L827">
        <v>47</v>
      </c>
      <c r="M827">
        <v>5.86</v>
      </c>
      <c r="N827">
        <v>1.52</v>
      </c>
      <c r="O827">
        <v>1.32</v>
      </c>
      <c r="Q827" t="s">
        <v>4</v>
      </c>
      <c r="R827">
        <v>5907698023555</v>
      </c>
      <c r="S827">
        <v>380</v>
      </c>
      <c r="T827" t="s">
        <v>360</v>
      </c>
      <c r="V827">
        <v>8205598000</v>
      </c>
    </row>
    <row r="828" spans="1:22" x14ac:dyDescent="0.25">
      <c r="A828">
        <v>832008</v>
      </c>
      <c r="B828" t="s">
        <v>302</v>
      </c>
      <c r="C828">
        <v>40</v>
      </c>
      <c r="D828">
        <v>10</v>
      </c>
      <c r="E828" t="s">
        <v>303</v>
      </c>
      <c r="F828" t="s">
        <v>1290</v>
      </c>
      <c r="G828" t="s">
        <v>1291</v>
      </c>
      <c r="H828" t="s">
        <v>1292</v>
      </c>
      <c r="I828" t="s">
        <v>1293</v>
      </c>
      <c r="J828">
        <v>212</v>
      </c>
      <c r="K828">
        <v>20</v>
      </c>
      <c r="L828">
        <v>232</v>
      </c>
      <c r="M828">
        <v>17.27</v>
      </c>
      <c r="N828">
        <v>4.09</v>
      </c>
      <c r="O828">
        <v>3.78</v>
      </c>
      <c r="Q828" t="s">
        <v>2548</v>
      </c>
      <c r="R828">
        <v>5907698025610</v>
      </c>
      <c r="S828">
        <v>120</v>
      </c>
      <c r="T828" t="s">
        <v>768</v>
      </c>
      <c r="V828">
        <v>8205598000</v>
      </c>
    </row>
    <row r="829" spans="1:22" x14ac:dyDescent="0.25">
      <c r="A829">
        <v>832023</v>
      </c>
      <c r="B829" t="s">
        <v>302</v>
      </c>
      <c r="C829">
        <v>5</v>
      </c>
      <c r="D829">
        <v>1</v>
      </c>
      <c r="E829" t="s">
        <v>303</v>
      </c>
      <c r="F829" t="s">
        <v>2584</v>
      </c>
      <c r="G829" t="s">
        <v>2585</v>
      </c>
      <c r="H829" t="s">
        <v>2586</v>
      </c>
      <c r="I829" t="s">
        <v>2587</v>
      </c>
      <c r="J829">
        <v>21</v>
      </c>
      <c r="K829">
        <v>0</v>
      </c>
      <c r="L829">
        <v>21</v>
      </c>
      <c r="M829">
        <v>103.84</v>
      </c>
      <c r="N829">
        <v>25.06</v>
      </c>
      <c r="O829">
        <v>23.01</v>
      </c>
      <c r="Q829" t="s">
        <v>3745</v>
      </c>
      <c r="R829">
        <v>5907698029939</v>
      </c>
      <c r="S829">
        <v>15</v>
      </c>
      <c r="T829" t="s">
        <v>768</v>
      </c>
      <c r="V829">
        <v>8205598000</v>
      </c>
    </row>
    <row r="830" spans="1:22" x14ac:dyDescent="0.25">
      <c r="A830">
        <v>833012</v>
      </c>
      <c r="B830" t="s">
        <v>302</v>
      </c>
      <c r="C830">
        <v>20</v>
      </c>
      <c r="D830">
        <v>1</v>
      </c>
      <c r="E830" t="s">
        <v>303</v>
      </c>
      <c r="F830" t="s">
        <v>1294</v>
      </c>
      <c r="G830" t="s">
        <v>1295</v>
      </c>
      <c r="H830" t="s">
        <v>1296</v>
      </c>
      <c r="I830" t="s">
        <v>1297</v>
      </c>
      <c r="J830">
        <v>265</v>
      </c>
      <c r="K830">
        <v>0</v>
      </c>
      <c r="L830">
        <v>265</v>
      </c>
      <c r="M830">
        <v>10.86</v>
      </c>
      <c r="N830">
        <v>2.61</v>
      </c>
      <c r="O830">
        <v>2.38</v>
      </c>
      <c r="Q830" t="s">
        <v>2</v>
      </c>
      <c r="R830">
        <v>5907698027812</v>
      </c>
      <c r="S830">
        <v>220</v>
      </c>
      <c r="T830" t="s">
        <v>1298</v>
      </c>
      <c r="V830">
        <v>8536105090</v>
      </c>
    </row>
    <row r="831" spans="1:22" x14ac:dyDescent="0.25">
      <c r="A831">
        <v>833013</v>
      </c>
      <c r="B831" t="s">
        <v>302</v>
      </c>
      <c r="C831">
        <v>24</v>
      </c>
      <c r="D831">
        <v>1</v>
      </c>
      <c r="E831" t="s">
        <v>303</v>
      </c>
      <c r="F831" t="s">
        <v>1294</v>
      </c>
      <c r="G831" t="s">
        <v>1295</v>
      </c>
      <c r="H831" t="s">
        <v>1299</v>
      </c>
      <c r="I831" t="s">
        <v>1297</v>
      </c>
      <c r="J831">
        <v>225</v>
      </c>
      <c r="K831">
        <v>1</v>
      </c>
      <c r="L831">
        <v>226</v>
      </c>
      <c r="M831">
        <v>10.75</v>
      </c>
      <c r="N831">
        <v>2.9</v>
      </c>
      <c r="O831">
        <v>2.4500000000000002</v>
      </c>
      <c r="Q831" t="s">
        <v>2548</v>
      </c>
      <c r="R831">
        <v>5907698028253</v>
      </c>
      <c r="S831">
        <v>200</v>
      </c>
      <c r="T831" t="s">
        <v>1298</v>
      </c>
      <c r="V831">
        <v>8536105090</v>
      </c>
    </row>
    <row r="832" spans="1:22" x14ac:dyDescent="0.25">
      <c r="A832">
        <v>833051</v>
      </c>
      <c r="B832" t="s">
        <v>302</v>
      </c>
      <c r="C832">
        <v>48</v>
      </c>
      <c r="D832">
        <v>0</v>
      </c>
      <c r="E832" t="s">
        <v>303</v>
      </c>
      <c r="F832" t="s">
        <v>1300</v>
      </c>
      <c r="G832" t="s">
        <v>1301</v>
      </c>
      <c r="H832" t="s">
        <v>2664</v>
      </c>
      <c r="I832" t="s">
        <v>1302</v>
      </c>
      <c r="J832">
        <v>489</v>
      </c>
      <c r="K832">
        <v>0</v>
      </c>
      <c r="L832">
        <v>489</v>
      </c>
      <c r="M832">
        <v>8.83</v>
      </c>
      <c r="N832">
        <v>2.25</v>
      </c>
      <c r="O832">
        <v>1.97</v>
      </c>
      <c r="Q832" t="s">
        <v>2548</v>
      </c>
      <c r="R832">
        <v>5907698029182</v>
      </c>
      <c r="S832">
        <v>100</v>
      </c>
      <c r="T832" t="s">
        <v>482</v>
      </c>
      <c r="V832">
        <v>8505110099</v>
      </c>
    </row>
    <row r="833" spans="1:22" x14ac:dyDescent="0.25">
      <c r="A833">
        <v>833052</v>
      </c>
      <c r="B833" t="s">
        <v>2993</v>
      </c>
      <c r="C833">
        <v>100</v>
      </c>
      <c r="D833">
        <v>0</v>
      </c>
      <c r="E833" t="s">
        <v>303</v>
      </c>
      <c r="F833" t="s">
        <v>2201</v>
      </c>
      <c r="G833" t="s">
        <v>2202</v>
      </c>
      <c r="H833" t="s">
        <v>2976</v>
      </c>
      <c r="I833" t="s">
        <v>2204</v>
      </c>
      <c r="J833">
        <v>299</v>
      </c>
      <c r="K833">
        <v>0</v>
      </c>
      <c r="L833">
        <v>299</v>
      </c>
      <c r="M833">
        <v>11.09</v>
      </c>
      <c r="N833">
        <v>2.8</v>
      </c>
      <c r="O833">
        <v>2.39</v>
      </c>
      <c r="Q833" t="s">
        <v>3745</v>
      </c>
      <c r="R833">
        <v>5907698031024</v>
      </c>
      <c r="S833">
        <v>50</v>
      </c>
      <c r="T833" t="s">
        <v>383</v>
      </c>
      <c r="U833" t="s">
        <v>3746</v>
      </c>
      <c r="V833">
        <v>8205598000</v>
      </c>
    </row>
    <row r="834" spans="1:22" x14ac:dyDescent="0.25">
      <c r="A834">
        <v>833053</v>
      </c>
      <c r="B834" t="s">
        <v>302</v>
      </c>
      <c r="C834">
        <v>100</v>
      </c>
      <c r="D834">
        <v>0</v>
      </c>
      <c r="E834" t="s">
        <v>303</v>
      </c>
      <c r="F834" t="s">
        <v>2201</v>
      </c>
      <c r="G834" t="s">
        <v>2202</v>
      </c>
      <c r="H834" t="s">
        <v>2203</v>
      </c>
      <c r="I834" t="s">
        <v>2204</v>
      </c>
      <c r="J834">
        <v>293</v>
      </c>
      <c r="K834">
        <v>50</v>
      </c>
      <c r="L834">
        <v>343</v>
      </c>
      <c r="M834">
        <v>4.95</v>
      </c>
      <c r="N834">
        <v>1.33</v>
      </c>
      <c r="O834">
        <v>1.1200000000000001</v>
      </c>
      <c r="Q834" t="s">
        <v>2548</v>
      </c>
      <c r="R834">
        <v>5907698023760</v>
      </c>
      <c r="S834">
        <v>400</v>
      </c>
      <c r="T834" t="s">
        <v>383</v>
      </c>
      <c r="V834">
        <v>8205598000</v>
      </c>
    </row>
    <row r="835" spans="1:22" x14ac:dyDescent="0.25">
      <c r="A835">
        <v>833054</v>
      </c>
      <c r="B835" t="s">
        <v>2993</v>
      </c>
      <c r="C835">
        <v>50</v>
      </c>
      <c r="D835">
        <v>1</v>
      </c>
      <c r="E835" t="s">
        <v>303</v>
      </c>
      <c r="F835" t="s">
        <v>3401</v>
      </c>
      <c r="G835" t="s">
        <v>2897</v>
      </c>
      <c r="H835" t="s">
        <v>2977</v>
      </c>
      <c r="I835" t="s">
        <v>3402</v>
      </c>
      <c r="J835">
        <v>0</v>
      </c>
      <c r="K835">
        <v>300</v>
      </c>
      <c r="L835">
        <v>299</v>
      </c>
      <c r="M835">
        <v>10.72</v>
      </c>
      <c r="N835">
        <v>2.72</v>
      </c>
      <c r="O835">
        <v>2.3199999999999998</v>
      </c>
      <c r="Q835" t="s">
        <v>3745</v>
      </c>
      <c r="R835">
        <v>5907698031031</v>
      </c>
      <c r="S835">
        <v>50</v>
      </c>
      <c r="T835" t="s">
        <v>3403</v>
      </c>
      <c r="U835" t="s">
        <v>3746</v>
      </c>
      <c r="V835">
        <v>8205598000</v>
      </c>
    </row>
    <row r="836" spans="1:22" x14ac:dyDescent="0.25">
      <c r="A836">
        <v>833060</v>
      </c>
      <c r="B836" t="s">
        <v>2993</v>
      </c>
      <c r="C836">
        <v>20</v>
      </c>
      <c r="D836">
        <v>1</v>
      </c>
      <c r="E836" t="s">
        <v>303</v>
      </c>
      <c r="F836" t="s">
        <v>3783</v>
      </c>
      <c r="G836" t="s">
        <v>3404</v>
      </c>
      <c r="H836" t="s">
        <v>3784</v>
      </c>
      <c r="I836" t="s">
        <v>3405</v>
      </c>
      <c r="J836">
        <v>129</v>
      </c>
      <c r="K836">
        <v>30</v>
      </c>
      <c r="L836">
        <v>159</v>
      </c>
      <c r="M836">
        <v>13.71</v>
      </c>
      <c r="N836">
        <v>3.46</v>
      </c>
      <c r="O836">
        <v>2.97</v>
      </c>
      <c r="Q836" t="s">
        <v>3745</v>
      </c>
      <c r="R836">
        <v>5907698031048</v>
      </c>
      <c r="S836">
        <v>50</v>
      </c>
      <c r="T836" t="s">
        <v>1298</v>
      </c>
      <c r="U836" t="s">
        <v>3746</v>
      </c>
      <c r="V836">
        <v>7616100099</v>
      </c>
    </row>
    <row r="837" spans="1:22" x14ac:dyDescent="0.25">
      <c r="A837">
        <v>833062</v>
      </c>
      <c r="B837" t="s">
        <v>302</v>
      </c>
      <c r="C837">
        <v>20</v>
      </c>
      <c r="D837">
        <v>1</v>
      </c>
      <c r="E837" t="s">
        <v>303</v>
      </c>
      <c r="F837" t="s">
        <v>3406</v>
      </c>
      <c r="G837" t="s">
        <v>1303</v>
      </c>
      <c r="H837" t="s">
        <v>3407</v>
      </c>
      <c r="I837" t="s">
        <v>1304</v>
      </c>
      <c r="J837">
        <v>389</v>
      </c>
      <c r="K837">
        <v>10</v>
      </c>
      <c r="L837">
        <v>399</v>
      </c>
      <c r="M837">
        <v>7.58</v>
      </c>
      <c r="N837">
        <v>1.79</v>
      </c>
      <c r="O837">
        <v>1.66</v>
      </c>
      <c r="Q837" t="s">
        <v>2</v>
      </c>
      <c r="R837">
        <v>5907698027706</v>
      </c>
      <c r="S837">
        <v>180</v>
      </c>
      <c r="T837" t="s">
        <v>1298</v>
      </c>
      <c r="V837">
        <v>4016930090</v>
      </c>
    </row>
    <row r="838" spans="1:22" x14ac:dyDescent="0.25">
      <c r="A838">
        <v>833064</v>
      </c>
      <c r="B838" t="s">
        <v>302</v>
      </c>
      <c r="C838">
        <v>24</v>
      </c>
      <c r="D838">
        <v>1</v>
      </c>
      <c r="E838" t="s">
        <v>303</v>
      </c>
      <c r="F838" t="s">
        <v>3406</v>
      </c>
      <c r="G838" t="s">
        <v>1303</v>
      </c>
      <c r="H838" t="s">
        <v>1305</v>
      </c>
      <c r="I838" t="s">
        <v>1304</v>
      </c>
      <c r="J838">
        <v>150</v>
      </c>
      <c r="K838">
        <v>216</v>
      </c>
      <c r="L838">
        <v>366</v>
      </c>
      <c r="M838">
        <v>17.82</v>
      </c>
      <c r="N838">
        <v>4.5599999999999996</v>
      </c>
      <c r="O838">
        <v>3.92</v>
      </c>
      <c r="Q838" t="s">
        <v>2</v>
      </c>
      <c r="R838">
        <v>5907698025627</v>
      </c>
      <c r="S838">
        <v>900</v>
      </c>
      <c r="T838" t="s">
        <v>1298</v>
      </c>
      <c r="V838">
        <v>4016930090</v>
      </c>
    </row>
    <row r="839" spans="1:22" x14ac:dyDescent="0.25">
      <c r="A839">
        <v>833070</v>
      </c>
      <c r="B839" t="s">
        <v>302</v>
      </c>
      <c r="C839">
        <v>24</v>
      </c>
      <c r="D839">
        <v>1</v>
      </c>
      <c r="E839" t="s">
        <v>303</v>
      </c>
      <c r="F839" t="s">
        <v>3408</v>
      </c>
      <c r="G839" t="s">
        <v>1306</v>
      </c>
      <c r="H839" t="s">
        <v>1307</v>
      </c>
      <c r="I839" t="s">
        <v>1308</v>
      </c>
      <c r="J839">
        <v>38</v>
      </c>
      <c r="K839">
        <v>5</v>
      </c>
      <c r="L839">
        <v>43</v>
      </c>
      <c r="M839">
        <v>29.34</v>
      </c>
      <c r="N839">
        <v>7.52</v>
      </c>
      <c r="O839">
        <v>6.44</v>
      </c>
      <c r="Q839" t="s">
        <v>2</v>
      </c>
      <c r="R839">
        <v>5907698027829</v>
      </c>
      <c r="S839">
        <v>120</v>
      </c>
      <c r="T839" t="s">
        <v>1298</v>
      </c>
      <c r="V839">
        <v>7415210000</v>
      </c>
    </row>
    <row r="840" spans="1:22" x14ac:dyDescent="0.25">
      <c r="A840">
        <v>833076</v>
      </c>
      <c r="B840" t="s">
        <v>302</v>
      </c>
      <c r="C840">
        <v>24</v>
      </c>
      <c r="D840">
        <v>1</v>
      </c>
      <c r="E840" t="s">
        <v>303</v>
      </c>
      <c r="F840" t="s">
        <v>1309</v>
      </c>
      <c r="G840" t="s">
        <v>1310</v>
      </c>
      <c r="H840" t="s">
        <v>1311</v>
      </c>
      <c r="I840" t="s">
        <v>1312</v>
      </c>
      <c r="J840">
        <v>35</v>
      </c>
      <c r="K840">
        <v>0</v>
      </c>
      <c r="L840">
        <v>35</v>
      </c>
      <c r="M840">
        <v>12.41</v>
      </c>
      <c r="N840">
        <v>3.19</v>
      </c>
      <c r="O840">
        <v>2.73</v>
      </c>
      <c r="Q840" t="s">
        <v>2</v>
      </c>
      <c r="R840">
        <v>5907698027836</v>
      </c>
      <c r="S840">
        <v>200</v>
      </c>
      <c r="T840" t="s">
        <v>1298</v>
      </c>
      <c r="V840">
        <v>7318240090</v>
      </c>
    </row>
    <row r="841" spans="1:22" x14ac:dyDescent="0.25">
      <c r="A841">
        <v>833080</v>
      </c>
      <c r="B841" t="s">
        <v>302</v>
      </c>
      <c r="C841">
        <v>24</v>
      </c>
      <c r="D841">
        <v>1</v>
      </c>
      <c r="E841" t="s">
        <v>303</v>
      </c>
      <c r="F841" t="s">
        <v>3409</v>
      </c>
      <c r="G841" t="s">
        <v>1313</v>
      </c>
      <c r="H841" t="s">
        <v>1314</v>
      </c>
      <c r="I841" t="s">
        <v>1315</v>
      </c>
      <c r="J841">
        <v>987</v>
      </c>
      <c r="K841">
        <v>24</v>
      </c>
      <c r="L841">
        <v>1011</v>
      </c>
      <c r="M841">
        <v>13.7</v>
      </c>
      <c r="N841">
        <v>3.69</v>
      </c>
      <c r="O841">
        <v>3.12</v>
      </c>
      <c r="Q841" t="s">
        <v>2548</v>
      </c>
      <c r="R841">
        <v>5907698027690</v>
      </c>
      <c r="S841">
        <v>500</v>
      </c>
      <c r="T841" t="s">
        <v>1298</v>
      </c>
      <c r="V841">
        <v>4016930090</v>
      </c>
    </row>
    <row r="842" spans="1:22" x14ac:dyDescent="0.25">
      <c r="A842">
        <v>833082</v>
      </c>
      <c r="B842" t="s">
        <v>302</v>
      </c>
      <c r="C842">
        <v>24</v>
      </c>
      <c r="D842">
        <v>1</v>
      </c>
      <c r="E842" t="s">
        <v>303</v>
      </c>
      <c r="F842" t="s">
        <v>3410</v>
      </c>
      <c r="G842" t="s">
        <v>1316</v>
      </c>
      <c r="H842" t="s">
        <v>1317</v>
      </c>
      <c r="I842" t="s">
        <v>1318</v>
      </c>
      <c r="J842">
        <v>141</v>
      </c>
      <c r="K842">
        <v>0</v>
      </c>
      <c r="L842">
        <v>141</v>
      </c>
      <c r="M842">
        <v>11.91</v>
      </c>
      <c r="N842">
        <v>2.86</v>
      </c>
      <c r="O842">
        <v>2.62</v>
      </c>
      <c r="Q842" t="s">
        <v>2</v>
      </c>
      <c r="R842">
        <v>5907698028840</v>
      </c>
      <c r="S842">
        <v>200</v>
      </c>
      <c r="T842" t="s">
        <v>1298</v>
      </c>
      <c r="V842">
        <v>7320202090</v>
      </c>
    </row>
    <row r="843" spans="1:22" x14ac:dyDescent="0.25">
      <c r="A843">
        <v>833083</v>
      </c>
      <c r="B843" t="s">
        <v>302</v>
      </c>
      <c r="C843">
        <v>24</v>
      </c>
      <c r="D843">
        <v>1</v>
      </c>
      <c r="E843" t="s">
        <v>303</v>
      </c>
      <c r="F843" t="s">
        <v>3411</v>
      </c>
      <c r="G843" t="s">
        <v>1319</v>
      </c>
      <c r="H843" t="s">
        <v>730</v>
      </c>
      <c r="I843" t="s">
        <v>1320</v>
      </c>
      <c r="J843">
        <v>344</v>
      </c>
      <c r="K843">
        <v>1</v>
      </c>
      <c r="L843">
        <v>345</v>
      </c>
      <c r="M843">
        <v>12.6</v>
      </c>
      <c r="N843">
        <v>3.21</v>
      </c>
      <c r="O843">
        <v>2.84</v>
      </c>
      <c r="Q843" t="s">
        <v>2</v>
      </c>
      <c r="R843">
        <v>5907698028857</v>
      </c>
      <c r="S843">
        <v>250</v>
      </c>
      <c r="T843" t="s">
        <v>1298</v>
      </c>
      <c r="V843">
        <v>7318240090</v>
      </c>
    </row>
    <row r="844" spans="1:22" x14ac:dyDescent="0.25">
      <c r="A844">
        <v>833087</v>
      </c>
      <c r="B844" t="s">
        <v>302</v>
      </c>
      <c r="C844">
        <v>24</v>
      </c>
      <c r="D844">
        <v>1</v>
      </c>
      <c r="E844" t="s">
        <v>303</v>
      </c>
      <c r="F844" t="s">
        <v>3412</v>
      </c>
      <c r="G844" t="s">
        <v>1321</v>
      </c>
      <c r="H844" t="s">
        <v>1322</v>
      </c>
      <c r="I844" t="s">
        <v>1323</v>
      </c>
      <c r="J844">
        <v>653</v>
      </c>
      <c r="K844">
        <v>0</v>
      </c>
      <c r="L844">
        <v>653</v>
      </c>
      <c r="M844">
        <v>10.37</v>
      </c>
      <c r="N844">
        <v>2.65</v>
      </c>
      <c r="O844">
        <v>2.2799999999999998</v>
      </c>
      <c r="Q844" t="s">
        <v>2</v>
      </c>
      <c r="R844">
        <v>5907698028864</v>
      </c>
      <c r="S844">
        <v>250</v>
      </c>
      <c r="T844" t="s">
        <v>1298</v>
      </c>
      <c r="V844">
        <v>7318155898</v>
      </c>
    </row>
    <row r="845" spans="1:22" x14ac:dyDescent="0.25">
      <c r="A845">
        <v>833089</v>
      </c>
      <c r="B845" t="s">
        <v>2993</v>
      </c>
      <c r="C845">
        <v>25</v>
      </c>
      <c r="D845">
        <v>1</v>
      </c>
      <c r="E845" t="s">
        <v>303</v>
      </c>
      <c r="F845" t="s">
        <v>3413</v>
      </c>
      <c r="G845" t="s">
        <v>1306</v>
      </c>
      <c r="H845" t="s">
        <v>2978</v>
      </c>
      <c r="I845" t="s">
        <v>1308</v>
      </c>
      <c r="J845">
        <v>179</v>
      </c>
      <c r="K845">
        <v>20</v>
      </c>
      <c r="L845">
        <v>199</v>
      </c>
      <c r="M845">
        <v>9.9499999999999993</v>
      </c>
      <c r="N845">
        <v>2.52</v>
      </c>
      <c r="O845">
        <v>2.16</v>
      </c>
      <c r="Q845" t="s">
        <v>3745</v>
      </c>
      <c r="R845">
        <v>5907698031055</v>
      </c>
      <c r="S845">
        <v>50</v>
      </c>
      <c r="T845" t="s">
        <v>1298</v>
      </c>
      <c r="U845" t="s">
        <v>3746</v>
      </c>
      <c r="V845">
        <v>7318210098</v>
      </c>
    </row>
    <row r="846" spans="1:22" x14ac:dyDescent="0.25">
      <c r="A846">
        <v>833090</v>
      </c>
      <c r="B846" t="s">
        <v>2993</v>
      </c>
      <c r="C846">
        <v>16</v>
      </c>
      <c r="D846">
        <v>1</v>
      </c>
      <c r="E846" t="s">
        <v>303</v>
      </c>
      <c r="F846" t="s">
        <v>3414</v>
      </c>
      <c r="G846" t="s">
        <v>3415</v>
      </c>
      <c r="H846" t="s">
        <v>2979</v>
      </c>
      <c r="I846" t="s">
        <v>3416</v>
      </c>
      <c r="J846">
        <v>143</v>
      </c>
      <c r="K846">
        <v>30</v>
      </c>
      <c r="L846">
        <v>173</v>
      </c>
      <c r="M846">
        <v>26.4</v>
      </c>
      <c r="N846">
        <v>6.68</v>
      </c>
      <c r="O846">
        <v>5.71</v>
      </c>
      <c r="Q846" t="s">
        <v>3745</v>
      </c>
      <c r="R846">
        <v>5907698031062</v>
      </c>
      <c r="S846">
        <v>50</v>
      </c>
      <c r="T846" t="s">
        <v>1298</v>
      </c>
      <c r="U846" t="s">
        <v>3746</v>
      </c>
      <c r="V846">
        <v>3926909790</v>
      </c>
    </row>
    <row r="847" spans="1:22" x14ac:dyDescent="0.25">
      <c r="A847">
        <v>833091</v>
      </c>
      <c r="B847" t="s">
        <v>2993</v>
      </c>
      <c r="C847">
        <v>20</v>
      </c>
      <c r="D847">
        <v>1</v>
      </c>
      <c r="E847" t="s">
        <v>303</v>
      </c>
      <c r="F847" t="s">
        <v>3417</v>
      </c>
      <c r="G847" t="s">
        <v>3418</v>
      </c>
      <c r="H847" t="s">
        <v>2980</v>
      </c>
      <c r="I847" t="s">
        <v>3419</v>
      </c>
      <c r="J847">
        <v>179</v>
      </c>
      <c r="K847">
        <v>20</v>
      </c>
      <c r="L847">
        <v>199</v>
      </c>
      <c r="M847">
        <v>13.2</v>
      </c>
      <c r="N847">
        <v>3.33</v>
      </c>
      <c r="O847">
        <v>2.86</v>
      </c>
      <c r="Q847" t="s">
        <v>3745</v>
      </c>
      <c r="R847">
        <v>5907698031079</v>
      </c>
      <c r="S847">
        <v>50</v>
      </c>
      <c r="T847" t="s">
        <v>1298</v>
      </c>
      <c r="U847" t="s">
        <v>3746</v>
      </c>
      <c r="V847">
        <v>7318290090</v>
      </c>
    </row>
    <row r="848" spans="1:22" x14ac:dyDescent="0.25">
      <c r="A848">
        <v>833092</v>
      </c>
      <c r="B848" t="s">
        <v>2993</v>
      </c>
      <c r="C848">
        <v>20</v>
      </c>
      <c r="D848">
        <v>1</v>
      </c>
      <c r="E848" t="s">
        <v>303</v>
      </c>
      <c r="F848" t="s">
        <v>3420</v>
      </c>
      <c r="G848" t="s">
        <v>3421</v>
      </c>
      <c r="H848" t="s">
        <v>2981</v>
      </c>
      <c r="I848" t="s">
        <v>3422</v>
      </c>
      <c r="J848">
        <v>77</v>
      </c>
      <c r="K848">
        <v>40</v>
      </c>
      <c r="L848">
        <v>117</v>
      </c>
      <c r="M848">
        <v>26.29</v>
      </c>
      <c r="N848">
        <v>6.65</v>
      </c>
      <c r="O848">
        <v>5.7</v>
      </c>
      <c r="Q848" t="s">
        <v>3745</v>
      </c>
      <c r="R848">
        <v>5907698031086</v>
      </c>
      <c r="S848">
        <v>50</v>
      </c>
      <c r="T848" t="s">
        <v>1298</v>
      </c>
      <c r="U848" t="s">
        <v>3746</v>
      </c>
      <c r="V848">
        <v>3926909790</v>
      </c>
    </row>
    <row r="849" spans="1:22" x14ac:dyDescent="0.25">
      <c r="A849">
        <v>840205</v>
      </c>
      <c r="B849" t="s">
        <v>302</v>
      </c>
      <c r="C849">
        <v>60</v>
      </c>
      <c r="E849" t="s">
        <v>303</v>
      </c>
      <c r="F849" t="s">
        <v>3423</v>
      </c>
      <c r="G849" t="s">
        <v>2205</v>
      </c>
      <c r="H849" t="s">
        <v>2206</v>
      </c>
      <c r="I849" t="s">
        <v>2440</v>
      </c>
      <c r="J849">
        <v>652</v>
      </c>
      <c r="K849">
        <v>60</v>
      </c>
      <c r="L849">
        <v>712</v>
      </c>
      <c r="M849">
        <v>3.19</v>
      </c>
      <c r="N849">
        <v>0.83</v>
      </c>
      <c r="O849">
        <v>0.72</v>
      </c>
      <c r="Q849" t="s">
        <v>1250</v>
      </c>
      <c r="R849">
        <v>5907698024422</v>
      </c>
      <c r="S849">
        <v>50</v>
      </c>
      <c r="T849" t="s">
        <v>331</v>
      </c>
      <c r="V849">
        <v>3926909790</v>
      </c>
    </row>
    <row r="850" spans="1:22" x14ac:dyDescent="0.25">
      <c r="A850">
        <v>840206</v>
      </c>
      <c r="B850" t="s">
        <v>302</v>
      </c>
      <c r="C850">
        <v>100</v>
      </c>
      <c r="E850" t="s">
        <v>303</v>
      </c>
      <c r="F850" t="s">
        <v>2207</v>
      </c>
      <c r="G850" t="s">
        <v>2208</v>
      </c>
      <c r="H850" t="s">
        <v>1683</v>
      </c>
      <c r="I850" t="s">
        <v>2209</v>
      </c>
      <c r="J850">
        <v>488</v>
      </c>
      <c r="K850">
        <v>101</v>
      </c>
      <c r="L850">
        <v>589</v>
      </c>
      <c r="M850">
        <v>1.79</v>
      </c>
      <c r="N850">
        <v>0.46</v>
      </c>
      <c r="O850">
        <v>0.39</v>
      </c>
      <c r="Q850" t="s">
        <v>1324</v>
      </c>
      <c r="R850">
        <v>5907698025092</v>
      </c>
      <c r="S850">
        <v>5</v>
      </c>
      <c r="T850" t="s">
        <v>331</v>
      </c>
      <c r="V850">
        <v>3926909790</v>
      </c>
    </row>
    <row r="851" spans="1:22" x14ac:dyDescent="0.25">
      <c r="A851">
        <v>840207</v>
      </c>
      <c r="B851" t="s">
        <v>302</v>
      </c>
      <c r="C851">
        <v>100</v>
      </c>
      <c r="E851" t="s">
        <v>303</v>
      </c>
      <c r="F851" t="s">
        <v>3423</v>
      </c>
      <c r="G851" t="s">
        <v>2210</v>
      </c>
      <c r="H851" t="s">
        <v>1683</v>
      </c>
      <c r="I851" t="s">
        <v>2211</v>
      </c>
      <c r="J851">
        <v>300</v>
      </c>
      <c r="K851">
        <v>0</v>
      </c>
      <c r="L851">
        <v>300</v>
      </c>
      <c r="M851">
        <v>2.2000000000000002</v>
      </c>
      <c r="N851">
        <v>0.56999999999999995</v>
      </c>
      <c r="O851">
        <v>0.49</v>
      </c>
      <c r="Q851" t="s">
        <v>1324</v>
      </c>
      <c r="R851">
        <v>5907698024439</v>
      </c>
      <c r="S851">
        <v>60</v>
      </c>
      <c r="T851" t="s">
        <v>1254</v>
      </c>
      <c r="V851">
        <v>3926909790</v>
      </c>
    </row>
    <row r="852" spans="1:22" x14ac:dyDescent="0.25">
      <c r="A852">
        <v>840240</v>
      </c>
      <c r="B852" t="s">
        <v>302</v>
      </c>
      <c r="C852">
        <v>30</v>
      </c>
      <c r="D852">
        <v>30</v>
      </c>
      <c r="E852" t="s">
        <v>303</v>
      </c>
      <c r="F852" t="s">
        <v>2212</v>
      </c>
      <c r="G852" t="s">
        <v>2213</v>
      </c>
      <c r="H852" t="s">
        <v>1684</v>
      </c>
      <c r="I852" t="s">
        <v>2214</v>
      </c>
      <c r="J852">
        <v>3</v>
      </c>
      <c r="K852">
        <v>515</v>
      </c>
      <c r="L852">
        <v>518</v>
      </c>
      <c r="M852">
        <v>1.79</v>
      </c>
      <c r="N852">
        <v>0.47</v>
      </c>
      <c r="O852">
        <v>0.4</v>
      </c>
      <c r="Q852" t="s">
        <v>1324</v>
      </c>
      <c r="R852">
        <v>5907698018018</v>
      </c>
      <c r="S852">
        <v>20</v>
      </c>
      <c r="T852" t="s">
        <v>760</v>
      </c>
      <c r="V852">
        <v>3924900090</v>
      </c>
    </row>
    <row r="853" spans="1:22" x14ac:dyDescent="0.25">
      <c r="A853">
        <v>841102</v>
      </c>
      <c r="B853" t="s">
        <v>302</v>
      </c>
      <c r="C853">
        <v>48</v>
      </c>
      <c r="E853" t="s">
        <v>303</v>
      </c>
      <c r="F853" t="s">
        <v>1325</v>
      </c>
      <c r="G853" t="s">
        <v>2215</v>
      </c>
      <c r="H853" t="s">
        <v>2216</v>
      </c>
      <c r="I853" t="s">
        <v>2217</v>
      </c>
      <c r="J853">
        <v>901</v>
      </c>
      <c r="K853">
        <v>58</v>
      </c>
      <c r="L853">
        <v>959</v>
      </c>
      <c r="M853">
        <v>6.41</v>
      </c>
      <c r="N853">
        <v>1.72</v>
      </c>
      <c r="O853">
        <v>1.45</v>
      </c>
      <c r="Q853" t="s">
        <v>2</v>
      </c>
      <c r="R853">
        <v>5907698025405</v>
      </c>
      <c r="S853">
        <v>600</v>
      </c>
      <c r="T853" t="s">
        <v>1326</v>
      </c>
      <c r="V853">
        <v>8205700000</v>
      </c>
    </row>
    <row r="854" spans="1:22" x14ac:dyDescent="0.25">
      <c r="A854">
        <v>841104</v>
      </c>
      <c r="B854" t="s">
        <v>302</v>
      </c>
      <c r="C854">
        <v>24</v>
      </c>
      <c r="E854" t="s">
        <v>303</v>
      </c>
      <c r="F854" t="s">
        <v>1325</v>
      </c>
      <c r="G854" t="s">
        <v>1327</v>
      </c>
      <c r="H854" t="s">
        <v>1328</v>
      </c>
      <c r="I854" t="s">
        <v>1329</v>
      </c>
      <c r="J854">
        <v>3</v>
      </c>
      <c r="K854">
        <v>68</v>
      </c>
      <c r="L854">
        <v>71</v>
      </c>
      <c r="M854">
        <v>8.14</v>
      </c>
      <c r="N854">
        <v>2.19</v>
      </c>
      <c r="O854">
        <v>1.85</v>
      </c>
      <c r="Q854" t="s">
        <v>2</v>
      </c>
      <c r="R854">
        <v>5907698023777</v>
      </c>
      <c r="S854">
        <v>550</v>
      </c>
      <c r="T854" t="s">
        <v>1326</v>
      </c>
      <c r="V854">
        <v>8205700000</v>
      </c>
    </row>
    <row r="855" spans="1:22" x14ac:dyDescent="0.25">
      <c r="A855">
        <v>841202</v>
      </c>
      <c r="B855" t="s">
        <v>302</v>
      </c>
      <c r="C855">
        <v>20</v>
      </c>
      <c r="E855" t="s">
        <v>303</v>
      </c>
      <c r="F855" t="s">
        <v>2218</v>
      </c>
      <c r="G855" t="s">
        <v>2219</v>
      </c>
      <c r="H855" t="s">
        <v>2220</v>
      </c>
      <c r="I855" t="s">
        <v>2221</v>
      </c>
      <c r="J855">
        <v>1049</v>
      </c>
      <c r="K855">
        <v>240</v>
      </c>
      <c r="L855">
        <v>1289</v>
      </c>
      <c r="M855">
        <v>9.98</v>
      </c>
      <c r="N855">
        <v>2.52</v>
      </c>
      <c r="O855">
        <v>2.16</v>
      </c>
      <c r="Q855" t="s">
        <v>2</v>
      </c>
      <c r="R855">
        <v>5907698022558</v>
      </c>
      <c r="S855">
        <v>1200</v>
      </c>
      <c r="T855" t="s">
        <v>2222</v>
      </c>
      <c r="V855">
        <v>8544429090</v>
      </c>
    </row>
    <row r="856" spans="1:22" x14ac:dyDescent="0.25">
      <c r="A856">
        <v>841262</v>
      </c>
      <c r="B856" t="s">
        <v>302</v>
      </c>
      <c r="C856">
        <v>10</v>
      </c>
      <c r="E856" t="s">
        <v>303</v>
      </c>
      <c r="F856" t="s">
        <v>2218</v>
      </c>
      <c r="G856" t="s">
        <v>2219</v>
      </c>
      <c r="H856" t="s">
        <v>2223</v>
      </c>
      <c r="I856" t="s">
        <v>2224</v>
      </c>
      <c r="J856">
        <v>638</v>
      </c>
      <c r="K856">
        <v>0</v>
      </c>
      <c r="L856">
        <v>638</v>
      </c>
      <c r="M856">
        <v>22.23</v>
      </c>
      <c r="N856">
        <v>5.26</v>
      </c>
      <c r="O856">
        <v>4.8600000000000003</v>
      </c>
      <c r="Q856" t="s">
        <v>2</v>
      </c>
      <c r="R856">
        <v>5907698025078</v>
      </c>
      <c r="S856">
        <v>600</v>
      </c>
      <c r="T856" t="s">
        <v>2222</v>
      </c>
      <c r="V856">
        <v>8544429090</v>
      </c>
    </row>
    <row r="857" spans="1:22" x14ac:dyDescent="0.25">
      <c r="A857">
        <v>841300</v>
      </c>
      <c r="B857" t="s">
        <v>302</v>
      </c>
      <c r="C857">
        <v>60</v>
      </c>
      <c r="E857" t="s">
        <v>303</v>
      </c>
      <c r="F857" t="s">
        <v>3424</v>
      </c>
      <c r="G857" t="s">
        <v>1330</v>
      </c>
      <c r="H857" t="s">
        <v>1331</v>
      </c>
      <c r="I857" t="s">
        <v>1332</v>
      </c>
      <c r="J857">
        <v>880</v>
      </c>
      <c r="K857">
        <v>0</v>
      </c>
      <c r="L857">
        <v>880</v>
      </c>
      <c r="M857">
        <v>5.03</v>
      </c>
      <c r="N857">
        <v>1.19</v>
      </c>
      <c r="O857">
        <v>1.1000000000000001</v>
      </c>
      <c r="Q857" t="s">
        <v>1250</v>
      </c>
      <c r="R857">
        <v>5907698025825</v>
      </c>
      <c r="S857">
        <v>60</v>
      </c>
      <c r="T857" t="s">
        <v>397</v>
      </c>
      <c r="V857">
        <v>7419999099</v>
      </c>
    </row>
    <row r="858" spans="1:22" x14ac:dyDescent="0.25">
      <c r="A858">
        <v>841301</v>
      </c>
      <c r="B858" t="s">
        <v>2993</v>
      </c>
      <c r="C858">
        <v>12</v>
      </c>
      <c r="E858" t="s">
        <v>303</v>
      </c>
      <c r="F858" t="s">
        <v>3424</v>
      </c>
      <c r="G858" t="s">
        <v>1330</v>
      </c>
      <c r="H858" t="s">
        <v>2537</v>
      </c>
      <c r="I858" t="s">
        <v>1332</v>
      </c>
      <c r="J858">
        <v>98</v>
      </c>
      <c r="K858">
        <v>0</v>
      </c>
      <c r="L858">
        <v>98</v>
      </c>
      <c r="M858">
        <v>5.37</v>
      </c>
      <c r="N858">
        <v>1.26</v>
      </c>
      <c r="O858">
        <v>1.18</v>
      </c>
      <c r="Q858" t="s">
        <v>1324</v>
      </c>
      <c r="R858">
        <v>5907698029861</v>
      </c>
      <c r="S858">
        <v>60</v>
      </c>
      <c r="T858" t="s">
        <v>331</v>
      </c>
      <c r="V858">
        <v>7419999099</v>
      </c>
    </row>
    <row r="859" spans="1:22" x14ac:dyDescent="0.25">
      <c r="A859">
        <v>841302</v>
      </c>
      <c r="B859" t="s">
        <v>302</v>
      </c>
      <c r="C859">
        <v>24</v>
      </c>
      <c r="E859" t="s">
        <v>303</v>
      </c>
      <c r="F859" t="s">
        <v>1333</v>
      </c>
      <c r="G859" t="s">
        <v>1334</v>
      </c>
      <c r="H859" t="s">
        <v>1335</v>
      </c>
      <c r="I859" t="s">
        <v>1336</v>
      </c>
      <c r="J859">
        <v>187</v>
      </c>
      <c r="K859">
        <v>0</v>
      </c>
      <c r="L859">
        <v>187</v>
      </c>
      <c r="M859">
        <v>2.65</v>
      </c>
      <c r="N859">
        <v>0.63</v>
      </c>
      <c r="O859">
        <v>0.56999999999999995</v>
      </c>
      <c r="Q859" t="s">
        <v>1324</v>
      </c>
      <c r="R859">
        <v>5907698019664</v>
      </c>
      <c r="S859">
        <v>48</v>
      </c>
      <c r="T859" t="s">
        <v>307</v>
      </c>
      <c r="V859">
        <v>9603909900</v>
      </c>
    </row>
    <row r="860" spans="1:22" x14ac:dyDescent="0.25">
      <c r="A860">
        <v>841303</v>
      </c>
      <c r="B860" t="s">
        <v>302</v>
      </c>
      <c r="C860">
        <v>24</v>
      </c>
      <c r="E860" t="s">
        <v>303</v>
      </c>
      <c r="F860" t="s">
        <v>1333</v>
      </c>
      <c r="G860" t="s">
        <v>1337</v>
      </c>
      <c r="H860" t="s">
        <v>1338</v>
      </c>
      <c r="I860" t="s">
        <v>1339</v>
      </c>
      <c r="J860">
        <v>391</v>
      </c>
      <c r="K860">
        <v>0</v>
      </c>
      <c r="L860">
        <v>391</v>
      </c>
      <c r="M860">
        <v>2.98</v>
      </c>
      <c r="N860">
        <v>0.71</v>
      </c>
      <c r="O860">
        <v>0.65</v>
      </c>
      <c r="Q860" t="s">
        <v>1324</v>
      </c>
      <c r="R860">
        <v>5907698024088</v>
      </c>
      <c r="S860">
        <v>72</v>
      </c>
      <c r="T860" t="s">
        <v>397</v>
      </c>
      <c r="V860">
        <v>9603909900</v>
      </c>
    </row>
    <row r="861" spans="1:22" x14ac:dyDescent="0.25">
      <c r="A861">
        <v>841305</v>
      </c>
      <c r="B861" t="s">
        <v>2993</v>
      </c>
      <c r="C861">
        <v>12</v>
      </c>
      <c r="E861" t="s">
        <v>303</v>
      </c>
      <c r="F861" t="s">
        <v>2588</v>
      </c>
      <c r="G861" t="s">
        <v>1330</v>
      </c>
      <c r="H861" t="s">
        <v>2538</v>
      </c>
      <c r="I861" t="s">
        <v>1332</v>
      </c>
      <c r="J861">
        <v>115</v>
      </c>
      <c r="K861">
        <v>0</v>
      </c>
      <c r="L861">
        <v>115</v>
      </c>
      <c r="M861">
        <v>3.38</v>
      </c>
      <c r="N861">
        <v>0.79</v>
      </c>
      <c r="O861">
        <v>0.74</v>
      </c>
      <c r="Q861" t="s">
        <v>1324</v>
      </c>
      <c r="R861">
        <v>5907698029878</v>
      </c>
      <c r="S861">
        <v>60</v>
      </c>
      <c r="T861" t="s">
        <v>331</v>
      </c>
    </row>
    <row r="862" spans="1:22" x14ac:dyDescent="0.25">
      <c r="A862">
        <v>841306</v>
      </c>
      <c r="B862" t="s">
        <v>302</v>
      </c>
      <c r="C862">
        <v>15</v>
      </c>
      <c r="E862" t="s">
        <v>303</v>
      </c>
      <c r="F862" t="s">
        <v>1340</v>
      </c>
      <c r="G862" t="s">
        <v>1341</v>
      </c>
      <c r="H862" t="s">
        <v>2589</v>
      </c>
      <c r="I862" t="s">
        <v>1332</v>
      </c>
      <c r="J862">
        <v>313</v>
      </c>
      <c r="K862">
        <v>0</v>
      </c>
      <c r="L862">
        <v>313</v>
      </c>
      <c r="M862">
        <v>3.2</v>
      </c>
      <c r="N862">
        <v>0.76</v>
      </c>
      <c r="O862">
        <v>0.71</v>
      </c>
      <c r="Q862" t="s">
        <v>1324</v>
      </c>
      <c r="R862">
        <v>5907698024095</v>
      </c>
      <c r="S862">
        <v>75</v>
      </c>
      <c r="T862" t="s">
        <v>397</v>
      </c>
      <c r="V862">
        <v>3926909790</v>
      </c>
    </row>
    <row r="863" spans="1:22" x14ac:dyDescent="0.25">
      <c r="A863">
        <v>841307</v>
      </c>
      <c r="B863" t="s">
        <v>302</v>
      </c>
      <c r="C863">
        <v>780</v>
      </c>
      <c r="D863">
        <v>0</v>
      </c>
      <c r="E863" t="s">
        <v>303</v>
      </c>
      <c r="F863" t="s">
        <v>3425</v>
      </c>
      <c r="G863" t="s">
        <v>2225</v>
      </c>
      <c r="H863" t="s">
        <v>2226</v>
      </c>
      <c r="I863" t="s">
        <v>1332</v>
      </c>
      <c r="J863">
        <v>57</v>
      </c>
      <c r="K863">
        <v>0</v>
      </c>
      <c r="L863">
        <v>57</v>
      </c>
      <c r="M863">
        <v>0.82</v>
      </c>
      <c r="N863">
        <v>0.19</v>
      </c>
      <c r="O863">
        <v>0.18</v>
      </c>
      <c r="Q863" t="s">
        <v>1250</v>
      </c>
      <c r="R863">
        <v>5907698024378</v>
      </c>
      <c r="S863">
        <v>80</v>
      </c>
      <c r="T863" t="s">
        <v>397</v>
      </c>
      <c r="V863">
        <v>3926909790</v>
      </c>
    </row>
    <row r="864" spans="1:22" x14ac:dyDescent="0.25">
      <c r="A864">
        <v>841309</v>
      </c>
      <c r="B864" t="s">
        <v>302</v>
      </c>
      <c r="C864">
        <v>20</v>
      </c>
      <c r="E864" t="s">
        <v>303</v>
      </c>
      <c r="F864" t="s">
        <v>3426</v>
      </c>
      <c r="G864" t="s">
        <v>1342</v>
      </c>
      <c r="H864" t="s">
        <v>2539</v>
      </c>
      <c r="I864" t="s">
        <v>1343</v>
      </c>
      <c r="J864">
        <v>298</v>
      </c>
      <c r="K864">
        <v>0</v>
      </c>
      <c r="L864">
        <v>298</v>
      </c>
      <c r="M864">
        <v>5.73</v>
      </c>
      <c r="N864">
        <v>1.35</v>
      </c>
      <c r="O864">
        <v>1.25</v>
      </c>
      <c r="Q864" t="s">
        <v>1324</v>
      </c>
      <c r="R864">
        <v>5907698025818</v>
      </c>
      <c r="S864">
        <v>40</v>
      </c>
      <c r="T864" t="s">
        <v>397</v>
      </c>
      <c r="V864">
        <v>3926909790</v>
      </c>
    </row>
    <row r="865" spans="1:22" x14ac:dyDescent="0.25">
      <c r="A865">
        <v>841315</v>
      </c>
      <c r="B865" t="s">
        <v>302</v>
      </c>
      <c r="C865">
        <v>16</v>
      </c>
      <c r="E865" t="s">
        <v>303</v>
      </c>
      <c r="F865" t="s">
        <v>1344</v>
      </c>
      <c r="G865" t="s">
        <v>1345</v>
      </c>
      <c r="H865" t="s">
        <v>2227</v>
      </c>
      <c r="I865" t="s">
        <v>2441</v>
      </c>
      <c r="J865">
        <v>62</v>
      </c>
      <c r="K865">
        <v>0</v>
      </c>
      <c r="L865">
        <v>62</v>
      </c>
      <c r="M865">
        <v>9.48</v>
      </c>
      <c r="N865">
        <v>2.2400000000000002</v>
      </c>
      <c r="O865">
        <v>2.08</v>
      </c>
      <c r="Q865" t="s">
        <v>1324</v>
      </c>
      <c r="R865">
        <v>5907698024347</v>
      </c>
      <c r="S865">
        <v>24</v>
      </c>
      <c r="T865" t="s">
        <v>397</v>
      </c>
      <c r="V865">
        <v>9603909900</v>
      </c>
    </row>
    <row r="866" spans="1:22" x14ac:dyDescent="0.25">
      <c r="A866">
        <v>841316</v>
      </c>
      <c r="B866" t="s">
        <v>302</v>
      </c>
      <c r="C866">
        <v>16</v>
      </c>
      <c r="E866" t="s">
        <v>303</v>
      </c>
      <c r="F866" t="s">
        <v>1344</v>
      </c>
      <c r="G866" t="s">
        <v>2228</v>
      </c>
      <c r="H866" t="s">
        <v>2203</v>
      </c>
      <c r="I866" t="s">
        <v>2441</v>
      </c>
      <c r="J866">
        <v>222</v>
      </c>
      <c r="K866">
        <v>0</v>
      </c>
      <c r="L866">
        <v>222</v>
      </c>
      <c r="M866">
        <v>10.54</v>
      </c>
      <c r="N866">
        <v>2.5</v>
      </c>
      <c r="O866">
        <v>2.2999999999999998</v>
      </c>
      <c r="Q866" t="s">
        <v>1324</v>
      </c>
      <c r="R866">
        <v>5907698024354</v>
      </c>
      <c r="S866">
        <v>16</v>
      </c>
      <c r="T866" t="s">
        <v>397</v>
      </c>
      <c r="V866">
        <v>9603909900</v>
      </c>
    </row>
    <row r="867" spans="1:22" x14ac:dyDescent="0.25">
      <c r="A867">
        <v>841317</v>
      </c>
      <c r="B867" t="s">
        <v>302</v>
      </c>
      <c r="C867">
        <v>16</v>
      </c>
      <c r="E867" t="s">
        <v>303</v>
      </c>
      <c r="F867" t="s">
        <v>1344</v>
      </c>
      <c r="G867" t="s">
        <v>1345</v>
      </c>
      <c r="H867" t="s">
        <v>1346</v>
      </c>
      <c r="I867" t="s">
        <v>2441</v>
      </c>
      <c r="J867">
        <v>139</v>
      </c>
      <c r="K867">
        <v>0</v>
      </c>
      <c r="L867">
        <v>139</v>
      </c>
      <c r="M867">
        <v>10.49</v>
      </c>
      <c r="N867">
        <v>2.4900000000000002</v>
      </c>
      <c r="O867">
        <v>2.2999999999999998</v>
      </c>
      <c r="Q867" t="s">
        <v>1324</v>
      </c>
      <c r="R867">
        <v>5907698024361</v>
      </c>
      <c r="S867">
        <v>20</v>
      </c>
      <c r="T867" t="s">
        <v>397</v>
      </c>
      <c r="V867">
        <v>9603909900</v>
      </c>
    </row>
    <row r="868" spans="1:22" x14ac:dyDescent="0.25">
      <c r="A868">
        <v>841318</v>
      </c>
      <c r="B868" t="s">
        <v>2993</v>
      </c>
      <c r="C868">
        <v>12</v>
      </c>
      <c r="E868" t="s">
        <v>303</v>
      </c>
      <c r="F868" t="s">
        <v>1333</v>
      </c>
      <c r="G868" t="s">
        <v>1334</v>
      </c>
      <c r="H868" t="s">
        <v>2540</v>
      </c>
      <c r="I868" t="s">
        <v>1336</v>
      </c>
      <c r="J868">
        <v>30</v>
      </c>
      <c r="K868">
        <v>0</v>
      </c>
      <c r="L868">
        <v>30</v>
      </c>
      <c r="M868">
        <v>13.82</v>
      </c>
      <c r="N868">
        <v>3.26</v>
      </c>
      <c r="O868">
        <v>3.03</v>
      </c>
      <c r="Q868" t="s">
        <v>1324</v>
      </c>
      <c r="R868">
        <v>5907698029885</v>
      </c>
      <c r="S868">
        <v>30</v>
      </c>
      <c r="T868" t="s">
        <v>307</v>
      </c>
      <c r="V868">
        <v>9603909900</v>
      </c>
    </row>
    <row r="869" spans="1:22" x14ac:dyDescent="0.25">
      <c r="A869">
        <v>841320</v>
      </c>
      <c r="B869" t="s">
        <v>302</v>
      </c>
      <c r="C869">
        <v>30</v>
      </c>
      <c r="E869" t="s">
        <v>303</v>
      </c>
      <c r="F869" t="s">
        <v>3427</v>
      </c>
      <c r="G869" t="s">
        <v>2229</v>
      </c>
      <c r="H869" t="s">
        <v>2230</v>
      </c>
      <c r="I869" t="s">
        <v>2231</v>
      </c>
      <c r="J869">
        <v>406</v>
      </c>
      <c r="K869">
        <v>2</v>
      </c>
      <c r="L869">
        <v>408</v>
      </c>
      <c r="M869">
        <v>1.7</v>
      </c>
      <c r="N869">
        <v>0.46</v>
      </c>
      <c r="O869">
        <v>0.38</v>
      </c>
      <c r="Q869" t="s">
        <v>1948</v>
      </c>
      <c r="R869">
        <v>5907698024057</v>
      </c>
      <c r="S869">
        <v>60</v>
      </c>
      <c r="T869" t="s">
        <v>360</v>
      </c>
      <c r="V869">
        <v>3924900090</v>
      </c>
    </row>
    <row r="870" spans="1:22" x14ac:dyDescent="0.25">
      <c r="A870">
        <v>841322</v>
      </c>
      <c r="B870" t="s">
        <v>302</v>
      </c>
      <c r="C870">
        <v>30</v>
      </c>
      <c r="E870" t="s">
        <v>303</v>
      </c>
      <c r="F870" t="s">
        <v>3428</v>
      </c>
      <c r="G870" t="s">
        <v>2232</v>
      </c>
      <c r="H870" t="s">
        <v>1685</v>
      </c>
      <c r="I870" t="s">
        <v>2233</v>
      </c>
      <c r="J870">
        <v>690</v>
      </c>
      <c r="K870">
        <v>240</v>
      </c>
      <c r="L870">
        <v>930</v>
      </c>
      <c r="M870">
        <v>1.56</v>
      </c>
      <c r="N870">
        <v>0.42</v>
      </c>
      <c r="O870">
        <v>0.35</v>
      </c>
      <c r="Q870" t="s">
        <v>1948</v>
      </c>
      <c r="R870">
        <v>5907698024040</v>
      </c>
      <c r="S870">
        <v>300</v>
      </c>
      <c r="T870" t="s">
        <v>360</v>
      </c>
      <c r="V870">
        <v>3924900090</v>
      </c>
    </row>
    <row r="871" spans="1:22" x14ac:dyDescent="0.25">
      <c r="A871">
        <v>841324</v>
      </c>
      <c r="B871" t="s">
        <v>302</v>
      </c>
      <c r="C871">
        <v>12</v>
      </c>
      <c r="E871" t="s">
        <v>303</v>
      </c>
      <c r="F871" t="s">
        <v>3428</v>
      </c>
      <c r="G871" t="s">
        <v>2232</v>
      </c>
      <c r="H871" t="s">
        <v>2234</v>
      </c>
      <c r="I871" t="s">
        <v>2233</v>
      </c>
      <c r="J871">
        <v>692</v>
      </c>
      <c r="K871">
        <v>0</v>
      </c>
      <c r="L871">
        <v>692</v>
      </c>
      <c r="M871">
        <v>1.73</v>
      </c>
      <c r="N871">
        <v>0.46</v>
      </c>
      <c r="O871">
        <v>0.39</v>
      </c>
      <c r="Q871" t="s">
        <v>1948</v>
      </c>
      <c r="R871">
        <v>5907698029397</v>
      </c>
      <c r="S871">
        <v>36</v>
      </c>
      <c r="T871" t="s">
        <v>360</v>
      </c>
      <c r="V871">
        <v>3924900090</v>
      </c>
    </row>
    <row r="872" spans="1:22" x14ac:dyDescent="0.25">
      <c r="A872">
        <v>841328</v>
      </c>
      <c r="B872" t="s">
        <v>302</v>
      </c>
      <c r="C872">
        <v>30</v>
      </c>
      <c r="E872" t="s">
        <v>303</v>
      </c>
      <c r="F872" t="s">
        <v>3429</v>
      </c>
      <c r="G872" t="s">
        <v>2235</v>
      </c>
      <c r="H872" t="s">
        <v>2236</v>
      </c>
      <c r="I872" t="s">
        <v>2237</v>
      </c>
      <c r="J872">
        <v>36</v>
      </c>
      <c r="K872">
        <v>0</v>
      </c>
      <c r="L872">
        <v>36</v>
      </c>
      <c r="M872">
        <v>2.86</v>
      </c>
      <c r="N872">
        <v>0.75</v>
      </c>
      <c r="O872">
        <v>0.65</v>
      </c>
      <c r="Q872" t="s">
        <v>1250</v>
      </c>
      <c r="R872">
        <v>5907698024118</v>
      </c>
      <c r="S872">
        <v>20</v>
      </c>
      <c r="T872" t="s">
        <v>397</v>
      </c>
      <c r="V872">
        <v>9603909900</v>
      </c>
    </row>
    <row r="873" spans="1:22" x14ac:dyDescent="0.25">
      <c r="A873">
        <v>841330</v>
      </c>
      <c r="B873" t="s">
        <v>302</v>
      </c>
      <c r="C873">
        <v>60</v>
      </c>
      <c r="E873" t="s">
        <v>303</v>
      </c>
      <c r="F873" t="s">
        <v>3430</v>
      </c>
      <c r="G873" t="s">
        <v>2238</v>
      </c>
      <c r="H873" t="s">
        <v>2239</v>
      </c>
      <c r="I873" t="s">
        <v>2240</v>
      </c>
      <c r="J873">
        <v>330</v>
      </c>
      <c r="K873">
        <v>0</v>
      </c>
      <c r="L873">
        <v>330</v>
      </c>
      <c r="M873">
        <v>5.54</v>
      </c>
      <c r="N873">
        <v>1.32</v>
      </c>
      <c r="O873">
        <v>1.21</v>
      </c>
      <c r="Q873" t="s">
        <v>2</v>
      </c>
      <c r="R873">
        <v>5907698023982</v>
      </c>
      <c r="S873">
        <v>240</v>
      </c>
      <c r="T873" t="s">
        <v>2241</v>
      </c>
      <c r="V873">
        <v>7616999099</v>
      </c>
    </row>
    <row r="874" spans="1:22" x14ac:dyDescent="0.25">
      <c r="A874">
        <v>841340</v>
      </c>
      <c r="B874" t="s">
        <v>302</v>
      </c>
      <c r="C874">
        <v>36</v>
      </c>
      <c r="E874" t="s">
        <v>303</v>
      </c>
      <c r="F874" t="s">
        <v>3431</v>
      </c>
      <c r="G874" t="s">
        <v>2242</v>
      </c>
      <c r="I874" t="s">
        <v>2243</v>
      </c>
      <c r="J874">
        <v>33</v>
      </c>
      <c r="K874">
        <v>10</v>
      </c>
      <c r="L874">
        <v>43</v>
      </c>
      <c r="M874">
        <v>3.06</v>
      </c>
      <c r="N874">
        <v>0.81</v>
      </c>
      <c r="O874">
        <v>0.69</v>
      </c>
      <c r="Q874" t="s">
        <v>1250</v>
      </c>
      <c r="R874">
        <v>5907698026600</v>
      </c>
      <c r="S874">
        <v>50</v>
      </c>
      <c r="T874" t="s">
        <v>306</v>
      </c>
      <c r="V874">
        <v>9603909900</v>
      </c>
    </row>
    <row r="875" spans="1:22" x14ac:dyDescent="0.25">
      <c r="A875">
        <v>841402</v>
      </c>
      <c r="B875" t="s">
        <v>302</v>
      </c>
      <c r="C875">
        <v>20</v>
      </c>
      <c r="E875" t="s">
        <v>303</v>
      </c>
      <c r="F875" t="s">
        <v>2244</v>
      </c>
      <c r="G875" t="s">
        <v>2245</v>
      </c>
      <c r="H875" t="s">
        <v>2246</v>
      </c>
      <c r="I875" t="s">
        <v>2247</v>
      </c>
      <c r="J875">
        <v>20</v>
      </c>
      <c r="K875">
        <v>0</v>
      </c>
      <c r="L875">
        <v>20</v>
      </c>
      <c r="M875">
        <v>2.99</v>
      </c>
      <c r="N875">
        <v>0.78</v>
      </c>
      <c r="O875">
        <v>0.68</v>
      </c>
      <c r="Q875" t="s">
        <v>1324</v>
      </c>
      <c r="R875">
        <v>5907698025832</v>
      </c>
      <c r="S875">
        <v>80</v>
      </c>
      <c r="T875" t="s">
        <v>306</v>
      </c>
      <c r="V875">
        <v>9603909900</v>
      </c>
    </row>
    <row r="876" spans="1:22" x14ac:dyDescent="0.25">
      <c r="A876">
        <v>841405</v>
      </c>
      <c r="B876" t="s">
        <v>302</v>
      </c>
      <c r="C876">
        <v>14</v>
      </c>
      <c r="E876" t="s">
        <v>303</v>
      </c>
      <c r="F876" t="s">
        <v>2244</v>
      </c>
      <c r="G876" t="s">
        <v>2245</v>
      </c>
      <c r="H876" t="s">
        <v>1347</v>
      </c>
      <c r="I876" t="s">
        <v>2247</v>
      </c>
      <c r="J876">
        <v>189</v>
      </c>
      <c r="K876">
        <v>1</v>
      </c>
      <c r="L876">
        <v>190</v>
      </c>
      <c r="M876">
        <v>5.21</v>
      </c>
      <c r="N876">
        <v>1.37</v>
      </c>
      <c r="O876">
        <v>1.18</v>
      </c>
      <c r="Q876" t="s">
        <v>1324</v>
      </c>
      <c r="R876">
        <v>5907698025849</v>
      </c>
      <c r="S876">
        <v>40</v>
      </c>
      <c r="T876" t="s">
        <v>306</v>
      </c>
      <c r="V876">
        <v>9603909900</v>
      </c>
    </row>
    <row r="877" spans="1:22" x14ac:dyDescent="0.25">
      <c r="A877">
        <v>841451</v>
      </c>
      <c r="B877" t="s">
        <v>302</v>
      </c>
      <c r="C877">
        <v>40</v>
      </c>
      <c r="E877" t="s">
        <v>303</v>
      </c>
      <c r="F877" t="s">
        <v>3432</v>
      </c>
      <c r="G877" t="s">
        <v>2248</v>
      </c>
      <c r="H877" t="s">
        <v>2249</v>
      </c>
      <c r="I877" t="s">
        <v>2250</v>
      </c>
      <c r="J877">
        <v>43</v>
      </c>
      <c r="K877">
        <v>0</v>
      </c>
      <c r="L877">
        <v>43</v>
      </c>
      <c r="M877">
        <v>8.65</v>
      </c>
      <c r="N877">
        <v>2.2599999999999998</v>
      </c>
      <c r="O877">
        <v>1.92</v>
      </c>
      <c r="Q877" t="s">
        <v>1250</v>
      </c>
      <c r="R877">
        <v>5907698027027</v>
      </c>
      <c r="S877">
        <v>6</v>
      </c>
      <c r="T877" t="s">
        <v>306</v>
      </c>
      <c r="V877">
        <v>9603909900</v>
      </c>
    </row>
    <row r="878" spans="1:22" x14ac:dyDescent="0.25">
      <c r="A878">
        <v>841455</v>
      </c>
      <c r="B878" t="s">
        <v>302</v>
      </c>
      <c r="C878">
        <v>40</v>
      </c>
      <c r="E878" t="s">
        <v>303</v>
      </c>
      <c r="F878" t="s">
        <v>3433</v>
      </c>
      <c r="G878" t="s">
        <v>2251</v>
      </c>
      <c r="H878" t="s">
        <v>2252</v>
      </c>
      <c r="I878" t="s">
        <v>2253</v>
      </c>
      <c r="J878">
        <v>37</v>
      </c>
      <c r="K878">
        <v>0</v>
      </c>
      <c r="L878">
        <v>37</v>
      </c>
      <c r="M878">
        <v>7.15</v>
      </c>
      <c r="N878">
        <v>1.87</v>
      </c>
      <c r="O878">
        <v>1.59</v>
      </c>
      <c r="Q878" t="s">
        <v>1250</v>
      </c>
      <c r="R878">
        <v>5907698027041</v>
      </c>
      <c r="S878">
        <v>12</v>
      </c>
      <c r="T878" t="s">
        <v>306</v>
      </c>
      <c r="V878">
        <v>9603909900</v>
      </c>
    </row>
    <row r="879" spans="1:22" x14ac:dyDescent="0.25">
      <c r="A879">
        <v>841456</v>
      </c>
      <c r="B879" t="s">
        <v>302</v>
      </c>
      <c r="C879">
        <v>36</v>
      </c>
      <c r="E879" t="s">
        <v>303</v>
      </c>
      <c r="F879" t="s">
        <v>2254</v>
      </c>
      <c r="G879" t="s">
        <v>2255</v>
      </c>
      <c r="H879" t="s">
        <v>2177</v>
      </c>
      <c r="I879" t="s">
        <v>2256</v>
      </c>
      <c r="J879">
        <v>69</v>
      </c>
      <c r="K879">
        <v>0</v>
      </c>
      <c r="L879">
        <v>69</v>
      </c>
      <c r="M879">
        <v>5.85</v>
      </c>
      <c r="N879">
        <v>1.53</v>
      </c>
      <c r="O879">
        <v>1.3</v>
      </c>
      <c r="Q879" t="s">
        <v>1250</v>
      </c>
      <c r="R879">
        <v>5907698027058</v>
      </c>
      <c r="S879">
        <v>20</v>
      </c>
      <c r="T879" t="s">
        <v>306</v>
      </c>
      <c r="V879">
        <v>9603909900</v>
      </c>
    </row>
    <row r="880" spans="1:22" x14ac:dyDescent="0.25">
      <c r="A880">
        <v>841459</v>
      </c>
      <c r="B880" t="s">
        <v>3027</v>
      </c>
      <c r="C880">
        <v>150</v>
      </c>
      <c r="E880" t="s">
        <v>303</v>
      </c>
      <c r="F880" t="s">
        <v>3434</v>
      </c>
      <c r="G880" t="s">
        <v>2257</v>
      </c>
      <c r="H880" t="s">
        <v>2258</v>
      </c>
      <c r="I880" t="s">
        <v>2259</v>
      </c>
      <c r="J880">
        <v>80</v>
      </c>
      <c r="K880">
        <v>0</v>
      </c>
      <c r="L880">
        <v>80</v>
      </c>
      <c r="M880">
        <v>8.75</v>
      </c>
      <c r="N880">
        <v>2.2999999999999998</v>
      </c>
      <c r="O880">
        <v>1.98</v>
      </c>
      <c r="Q880" t="s">
        <v>1250</v>
      </c>
      <c r="R880">
        <v>5907698027355</v>
      </c>
      <c r="S880">
        <v>0</v>
      </c>
      <c r="T880" t="s">
        <v>306</v>
      </c>
      <c r="V880">
        <v>9603909900</v>
      </c>
    </row>
    <row r="881" spans="1:22" x14ac:dyDescent="0.25">
      <c r="A881">
        <v>841602</v>
      </c>
      <c r="B881" t="s">
        <v>302</v>
      </c>
      <c r="C881">
        <v>10</v>
      </c>
      <c r="E881" t="s">
        <v>303</v>
      </c>
      <c r="F881" t="s">
        <v>3435</v>
      </c>
      <c r="G881" t="s">
        <v>1354</v>
      </c>
      <c r="H881" t="s">
        <v>2590</v>
      </c>
      <c r="I881" t="s">
        <v>1356</v>
      </c>
      <c r="J881">
        <v>0</v>
      </c>
      <c r="K881">
        <v>0</v>
      </c>
      <c r="L881">
        <v>0</v>
      </c>
      <c r="M881">
        <v>46.15</v>
      </c>
      <c r="N881">
        <v>10.92</v>
      </c>
      <c r="O881">
        <v>10.1</v>
      </c>
      <c r="Q881" t="s">
        <v>1047</v>
      </c>
      <c r="R881">
        <v>5907698024392</v>
      </c>
      <c r="S881">
        <v>0</v>
      </c>
      <c r="V881">
        <v>7616999099</v>
      </c>
    </row>
    <row r="882" spans="1:22" x14ac:dyDescent="0.25">
      <c r="A882">
        <v>841619</v>
      </c>
      <c r="B882" t="s">
        <v>302</v>
      </c>
      <c r="E882" t="s">
        <v>303</v>
      </c>
      <c r="F882" t="s">
        <v>3435</v>
      </c>
      <c r="G882" t="s">
        <v>1354</v>
      </c>
      <c r="H882" t="s">
        <v>2591</v>
      </c>
      <c r="I882" t="s">
        <v>1356</v>
      </c>
      <c r="J882">
        <v>0</v>
      </c>
      <c r="K882">
        <v>0</v>
      </c>
      <c r="L882">
        <v>0</v>
      </c>
      <c r="M882">
        <v>47.25</v>
      </c>
      <c r="N882">
        <v>11.18</v>
      </c>
      <c r="O882">
        <v>10.34</v>
      </c>
      <c r="Q882" t="s">
        <v>1047</v>
      </c>
      <c r="R882">
        <v>5907698024385</v>
      </c>
      <c r="S882">
        <v>0</v>
      </c>
      <c r="V882">
        <v>7616999099</v>
      </c>
    </row>
    <row r="883" spans="1:22" x14ac:dyDescent="0.25">
      <c r="A883">
        <v>841623</v>
      </c>
      <c r="B883" t="s">
        <v>302</v>
      </c>
      <c r="C883">
        <v>10</v>
      </c>
      <c r="E883" t="s">
        <v>303</v>
      </c>
      <c r="F883" t="s">
        <v>3436</v>
      </c>
      <c r="G883" t="s">
        <v>2592</v>
      </c>
      <c r="H883" t="s">
        <v>2593</v>
      </c>
      <c r="I883" t="s">
        <v>2594</v>
      </c>
      <c r="J883">
        <v>0</v>
      </c>
      <c r="K883">
        <v>0</v>
      </c>
      <c r="L883">
        <v>0</v>
      </c>
      <c r="M883">
        <v>26.5</v>
      </c>
      <c r="N883">
        <v>6.27</v>
      </c>
      <c r="O883">
        <v>5.8</v>
      </c>
      <c r="Q883" t="s">
        <v>1047</v>
      </c>
      <c r="R883">
        <v>5907698023388</v>
      </c>
      <c r="S883">
        <v>0</v>
      </c>
      <c r="T883" t="s">
        <v>307</v>
      </c>
      <c r="V883">
        <v>7616999099</v>
      </c>
    </row>
    <row r="884" spans="1:22" x14ac:dyDescent="0.25">
      <c r="A884">
        <v>841624</v>
      </c>
      <c r="B884" t="s">
        <v>302</v>
      </c>
      <c r="C884">
        <v>10</v>
      </c>
      <c r="E884" t="s">
        <v>303</v>
      </c>
      <c r="F884" t="s">
        <v>2260</v>
      </c>
      <c r="G884" t="s">
        <v>2261</v>
      </c>
      <c r="H884" t="s">
        <v>2262</v>
      </c>
      <c r="I884" t="s">
        <v>2263</v>
      </c>
      <c r="J884">
        <v>21</v>
      </c>
      <c r="K884">
        <v>0</v>
      </c>
      <c r="L884">
        <v>21</v>
      </c>
      <c r="M884">
        <v>11.26</v>
      </c>
      <c r="N884">
        <v>2.66</v>
      </c>
      <c r="O884">
        <v>2.4700000000000002</v>
      </c>
      <c r="Q884" t="s">
        <v>1047</v>
      </c>
      <c r="R884">
        <v>5907698022657</v>
      </c>
      <c r="S884">
        <v>18</v>
      </c>
      <c r="V884">
        <v>8205598000</v>
      </c>
    </row>
    <row r="885" spans="1:22" x14ac:dyDescent="0.25">
      <c r="A885">
        <v>841625</v>
      </c>
      <c r="B885" t="s">
        <v>302</v>
      </c>
      <c r="C885">
        <v>10</v>
      </c>
      <c r="E885" t="s">
        <v>303</v>
      </c>
      <c r="F885" t="s">
        <v>3437</v>
      </c>
      <c r="G885" t="s">
        <v>2592</v>
      </c>
      <c r="H885" t="s">
        <v>2595</v>
      </c>
      <c r="I885" t="s">
        <v>1353</v>
      </c>
      <c r="J885">
        <v>0</v>
      </c>
      <c r="K885">
        <v>0</v>
      </c>
      <c r="L885">
        <v>0</v>
      </c>
      <c r="M885">
        <v>21.09</v>
      </c>
      <c r="N885">
        <v>4.9800000000000004</v>
      </c>
      <c r="O885">
        <v>4.6100000000000003</v>
      </c>
      <c r="Q885" t="s">
        <v>1047</v>
      </c>
      <c r="R885">
        <v>5907698022664</v>
      </c>
      <c r="S885">
        <v>0</v>
      </c>
      <c r="T885" t="s">
        <v>307</v>
      </c>
      <c r="V885">
        <v>7616999099</v>
      </c>
    </row>
    <row r="886" spans="1:22" x14ac:dyDescent="0.25">
      <c r="A886">
        <v>841631</v>
      </c>
      <c r="B886" t="s">
        <v>302</v>
      </c>
      <c r="C886">
        <v>10</v>
      </c>
      <c r="E886" t="s">
        <v>303</v>
      </c>
      <c r="F886" t="s">
        <v>3438</v>
      </c>
      <c r="G886" t="s">
        <v>1348</v>
      </c>
      <c r="H886" t="s">
        <v>1349</v>
      </c>
      <c r="I886" t="s">
        <v>1350</v>
      </c>
      <c r="J886">
        <v>0</v>
      </c>
      <c r="K886">
        <v>0</v>
      </c>
      <c r="L886">
        <v>0</v>
      </c>
      <c r="M886">
        <v>18.22</v>
      </c>
      <c r="N886">
        <v>4.3099999999999996</v>
      </c>
      <c r="O886">
        <v>3.99</v>
      </c>
      <c r="Q886" t="s">
        <v>1047</v>
      </c>
      <c r="R886">
        <v>5907698019275</v>
      </c>
      <c r="S886">
        <v>0</v>
      </c>
      <c r="V886">
        <v>3926909790</v>
      </c>
    </row>
    <row r="887" spans="1:22" x14ac:dyDescent="0.25">
      <c r="A887">
        <v>841634</v>
      </c>
      <c r="B887" t="s">
        <v>302</v>
      </c>
      <c r="C887">
        <v>10</v>
      </c>
      <c r="E887" t="s">
        <v>303</v>
      </c>
      <c r="F887" t="s">
        <v>3439</v>
      </c>
      <c r="G887" t="s">
        <v>1351</v>
      </c>
      <c r="H887" t="s">
        <v>1352</v>
      </c>
      <c r="I887" t="s">
        <v>1353</v>
      </c>
      <c r="J887">
        <v>0</v>
      </c>
      <c r="K887">
        <v>0</v>
      </c>
      <c r="L887">
        <v>0</v>
      </c>
      <c r="M887">
        <v>38.53</v>
      </c>
      <c r="N887">
        <v>9.1199999999999992</v>
      </c>
      <c r="O887">
        <v>8.43</v>
      </c>
      <c r="Q887" t="s">
        <v>1047</v>
      </c>
      <c r="R887">
        <v>5907698023425</v>
      </c>
      <c r="S887">
        <v>0</v>
      </c>
      <c r="T887" t="s">
        <v>307</v>
      </c>
      <c r="V887">
        <v>3926909790</v>
      </c>
    </row>
    <row r="888" spans="1:22" x14ac:dyDescent="0.25">
      <c r="A888">
        <v>841640</v>
      </c>
      <c r="B888" t="s">
        <v>302</v>
      </c>
      <c r="C888">
        <v>10</v>
      </c>
      <c r="E888" t="s">
        <v>303</v>
      </c>
      <c r="F888" t="s">
        <v>3440</v>
      </c>
      <c r="G888" t="s">
        <v>1354</v>
      </c>
      <c r="H888" t="s">
        <v>1355</v>
      </c>
      <c r="I888" t="s">
        <v>1356</v>
      </c>
      <c r="J888">
        <v>0</v>
      </c>
      <c r="K888">
        <v>0</v>
      </c>
      <c r="L888">
        <v>0</v>
      </c>
      <c r="M888">
        <v>29.15</v>
      </c>
      <c r="N888">
        <v>6.89</v>
      </c>
      <c r="O888">
        <v>6.38</v>
      </c>
      <c r="Q888" t="s">
        <v>1047</v>
      </c>
      <c r="R888">
        <v>5907698021414</v>
      </c>
      <c r="S888">
        <v>0</v>
      </c>
      <c r="V888">
        <v>7616999099</v>
      </c>
    </row>
    <row r="889" spans="1:22" x14ac:dyDescent="0.25">
      <c r="A889">
        <v>841690</v>
      </c>
      <c r="B889" t="s">
        <v>302</v>
      </c>
      <c r="C889">
        <v>10</v>
      </c>
      <c r="E889" t="s">
        <v>303</v>
      </c>
      <c r="F889" t="s">
        <v>3441</v>
      </c>
      <c r="G889" t="s">
        <v>1351</v>
      </c>
      <c r="H889" t="s">
        <v>2596</v>
      </c>
      <c r="I889" t="s">
        <v>1353</v>
      </c>
      <c r="J889">
        <v>0</v>
      </c>
      <c r="K889">
        <v>0</v>
      </c>
      <c r="L889">
        <v>0</v>
      </c>
      <c r="M889">
        <v>18.77</v>
      </c>
      <c r="N889">
        <v>4.4400000000000004</v>
      </c>
      <c r="O889">
        <v>4.1100000000000003</v>
      </c>
      <c r="Q889" t="s">
        <v>1047</v>
      </c>
      <c r="R889">
        <v>5907698023487</v>
      </c>
      <c r="S889">
        <v>0</v>
      </c>
      <c r="T889" t="s">
        <v>307</v>
      </c>
      <c r="V889">
        <v>3926909790</v>
      </c>
    </row>
    <row r="890" spans="1:22" x14ac:dyDescent="0.25">
      <c r="A890">
        <v>841691</v>
      </c>
      <c r="B890" t="s">
        <v>302</v>
      </c>
      <c r="C890">
        <v>5</v>
      </c>
      <c r="E890" t="s">
        <v>303</v>
      </c>
      <c r="F890" t="s">
        <v>3442</v>
      </c>
      <c r="G890" t="s">
        <v>1357</v>
      </c>
      <c r="H890" t="s">
        <v>1358</v>
      </c>
      <c r="I890" t="s">
        <v>1359</v>
      </c>
      <c r="J890">
        <v>0</v>
      </c>
      <c r="K890">
        <v>0</v>
      </c>
      <c r="L890">
        <v>0</v>
      </c>
      <c r="M890">
        <v>39.22</v>
      </c>
      <c r="N890">
        <v>10.32</v>
      </c>
      <c r="O890">
        <v>8.74</v>
      </c>
      <c r="Q890" t="s">
        <v>1548</v>
      </c>
      <c r="R890">
        <v>5907698019282</v>
      </c>
      <c r="S890">
        <v>0</v>
      </c>
      <c r="T890" t="s">
        <v>307</v>
      </c>
      <c r="V890">
        <v>3926909790</v>
      </c>
    </row>
    <row r="891" spans="1:22" x14ac:dyDescent="0.25">
      <c r="A891">
        <v>841695</v>
      </c>
      <c r="B891" t="s">
        <v>302</v>
      </c>
      <c r="C891">
        <v>10</v>
      </c>
      <c r="E891" t="s">
        <v>303</v>
      </c>
      <c r="F891" t="s">
        <v>3441</v>
      </c>
      <c r="G891" t="s">
        <v>1351</v>
      </c>
      <c r="H891" t="s">
        <v>2597</v>
      </c>
      <c r="I891" t="s">
        <v>1353</v>
      </c>
      <c r="J891">
        <v>0</v>
      </c>
      <c r="K891">
        <v>0</v>
      </c>
      <c r="L891">
        <v>0</v>
      </c>
      <c r="M891">
        <v>33.01</v>
      </c>
      <c r="N891">
        <v>7.81</v>
      </c>
      <c r="O891">
        <v>7.22</v>
      </c>
      <c r="Q891" t="s">
        <v>1047</v>
      </c>
      <c r="R891">
        <v>5907698023500</v>
      </c>
      <c r="S891">
        <v>0</v>
      </c>
      <c r="T891" t="s">
        <v>307</v>
      </c>
      <c r="V891">
        <v>3926909790</v>
      </c>
    </row>
    <row r="892" spans="1:22" x14ac:dyDescent="0.25">
      <c r="A892">
        <v>841699</v>
      </c>
      <c r="B892" t="s">
        <v>302</v>
      </c>
      <c r="C892">
        <v>10</v>
      </c>
      <c r="E892" t="s">
        <v>303</v>
      </c>
      <c r="F892" t="s">
        <v>3439</v>
      </c>
      <c r="G892" t="s">
        <v>1360</v>
      </c>
      <c r="H892" t="s">
        <v>1361</v>
      </c>
      <c r="I892" t="s">
        <v>1353</v>
      </c>
      <c r="J892">
        <v>0</v>
      </c>
      <c r="K892">
        <v>0</v>
      </c>
      <c r="L892">
        <v>0</v>
      </c>
      <c r="M892">
        <v>12.25</v>
      </c>
      <c r="N892">
        <v>2.9</v>
      </c>
      <c r="O892">
        <v>2.68</v>
      </c>
      <c r="Q892" t="s">
        <v>1047</v>
      </c>
      <c r="R892">
        <v>5907698023524</v>
      </c>
      <c r="S892">
        <v>0</v>
      </c>
      <c r="T892" t="s">
        <v>307</v>
      </c>
      <c r="V892">
        <v>3926909790</v>
      </c>
    </row>
    <row r="893" spans="1:22" x14ac:dyDescent="0.25">
      <c r="A893">
        <v>843020</v>
      </c>
      <c r="B893" t="s">
        <v>302</v>
      </c>
      <c r="C893">
        <v>6</v>
      </c>
      <c r="E893" t="s">
        <v>303</v>
      </c>
      <c r="F893" t="s">
        <v>1362</v>
      </c>
      <c r="G893" t="s">
        <v>2264</v>
      </c>
      <c r="H893" t="s">
        <v>2265</v>
      </c>
      <c r="I893" t="s">
        <v>1363</v>
      </c>
      <c r="J893">
        <v>207</v>
      </c>
      <c r="K893">
        <v>0</v>
      </c>
      <c r="L893">
        <v>207</v>
      </c>
      <c r="M893">
        <v>45.35</v>
      </c>
      <c r="N893">
        <v>10.73</v>
      </c>
      <c r="O893">
        <v>9.92</v>
      </c>
      <c r="Q893" t="s">
        <v>336</v>
      </c>
      <c r="R893">
        <v>5907698018117</v>
      </c>
      <c r="S893">
        <v>80</v>
      </c>
      <c r="T893" t="s">
        <v>404</v>
      </c>
      <c r="V893">
        <v>7326909890</v>
      </c>
    </row>
    <row r="894" spans="1:22" x14ac:dyDescent="0.25">
      <c r="A894">
        <v>843030</v>
      </c>
      <c r="B894" t="s">
        <v>3008</v>
      </c>
      <c r="C894">
        <v>4</v>
      </c>
      <c r="D894">
        <v>1</v>
      </c>
      <c r="E894" t="s">
        <v>303</v>
      </c>
      <c r="F894" t="s">
        <v>1362</v>
      </c>
      <c r="G894" t="s">
        <v>1364</v>
      </c>
      <c r="H894" t="s">
        <v>1365</v>
      </c>
      <c r="I894" t="s">
        <v>1363</v>
      </c>
      <c r="J894">
        <v>358</v>
      </c>
      <c r="K894">
        <v>5</v>
      </c>
      <c r="L894">
        <v>363</v>
      </c>
      <c r="M894">
        <v>50.88</v>
      </c>
      <c r="N894">
        <v>12.86</v>
      </c>
      <c r="O894">
        <v>11.01</v>
      </c>
      <c r="Q894" t="s">
        <v>336</v>
      </c>
      <c r="R894">
        <v>5907698025894</v>
      </c>
      <c r="S894">
        <v>350</v>
      </c>
      <c r="T894" t="s">
        <v>404</v>
      </c>
      <c r="V894">
        <v>7326909890</v>
      </c>
    </row>
    <row r="895" spans="1:22" x14ac:dyDescent="0.25">
      <c r="A895">
        <v>844180</v>
      </c>
      <c r="B895" t="s">
        <v>302</v>
      </c>
      <c r="C895">
        <v>20</v>
      </c>
      <c r="E895" t="s">
        <v>303</v>
      </c>
      <c r="F895" t="s">
        <v>1366</v>
      </c>
      <c r="G895" t="s">
        <v>1367</v>
      </c>
      <c r="H895" t="s">
        <v>1368</v>
      </c>
      <c r="I895" t="s">
        <v>1369</v>
      </c>
      <c r="J895">
        <v>274</v>
      </c>
      <c r="K895">
        <v>20</v>
      </c>
      <c r="L895">
        <v>294</v>
      </c>
      <c r="M895">
        <v>9.7100000000000009</v>
      </c>
      <c r="N895">
        <v>2.4900000000000002</v>
      </c>
      <c r="O895">
        <v>2.13</v>
      </c>
      <c r="Q895" t="s">
        <v>2</v>
      </c>
      <c r="R895">
        <v>5907698018124</v>
      </c>
      <c r="S895">
        <v>750</v>
      </c>
      <c r="T895" t="s">
        <v>352</v>
      </c>
      <c r="V895">
        <v>5609000000</v>
      </c>
    </row>
    <row r="896" spans="1:22" x14ac:dyDescent="0.25">
      <c r="A896">
        <v>844270</v>
      </c>
      <c r="B896" t="s">
        <v>302</v>
      </c>
      <c r="C896">
        <v>20</v>
      </c>
      <c r="D896">
        <v>0</v>
      </c>
      <c r="E896" t="s">
        <v>303</v>
      </c>
      <c r="F896" t="s">
        <v>2266</v>
      </c>
      <c r="G896" t="s">
        <v>2267</v>
      </c>
      <c r="H896" t="s">
        <v>2268</v>
      </c>
      <c r="I896" t="s">
        <v>2269</v>
      </c>
      <c r="J896">
        <v>459</v>
      </c>
      <c r="K896">
        <v>0</v>
      </c>
      <c r="L896">
        <v>459</v>
      </c>
      <c r="M896">
        <v>9.56</v>
      </c>
      <c r="N896">
        <v>2.2599999999999998</v>
      </c>
      <c r="O896">
        <v>2.09</v>
      </c>
      <c r="Q896" t="s">
        <v>2</v>
      </c>
      <c r="R896">
        <v>5907698018131</v>
      </c>
      <c r="S896">
        <v>200</v>
      </c>
      <c r="T896" t="s">
        <v>352</v>
      </c>
      <c r="V896">
        <v>5609000000</v>
      </c>
    </row>
    <row r="897" spans="1:22" x14ac:dyDescent="0.25">
      <c r="A897">
        <v>844290</v>
      </c>
      <c r="B897" t="s">
        <v>302</v>
      </c>
      <c r="C897">
        <v>12</v>
      </c>
      <c r="D897">
        <v>0</v>
      </c>
      <c r="E897" t="s">
        <v>303</v>
      </c>
      <c r="F897" t="s">
        <v>2266</v>
      </c>
      <c r="G897" t="s">
        <v>2270</v>
      </c>
      <c r="H897" t="s">
        <v>2271</v>
      </c>
      <c r="I897" t="s">
        <v>2269</v>
      </c>
      <c r="J897">
        <v>631</v>
      </c>
      <c r="K897">
        <v>0</v>
      </c>
      <c r="L897">
        <v>631</v>
      </c>
      <c r="M897">
        <v>10.93</v>
      </c>
      <c r="N897">
        <v>2.8</v>
      </c>
      <c r="O897">
        <v>2.41</v>
      </c>
      <c r="Q897" t="s">
        <v>2</v>
      </c>
      <c r="R897">
        <v>5907698018148</v>
      </c>
      <c r="S897">
        <v>900</v>
      </c>
      <c r="T897" t="s">
        <v>352</v>
      </c>
      <c r="V897">
        <v>5609000000</v>
      </c>
    </row>
    <row r="898" spans="1:22" x14ac:dyDescent="0.25">
      <c r="A898">
        <v>844292</v>
      </c>
      <c r="B898" t="s">
        <v>302</v>
      </c>
      <c r="C898">
        <v>20</v>
      </c>
      <c r="D898">
        <v>0</v>
      </c>
      <c r="E898" t="s">
        <v>303</v>
      </c>
      <c r="F898" t="s">
        <v>2266</v>
      </c>
      <c r="G898" t="s">
        <v>2270</v>
      </c>
      <c r="H898" t="s">
        <v>1686</v>
      </c>
      <c r="I898" t="s">
        <v>2269</v>
      </c>
      <c r="J898">
        <v>766</v>
      </c>
      <c r="K898">
        <v>40</v>
      </c>
      <c r="L898">
        <v>806</v>
      </c>
      <c r="M898">
        <v>10.59</v>
      </c>
      <c r="N898">
        <v>2.5099999999999998</v>
      </c>
      <c r="O898">
        <v>2.3199999999999998</v>
      </c>
      <c r="Q898" t="s">
        <v>2</v>
      </c>
      <c r="R898">
        <v>5907698027768</v>
      </c>
      <c r="S898">
        <v>300</v>
      </c>
      <c r="T898" t="s">
        <v>2272</v>
      </c>
      <c r="V898">
        <v>5609000000</v>
      </c>
    </row>
    <row r="899" spans="1:22" x14ac:dyDescent="0.25">
      <c r="A899">
        <v>844302</v>
      </c>
      <c r="B899" t="s">
        <v>302</v>
      </c>
      <c r="C899">
        <v>40</v>
      </c>
      <c r="E899" t="s">
        <v>303</v>
      </c>
      <c r="F899" t="s">
        <v>3443</v>
      </c>
      <c r="G899" t="s">
        <v>2267</v>
      </c>
      <c r="H899" t="s">
        <v>2273</v>
      </c>
      <c r="I899" t="s">
        <v>2269</v>
      </c>
      <c r="J899">
        <v>580</v>
      </c>
      <c r="K899">
        <v>40</v>
      </c>
      <c r="L899">
        <v>620</v>
      </c>
      <c r="M899">
        <v>9.92</v>
      </c>
      <c r="N899">
        <v>2.5299999999999998</v>
      </c>
      <c r="O899">
        <v>2.17</v>
      </c>
      <c r="Q899" t="s">
        <v>336</v>
      </c>
      <c r="R899">
        <v>5907698019671</v>
      </c>
      <c r="S899">
        <v>300</v>
      </c>
      <c r="T899" t="s">
        <v>383</v>
      </c>
      <c r="V899">
        <v>5609000000</v>
      </c>
    </row>
    <row r="900" spans="1:22" x14ac:dyDescent="0.25">
      <c r="A900">
        <v>850010</v>
      </c>
      <c r="B900" t="s">
        <v>302</v>
      </c>
      <c r="C900">
        <v>25</v>
      </c>
      <c r="D900">
        <v>0</v>
      </c>
      <c r="E900" t="s">
        <v>303</v>
      </c>
      <c r="F900" t="s">
        <v>3444</v>
      </c>
      <c r="G900" t="s">
        <v>1370</v>
      </c>
      <c r="H900" t="s">
        <v>1371</v>
      </c>
      <c r="I900" t="s">
        <v>1372</v>
      </c>
      <c r="J900">
        <v>0</v>
      </c>
      <c r="K900">
        <v>0</v>
      </c>
      <c r="L900">
        <v>0</v>
      </c>
      <c r="M900">
        <v>8.7100000000000009</v>
      </c>
      <c r="N900">
        <v>2.0699999999999998</v>
      </c>
      <c r="O900">
        <v>1.91</v>
      </c>
      <c r="R900">
        <v>5907698018155</v>
      </c>
      <c r="S900">
        <v>550</v>
      </c>
      <c r="T900" t="s">
        <v>482</v>
      </c>
      <c r="V900">
        <v>8414208090</v>
      </c>
    </row>
    <row r="901" spans="1:22" x14ac:dyDescent="0.25">
      <c r="A901">
        <v>850020</v>
      </c>
      <c r="B901" t="s">
        <v>302</v>
      </c>
      <c r="C901">
        <v>15</v>
      </c>
      <c r="D901">
        <v>0</v>
      </c>
      <c r="E901" t="s">
        <v>303</v>
      </c>
      <c r="F901" t="s">
        <v>3444</v>
      </c>
      <c r="G901" t="s">
        <v>1373</v>
      </c>
      <c r="H901" t="s">
        <v>1374</v>
      </c>
      <c r="I901" t="s">
        <v>1372</v>
      </c>
      <c r="J901">
        <v>0</v>
      </c>
      <c r="K901">
        <v>0</v>
      </c>
      <c r="L901">
        <v>0</v>
      </c>
      <c r="M901">
        <v>15.26</v>
      </c>
      <c r="N901">
        <v>3.61</v>
      </c>
      <c r="O901">
        <v>3.33</v>
      </c>
      <c r="R901">
        <v>5907698018162</v>
      </c>
      <c r="S901">
        <v>150</v>
      </c>
      <c r="T901" t="s">
        <v>482</v>
      </c>
      <c r="V901">
        <v>8414208090</v>
      </c>
    </row>
    <row r="902" spans="1:22" x14ac:dyDescent="0.25">
      <c r="A902">
        <v>850101</v>
      </c>
      <c r="B902" t="s">
        <v>302</v>
      </c>
      <c r="C902">
        <v>60</v>
      </c>
      <c r="D902">
        <v>0</v>
      </c>
      <c r="E902" t="s">
        <v>303</v>
      </c>
      <c r="F902" t="s">
        <v>3445</v>
      </c>
      <c r="G902" t="s">
        <v>2274</v>
      </c>
      <c r="H902" t="s">
        <v>2275</v>
      </c>
      <c r="I902" t="s">
        <v>2665</v>
      </c>
      <c r="J902">
        <v>137</v>
      </c>
      <c r="K902">
        <v>300</v>
      </c>
      <c r="L902">
        <v>437</v>
      </c>
      <c r="M902">
        <v>6.96</v>
      </c>
      <c r="N902">
        <v>1.76</v>
      </c>
      <c r="O902">
        <v>1.56</v>
      </c>
      <c r="Q902" t="s">
        <v>2548</v>
      </c>
      <c r="R902">
        <v>5907698025955</v>
      </c>
      <c r="S902">
        <v>200</v>
      </c>
      <c r="T902" t="s">
        <v>2276</v>
      </c>
      <c r="V902">
        <v>4016999790</v>
      </c>
    </row>
    <row r="903" spans="1:22" x14ac:dyDescent="0.25">
      <c r="A903">
        <v>850102</v>
      </c>
      <c r="B903" t="s">
        <v>302</v>
      </c>
      <c r="C903">
        <v>20</v>
      </c>
      <c r="D903">
        <v>0</v>
      </c>
      <c r="E903" t="s">
        <v>303</v>
      </c>
      <c r="F903" t="s">
        <v>3446</v>
      </c>
      <c r="G903" t="s">
        <v>2277</v>
      </c>
      <c r="H903" t="s">
        <v>2278</v>
      </c>
      <c r="I903" t="s">
        <v>2665</v>
      </c>
      <c r="J903">
        <v>107</v>
      </c>
      <c r="K903">
        <v>30</v>
      </c>
      <c r="L903">
        <v>137</v>
      </c>
      <c r="M903">
        <v>13.31</v>
      </c>
      <c r="N903">
        <v>3.36</v>
      </c>
      <c r="O903">
        <v>3</v>
      </c>
      <c r="Q903" t="s">
        <v>2548</v>
      </c>
      <c r="R903">
        <v>5907698025962</v>
      </c>
      <c r="S903">
        <v>80</v>
      </c>
      <c r="T903" t="s">
        <v>2279</v>
      </c>
      <c r="U903" t="s">
        <v>3447</v>
      </c>
      <c r="V903">
        <v>4016999790</v>
      </c>
    </row>
    <row r="904" spans="1:22" x14ac:dyDescent="0.25">
      <c r="A904">
        <v>870130</v>
      </c>
      <c r="B904" t="s">
        <v>302</v>
      </c>
      <c r="C904">
        <v>160</v>
      </c>
      <c r="E904" t="s">
        <v>303</v>
      </c>
      <c r="F904" t="s">
        <v>3448</v>
      </c>
      <c r="G904" t="s">
        <v>1375</v>
      </c>
      <c r="H904" t="s">
        <v>1376</v>
      </c>
      <c r="I904" t="s">
        <v>1377</v>
      </c>
      <c r="J904">
        <v>0</v>
      </c>
      <c r="K904">
        <v>1</v>
      </c>
      <c r="L904">
        <v>1</v>
      </c>
      <c r="M904">
        <v>2.36</v>
      </c>
      <c r="N904">
        <v>0.56000000000000005</v>
      </c>
      <c r="O904">
        <v>0.51</v>
      </c>
      <c r="Q904" t="s">
        <v>2548</v>
      </c>
      <c r="R904">
        <v>5907698018179</v>
      </c>
      <c r="S904">
        <v>650</v>
      </c>
      <c r="T904" t="s">
        <v>352</v>
      </c>
      <c r="V904">
        <v>4016999790</v>
      </c>
    </row>
    <row r="905" spans="1:22" x14ac:dyDescent="0.25">
      <c r="A905">
        <v>870210</v>
      </c>
      <c r="B905" t="s">
        <v>302</v>
      </c>
      <c r="C905">
        <v>96</v>
      </c>
      <c r="E905" t="s">
        <v>303</v>
      </c>
      <c r="F905" t="s">
        <v>3449</v>
      </c>
      <c r="G905" t="s">
        <v>1378</v>
      </c>
      <c r="H905" t="s">
        <v>1379</v>
      </c>
      <c r="I905" t="s">
        <v>1380</v>
      </c>
      <c r="J905">
        <v>320</v>
      </c>
      <c r="K905">
        <v>20</v>
      </c>
      <c r="L905">
        <v>340</v>
      </c>
      <c r="M905">
        <v>6.77</v>
      </c>
      <c r="N905">
        <v>1.6</v>
      </c>
      <c r="O905">
        <v>1.49</v>
      </c>
      <c r="Q905" t="s">
        <v>2548</v>
      </c>
      <c r="R905">
        <v>5907698027539</v>
      </c>
      <c r="S905">
        <v>130</v>
      </c>
      <c r="T905" t="s">
        <v>482</v>
      </c>
      <c r="V905">
        <v>5608199000</v>
      </c>
    </row>
    <row r="906" spans="1:22" x14ac:dyDescent="0.25">
      <c r="A906">
        <v>870261</v>
      </c>
      <c r="B906" t="s">
        <v>302</v>
      </c>
      <c r="C906">
        <v>80</v>
      </c>
      <c r="E906" t="s">
        <v>303</v>
      </c>
      <c r="F906" t="s">
        <v>3448</v>
      </c>
      <c r="G906" t="s">
        <v>2280</v>
      </c>
      <c r="H906" t="s">
        <v>2281</v>
      </c>
      <c r="I906" t="s">
        <v>1377</v>
      </c>
      <c r="J906">
        <v>577</v>
      </c>
      <c r="K906">
        <v>50</v>
      </c>
      <c r="L906">
        <v>627</v>
      </c>
      <c r="M906">
        <v>3.77</v>
      </c>
      <c r="N906">
        <v>1.01</v>
      </c>
      <c r="O906">
        <v>0.85</v>
      </c>
      <c r="Q906" t="s">
        <v>2548</v>
      </c>
      <c r="R906">
        <v>5907698022541</v>
      </c>
      <c r="S906">
        <v>960</v>
      </c>
      <c r="T906" t="s">
        <v>352</v>
      </c>
      <c r="V906">
        <v>4016999790</v>
      </c>
    </row>
    <row r="907" spans="1:22" x14ac:dyDescent="0.25">
      <c r="A907">
        <v>870280</v>
      </c>
      <c r="B907" t="s">
        <v>302</v>
      </c>
      <c r="C907">
        <v>80</v>
      </c>
      <c r="D907">
        <v>20</v>
      </c>
      <c r="E907" t="s">
        <v>303</v>
      </c>
      <c r="F907" t="s">
        <v>3450</v>
      </c>
      <c r="G907" t="s">
        <v>1381</v>
      </c>
      <c r="H907" t="s">
        <v>1382</v>
      </c>
      <c r="I907" t="s">
        <v>1383</v>
      </c>
      <c r="J907">
        <v>384</v>
      </c>
      <c r="K907">
        <v>1</v>
      </c>
      <c r="L907">
        <v>385</v>
      </c>
      <c r="M907">
        <v>3.33</v>
      </c>
      <c r="N907">
        <v>0.84</v>
      </c>
      <c r="O907">
        <v>0.75</v>
      </c>
      <c r="Q907" t="s">
        <v>336</v>
      </c>
      <c r="R907">
        <v>5907698018186</v>
      </c>
      <c r="S907">
        <v>1200</v>
      </c>
      <c r="T907" t="s">
        <v>352</v>
      </c>
      <c r="V907">
        <v>4016999790</v>
      </c>
    </row>
    <row r="908" spans="1:22" x14ac:dyDescent="0.25">
      <c r="A908">
        <v>870282</v>
      </c>
      <c r="B908" t="s">
        <v>302</v>
      </c>
      <c r="C908">
        <v>144</v>
      </c>
      <c r="D908">
        <v>0</v>
      </c>
      <c r="E908" t="s">
        <v>303</v>
      </c>
      <c r="F908" t="s">
        <v>3448</v>
      </c>
      <c r="G908" t="s">
        <v>2280</v>
      </c>
      <c r="H908" t="s">
        <v>2282</v>
      </c>
      <c r="I908" t="s">
        <v>1377</v>
      </c>
      <c r="J908">
        <v>0</v>
      </c>
      <c r="K908">
        <v>0</v>
      </c>
      <c r="L908">
        <v>0</v>
      </c>
      <c r="M908">
        <v>1.83</v>
      </c>
      <c r="N908">
        <v>0.43</v>
      </c>
      <c r="O908">
        <v>0.41</v>
      </c>
      <c r="Q908" t="s">
        <v>2</v>
      </c>
      <c r="R908">
        <v>5907698022510</v>
      </c>
      <c r="S908">
        <v>1700</v>
      </c>
      <c r="T908" t="s">
        <v>352</v>
      </c>
      <c r="V908">
        <v>4016999790</v>
      </c>
    </row>
    <row r="909" spans="1:22" x14ac:dyDescent="0.25">
      <c r="A909">
        <v>870286</v>
      </c>
      <c r="B909" t="s">
        <v>302</v>
      </c>
      <c r="C909">
        <v>80</v>
      </c>
      <c r="D909">
        <v>0</v>
      </c>
      <c r="E909" t="s">
        <v>303</v>
      </c>
      <c r="F909" t="s">
        <v>3448</v>
      </c>
      <c r="G909" t="s">
        <v>1384</v>
      </c>
      <c r="H909" t="s">
        <v>1385</v>
      </c>
      <c r="I909" t="s">
        <v>1377</v>
      </c>
      <c r="J909">
        <v>1643</v>
      </c>
      <c r="K909">
        <v>30</v>
      </c>
      <c r="L909">
        <v>1673</v>
      </c>
      <c r="M909">
        <v>3.47</v>
      </c>
      <c r="N909">
        <v>0.93</v>
      </c>
      <c r="O909">
        <v>0.8</v>
      </c>
      <c r="Q909" t="s">
        <v>2548</v>
      </c>
      <c r="R909">
        <v>5907698022534</v>
      </c>
      <c r="S909">
        <v>1650</v>
      </c>
      <c r="T909" t="s">
        <v>352</v>
      </c>
      <c r="V909">
        <v>4016999790</v>
      </c>
    </row>
    <row r="910" spans="1:22" x14ac:dyDescent="0.25">
      <c r="A910">
        <v>870292</v>
      </c>
      <c r="B910" t="s">
        <v>302</v>
      </c>
      <c r="C910">
        <v>144</v>
      </c>
      <c r="D910">
        <v>12</v>
      </c>
      <c r="E910" t="s">
        <v>303</v>
      </c>
      <c r="F910" t="s">
        <v>3448</v>
      </c>
      <c r="G910" t="s">
        <v>1384</v>
      </c>
      <c r="H910" t="s">
        <v>2283</v>
      </c>
      <c r="I910" t="s">
        <v>2284</v>
      </c>
      <c r="J910">
        <v>2933</v>
      </c>
      <c r="K910">
        <v>144</v>
      </c>
      <c r="L910">
        <v>3077</v>
      </c>
      <c r="M910">
        <v>2</v>
      </c>
      <c r="N910">
        <v>0.52</v>
      </c>
      <c r="O910">
        <v>0.43</v>
      </c>
      <c r="Q910" t="s">
        <v>2</v>
      </c>
      <c r="R910">
        <v>5907698022527</v>
      </c>
      <c r="S910">
        <v>1850</v>
      </c>
      <c r="T910" t="s">
        <v>352</v>
      </c>
      <c r="V910">
        <v>4016999790</v>
      </c>
    </row>
    <row r="911" spans="1:22" x14ac:dyDescent="0.25">
      <c r="A911">
        <v>871000</v>
      </c>
      <c r="B911" t="s">
        <v>302</v>
      </c>
      <c r="C911">
        <v>40</v>
      </c>
      <c r="D911">
        <v>0</v>
      </c>
      <c r="E911" t="s">
        <v>303</v>
      </c>
      <c r="F911" t="s">
        <v>3451</v>
      </c>
      <c r="G911" t="s">
        <v>1386</v>
      </c>
      <c r="H911" t="s">
        <v>1387</v>
      </c>
      <c r="I911" t="s">
        <v>1388</v>
      </c>
      <c r="J911">
        <v>146</v>
      </c>
      <c r="K911">
        <v>0</v>
      </c>
      <c r="L911">
        <v>146</v>
      </c>
      <c r="M911">
        <v>3.82</v>
      </c>
      <c r="N911">
        <v>0.92</v>
      </c>
      <c r="O911">
        <v>0.84</v>
      </c>
      <c r="Q911" t="s">
        <v>2</v>
      </c>
      <c r="R911">
        <v>5907698018193</v>
      </c>
      <c r="S911">
        <v>1800</v>
      </c>
      <c r="T911" t="s">
        <v>482</v>
      </c>
      <c r="V911">
        <v>5609000000</v>
      </c>
    </row>
    <row r="912" spans="1:22" x14ac:dyDescent="0.25">
      <c r="A912">
        <v>871100</v>
      </c>
      <c r="B912" t="s">
        <v>302</v>
      </c>
      <c r="C912">
        <v>40</v>
      </c>
      <c r="D912">
        <v>0</v>
      </c>
      <c r="E912" t="s">
        <v>303</v>
      </c>
      <c r="F912" t="s">
        <v>3452</v>
      </c>
      <c r="G912" t="s">
        <v>2285</v>
      </c>
      <c r="H912" t="s">
        <v>1687</v>
      </c>
      <c r="I912" t="s">
        <v>2286</v>
      </c>
      <c r="J912">
        <v>307</v>
      </c>
      <c r="K912">
        <v>1040</v>
      </c>
      <c r="L912">
        <v>1347</v>
      </c>
      <c r="M912">
        <v>3.5</v>
      </c>
      <c r="N912">
        <v>0.9</v>
      </c>
      <c r="O912">
        <v>0.77</v>
      </c>
      <c r="Q912" t="s">
        <v>2</v>
      </c>
      <c r="R912">
        <v>5907698018209</v>
      </c>
      <c r="S912">
        <v>2000</v>
      </c>
      <c r="T912" t="s">
        <v>383</v>
      </c>
      <c r="V912">
        <v>5609000000</v>
      </c>
    </row>
    <row r="913" spans="1:22" x14ac:dyDescent="0.25">
      <c r="A913">
        <v>871120</v>
      </c>
      <c r="B913" t="s">
        <v>302</v>
      </c>
      <c r="C913">
        <v>60</v>
      </c>
      <c r="E913" t="s">
        <v>303</v>
      </c>
      <c r="F913" t="s">
        <v>3453</v>
      </c>
      <c r="G913" t="s">
        <v>1389</v>
      </c>
      <c r="H913" t="s">
        <v>1390</v>
      </c>
      <c r="I913" t="s">
        <v>1391</v>
      </c>
      <c r="J913">
        <v>1346</v>
      </c>
      <c r="K913">
        <v>30</v>
      </c>
      <c r="L913">
        <v>1376</v>
      </c>
      <c r="M913">
        <v>4.1399999999999997</v>
      </c>
      <c r="N913">
        <v>0.98</v>
      </c>
      <c r="O913">
        <v>0.9</v>
      </c>
      <c r="Q913" t="s">
        <v>2548</v>
      </c>
      <c r="R913">
        <v>5907698018216</v>
      </c>
      <c r="S913">
        <v>1200</v>
      </c>
      <c r="T913" t="s">
        <v>383</v>
      </c>
      <c r="V913">
        <v>5609000000</v>
      </c>
    </row>
    <row r="914" spans="1:22" x14ac:dyDescent="0.25">
      <c r="A914">
        <v>871142</v>
      </c>
      <c r="B914" t="s">
        <v>302</v>
      </c>
      <c r="C914">
        <v>12</v>
      </c>
      <c r="E914" t="s">
        <v>303</v>
      </c>
      <c r="F914" t="s">
        <v>3454</v>
      </c>
      <c r="G914" t="s">
        <v>1392</v>
      </c>
      <c r="H914" t="s">
        <v>1393</v>
      </c>
      <c r="I914" t="s">
        <v>1394</v>
      </c>
      <c r="J914">
        <v>347</v>
      </c>
      <c r="K914">
        <v>0</v>
      </c>
      <c r="L914">
        <v>347</v>
      </c>
      <c r="M914">
        <v>13.02</v>
      </c>
      <c r="N914">
        <v>3.34</v>
      </c>
      <c r="O914">
        <v>2.86</v>
      </c>
      <c r="Q914" t="s">
        <v>2</v>
      </c>
      <c r="R914">
        <v>5907698022800</v>
      </c>
      <c r="S914">
        <v>300</v>
      </c>
      <c r="T914" t="s">
        <v>482</v>
      </c>
      <c r="V914">
        <v>5609000000</v>
      </c>
    </row>
    <row r="915" spans="1:22" x14ac:dyDescent="0.25">
      <c r="A915">
        <v>871160</v>
      </c>
      <c r="B915" t="s">
        <v>302</v>
      </c>
      <c r="C915">
        <v>12</v>
      </c>
      <c r="D915">
        <v>0</v>
      </c>
      <c r="E915" t="s">
        <v>303</v>
      </c>
      <c r="F915" t="s">
        <v>3455</v>
      </c>
      <c r="G915" t="s">
        <v>2287</v>
      </c>
      <c r="H915" t="s">
        <v>1688</v>
      </c>
      <c r="I915" t="s">
        <v>2288</v>
      </c>
      <c r="J915">
        <v>478</v>
      </c>
      <c r="K915">
        <v>146</v>
      </c>
      <c r="L915">
        <v>624</v>
      </c>
      <c r="M915">
        <v>14.31</v>
      </c>
      <c r="N915">
        <v>3.66</v>
      </c>
      <c r="O915">
        <v>3.15</v>
      </c>
      <c r="Q915" t="s">
        <v>2</v>
      </c>
      <c r="R915">
        <v>5907698018230</v>
      </c>
      <c r="S915">
        <v>230</v>
      </c>
      <c r="T915" t="s">
        <v>482</v>
      </c>
      <c r="V915">
        <v>5609000000</v>
      </c>
    </row>
    <row r="916" spans="1:22" x14ac:dyDescent="0.25">
      <c r="A916">
        <v>871170</v>
      </c>
      <c r="B916" t="s">
        <v>302</v>
      </c>
      <c r="C916">
        <v>16</v>
      </c>
      <c r="E916" t="s">
        <v>303</v>
      </c>
      <c r="F916" t="s">
        <v>3455</v>
      </c>
      <c r="G916" t="s">
        <v>1395</v>
      </c>
      <c r="H916" t="s">
        <v>1396</v>
      </c>
      <c r="I916" t="s">
        <v>2442</v>
      </c>
      <c r="J916">
        <v>288</v>
      </c>
      <c r="K916">
        <v>2</v>
      </c>
      <c r="L916">
        <v>290</v>
      </c>
      <c r="M916">
        <v>15.36</v>
      </c>
      <c r="N916">
        <v>3.94</v>
      </c>
      <c r="O916">
        <v>3.37</v>
      </c>
      <c r="Q916" t="s">
        <v>2</v>
      </c>
      <c r="R916">
        <v>5907698018247</v>
      </c>
      <c r="S916">
        <v>250</v>
      </c>
      <c r="T916" t="s">
        <v>482</v>
      </c>
      <c r="V916">
        <v>5609000000</v>
      </c>
    </row>
    <row r="917" spans="1:22" x14ac:dyDescent="0.25">
      <c r="A917">
        <v>872058</v>
      </c>
      <c r="B917" t="s">
        <v>2993</v>
      </c>
      <c r="C917">
        <v>10</v>
      </c>
      <c r="E917" t="s">
        <v>303</v>
      </c>
      <c r="F917" t="s">
        <v>3456</v>
      </c>
      <c r="G917" t="s">
        <v>3457</v>
      </c>
      <c r="H917" t="s">
        <v>3458</v>
      </c>
      <c r="J917">
        <v>80</v>
      </c>
      <c r="K917">
        <v>1</v>
      </c>
      <c r="L917">
        <v>81</v>
      </c>
      <c r="M917">
        <v>31.45</v>
      </c>
      <c r="N917">
        <v>7.97</v>
      </c>
      <c r="O917">
        <v>7.03</v>
      </c>
      <c r="Q917" t="s">
        <v>3459</v>
      </c>
      <c r="R917">
        <v>5902709132585</v>
      </c>
      <c r="S917">
        <v>3</v>
      </c>
      <c r="V917">
        <v>5609000000</v>
      </c>
    </row>
    <row r="918" spans="1:22" x14ac:dyDescent="0.25">
      <c r="A918">
        <v>883000</v>
      </c>
      <c r="B918" t="s">
        <v>302</v>
      </c>
      <c r="C918">
        <v>120</v>
      </c>
      <c r="D918">
        <v>12</v>
      </c>
      <c r="E918" t="s">
        <v>303</v>
      </c>
      <c r="F918" t="s">
        <v>2289</v>
      </c>
      <c r="G918" t="s">
        <v>2290</v>
      </c>
      <c r="H918" t="s">
        <v>2291</v>
      </c>
      <c r="I918" t="s">
        <v>2292</v>
      </c>
      <c r="J918">
        <v>1370</v>
      </c>
      <c r="K918">
        <v>0</v>
      </c>
      <c r="L918">
        <v>1370</v>
      </c>
      <c r="M918">
        <v>4.9800000000000004</v>
      </c>
      <c r="N918">
        <v>1.26</v>
      </c>
      <c r="O918">
        <v>1.1299999999999999</v>
      </c>
      <c r="Q918" t="s">
        <v>2</v>
      </c>
      <c r="R918">
        <v>5907698018261</v>
      </c>
      <c r="S918">
        <v>800</v>
      </c>
      <c r="T918" t="s">
        <v>2276</v>
      </c>
      <c r="V918">
        <v>9005800000</v>
      </c>
    </row>
    <row r="919" spans="1:22" x14ac:dyDescent="0.25">
      <c r="A919">
        <v>884000</v>
      </c>
      <c r="B919" t="s">
        <v>3082</v>
      </c>
      <c r="C919">
        <v>200</v>
      </c>
      <c r="D919">
        <v>0</v>
      </c>
      <c r="E919" t="s">
        <v>303</v>
      </c>
      <c r="F919" t="s">
        <v>3460</v>
      </c>
      <c r="G919" t="s">
        <v>2666</v>
      </c>
      <c r="H919" t="s">
        <v>1398</v>
      </c>
      <c r="I919" t="s">
        <v>2667</v>
      </c>
      <c r="J919">
        <v>0</v>
      </c>
      <c r="K919">
        <v>0</v>
      </c>
      <c r="L919">
        <v>0</v>
      </c>
      <c r="M919">
        <v>1.83</v>
      </c>
      <c r="N919">
        <v>0.47</v>
      </c>
      <c r="O919">
        <v>0.4</v>
      </c>
      <c r="Q919" t="s">
        <v>336</v>
      </c>
      <c r="R919">
        <v>5907698025634</v>
      </c>
      <c r="S919">
        <v>9500</v>
      </c>
      <c r="T919" t="s">
        <v>906</v>
      </c>
      <c r="V919">
        <v>8302500000</v>
      </c>
    </row>
    <row r="920" spans="1:22" x14ac:dyDescent="0.25">
      <c r="A920">
        <v>884001</v>
      </c>
      <c r="B920" t="s">
        <v>302</v>
      </c>
      <c r="C920">
        <v>144</v>
      </c>
      <c r="D920">
        <v>0</v>
      </c>
      <c r="E920" t="s">
        <v>303</v>
      </c>
      <c r="F920" t="s">
        <v>3460</v>
      </c>
      <c r="G920" t="s">
        <v>1397</v>
      </c>
      <c r="H920" t="s">
        <v>1400</v>
      </c>
      <c r="I920" t="s">
        <v>1399</v>
      </c>
      <c r="J920">
        <v>1553</v>
      </c>
      <c r="K920">
        <v>1</v>
      </c>
      <c r="L920">
        <v>1554</v>
      </c>
      <c r="M920">
        <v>4.54</v>
      </c>
      <c r="N920">
        <v>1.07</v>
      </c>
      <c r="O920">
        <v>0.99</v>
      </c>
      <c r="Q920" t="s">
        <v>2548</v>
      </c>
      <c r="R920">
        <v>5907698028871</v>
      </c>
      <c r="S920">
        <v>750</v>
      </c>
      <c r="T920" t="s">
        <v>906</v>
      </c>
      <c r="V920">
        <v>8302500000</v>
      </c>
    </row>
    <row r="921" spans="1:22" x14ac:dyDescent="0.25">
      <c r="A921">
        <v>884002</v>
      </c>
      <c r="B921" t="s">
        <v>302</v>
      </c>
      <c r="C921">
        <v>50</v>
      </c>
      <c r="D921">
        <v>0</v>
      </c>
      <c r="E921" t="s">
        <v>303</v>
      </c>
      <c r="F921" t="s">
        <v>1401</v>
      </c>
      <c r="G921" t="s">
        <v>1402</v>
      </c>
      <c r="H921" t="s">
        <v>1403</v>
      </c>
      <c r="I921" t="s">
        <v>1399</v>
      </c>
      <c r="J921">
        <v>0</v>
      </c>
      <c r="K921">
        <v>0</v>
      </c>
      <c r="L921">
        <v>0</v>
      </c>
      <c r="M921">
        <v>16.89</v>
      </c>
      <c r="N921">
        <v>4.26</v>
      </c>
      <c r="O921">
        <v>3.8</v>
      </c>
      <c r="Q921" t="s">
        <v>2548</v>
      </c>
      <c r="R921">
        <v>5907698028383</v>
      </c>
      <c r="S921">
        <v>360</v>
      </c>
      <c r="T921" t="s">
        <v>906</v>
      </c>
      <c r="V921">
        <v>3926909790</v>
      </c>
    </row>
    <row r="922" spans="1:22" x14ac:dyDescent="0.25">
      <c r="A922">
        <v>884003</v>
      </c>
      <c r="B922" t="s">
        <v>2993</v>
      </c>
      <c r="C922">
        <v>500</v>
      </c>
      <c r="D922">
        <v>0</v>
      </c>
      <c r="E922" t="s">
        <v>303</v>
      </c>
      <c r="F922" t="s">
        <v>3460</v>
      </c>
      <c r="G922" t="s">
        <v>2666</v>
      </c>
      <c r="H922" t="s">
        <v>3461</v>
      </c>
      <c r="I922" t="s">
        <v>2667</v>
      </c>
      <c r="J922">
        <v>489</v>
      </c>
      <c r="K922">
        <v>5</v>
      </c>
      <c r="L922">
        <v>494</v>
      </c>
      <c r="M922">
        <v>1.5</v>
      </c>
      <c r="N922">
        <v>0.37</v>
      </c>
      <c r="O922">
        <v>0.32</v>
      </c>
      <c r="Q922" t="s">
        <v>336</v>
      </c>
      <c r="R922">
        <v>5907698029946</v>
      </c>
      <c r="S922">
        <v>1500</v>
      </c>
      <c r="T922" t="s">
        <v>407</v>
      </c>
      <c r="U922" t="s">
        <v>3462</v>
      </c>
      <c r="V922">
        <v>8302500000</v>
      </c>
    </row>
    <row r="923" spans="1:22" x14ac:dyDescent="0.25">
      <c r="A923">
        <v>884004</v>
      </c>
      <c r="B923" t="s">
        <v>3034</v>
      </c>
      <c r="C923">
        <v>500</v>
      </c>
      <c r="D923">
        <v>0</v>
      </c>
      <c r="E923" t="s">
        <v>303</v>
      </c>
      <c r="F923" t="s">
        <v>3460</v>
      </c>
      <c r="G923" t="s">
        <v>2666</v>
      </c>
      <c r="H923" t="s">
        <v>3463</v>
      </c>
      <c r="I923" t="s">
        <v>2667</v>
      </c>
      <c r="J923">
        <v>248</v>
      </c>
      <c r="K923">
        <v>0</v>
      </c>
      <c r="L923">
        <v>248</v>
      </c>
      <c r="M923">
        <v>1.5</v>
      </c>
      <c r="N923">
        <v>0.37</v>
      </c>
      <c r="O923">
        <v>0.32</v>
      </c>
      <c r="Q923" t="s">
        <v>336</v>
      </c>
      <c r="R923">
        <v>884004</v>
      </c>
      <c r="S923">
        <v>1500</v>
      </c>
      <c r="T923" t="s">
        <v>407</v>
      </c>
      <c r="U923" t="s">
        <v>3462</v>
      </c>
      <c r="V923">
        <v>8302500000</v>
      </c>
    </row>
    <row r="924" spans="1:22" x14ac:dyDescent="0.25">
      <c r="A924">
        <v>884005</v>
      </c>
      <c r="B924" t="s">
        <v>3034</v>
      </c>
      <c r="C924">
        <v>500</v>
      </c>
      <c r="D924">
        <v>0</v>
      </c>
      <c r="E924" t="s">
        <v>303</v>
      </c>
      <c r="F924" t="s">
        <v>3460</v>
      </c>
      <c r="G924" t="s">
        <v>2666</v>
      </c>
      <c r="H924" t="s">
        <v>3464</v>
      </c>
      <c r="I924" t="s">
        <v>2667</v>
      </c>
      <c r="J924">
        <v>490</v>
      </c>
      <c r="K924">
        <v>0</v>
      </c>
      <c r="L924">
        <v>490</v>
      </c>
      <c r="M924">
        <v>1.5</v>
      </c>
      <c r="N924">
        <v>0.37</v>
      </c>
      <c r="O924">
        <v>0.32</v>
      </c>
      <c r="Q924" t="s">
        <v>336</v>
      </c>
      <c r="R924">
        <v>884005</v>
      </c>
      <c r="S924">
        <v>1500</v>
      </c>
      <c r="T924" t="s">
        <v>407</v>
      </c>
      <c r="U924" t="s">
        <v>3462</v>
      </c>
      <c r="V924">
        <v>8302500000</v>
      </c>
    </row>
    <row r="925" spans="1:22" x14ac:dyDescent="0.25">
      <c r="A925">
        <v>884006</v>
      </c>
      <c r="B925" t="s">
        <v>3034</v>
      </c>
      <c r="C925">
        <v>500</v>
      </c>
      <c r="D925">
        <v>0</v>
      </c>
      <c r="E925" t="s">
        <v>303</v>
      </c>
      <c r="F925" t="s">
        <v>3460</v>
      </c>
      <c r="G925" t="s">
        <v>2666</v>
      </c>
      <c r="H925" t="s">
        <v>3465</v>
      </c>
      <c r="I925" t="s">
        <v>2667</v>
      </c>
      <c r="J925">
        <v>473</v>
      </c>
      <c r="K925">
        <v>3</v>
      </c>
      <c r="L925">
        <v>476</v>
      </c>
      <c r="M925">
        <v>1.5</v>
      </c>
      <c r="N925">
        <v>0.37</v>
      </c>
      <c r="O925">
        <v>0.32</v>
      </c>
      <c r="Q925" t="s">
        <v>336</v>
      </c>
      <c r="R925">
        <v>884006</v>
      </c>
      <c r="S925">
        <v>1500</v>
      </c>
      <c r="T925" t="s">
        <v>407</v>
      </c>
      <c r="U925" t="s">
        <v>3462</v>
      </c>
      <c r="V925">
        <v>8302500000</v>
      </c>
    </row>
    <row r="926" spans="1:22" x14ac:dyDescent="0.25">
      <c r="A926">
        <v>885070</v>
      </c>
      <c r="B926" t="s">
        <v>2993</v>
      </c>
      <c r="C926">
        <v>500</v>
      </c>
      <c r="D926">
        <v>0</v>
      </c>
      <c r="E926" t="s">
        <v>303</v>
      </c>
      <c r="F926" t="s">
        <v>1404</v>
      </c>
      <c r="G926" t="s">
        <v>1405</v>
      </c>
      <c r="H926" t="s">
        <v>2753</v>
      </c>
      <c r="I926" t="s">
        <v>1406</v>
      </c>
      <c r="J926">
        <v>231</v>
      </c>
      <c r="K926">
        <v>0</v>
      </c>
      <c r="L926">
        <v>231</v>
      </c>
      <c r="M926">
        <v>1.53</v>
      </c>
      <c r="N926">
        <v>0.39</v>
      </c>
      <c r="O926">
        <v>0.34</v>
      </c>
      <c r="Q926" t="s">
        <v>2754</v>
      </c>
      <c r="R926">
        <v>5907698030201</v>
      </c>
      <c r="S926">
        <v>500</v>
      </c>
      <c r="T926" t="s">
        <v>352</v>
      </c>
      <c r="U926" t="s">
        <v>2755</v>
      </c>
      <c r="V926">
        <v>7326200090</v>
      </c>
    </row>
    <row r="927" spans="1:22" x14ac:dyDescent="0.25">
      <c r="A927">
        <v>885071</v>
      </c>
      <c r="B927" t="s">
        <v>2993</v>
      </c>
      <c r="C927">
        <v>50</v>
      </c>
      <c r="D927">
        <v>0</v>
      </c>
      <c r="E927" t="s">
        <v>303</v>
      </c>
      <c r="F927" t="s">
        <v>1404</v>
      </c>
      <c r="G927" t="s">
        <v>1405</v>
      </c>
      <c r="H927" t="s">
        <v>2756</v>
      </c>
      <c r="I927" t="s">
        <v>1406</v>
      </c>
      <c r="J927">
        <v>63</v>
      </c>
      <c r="K927">
        <v>10</v>
      </c>
      <c r="L927">
        <v>73</v>
      </c>
      <c r="M927">
        <v>16.88</v>
      </c>
      <c r="N927">
        <v>4.2699999999999996</v>
      </c>
      <c r="O927">
        <v>3.79</v>
      </c>
      <c r="Q927" t="s">
        <v>2754</v>
      </c>
      <c r="R927">
        <v>5907698030218</v>
      </c>
      <c r="S927">
        <v>250</v>
      </c>
      <c r="T927" t="s">
        <v>352</v>
      </c>
      <c r="U927" t="s">
        <v>2755</v>
      </c>
      <c r="V927">
        <v>7326200090</v>
      </c>
    </row>
    <row r="928" spans="1:22" x14ac:dyDescent="0.25">
      <c r="A928">
        <v>885080</v>
      </c>
      <c r="B928" t="s">
        <v>3034</v>
      </c>
      <c r="C928">
        <v>200</v>
      </c>
      <c r="D928">
        <v>0</v>
      </c>
      <c r="E928" t="s">
        <v>303</v>
      </c>
      <c r="F928" t="s">
        <v>1404</v>
      </c>
      <c r="G928" t="s">
        <v>1405</v>
      </c>
      <c r="H928" t="s">
        <v>2723</v>
      </c>
      <c r="I928" t="s">
        <v>1406</v>
      </c>
      <c r="J928">
        <v>7032</v>
      </c>
      <c r="K928">
        <v>50</v>
      </c>
      <c r="L928">
        <v>7082</v>
      </c>
      <c r="M928">
        <v>1.17</v>
      </c>
      <c r="N928">
        <v>0.32</v>
      </c>
      <c r="O928">
        <v>0.27</v>
      </c>
      <c r="Q928" t="s">
        <v>2548</v>
      </c>
      <c r="R928">
        <v>5907698018278</v>
      </c>
      <c r="S928">
        <v>4500</v>
      </c>
      <c r="T928" t="s">
        <v>352</v>
      </c>
      <c r="V928">
        <v>7326200090</v>
      </c>
    </row>
    <row r="929" spans="1:22" x14ac:dyDescent="0.25">
      <c r="A929">
        <v>885084</v>
      </c>
      <c r="B929" t="s">
        <v>302</v>
      </c>
      <c r="C929">
        <v>288</v>
      </c>
      <c r="D929">
        <v>48</v>
      </c>
      <c r="E929" t="s">
        <v>303</v>
      </c>
      <c r="F929" t="s">
        <v>2293</v>
      </c>
      <c r="G929" t="s">
        <v>1405</v>
      </c>
      <c r="H929" t="s">
        <v>2294</v>
      </c>
      <c r="I929" t="s">
        <v>1406</v>
      </c>
      <c r="J929">
        <v>1500</v>
      </c>
      <c r="K929">
        <v>0</v>
      </c>
      <c r="L929">
        <v>1500</v>
      </c>
      <c r="M929">
        <v>1.73</v>
      </c>
      <c r="N929">
        <v>0.41</v>
      </c>
      <c r="O929">
        <v>0.37</v>
      </c>
      <c r="Q929" t="s">
        <v>2548</v>
      </c>
      <c r="R929">
        <v>5907698028901</v>
      </c>
      <c r="S929">
        <v>576</v>
      </c>
      <c r="T929" t="s">
        <v>352</v>
      </c>
      <c r="V929">
        <v>7326200090</v>
      </c>
    </row>
    <row r="930" spans="1:22" x14ac:dyDescent="0.25">
      <c r="A930">
        <v>885086</v>
      </c>
      <c r="B930" t="s">
        <v>302</v>
      </c>
      <c r="C930">
        <v>288</v>
      </c>
      <c r="D930">
        <v>0</v>
      </c>
      <c r="E930" t="s">
        <v>303</v>
      </c>
      <c r="F930" t="s">
        <v>2293</v>
      </c>
      <c r="G930" t="s">
        <v>1405</v>
      </c>
      <c r="H930" t="s">
        <v>2295</v>
      </c>
      <c r="I930" t="s">
        <v>1406</v>
      </c>
      <c r="J930">
        <v>466</v>
      </c>
      <c r="K930">
        <v>0</v>
      </c>
      <c r="L930">
        <v>466</v>
      </c>
      <c r="M930">
        <v>1.73</v>
      </c>
      <c r="N930">
        <v>0.41</v>
      </c>
      <c r="O930">
        <v>0.37</v>
      </c>
      <c r="Q930" t="s">
        <v>2548</v>
      </c>
      <c r="R930">
        <v>5907698028918</v>
      </c>
      <c r="S930">
        <v>800</v>
      </c>
      <c r="T930" t="s">
        <v>352</v>
      </c>
      <c r="V930">
        <v>7326200090</v>
      </c>
    </row>
    <row r="931" spans="1:22" x14ac:dyDescent="0.25">
      <c r="A931">
        <v>891703</v>
      </c>
      <c r="B931" t="s">
        <v>302</v>
      </c>
      <c r="D931">
        <v>5</v>
      </c>
      <c r="E931" t="s">
        <v>303</v>
      </c>
      <c r="F931" t="s">
        <v>2296</v>
      </c>
      <c r="G931" t="s">
        <v>2297</v>
      </c>
      <c r="H931" t="s">
        <v>2298</v>
      </c>
      <c r="I931" t="s">
        <v>2299</v>
      </c>
      <c r="J931">
        <v>63</v>
      </c>
      <c r="K931">
        <v>0</v>
      </c>
      <c r="L931">
        <v>63</v>
      </c>
      <c r="M931">
        <v>66.5</v>
      </c>
      <c r="N931">
        <v>17.34</v>
      </c>
      <c r="O931">
        <v>14.7</v>
      </c>
      <c r="Q931" t="s">
        <v>2300</v>
      </c>
      <c r="R931">
        <v>5907698024262</v>
      </c>
      <c r="S931">
        <v>5</v>
      </c>
      <c r="V931">
        <v>7616999099</v>
      </c>
    </row>
    <row r="932" spans="1:22" x14ac:dyDescent="0.25">
      <c r="A932">
        <v>893007</v>
      </c>
      <c r="B932" t="s">
        <v>2993</v>
      </c>
      <c r="C932">
        <v>1</v>
      </c>
      <c r="E932" t="s">
        <v>303</v>
      </c>
      <c r="F932" t="s">
        <v>3466</v>
      </c>
      <c r="G932" t="s">
        <v>2480</v>
      </c>
      <c r="H932" t="s">
        <v>2541</v>
      </c>
      <c r="I932" t="s">
        <v>2481</v>
      </c>
      <c r="J932">
        <v>22</v>
      </c>
      <c r="K932">
        <v>0</v>
      </c>
      <c r="L932">
        <v>22</v>
      </c>
      <c r="M932">
        <v>292.24</v>
      </c>
      <c r="N932">
        <v>70.540000000000006</v>
      </c>
      <c r="O932">
        <v>64.78</v>
      </c>
      <c r="Q932" t="s">
        <v>2548</v>
      </c>
      <c r="R932">
        <v>5907698029670</v>
      </c>
      <c r="S932">
        <v>10</v>
      </c>
      <c r="T932" t="s">
        <v>650</v>
      </c>
      <c r="V932">
        <v>9403700000</v>
      </c>
    </row>
    <row r="933" spans="1:22" x14ac:dyDescent="0.25">
      <c r="A933">
        <v>893050</v>
      </c>
      <c r="B933" t="s">
        <v>2993</v>
      </c>
      <c r="C933">
        <v>1</v>
      </c>
      <c r="E933" t="s">
        <v>303</v>
      </c>
      <c r="F933" t="s">
        <v>3785</v>
      </c>
      <c r="G933" t="s">
        <v>3786</v>
      </c>
      <c r="H933" t="s">
        <v>3787</v>
      </c>
      <c r="I933" t="s">
        <v>3788</v>
      </c>
      <c r="J933">
        <v>0</v>
      </c>
      <c r="K933">
        <v>0</v>
      </c>
      <c r="L933">
        <v>0</v>
      </c>
      <c r="M933">
        <v>105.09</v>
      </c>
      <c r="N933">
        <v>27.71</v>
      </c>
      <c r="O933">
        <v>23.46</v>
      </c>
      <c r="Q933" t="s">
        <v>3761</v>
      </c>
      <c r="R933">
        <v>893050</v>
      </c>
      <c r="S933">
        <v>100</v>
      </c>
      <c r="T933" t="s">
        <v>650</v>
      </c>
    </row>
    <row r="934" spans="1:22" x14ac:dyDescent="0.25">
      <c r="A934">
        <v>893056</v>
      </c>
      <c r="B934" t="s">
        <v>2993</v>
      </c>
      <c r="C934">
        <v>1</v>
      </c>
      <c r="E934" t="s">
        <v>303</v>
      </c>
      <c r="F934" t="s">
        <v>3785</v>
      </c>
      <c r="G934" t="s">
        <v>3786</v>
      </c>
      <c r="H934" t="s">
        <v>3789</v>
      </c>
      <c r="I934" t="s">
        <v>3788</v>
      </c>
      <c r="J934">
        <v>0</v>
      </c>
      <c r="K934">
        <v>0</v>
      </c>
      <c r="L934">
        <v>0</v>
      </c>
      <c r="M934">
        <v>76.37</v>
      </c>
      <c r="N934">
        <v>20.13</v>
      </c>
      <c r="O934">
        <v>17.04</v>
      </c>
      <c r="Q934" t="s">
        <v>3761</v>
      </c>
      <c r="R934">
        <v>893056</v>
      </c>
      <c r="S934">
        <v>100</v>
      </c>
      <c r="T934" t="s">
        <v>650</v>
      </c>
    </row>
    <row r="935" spans="1:22" x14ac:dyDescent="0.25">
      <c r="A935">
        <v>900000</v>
      </c>
      <c r="B935" t="s">
        <v>302</v>
      </c>
      <c r="C935">
        <v>50</v>
      </c>
      <c r="E935" t="s">
        <v>303</v>
      </c>
      <c r="F935" t="s">
        <v>3467</v>
      </c>
      <c r="G935" t="s">
        <v>1407</v>
      </c>
      <c r="H935" t="s">
        <v>1408</v>
      </c>
      <c r="I935" t="s">
        <v>1409</v>
      </c>
      <c r="J935">
        <v>719</v>
      </c>
      <c r="K935">
        <v>1</v>
      </c>
      <c r="L935">
        <v>720</v>
      </c>
      <c r="M935">
        <v>4.4800000000000004</v>
      </c>
      <c r="N935">
        <v>1.1499999999999999</v>
      </c>
      <c r="O935">
        <v>0.97</v>
      </c>
      <c r="Q935" t="s">
        <v>336</v>
      </c>
      <c r="R935">
        <v>5907698018292</v>
      </c>
      <c r="S935">
        <v>1200</v>
      </c>
      <c r="T935" t="s">
        <v>360</v>
      </c>
      <c r="V935">
        <v>8201300000</v>
      </c>
    </row>
    <row r="936" spans="1:22" x14ac:dyDescent="0.25">
      <c r="A936">
        <v>900100</v>
      </c>
      <c r="B936" t="s">
        <v>302</v>
      </c>
      <c r="C936">
        <v>50</v>
      </c>
      <c r="E936" t="s">
        <v>303</v>
      </c>
      <c r="F936" t="s">
        <v>3468</v>
      </c>
      <c r="G936" t="s">
        <v>1410</v>
      </c>
      <c r="H936" t="s">
        <v>1411</v>
      </c>
      <c r="I936" t="s">
        <v>1412</v>
      </c>
      <c r="J936">
        <v>27</v>
      </c>
      <c r="K936">
        <v>0</v>
      </c>
      <c r="L936">
        <v>27</v>
      </c>
      <c r="M936">
        <v>7.55</v>
      </c>
      <c r="N936">
        <v>1.79</v>
      </c>
      <c r="O936">
        <v>1.65</v>
      </c>
      <c r="Q936" t="s">
        <v>3744</v>
      </c>
      <c r="R936">
        <v>5907698018308</v>
      </c>
      <c r="S936">
        <v>700</v>
      </c>
      <c r="T936" t="s">
        <v>360</v>
      </c>
      <c r="V936">
        <v>8201300000</v>
      </c>
    </row>
    <row r="937" spans="1:22" x14ac:dyDescent="0.25">
      <c r="A937">
        <v>900110</v>
      </c>
      <c r="B937" t="s">
        <v>302</v>
      </c>
      <c r="C937">
        <v>24</v>
      </c>
      <c r="E937" t="s">
        <v>303</v>
      </c>
      <c r="F937" t="s">
        <v>3468</v>
      </c>
      <c r="G937" t="s">
        <v>1410</v>
      </c>
      <c r="H937" t="s">
        <v>1413</v>
      </c>
      <c r="I937" t="s">
        <v>1412</v>
      </c>
      <c r="J937">
        <v>362</v>
      </c>
      <c r="K937">
        <v>0</v>
      </c>
      <c r="L937">
        <v>362</v>
      </c>
      <c r="M937">
        <v>10.99</v>
      </c>
      <c r="N937">
        <v>2.77</v>
      </c>
      <c r="O937">
        <v>2.46</v>
      </c>
      <c r="Q937" t="s">
        <v>3744</v>
      </c>
      <c r="R937">
        <v>5907698018315</v>
      </c>
      <c r="S937">
        <v>600</v>
      </c>
      <c r="T937" t="s">
        <v>360</v>
      </c>
      <c r="U937" t="s">
        <v>3064</v>
      </c>
      <c r="V937">
        <v>8201300000</v>
      </c>
    </row>
    <row r="938" spans="1:22" x14ac:dyDescent="0.25">
      <c r="A938">
        <v>900112</v>
      </c>
      <c r="B938" t="s">
        <v>302</v>
      </c>
      <c r="C938">
        <v>24</v>
      </c>
      <c r="E938" t="s">
        <v>303</v>
      </c>
      <c r="F938" t="s">
        <v>1414</v>
      </c>
      <c r="G938" t="s">
        <v>1415</v>
      </c>
      <c r="H938" t="s">
        <v>1416</v>
      </c>
      <c r="I938" t="s">
        <v>1412</v>
      </c>
      <c r="J938">
        <v>0</v>
      </c>
      <c r="K938">
        <v>0</v>
      </c>
      <c r="L938">
        <v>0</v>
      </c>
      <c r="M938">
        <v>11.59</v>
      </c>
      <c r="N938">
        <v>2.98</v>
      </c>
      <c r="O938">
        <v>2.5499999999999998</v>
      </c>
      <c r="Q938" t="s">
        <v>3026</v>
      </c>
      <c r="R938">
        <v>5907698019367</v>
      </c>
      <c r="S938">
        <v>420</v>
      </c>
      <c r="T938" t="s">
        <v>360</v>
      </c>
      <c r="V938">
        <v>8201300000</v>
      </c>
    </row>
    <row r="939" spans="1:22" x14ac:dyDescent="0.25">
      <c r="A939">
        <v>900120</v>
      </c>
      <c r="B939" t="s">
        <v>302</v>
      </c>
      <c r="C939">
        <v>25</v>
      </c>
      <c r="E939" t="s">
        <v>303</v>
      </c>
      <c r="F939" t="s">
        <v>2301</v>
      </c>
      <c r="G939" t="s">
        <v>2302</v>
      </c>
      <c r="H939" t="s">
        <v>2303</v>
      </c>
      <c r="I939" t="s">
        <v>2304</v>
      </c>
      <c r="J939">
        <v>313</v>
      </c>
      <c r="K939">
        <v>0</v>
      </c>
      <c r="L939">
        <v>313</v>
      </c>
      <c r="M939">
        <v>5.71</v>
      </c>
      <c r="N939">
        <v>1.52</v>
      </c>
      <c r="O939">
        <v>1.3</v>
      </c>
      <c r="Q939" t="s">
        <v>336</v>
      </c>
      <c r="R939">
        <v>5907698018322</v>
      </c>
      <c r="S939">
        <v>300</v>
      </c>
      <c r="T939" t="s">
        <v>360</v>
      </c>
      <c r="U939" t="s">
        <v>2598</v>
      </c>
      <c r="V939">
        <v>8201300000</v>
      </c>
    </row>
    <row r="940" spans="1:22" x14ac:dyDescent="0.25">
      <c r="A940">
        <v>900130</v>
      </c>
      <c r="B940" t="s">
        <v>302</v>
      </c>
      <c r="C940">
        <v>5</v>
      </c>
      <c r="D940">
        <v>5</v>
      </c>
      <c r="E940" t="s">
        <v>303</v>
      </c>
      <c r="F940" t="s">
        <v>2305</v>
      </c>
      <c r="G940" t="s">
        <v>2306</v>
      </c>
      <c r="H940" t="s">
        <v>2482</v>
      </c>
      <c r="I940" t="s">
        <v>2307</v>
      </c>
      <c r="J940">
        <v>250</v>
      </c>
      <c r="K940">
        <v>50</v>
      </c>
      <c r="L940">
        <v>300</v>
      </c>
      <c r="M940">
        <v>1.99</v>
      </c>
      <c r="N940">
        <v>0.52</v>
      </c>
      <c r="O940">
        <v>0.44</v>
      </c>
      <c r="Q940" t="s">
        <v>1047</v>
      </c>
      <c r="R940">
        <v>5907698024941</v>
      </c>
      <c r="S940">
        <v>60</v>
      </c>
      <c r="T940" t="s">
        <v>331</v>
      </c>
      <c r="V940">
        <v>3926909790</v>
      </c>
    </row>
    <row r="941" spans="1:22" x14ac:dyDescent="0.25">
      <c r="A941">
        <v>900132</v>
      </c>
      <c r="B941" t="s">
        <v>302</v>
      </c>
      <c r="C941">
        <v>5</v>
      </c>
      <c r="D941">
        <v>5</v>
      </c>
      <c r="E941" t="s">
        <v>303</v>
      </c>
      <c r="F941" t="s">
        <v>2305</v>
      </c>
      <c r="G941" t="s">
        <v>2306</v>
      </c>
      <c r="H941" t="s">
        <v>2483</v>
      </c>
      <c r="I941" t="s">
        <v>2308</v>
      </c>
      <c r="J941">
        <v>177</v>
      </c>
      <c r="K941">
        <v>0</v>
      </c>
      <c r="L941">
        <v>177</v>
      </c>
      <c r="M941">
        <v>3.46</v>
      </c>
      <c r="N941">
        <v>0.91</v>
      </c>
      <c r="O941">
        <v>0.77</v>
      </c>
      <c r="Q941" t="s">
        <v>1047</v>
      </c>
      <c r="R941">
        <v>5907698023548</v>
      </c>
      <c r="S941">
        <v>50</v>
      </c>
      <c r="T941" t="s">
        <v>331</v>
      </c>
      <c r="V941">
        <v>3926909790</v>
      </c>
    </row>
    <row r="942" spans="1:22" x14ac:dyDescent="0.25">
      <c r="A942">
        <v>900142</v>
      </c>
      <c r="B942" t="s">
        <v>302</v>
      </c>
      <c r="C942">
        <v>5</v>
      </c>
      <c r="D942">
        <v>5</v>
      </c>
      <c r="E942" t="s">
        <v>303</v>
      </c>
      <c r="F942" t="s">
        <v>3469</v>
      </c>
      <c r="G942" t="s">
        <v>2309</v>
      </c>
      <c r="H942" t="s">
        <v>2310</v>
      </c>
      <c r="I942" t="s">
        <v>2311</v>
      </c>
      <c r="J942">
        <v>280</v>
      </c>
      <c r="K942">
        <v>15</v>
      </c>
      <c r="L942">
        <v>295</v>
      </c>
      <c r="M942">
        <v>3.08</v>
      </c>
      <c r="N942">
        <v>0.81</v>
      </c>
      <c r="O942">
        <v>0.69</v>
      </c>
      <c r="Q942" t="s">
        <v>1047</v>
      </c>
      <c r="R942">
        <v>5907698024873</v>
      </c>
      <c r="S942">
        <v>60</v>
      </c>
      <c r="T942" t="s">
        <v>331</v>
      </c>
      <c r="V942">
        <v>3926909790</v>
      </c>
    </row>
    <row r="943" spans="1:22" x14ac:dyDescent="0.25">
      <c r="A943">
        <v>900144</v>
      </c>
      <c r="B943" t="s">
        <v>302</v>
      </c>
      <c r="C943">
        <v>5</v>
      </c>
      <c r="D943">
        <v>5</v>
      </c>
      <c r="E943" t="s">
        <v>303</v>
      </c>
      <c r="F943" t="s">
        <v>3469</v>
      </c>
      <c r="G943" t="s">
        <v>2309</v>
      </c>
      <c r="H943" t="s">
        <v>2312</v>
      </c>
      <c r="I943" t="s">
        <v>2311</v>
      </c>
      <c r="J943">
        <v>87</v>
      </c>
      <c r="K943">
        <v>0</v>
      </c>
      <c r="L943">
        <v>87</v>
      </c>
      <c r="M943">
        <v>4.9400000000000004</v>
      </c>
      <c r="N943">
        <v>1.31</v>
      </c>
      <c r="O943">
        <v>1.1100000000000001</v>
      </c>
      <c r="Q943" t="s">
        <v>1047</v>
      </c>
      <c r="R943">
        <v>5907698024880</v>
      </c>
      <c r="S943">
        <v>20</v>
      </c>
      <c r="T943" t="s">
        <v>331</v>
      </c>
      <c r="V943">
        <v>3926909790</v>
      </c>
    </row>
    <row r="944" spans="1:22" x14ac:dyDescent="0.25">
      <c r="A944">
        <v>900145</v>
      </c>
      <c r="B944" t="s">
        <v>302</v>
      </c>
      <c r="C944">
        <v>5</v>
      </c>
      <c r="D944">
        <v>5</v>
      </c>
      <c r="E944" t="s">
        <v>303</v>
      </c>
      <c r="F944" t="s">
        <v>3470</v>
      </c>
      <c r="G944" t="s">
        <v>2313</v>
      </c>
      <c r="H944" t="s">
        <v>2314</v>
      </c>
      <c r="I944" t="s">
        <v>2315</v>
      </c>
      <c r="J944">
        <v>101</v>
      </c>
      <c r="K944">
        <v>0</v>
      </c>
      <c r="L944">
        <v>101</v>
      </c>
      <c r="M944">
        <v>3.71</v>
      </c>
      <c r="N944">
        <v>0.99</v>
      </c>
      <c r="O944">
        <v>0.83</v>
      </c>
      <c r="Q944" t="s">
        <v>1047</v>
      </c>
      <c r="R944">
        <v>5907698024897</v>
      </c>
      <c r="S944">
        <v>40</v>
      </c>
      <c r="T944" t="s">
        <v>331</v>
      </c>
      <c r="V944">
        <v>3926909790</v>
      </c>
    </row>
    <row r="945" spans="1:22" x14ac:dyDescent="0.25">
      <c r="A945">
        <v>900146</v>
      </c>
      <c r="B945" t="s">
        <v>302</v>
      </c>
      <c r="C945">
        <v>5</v>
      </c>
      <c r="D945">
        <v>5</v>
      </c>
      <c r="E945" t="s">
        <v>303</v>
      </c>
      <c r="F945" t="s">
        <v>3469</v>
      </c>
      <c r="G945" t="s">
        <v>2309</v>
      </c>
      <c r="H945" t="s">
        <v>2316</v>
      </c>
      <c r="I945" t="s">
        <v>2317</v>
      </c>
      <c r="J945">
        <v>302</v>
      </c>
      <c r="K945">
        <v>0</v>
      </c>
      <c r="L945">
        <v>302</v>
      </c>
      <c r="M945">
        <v>5.66</v>
      </c>
      <c r="N945">
        <v>1.48</v>
      </c>
      <c r="O945">
        <v>1.26</v>
      </c>
      <c r="Q945" t="s">
        <v>1047</v>
      </c>
      <c r="R945">
        <v>5907698024903</v>
      </c>
      <c r="S945">
        <v>50</v>
      </c>
      <c r="T945" t="s">
        <v>331</v>
      </c>
      <c r="V945">
        <v>3926909790</v>
      </c>
    </row>
    <row r="946" spans="1:22" x14ac:dyDescent="0.25">
      <c r="A946">
        <v>900147</v>
      </c>
      <c r="B946" t="s">
        <v>302</v>
      </c>
      <c r="C946">
        <v>5</v>
      </c>
      <c r="D946">
        <v>5</v>
      </c>
      <c r="E946" t="s">
        <v>303</v>
      </c>
      <c r="F946" t="s">
        <v>3470</v>
      </c>
      <c r="G946" t="s">
        <v>2318</v>
      </c>
      <c r="H946" t="s">
        <v>2319</v>
      </c>
      <c r="I946" t="s">
        <v>2315</v>
      </c>
      <c r="J946">
        <v>150</v>
      </c>
      <c r="K946">
        <v>22</v>
      </c>
      <c r="L946">
        <v>172</v>
      </c>
      <c r="M946">
        <v>4.13</v>
      </c>
      <c r="N946">
        <v>1.08</v>
      </c>
      <c r="O946">
        <v>0.92</v>
      </c>
      <c r="Q946" t="s">
        <v>1047</v>
      </c>
      <c r="R946">
        <v>5907698024910</v>
      </c>
      <c r="S946">
        <v>30</v>
      </c>
      <c r="T946" t="s">
        <v>331</v>
      </c>
      <c r="V946">
        <v>3926909790</v>
      </c>
    </row>
    <row r="947" spans="1:22" x14ac:dyDescent="0.25">
      <c r="A947">
        <v>900148</v>
      </c>
      <c r="B947" t="s">
        <v>302</v>
      </c>
      <c r="C947">
        <v>5</v>
      </c>
      <c r="D947">
        <v>5</v>
      </c>
      <c r="E947" t="s">
        <v>303</v>
      </c>
      <c r="F947" t="s">
        <v>3469</v>
      </c>
      <c r="G947" t="s">
        <v>2309</v>
      </c>
      <c r="H947" t="s">
        <v>2320</v>
      </c>
      <c r="I947" t="s">
        <v>2311</v>
      </c>
      <c r="J947">
        <v>92</v>
      </c>
      <c r="K947">
        <v>0</v>
      </c>
      <c r="L947">
        <v>92</v>
      </c>
      <c r="M947">
        <v>7.55</v>
      </c>
      <c r="N947">
        <v>2</v>
      </c>
      <c r="O947">
        <v>1.69</v>
      </c>
      <c r="Q947" t="s">
        <v>1047</v>
      </c>
      <c r="R947">
        <v>5907698024927</v>
      </c>
      <c r="S947">
        <v>20</v>
      </c>
      <c r="T947" t="s">
        <v>331</v>
      </c>
      <c r="V947">
        <v>3926909790</v>
      </c>
    </row>
    <row r="948" spans="1:22" x14ac:dyDescent="0.25">
      <c r="A948">
        <v>900149</v>
      </c>
      <c r="B948" t="s">
        <v>302</v>
      </c>
      <c r="C948">
        <v>5</v>
      </c>
      <c r="D948">
        <v>5</v>
      </c>
      <c r="E948" t="s">
        <v>303</v>
      </c>
      <c r="F948" t="s">
        <v>3470</v>
      </c>
      <c r="G948" t="s">
        <v>2313</v>
      </c>
      <c r="H948" t="s">
        <v>2321</v>
      </c>
      <c r="I948" t="s">
        <v>2315</v>
      </c>
      <c r="J948">
        <v>60</v>
      </c>
      <c r="K948">
        <v>0</v>
      </c>
      <c r="L948">
        <v>60</v>
      </c>
      <c r="M948">
        <v>5.46</v>
      </c>
      <c r="N948">
        <v>1.46</v>
      </c>
      <c r="O948">
        <v>1.22</v>
      </c>
      <c r="Q948" t="s">
        <v>1047</v>
      </c>
      <c r="R948">
        <v>5907698024934</v>
      </c>
      <c r="S948">
        <v>20</v>
      </c>
      <c r="T948" t="s">
        <v>331</v>
      </c>
      <c r="V948">
        <v>3926909790</v>
      </c>
    </row>
    <row r="949" spans="1:22" x14ac:dyDescent="0.25">
      <c r="A949">
        <v>900155</v>
      </c>
      <c r="B949" t="s">
        <v>302</v>
      </c>
      <c r="C949">
        <v>10</v>
      </c>
      <c r="E949" t="s">
        <v>303</v>
      </c>
      <c r="F949" t="s">
        <v>3471</v>
      </c>
      <c r="G949" t="s">
        <v>1417</v>
      </c>
      <c r="H949" t="s">
        <v>1418</v>
      </c>
      <c r="I949" t="s">
        <v>1419</v>
      </c>
      <c r="J949">
        <v>0</v>
      </c>
      <c r="K949">
        <v>0</v>
      </c>
      <c r="L949">
        <v>0</v>
      </c>
      <c r="M949">
        <v>3.12</v>
      </c>
      <c r="N949">
        <v>0.83</v>
      </c>
      <c r="O949">
        <v>0.72</v>
      </c>
      <c r="Q949" t="s">
        <v>2453</v>
      </c>
      <c r="R949">
        <v>5907698028369</v>
      </c>
      <c r="S949">
        <v>0</v>
      </c>
      <c r="T949" t="s">
        <v>331</v>
      </c>
      <c r="V949">
        <v>4417000000</v>
      </c>
    </row>
    <row r="950" spans="1:22" x14ac:dyDescent="0.25">
      <c r="A950">
        <v>900158</v>
      </c>
      <c r="B950" t="s">
        <v>302</v>
      </c>
      <c r="C950">
        <v>25</v>
      </c>
      <c r="E950" t="s">
        <v>303</v>
      </c>
      <c r="F950" t="s">
        <v>1420</v>
      </c>
      <c r="G950" t="s">
        <v>1417</v>
      </c>
      <c r="H950" t="s">
        <v>1421</v>
      </c>
      <c r="I950" t="s">
        <v>1419</v>
      </c>
      <c r="J950">
        <v>0</v>
      </c>
      <c r="K950">
        <v>0</v>
      </c>
      <c r="L950">
        <v>0</v>
      </c>
      <c r="M950">
        <v>2.61</v>
      </c>
      <c r="N950">
        <v>0.69</v>
      </c>
      <c r="O950">
        <v>0.6</v>
      </c>
      <c r="Q950" t="s">
        <v>2453</v>
      </c>
      <c r="R950">
        <v>5907698026440</v>
      </c>
      <c r="S950">
        <v>0</v>
      </c>
      <c r="T950" t="s">
        <v>331</v>
      </c>
      <c r="V950">
        <v>4417000000</v>
      </c>
    </row>
    <row r="951" spans="1:22" x14ac:dyDescent="0.25">
      <c r="A951">
        <v>900159</v>
      </c>
      <c r="B951" t="s">
        <v>302</v>
      </c>
      <c r="C951">
        <v>25</v>
      </c>
      <c r="E951" t="s">
        <v>303</v>
      </c>
      <c r="F951" t="s">
        <v>1420</v>
      </c>
      <c r="G951" t="s">
        <v>1417</v>
      </c>
      <c r="H951" t="s">
        <v>2322</v>
      </c>
      <c r="I951" t="s">
        <v>1419</v>
      </c>
      <c r="J951">
        <v>0</v>
      </c>
      <c r="K951">
        <v>1</v>
      </c>
      <c r="L951">
        <v>1</v>
      </c>
      <c r="M951">
        <v>3.38</v>
      </c>
      <c r="N951">
        <v>0.9</v>
      </c>
      <c r="O951">
        <v>0.77</v>
      </c>
      <c r="Q951" t="s">
        <v>2453</v>
      </c>
      <c r="R951">
        <v>5907698026716</v>
      </c>
      <c r="S951">
        <v>25</v>
      </c>
      <c r="T951" t="s">
        <v>331</v>
      </c>
      <c r="V951">
        <v>4417000000</v>
      </c>
    </row>
    <row r="952" spans="1:22" x14ac:dyDescent="0.25">
      <c r="A952">
        <v>900162</v>
      </c>
      <c r="B952" t="s">
        <v>302</v>
      </c>
      <c r="C952">
        <v>12</v>
      </c>
      <c r="E952" t="s">
        <v>303</v>
      </c>
      <c r="F952" t="s">
        <v>3472</v>
      </c>
      <c r="G952" t="s">
        <v>2323</v>
      </c>
      <c r="H952" t="s">
        <v>2324</v>
      </c>
      <c r="I952" t="s">
        <v>2325</v>
      </c>
      <c r="J952">
        <v>43</v>
      </c>
      <c r="K952">
        <v>0</v>
      </c>
      <c r="L952">
        <v>43</v>
      </c>
      <c r="M952">
        <v>4.59</v>
      </c>
      <c r="N952">
        <v>1.21</v>
      </c>
      <c r="O952">
        <v>1.03</v>
      </c>
      <c r="Q952" t="s">
        <v>2453</v>
      </c>
      <c r="R952">
        <v>5907698026075</v>
      </c>
      <c r="S952">
        <v>48</v>
      </c>
      <c r="T952" t="s">
        <v>331</v>
      </c>
      <c r="V952">
        <v>9603909100</v>
      </c>
    </row>
    <row r="953" spans="1:22" x14ac:dyDescent="0.25">
      <c r="A953">
        <v>900163</v>
      </c>
      <c r="B953" t="s">
        <v>302</v>
      </c>
      <c r="C953">
        <v>10</v>
      </c>
      <c r="E953" t="s">
        <v>303</v>
      </c>
      <c r="F953" t="s">
        <v>3473</v>
      </c>
      <c r="G953" t="s">
        <v>1422</v>
      </c>
      <c r="H953" t="s">
        <v>2326</v>
      </c>
      <c r="I953" t="s">
        <v>2325</v>
      </c>
      <c r="J953">
        <v>130</v>
      </c>
      <c r="K953">
        <v>0</v>
      </c>
      <c r="L953">
        <v>130</v>
      </c>
      <c r="M953">
        <v>4.76</v>
      </c>
      <c r="N953">
        <v>1.25</v>
      </c>
      <c r="O953">
        <v>1.07</v>
      </c>
      <c r="Q953" t="s">
        <v>2453</v>
      </c>
      <c r="R953">
        <v>5907698026082</v>
      </c>
      <c r="S953">
        <v>80</v>
      </c>
      <c r="T953" t="s">
        <v>331</v>
      </c>
      <c r="V953">
        <v>9603909100</v>
      </c>
    </row>
    <row r="954" spans="1:22" x14ac:dyDescent="0.25">
      <c r="A954">
        <v>900164</v>
      </c>
      <c r="B954" t="s">
        <v>302</v>
      </c>
      <c r="C954">
        <v>10</v>
      </c>
      <c r="E954" t="s">
        <v>303</v>
      </c>
      <c r="F954" t="s">
        <v>3473</v>
      </c>
      <c r="G954" t="s">
        <v>1422</v>
      </c>
      <c r="H954" t="s">
        <v>2327</v>
      </c>
      <c r="I954" t="s">
        <v>2325</v>
      </c>
      <c r="J954">
        <v>129</v>
      </c>
      <c r="K954">
        <v>70</v>
      </c>
      <c r="L954">
        <v>199</v>
      </c>
      <c r="M954">
        <v>5.69</v>
      </c>
      <c r="N954">
        <v>1.5</v>
      </c>
      <c r="O954">
        <v>1.27</v>
      </c>
      <c r="Q954" t="s">
        <v>2453</v>
      </c>
      <c r="R954">
        <v>5907698026099</v>
      </c>
      <c r="S954">
        <v>240</v>
      </c>
      <c r="T954" t="s">
        <v>331</v>
      </c>
      <c r="V954">
        <v>9603909100</v>
      </c>
    </row>
    <row r="955" spans="1:22" x14ac:dyDescent="0.25">
      <c r="A955">
        <v>900165</v>
      </c>
      <c r="B955" t="s">
        <v>302</v>
      </c>
      <c r="C955">
        <v>10</v>
      </c>
      <c r="E955" t="s">
        <v>303</v>
      </c>
      <c r="F955" t="s">
        <v>3473</v>
      </c>
      <c r="G955" t="s">
        <v>1422</v>
      </c>
      <c r="H955" t="s">
        <v>2328</v>
      </c>
      <c r="I955" t="s">
        <v>2325</v>
      </c>
      <c r="J955">
        <v>64</v>
      </c>
      <c r="K955">
        <v>30</v>
      </c>
      <c r="L955">
        <v>94</v>
      </c>
      <c r="M955">
        <v>6.94</v>
      </c>
      <c r="N955">
        <v>1.82</v>
      </c>
      <c r="O955">
        <v>1.55</v>
      </c>
      <c r="Q955" t="s">
        <v>2453</v>
      </c>
      <c r="R955">
        <v>5907698026105</v>
      </c>
      <c r="S955">
        <v>80</v>
      </c>
      <c r="T955" t="s">
        <v>331</v>
      </c>
      <c r="V955">
        <v>9603909100</v>
      </c>
    </row>
    <row r="956" spans="1:22" x14ac:dyDescent="0.25">
      <c r="A956">
        <v>900166</v>
      </c>
      <c r="B956" t="s">
        <v>302</v>
      </c>
      <c r="C956">
        <v>10</v>
      </c>
      <c r="E956" t="s">
        <v>303</v>
      </c>
      <c r="F956" t="s">
        <v>3473</v>
      </c>
      <c r="G956" t="s">
        <v>1422</v>
      </c>
      <c r="H956" t="s">
        <v>1423</v>
      </c>
      <c r="I956" t="s">
        <v>1424</v>
      </c>
      <c r="J956">
        <v>261</v>
      </c>
      <c r="K956">
        <v>20</v>
      </c>
      <c r="L956">
        <v>281</v>
      </c>
      <c r="M956">
        <v>8.66</v>
      </c>
      <c r="N956">
        <v>2.2799999999999998</v>
      </c>
      <c r="O956">
        <v>1.94</v>
      </c>
      <c r="Q956" t="s">
        <v>2453</v>
      </c>
      <c r="R956">
        <v>5907698026112</v>
      </c>
      <c r="S956">
        <v>80</v>
      </c>
      <c r="T956" t="s">
        <v>331</v>
      </c>
      <c r="V956">
        <v>9603909100</v>
      </c>
    </row>
    <row r="957" spans="1:22" x14ac:dyDescent="0.25">
      <c r="A957">
        <v>900168</v>
      </c>
      <c r="B957" t="s">
        <v>302</v>
      </c>
      <c r="C957">
        <v>10</v>
      </c>
      <c r="E957" t="s">
        <v>303</v>
      </c>
      <c r="F957" t="s">
        <v>3473</v>
      </c>
      <c r="G957" t="s">
        <v>1422</v>
      </c>
      <c r="H957" t="s">
        <v>1425</v>
      </c>
      <c r="I957" t="s">
        <v>1424</v>
      </c>
      <c r="J957">
        <v>11</v>
      </c>
      <c r="K957">
        <v>1</v>
      </c>
      <c r="L957">
        <v>12</v>
      </c>
      <c r="M957">
        <v>11.57</v>
      </c>
      <c r="N957">
        <v>3.07</v>
      </c>
      <c r="O957">
        <v>2.63</v>
      </c>
      <c r="Q957" t="s">
        <v>2453</v>
      </c>
      <c r="R957">
        <v>5907698026433</v>
      </c>
      <c r="S957">
        <v>1</v>
      </c>
      <c r="T957" t="s">
        <v>331</v>
      </c>
      <c r="V957">
        <v>9603909100</v>
      </c>
    </row>
    <row r="958" spans="1:22" x14ac:dyDescent="0.25">
      <c r="A958">
        <v>900171</v>
      </c>
      <c r="B958" t="s">
        <v>302</v>
      </c>
      <c r="E958" t="s">
        <v>303</v>
      </c>
      <c r="F958" t="s">
        <v>3474</v>
      </c>
      <c r="G958" t="s">
        <v>2329</v>
      </c>
      <c r="H958" t="s">
        <v>2330</v>
      </c>
      <c r="I958" t="s">
        <v>2331</v>
      </c>
      <c r="J958">
        <v>27</v>
      </c>
      <c r="K958">
        <v>0</v>
      </c>
      <c r="L958">
        <v>27</v>
      </c>
      <c r="M958">
        <v>7.32</v>
      </c>
      <c r="N958">
        <v>1.85</v>
      </c>
      <c r="O958">
        <v>1.64</v>
      </c>
      <c r="Q958" t="s">
        <v>2332</v>
      </c>
      <c r="R958">
        <v>5907698028888</v>
      </c>
      <c r="S958">
        <v>10</v>
      </c>
      <c r="V958">
        <v>3926909790</v>
      </c>
    </row>
    <row r="959" spans="1:22" x14ac:dyDescent="0.25">
      <c r="A959">
        <v>900173</v>
      </c>
      <c r="B959" t="s">
        <v>302</v>
      </c>
      <c r="E959" t="s">
        <v>303</v>
      </c>
      <c r="F959" t="s">
        <v>3474</v>
      </c>
      <c r="G959" t="s">
        <v>2329</v>
      </c>
      <c r="H959" t="s">
        <v>2333</v>
      </c>
      <c r="I959" t="s">
        <v>2331</v>
      </c>
      <c r="J959">
        <v>29</v>
      </c>
      <c r="K959">
        <v>6</v>
      </c>
      <c r="L959">
        <v>35</v>
      </c>
      <c r="M959">
        <v>8.68</v>
      </c>
      <c r="N959">
        <v>2.1800000000000002</v>
      </c>
      <c r="O959">
        <v>1.94</v>
      </c>
      <c r="Q959" t="s">
        <v>2332</v>
      </c>
      <c r="R959">
        <v>5907698028895</v>
      </c>
      <c r="S959">
        <v>10</v>
      </c>
      <c r="V959">
        <v>3926909790</v>
      </c>
    </row>
    <row r="960" spans="1:22" x14ac:dyDescent="0.25">
      <c r="A960">
        <v>900174</v>
      </c>
      <c r="B960" t="s">
        <v>2993</v>
      </c>
      <c r="C960">
        <v>30</v>
      </c>
      <c r="E960" t="s">
        <v>303</v>
      </c>
      <c r="F960" t="s">
        <v>3475</v>
      </c>
      <c r="G960" t="s">
        <v>3476</v>
      </c>
      <c r="H960" t="s">
        <v>2982</v>
      </c>
      <c r="I960" t="s">
        <v>3477</v>
      </c>
      <c r="J960">
        <v>358</v>
      </c>
      <c r="K960">
        <v>1</v>
      </c>
      <c r="L960">
        <v>359</v>
      </c>
      <c r="M960">
        <v>9.36</v>
      </c>
      <c r="N960">
        <v>2.36</v>
      </c>
      <c r="O960">
        <v>2.0299999999999998</v>
      </c>
      <c r="Q960" t="s">
        <v>3745</v>
      </c>
      <c r="R960">
        <v>5907698022565</v>
      </c>
      <c r="S960">
        <v>200</v>
      </c>
      <c r="T960" t="s">
        <v>3478</v>
      </c>
      <c r="U960" t="s">
        <v>3746</v>
      </c>
      <c r="V960">
        <v>3924900090</v>
      </c>
    </row>
    <row r="961" spans="1:22" x14ac:dyDescent="0.25">
      <c r="A961">
        <v>900175</v>
      </c>
      <c r="B961" t="s">
        <v>2993</v>
      </c>
      <c r="C961">
        <v>12</v>
      </c>
      <c r="E961" t="s">
        <v>303</v>
      </c>
      <c r="F961" t="s">
        <v>3475</v>
      </c>
      <c r="G961" t="s">
        <v>3476</v>
      </c>
      <c r="H961" t="s">
        <v>2983</v>
      </c>
      <c r="I961" t="s">
        <v>3477</v>
      </c>
      <c r="J961">
        <v>238</v>
      </c>
      <c r="K961">
        <v>1</v>
      </c>
      <c r="L961">
        <v>239</v>
      </c>
      <c r="M961">
        <v>12.37</v>
      </c>
      <c r="N961">
        <v>3.13</v>
      </c>
      <c r="O961">
        <v>2.67</v>
      </c>
      <c r="Q961" t="s">
        <v>3745</v>
      </c>
      <c r="R961">
        <v>5907698031093</v>
      </c>
      <c r="S961">
        <v>200</v>
      </c>
      <c r="T961" t="s">
        <v>3478</v>
      </c>
      <c r="U961" t="s">
        <v>3479</v>
      </c>
      <c r="V961">
        <v>3924900090</v>
      </c>
    </row>
    <row r="962" spans="1:22" x14ac:dyDescent="0.25">
      <c r="A962">
        <v>900178</v>
      </c>
      <c r="B962" t="s">
        <v>2993</v>
      </c>
      <c r="C962">
        <v>24</v>
      </c>
      <c r="E962" t="s">
        <v>303</v>
      </c>
      <c r="F962" t="s">
        <v>3790</v>
      </c>
      <c r="G962" t="s">
        <v>3791</v>
      </c>
      <c r="H962" t="s">
        <v>3792</v>
      </c>
      <c r="I962" t="s">
        <v>3793</v>
      </c>
      <c r="J962">
        <v>0</v>
      </c>
      <c r="K962">
        <v>0</v>
      </c>
      <c r="L962">
        <v>0</v>
      </c>
      <c r="M962">
        <v>9.86</v>
      </c>
      <c r="N962">
        <v>2.6</v>
      </c>
      <c r="O962">
        <v>2.21</v>
      </c>
      <c r="Q962" t="s">
        <v>3761</v>
      </c>
      <c r="R962">
        <v>5907698031222</v>
      </c>
      <c r="S962">
        <v>100</v>
      </c>
      <c r="T962" t="s">
        <v>2408</v>
      </c>
      <c r="U962" t="s">
        <v>3794</v>
      </c>
    </row>
    <row r="963" spans="1:22" x14ac:dyDescent="0.25">
      <c r="A963">
        <v>900180</v>
      </c>
      <c r="B963" t="s">
        <v>2993</v>
      </c>
      <c r="C963">
        <v>4</v>
      </c>
      <c r="E963" t="s">
        <v>303</v>
      </c>
      <c r="F963" t="s">
        <v>3480</v>
      </c>
      <c r="G963" t="s">
        <v>3481</v>
      </c>
      <c r="H963" t="s">
        <v>2984</v>
      </c>
      <c r="I963" t="s">
        <v>3482</v>
      </c>
      <c r="J963">
        <v>119</v>
      </c>
      <c r="K963">
        <v>0</v>
      </c>
      <c r="L963">
        <v>119</v>
      </c>
      <c r="M963">
        <v>43.05</v>
      </c>
      <c r="N963">
        <v>10.88</v>
      </c>
      <c r="O963">
        <v>9.32</v>
      </c>
      <c r="Q963" t="s">
        <v>3026</v>
      </c>
      <c r="R963">
        <v>5907698031109</v>
      </c>
      <c r="S963">
        <v>50</v>
      </c>
      <c r="T963" t="s">
        <v>800</v>
      </c>
      <c r="U963" t="s">
        <v>3479</v>
      </c>
      <c r="V963">
        <v>9403208000</v>
      </c>
    </row>
    <row r="964" spans="1:22" x14ac:dyDescent="0.25">
      <c r="A964">
        <v>900200</v>
      </c>
      <c r="B964" t="s">
        <v>302</v>
      </c>
      <c r="C964">
        <v>60</v>
      </c>
      <c r="E964" t="s">
        <v>303</v>
      </c>
      <c r="F964" t="s">
        <v>1426</v>
      </c>
      <c r="G964" t="s">
        <v>1427</v>
      </c>
      <c r="H964" t="s">
        <v>1428</v>
      </c>
      <c r="I964" t="s">
        <v>1429</v>
      </c>
      <c r="J964">
        <v>0</v>
      </c>
      <c r="K964">
        <v>40</v>
      </c>
      <c r="L964">
        <v>40</v>
      </c>
      <c r="M964">
        <v>5.7</v>
      </c>
      <c r="N964">
        <v>1.35</v>
      </c>
      <c r="O964">
        <v>1.25</v>
      </c>
      <c r="Q964" t="s">
        <v>2548</v>
      </c>
      <c r="R964">
        <v>5907698018339</v>
      </c>
      <c r="S964">
        <v>1000</v>
      </c>
      <c r="T964" t="s">
        <v>360</v>
      </c>
      <c r="V964">
        <v>8201900000</v>
      </c>
    </row>
    <row r="965" spans="1:22" x14ac:dyDescent="0.25">
      <c r="A965">
        <v>900300</v>
      </c>
      <c r="B965" t="s">
        <v>302</v>
      </c>
      <c r="C965">
        <v>144</v>
      </c>
      <c r="D965">
        <v>50</v>
      </c>
      <c r="E965" t="s">
        <v>303</v>
      </c>
      <c r="F965" t="s">
        <v>3483</v>
      </c>
      <c r="G965" t="s">
        <v>1430</v>
      </c>
      <c r="H965" t="s">
        <v>1431</v>
      </c>
      <c r="I965" t="s">
        <v>1432</v>
      </c>
      <c r="J965">
        <v>631</v>
      </c>
      <c r="K965">
        <v>144</v>
      </c>
      <c r="L965">
        <v>775</v>
      </c>
      <c r="M965">
        <v>1.76</v>
      </c>
      <c r="N965">
        <v>0.45</v>
      </c>
      <c r="O965">
        <v>0.39</v>
      </c>
      <c r="Q965" t="s">
        <v>3026</v>
      </c>
      <c r="R965">
        <v>5907698018346</v>
      </c>
      <c r="S965">
        <v>1500</v>
      </c>
      <c r="T965" t="s">
        <v>1433</v>
      </c>
      <c r="V965">
        <v>7326200090</v>
      </c>
    </row>
    <row r="966" spans="1:22" x14ac:dyDescent="0.25">
      <c r="A966">
        <v>900500</v>
      </c>
      <c r="B966" t="s">
        <v>302</v>
      </c>
      <c r="C966">
        <v>144</v>
      </c>
      <c r="D966">
        <v>0</v>
      </c>
      <c r="E966" t="s">
        <v>303</v>
      </c>
      <c r="F966" t="s">
        <v>3483</v>
      </c>
      <c r="G966" t="s">
        <v>1434</v>
      </c>
      <c r="H966" t="s">
        <v>1435</v>
      </c>
      <c r="I966" t="s">
        <v>1432</v>
      </c>
      <c r="J966">
        <v>0</v>
      </c>
      <c r="K966">
        <v>0</v>
      </c>
      <c r="L966">
        <v>0</v>
      </c>
      <c r="M966">
        <v>2.14</v>
      </c>
      <c r="N966">
        <v>0.51</v>
      </c>
      <c r="O966">
        <v>0.46</v>
      </c>
      <c r="Q966" t="s">
        <v>2</v>
      </c>
      <c r="R966">
        <v>5907698018353</v>
      </c>
      <c r="S966">
        <v>1200</v>
      </c>
      <c r="T966" t="s">
        <v>306</v>
      </c>
      <c r="V966">
        <v>7326200090</v>
      </c>
    </row>
    <row r="967" spans="1:22" x14ac:dyDescent="0.25">
      <c r="A967">
        <v>900600</v>
      </c>
      <c r="B967" t="s">
        <v>302</v>
      </c>
      <c r="C967">
        <v>80</v>
      </c>
      <c r="D967">
        <v>0</v>
      </c>
      <c r="E967" t="s">
        <v>303</v>
      </c>
      <c r="F967" t="s">
        <v>3483</v>
      </c>
      <c r="G967" t="s">
        <v>1430</v>
      </c>
      <c r="H967" t="s">
        <v>1436</v>
      </c>
      <c r="I967" t="s">
        <v>1437</v>
      </c>
      <c r="J967">
        <v>0</v>
      </c>
      <c r="K967">
        <v>160</v>
      </c>
      <c r="L967">
        <v>160</v>
      </c>
      <c r="M967">
        <v>2.1800000000000002</v>
      </c>
      <c r="N967">
        <v>0.55000000000000004</v>
      </c>
      <c r="O967">
        <v>0.49</v>
      </c>
      <c r="Q967" t="s">
        <v>3026</v>
      </c>
      <c r="R967">
        <v>5907698018360</v>
      </c>
      <c r="S967">
        <v>2200</v>
      </c>
      <c r="T967" t="s">
        <v>307</v>
      </c>
      <c r="V967">
        <v>7326200090</v>
      </c>
    </row>
    <row r="968" spans="1:22" x14ac:dyDescent="0.25">
      <c r="A968">
        <v>901000</v>
      </c>
      <c r="B968" t="s">
        <v>302</v>
      </c>
      <c r="C968">
        <v>100</v>
      </c>
      <c r="D968">
        <v>0</v>
      </c>
      <c r="E968" t="s">
        <v>303</v>
      </c>
      <c r="F968" t="s">
        <v>3483</v>
      </c>
      <c r="G968" t="s">
        <v>1430</v>
      </c>
      <c r="H968" t="s">
        <v>2334</v>
      </c>
      <c r="I968" t="s">
        <v>1432</v>
      </c>
      <c r="J968">
        <v>2236</v>
      </c>
      <c r="K968">
        <v>0</v>
      </c>
      <c r="L968">
        <v>2236</v>
      </c>
      <c r="M968">
        <v>3.58</v>
      </c>
      <c r="N968">
        <v>0.96</v>
      </c>
      <c r="O968">
        <v>0.82</v>
      </c>
      <c r="Q968" t="s">
        <v>3026</v>
      </c>
      <c r="R968">
        <v>5907698018377</v>
      </c>
      <c r="S968">
        <v>1000</v>
      </c>
      <c r="T968" t="s">
        <v>307</v>
      </c>
      <c r="V968">
        <v>7326200090</v>
      </c>
    </row>
    <row r="969" spans="1:22" x14ac:dyDescent="0.25">
      <c r="A969">
        <v>901050</v>
      </c>
      <c r="B969" t="s">
        <v>2993</v>
      </c>
      <c r="C969">
        <v>1</v>
      </c>
      <c r="D969">
        <v>0</v>
      </c>
      <c r="E969" t="s">
        <v>303</v>
      </c>
      <c r="F969" t="s">
        <v>3795</v>
      </c>
      <c r="G969" t="s">
        <v>3796</v>
      </c>
      <c r="H969" t="s">
        <v>3797</v>
      </c>
      <c r="I969" t="s">
        <v>3798</v>
      </c>
      <c r="J969">
        <v>0</v>
      </c>
      <c r="K969">
        <v>0</v>
      </c>
      <c r="L969">
        <v>0</v>
      </c>
      <c r="M969">
        <v>56.75</v>
      </c>
      <c r="N969">
        <v>14.96</v>
      </c>
      <c r="O969">
        <v>12.66</v>
      </c>
      <c r="Q969" t="s">
        <v>3761</v>
      </c>
      <c r="R969">
        <v>5907698031208</v>
      </c>
      <c r="S969">
        <v>50</v>
      </c>
      <c r="T969" t="s">
        <v>3799</v>
      </c>
      <c r="U969" t="s">
        <v>3800</v>
      </c>
    </row>
    <row r="970" spans="1:22" x14ac:dyDescent="0.25">
      <c r="A970">
        <v>901060</v>
      </c>
      <c r="B970" t="s">
        <v>2993</v>
      </c>
      <c r="C970">
        <v>1</v>
      </c>
      <c r="E970" t="s">
        <v>303</v>
      </c>
      <c r="F970" t="s">
        <v>3801</v>
      </c>
      <c r="G970" t="s">
        <v>1879</v>
      </c>
      <c r="H970" t="s">
        <v>3802</v>
      </c>
      <c r="I970" t="s">
        <v>3803</v>
      </c>
      <c r="J970">
        <v>0</v>
      </c>
      <c r="K970">
        <v>0</v>
      </c>
      <c r="L970">
        <v>0</v>
      </c>
      <c r="M970">
        <v>64.52</v>
      </c>
      <c r="N970">
        <v>17.010000000000002</v>
      </c>
      <c r="O970">
        <v>14.4</v>
      </c>
      <c r="Q970" t="s">
        <v>3761</v>
      </c>
      <c r="R970">
        <v>5907698031215</v>
      </c>
      <c r="S970">
        <v>50</v>
      </c>
      <c r="T970" t="s">
        <v>3799</v>
      </c>
      <c r="U970" t="s">
        <v>3800</v>
      </c>
    </row>
    <row r="971" spans="1:22" x14ac:dyDescent="0.25">
      <c r="A971">
        <v>901062</v>
      </c>
      <c r="B971" t="s">
        <v>2993</v>
      </c>
      <c r="C971">
        <v>1</v>
      </c>
      <c r="E971" t="s">
        <v>303</v>
      </c>
      <c r="F971" t="s">
        <v>3801</v>
      </c>
      <c r="G971" t="s">
        <v>1879</v>
      </c>
      <c r="H971" t="s">
        <v>3804</v>
      </c>
      <c r="I971" t="s">
        <v>3803</v>
      </c>
      <c r="J971">
        <v>0</v>
      </c>
      <c r="K971">
        <v>0</v>
      </c>
      <c r="L971">
        <v>0</v>
      </c>
      <c r="M971">
        <v>82.44</v>
      </c>
      <c r="N971">
        <v>21.74</v>
      </c>
      <c r="O971">
        <v>18.41</v>
      </c>
      <c r="Q971" t="s">
        <v>3761</v>
      </c>
      <c r="R971">
        <v>5907698031239</v>
      </c>
      <c r="S971">
        <v>50</v>
      </c>
      <c r="T971" t="s">
        <v>3799</v>
      </c>
      <c r="U971" t="s">
        <v>3800</v>
      </c>
    </row>
    <row r="972" spans="1:22" x14ac:dyDescent="0.25">
      <c r="A972">
        <v>901070</v>
      </c>
      <c r="B972" t="s">
        <v>2993</v>
      </c>
      <c r="C972">
        <v>1</v>
      </c>
      <c r="E972" t="s">
        <v>303</v>
      </c>
      <c r="F972" t="s">
        <v>3801</v>
      </c>
      <c r="G972" t="s">
        <v>1879</v>
      </c>
      <c r="H972" t="s">
        <v>3805</v>
      </c>
      <c r="I972" t="s">
        <v>3803</v>
      </c>
      <c r="J972">
        <v>0</v>
      </c>
      <c r="K972">
        <v>0</v>
      </c>
      <c r="L972">
        <v>0</v>
      </c>
      <c r="M972">
        <v>190.2</v>
      </c>
      <c r="N972">
        <v>50.15</v>
      </c>
      <c r="O972">
        <v>42.46</v>
      </c>
      <c r="Q972" t="s">
        <v>3761</v>
      </c>
      <c r="R972">
        <v>5907698031246</v>
      </c>
      <c r="S972">
        <v>40</v>
      </c>
      <c r="T972" t="s">
        <v>3799</v>
      </c>
      <c r="U972" t="s">
        <v>3800</v>
      </c>
    </row>
    <row r="973" spans="1:22" x14ac:dyDescent="0.25">
      <c r="A973">
        <v>901075</v>
      </c>
      <c r="B973" t="s">
        <v>2993</v>
      </c>
      <c r="C973">
        <v>1</v>
      </c>
      <c r="E973" t="s">
        <v>303</v>
      </c>
      <c r="F973" t="s">
        <v>3801</v>
      </c>
      <c r="G973" t="s">
        <v>1879</v>
      </c>
      <c r="H973" t="s">
        <v>3806</v>
      </c>
      <c r="I973" t="s">
        <v>3803</v>
      </c>
      <c r="J973">
        <v>0</v>
      </c>
      <c r="K973">
        <v>0</v>
      </c>
      <c r="L973">
        <v>0</v>
      </c>
      <c r="M973">
        <v>128.54</v>
      </c>
      <c r="N973">
        <v>33.89</v>
      </c>
      <c r="O973">
        <v>28.69</v>
      </c>
      <c r="Q973" t="s">
        <v>3761</v>
      </c>
      <c r="R973">
        <v>5907698031253</v>
      </c>
      <c r="S973">
        <v>40</v>
      </c>
      <c r="T973" t="s">
        <v>3799</v>
      </c>
      <c r="U973" t="s">
        <v>3800</v>
      </c>
    </row>
    <row r="974" spans="1:22" x14ac:dyDescent="0.25">
      <c r="A974">
        <v>901080</v>
      </c>
      <c r="B974" t="s">
        <v>2993</v>
      </c>
      <c r="C974">
        <v>6</v>
      </c>
      <c r="E974" t="s">
        <v>303</v>
      </c>
      <c r="F974" t="s">
        <v>3807</v>
      </c>
      <c r="G974" t="s">
        <v>3808</v>
      </c>
      <c r="H974" t="s">
        <v>3809</v>
      </c>
      <c r="I974" t="s">
        <v>3810</v>
      </c>
      <c r="J974">
        <v>0</v>
      </c>
      <c r="K974">
        <v>0</v>
      </c>
      <c r="L974">
        <v>0</v>
      </c>
      <c r="M974">
        <v>13.16</v>
      </c>
      <c r="N974">
        <v>3.47</v>
      </c>
      <c r="O974">
        <v>2.94</v>
      </c>
      <c r="Q974" t="s">
        <v>3761</v>
      </c>
      <c r="R974">
        <v>901080</v>
      </c>
      <c r="S974">
        <v>100</v>
      </c>
      <c r="T974" t="s">
        <v>1549</v>
      </c>
    </row>
    <row r="975" spans="1:22" x14ac:dyDescent="0.25">
      <c r="A975">
        <v>901102</v>
      </c>
      <c r="B975" t="s">
        <v>2993</v>
      </c>
      <c r="C975">
        <v>1</v>
      </c>
      <c r="E975" t="s">
        <v>303</v>
      </c>
      <c r="F975" t="s">
        <v>3811</v>
      </c>
      <c r="G975" t="s">
        <v>3812</v>
      </c>
      <c r="H975" t="s">
        <v>3727</v>
      </c>
      <c r="I975" t="s">
        <v>3813</v>
      </c>
      <c r="J975">
        <v>0</v>
      </c>
      <c r="K975">
        <v>0</v>
      </c>
      <c r="L975">
        <v>0</v>
      </c>
      <c r="M975">
        <v>40.020000000000003</v>
      </c>
      <c r="N975">
        <v>10.28</v>
      </c>
      <c r="O975">
        <v>8.73</v>
      </c>
      <c r="Q975" t="s">
        <v>3026</v>
      </c>
      <c r="R975">
        <v>5907698031277</v>
      </c>
      <c r="S975">
        <v>200</v>
      </c>
      <c r="T975" t="s">
        <v>407</v>
      </c>
    </row>
    <row r="976" spans="1:22" x14ac:dyDescent="0.25">
      <c r="A976">
        <v>901103</v>
      </c>
      <c r="B976" t="s">
        <v>2993</v>
      </c>
      <c r="C976">
        <v>1</v>
      </c>
      <c r="E976" t="s">
        <v>303</v>
      </c>
      <c r="F976" t="s">
        <v>3811</v>
      </c>
      <c r="G976" t="s">
        <v>3812</v>
      </c>
      <c r="H976" t="s">
        <v>3728</v>
      </c>
      <c r="I976" t="s">
        <v>3813</v>
      </c>
      <c r="J976">
        <v>0</v>
      </c>
      <c r="K976">
        <v>0</v>
      </c>
      <c r="L976">
        <v>0</v>
      </c>
      <c r="M976">
        <v>44.81</v>
      </c>
      <c r="N976">
        <v>11.51</v>
      </c>
      <c r="O976">
        <v>9.77</v>
      </c>
      <c r="Q976" t="s">
        <v>3026</v>
      </c>
      <c r="R976">
        <v>5907698031284</v>
      </c>
      <c r="S976">
        <v>200</v>
      </c>
      <c r="T976" t="s">
        <v>407</v>
      </c>
    </row>
    <row r="977" spans="1:22" x14ac:dyDescent="0.25">
      <c r="A977">
        <v>901104</v>
      </c>
      <c r="B977" t="s">
        <v>2993</v>
      </c>
      <c r="C977">
        <v>1</v>
      </c>
      <c r="E977" t="s">
        <v>303</v>
      </c>
      <c r="F977" t="s">
        <v>3811</v>
      </c>
      <c r="G977" t="s">
        <v>3812</v>
      </c>
      <c r="H977" t="s">
        <v>3729</v>
      </c>
      <c r="I977" t="s">
        <v>3813</v>
      </c>
      <c r="J977">
        <v>0</v>
      </c>
      <c r="K977">
        <v>0</v>
      </c>
      <c r="L977">
        <v>0</v>
      </c>
      <c r="M977">
        <v>50.18</v>
      </c>
      <c r="N977">
        <v>12.89</v>
      </c>
      <c r="O977">
        <v>10.94</v>
      </c>
      <c r="Q977" t="s">
        <v>3026</v>
      </c>
      <c r="R977">
        <v>5907698031291</v>
      </c>
      <c r="S977">
        <v>100</v>
      </c>
      <c r="T977" t="s">
        <v>407</v>
      </c>
    </row>
    <row r="978" spans="1:22" x14ac:dyDescent="0.25">
      <c r="A978">
        <v>901105</v>
      </c>
      <c r="B978" t="s">
        <v>2993</v>
      </c>
      <c r="C978">
        <v>1</v>
      </c>
      <c r="E978" t="s">
        <v>303</v>
      </c>
      <c r="F978" t="s">
        <v>3811</v>
      </c>
      <c r="G978" t="s">
        <v>3812</v>
      </c>
      <c r="H978" t="s">
        <v>3814</v>
      </c>
      <c r="I978" t="s">
        <v>3813</v>
      </c>
      <c r="J978">
        <v>0</v>
      </c>
      <c r="K978">
        <v>0</v>
      </c>
      <c r="L978">
        <v>0</v>
      </c>
      <c r="M978">
        <v>64.52</v>
      </c>
      <c r="N978">
        <v>17.010000000000002</v>
      </c>
      <c r="O978">
        <v>14.4</v>
      </c>
      <c r="Q978" t="s">
        <v>3026</v>
      </c>
      <c r="R978">
        <v>901105</v>
      </c>
      <c r="S978">
        <v>200</v>
      </c>
      <c r="T978" t="s">
        <v>407</v>
      </c>
    </row>
    <row r="979" spans="1:22" x14ac:dyDescent="0.25">
      <c r="A979">
        <v>901121</v>
      </c>
      <c r="B979" t="s">
        <v>2993</v>
      </c>
      <c r="C979">
        <v>1</v>
      </c>
      <c r="E979" t="s">
        <v>303</v>
      </c>
      <c r="F979" t="s">
        <v>3815</v>
      </c>
      <c r="G979" t="s">
        <v>3812</v>
      </c>
      <c r="H979" t="s">
        <v>3730</v>
      </c>
      <c r="I979" t="s">
        <v>3816</v>
      </c>
      <c r="J979">
        <v>0</v>
      </c>
      <c r="K979">
        <v>0</v>
      </c>
      <c r="L979">
        <v>0</v>
      </c>
      <c r="M979">
        <v>42.72</v>
      </c>
      <c r="N979">
        <v>11.03</v>
      </c>
      <c r="O979">
        <v>9.39</v>
      </c>
      <c r="Q979" t="s">
        <v>3026</v>
      </c>
      <c r="R979">
        <v>5907698031307</v>
      </c>
      <c r="S979">
        <v>200</v>
      </c>
      <c r="T979" t="s">
        <v>407</v>
      </c>
    </row>
    <row r="980" spans="1:22" x14ac:dyDescent="0.25">
      <c r="A980">
        <v>901122</v>
      </c>
      <c r="B980" t="s">
        <v>2993</v>
      </c>
      <c r="C980">
        <v>1</v>
      </c>
      <c r="E980" t="s">
        <v>303</v>
      </c>
      <c r="F980" t="s">
        <v>3815</v>
      </c>
      <c r="G980" t="s">
        <v>3812</v>
      </c>
      <c r="H980" t="s">
        <v>3731</v>
      </c>
      <c r="I980" t="s">
        <v>3816</v>
      </c>
      <c r="J980">
        <v>0</v>
      </c>
      <c r="K980">
        <v>0</v>
      </c>
      <c r="L980">
        <v>0</v>
      </c>
      <c r="M980">
        <v>60.93</v>
      </c>
      <c r="N980">
        <v>15.72</v>
      </c>
      <c r="O980">
        <v>13.4</v>
      </c>
      <c r="Q980" t="s">
        <v>3026</v>
      </c>
      <c r="R980">
        <v>5907698031314</v>
      </c>
      <c r="S980">
        <v>200</v>
      </c>
      <c r="T980" t="s">
        <v>407</v>
      </c>
    </row>
    <row r="981" spans="1:22" x14ac:dyDescent="0.25">
      <c r="A981">
        <v>910000</v>
      </c>
      <c r="B981" t="s">
        <v>302</v>
      </c>
      <c r="C981">
        <v>50</v>
      </c>
      <c r="E981" t="s">
        <v>303</v>
      </c>
      <c r="F981" t="s">
        <v>1438</v>
      </c>
      <c r="G981" t="s">
        <v>1439</v>
      </c>
      <c r="I981" t="s">
        <v>1440</v>
      </c>
      <c r="J981">
        <v>1052</v>
      </c>
      <c r="K981">
        <v>0</v>
      </c>
      <c r="L981">
        <v>1052</v>
      </c>
      <c r="M981">
        <v>5.6</v>
      </c>
      <c r="N981">
        <v>1.43</v>
      </c>
      <c r="O981">
        <v>1.23</v>
      </c>
      <c r="Q981" t="s">
        <v>3026</v>
      </c>
      <c r="R981">
        <v>5907698018384</v>
      </c>
      <c r="S981">
        <v>500</v>
      </c>
      <c r="T981" t="s">
        <v>360</v>
      </c>
      <c r="V981">
        <v>8201900000</v>
      </c>
    </row>
    <row r="982" spans="1:22" x14ac:dyDescent="0.25">
      <c r="A982">
        <v>910040</v>
      </c>
      <c r="B982" t="s">
        <v>302</v>
      </c>
      <c r="C982">
        <v>48</v>
      </c>
      <c r="E982" t="s">
        <v>303</v>
      </c>
      <c r="F982" t="s">
        <v>3484</v>
      </c>
      <c r="G982" t="s">
        <v>1441</v>
      </c>
      <c r="H982" t="s">
        <v>841</v>
      </c>
      <c r="I982" t="s">
        <v>1442</v>
      </c>
      <c r="J982">
        <v>480</v>
      </c>
      <c r="K982">
        <v>0</v>
      </c>
      <c r="L982">
        <v>480</v>
      </c>
      <c r="M982">
        <v>5.46</v>
      </c>
      <c r="N982">
        <v>1.3</v>
      </c>
      <c r="O982">
        <v>1.2</v>
      </c>
      <c r="Q982" t="s">
        <v>2548</v>
      </c>
      <c r="R982">
        <v>5907698018414</v>
      </c>
      <c r="S982">
        <v>200</v>
      </c>
      <c r="T982" t="s">
        <v>352</v>
      </c>
      <c r="V982">
        <v>8201900000</v>
      </c>
    </row>
    <row r="983" spans="1:22" x14ac:dyDescent="0.25">
      <c r="A983">
        <v>920010</v>
      </c>
      <c r="B983" t="s">
        <v>302</v>
      </c>
      <c r="C983">
        <v>10</v>
      </c>
      <c r="E983" t="s">
        <v>303</v>
      </c>
      <c r="F983" t="s">
        <v>2335</v>
      </c>
      <c r="G983" t="s">
        <v>2336</v>
      </c>
      <c r="H983" t="s">
        <v>2668</v>
      </c>
      <c r="I983" t="s">
        <v>2337</v>
      </c>
      <c r="J983">
        <v>7</v>
      </c>
      <c r="K983">
        <v>0</v>
      </c>
      <c r="L983">
        <v>7</v>
      </c>
      <c r="M983">
        <v>8.18</v>
      </c>
      <c r="N983">
        <v>2.1800000000000002</v>
      </c>
      <c r="O983">
        <v>1.86</v>
      </c>
      <c r="Q983" t="s">
        <v>1253</v>
      </c>
      <c r="R983">
        <v>5907698028604</v>
      </c>
      <c r="S983">
        <v>1</v>
      </c>
      <c r="T983" t="s">
        <v>331</v>
      </c>
      <c r="V983">
        <v>3926909790</v>
      </c>
    </row>
    <row r="984" spans="1:22" x14ac:dyDescent="0.25">
      <c r="A984">
        <v>920110</v>
      </c>
      <c r="B984" t="s">
        <v>302</v>
      </c>
      <c r="C984">
        <v>30</v>
      </c>
      <c r="E984" t="s">
        <v>303</v>
      </c>
      <c r="F984" t="s">
        <v>3485</v>
      </c>
      <c r="G984" t="s">
        <v>1443</v>
      </c>
      <c r="H984" t="s">
        <v>1444</v>
      </c>
      <c r="I984" t="s">
        <v>1445</v>
      </c>
      <c r="J984">
        <v>0</v>
      </c>
      <c r="K984">
        <v>0</v>
      </c>
      <c r="L984">
        <v>0</v>
      </c>
      <c r="M984">
        <v>4.63</v>
      </c>
      <c r="N984">
        <v>1.26</v>
      </c>
      <c r="O984">
        <v>1.05</v>
      </c>
      <c r="Q984" t="s">
        <v>1446</v>
      </c>
      <c r="R984">
        <v>5907698026129</v>
      </c>
      <c r="S984">
        <v>1</v>
      </c>
      <c r="V984">
        <v>3926909790</v>
      </c>
    </row>
    <row r="985" spans="1:22" x14ac:dyDescent="0.25">
      <c r="A985">
        <v>920120</v>
      </c>
      <c r="B985" t="s">
        <v>302</v>
      </c>
      <c r="C985">
        <v>40</v>
      </c>
      <c r="E985" t="s">
        <v>303</v>
      </c>
      <c r="F985" t="s">
        <v>1447</v>
      </c>
      <c r="G985" t="s">
        <v>1448</v>
      </c>
      <c r="H985" t="s">
        <v>1449</v>
      </c>
      <c r="I985" t="s">
        <v>1450</v>
      </c>
      <c r="J985">
        <v>0</v>
      </c>
      <c r="K985">
        <v>0</v>
      </c>
      <c r="L985">
        <v>0</v>
      </c>
      <c r="M985">
        <v>7.61</v>
      </c>
      <c r="N985">
        <v>2.08</v>
      </c>
      <c r="O985">
        <v>1.66</v>
      </c>
      <c r="Q985" t="s">
        <v>1446</v>
      </c>
      <c r="R985">
        <v>5907698026167</v>
      </c>
      <c r="S985">
        <v>0</v>
      </c>
      <c r="V985">
        <v>3926909790</v>
      </c>
    </row>
    <row r="986" spans="1:22" x14ac:dyDescent="0.25">
      <c r="A986">
        <v>920130</v>
      </c>
      <c r="B986" t="s">
        <v>302</v>
      </c>
      <c r="C986">
        <v>30</v>
      </c>
      <c r="E986" t="s">
        <v>303</v>
      </c>
      <c r="F986" t="s">
        <v>1451</v>
      </c>
      <c r="G986" t="s">
        <v>1452</v>
      </c>
      <c r="H986" t="s">
        <v>1689</v>
      </c>
      <c r="I986" t="s">
        <v>1450</v>
      </c>
      <c r="J986">
        <v>1</v>
      </c>
      <c r="K986">
        <v>0</v>
      </c>
      <c r="L986">
        <v>1</v>
      </c>
      <c r="M986">
        <v>12.77</v>
      </c>
      <c r="N986">
        <v>3.02</v>
      </c>
      <c r="O986">
        <v>2.8</v>
      </c>
      <c r="Q986" t="s">
        <v>1446</v>
      </c>
      <c r="R986">
        <v>5907698026228</v>
      </c>
      <c r="S986">
        <v>0</v>
      </c>
      <c r="V986">
        <v>3926909790</v>
      </c>
    </row>
    <row r="987" spans="1:22" x14ac:dyDescent="0.25">
      <c r="A987">
        <v>920131</v>
      </c>
      <c r="B987" t="s">
        <v>302</v>
      </c>
      <c r="C987">
        <v>30</v>
      </c>
      <c r="E987" t="s">
        <v>303</v>
      </c>
      <c r="F987" t="s">
        <v>1451</v>
      </c>
      <c r="G987" t="s">
        <v>1452</v>
      </c>
      <c r="H987" t="s">
        <v>1453</v>
      </c>
      <c r="I987" t="s">
        <v>2434</v>
      </c>
      <c r="J987">
        <v>0</v>
      </c>
      <c r="K987">
        <v>0</v>
      </c>
      <c r="L987">
        <v>0</v>
      </c>
      <c r="M987">
        <v>20.09</v>
      </c>
      <c r="N987">
        <v>4.76</v>
      </c>
      <c r="O987">
        <v>4.3899999999999997</v>
      </c>
      <c r="Q987" t="s">
        <v>1446</v>
      </c>
      <c r="R987">
        <v>5907698026235</v>
      </c>
      <c r="S987">
        <v>0</v>
      </c>
      <c r="V987">
        <v>3926909790</v>
      </c>
    </row>
    <row r="988" spans="1:22" x14ac:dyDescent="0.25">
      <c r="A988">
        <v>920200</v>
      </c>
      <c r="B988" t="s">
        <v>302</v>
      </c>
      <c r="C988">
        <v>12</v>
      </c>
      <c r="E988" t="s">
        <v>303</v>
      </c>
      <c r="F988" t="s">
        <v>3486</v>
      </c>
      <c r="G988" t="s">
        <v>1454</v>
      </c>
      <c r="H988" t="s">
        <v>1455</v>
      </c>
      <c r="I988" t="s">
        <v>2434</v>
      </c>
      <c r="J988">
        <v>0</v>
      </c>
      <c r="K988">
        <v>0</v>
      </c>
      <c r="L988">
        <v>0</v>
      </c>
      <c r="M988">
        <v>3.48</v>
      </c>
      <c r="N988">
        <v>0.82</v>
      </c>
      <c r="O988">
        <v>0.76</v>
      </c>
      <c r="Q988" t="s">
        <v>1446</v>
      </c>
      <c r="R988">
        <v>5907698026181</v>
      </c>
      <c r="S988">
        <v>0</v>
      </c>
      <c r="V988">
        <v>3926909790</v>
      </c>
    </row>
    <row r="989" spans="1:22" x14ac:dyDescent="0.25">
      <c r="A989">
        <v>920201</v>
      </c>
      <c r="B989" t="s">
        <v>302</v>
      </c>
      <c r="C989">
        <v>12</v>
      </c>
      <c r="E989" t="s">
        <v>303</v>
      </c>
      <c r="F989" t="s">
        <v>3486</v>
      </c>
      <c r="G989" t="s">
        <v>1454</v>
      </c>
      <c r="H989" t="s">
        <v>1456</v>
      </c>
      <c r="I989" t="s">
        <v>2434</v>
      </c>
      <c r="J989">
        <v>0</v>
      </c>
      <c r="K989">
        <v>0</v>
      </c>
      <c r="L989">
        <v>0</v>
      </c>
      <c r="M989">
        <v>4.79</v>
      </c>
      <c r="N989">
        <v>1.1399999999999999</v>
      </c>
      <c r="O989">
        <v>1.04</v>
      </c>
      <c r="Q989" t="s">
        <v>1446</v>
      </c>
      <c r="R989">
        <v>5907698026198</v>
      </c>
      <c r="S989">
        <v>0</v>
      </c>
      <c r="V989">
        <v>3926909790</v>
      </c>
    </row>
    <row r="990" spans="1:22" x14ac:dyDescent="0.25">
      <c r="A990">
        <v>920202</v>
      </c>
      <c r="B990" t="s">
        <v>302</v>
      </c>
      <c r="C990">
        <v>12</v>
      </c>
      <c r="E990" t="s">
        <v>303</v>
      </c>
      <c r="F990" t="s">
        <v>3486</v>
      </c>
      <c r="G990" t="s">
        <v>1454</v>
      </c>
      <c r="H990" t="s">
        <v>1457</v>
      </c>
      <c r="I990" t="s">
        <v>2434</v>
      </c>
      <c r="J990">
        <v>0</v>
      </c>
      <c r="K990">
        <v>0</v>
      </c>
      <c r="L990">
        <v>0</v>
      </c>
      <c r="M990">
        <v>4.79</v>
      </c>
      <c r="N990">
        <v>1.1399999999999999</v>
      </c>
      <c r="O990">
        <v>1.04</v>
      </c>
      <c r="Q990" t="s">
        <v>1446</v>
      </c>
      <c r="R990">
        <v>5907698026204</v>
      </c>
      <c r="S990">
        <v>0</v>
      </c>
      <c r="V990">
        <v>3926909790</v>
      </c>
    </row>
    <row r="991" spans="1:22" x14ac:dyDescent="0.25">
      <c r="A991">
        <v>920203</v>
      </c>
      <c r="B991" t="s">
        <v>302</v>
      </c>
      <c r="C991">
        <v>12</v>
      </c>
      <c r="E991" t="s">
        <v>303</v>
      </c>
      <c r="F991" t="s">
        <v>3486</v>
      </c>
      <c r="G991" t="s">
        <v>1454</v>
      </c>
      <c r="H991" t="s">
        <v>1458</v>
      </c>
      <c r="I991" t="s">
        <v>2434</v>
      </c>
      <c r="J991">
        <v>0</v>
      </c>
      <c r="K991">
        <v>0</v>
      </c>
      <c r="L991">
        <v>0</v>
      </c>
      <c r="M991">
        <v>4.79</v>
      </c>
      <c r="N991">
        <v>1.1399999999999999</v>
      </c>
      <c r="O991">
        <v>1.04</v>
      </c>
      <c r="Q991" t="s">
        <v>1446</v>
      </c>
      <c r="R991">
        <v>5907698026211</v>
      </c>
      <c r="S991">
        <v>0</v>
      </c>
      <c r="V991">
        <v>3926909790</v>
      </c>
    </row>
    <row r="992" spans="1:22" x14ac:dyDescent="0.25">
      <c r="A992">
        <v>920230</v>
      </c>
      <c r="B992" t="s">
        <v>302</v>
      </c>
      <c r="C992">
        <v>12</v>
      </c>
      <c r="E992" t="s">
        <v>303</v>
      </c>
      <c r="F992" t="s">
        <v>3487</v>
      </c>
      <c r="G992" t="s">
        <v>1459</v>
      </c>
      <c r="H992" t="s">
        <v>1460</v>
      </c>
      <c r="I992" t="s">
        <v>2434</v>
      </c>
      <c r="J992">
        <v>0</v>
      </c>
      <c r="K992">
        <v>0</v>
      </c>
      <c r="L992">
        <v>0</v>
      </c>
      <c r="M992">
        <v>4.63</v>
      </c>
      <c r="N992">
        <v>1.0900000000000001</v>
      </c>
      <c r="O992">
        <v>1.01</v>
      </c>
      <c r="Q992" t="s">
        <v>1446</v>
      </c>
      <c r="R992">
        <v>5907698026266</v>
      </c>
      <c r="S992">
        <v>0</v>
      </c>
      <c r="V992">
        <v>3926909790</v>
      </c>
    </row>
    <row r="993" spans="1:22" x14ac:dyDescent="0.25">
      <c r="A993">
        <v>920240</v>
      </c>
      <c r="B993" t="s">
        <v>302</v>
      </c>
      <c r="C993">
        <v>12</v>
      </c>
      <c r="E993" t="s">
        <v>303</v>
      </c>
      <c r="F993" t="s">
        <v>3488</v>
      </c>
      <c r="G993" t="s">
        <v>2338</v>
      </c>
      <c r="H993" t="s">
        <v>1690</v>
      </c>
      <c r="I993" t="s">
        <v>2434</v>
      </c>
      <c r="J993">
        <v>48</v>
      </c>
      <c r="K993">
        <v>0</v>
      </c>
      <c r="L993">
        <v>48</v>
      </c>
      <c r="M993">
        <v>5.66</v>
      </c>
      <c r="N993">
        <v>1.34</v>
      </c>
      <c r="O993">
        <v>1.24</v>
      </c>
      <c r="Q993" t="s">
        <v>1446</v>
      </c>
      <c r="R993">
        <v>5907698026273</v>
      </c>
      <c r="S993">
        <v>0</v>
      </c>
      <c r="V993">
        <v>3926909790</v>
      </c>
    </row>
    <row r="994" spans="1:22" x14ac:dyDescent="0.25">
      <c r="A994">
        <v>920300</v>
      </c>
      <c r="B994" t="s">
        <v>302</v>
      </c>
      <c r="C994">
        <v>20</v>
      </c>
      <c r="E994" t="s">
        <v>303</v>
      </c>
      <c r="F994" t="s">
        <v>1461</v>
      </c>
      <c r="G994" t="s">
        <v>1462</v>
      </c>
      <c r="H994" t="s">
        <v>1463</v>
      </c>
      <c r="I994" t="s">
        <v>1464</v>
      </c>
      <c r="J994">
        <v>0</v>
      </c>
      <c r="K994">
        <v>0</v>
      </c>
      <c r="L994">
        <v>0</v>
      </c>
      <c r="M994">
        <v>6.16</v>
      </c>
      <c r="N994">
        <v>1.45</v>
      </c>
      <c r="O994">
        <v>1.35</v>
      </c>
      <c r="Q994" t="s">
        <v>1446</v>
      </c>
      <c r="R994">
        <v>5907698026280</v>
      </c>
      <c r="S994">
        <v>0</v>
      </c>
      <c r="V994">
        <v>3926909790</v>
      </c>
    </row>
    <row r="995" spans="1:22" x14ac:dyDescent="0.25">
      <c r="A995">
        <v>920302</v>
      </c>
      <c r="B995" t="s">
        <v>302</v>
      </c>
      <c r="C995">
        <v>20</v>
      </c>
      <c r="E995" t="s">
        <v>303</v>
      </c>
      <c r="F995" t="s">
        <v>1461</v>
      </c>
      <c r="G995" t="s">
        <v>1462</v>
      </c>
      <c r="H995" t="s">
        <v>1465</v>
      </c>
      <c r="I995" t="s">
        <v>1464</v>
      </c>
      <c r="J995">
        <v>0</v>
      </c>
      <c r="K995">
        <v>0</v>
      </c>
      <c r="L995">
        <v>0</v>
      </c>
      <c r="M995">
        <v>8.9</v>
      </c>
      <c r="N995">
        <v>2.1</v>
      </c>
      <c r="O995">
        <v>1.94</v>
      </c>
      <c r="Q995" t="s">
        <v>1446</v>
      </c>
      <c r="R995">
        <v>5907698026303</v>
      </c>
      <c r="S995">
        <v>0</v>
      </c>
      <c r="V995">
        <v>3926909790</v>
      </c>
    </row>
    <row r="996" spans="1:22" x14ac:dyDescent="0.25">
      <c r="A996">
        <v>920350</v>
      </c>
      <c r="B996" t="s">
        <v>302</v>
      </c>
      <c r="C996">
        <v>20</v>
      </c>
      <c r="D996">
        <v>5</v>
      </c>
      <c r="E996" t="s">
        <v>303</v>
      </c>
      <c r="F996" t="s">
        <v>3489</v>
      </c>
      <c r="G996" t="s">
        <v>1466</v>
      </c>
      <c r="H996" t="s">
        <v>1467</v>
      </c>
      <c r="I996" t="s">
        <v>1468</v>
      </c>
      <c r="J996">
        <v>0</v>
      </c>
      <c r="K996">
        <v>0</v>
      </c>
      <c r="L996">
        <v>0</v>
      </c>
      <c r="M996">
        <v>10.99</v>
      </c>
      <c r="N996">
        <v>2.93</v>
      </c>
      <c r="O996">
        <v>2.5</v>
      </c>
      <c r="Q996" t="s">
        <v>1446</v>
      </c>
      <c r="R996">
        <v>5907698026136</v>
      </c>
      <c r="S996">
        <v>0</v>
      </c>
      <c r="V996">
        <v>3926909790</v>
      </c>
    </row>
    <row r="997" spans="1:22" x14ac:dyDescent="0.25">
      <c r="A997">
        <v>920351</v>
      </c>
      <c r="B997" t="s">
        <v>302</v>
      </c>
      <c r="C997">
        <v>20</v>
      </c>
      <c r="D997">
        <v>5</v>
      </c>
      <c r="E997" t="s">
        <v>303</v>
      </c>
      <c r="F997" t="s">
        <v>3489</v>
      </c>
      <c r="G997" t="s">
        <v>1466</v>
      </c>
      <c r="H997" t="s">
        <v>1469</v>
      </c>
      <c r="I997" t="s">
        <v>1470</v>
      </c>
      <c r="J997">
        <v>0</v>
      </c>
      <c r="K997">
        <v>0</v>
      </c>
      <c r="L997">
        <v>0</v>
      </c>
      <c r="M997">
        <v>10.99</v>
      </c>
      <c r="N997">
        <v>2.93</v>
      </c>
      <c r="O997">
        <v>2.5</v>
      </c>
      <c r="Q997" t="s">
        <v>1446</v>
      </c>
      <c r="R997">
        <v>5907698026143</v>
      </c>
      <c r="S997">
        <v>0</v>
      </c>
      <c r="V997">
        <v>3926909790</v>
      </c>
    </row>
    <row r="998" spans="1:22" x14ac:dyDescent="0.25">
      <c r="A998">
        <v>920352</v>
      </c>
      <c r="B998" t="s">
        <v>302</v>
      </c>
      <c r="C998">
        <v>20</v>
      </c>
      <c r="D998">
        <v>5</v>
      </c>
      <c r="E998" t="s">
        <v>303</v>
      </c>
      <c r="F998" t="s">
        <v>3489</v>
      </c>
      <c r="G998" t="s">
        <v>1466</v>
      </c>
      <c r="H998" t="s">
        <v>1471</v>
      </c>
      <c r="I998" t="s">
        <v>1470</v>
      </c>
      <c r="J998">
        <v>0</v>
      </c>
      <c r="K998">
        <v>0</v>
      </c>
      <c r="L998">
        <v>0</v>
      </c>
      <c r="M998">
        <v>10.99</v>
      </c>
      <c r="N998">
        <v>2.93</v>
      </c>
      <c r="O998">
        <v>2.5</v>
      </c>
      <c r="Q998" t="s">
        <v>1446</v>
      </c>
      <c r="R998">
        <v>5907698026150</v>
      </c>
      <c r="S998">
        <v>0</v>
      </c>
      <c r="V998">
        <v>3926909790</v>
      </c>
    </row>
    <row r="999" spans="1:22" x14ac:dyDescent="0.25">
      <c r="A999">
        <v>920353</v>
      </c>
      <c r="B999" t="s">
        <v>302</v>
      </c>
      <c r="C999">
        <v>20</v>
      </c>
      <c r="D999">
        <v>5</v>
      </c>
      <c r="E999" t="s">
        <v>303</v>
      </c>
      <c r="F999" t="s">
        <v>3489</v>
      </c>
      <c r="G999" t="s">
        <v>1466</v>
      </c>
      <c r="H999" t="s">
        <v>1472</v>
      </c>
      <c r="I999" t="s">
        <v>1468</v>
      </c>
      <c r="J999">
        <v>0</v>
      </c>
      <c r="K999">
        <v>0</v>
      </c>
      <c r="L999">
        <v>0</v>
      </c>
      <c r="M999">
        <v>13.27</v>
      </c>
      <c r="N999">
        <v>3.15</v>
      </c>
      <c r="O999">
        <v>2.9</v>
      </c>
      <c r="Q999" t="s">
        <v>1446</v>
      </c>
      <c r="R999">
        <v>5907698026310</v>
      </c>
      <c r="S999">
        <v>0</v>
      </c>
      <c r="V999">
        <v>3926909790</v>
      </c>
    </row>
    <row r="1000" spans="1:22" x14ac:dyDescent="0.25">
      <c r="A1000">
        <v>920360</v>
      </c>
      <c r="B1000" t="s">
        <v>302</v>
      </c>
      <c r="C1000">
        <v>18</v>
      </c>
      <c r="D1000">
        <v>6</v>
      </c>
      <c r="E1000" t="s">
        <v>303</v>
      </c>
      <c r="F1000" t="s">
        <v>3490</v>
      </c>
      <c r="G1000" t="s">
        <v>1473</v>
      </c>
      <c r="H1000" t="s">
        <v>1474</v>
      </c>
      <c r="I1000" t="s">
        <v>1470</v>
      </c>
      <c r="J1000">
        <v>0</v>
      </c>
      <c r="K1000">
        <v>0</v>
      </c>
      <c r="L1000">
        <v>0</v>
      </c>
      <c r="M1000">
        <v>15.06</v>
      </c>
      <c r="N1000">
        <v>3.57</v>
      </c>
      <c r="O1000">
        <v>3.29</v>
      </c>
      <c r="Q1000" t="s">
        <v>1446</v>
      </c>
      <c r="R1000">
        <v>5907698026327</v>
      </c>
      <c r="S1000">
        <v>0</v>
      </c>
      <c r="V1000">
        <v>3926909790</v>
      </c>
    </row>
    <row r="1001" spans="1:22" x14ac:dyDescent="0.25">
      <c r="A1001">
        <v>920361</v>
      </c>
      <c r="B1001" t="s">
        <v>302</v>
      </c>
      <c r="C1001">
        <v>18</v>
      </c>
      <c r="D1001">
        <v>6</v>
      </c>
      <c r="E1001" t="s">
        <v>303</v>
      </c>
      <c r="F1001" t="s">
        <v>3491</v>
      </c>
      <c r="G1001" t="s">
        <v>1466</v>
      </c>
      <c r="H1001" t="s">
        <v>1475</v>
      </c>
      <c r="I1001" t="s">
        <v>1476</v>
      </c>
      <c r="J1001">
        <v>0</v>
      </c>
      <c r="K1001">
        <v>0</v>
      </c>
      <c r="L1001">
        <v>0</v>
      </c>
      <c r="M1001">
        <v>14.78</v>
      </c>
      <c r="N1001">
        <v>3.5</v>
      </c>
      <c r="O1001">
        <v>3.23</v>
      </c>
      <c r="Q1001" t="s">
        <v>1446</v>
      </c>
      <c r="R1001">
        <v>5907698026334</v>
      </c>
      <c r="S1001">
        <v>0</v>
      </c>
      <c r="V1001">
        <v>3926909790</v>
      </c>
    </row>
    <row r="1002" spans="1:22" x14ac:dyDescent="0.25">
      <c r="A1002">
        <v>920362</v>
      </c>
      <c r="B1002" t="s">
        <v>302</v>
      </c>
      <c r="C1002">
        <v>18</v>
      </c>
      <c r="D1002">
        <v>6</v>
      </c>
      <c r="E1002" t="s">
        <v>303</v>
      </c>
      <c r="F1002" t="s">
        <v>3491</v>
      </c>
      <c r="G1002" t="s">
        <v>1466</v>
      </c>
      <c r="H1002" t="s">
        <v>1477</v>
      </c>
      <c r="I1002" t="s">
        <v>1478</v>
      </c>
      <c r="J1002">
        <v>0</v>
      </c>
      <c r="K1002">
        <v>0</v>
      </c>
      <c r="L1002">
        <v>0</v>
      </c>
      <c r="M1002">
        <v>14.67</v>
      </c>
      <c r="N1002">
        <v>3.48</v>
      </c>
      <c r="O1002">
        <v>3.21</v>
      </c>
      <c r="Q1002" t="s">
        <v>1446</v>
      </c>
      <c r="R1002">
        <v>5907698026341</v>
      </c>
      <c r="S1002">
        <v>0</v>
      </c>
      <c r="V1002">
        <v>3926909790</v>
      </c>
    </row>
    <row r="1003" spans="1:22" x14ac:dyDescent="0.25">
      <c r="A1003">
        <v>920370</v>
      </c>
      <c r="B1003" t="s">
        <v>302</v>
      </c>
      <c r="C1003">
        <v>18</v>
      </c>
      <c r="D1003">
        <v>6</v>
      </c>
      <c r="E1003" t="s">
        <v>303</v>
      </c>
      <c r="F1003" t="s">
        <v>3492</v>
      </c>
      <c r="G1003" t="s">
        <v>1473</v>
      </c>
      <c r="H1003" t="s">
        <v>1479</v>
      </c>
      <c r="I1003" t="s">
        <v>1480</v>
      </c>
      <c r="J1003">
        <v>0</v>
      </c>
      <c r="K1003">
        <v>0</v>
      </c>
      <c r="L1003">
        <v>0</v>
      </c>
      <c r="M1003">
        <v>15.47</v>
      </c>
      <c r="N1003">
        <v>3.66</v>
      </c>
      <c r="O1003">
        <v>3.38</v>
      </c>
      <c r="Q1003" t="s">
        <v>1446</v>
      </c>
      <c r="R1003">
        <v>5907698026365</v>
      </c>
      <c r="S1003">
        <v>0</v>
      </c>
      <c r="V1003">
        <v>3926909790</v>
      </c>
    </row>
    <row r="1004" spans="1:22" x14ac:dyDescent="0.25">
      <c r="A1004">
        <v>920371</v>
      </c>
      <c r="B1004" t="s">
        <v>302</v>
      </c>
      <c r="C1004">
        <v>18</v>
      </c>
      <c r="D1004">
        <v>6</v>
      </c>
      <c r="E1004" t="s">
        <v>303</v>
      </c>
      <c r="F1004" t="s">
        <v>3492</v>
      </c>
      <c r="G1004" t="s">
        <v>1466</v>
      </c>
      <c r="H1004" t="s">
        <v>1481</v>
      </c>
      <c r="I1004" t="s">
        <v>1470</v>
      </c>
      <c r="J1004">
        <v>0</v>
      </c>
      <c r="K1004">
        <v>0</v>
      </c>
      <c r="L1004">
        <v>0</v>
      </c>
      <c r="M1004">
        <v>15.47</v>
      </c>
      <c r="N1004">
        <v>3.66</v>
      </c>
      <c r="O1004">
        <v>3.38</v>
      </c>
      <c r="Q1004" t="s">
        <v>1446</v>
      </c>
      <c r="R1004">
        <v>5907698026372</v>
      </c>
      <c r="S1004">
        <v>0</v>
      </c>
      <c r="V1004">
        <v>3926909790</v>
      </c>
    </row>
    <row r="1005" spans="1:22" x14ac:dyDescent="0.25">
      <c r="A1005">
        <v>920372</v>
      </c>
      <c r="B1005" t="s">
        <v>302</v>
      </c>
      <c r="C1005">
        <v>18</v>
      </c>
      <c r="D1005">
        <v>6</v>
      </c>
      <c r="E1005" t="s">
        <v>303</v>
      </c>
      <c r="F1005" t="s">
        <v>3492</v>
      </c>
      <c r="G1005" t="s">
        <v>1473</v>
      </c>
      <c r="H1005" t="s">
        <v>1482</v>
      </c>
      <c r="I1005" t="s">
        <v>1470</v>
      </c>
      <c r="J1005">
        <v>0</v>
      </c>
      <c r="K1005">
        <v>0</v>
      </c>
      <c r="L1005">
        <v>0</v>
      </c>
      <c r="M1005">
        <v>15.47</v>
      </c>
      <c r="N1005">
        <v>3.66</v>
      </c>
      <c r="O1005">
        <v>3.38</v>
      </c>
      <c r="Q1005" t="s">
        <v>1446</v>
      </c>
      <c r="R1005">
        <v>5907698026389</v>
      </c>
      <c r="S1005">
        <v>0</v>
      </c>
      <c r="V1005">
        <v>3926909790</v>
      </c>
    </row>
    <row r="1006" spans="1:22" x14ac:dyDescent="0.25">
      <c r="A1006">
        <v>920373</v>
      </c>
      <c r="B1006" t="s">
        <v>302</v>
      </c>
      <c r="C1006">
        <v>18</v>
      </c>
      <c r="D1006">
        <v>6</v>
      </c>
      <c r="E1006" t="s">
        <v>303</v>
      </c>
      <c r="F1006" t="s">
        <v>3493</v>
      </c>
      <c r="G1006" t="s">
        <v>1473</v>
      </c>
      <c r="H1006" t="s">
        <v>1483</v>
      </c>
      <c r="I1006" t="s">
        <v>1470</v>
      </c>
      <c r="J1006">
        <v>0</v>
      </c>
      <c r="K1006">
        <v>0</v>
      </c>
      <c r="L1006">
        <v>0</v>
      </c>
      <c r="M1006">
        <v>15.47</v>
      </c>
      <c r="N1006">
        <v>3.66</v>
      </c>
      <c r="O1006">
        <v>3.38</v>
      </c>
      <c r="Q1006" t="s">
        <v>1446</v>
      </c>
      <c r="R1006">
        <v>5907698026396</v>
      </c>
      <c r="S1006">
        <v>0</v>
      </c>
      <c r="V1006">
        <v>3926909790</v>
      </c>
    </row>
    <row r="1007" spans="1:22" x14ac:dyDescent="0.25">
      <c r="A1007">
        <v>920380</v>
      </c>
      <c r="B1007" t="s">
        <v>302</v>
      </c>
      <c r="C1007">
        <v>132</v>
      </c>
      <c r="D1007">
        <v>132</v>
      </c>
      <c r="E1007" t="s">
        <v>303</v>
      </c>
      <c r="F1007" t="s">
        <v>1484</v>
      </c>
      <c r="G1007" t="s">
        <v>1485</v>
      </c>
      <c r="H1007" t="s">
        <v>1486</v>
      </c>
      <c r="I1007" t="s">
        <v>1487</v>
      </c>
      <c r="J1007">
        <v>0</v>
      </c>
      <c r="K1007">
        <v>132</v>
      </c>
      <c r="L1007">
        <v>132</v>
      </c>
      <c r="M1007">
        <v>3.19</v>
      </c>
      <c r="N1007">
        <v>0.87</v>
      </c>
      <c r="O1007">
        <v>0.73</v>
      </c>
      <c r="Q1007" t="s">
        <v>1446</v>
      </c>
      <c r="R1007">
        <v>5907698026402</v>
      </c>
      <c r="S1007">
        <v>264</v>
      </c>
      <c r="V1007">
        <v>7326909890</v>
      </c>
    </row>
    <row r="1008" spans="1:22" x14ac:dyDescent="0.25">
      <c r="A1008">
        <v>920381</v>
      </c>
      <c r="B1008" t="s">
        <v>302</v>
      </c>
      <c r="C1008">
        <v>132</v>
      </c>
      <c r="D1008">
        <v>132</v>
      </c>
      <c r="E1008" t="s">
        <v>303</v>
      </c>
      <c r="F1008" t="s">
        <v>1488</v>
      </c>
      <c r="G1008" t="s">
        <v>1489</v>
      </c>
      <c r="H1008" t="s">
        <v>1490</v>
      </c>
      <c r="I1008" t="s">
        <v>1487</v>
      </c>
      <c r="J1008">
        <v>0</v>
      </c>
      <c r="K1008">
        <v>132</v>
      </c>
      <c r="L1008">
        <v>132</v>
      </c>
      <c r="M1008">
        <v>3.02</v>
      </c>
      <c r="N1008">
        <v>0.81</v>
      </c>
      <c r="O1008">
        <v>0.68</v>
      </c>
      <c r="Q1008" t="s">
        <v>1446</v>
      </c>
      <c r="R1008">
        <v>5907698026419</v>
      </c>
      <c r="S1008">
        <v>264</v>
      </c>
      <c r="V1008">
        <v>7326909890</v>
      </c>
    </row>
    <row r="1009" spans="1:22" x14ac:dyDescent="0.25">
      <c r="A1009">
        <v>920382</v>
      </c>
      <c r="B1009" t="s">
        <v>302</v>
      </c>
      <c r="C1009">
        <v>72</v>
      </c>
      <c r="D1009">
        <v>72</v>
      </c>
      <c r="E1009" t="s">
        <v>303</v>
      </c>
      <c r="F1009" t="s">
        <v>2339</v>
      </c>
      <c r="G1009" t="s">
        <v>2340</v>
      </c>
      <c r="H1009" t="s">
        <v>1691</v>
      </c>
      <c r="I1009" t="s">
        <v>1487</v>
      </c>
      <c r="J1009">
        <v>0</v>
      </c>
      <c r="K1009">
        <v>73</v>
      </c>
      <c r="L1009">
        <v>73</v>
      </c>
      <c r="M1009">
        <v>3.73</v>
      </c>
      <c r="N1009">
        <v>1</v>
      </c>
      <c r="O1009">
        <v>0.84</v>
      </c>
      <c r="Q1009" t="s">
        <v>1446</v>
      </c>
      <c r="R1009">
        <v>5907698026426</v>
      </c>
      <c r="S1009">
        <v>144</v>
      </c>
      <c r="V1009">
        <v>7326909890</v>
      </c>
    </row>
    <row r="1010" spans="1:22" x14ac:dyDescent="0.25">
      <c r="A1010">
        <v>920401</v>
      </c>
      <c r="B1010" t="s">
        <v>302</v>
      </c>
      <c r="C1010">
        <v>36</v>
      </c>
      <c r="E1010" t="s">
        <v>303</v>
      </c>
      <c r="F1010" t="s">
        <v>2341</v>
      </c>
      <c r="G1010" t="s">
        <v>2342</v>
      </c>
      <c r="H1010" t="s">
        <v>2343</v>
      </c>
      <c r="I1010" t="s">
        <v>2344</v>
      </c>
      <c r="J1010">
        <v>133</v>
      </c>
      <c r="K1010">
        <v>0</v>
      </c>
      <c r="L1010">
        <v>133</v>
      </c>
      <c r="M1010">
        <v>6.75</v>
      </c>
      <c r="N1010">
        <v>1.82</v>
      </c>
      <c r="O1010">
        <v>1.53</v>
      </c>
      <c r="Q1010" t="s">
        <v>2</v>
      </c>
      <c r="R1010">
        <v>5907698028611</v>
      </c>
      <c r="S1010">
        <v>480</v>
      </c>
      <c r="T1010" t="s">
        <v>352</v>
      </c>
      <c r="V1010">
        <v>3926909790</v>
      </c>
    </row>
    <row r="1011" spans="1:22" x14ac:dyDescent="0.25">
      <c r="A1011">
        <v>920451</v>
      </c>
      <c r="B1011" t="s">
        <v>302</v>
      </c>
      <c r="C1011">
        <v>11</v>
      </c>
      <c r="D1011">
        <v>0</v>
      </c>
      <c r="E1011" t="s">
        <v>303</v>
      </c>
      <c r="F1011" t="s">
        <v>3494</v>
      </c>
      <c r="G1011" t="s">
        <v>1491</v>
      </c>
      <c r="H1011" t="s">
        <v>2345</v>
      </c>
      <c r="I1011" t="s">
        <v>1492</v>
      </c>
      <c r="J1011">
        <v>16</v>
      </c>
      <c r="K1011">
        <v>0</v>
      </c>
      <c r="L1011">
        <v>16</v>
      </c>
      <c r="M1011">
        <v>18.329999999999998</v>
      </c>
      <c r="N1011">
        <v>4.88</v>
      </c>
      <c r="O1011">
        <v>4.16</v>
      </c>
      <c r="Q1011" t="s">
        <v>2669</v>
      </c>
      <c r="R1011">
        <v>5907698029205</v>
      </c>
      <c r="S1011">
        <v>5</v>
      </c>
      <c r="V1011">
        <v>3926909790</v>
      </c>
    </row>
    <row r="1012" spans="1:22" x14ac:dyDescent="0.25">
      <c r="A1012">
        <v>920452</v>
      </c>
      <c r="B1012" t="s">
        <v>302</v>
      </c>
      <c r="C1012">
        <v>16</v>
      </c>
      <c r="E1012" t="s">
        <v>303</v>
      </c>
      <c r="F1012" t="s">
        <v>3495</v>
      </c>
      <c r="G1012" t="s">
        <v>2346</v>
      </c>
      <c r="H1012" t="s">
        <v>2347</v>
      </c>
      <c r="I1012" t="s">
        <v>2348</v>
      </c>
      <c r="J1012">
        <v>22</v>
      </c>
      <c r="K1012">
        <v>0</v>
      </c>
      <c r="L1012">
        <v>22</v>
      </c>
      <c r="M1012">
        <v>22.1</v>
      </c>
      <c r="N1012">
        <v>5.88</v>
      </c>
      <c r="O1012">
        <v>5.0199999999999996</v>
      </c>
      <c r="Q1012" t="s">
        <v>2669</v>
      </c>
      <c r="R1012">
        <v>5907698029212</v>
      </c>
      <c r="S1012">
        <v>4</v>
      </c>
      <c r="V1012">
        <v>3926909790</v>
      </c>
    </row>
    <row r="1013" spans="1:22" x14ac:dyDescent="0.25">
      <c r="A1013">
        <v>920453</v>
      </c>
      <c r="B1013" t="s">
        <v>302</v>
      </c>
      <c r="C1013">
        <v>26</v>
      </c>
      <c r="D1013">
        <v>0</v>
      </c>
      <c r="E1013" t="s">
        <v>303</v>
      </c>
      <c r="F1013" t="s">
        <v>3496</v>
      </c>
      <c r="G1013" t="s">
        <v>1493</v>
      </c>
      <c r="H1013" t="s">
        <v>2349</v>
      </c>
      <c r="I1013" t="s">
        <v>1494</v>
      </c>
      <c r="J1013">
        <v>76</v>
      </c>
      <c r="K1013">
        <v>0</v>
      </c>
      <c r="L1013">
        <v>76</v>
      </c>
      <c r="M1013">
        <v>3.64</v>
      </c>
      <c r="N1013">
        <v>0.96</v>
      </c>
      <c r="O1013">
        <v>0.83</v>
      </c>
      <c r="Q1013" t="s">
        <v>2669</v>
      </c>
      <c r="R1013">
        <v>5907698029229</v>
      </c>
      <c r="S1013">
        <v>25</v>
      </c>
      <c r="V1013">
        <v>7326909800</v>
      </c>
    </row>
    <row r="1014" spans="1:22" x14ac:dyDescent="0.25">
      <c r="A1014">
        <v>920454</v>
      </c>
      <c r="B1014" t="s">
        <v>302</v>
      </c>
      <c r="C1014">
        <v>26</v>
      </c>
      <c r="D1014">
        <v>0</v>
      </c>
      <c r="E1014" t="s">
        <v>303</v>
      </c>
      <c r="F1014" t="s">
        <v>3496</v>
      </c>
      <c r="G1014" t="s">
        <v>1493</v>
      </c>
      <c r="H1014" t="s">
        <v>1495</v>
      </c>
      <c r="I1014" t="s">
        <v>1494</v>
      </c>
      <c r="J1014">
        <v>99</v>
      </c>
      <c r="K1014">
        <v>6</v>
      </c>
      <c r="L1014">
        <v>105</v>
      </c>
      <c r="M1014">
        <v>5.07</v>
      </c>
      <c r="N1014">
        <v>1.38</v>
      </c>
      <c r="O1014">
        <v>1.1599999999999999</v>
      </c>
      <c r="Q1014" t="s">
        <v>2669</v>
      </c>
      <c r="R1014">
        <v>5907698029236</v>
      </c>
      <c r="S1014">
        <v>10</v>
      </c>
      <c r="V1014">
        <v>7326909800</v>
      </c>
    </row>
    <row r="1015" spans="1:22" x14ac:dyDescent="0.25">
      <c r="A1015">
        <v>920455</v>
      </c>
      <c r="B1015" t="s">
        <v>302</v>
      </c>
      <c r="C1015">
        <v>16</v>
      </c>
      <c r="D1015">
        <v>0</v>
      </c>
      <c r="E1015" t="s">
        <v>303</v>
      </c>
      <c r="F1015" t="s">
        <v>3497</v>
      </c>
      <c r="G1015" t="s">
        <v>2350</v>
      </c>
      <c r="H1015" t="s">
        <v>2351</v>
      </c>
      <c r="I1015" t="s">
        <v>2352</v>
      </c>
      <c r="J1015">
        <v>54</v>
      </c>
      <c r="K1015">
        <v>0</v>
      </c>
      <c r="L1015">
        <v>54</v>
      </c>
      <c r="M1015">
        <v>10.27</v>
      </c>
      <c r="N1015">
        <v>2.73</v>
      </c>
      <c r="O1015">
        <v>2.33</v>
      </c>
      <c r="Q1015" t="s">
        <v>2669</v>
      </c>
      <c r="R1015">
        <v>5907698029243</v>
      </c>
      <c r="S1015">
        <v>10</v>
      </c>
      <c r="V1015">
        <v>7326909800</v>
      </c>
    </row>
    <row r="1016" spans="1:22" x14ac:dyDescent="0.25">
      <c r="A1016">
        <v>920456</v>
      </c>
      <c r="B1016" t="s">
        <v>302</v>
      </c>
      <c r="C1016">
        <v>12</v>
      </c>
      <c r="D1016">
        <v>0</v>
      </c>
      <c r="E1016" t="s">
        <v>303</v>
      </c>
      <c r="F1016" t="s">
        <v>3497</v>
      </c>
      <c r="G1016" t="s">
        <v>2350</v>
      </c>
      <c r="H1016" t="s">
        <v>2353</v>
      </c>
      <c r="I1016" t="s">
        <v>2352</v>
      </c>
      <c r="J1016">
        <v>20</v>
      </c>
      <c r="K1016">
        <v>0</v>
      </c>
      <c r="L1016">
        <v>20</v>
      </c>
      <c r="M1016">
        <v>13.78</v>
      </c>
      <c r="N1016">
        <v>3.76</v>
      </c>
      <c r="O1016">
        <v>3.15</v>
      </c>
      <c r="Q1016" t="s">
        <v>2669</v>
      </c>
      <c r="R1016">
        <v>5907698029250</v>
      </c>
      <c r="S1016">
        <v>20</v>
      </c>
      <c r="V1016">
        <v>7326909800</v>
      </c>
    </row>
    <row r="1017" spans="1:22" x14ac:dyDescent="0.25">
      <c r="A1017">
        <v>930620</v>
      </c>
      <c r="B1017" t="s">
        <v>302</v>
      </c>
      <c r="C1017">
        <v>24</v>
      </c>
      <c r="D1017">
        <v>0</v>
      </c>
      <c r="E1017" t="s">
        <v>303</v>
      </c>
      <c r="F1017" t="s">
        <v>1496</v>
      </c>
      <c r="G1017" t="s">
        <v>1497</v>
      </c>
      <c r="H1017" t="s">
        <v>1498</v>
      </c>
      <c r="I1017" t="s">
        <v>1499</v>
      </c>
      <c r="J1017">
        <v>489</v>
      </c>
      <c r="K1017">
        <v>0</v>
      </c>
      <c r="L1017">
        <v>489</v>
      </c>
      <c r="M1017">
        <v>14.31</v>
      </c>
      <c r="N1017">
        <v>3.39</v>
      </c>
      <c r="O1017">
        <v>3.13</v>
      </c>
      <c r="Q1017" t="s">
        <v>336</v>
      </c>
      <c r="R1017">
        <v>5907698018452</v>
      </c>
      <c r="S1017">
        <v>600</v>
      </c>
      <c r="T1017" t="s">
        <v>360</v>
      </c>
      <c r="V1017">
        <v>8201400000</v>
      </c>
    </row>
    <row r="1018" spans="1:22" x14ac:dyDescent="0.25">
      <c r="A1018">
        <v>931260</v>
      </c>
      <c r="B1018" t="s">
        <v>302</v>
      </c>
      <c r="C1018">
        <v>12</v>
      </c>
      <c r="E1018" t="s">
        <v>303</v>
      </c>
      <c r="F1018" t="s">
        <v>1500</v>
      </c>
      <c r="G1018" t="s">
        <v>1501</v>
      </c>
      <c r="H1018" t="s">
        <v>1502</v>
      </c>
      <c r="I1018" t="s">
        <v>1503</v>
      </c>
      <c r="J1018">
        <v>80</v>
      </c>
      <c r="K1018">
        <v>0</v>
      </c>
      <c r="L1018">
        <v>80</v>
      </c>
      <c r="M1018">
        <v>27.75</v>
      </c>
      <c r="N1018">
        <v>6.57</v>
      </c>
      <c r="O1018">
        <v>6.07</v>
      </c>
      <c r="Q1018" t="s">
        <v>336</v>
      </c>
      <c r="R1018">
        <v>5907698018483</v>
      </c>
      <c r="S1018">
        <v>140</v>
      </c>
      <c r="T1018" t="s">
        <v>360</v>
      </c>
      <c r="V1018">
        <v>8201400000</v>
      </c>
    </row>
    <row r="1019" spans="1:22" x14ac:dyDescent="0.25">
      <c r="A1019">
        <v>940000</v>
      </c>
      <c r="B1019" t="s">
        <v>302</v>
      </c>
      <c r="C1019">
        <v>24</v>
      </c>
      <c r="E1019" t="s">
        <v>303</v>
      </c>
      <c r="F1019" t="s">
        <v>3498</v>
      </c>
      <c r="G1019" t="s">
        <v>1504</v>
      </c>
      <c r="H1019" t="s">
        <v>1347</v>
      </c>
      <c r="I1019" t="s">
        <v>1505</v>
      </c>
      <c r="J1019">
        <v>5</v>
      </c>
      <c r="K1019">
        <v>0</v>
      </c>
      <c r="L1019">
        <v>5</v>
      </c>
      <c r="M1019">
        <v>5.63</v>
      </c>
      <c r="N1019">
        <v>1.35</v>
      </c>
      <c r="O1019">
        <v>1.25</v>
      </c>
      <c r="Q1019" t="s">
        <v>2548</v>
      </c>
      <c r="R1019">
        <v>5907698018506</v>
      </c>
      <c r="S1019">
        <v>850</v>
      </c>
      <c r="T1019" t="s">
        <v>360</v>
      </c>
      <c r="V1019">
        <v>8202100000</v>
      </c>
    </row>
    <row r="1020" spans="1:22" x14ac:dyDescent="0.25">
      <c r="A1020">
        <v>940018</v>
      </c>
      <c r="B1020" t="s">
        <v>302</v>
      </c>
      <c r="C1020">
        <v>72</v>
      </c>
      <c r="D1020">
        <v>12</v>
      </c>
      <c r="E1020" t="s">
        <v>303</v>
      </c>
      <c r="F1020" t="s">
        <v>3499</v>
      </c>
      <c r="G1020" t="s">
        <v>1506</v>
      </c>
      <c r="H1020" t="s">
        <v>1507</v>
      </c>
      <c r="I1020" t="s">
        <v>1508</v>
      </c>
      <c r="J1020">
        <v>1191</v>
      </c>
      <c r="K1020">
        <v>0</v>
      </c>
      <c r="L1020">
        <v>1191</v>
      </c>
      <c r="M1020">
        <v>6.97</v>
      </c>
      <c r="N1020">
        <v>1.87</v>
      </c>
      <c r="O1020">
        <v>1.6</v>
      </c>
      <c r="Q1020" t="s">
        <v>2548</v>
      </c>
      <c r="R1020">
        <v>5907698025665</v>
      </c>
      <c r="S1020">
        <v>500</v>
      </c>
      <c r="T1020" t="s">
        <v>383</v>
      </c>
      <c r="V1020">
        <v>8202100000</v>
      </c>
    </row>
    <row r="1021" spans="1:22" x14ac:dyDescent="0.25">
      <c r="A1021">
        <v>940032</v>
      </c>
      <c r="B1021" t="s">
        <v>302</v>
      </c>
      <c r="C1021">
        <v>48</v>
      </c>
      <c r="D1021">
        <v>12</v>
      </c>
      <c r="E1021" t="s">
        <v>303</v>
      </c>
      <c r="F1021" t="s">
        <v>3500</v>
      </c>
      <c r="G1021" t="s">
        <v>1509</v>
      </c>
      <c r="H1021" t="s">
        <v>1510</v>
      </c>
      <c r="I1021" t="s">
        <v>1511</v>
      </c>
      <c r="J1021">
        <v>416</v>
      </c>
      <c r="K1021">
        <v>0</v>
      </c>
      <c r="L1021">
        <v>416</v>
      </c>
      <c r="M1021">
        <v>9.9499999999999993</v>
      </c>
      <c r="N1021">
        <v>2.67</v>
      </c>
      <c r="O1021">
        <v>2.27</v>
      </c>
      <c r="Q1021" t="s">
        <v>2548</v>
      </c>
      <c r="R1021">
        <v>5907698028406</v>
      </c>
      <c r="S1021">
        <v>400</v>
      </c>
      <c r="T1021" t="s">
        <v>383</v>
      </c>
      <c r="V1021">
        <v>8202100000</v>
      </c>
    </row>
    <row r="1022" spans="1:22" x14ac:dyDescent="0.25">
      <c r="A1022">
        <v>940035</v>
      </c>
      <c r="B1022" t="s">
        <v>302</v>
      </c>
      <c r="C1022">
        <v>48</v>
      </c>
      <c r="D1022">
        <v>12</v>
      </c>
      <c r="E1022" t="s">
        <v>303</v>
      </c>
      <c r="F1022" t="s">
        <v>3500</v>
      </c>
      <c r="G1022" t="s">
        <v>1509</v>
      </c>
      <c r="H1022" t="s">
        <v>1512</v>
      </c>
      <c r="I1022" t="s">
        <v>1511</v>
      </c>
      <c r="J1022">
        <v>142</v>
      </c>
      <c r="K1022">
        <v>0</v>
      </c>
      <c r="L1022">
        <v>142</v>
      </c>
      <c r="M1022">
        <v>13.74</v>
      </c>
      <c r="N1022">
        <v>3.7</v>
      </c>
      <c r="O1022">
        <v>3.14</v>
      </c>
      <c r="Q1022" t="s">
        <v>2548</v>
      </c>
      <c r="R1022">
        <v>5907698027874</v>
      </c>
      <c r="S1022">
        <v>200</v>
      </c>
      <c r="T1022" t="s">
        <v>383</v>
      </c>
      <c r="V1022">
        <v>8202100000</v>
      </c>
    </row>
    <row r="1023" spans="1:22" x14ac:dyDescent="0.25">
      <c r="A1023">
        <v>940040</v>
      </c>
      <c r="B1023" t="s">
        <v>3027</v>
      </c>
      <c r="C1023">
        <v>40</v>
      </c>
      <c r="D1023">
        <v>0</v>
      </c>
      <c r="E1023" t="s">
        <v>303</v>
      </c>
      <c r="F1023" t="s">
        <v>3501</v>
      </c>
      <c r="G1023" t="s">
        <v>2354</v>
      </c>
      <c r="H1023" t="s">
        <v>2355</v>
      </c>
      <c r="I1023" t="s">
        <v>2356</v>
      </c>
      <c r="J1023">
        <v>38</v>
      </c>
      <c r="K1023">
        <v>0</v>
      </c>
      <c r="L1023">
        <v>38</v>
      </c>
      <c r="M1023">
        <v>14.81</v>
      </c>
      <c r="N1023">
        <v>3.57</v>
      </c>
      <c r="O1023">
        <v>3.28</v>
      </c>
      <c r="Q1023" t="s">
        <v>2548</v>
      </c>
      <c r="R1023">
        <v>5907698028413</v>
      </c>
      <c r="S1023">
        <v>30</v>
      </c>
      <c r="T1023" t="s">
        <v>383</v>
      </c>
      <c r="V1023">
        <v>8202100000</v>
      </c>
    </row>
    <row r="1024" spans="1:22" x14ac:dyDescent="0.25">
      <c r="A1024">
        <v>941100</v>
      </c>
      <c r="B1024" t="s">
        <v>302</v>
      </c>
      <c r="C1024">
        <v>72</v>
      </c>
      <c r="D1024">
        <v>12</v>
      </c>
      <c r="E1024" t="s">
        <v>303</v>
      </c>
      <c r="F1024" t="s">
        <v>1513</v>
      </c>
      <c r="G1024" t="s">
        <v>1514</v>
      </c>
      <c r="H1024" t="s">
        <v>1515</v>
      </c>
      <c r="I1024" t="s">
        <v>1516</v>
      </c>
      <c r="J1024">
        <v>1214</v>
      </c>
      <c r="K1024">
        <v>2</v>
      </c>
      <c r="L1024">
        <v>1216</v>
      </c>
      <c r="M1024">
        <v>5.8</v>
      </c>
      <c r="N1024">
        <v>1.46</v>
      </c>
      <c r="O1024">
        <v>1.26</v>
      </c>
      <c r="Q1024" t="s">
        <v>2548</v>
      </c>
      <c r="R1024">
        <v>5907698018520</v>
      </c>
      <c r="S1024">
        <v>1000</v>
      </c>
      <c r="T1024" t="s">
        <v>383</v>
      </c>
      <c r="V1024">
        <v>8201500000</v>
      </c>
    </row>
    <row r="1025" spans="1:22" x14ac:dyDescent="0.25">
      <c r="A1025">
        <v>941200</v>
      </c>
      <c r="B1025" t="s">
        <v>302</v>
      </c>
      <c r="C1025">
        <v>60</v>
      </c>
      <c r="D1025">
        <v>12</v>
      </c>
      <c r="E1025" t="s">
        <v>303</v>
      </c>
      <c r="F1025" t="s">
        <v>3502</v>
      </c>
      <c r="G1025" t="s">
        <v>1517</v>
      </c>
      <c r="H1025" t="s">
        <v>522</v>
      </c>
      <c r="I1025" t="s">
        <v>1518</v>
      </c>
      <c r="J1025">
        <v>940</v>
      </c>
      <c r="K1025">
        <v>1</v>
      </c>
      <c r="L1025">
        <v>941</v>
      </c>
      <c r="M1025">
        <v>6.54</v>
      </c>
      <c r="N1025">
        <v>1.76</v>
      </c>
      <c r="O1025">
        <v>1.48</v>
      </c>
      <c r="Q1025" t="s">
        <v>2548</v>
      </c>
      <c r="R1025">
        <v>5907698018537</v>
      </c>
      <c r="S1025">
        <v>1100</v>
      </c>
      <c r="T1025" t="s">
        <v>383</v>
      </c>
      <c r="V1025">
        <v>8201500000</v>
      </c>
    </row>
    <row r="1026" spans="1:22" x14ac:dyDescent="0.25">
      <c r="A1026">
        <v>941402</v>
      </c>
      <c r="B1026" t="s">
        <v>302</v>
      </c>
      <c r="C1026">
        <v>60</v>
      </c>
      <c r="D1026">
        <v>12</v>
      </c>
      <c r="E1026" t="s">
        <v>303</v>
      </c>
      <c r="F1026" t="s">
        <v>1513</v>
      </c>
      <c r="G1026" t="s">
        <v>1519</v>
      </c>
      <c r="H1026" t="s">
        <v>1520</v>
      </c>
      <c r="I1026" t="s">
        <v>1516</v>
      </c>
      <c r="J1026">
        <v>1595</v>
      </c>
      <c r="K1026">
        <v>0</v>
      </c>
      <c r="L1026">
        <v>1595</v>
      </c>
      <c r="M1026">
        <v>7.53</v>
      </c>
      <c r="N1026">
        <v>1.81</v>
      </c>
      <c r="O1026">
        <v>1.65</v>
      </c>
      <c r="Q1026" t="s">
        <v>2</v>
      </c>
      <c r="R1026">
        <v>5907698020103</v>
      </c>
      <c r="S1026">
        <v>1300</v>
      </c>
      <c r="T1026" t="s">
        <v>383</v>
      </c>
      <c r="V1026">
        <v>8201500000</v>
      </c>
    </row>
    <row r="1027" spans="1:22" x14ac:dyDescent="0.25">
      <c r="A1027">
        <v>941406</v>
      </c>
      <c r="B1027" t="s">
        <v>302</v>
      </c>
      <c r="C1027">
        <v>60</v>
      </c>
      <c r="D1027">
        <v>12</v>
      </c>
      <c r="E1027" t="s">
        <v>303</v>
      </c>
      <c r="F1027" t="s">
        <v>3503</v>
      </c>
      <c r="G1027" t="s">
        <v>1521</v>
      </c>
      <c r="H1027" t="s">
        <v>522</v>
      </c>
      <c r="I1027" t="s">
        <v>1522</v>
      </c>
      <c r="J1027">
        <v>210</v>
      </c>
      <c r="K1027">
        <v>24</v>
      </c>
      <c r="L1027">
        <v>234</v>
      </c>
      <c r="M1027">
        <v>7.76</v>
      </c>
      <c r="N1027">
        <v>1.83</v>
      </c>
      <c r="O1027">
        <v>1.7</v>
      </c>
      <c r="Q1027" t="s">
        <v>2</v>
      </c>
      <c r="R1027">
        <v>5907698021490</v>
      </c>
      <c r="S1027">
        <v>150</v>
      </c>
      <c r="T1027" t="s">
        <v>383</v>
      </c>
      <c r="V1027">
        <v>8201500000</v>
      </c>
    </row>
    <row r="1028" spans="1:22" x14ac:dyDescent="0.25">
      <c r="A1028">
        <v>941408</v>
      </c>
      <c r="B1028" t="s">
        <v>302</v>
      </c>
      <c r="C1028">
        <v>60</v>
      </c>
      <c r="D1028">
        <v>10</v>
      </c>
      <c r="E1028" t="s">
        <v>303</v>
      </c>
      <c r="F1028" t="s">
        <v>1513</v>
      </c>
      <c r="G1028" t="s">
        <v>1519</v>
      </c>
      <c r="H1028" t="s">
        <v>1523</v>
      </c>
      <c r="I1028" t="s">
        <v>1516</v>
      </c>
      <c r="J1028">
        <v>411</v>
      </c>
      <c r="K1028">
        <v>0</v>
      </c>
      <c r="L1028">
        <v>411</v>
      </c>
      <c r="M1028">
        <v>17.05</v>
      </c>
      <c r="N1028">
        <v>4.03</v>
      </c>
      <c r="O1028">
        <v>3.73</v>
      </c>
      <c r="Q1028" t="s">
        <v>336</v>
      </c>
      <c r="R1028">
        <v>5907698027225</v>
      </c>
      <c r="S1028">
        <v>120</v>
      </c>
      <c r="T1028" t="s">
        <v>383</v>
      </c>
      <c r="V1028">
        <v>8201500000</v>
      </c>
    </row>
    <row r="1029" spans="1:22" x14ac:dyDescent="0.25">
      <c r="A1029">
        <v>941410</v>
      </c>
      <c r="B1029" t="s">
        <v>302</v>
      </c>
      <c r="C1029">
        <v>60</v>
      </c>
      <c r="D1029">
        <v>12</v>
      </c>
      <c r="E1029" t="s">
        <v>303</v>
      </c>
      <c r="F1029" t="s">
        <v>1513</v>
      </c>
      <c r="G1029" t="s">
        <v>1519</v>
      </c>
      <c r="H1029" t="s">
        <v>2357</v>
      </c>
      <c r="I1029" t="s">
        <v>1516</v>
      </c>
      <c r="J1029">
        <v>672</v>
      </c>
      <c r="K1029">
        <v>0</v>
      </c>
      <c r="L1029">
        <v>672</v>
      </c>
      <c r="M1029">
        <v>15.32</v>
      </c>
      <c r="N1029">
        <v>3.68</v>
      </c>
      <c r="O1029">
        <v>3.36</v>
      </c>
      <c r="Q1029" t="s">
        <v>2</v>
      </c>
      <c r="R1029">
        <v>5907698028499</v>
      </c>
      <c r="S1029">
        <v>300</v>
      </c>
      <c r="T1029" t="s">
        <v>383</v>
      </c>
      <c r="V1029">
        <v>8201500000</v>
      </c>
    </row>
    <row r="1030" spans="1:22" x14ac:dyDescent="0.25">
      <c r="A1030">
        <v>943000</v>
      </c>
      <c r="B1030" t="s">
        <v>302</v>
      </c>
      <c r="C1030">
        <v>12</v>
      </c>
      <c r="D1030">
        <v>0</v>
      </c>
      <c r="E1030" t="s">
        <v>303</v>
      </c>
      <c r="F1030" t="s">
        <v>3504</v>
      </c>
      <c r="G1030" t="s">
        <v>1524</v>
      </c>
      <c r="H1030" t="s">
        <v>1525</v>
      </c>
      <c r="I1030" t="s">
        <v>1526</v>
      </c>
      <c r="J1030">
        <v>334</v>
      </c>
      <c r="K1030">
        <v>0</v>
      </c>
      <c r="L1030">
        <v>334</v>
      </c>
      <c r="M1030">
        <v>12.04</v>
      </c>
      <c r="N1030">
        <v>2.85</v>
      </c>
      <c r="O1030">
        <v>2.64</v>
      </c>
      <c r="Q1030" t="s">
        <v>2548</v>
      </c>
      <c r="R1030">
        <v>5907698018568</v>
      </c>
      <c r="S1030">
        <v>300</v>
      </c>
      <c r="T1030" t="s">
        <v>360</v>
      </c>
      <c r="V1030">
        <v>8201600000</v>
      </c>
    </row>
    <row r="1031" spans="1:22" x14ac:dyDescent="0.25">
      <c r="A1031">
        <v>943020</v>
      </c>
      <c r="B1031" t="s">
        <v>302</v>
      </c>
      <c r="C1031">
        <v>8</v>
      </c>
      <c r="E1031" t="s">
        <v>303</v>
      </c>
      <c r="F1031" t="s">
        <v>3504</v>
      </c>
      <c r="G1031" t="s">
        <v>1524</v>
      </c>
      <c r="H1031" t="s">
        <v>1527</v>
      </c>
      <c r="I1031" t="s">
        <v>1526</v>
      </c>
      <c r="J1031">
        <v>400</v>
      </c>
      <c r="K1031">
        <v>0</v>
      </c>
      <c r="L1031">
        <v>400</v>
      </c>
      <c r="M1031">
        <v>33.51</v>
      </c>
      <c r="N1031">
        <v>8.5299999999999994</v>
      </c>
      <c r="O1031">
        <v>7.55</v>
      </c>
      <c r="Q1031" t="s">
        <v>2</v>
      </c>
      <c r="R1031">
        <v>5907698028734</v>
      </c>
      <c r="S1031">
        <v>130</v>
      </c>
      <c r="T1031" t="s">
        <v>360</v>
      </c>
      <c r="V1031">
        <v>8201600000</v>
      </c>
    </row>
    <row r="1032" spans="1:22" x14ac:dyDescent="0.25">
      <c r="A1032">
        <v>943121</v>
      </c>
      <c r="B1032" t="s">
        <v>3008</v>
      </c>
      <c r="C1032">
        <v>8</v>
      </c>
      <c r="E1032" t="s">
        <v>303</v>
      </c>
      <c r="F1032" t="s">
        <v>3505</v>
      </c>
      <c r="G1032" t="s">
        <v>1528</v>
      </c>
      <c r="H1032" t="s">
        <v>1529</v>
      </c>
      <c r="I1032" t="s">
        <v>1530</v>
      </c>
      <c r="J1032">
        <v>179</v>
      </c>
      <c r="K1032">
        <v>0</v>
      </c>
      <c r="L1032">
        <v>179</v>
      </c>
      <c r="M1032">
        <v>39.58</v>
      </c>
      <c r="N1032">
        <v>9.5</v>
      </c>
      <c r="O1032">
        <v>8.69</v>
      </c>
      <c r="Q1032" t="s">
        <v>2</v>
      </c>
      <c r="R1032">
        <v>5907698028963</v>
      </c>
      <c r="S1032">
        <v>300</v>
      </c>
      <c r="T1032" t="s">
        <v>331</v>
      </c>
      <c r="V1032">
        <v>8201600000</v>
      </c>
    </row>
    <row r="1033" spans="1:22" x14ac:dyDescent="0.25">
      <c r="A1033">
        <v>944009</v>
      </c>
      <c r="B1033" t="s">
        <v>3034</v>
      </c>
      <c r="C1033">
        <v>8</v>
      </c>
      <c r="E1033" t="s">
        <v>303</v>
      </c>
      <c r="F1033" t="s">
        <v>3504</v>
      </c>
      <c r="G1033" t="s">
        <v>1524</v>
      </c>
      <c r="H1033" t="s">
        <v>2358</v>
      </c>
      <c r="I1033" t="s">
        <v>1526</v>
      </c>
      <c r="J1033">
        <v>374</v>
      </c>
      <c r="K1033">
        <v>0</v>
      </c>
      <c r="L1033">
        <v>374</v>
      </c>
      <c r="M1033">
        <v>21.21</v>
      </c>
      <c r="N1033">
        <v>5.39</v>
      </c>
      <c r="O1033">
        <v>4.7699999999999996</v>
      </c>
      <c r="Q1033" t="s">
        <v>2</v>
      </c>
      <c r="R1033">
        <v>5907698028956</v>
      </c>
      <c r="S1033">
        <v>170</v>
      </c>
      <c r="T1033" t="s">
        <v>360</v>
      </c>
      <c r="V1033">
        <v>8201600000</v>
      </c>
    </row>
    <row r="1034" spans="1:22" x14ac:dyDescent="0.25">
      <c r="A1034">
        <v>944010</v>
      </c>
      <c r="B1034" t="s">
        <v>302</v>
      </c>
      <c r="C1034">
        <v>12</v>
      </c>
      <c r="E1034" t="s">
        <v>303</v>
      </c>
      <c r="F1034" t="s">
        <v>3506</v>
      </c>
      <c r="G1034" t="s">
        <v>1531</v>
      </c>
      <c r="H1034" t="s">
        <v>1532</v>
      </c>
      <c r="I1034" t="s">
        <v>1533</v>
      </c>
      <c r="J1034">
        <v>174</v>
      </c>
      <c r="K1034">
        <v>0</v>
      </c>
      <c r="L1034">
        <v>174</v>
      </c>
      <c r="M1034">
        <v>26.33</v>
      </c>
      <c r="N1034">
        <v>7.09</v>
      </c>
      <c r="O1034">
        <v>5.99</v>
      </c>
      <c r="Q1034" t="s">
        <v>2548</v>
      </c>
      <c r="R1034">
        <v>5907698018605</v>
      </c>
      <c r="S1034">
        <v>150</v>
      </c>
      <c r="T1034" t="s">
        <v>360</v>
      </c>
      <c r="V1034">
        <v>8201600000</v>
      </c>
    </row>
    <row r="1035" spans="1:22" x14ac:dyDescent="0.25">
      <c r="A1035">
        <v>947091</v>
      </c>
      <c r="B1035" t="s">
        <v>302</v>
      </c>
      <c r="C1035">
        <v>1</v>
      </c>
      <c r="D1035">
        <v>1</v>
      </c>
      <c r="E1035" t="s">
        <v>303</v>
      </c>
      <c r="F1035" t="s">
        <v>1534</v>
      </c>
      <c r="G1035" t="s">
        <v>1535</v>
      </c>
      <c r="H1035" t="s">
        <v>1536</v>
      </c>
      <c r="I1035" t="s">
        <v>1537</v>
      </c>
      <c r="J1035">
        <v>0</v>
      </c>
      <c r="K1035">
        <v>0</v>
      </c>
      <c r="L1035">
        <v>0</v>
      </c>
      <c r="M1035">
        <v>24.17</v>
      </c>
      <c r="N1035">
        <v>5.72</v>
      </c>
      <c r="O1035">
        <v>5.28</v>
      </c>
      <c r="Q1035" t="s">
        <v>2578</v>
      </c>
      <c r="R1035">
        <v>5907698026464</v>
      </c>
      <c r="S1035">
        <v>8</v>
      </c>
      <c r="V1035">
        <v>8201900000</v>
      </c>
    </row>
    <row r="1036" spans="1:22" x14ac:dyDescent="0.25">
      <c r="A1036">
        <v>947096</v>
      </c>
      <c r="B1036" t="s">
        <v>302</v>
      </c>
      <c r="C1036">
        <v>25</v>
      </c>
      <c r="D1036">
        <v>1</v>
      </c>
      <c r="E1036" t="s">
        <v>303</v>
      </c>
      <c r="F1036" t="s">
        <v>1538</v>
      </c>
      <c r="G1036" t="s">
        <v>1539</v>
      </c>
      <c r="H1036" t="s">
        <v>1423</v>
      </c>
      <c r="I1036" t="s">
        <v>1540</v>
      </c>
      <c r="J1036">
        <v>0</v>
      </c>
      <c r="K1036">
        <v>0</v>
      </c>
      <c r="L1036">
        <v>0</v>
      </c>
      <c r="M1036">
        <v>28.4</v>
      </c>
      <c r="N1036">
        <v>6.72</v>
      </c>
      <c r="O1036">
        <v>6.22</v>
      </c>
      <c r="Q1036" t="s">
        <v>2578</v>
      </c>
      <c r="R1036">
        <v>5907698026594</v>
      </c>
      <c r="S1036">
        <v>8</v>
      </c>
      <c r="V1036">
        <v>8201900000</v>
      </c>
    </row>
    <row r="1037" spans="1:22" x14ac:dyDescent="0.25">
      <c r="A1037">
        <v>947097</v>
      </c>
      <c r="B1037" t="s">
        <v>302</v>
      </c>
      <c r="C1037">
        <v>25</v>
      </c>
      <c r="D1037">
        <v>1</v>
      </c>
      <c r="E1037" t="s">
        <v>303</v>
      </c>
      <c r="F1037" t="s">
        <v>1538</v>
      </c>
      <c r="G1037" t="s">
        <v>1539</v>
      </c>
      <c r="H1037" t="s">
        <v>1541</v>
      </c>
      <c r="I1037" t="s">
        <v>1540</v>
      </c>
      <c r="J1037">
        <v>0</v>
      </c>
      <c r="K1037">
        <v>0</v>
      </c>
      <c r="L1037">
        <v>0</v>
      </c>
      <c r="M1037">
        <v>29.31</v>
      </c>
      <c r="N1037">
        <v>6.94</v>
      </c>
      <c r="O1037">
        <v>6.42</v>
      </c>
      <c r="Q1037" t="s">
        <v>2578</v>
      </c>
      <c r="R1037">
        <v>5907698026471</v>
      </c>
      <c r="S1037">
        <v>8</v>
      </c>
      <c r="V1037">
        <v>8201900000</v>
      </c>
    </row>
    <row r="1038" spans="1:22" x14ac:dyDescent="0.25">
      <c r="A1038">
        <v>947098</v>
      </c>
      <c r="B1038" t="s">
        <v>302</v>
      </c>
      <c r="C1038">
        <v>25</v>
      </c>
      <c r="D1038">
        <v>1</v>
      </c>
      <c r="E1038" t="s">
        <v>303</v>
      </c>
      <c r="F1038" t="s">
        <v>1538</v>
      </c>
      <c r="G1038" t="s">
        <v>1542</v>
      </c>
      <c r="H1038" t="s">
        <v>1425</v>
      </c>
      <c r="I1038" t="s">
        <v>1540</v>
      </c>
      <c r="J1038">
        <v>0</v>
      </c>
      <c r="K1038">
        <v>0</v>
      </c>
      <c r="L1038">
        <v>0</v>
      </c>
      <c r="M1038">
        <v>31.65</v>
      </c>
      <c r="N1038">
        <v>7.48</v>
      </c>
      <c r="O1038">
        <v>6.92</v>
      </c>
      <c r="Q1038" t="s">
        <v>2578</v>
      </c>
      <c r="R1038">
        <v>5907698026488</v>
      </c>
      <c r="S1038">
        <v>8</v>
      </c>
      <c r="V1038">
        <v>8201900000</v>
      </c>
    </row>
    <row r="1039" spans="1:22" x14ac:dyDescent="0.25">
      <c r="A1039">
        <v>947099</v>
      </c>
      <c r="B1039" t="s">
        <v>302</v>
      </c>
      <c r="C1039">
        <v>25</v>
      </c>
      <c r="D1039">
        <v>1</v>
      </c>
      <c r="E1039" t="s">
        <v>303</v>
      </c>
      <c r="F1039" t="s">
        <v>1538</v>
      </c>
      <c r="G1039" t="s">
        <v>1539</v>
      </c>
      <c r="H1039" t="s">
        <v>1543</v>
      </c>
      <c r="I1039" t="s">
        <v>1540</v>
      </c>
      <c r="J1039">
        <v>0</v>
      </c>
      <c r="K1039">
        <v>0</v>
      </c>
      <c r="L1039">
        <v>0</v>
      </c>
      <c r="M1039">
        <v>33.130000000000003</v>
      </c>
      <c r="N1039">
        <v>7.84</v>
      </c>
      <c r="O1039">
        <v>7.25</v>
      </c>
      <c r="Q1039" t="s">
        <v>2578</v>
      </c>
      <c r="R1039">
        <v>5907698026563</v>
      </c>
      <c r="S1039">
        <v>8</v>
      </c>
      <c r="V1039">
        <v>8201900000</v>
      </c>
    </row>
    <row r="1040" spans="1:22" x14ac:dyDescent="0.25">
      <c r="A1040">
        <v>955001</v>
      </c>
      <c r="B1040" t="s">
        <v>2993</v>
      </c>
      <c r="C1040">
        <v>200</v>
      </c>
      <c r="E1040" t="s">
        <v>303</v>
      </c>
      <c r="F1040" t="s">
        <v>3817</v>
      </c>
      <c r="G1040" t="s">
        <v>3818</v>
      </c>
      <c r="H1040" t="s">
        <v>3819</v>
      </c>
      <c r="I1040" t="s">
        <v>3820</v>
      </c>
      <c r="J1040">
        <v>399</v>
      </c>
      <c r="K1040">
        <v>0</v>
      </c>
      <c r="L1040">
        <v>399</v>
      </c>
      <c r="M1040">
        <v>3.25</v>
      </c>
      <c r="N1040">
        <v>0.86</v>
      </c>
      <c r="O1040">
        <v>0.73</v>
      </c>
      <c r="Q1040" t="s">
        <v>3745</v>
      </c>
      <c r="R1040">
        <v>5907698031116</v>
      </c>
      <c r="S1040">
        <v>100</v>
      </c>
      <c r="T1040" t="s">
        <v>3507</v>
      </c>
      <c r="U1040" t="s">
        <v>3479</v>
      </c>
      <c r="V1040">
        <v>6804223000</v>
      </c>
    </row>
    <row r="1041" spans="1:22" x14ac:dyDescent="0.25">
      <c r="A1041">
        <v>955020</v>
      </c>
      <c r="B1041" t="s">
        <v>302</v>
      </c>
      <c r="C1041">
        <v>260</v>
      </c>
      <c r="D1041">
        <v>65</v>
      </c>
      <c r="E1041" t="s">
        <v>303</v>
      </c>
      <c r="F1041" t="s">
        <v>3508</v>
      </c>
      <c r="G1041" t="s">
        <v>2359</v>
      </c>
      <c r="H1041" t="s">
        <v>2360</v>
      </c>
      <c r="I1041" t="s">
        <v>2361</v>
      </c>
      <c r="J1041">
        <v>599</v>
      </c>
      <c r="K1041">
        <v>0</v>
      </c>
      <c r="L1041">
        <v>599</v>
      </c>
      <c r="M1041">
        <v>2.2999999999999998</v>
      </c>
      <c r="N1041">
        <v>0.55000000000000004</v>
      </c>
      <c r="O1041">
        <v>0.5</v>
      </c>
      <c r="Q1041" t="s">
        <v>2548</v>
      </c>
      <c r="R1041">
        <v>5907698023623</v>
      </c>
      <c r="S1041">
        <v>12</v>
      </c>
      <c r="T1041" t="s">
        <v>1433</v>
      </c>
      <c r="V1041">
        <v>3926909790</v>
      </c>
    </row>
    <row r="1042" spans="1:22" x14ac:dyDescent="0.25">
      <c r="A1042">
        <v>955021</v>
      </c>
      <c r="B1042" t="s">
        <v>302</v>
      </c>
      <c r="C1042">
        <v>260</v>
      </c>
      <c r="D1042">
        <v>65</v>
      </c>
      <c r="E1042" t="s">
        <v>303</v>
      </c>
      <c r="F1042" t="s">
        <v>3508</v>
      </c>
      <c r="G1042" t="s">
        <v>2359</v>
      </c>
      <c r="H1042" t="s">
        <v>2362</v>
      </c>
      <c r="I1042" t="s">
        <v>2361</v>
      </c>
      <c r="J1042">
        <v>2263</v>
      </c>
      <c r="K1042">
        <v>0</v>
      </c>
      <c r="L1042">
        <v>2263</v>
      </c>
      <c r="M1042">
        <v>3.01</v>
      </c>
      <c r="N1042">
        <v>0.71</v>
      </c>
      <c r="O1042">
        <v>0.66</v>
      </c>
      <c r="Q1042" t="s">
        <v>2548</v>
      </c>
      <c r="R1042">
        <v>5907698028437</v>
      </c>
      <c r="S1042">
        <v>300</v>
      </c>
      <c r="T1042" t="s">
        <v>1433</v>
      </c>
      <c r="V1042">
        <v>3926909790</v>
      </c>
    </row>
    <row r="1043" spans="1:22" x14ac:dyDescent="0.25">
      <c r="A1043">
        <v>955024</v>
      </c>
      <c r="B1043" t="s">
        <v>302</v>
      </c>
      <c r="C1043">
        <v>240</v>
      </c>
      <c r="D1043">
        <v>60</v>
      </c>
      <c r="E1043" t="s">
        <v>303</v>
      </c>
      <c r="F1043" t="s">
        <v>3508</v>
      </c>
      <c r="G1043" t="s">
        <v>2359</v>
      </c>
      <c r="H1043" t="s">
        <v>2363</v>
      </c>
      <c r="I1043" t="s">
        <v>2364</v>
      </c>
      <c r="J1043">
        <v>0</v>
      </c>
      <c r="K1043">
        <v>0</v>
      </c>
      <c r="L1043">
        <v>0</v>
      </c>
      <c r="M1043">
        <v>2.96</v>
      </c>
      <c r="N1043">
        <v>0.71</v>
      </c>
      <c r="O1043">
        <v>0.64</v>
      </c>
      <c r="Q1043" t="s">
        <v>2548</v>
      </c>
      <c r="R1043">
        <v>5907698023630</v>
      </c>
      <c r="S1043">
        <v>900</v>
      </c>
      <c r="T1043" t="s">
        <v>1433</v>
      </c>
      <c r="V1043">
        <v>3926909790</v>
      </c>
    </row>
    <row r="1044" spans="1:22" x14ac:dyDescent="0.25">
      <c r="A1044">
        <v>955025</v>
      </c>
      <c r="B1044" t="s">
        <v>302</v>
      </c>
      <c r="C1044">
        <v>240</v>
      </c>
      <c r="D1044">
        <v>60</v>
      </c>
      <c r="E1044" t="s">
        <v>303</v>
      </c>
      <c r="F1044" t="s">
        <v>3508</v>
      </c>
      <c r="G1044" t="s">
        <v>2359</v>
      </c>
      <c r="H1044" t="s">
        <v>2365</v>
      </c>
      <c r="I1044" t="s">
        <v>2364</v>
      </c>
      <c r="J1044">
        <v>333</v>
      </c>
      <c r="K1044">
        <v>0</v>
      </c>
      <c r="L1044">
        <v>333</v>
      </c>
      <c r="M1044">
        <v>4.1399999999999997</v>
      </c>
      <c r="N1044">
        <v>0.98</v>
      </c>
      <c r="O1044">
        <v>0.9</v>
      </c>
      <c r="Q1044" t="s">
        <v>2548</v>
      </c>
      <c r="R1044">
        <v>5907698028444</v>
      </c>
      <c r="S1044">
        <v>500</v>
      </c>
      <c r="T1044" t="s">
        <v>1433</v>
      </c>
      <c r="V1044">
        <v>3926909790</v>
      </c>
    </row>
    <row r="1045" spans="1:22" x14ac:dyDescent="0.25">
      <c r="A1045">
        <v>955030</v>
      </c>
      <c r="B1045" t="s">
        <v>302</v>
      </c>
      <c r="C1045">
        <v>160</v>
      </c>
      <c r="D1045">
        <v>40</v>
      </c>
      <c r="E1045" t="s">
        <v>303</v>
      </c>
      <c r="F1045" t="s">
        <v>3508</v>
      </c>
      <c r="G1045" t="s">
        <v>2359</v>
      </c>
      <c r="H1045" t="s">
        <v>2366</v>
      </c>
      <c r="I1045" t="s">
        <v>2361</v>
      </c>
      <c r="J1045">
        <v>198</v>
      </c>
      <c r="K1045">
        <v>0</v>
      </c>
      <c r="L1045">
        <v>198</v>
      </c>
      <c r="M1045">
        <v>4.3600000000000003</v>
      </c>
      <c r="N1045">
        <v>1.04</v>
      </c>
      <c r="O1045">
        <v>0.96</v>
      </c>
      <c r="Q1045" t="s">
        <v>2548</v>
      </c>
      <c r="R1045">
        <v>5907698024415</v>
      </c>
      <c r="S1045">
        <v>500</v>
      </c>
      <c r="T1045" t="s">
        <v>1433</v>
      </c>
      <c r="V1045">
        <v>3926909790</v>
      </c>
    </row>
    <row r="1046" spans="1:22" x14ac:dyDescent="0.25">
      <c r="A1046">
        <v>955031</v>
      </c>
      <c r="B1046" t="s">
        <v>302</v>
      </c>
      <c r="C1046">
        <v>160</v>
      </c>
      <c r="D1046">
        <v>40</v>
      </c>
      <c r="E1046" t="s">
        <v>303</v>
      </c>
      <c r="F1046" t="s">
        <v>3508</v>
      </c>
      <c r="G1046" t="s">
        <v>2359</v>
      </c>
      <c r="H1046" t="s">
        <v>2367</v>
      </c>
      <c r="I1046" t="s">
        <v>2361</v>
      </c>
      <c r="J1046">
        <v>0</v>
      </c>
      <c r="K1046">
        <v>0</v>
      </c>
      <c r="L1046">
        <v>0</v>
      </c>
      <c r="M1046">
        <v>5.41</v>
      </c>
      <c r="N1046">
        <v>1.28</v>
      </c>
      <c r="O1046">
        <v>1.18</v>
      </c>
      <c r="Q1046" t="s">
        <v>2548</v>
      </c>
      <c r="R1046">
        <v>5907698028451</v>
      </c>
      <c r="S1046">
        <v>350</v>
      </c>
      <c r="T1046" t="s">
        <v>1433</v>
      </c>
      <c r="V1046">
        <v>3926909790</v>
      </c>
    </row>
    <row r="1047" spans="1:22" x14ac:dyDescent="0.25">
      <c r="A1047">
        <v>955130</v>
      </c>
      <c r="B1047" t="s">
        <v>302</v>
      </c>
      <c r="C1047">
        <v>140</v>
      </c>
      <c r="D1047">
        <v>35</v>
      </c>
      <c r="E1047" t="s">
        <v>303</v>
      </c>
      <c r="F1047" t="s">
        <v>3508</v>
      </c>
      <c r="G1047" t="s">
        <v>2359</v>
      </c>
      <c r="H1047" t="s">
        <v>2368</v>
      </c>
      <c r="I1047" t="s">
        <v>2361</v>
      </c>
      <c r="J1047">
        <v>0</v>
      </c>
      <c r="K1047">
        <v>1</v>
      </c>
      <c r="L1047">
        <v>1</v>
      </c>
      <c r="M1047">
        <v>4.74</v>
      </c>
      <c r="N1047">
        <v>1.1200000000000001</v>
      </c>
      <c r="O1047">
        <v>1.04</v>
      </c>
      <c r="Q1047" t="s">
        <v>2548</v>
      </c>
      <c r="R1047">
        <v>5907698023647</v>
      </c>
      <c r="S1047">
        <v>500</v>
      </c>
      <c r="T1047" t="s">
        <v>1433</v>
      </c>
      <c r="V1047">
        <v>3926909790</v>
      </c>
    </row>
    <row r="1048" spans="1:22" x14ac:dyDescent="0.25">
      <c r="A1048">
        <v>955230</v>
      </c>
      <c r="B1048" t="s">
        <v>302</v>
      </c>
      <c r="C1048">
        <v>160</v>
      </c>
      <c r="D1048">
        <v>40</v>
      </c>
      <c r="E1048" t="s">
        <v>303</v>
      </c>
      <c r="F1048" t="s">
        <v>3508</v>
      </c>
      <c r="G1048" t="s">
        <v>2359</v>
      </c>
      <c r="H1048" t="s">
        <v>2369</v>
      </c>
      <c r="I1048" t="s">
        <v>2364</v>
      </c>
      <c r="J1048">
        <v>0</v>
      </c>
      <c r="K1048">
        <v>0</v>
      </c>
      <c r="L1048">
        <v>0</v>
      </c>
      <c r="M1048">
        <v>3.44</v>
      </c>
      <c r="N1048">
        <v>0.82</v>
      </c>
      <c r="O1048">
        <v>0.75</v>
      </c>
      <c r="Q1048" t="s">
        <v>2548</v>
      </c>
      <c r="R1048">
        <v>5907698023654</v>
      </c>
      <c r="S1048">
        <v>200</v>
      </c>
      <c r="T1048" t="s">
        <v>1433</v>
      </c>
      <c r="V1048">
        <v>3926909790</v>
      </c>
    </row>
    <row r="1049" spans="1:22" x14ac:dyDescent="0.25">
      <c r="A1049">
        <v>955252</v>
      </c>
      <c r="B1049" t="s">
        <v>3027</v>
      </c>
      <c r="C1049">
        <v>40</v>
      </c>
      <c r="D1049">
        <v>10</v>
      </c>
      <c r="E1049" t="s">
        <v>303</v>
      </c>
      <c r="F1049" t="s">
        <v>3509</v>
      </c>
      <c r="G1049" t="s">
        <v>2370</v>
      </c>
      <c r="H1049" t="s">
        <v>3510</v>
      </c>
      <c r="I1049" t="s">
        <v>2371</v>
      </c>
      <c r="J1049">
        <v>68</v>
      </c>
      <c r="K1049">
        <v>0</v>
      </c>
      <c r="L1049">
        <v>68</v>
      </c>
      <c r="M1049">
        <v>13.48</v>
      </c>
      <c r="N1049">
        <v>3.59</v>
      </c>
      <c r="O1049">
        <v>3.06</v>
      </c>
      <c r="Q1049" t="s">
        <v>2548</v>
      </c>
      <c r="R1049">
        <v>5907698028468</v>
      </c>
      <c r="S1049">
        <v>12</v>
      </c>
      <c r="T1049" t="s">
        <v>1433</v>
      </c>
      <c r="V1049">
        <v>8467990000</v>
      </c>
    </row>
    <row r="1050" spans="1:22" x14ac:dyDescent="0.25">
      <c r="A1050">
        <v>955254</v>
      </c>
      <c r="B1050" t="s">
        <v>3027</v>
      </c>
      <c r="C1050">
        <v>40</v>
      </c>
      <c r="D1050">
        <v>10</v>
      </c>
      <c r="E1050" t="s">
        <v>303</v>
      </c>
      <c r="F1050" t="s">
        <v>3509</v>
      </c>
      <c r="G1050" t="s">
        <v>2370</v>
      </c>
      <c r="H1050" t="s">
        <v>3510</v>
      </c>
      <c r="I1050" t="s">
        <v>2371</v>
      </c>
      <c r="J1050">
        <v>99</v>
      </c>
      <c r="K1050">
        <v>0</v>
      </c>
      <c r="L1050">
        <v>99</v>
      </c>
      <c r="M1050">
        <v>9.74</v>
      </c>
      <c r="N1050">
        <v>2.59</v>
      </c>
      <c r="O1050">
        <v>2.21</v>
      </c>
      <c r="Q1050" t="s">
        <v>2548</v>
      </c>
      <c r="R1050">
        <v>5907698028475</v>
      </c>
      <c r="S1050">
        <v>12</v>
      </c>
      <c r="T1050" t="s">
        <v>1433</v>
      </c>
      <c r="V1050">
        <v>8467990000</v>
      </c>
    </row>
    <row r="1051" spans="1:22" x14ac:dyDescent="0.25">
      <c r="A1051">
        <v>956002</v>
      </c>
      <c r="B1051" t="s">
        <v>2993</v>
      </c>
      <c r="C1051">
        <v>0</v>
      </c>
      <c r="D1051">
        <v>1</v>
      </c>
      <c r="E1051" t="s">
        <v>303</v>
      </c>
      <c r="F1051" t="s">
        <v>3821</v>
      </c>
      <c r="G1051" t="s">
        <v>3822</v>
      </c>
      <c r="H1051" t="s">
        <v>3732</v>
      </c>
      <c r="I1051" t="s">
        <v>3823</v>
      </c>
      <c r="J1051">
        <v>0</v>
      </c>
      <c r="K1051">
        <v>50</v>
      </c>
      <c r="L1051">
        <v>0</v>
      </c>
      <c r="M1051">
        <v>67.19</v>
      </c>
      <c r="N1051">
        <v>17.260000000000002</v>
      </c>
      <c r="O1051">
        <v>14.65</v>
      </c>
      <c r="Q1051" t="s">
        <v>3758</v>
      </c>
      <c r="R1051">
        <v>5907698031260</v>
      </c>
      <c r="S1051">
        <v>80</v>
      </c>
      <c r="T1051" t="s">
        <v>3181</v>
      </c>
    </row>
    <row r="1052" spans="1:22" x14ac:dyDescent="0.25">
      <c r="A1052">
        <v>956010</v>
      </c>
      <c r="B1052" t="s">
        <v>2993</v>
      </c>
      <c r="C1052">
        <v>4</v>
      </c>
      <c r="D1052">
        <v>1</v>
      </c>
      <c r="E1052" t="s">
        <v>303</v>
      </c>
      <c r="F1052" t="s">
        <v>3511</v>
      </c>
      <c r="G1052" t="s">
        <v>3512</v>
      </c>
      <c r="H1052" t="s">
        <v>3513</v>
      </c>
      <c r="I1052" t="s">
        <v>3514</v>
      </c>
      <c r="J1052">
        <v>287</v>
      </c>
      <c r="K1052">
        <v>0</v>
      </c>
      <c r="L1052">
        <v>287</v>
      </c>
      <c r="M1052">
        <v>160.86000000000001</v>
      </c>
      <c r="N1052">
        <v>40.630000000000003</v>
      </c>
      <c r="O1052">
        <v>35.979999999999997</v>
      </c>
      <c r="Q1052" t="s">
        <v>3758</v>
      </c>
      <c r="R1052">
        <v>5907698030386</v>
      </c>
      <c r="S1052">
        <v>150</v>
      </c>
      <c r="T1052" t="s">
        <v>3181</v>
      </c>
      <c r="V1052">
        <v>8467292000</v>
      </c>
    </row>
    <row r="1053" spans="1:22" x14ac:dyDescent="0.25">
      <c r="A1053">
        <v>956020</v>
      </c>
      <c r="B1053" t="s">
        <v>2993</v>
      </c>
      <c r="C1053">
        <v>4</v>
      </c>
      <c r="D1053">
        <v>1</v>
      </c>
      <c r="E1053" t="s">
        <v>303</v>
      </c>
      <c r="F1053" t="s">
        <v>3515</v>
      </c>
      <c r="G1053" t="s">
        <v>3516</v>
      </c>
      <c r="H1053" t="s">
        <v>3517</v>
      </c>
      <c r="I1053" t="s">
        <v>3518</v>
      </c>
      <c r="J1053">
        <v>0</v>
      </c>
      <c r="K1053">
        <v>960</v>
      </c>
      <c r="L1053">
        <v>0</v>
      </c>
      <c r="M1053">
        <v>138.93</v>
      </c>
      <c r="N1053">
        <v>35.090000000000003</v>
      </c>
      <c r="O1053">
        <v>31.09</v>
      </c>
      <c r="Q1053" t="s">
        <v>3758</v>
      </c>
      <c r="R1053">
        <v>5907698030393</v>
      </c>
      <c r="S1053">
        <v>100</v>
      </c>
      <c r="T1053" t="s">
        <v>3181</v>
      </c>
      <c r="V1053">
        <v>8467292000</v>
      </c>
    </row>
    <row r="1054" spans="1:22" x14ac:dyDescent="0.25">
      <c r="A1054">
        <v>956030</v>
      </c>
      <c r="B1054" t="s">
        <v>2993</v>
      </c>
      <c r="C1054">
        <v>4</v>
      </c>
      <c r="D1054">
        <v>1</v>
      </c>
      <c r="E1054" t="s">
        <v>303</v>
      </c>
      <c r="F1054" t="s">
        <v>3519</v>
      </c>
      <c r="G1054" t="s">
        <v>3520</v>
      </c>
      <c r="H1054" t="s">
        <v>3521</v>
      </c>
      <c r="I1054" t="s">
        <v>3522</v>
      </c>
      <c r="J1054">
        <v>0</v>
      </c>
      <c r="K1054">
        <v>0</v>
      </c>
      <c r="L1054">
        <v>0</v>
      </c>
      <c r="M1054">
        <v>71.349999999999994</v>
      </c>
      <c r="N1054">
        <v>18.02</v>
      </c>
      <c r="O1054">
        <v>15.97</v>
      </c>
      <c r="Q1054" t="s">
        <v>3758</v>
      </c>
      <c r="R1054">
        <v>5907698030409</v>
      </c>
      <c r="S1054">
        <v>150</v>
      </c>
      <c r="T1054" t="s">
        <v>619</v>
      </c>
      <c r="V1054">
        <v>8467292000</v>
      </c>
    </row>
    <row r="1055" spans="1:22" x14ac:dyDescent="0.25">
      <c r="A1055">
        <v>956040</v>
      </c>
      <c r="B1055" t="s">
        <v>2993</v>
      </c>
      <c r="C1055">
        <v>4</v>
      </c>
      <c r="D1055">
        <v>1</v>
      </c>
      <c r="E1055" t="s">
        <v>303</v>
      </c>
      <c r="F1055" t="s">
        <v>3523</v>
      </c>
      <c r="G1055" t="s">
        <v>3524</v>
      </c>
      <c r="H1055" t="s">
        <v>3513</v>
      </c>
      <c r="I1055" t="s">
        <v>3525</v>
      </c>
      <c r="J1055">
        <v>294</v>
      </c>
      <c r="K1055">
        <v>1</v>
      </c>
      <c r="L1055">
        <v>295</v>
      </c>
      <c r="M1055">
        <v>132.15</v>
      </c>
      <c r="N1055">
        <v>33.46</v>
      </c>
      <c r="O1055">
        <v>29.54</v>
      </c>
      <c r="Q1055" t="s">
        <v>3758</v>
      </c>
      <c r="R1055">
        <v>5907698030416</v>
      </c>
      <c r="S1055">
        <v>150</v>
      </c>
      <c r="T1055" t="s">
        <v>619</v>
      </c>
      <c r="V1055">
        <v>8467292000</v>
      </c>
    </row>
    <row r="1056" spans="1:22" x14ac:dyDescent="0.25">
      <c r="A1056">
        <v>960050</v>
      </c>
      <c r="B1056" t="s">
        <v>302</v>
      </c>
      <c r="C1056">
        <v>100</v>
      </c>
      <c r="D1056">
        <v>0</v>
      </c>
      <c r="E1056" t="s">
        <v>303</v>
      </c>
      <c r="F1056" t="s">
        <v>3526</v>
      </c>
      <c r="G1056" t="s">
        <v>2372</v>
      </c>
      <c r="H1056" t="s">
        <v>1692</v>
      </c>
      <c r="I1056" t="s">
        <v>2373</v>
      </c>
      <c r="J1056">
        <v>692</v>
      </c>
      <c r="K1056">
        <v>30</v>
      </c>
      <c r="L1056">
        <v>722</v>
      </c>
      <c r="M1056">
        <v>4.32</v>
      </c>
      <c r="N1056">
        <v>1.01</v>
      </c>
      <c r="O1056">
        <v>0.95</v>
      </c>
      <c r="Q1056" t="s">
        <v>2</v>
      </c>
      <c r="R1056">
        <v>5907698018773</v>
      </c>
      <c r="S1056">
        <v>25</v>
      </c>
      <c r="T1056" t="s">
        <v>383</v>
      </c>
      <c r="V1056">
        <v>8424821000</v>
      </c>
    </row>
    <row r="1057" spans="1:22" x14ac:dyDescent="0.25">
      <c r="A1057">
        <v>960150</v>
      </c>
      <c r="B1057" t="s">
        <v>302</v>
      </c>
      <c r="C1057">
        <v>150</v>
      </c>
      <c r="D1057">
        <v>0</v>
      </c>
      <c r="E1057" t="s">
        <v>303</v>
      </c>
      <c r="F1057" t="s">
        <v>3527</v>
      </c>
      <c r="G1057" t="s">
        <v>2374</v>
      </c>
      <c r="H1057" t="s">
        <v>2375</v>
      </c>
      <c r="I1057" t="s">
        <v>2376</v>
      </c>
      <c r="J1057">
        <v>306</v>
      </c>
      <c r="K1057">
        <v>20</v>
      </c>
      <c r="L1057">
        <v>326</v>
      </c>
      <c r="M1057">
        <v>4.25</v>
      </c>
      <c r="N1057">
        <v>1</v>
      </c>
      <c r="O1057">
        <v>0.93</v>
      </c>
      <c r="Q1057" t="s">
        <v>2</v>
      </c>
      <c r="R1057">
        <v>5907698018780</v>
      </c>
      <c r="S1057">
        <v>20</v>
      </c>
      <c r="T1057" t="s">
        <v>905</v>
      </c>
      <c r="V1057">
        <v>8424821000</v>
      </c>
    </row>
    <row r="1058" spans="1:22" x14ac:dyDescent="0.25">
      <c r="A1058">
        <v>960155</v>
      </c>
      <c r="B1058" t="s">
        <v>302</v>
      </c>
      <c r="C1058">
        <v>18</v>
      </c>
      <c r="D1058">
        <v>0</v>
      </c>
      <c r="E1058" t="s">
        <v>303</v>
      </c>
      <c r="F1058" t="s">
        <v>1544</v>
      </c>
      <c r="G1058" t="s">
        <v>1545</v>
      </c>
      <c r="H1058" t="s">
        <v>1546</v>
      </c>
      <c r="I1058" t="s">
        <v>1547</v>
      </c>
      <c r="J1058">
        <v>0</v>
      </c>
      <c r="K1058">
        <v>0</v>
      </c>
      <c r="L1058">
        <v>0</v>
      </c>
      <c r="M1058">
        <v>33.94</v>
      </c>
      <c r="N1058">
        <v>8.02</v>
      </c>
      <c r="O1058">
        <v>7.43</v>
      </c>
      <c r="Q1058" t="s">
        <v>1548</v>
      </c>
      <c r="R1058">
        <v>5907698028925</v>
      </c>
      <c r="S1058">
        <v>10</v>
      </c>
      <c r="T1058" t="s">
        <v>1549</v>
      </c>
      <c r="V1058">
        <v>8424821000</v>
      </c>
    </row>
    <row r="1059" spans="1:22" x14ac:dyDescent="0.25">
      <c r="A1059">
        <v>960159</v>
      </c>
      <c r="B1059" t="s">
        <v>2993</v>
      </c>
      <c r="C1059">
        <v>6</v>
      </c>
      <c r="D1059">
        <v>0</v>
      </c>
      <c r="E1059" t="s">
        <v>303</v>
      </c>
      <c r="F1059" t="s">
        <v>1544</v>
      </c>
      <c r="G1059" t="s">
        <v>1545</v>
      </c>
      <c r="H1059" t="s">
        <v>3528</v>
      </c>
      <c r="I1059" t="s">
        <v>1547</v>
      </c>
      <c r="J1059">
        <v>0</v>
      </c>
      <c r="K1059">
        <v>0</v>
      </c>
      <c r="L1059">
        <v>0</v>
      </c>
      <c r="M1059">
        <v>40.78</v>
      </c>
      <c r="N1059">
        <v>10.7</v>
      </c>
      <c r="O1059">
        <v>9.1</v>
      </c>
      <c r="Q1059" t="s">
        <v>1548</v>
      </c>
      <c r="R1059">
        <v>5907698030270</v>
      </c>
      <c r="S1059">
        <v>10</v>
      </c>
      <c r="T1059" t="s">
        <v>1549</v>
      </c>
      <c r="V1059">
        <v>8424821000</v>
      </c>
    </row>
    <row r="1060" spans="1:22" x14ac:dyDescent="0.25">
      <c r="A1060">
        <v>975010</v>
      </c>
      <c r="B1060" t="s">
        <v>302</v>
      </c>
      <c r="C1060">
        <v>100</v>
      </c>
      <c r="E1060" t="s">
        <v>303</v>
      </c>
      <c r="F1060" t="s">
        <v>1550</v>
      </c>
      <c r="G1060" t="s">
        <v>1551</v>
      </c>
      <c r="H1060" t="s">
        <v>1552</v>
      </c>
      <c r="I1060" t="s">
        <v>1553</v>
      </c>
      <c r="J1060">
        <v>450</v>
      </c>
      <c r="K1060">
        <v>13</v>
      </c>
      <c r="L1060">
        <v>463</v>
      </c>
      <c r="M1060">
        <v>3.47</v>
      </c>
      <c r="N1060">
        <v>0.92</v>
      </c>
      <c r="O1060">
        <v>0.78</v>
      </c>
      <c r="Q1060" t="s">
        <v>1560</v>
      </c>
      <c r="R1060">
        <v>5907698023579</v>
      </c>
      <c r="S1060">
        <v>120</v>
      </c>
      <c r="T1060" t="s">
        <v>352</v>
      </c>
      <c r="V1060">
        <v>8413200090</v>
      </c>
    </row>
    <row r="1061" spans="1:22" x14ac:dyDescent="0.25">
      <c r="A1061">
        <v>975020</v>
      </c>
      <c r="B1061" t="s">
        <v>302</v>
      </c>
      <c r="C1061">
        <v>60</v>
      </c>
      <c r="E1061" t="s">
        <v>303</v>
      </c>
      <c r="F1061" t="s">
        <v>1550</v>
      </c>
      <c r="G1061" t="s">
        <v>1551</v>
      </c>
      <c r="H1061" t="s">
        <v>2757</v>
      </c>
      <c r="I1061" t="s">
        <v>1553</v>
      </c>
      <c r="J1061">
        <v>1082</v>
      </c>
      <c r="K1061">
        <v>121</v>
      </c>
      <c r="L1061">
        <v>1203</v>
      </c>
      <c r="M1061">
        <v>3.78</v>
      </c>
      <c r="N1061">
        <v>1.01</v>
      </c>
      <c r="O1061">
        <v>0.86</v>
      </c>
      <c r="Q1061" t="s">
        <v>1560</v>
      </c>
      <c r="R1061">
        <v>5907698030225</v>
      </c>
      <c r="S1061">
        <v>120</v>
      </c>
      <c r="T1061" t="s">
        <v>352</v>
      </c>
      <c r="V1061">
        <v>8413200090</v>
      </c>
    </row>
    <row r="1062" spans="1:22" x14ac:dyDescent="0.25">
      <c r="A1062">
        <v>976000</v>
      </c>
      <c r="B1062" t="s">
        <v>302</v>
      </c>
      <c r="C1062">
        <v>30</v>
      </c>
      <c r="E1062" t="s">
        <v>303</v>
      </c>
      <c r="F1062" t="s">
        <v>3529</v>
      </c>
      <c r="G1062" t="s">
        <v>1554</v>
      </c>
      <c r="H1062" t="s">
        <v>1555</v>
      </c>
      <c r="I1062" t="s">
        <v>1556</v>
      </c>
      <c r="J1062">
        <v>20</v>
      </c>
      <c r="K1062">
        <v>12</v>
      </c>
      <c r="L1062">
        <v>32</v>
      </c>
      <c r="M1062">
        <v>7.95</v>
      </c>
      <c r="N1062">
        <v>1.88</v>
      </c>
      <c r="O1062">
        <v>1.74</v>
      </c>
      <c r="Q1062" t="s">
        <v>1560</v>
      </c>
      <c r="R1062">
        <v>5907698018810</v>
      </c>
      <c r="S1062">
        <v>30</v>
      </c>
      <c r="T1062" t="s">
        <v>352</v>
      </c>
      <c r="V1062">
        <v>8424200000</v>
      </c>
    </row>
    <row r="1063" spans="1:22" x14ac:dyDescent="0.25">
      <c r="A1063">
        <v>976040</v>
      </c>
      <c r="B1063" t="s">
        <v>302</v>
      </c>
      <c r="C1063">
        <v>15</v>
      </c>
      <c r="E1063" t="s">
        <v>303</v>
      </c>
      <c r="F1063" t="s">
        <v>3530</v>
      </c>
      <c r="G1063" t="s">
        <v>2378</v>
      </c>
      <c r="H1063" t="s">
        <v>3531</v>
      </c>
      <c r="I1063" t="s">
        <v>1556</v>
      </c>
      <c r="J1063">
        <v>17</v>
      </c>
      <c r="K1063">
        <v>0</v>
      </c>
      <c r="L1063">
        <v>17</v>
      </c>
      <c r="M1063">
        <v>27.1</v>
      </c>
      <c r="N1063">
        <v>6.68</v>
      </c>
      <c r="O1063">
        <v>6.11</v>
      </c>
      <c r="Q1063" t="s">
        <v>1560</v>
      </c>
      <c r="R1063">
        <v>5907698024477</v>
      </c>
      <c r="S1063">
        <v>4</v>
      </c>
      <c r="T1063" t="s">
        <v>352</v>
      </c>
      <c r="V1063">
        <v>8424200000</v>
      </c>
    </row>
    <row r="1064" spans="1:22" x14ac:dyDescent="0.25">
      <c r="A1064">
        <v>976050</v>
      </c>
      <c r="B1064" t="s">
        <v>302</v>
      </c>
      <c r="C1064">
        <v>6</v>
      </c>
      <c r="E1064" t="s">
        <v>303</v>
      </c>
      <c r="F1064" t="s">
        <v>3529</v>
      </c>
      <c r="G1064" t="s">
        <v>1554</v>
      </c>
      <c r="H1064" t="s">
        <v>2048</v>
      </c>
      <c r="I1064" t="s">
        <v>2377</v>
      </c>
      <c r="J1064">
        <v>36</v>
      </c>
      <c r="K1064">
        <v>12</v>
      </c>
      <c r="L1064">
        <v>48</v>
      </c>
      <c r="M1064">
        <v>29.57</v>
      </c>
      <c r="N1064">
        <v>8.02</v>
      </c>
      <c r="O1064">
        <v>6.73</v>
      </c>
      <c r="Q1064" t="s">
        <v>1560</v>
      </c>
      <c r="R1064">
        <v>5907698019688</v>
      </c>
      <c r="S1064">
        <v>60</v>
      </c>
      <c r="T1064" t="s">
        <v>736</v>
      </c>
      <c r="V1064">
        <v>8424410000</v>
      </c>
    </row>
    <row r="1065" spans="1:22" x14ac:dyDescent="0.25">
      <c r="A1065">
        <v>976060</v>
      </c>
      <c r="B1065" t="s">
        <v>302</v>
      </c>
      <c r="C1065">
        <v>6</v>
      </c>
      <c r="E1065" t="s">
        <v>303</v>
      </c>
      <c r="F1065" t="s">
        <v>3529</v>
      </c>
      <c r="G1065" t="s">
        <v>1554</v>
      </c>
      <c r="H1065" t="s">
        <v>3532</v>
      </c>
      <c r="I1065" t="s">
        <v>2377</v>
      </c>
      <c r="J1065">
        <v>0</v>
      </c>
      <c r="K1065">
        <v>0</v>
      </c>
      <c r="L1065">
        <v>0</v>
      </c>
      <c r="M1065">
        <v>29.62</v>
      </c>
      <c r="N1065">
        <v>7.31</v>
      </c>
      <c r="O1065">
        <v>6.67</v>
      </c>
      <c r="Q1065" t="s">
        <v>1560</v>
      </c>
      <c r="R1065">
        <v>5907698030423</v>
      </c>
      <c r="S1065">
        <v>0</v>
      </c>
      <c r="T1065" t="s">
        <v>736</v>
      </c>
      <c r="V1065">
        <v>8424410000</v>
      </c>
    </row>
    <row r="1066" spans="1:22" x14ac:dyDescent="0.25">
      <c r="A1066">
        <v>977005</v>
      </c>
      <c r="B1066" t="s">
        <v>302</v>
      </c>
      <c r="C1066">
        <v>10</v>
      </c>
      <c r="E1066" t="s">
        <v>303</v>
      </c>
      <c r="F1066" t="s">
        <v>1557</v>
      </c>
      <c r="G1066" t="s">
        <v>1558</v>
      </c>
      <c r="H1066" t="s">
        <v>2048</v>
      </c>
      <c r="I1066" t="s">
        <v>1559</v>
      </c>
      <c r="J1066">
        <v>88</v>
      </c>
      <c r="K1066">
        <v>0</v>
      </c>
      <c r="L1066">
        <v>88</v>
      </c>
      <c r="M1066">
        <v>6.79</v>
      </c>
      <c r="N1066">
        <v>1.73</v>
      </c>
      <c r="O1066">
        <v>1.52</v>
      </c>
      <c r="Q1066" t="s">
        <v>1560</v>
      </c>
      <c r="R1066">
        <v>5907698028062</v>
      </c>
      <c r="S1066">
        <v>20</v>
      </c>
      <c r="V1066">
        <v>3924900090</v>
      </c>
    </row>
    <row r="1067" spans="1:22" x14ac:dyDescent="0.25">
      <c r="A1067">
        <v>977010</v>
      </c>
      <c r="B1067" t="s">
        <v>302</v>
      </c>
      <c r="C1067">
        <v>10</v>
      </c>
      <c r="E1067" t="s">
        <v>303</v>
      </c>
      <c r="F1067" t="s">
        <v>1557</v>
      </c>
      <c r="G1067" t="s">
        <v>1558</v>
      </c>
      <c r="H1067" t="s">
        <v>1048</v>
      </c>
      <c r="I1067" t="s">
        <v>1559</v>
      </c>
      <c r="J1067">
        <v>64</v>
      </c>
      <c r="K1067">
        <v>0</v>
      </c>
      <c r="L1067">
        <v>64</v>
      </c>
      <c r="M1067">
        <v>9.1300000000000008</v>
      </c>
      <c r="N1067">
        <v>2.33</v>
      </c>
      <c r="O1067">
        <v>2.04</v>
      </c>
      <c r="Q1067" t="s">
        <v>1560</v>
      </c>
      <c r="R1067">
        <v>5907698028079</v>
      </c>
      <c r="S1067">
        <v>50</v>
      </c>
      <c r="V1067">
        <v>3924900090</v>
      </c>
    </row>
    <row r="1068" spans="1:22" x14ac:dyDescent="0.25">
      <c r="A1068">
        <v>996100</v>
      </c>
      <c r="B1068" t="s">
        <v>302</v>
      </c>
      <c r="C1068">
        <v>80</v>
      </c>
      <c r="D1068">
        <v>20</v>
      </c>
      <c r="E1068" t="s">
        <v>303</v>
      </c>
      <c r="F1068" t="s">
        <v>1561</v>
      </c>
      <c r="G1068" t="s">
        <v>2379</v>
      </c>
      <c r="H1068" t="s">
        <v>2380</v>
      </c>
      <c r="I1068" t="s">
        <v>1562</v>
      </c>
      <c r="J1068">
        <v>110</v>
      </c>
      <c r="K1068">
        <v>0</v>
      </c>
      <c r="L1068">
        <v>110</v>
      </c>
      <c r="M1068">
        <v>3.77</v>
      </c>
      <c r="N1068">
        <v>0.89</v>
      </c>
      <c r="O1068">
        <v>0.82</v>
      </c>
      <c r="Q1068" t="s">
        <v>2</v>
      </c>
      <c r="R1068">
        <v>5907698018940</v>
      </c>
      <c r="S1068">
        <v>400</v>
      </c>
      <c r="T1068" t="s">
        <v>482</v>
      </c>
      <c r="V1068">
        <v>4201000090</v>
      </c>
    </row>
    <row r="1069" spans="1:22" x14ac:dyDescent="0.25">
      <c r="A1069">
        <v>996151</v>
      </c>
      <c r="B1069" t="s">
        <v>302</v>
      </c>
      <c r="C1069">
        <v>36</v>
      </c>
      <c r="E1069" t="s">
        <v>303</v>
      </c>
      <c r="F1069" t="s">
        <v>1561</v>
      </c>
      <c r="G1069" t="s">
        <v>1563</v>
      </c>
      <c r="H1069" t="s">
        <v>1564</v>
      </c>
      <c r="I1069" t="s">
        <v>1565</v>
      </c>
      <c r="J1069">
        <v>0</v>
      </c>
      <c r="K1069">
        <v>0</v>
      </c>
      <c r="L1069">
        <v>0</v>
      </c>
      <c r="M1069">
        <v>8.0500000000000007</v>
      </c>
      <c r="N1069">
        <v>2.1800000000000002</v>
      </c>
      <c r="O1069">
        <v>1.84</v>
      </c>
      <c r="Q1069" t="s">
        <v>3744</v>
      </c>
      <c r="R1069">
        <v>5907698019596</v>
      </c>
      <c r="S1069">
        <v>300</v>
      </c>
      <c r="T1069" t="s">
        <v>482</v>
      </c>
      <c r="V1069">
        <v>4201000090</v>
      </c>
    </row>
    <row r="1070" spans="1:22" x14ac:dyDescent="0.25">
      <c r="A1070">
        <v>996153</v>
      </c>
      <c r="B1070" t="s">
        <v>302</v>
      </c>
      <c r="C1070">
        <v>12</v>
      </c>
      <c r="E1070" t="s">
        <v>303</v>
      </c>
      <c r="F1070" t="s">
        <v>1561</v>
      </c>
      <c r="G1070" t="s">
        <v>1563</v>
      </c>
      <c r="H1070" t="s">
        <v>2758</v>
      </c>
      <c r="I1070" t="s">
        <v>1565</v>
      </c>
      <c r="J1070">
        <v>656</v>
      </c>
      <c r="K1070">
        <v>0</v>
      </c>
      <c r="L1070">
        <v>656</v>
      </c>
      <c r="M1070">
        <v>19.95</v>
      </c>
      <c r="N1070">
        <v>5.43</v>
      </c>
      <c r="O1070">
        <v>4.55</v>
      </c>
      <c r="Q1070" t="s">
        <v>3744</v>
      </c>
      <c r="R1070">
        <v>5907698029540</v>
      </c>
      <c r="S1070">
        <v>300</v>
      </c>
      <c r="T1070" t="s">
        <v>482</v>
      </c>
      <c r="V1070">
        <v>4201000090</v>
      </c>
    </row>
    <row r="1071" spans="1:22" x14ac:dyDescent="0.25">
      <c r="A1071">
        <v>996155</v>
      </c>
      <c r="B1071" t="s">
        <v>302</v>
      </c>
      <c r="C1071">
        <v>12</v>
      </c>
      <c r="E1071" t="s">
        <v>303</v>
      </c>
      <c r="F1071" t="s">
        <v>1566</v>
      </c>
      <c r="G1071" t="s">
        <v>1563</v>
      </c>
      <c r="H1071" t="s">
        <v>1567</v>
      </c>
      <c r="I1071" t="s">
        <v>1562</v>
      </c>
      <c r="J1071">
        <v>0</v>
      </c>
      <c r="K1071">
        <v>1</v>
      </c>
      <c r="L1071">
        <v>1</v>
      </c>
      <c r="M1071">
        <v>35.89</v>
      </c>
      <c r="N1071">
        <v>8.5</v>
      </c>
      <c r="O1071">
        <v>7.86</v>
      </c>
      <c r="Q1071" t="s">
        <v>3744</v>
      </c>
      <c r="R1071">
        <v>5907698025207</v>
      </c>
      <c r="S1071">
        <v>150</v>
      </c>
      <c r="T1071" t="s">
        <v>427</v>
      </c>
      <c r="V1071">
        <v>4201000090</v>
      </c>
    </row>
    <row r="1072" spans="1:22" x14ac:dyDescent="0.25">
      <c r="A1072">
        <v>996157</v>
      </c>
      <c r="B1072" t="s">
        <v>302</v>
      </c>
      <c r="C1072">
        <v>12</v>
      </c>
      <c r="E1072" t="s">
        <v>303</v>
      </c>
      <c r="F1072" t="s">
        <v>1561</v>
      </c>
      <c r="G1072" t="s">
        <v>1563</v>
      </c>
      <c r="H1072" t="s">
        <v>1633</v>
      </c>
      <c r="I1072" t="s">
        <v>1565</v>
      </c>
      <c r="J1072">
        <v>580</v>
      </c>
      <c r="K1072">
        <v>12</v>
      </c>
      <c r="L1072">
        <v>592</v>
      </c>
      <c r="M1072">
        <v>24.89</v>
      </c>
      <c r="N1072">
        <v>6.77</v>
      </c>
      <c r="O1072">
        <v>5.68</v>
      </c>
      <c r="Q1072" t="s">
        <v>3744</v>
      </c>
      <c r="R1072">
        <v>5907698029557</v>
      </c>
      <c r="S1072">
        <v>300</v>
      </c>
      <c r="T1072" t="s">
        <v>482</v>
      </c>
      <c r="V1072">
        <v>4201000090</v>
      </c>
    </row>
    <row r="1073" spans="1:22" x14ac:dyDescent="0.25">
      <c r="A1073">
        <v>996160</v>
      </c>
      <c r="B1073" t="s">
        <v>302</v>
      </c>
      <c r="C1073">
        <v>48</v>
      </c>
      <c r="E1073" t="s">
        <v>303</v>
      </c>
      <c r="F1073" t="s">
        <v>1561</v>
      </c>
      <c r="G1073" t="s">
        <v>1563</v>
      </c>
      <c r="H1073" t="s">
        <v>1634</v>
      </c>
      <c r="I1073" t="s">
        <v>1565</v>
      </c>
      <c r="J1073">
        <v>679</v>
      </c>
      <c r="K1073">
        <v>0</v>
      </c>
      <c r="L1073">
        <v>679</v>
      </c>
      <c r="M1073">
        <v>16.48</v>
      </c>
      <c r="N1073">
        <v>4.4800000000000004</v>
      </c>
      <c r="O1073">
        <v>3.75</v>
      </c>
      <c r="Q1073" t="s">
        <v>3744</v>
      </c>
      <c r="R1073">
        <v>5907698029564</v>
      </c>
      <c r="S1073">
        <v>300</v>
      </c>
      <c r="T1073" t="s">
        <v>482</v>
      </c>
      <c r="U1073" t="s">
        <v>2759</v>
      </c>
      <c r="V1073">
        <v>4201000090</v>
      </c>
    </row>
    <row r="1074" spans="1:22" x14ac:dyDescent="0.25">
      <c r="A1074">
        <v>996170</v>
      </c>
      <c r="B1074" t="s">
        <v>3008</v>
      </c>
      <c r="C1074">
        <v>60</v>
      </c>
      <c r="E1074" t="s">
        <v>303</v>
      </c>
      <c r="F1074" t="s">
        <v>3533</v>
      </c>
      <c r="G1074" t="s">
        <v>2381</v>
      </c>
      <c r="H1074" t="s">
        <v>2382</v>
      </c>
      <c r="I1074" t="s">
        <v>2383</v>
      </c>
      <c r="J1074">
        <v>185</v>
      </c>
      <c r="K1074">
        <v>0</v>
      </c>
      <c r="L1074">
        <v>185</v>
      </c>
      <c r="M1074">
        <v>13.87</v>
      </c>
      <c r="N1074">
        <v>3.29</v>
      </c>
      <c r="O1074">
        <v>3.04</v>
      </c>
      <c r="Q1074" t="s">
        <v>3744</v>
      </c>
      <c r="R1074">
        <v>5907698028321</v>
      </c>
      <c r="S1074">
        <v>400</v>
      </c>
      <c r="V1074">
        <v>9603909900</v>
      </c>
    </row>
    <row r="1075" spans="1:22" x14ac:dyDescent="0.25">
      <c r="A1075">
        <v>997021</v>
      </c>
      <c r="B1075" t="s">
        <v>3027</v>
      </c>
      <c r="C1075">
        <v>110</v>
      </c>
      <c r="E1075" t="s">
        <v>303</v>
      </c>
      <c r="F1075" t="s">
        <v>2384</v>
      </c>
      <c r="G1075" t="s">
        <v>2385</v>
      </c>
      <c r="H1075" t="s">
        <v>2386</v>
      </c>
      <c r="I1075" t="s">
        <v>2387</v>
      </c>
      <c r="J1075">
        <v>114</v>
      </c>
      <c r="K1075">
        <v>0</v>
      </c>
      <c r="L1075">
        <v>114</v>
      </c>
      <c r="M1075">
        <v>8.4</v>
      </c>
      <c r="N1075">
        <v>2.02</v>
      </c>
      <c r="O1075">
        <v>1.86</v>
      </c>
      <c r="Q1075" t="s">
        <v>2548</v>
      </c>
      <c r="R1075">
        <v>5907698028215</v>
      </c>
      <c r="S1075">
        <v>0</v>
      </c>
      <c r="V1075">
        <v>8308900090</v>
      </c>
    </row>
    <row r="1076" spans="1:22" x14ac:dyDescent="0.25">
      <c r="A1076">
        <v>997022</v>
      </c>
      <c r="B1076" t="s">
        <v>3027</v>
      </c>
      <c r="C1076">
        <v>110</v>
      </c>
      <c r="E1076" t="s">
        <v>303</v>
      </c>
      <c r="F1076" t="s">
        <v>2384</v>
      </c>
      <c r="G1076" t="s">
        <v>2385</v>
      </c>
      <c r="H1076" t="s">
        <v>2388</v>
      </c>
      <c r="I1076" t="s">
        <v>2387</v>
      </c>
      <c r="J1076">
        <v>175</v>
      </c>
      <c r="K1076">
        <v>0</v>
      </c>
      <c r="L1076">
        <v>175</v>
      </c>
      <c r="M1076">
        <v>8.4</v>
      </c>
      <c r="N1076">
        <v>2.02</v>
      </c>
      <c r="O1076">
        <v>1.86</v>
      </c>
      <c r="Q1076" t="s">
        <v>2548</v>
      </c>
      <c r="R1076">
        <v>5907698028222</v>
      </c>
      <c r="S1076">
        <v>0</v>
      </c>
      <c r="V1076">
        <v>8308900090</v>
      </c>
    </row>
    <row r="1077" spans="1:22" x14ac:dyDescent="0.25">
      <c r="A1077">
        <v>997051</v>
      </c>
      <c r="B1077" t="s">
        <v>302</v>
      </c>
      <c r="C1077">
        <v>12</v>
      </c>
      <c r="E1077" t="s">
        <v>303</v>
      </c>
      <c r="F1077" t="s">
        <v>2389</v>
      </c>
      <c r="G1077" t="s">
        <v>2390</v>
      </c>
      <c r="H1077" t="s">
        <v>2391</v>
      </c>
      <c r="I1077" t="s">
        <v>2392</v>
      </c>
      <c r="J1077">
        <v>208</v>
      </c>
      <c r="K1077">
        <v>0</v>
      </c>
      <c r="L1077">
        <v>208</v>
      </c>
      <c r="M1077">
        <v>4</v>
      </c>
      <c r="N1077">
        <v>1.06</v>
      </c>
      <c r="O1077">
        <v>0.91</v>
      </c>
      <c r="Q1077" t="s">
        <v>2393</v>
      </c>
      <c r="R1077">
        <v>5907698028949</v>
      </c>
      <c r="S1077">
        <v>50</v>
      </c>
      <c r="V1077">
        <v>3926909790</v>
      </c>
    </row>
    <row r="1078" spans="1:22" x14ac:dyDescent="0.25">
      <c r="A1078">
        <v>997070</v>
      </c>
      <c r="B1078" t="s">
        <v>2993</v>
      </c>
      <c r="C1078">
        <v>100</v>
      </c>
      <c r="E1078" t="s">
        <v>303</v>
      </c>
      <c r="F1078" t="s">
        <v>3534</v>
      </c>
      <c r="G1078" t="s">
        <v>2405</v>
      </c>
      <c r="H1078" t="s">
        <v>2401</v>
      </c>
      <c r="I1078" t="s">
        <v>2406</v>
      </c>
      <c r="J1078">
        <v>542</v>
      </c>
      <c r="K1078">
        <v>0</v>
      </c>
      <c r="L1078">
        <v>542</v>
      </c>
      <c r="M1078">
        <v>10.08</v>
      </c>
      <c r="N1078">
        <v>2.38</v>
      </c>
      <c r="O1078">
        <v>2.21</v>
      </c>
      <c r="Q1078" t="s">
        <v>2407</v>
      </c>
      <c r="R1078">
        <v>5907698029533</v>
      </c>
      <c r="S1078">
        <v>1000</v>
      </c>
      <c r="T1078" t="s">
        <v>2408</v>
      </c>
      <c r="V1078">
        <v>4420909990</v>
      </c>
    </row>
    <row r="1079" spans="1:22" x14ac:dyDescent="0.25">
      <c r="A1079">
        <v>997071</v>
      </c>
      <c r="B1079" t="s">
        <v>2993</v>
      </c>
      <c r="C1079">
        <v>100</v>
      </c>
      <c r="E1079" t="s">
        <v>303</v>
      </c>
      <c r="F1079" t="s">
        <v>3535</v>
      </c>
      <c r="G1079" t="s">
        <v>2409</v>
      </c>
      <c r="H1079" t="s">
        <v>2402</v>
      </c>
      <c r="I1079" t="s">
        <v>2410</v>
      </c>
      <c r="J1079">
        <v>371</v>
      </c>
      <c r="K1079">
        <v>0</v>
      </c>
      <c r="L1079">
        <v>371</v>
      </c>
      <c r="M1079">
        <v>9.41</v>
      </c>
      <c r="N1079">
        <v>2.23</v>
      </c>
      <c r="O1079">
        <v>2.0499999999999998</v>
      </c>
      <c r="Q1079" t="s">
        <v>2407</v>
      </c>
      <c r="R1079">
        <v>5907698029588</v>
      </c>
      <c r="S1079">
        <v>1000</v>
      </c>
      <c r="T1079" t="s">
        <v>1549</v>
      </c>
      <c r="V1079">
        <v>4420909990</v>
      </c>
    </row>
    <row r="1080" spans="1:22" x14ac:dyDescent="0.25">
      <c r="A1080">
        <v>997072</v>
      </c>
      <c r="B1080" t="s">
        <v>2993</v>
      </c>
      <c r="C1080">
        <v>100</v>
      </c>
      <c r="E1080" t="s">
        <v>303</v>
      </c>
      <c r="F1080" t="s">
        <v>2411</v>
      </c>
      <c r="G1080" t="s">
        <v>2412</v>
      </c>
      <c r="H1080" t="s">
        <v>2599</v>
      </c>
      <c r="I1080" t="s">
        <v>2413</v>
      </c>
      <c r="J1080">
        <v>366</v>
      </c>
      <c r="K1080">
        <v>0</v>
      </c>
      <c r="L1080">
        <v>366</v>
      </c>
      <c r="M1080">
        <v>9.75</v>
      </c>
      <c r="N1080">
        <v>2.2999999999999998</v>
      </c>
      <c r="O1080">
        <v>2.13</v>
      </c>
      <c r="Q1080" t="s">
        <v>2407</v>
      </c>
      <c r="R1080">
        <v>5907698029595</v>
      </c>
      <c r="S1080">
        <v>1000</v>
      </c>
      <c r="T1080" t="s">
        <v>1549</v>
      </c>
      <c r="V1080">
        <v>4420909990</v>
      </c>
    </row>
    <row r="1081" spans="1:22" x14ac:dyDescent="0.25">
      <c r="A1081">
        <v>998000</v>
      </c>
      <c r="B1081" t="s">
        <v>302</v>
      </c>
      <c r="C1081">
        <v>1</v>
      </c>
      <c r="E1081" t="s">
        <v>303</v>
      </c>
      <c r="F1081" t="s">
        <v>1568</v>
      </c>
      <c r="G1081" t="s">
        <v>1569</v>
      </c>
      <c r="H1081" t="s">
        <v>1570</v>
      </c>
      <c r="I1081" t="s">
        <v>1571</v>
      </c>
      <c r="J1081">
        <v>0</v>
      </c>
      <c r="K1081">
        <v>0</v>
      </c>
      <c r="L1081">
        <v>0</v>
      </c>
      <c r="M1081">
        <v>230</v>
      </c>
      <c r="N1081">
        <v>58.25</v>
      </c>
      <c r="O1081">
        <v>51.41</v>
      </c>
      <c r="Q1081" t="s">
        <v>3536</v>
      </c>
      <c r="R1081">
        <v>5907698025412</v>
      </c>
      <c r="S1081">
        <v>1</v>
      </c>
      <c r="V1081">
        <v>7321190000</v>
      </c>
    </row>
    <row r="1082" spans="1:22" x14ac:dyDescent="0.25">
      <c r="A1082">
        <v>998001</v>
      </c>
      <c r="B1082" t="s">
        <v>302</v>
      </c>
      <c r="C1082">
        <v>1</v>
      </c>
      <c r="E1082" t="s">
        <v>303</v>
      </c>
      <c r="F1082" t="s">
        <v>1568</v>
      </c>
      <c r="G1082" t="s">
        <v>1569</v>
      </c>
      <c r="H1082" t="s">
        <v>1572</v>
      </c>
      <c r="I1082" t="s">
        <v>1571</v>
      </c>
      <c r="J1082">
        <v>0</v>
      </c>
      <c r="K1082">
        <v>0</v>
      </c>
      <c r="L1082">
        <v>0</v>
      </c>
      <c r="M1082">
        <v>322</v>
      </c>
      <c r="N1082">
        <v>81.55</v>
      </c>
      <c r="O1082">
        <v>71.98</v>
      </c>
      <c r="Q1082" t="s">
        <v>3536</v>
      </c>
      <c r="R1082">
        <v>5907698027409</v>
      </c>
      <c r="S1082">
        <v>0</v>
      </c>
      <c r="V1082">
        <v>7321190000</v>
      </c>
    </row>
    <row r="1083" spans="1:22" x14ac:dyDescent="0.25">
      <c r="A1083">
        <v>998002</v>
      </c>
      <c r="B1083" t="s">
        <v>302</v>
      </c>
      <c r="C1083">
        <v>1</v>
      </c>
      <c r="E1083" t="s">
        <v>303</v>
      </c>
      <c r="F1083" t="s">
        <v>3537</v>
      </c>
      <c r="G1083" t="s">
        <v>1573</v>
      </c>
      <c r="H1083" t="s">
        <v>1570</v>
      </c>
      <c r="I1083" t="s">
        <v>1574</v>
      </c>
      <c r="J1083">
        <v>0</v>
      </c>
      <c r="K1083">
        <v>0</v>
      </c>
      <c r="L1083">
        <v>0</v>
      </c>
      <c r="M1083">
        <v>201.25</v>
      </c>
      <c r="N1083">
        <v>50.97</v>
      </c>
      <c r="O1083">
        <v>44.99</v>
      </c>
      <c r="Q1083" t="s">
        <v>3536</v>
      </c>
      <c r="R1083">
        <v>5907698028192</v>
      </c>
      <c r="S1083">
        <v>1</v>
      </c>
      <c r="V1083">
        <v>7321190000</v>
      </c>
    </row>
    <row r="1084" spans="1:22" x14ac:dyDescent="0.25">
      <c r="A1084">
        <v>998003</v>
      </c>
      <c r="B1084" t="s">
        <v>2993</v>
      </c>
      <c r="C1084">
        <v>1</v>
      </c>
      <c r="E1084" t="s">
        <v>303</v>
      </c>
      <c r="F1084" t="s">
        <v>1568</v>
      </c>
      <c r="G1084" t="s">
        <v>1573</v>
      </c>
      <c r="H1084" t="s">
        <v>3538</v>
      </c>
      <c r="I1084" t="s">
        <v>1574</v>
      </c>
      <c r="J1084">
        <v>4</v>
      </c>
      <c r="K1084">
        <v>0</v>
      </c>
      <c r="L1084">
        <v>4</v>
      </c>
      <c r="M1084">
        <v>207</v>
      </c>
      <c r="N1084">
        <v>52.43</v>
      </c>
      <c r="O1084">
        <v>46.26</v>
      </c>
      <c r="Q1084" t="s">
        <v>3536</v>
      </c>
      <c r="R1084">
        <v>5907698031123</v>
      </c>
      <c r="S1084">
        <v>1</v>
      </c>
      <c r="V1084">
        <v>7321190000</v>
      </c>
    </row>
    <row r="1085" spans="1:22" x14ac:dyDescent="0.25">
      <c r="A1085">
        <v>998028</v>
      </c>
      <c r="B1085" t="s">
        <v>302</v>
      </c>
      <c r="C1085">
        <v>1</v>
      </c>
      <c r="E1085" t="s">
        <v>303</v>
      </c>
      <c r="F1085" t="s">
        <v>3539</v>
      </c>
      <c r="G1085" t="s">
        <v>1575</v>
      </c>
      <c r="H1085" t="s">
        <v>1576</v>
      </c>
      <c r="I1085" t="s">
        <v>1577</v>
      </c>
      <c r="J1085">
        <v>0</v>
      </c>
      <c r="K1085">
        <v>0</v>
      </c>
      <c r="L1085">
        <v>0</v>
      </c>
      <c r="M1085">
        <v>161.19999999999999</v>
      </c>
      <c r="N1085">
        <v>38.14</v>
      </c>
      <c r="O1085">
        <v>35.28</v>
      </c>
      <c r="Q1085" t="s">
        <v>3536</v>
      </c>
      <c r="R1085">
        <v>5907698027621</v>
      </c>
      <c r="S1085">
        <v>1</v>
      </c>
      <c r="V1085">
        <v>7321190000</v>
      </c>
    </row>
    <row r="1086" spans="1:22" x14ac:dyDescent="0.25">
      <c r="A1086" t="s">
        <v>2394</v>
      </c>
      <c r="B1086" t="s">
        <v>302</v>
      </c>
      <c r="E1086" t="s">
        <v>303</v>
      </c>
      <c r="F1086" t="s">
        <v>2395</v>
      </c>
      <c r="I1086" t="s">
        <v>2434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Makro1">
                <anchor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600075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5"/>
  <dimension ref="A1:I17135"/>
  <sheetViews>
    <sheetView topLeftCell="A2214" workbookViewId="0">
      <selection activeCell="A2225" sqref="A2225"/>
    </sheetView>
  </sheetViews>
  <sheetFormatPr defaultRowHeight="15" x14ac:dyDescent="0.25"/>
  <cols>
    <col min="1" max="1" width="10.42578125" bestFit="1" customWidth="1"/>
    <col min="4" max="4" width="13.85546875" bestFit="1" customWidth="1"/>
    <col min="9" max="9" width="10.42578125" bestFit="1" customWidth="1"/>
  </cols>
  <sheetData>
    <row r="1" spans="1:9" x14ac:dyDescent="0.25">
      <c r="A1" s="4">
        <v>44148</v>
      </c>
    </row>
    <row r="2" spans="1:9" x14ac:dyDescent="0.25">
      <c r="A2" t="s">
        <v>44</v>
      </c>
      <c r="B2" t="s">
        <v>2511</v>
      </c>
      <c r="C2" t="s">
        <v>2512</v>
      </c>
      <c r="D2" s="9" t="s">
        <v>2513</v>
      </c>
      <c r="E2" t="s">
        <v>2600</v>
      </c>
    </row>
    <row r="3" spans="1:9" x14ac:dyDescent="0.25">
      <c r="A3">
        <v>101010</v>
      </c>
      <c r="B3">
        <v>0.59</v>
      </c>
      <c r="C3">
        <v>1440</v>
      </c>
      <c r="D3" s="9">
        <v>44083</v>
      </c>
      <c r="E3" t="s">
        <v>296</v>
      </c>
    </row>
    <row r="4" spans="1:9" x14ac:dyDescent="0.25">
      <c r="A4">
        <v>101010</v>
      </c>
      <c r="B4">
        <v>0.59</v>
      </c>
      <c r="C4">
        <v>1152</v>
      </c>
      <c r="D4" s="9">
        <v>44007</v>
      </c>
      <c r="E4" t="s">
        <v>296</v>
      </c>
      <c r="I4" s="9"/>
    </row>
    <row r="5" spans="1:9" x14ac:dyDescent="0.25">
      <c r="A5">
        <v>101010</v>
      </c>
      <c r="B5">
        <v>0.59</v>
      </c>
      <c r="C5">
        <v>960</v>
      </c>
      <c r="D5" s="9">
        <v>43959</v>
      </c>
      <c r="E5" t="s">
        <v>296</v>
      </c>
      <c r="I5" s="9"/>
    </row>
    <row r="6" spans="1:9" x14ac:dyDescent="0.25">
      <c r="A6">
        <v>101010</v>
      </c>
      <c r="B6">
        <v>0.59</v>
      </c>
      <c r="C6">
        <v>864</v>
      </c>
      <c r="D6" s="9">
        <v>43829</v>
      </c>
      <c r="E6" t="s">
        <v>296</v>
      </c>
      <c r="I6" s="9"/>
    </row>
    <row r="7" spans="1:9" x14ac:dyDescent="0.25">
      <c r="A7">
        <v>101010</v>
      </c>
      <c r="B7">
        <v>0.59799999999999998</v>
      </c>
      <c r="C7">
        <v>1536</v>
      </c>
      <c r="D7" s="9">
        <v>43592</v>
      </c>
      <c r="E7" t="s">
        <v>296</v>
      </c>
      <c r="I7" s="9"/>
    </row>
    <row r="8" spans="1:9" x14ac:dyDescent="0.25">
      <c r="A8">
        <v>101010</v>
      </c>
      <c r="B8">
        <v>0.59799999999999998</v>
      </c>
      <c r="C8">
        <v>1536</v>
      </c>
      <c r="D8" s="9">
        <v>43409</v>
      </c>
      <c r="E8" t="s">
        <v>296</v>
      </c>
      <c r="I8" s="9"/>
    </row>
    <row r="9" spans="1:9" x14ac:dyDescent="0.25">
      <c r="A9">
        <v>101010</v>
      </c>
      <c r="B9">
        <v>0.54</v>
      </c>
      <c r="C9">
        <v>1536</v>
      </c>
      <c r="D9" s="9">
        <v>43250</v>
      </c>
      <c r="E9" t="s">
        <v>296</v>
      </c>
      <c r="I9" s="9"/>
    </row>
    <row r="10" spans="1:9" x14ac:dyDescent="0.25">
      <c r="A10">
        <v>101010</v>
      </c>
      <c r="B10">
        <v>0.52</v>
      </c>
      <c r="C10">
        <v>1536</v>
      </c>
      <c r="D10" s="9">
        <v>43039</v>
      </c>
      <c r="E10" t="s">
        <v>296</v>
      </c>
      <c r="I10" s="9"/>
    </row>
    <row r="11" spans="1:9" x14ac:dyDescent="0.25">
      <c r="A11">
        <v>101010</v>
      </c>
      <c r="B11">
        <v>0.56000000000000005</v>
      </c>
      <c r="C11">
        <v>1536</v>
      </c>
      <c r="D11" s="9">
        <v>42781</v>
      </c>
      <c r="E11" t="s">
        <v>296</v>
      </c>
      <c r="I11" s="9"/>
    </row>
    <row r="12" spans="1:9" x14ac:dyDescent="0.25">
      <c r="A12">
        <v>101010</v>
      </c>
      <c r="B12">
        <v>0.56000000000000005</v>
      </c>
      <c r="C12">
        <v>1536</v>
      </c>
      <c r="D12" s="9">
        <v>42530</v>
      </c>
      <c r="E12" t="s">
        <v>296</v>
      </c>
      <c r="I12" s="9"/>
    </row>
    <row r="13" spans="1:9" x14ac:dyDescent="0.25">
      <c r="A13">
        <v>101010</v>
      </c>
      <c r="B13">
        <v>0.56999999999999995</v>
      </c>
      <c r="C13">
        <v>1536</v>
      </c>
      <c r="D13" s="9">
        <v>42270</v>
      </c>
      <c r="E13" t="s">
        <v>296</v>
      </c>
      <c r="I13" s="9"/>
    </row>
    <row r="14" spans="1:9" x14ac:dyDescent="0.25">
      <c r="A14">
        <v>101010</v>
      </c>
      <c r="B14">
        <v>0.56999999999999995</v>
      </c>
      <c r="C14">
        <v>1536</v>
      </c>
      <c r="D14" s="9">
        <v>41877</v>
      </c>
      <c r="E14" t="s">
        <v>296</v>
      </c>
      <c r="I14" s="9"/>
    </row>
    <row r="15" spans="1:9" x14ac:dyDescent="0.25">
      <c r="A15">
        <v>101010</v>
      </c>
      <c r="B15">
        <v>0.57899999999999996</v>
      </c>
      <c r="C15">
        <v>1632</v>
      </c>
      <c r="D15" s="9">
        <v>41682</v>
      </c>
      <c r="E15" t="s">
        <v>296</v>
      </c>
      <c r="I15" s="9"/>
    </row>
    <row r="16" spans="1:9" x14ac:dyDescent="0.25">
      <c r="A16">
        <v>101010</v>
      </c>
      <c r="B16">
        <v>0.54200000000000004</v>
      </c>
      <c r="C16">
        <v>1536</v>
      </c>
      <c r="D16" s="9">
        <v>41618</v>
      </c>
      <c r="E16" t="s">
        <v>296</v>
      </c>
      <c r="I16" s="9"/>
    </row>
    <row r="17" spans="1:9" x14ac:dyDescent="0.25">
      <c r="A17">
        <v>101010</v>
      </c>
      <c r="B17">
        <v>0.54200000000000004</v>
      </c>
      <c r="C17">
        <v>1152</v>
      </c>
      <c r="D17" s="9">
        <v>41417</v>
      </c>
      <c r="E17" t="s">
        <v>296</v>
      </c>
      <c r="I17" s="9"/>
    </row>
    <row r="18" spans="1:9" x14ac:dyDescent="0.25">
      <c r="A18">
        <v>101012</v>
      </c>
      <c r="B18">
        <v>0.77</v>
      </c>
      <c r="C18">
        <v>500</v>
      </c>
      <c r="D18" s="9">
        <v>44005</v>
      </c>
      <c r="E18" t="s">
        <v>296</v>
      </c>
      <c r="I18" s="9"/>
    </row>
    <row r="19" spans="1:9" x14ac:dyDescent="0.25">
      <c r="A19">
        <v>102010</v>
      </c>
      <c r="B19">
        <v>0.76500000000000001</v>
      </c>
      <c r="C19">
        <v>1008</v>
      </c>
      <c r="D19" s="9">
        <v>44021</v>
      </c>
      <c r="E19" t="s">
        <v>296</v>
      </c>
      <c r="I19" s="9"/>
    </row>
    <row r="20" spans="1:9" x14ac:dyDescent="0.25">
      <c r="A20">
        <v>102010</v>
      </c>
      <c r="B20">
        <v>0.76500000000000001</v>
      </c>
      <c r="C20">
        <v>1008</v>
      </c>
      <c r="D20" s="9">
        <v>43829</v>
      </c>
      <c r="E20" t="s">
        <v>296</v>
      </c>
      <c r="I20" s="9"/>
    </row>
    <row r="21" spans="1:9" x14ac:dyDescent="0.25">
      <c r="A21">
        <v>102010</v>
      </c>
      <c r="B21">
        <v>0.77200000000000002</v>
      </c>
      <c r="C21">
        <v>1152</v>
      </c>
      <c r="D21" s="9">
        <v>43409</v>
      </c>
      <c r="E21" t="s">
        <v>296</v>
      </c>
      <c r="I21" s="9"/>
    </row>
    <row r="22" spans="1:9" x14ac:dyDescent="0.25">
      <c r="A22">
        <v>102010</v>
      </c>
      <c r="B22">
        <v>0.76500000000000001</v>
      </c>
      <c r="C22">
        <v>1152</v>
      </c>
      <c r="D22" s="9">
        <v>43250</v>
      </c>
      <c r="E22" t="s">
        <v>296</v>
      </c>
      <c r="I22" s="9"/>
    </row>
    <row r="23" spans="1:9" x14ac:dyDescent="0.25">
      <c r="A23">
        <v>102010</v>
      </c>
      <c r="B23">
        <v>0.73</v>
      </c>
      <c r="C23">
        <v>1152</v>
      </c>
      <c r="D23" s="9">
        <v>42905</v>
      </c>
      <c r="E23" t="s">
        <v>296</v>
      </c>
      <c r="I23" s="9"/>
    </row>
    <row r="24" spans="1:9" x14ac:dyDescent="0.25">
      <c r="A24">
        <v>102010</v>
      </c>
      <c r="B24">
        <v>0.73</v>
      </c>
      <c r="C24">
        <v>1152</v>
      </c>
      <c r="D24" s="9">
        <v>42656</v>
      </c>
      <c r="E24" t="s">
        <v>296</v>
      </c>
      <c r="I24" s="9"/>
    </row>
    <row r="25" spans="1:9" x14ac:dyDescent="0.25">
      <c r="A25">
        <v>102010</v>
      </c>
      <c r="B25">
        <v>0.76</v>
      </c>
      <c r="C25">
        <v>1008</v>
      </c>
      <c r="D25" s="9">
        <v>42494</v>
      </c>
      <c r="E25" t="s">
        <v>296</v>
      </c>
      <c r="I25" s="9"/>
    </row>
    <row r="26" spans="1:9" x14ac:dyDescent="0.25">
      <c r="A26">
        <v>102010</v>
      </c>
      <c r="B26">
        <v>0.81</v>
      </c>
      <c r="C26">
        <v>1152</v>
      </c>
      <c r="D26" s="9">
        <v>42270</v>
      </c>
      <c r="E26" t="s">
        <v>296</v>
      </c>
      <c r="I26" s="9"/>
    </row>
    <row r="27" spans="1:9" x14ac:dyDescent="0.25">
      <c r="A27">
        <v>102010</v>
      </c>
      <c r="B27">
        <v>0.81</v>
      </c>
      <c r="C27">
        <v>1152</v>
      </c>
      <c r="D27" s="9">
        <v>42139</v>
      </c>
      <c r="E27" t="s">
        <v>296</v>
      </c>
      <c r="I27" s="9"/>
    </row>
    <row r="28" spans="1:9" x14ac:dyDescent="0.25">
      <c r="A28">
        <v>102010</v>
      </c>
      <c r="B28">
        <v>0.81</v>
      </c>
      <c r="C28">
        <v>1296</v>
      </c>
      <c r="D28" s="9">
        <v>41877</v>
      </c>
      <c r="E28" t="s">
        <v>296</v>
      </c>
      <c r="I28" s="9"/>
    </row>
    <row r="29" spans="1:9" x14ac:dyDescent="0.25">
      <c r="A29">
        <v>102010</v>
      </c>
      <c r="B29">
        <v>0.81799999999999995</v>
      </c>
      <c r="C29">
        <v>1152</v>
      </c>
      <c r="D29" s="9">
        <v>41747</v>
      </c>
      <c r="E29" t="s">
        <v>296</v>
      </c>
      <c r="I29" s="9"/>
    </row>
    <row r="30" spans="1:9" x14ac:dyDescent="0.25">
      <c r="A30">
        <v>102010</v>
      </c>
      <c r="B30">
        <v>0.81799999999999995</v>
      </c>
      <c r="C30">
        <v>1152</v>
      </c>
      <c r="D30" s="9">
        <v>41682</v>
      </c>
      <c r="E30" t="s">
        <v>296</v>
      </c>
      <c r="I30" s="9"/>
    </row>
    <row r="31" spans="1:9" x14ac:dyDescent="0.25">
      <c r="A31">
        <v>102010</v>
      </c>
      <c r="B31">
        <v>0.77</v>
      </c>
      <c r="C31">
        <v>1152</v>
      </c>
      <c r="D31" s="9">
        <v>41592</v>
      </c>
      <c r="E31" t="s">
        <v>296</v>
      </c>
      <c r="I31" s="9"/>
    </row>
    <row r="32" spans="1:9" x14ac:dyDescent="0.25">
      <c r="A32">
        <v>102010</v>
      </c>
      <c r="B32">
        <v>3.56</v>
      </c>
      <c r="C32">
        <v>72</v>
      </c>
      <c r="D32" s="9">
        <v>41562</v>
      </c>
      <c r="E32" t="s">
        <v>295</v>
      </c>
      <c r="I32" s="9"/>
    </row>
    <row r="33" spans="1:9" x14ac:dyDescent="0.25">
      <c r="A33">
        <v>102012</v>
      </c>
      <c r="B33">
        <v>0.96</v>
      </c>
      <c r="C33">
        <v>400</v>
      </c>
      <c r="D33" s="9">
        <v>44005</v>
      </c>
      <c r="E33" t="s">
        <v>296</v>
      </c>
      <c r="I33" s="9"/>
    </row>
    <row r="34" spans="1:9" x14ac:dyDescent="0.25">
      <c r="A34">
        <v>103000</v>
      </c>
      <c r="B34">
        <v>0.8</v>
      </c>
      <c r="C34">
        <v>672</v>
      </c>
      <c r="D34" s="9">
        <v>43829</v>
      </c>
      <c r="E34" t="s">
        <v>296</v>
      </c>
      <c r="I34" s="9"/>
    </row>
    <row r="35" spans="1:9" x14ac:dyDescent="0.25">
      <c r="A35">
        <v>103000</v>
      </c>
      <c r="B35">
        <v>0.80300000000000005</v>
      </c>
      <c r="C35">
        <v>672</v>
      </c>
      <c r="D35" s="9">
        <v>43409</v>
      </c>
      <c r="E35" t="s">
        <v>296</v>
      </c>
      <c r="I35" s="9"/>
    </row>
    <row r="36" spans="1:9" x14ac:dyDescent="0.25">
      <c r="A36">
        <v>103000</v>
      </c>
      <c r="B36">
        <v>0.8</v>
      </c>
      <c r="C36">
        <v>672</v>
      </c>
      <c r="D36" s="9">
        <v>43250</v>
      </c>
      <c r="E36" t="s">
        <v>296</v>
      </c>
      <c r="I36" s="9"/>
    </row>
    <row r="37" spans="1:9" x14ac:dyDescent="0.25">
      <c r="A37">
        <v>103000</v>
      </c>
      <c r="B37">
        <v>0.75</v>
      </c>
      <c r="C37">
        <v>672</v>
      </c>
      <c r="D37" s="9">
        <v>42905</v>
      </c>
      <c r="E37" t="s">
        <v>296</v>
      </c>
      <c r="I37" s="9"/>
    </row>
    <row r="38" spans="1:9" x14ac:dyDescent="0.25">
      <c r="A38">
        <v>103000</v>
      </c>
      <c r="B38">
        <v>0.73</v>
      </c>
      <c r="C38">
        <v>672</v>
      </c>
      <c r="D38" s="9">
        <v>42530</v>
      </c>
      <c r="E38" t="s">
        <v>296</v>
      </c>
      <c r="I38" s="9"/>
    </row>
    <row r="39" spans="1:9" x14ac:dyDescent="0.25">
      <c r="A39">
        <v>103000</v>
      </c>
      <c r="B39">
        <v>0.77</v>
      </c>
      <c r="C39">
        <v>672</v>
      </c>
      <c r="D39" s="9">
        <v>42299</v>
      </c>
      <c r="E39" t="s">
        <v>296</v>
      </c>
      <c r="I39" s="9"/>
    </row>
    <row r="40" spans="1:9" x14ac:dyDescent="0.25">
      <c r="A40">
        <v>103000</v>
      </c>
      <c r="B40">
        <v>0.77</v>
      </c>
      <c r="C40">
        <v>864</v>
      </c>
      <c r="D40" s="9">
        <v>41747</v>
      </c>
      <c r="E40" t="s">
        <v>296</v>
      </c>
      <c r="I40" s="9"/>
    </row>
    <row r="41" spans="1:9" x14ac:dyDescent="0.25">
      <c r="A41">
        <v>103010</v>
      </c>
      <c r="B41">
        <v>0.91</v>
      </c>
      <c r="C41">
        <v>768</v>
      </c>
      <c r="D41" s="9">
        <v>44133</v>
      </c>
      <c r="E41" t="s">
        <v>296</v>
      </c>
      <c r="I41" s="9"/>
    </row>
    <row r="42" spans="1:9" x14ac:dyDescent="0.25">
      <c r="A42">
        <v>103010</v>
      </c>
      <c r="B42">
        <v>0.91</v>
      </c>
      <c r="C42">
        <v>768</v>
      </c>
      <c r="D42" s="9">
        <v>43959</v>
      </c>
      <c r="E42" t="s">
        <v>296</v>
      </c>
      <c r="I42" s="9"/>
    </row>
    <row r="43" spans="1:9" x14ac:dyDescent="0.25">
      <c r="A43">
        <v>103010</v>
      </c>
      <c r="B43">
        <v>0.91</v>
      </c>
      <c r="C43">
        <v>768</v>
      </c>
      <c r="D43" s="9">
        <v>43959</v>
      </c>
      <c r="E43" t="s">
        <v>296</v>
      </c>
      <c r="I43" s="9"/>
    </row>
    <row r="44" spans="1:9" x14ac:dyDescent="0.25">
      <c r="A44">
        <v>103010</v>
      </c>
      <c r="B44">
        <v>0.91</v>
      </c>
      <c r="C44">
        <v>768</v>
      </c>
      <c r="D44" s="9">
        <v>43829</v>
      </c>
      <c r="E44" t="s">
        <v>296</v>
      </c>
      <c r="I44" s="9"/>
    </row>
    <row r="45" spans="1:9" x14ac:dyDescent="0.25">
      <c r="A45">
        <v>103010</v>
      </c>
      <c r="B45">
        <v>0.92900000000000005</v>
      </c>
      <c r="C45">
        <v>1440</v>
      </c>
      <c r="D45" s="9">
        <v>43409</v>
      </c>
      <c r="E45" t="s">
        <v>296</v>
      </c>
      <c r="I45" s="9"/>
    </row>
    <row r="46" spans="1:9" x14ac:dyDescent="0.25">
      <c r="A46">
        <v>103010</v>
      </c>
      <c r="B46">
        <v>0.9</v>
      </c>
      <c r="C46">
        <v>1536</v>
      </c>
      <c r="D46" s="9">
        <v>43250</v>
      </c>
      <c r="E46" t="s">
        <v>296</v>
      </c>
      <c r="I46" s="9"/>
    </row>
    <row r="47" spans="1:9" x14ac:dyDescent="0.25">
      <c r="A47">
        <v>103010</v>
      </c>
      <c r="B47">
        <v>0.87</v>
      </c>
      <c r="C47">
        <v>672</v>
      </c>
      <c r="D47" s="9">
        <v>42905</v>
      </c>
      <c r="E47" t="s">
        <v>296</v>
      </c>
      <c r="I47" s="9"/>
    </row>
    <row r="48" spans="1:9" x14ac:dyDescent="0.25">
      <c r="A48">
        <v>103010</v>
      </c>
      <c r="B48">
        <v>0.87</v>
      </c>
      <c r="C48">
        <v>672</v>
      </c>
      <c r="D48" s="9">
        <v>42905</v>
      </c>
      <c r="E48" t="s">
        <v>296</v>
      </c>
      <c r="I48" s="9"/>
    </row>
    <row r="49" spans="1:9" x14ac:dyDescent="0.25">
      <c r="A49">
        <v>103010</v>
      </c>
      <c r="B49">
        <v>0.87</v>
      </c>
      <c r="C49">
        <v>768</v>
      </c>
      <c r="D49" s="9">
        <v>42656</v>
      </c>
      <c r="E49" t="s">
        <v>296</v>
      </c>
      <c r="I49" s="9"/>
    </row>
    <row r="50" spans="1:9" x14ac:dyDescent="0.25">
      <c r="A50">
        <v>103010</v>
      </c>
      <c r="B50">
        <v>0.93</v>
      </c>
      <c r="C50">
        <v>768</v>
      </c>
      <c r="D50" s="9">
        <v>42494</v>
      </c>
      <c r="E50" t="s">
        <v>296</v>
      </c>
      <c r="I50" s="9"/>
    </row>
    <row r="51" spans="1:9" x14ac:dyDescent="0.25">
      <c r="A51">
        <v>103010</v>
      </c>
      <c r="B51">
        <v>0.86</v>
      </c>
      <c r="C51">
        <v>768</v>
      </c>
      <c r="D51" s="9">
        <v>42230</v>
      </c>
      <c r="E51" t="s">
        <v>296</v>
      </c>
      <c r="I51" s="9"/>
    </row>
    <row r="52" spans="1:9" x14ac:dyDescent="0.25">
      <c r="A52">
        <v>103010</v>
      </c>
      <c r="B52">
        <v>0.98</v>
      </c>
      <c r="C52">
        <v>768</v>
      </c>
      <c r="D52" s="9">
        <v>41877</v>
      </c>
      <c r="E52" t="s">
        <v>296</v>
      </c>
      <c r="I52" s="9"/>
    </row>
    <row r="53" spans="1:9" x14ac:dyDescent="0.25">
      <c r="A53">
        <v>103010</v>
      </c>
      <c r="B53">
        <v>0.98</v>
      </c>
      <c r="C53">
        <v>1248</v>
      </c>
      <c r="D53" s="9">
        <v>41747</v>
      </c>
      <c r="E53" t="s">
        <v>296</v>
      </c>
      <c r="I53" s="9"/>
    </row>
    <row r="54" spans="1:9" x14ac:dyDescent="0.25">
      <c r="A54">
        <v>103010</v>
      </c>
      <c r="B54">
        <v>0.98</v>
      </c>
      <c r="C54">
        <v>960</v>
      </c>
      <c r="D54" s="9">
        <v>41618</v>
      </c>
      <c r="E54" t="s">
        <v>296</v>
      </c>
      <c r="I54" s="9"/>
    </row>
    <row r="55" spans="1:9" x14ac:dyDescent="0.25">
      <c r="A55">
        <v>103012</v>
      </c>
      <c r="B55">
        <v>1.24</v>
      </c>
      <c r="C55">
        <v>250</v>
      </c>
      <c r="D55" s="9">
        <v>44005</v>
      </c>
      <c r="E55" t="s">
        <v>296</v>
      </c>
      <c r="I55" s="9"/>
    </row>
    <row r="56" spans="1:9" x14ac:dyDescent="0.25">
      <c r="A56">
        <v>104010</v>
      </c>
      <c r="B56">
        <v>1.06</v>
      </c>
      <c r="C56">
        <v>672</v>
      </c>
      <c r="D56" s="9">
        <v>43955</v>
      </c>
      <c r="E56" t="s">
        <v>296</v>
      </c>
      <c r="I56" s="9"/>
    </row>
    <row r="57" spans="1:9" x14ac:dyDescent="0.25">
      <c r="A57">
        <v>104010</v>
      </c>
      <c r="B57">
        <v>1.06</v>
      </c>
      <c r="C57">
        <v>672</v>
      </c>
      <c r="D57" s="9">
        <v>43829</v>
      </c>
      <c r="E57" t="s">
        <v>296</v>
      </c>
      <c r="I57" s="9"/>
    </row>
    <row r="58" spans="1:9" x14ac:dyDescent="0.25">
      <c r="A58">
        <v>104010</v>
      </c>
      <c r="B58">
        <v>1.071</v>
      </c>
      <c r="C58">
        <v>672</v>
      </c>
      <c r="D58" s="9">
        <v>43409</v>
      </c>
      <c r="E58" t="s">
        <v>296</v>
      </c>
      <c r="I58" s="9"/>
    </row>
    <row r="59" spans="1:9" x14ac:dyDescent="0.25">
      <c r="A59">
        <v>104010</v>
      </c>
      <c r="B59">
        <v>1.07</v>
      </c>
      <c r="C59">
        <v>672</v>
      </c>
      <c r="D59" s="9">
        <v>43250</v>
      </c>
      <c r="E59" t="s">
        <v>296</v>
      </c>
      <c r="I59" s="9"/>
    </row>
    <row r="60" spans="1:9" x14ac:dyDescent="0.25">
      <c r="A60">
        <v>104010</v>
      </c>
      <c r="B60">
        <v>1.02</v>
      </c>
      <c r="C60">
        <v>672</v>
      </c>
      <c r="D60" s="9">
        <v>43131</v>
      </c>
      <c r="E60" t="s">
        <v>296</v>
      </c>
      <c r="I60" s="9"/>
    </row>
    <row r="61" spans="1:9" x14ac:dyDescent="0.25">
      <c r="A61">
        <v>104010</v>
      </c>
      <c r="B61">
        <v>1.06</v>
      </c>
      <c r="C61">
        <v>1152</v>
      </c>
      <c r="D61" s="9">
        <v>42573</v>
      </c>
      <c r="E61" t="s">
        <v>296</v>
      </c>
      <c r="I61" s="9"/>
    </row>
    <row r="62" spans="1:9" x14ac:dyDescent="0.25">
      <c r="A62">
        <v>104010</v>
      </c>
      <c r="B62">
        <v>1.1499999999999999</v>
      </c>
      <c r="C62">
        <v>672</v>
      </c>
      <c r="D62" s="9">
        <v>42299</v>
      </c>
      <c r="E62" t="s">
        <v>296</v>
      </c>
      <c r="I62" s="9"/>
    </row>
    <row r="63" spans="1:9" x14ac:dyDescent="0.25">
      <c r="A63">
        <v>104010</v>
      </c>
      <c r="B63">
        <v>1.1499999999999999</v>
      </c>
      <c r="C63">
        <v>864</v>
      </c>
      <c r="D63" s="9">
        <v>41747</v>
      </c>
      <c r="E63" t="s">
        <v>296</v>
      </c>
      <c r="I63" s="9"/>
    </row>
    <row r="64" spans="1:9" x14ac:dyDescent="0.25">
      <c r="A64">
        <v>104010</v>
      </c>
      <c r="B64">
        <v>1.1499999999999999</v>
      </c>
      <c r="C64">
        <v>864</v>
      </c>
      <c r="D64" s="9">
        <v>41682</v>
      </c>
      <c r="E64" t="s">
        <v>296</v>
      </c>
      <c r="I64" s="9"/>
    </row>
    <row r="65" spans="1:9" x14ac:dyDescent="0.25">
      <c r="A65">
        <v>104010</v>
      </c>
      <c r="B65">
        <v>1.1000000000000001</v>
      </c>
      <c r="C65">
        <v>864</v>
      </c>
      <c r="D65" s="9">
        <v>41618</v>
      </c>
      <c r="E65" t="s">
        <v>296</v>
      </c>
      <c r="I65" s="9"/>
    </row>
    <row r="66" spans="1:9" x14ac:dyDescent="0.25">
      <c r="A66">
        <v>104012</v>
      </c>
      <c r="B66">
        <v>1.4</v>
      </c>
      <c r="C66">
        <v>250</v>
      </c>
      <c r="D66" s="9">
        <v>44005</v>
      </c>
      <c r="E66" t="s">
        <v>296</v>
      </c>
      <c r="I66" s="9"/>
    </row>
    <row r="67" spans="1:9" x14ac:dyDescent="0.25">
      <c r="A67">
        <v>105000</v>
      </c>
      <c r="B67">
        <v>0.89800000000000002</v>
      </c>
      <c r="C67">
        <v>1296</v>
      </c>
      <c r="D67" s="9">
        <v>41418</v>
      </c>
      <c r="E67" t="s">
        <v>296</v>
      </c>
      <c r="I67" s="9"/>
    </row>
    <row r="68" spans="1:9" x14ac:dyDescent="0.25">
      <c r="A68">
        <v>105000</v>
      </c>
      <c r="B68">
        <v>1.042</v>
      </c>
      <c r="C68">
        <v>720</v>
      </c>
      <c r="D68" s="9">
        <v>41288</v>
      </c>
      <c r="E68" t="s">
        <v>296</v>
      </c>
      <c r="I68" s="9"/>
    </row>
    <row r="69" spans="1:9" x14ac:dyDescent="0.25">
      <c r="A69">
        <v>105010</v>
      </c>
      <c r="B69">
        <v>1.18</v>
      </c>
      <c r="C69">
        <v>720</v>
      </c>
      <c r="D69" s="9">
        <v>44140</v>
      </c>
      <c r="E69" t="s">
        <v>296</v>
      </c>
      <c r="I69" s="9"/>
    </row>
    <row r="70" spans="1:9" x14ac:dyDescent="0.25">
      <c r="A70">
        <v>105010</v>
      </c>
      <c r="B70">
        <v>1.1499999999999999</v>
      </c>
      <c r="C70">
        <v>648</v>
      </c>
      <c r="D70" s="9">
        <v>44021</v>
      </c>
      <c r="E70" t="s">
        <v>296</v>
      </c>
      <c r="I70" s="9"/>
    </row>
    <row r="71" spans="1:9" x14ac:dyDescent="0.25">
      <c r="A71">
        <v>105010</v>
      </c>
      <c r="B71">
        <v>1.1499999999999999</v>
      </c>
      <c r="C71">
        <v>648</v>
      </c>
      <c r="D71" s="9">
        <v>43959</v>
      </c>
      <c r="E71" t="s">
        <v>296</v>
      </c>
      <c r="I71" s="9"/>
    </row>
    <row r="72" spans="1:9" x14ac:dyDescent="0.25">
      <c r="A72">
        <v>105010</v>
      </c>
      <c r="B72">
        <v>1.1499999999999999</v>
      </c>
      <c r="C72">
        <v>612</v>
      </c>
      <c r="D72" s="9">
        <v>43829</v>
      </c>
      <c r="E72" t="s">
        <v>296</v>
      </c>
      <c r="I72" s="9"/>
    </row>
    <row r="73" spans="1:9" x14ac:dyDescent="0.25">
      <c r="A73">
        <v>105010</v>
      </c>
      <c r="B73">
        <v>1.21</v>
      </c>
      <c r="C73">
        <v>720</v>
      </c>
      <c r="D73" s="9">
        <v>43592</v>
      </c>
      <c r="E73" t="s">
        <v>296</v>
      </c>
      <c r="I73" s="9"/>
    </row>
    <row r="74" spans="1:9" x14ac:dyDescent="0.25">
      <c r="A74">
        <v>105010</v>
      </c>
      <c r="B74">
        <v>1.228</v>
      </c>
      <c r="C74">
        <v>720</v>
      </c>
      <c r="D74" s="9">
        <v>43409</v>
      </c>
      <c r="E74" t="s">
        <v>296</v>
      </c>
      <c r="I74" s="9"/>
    </row>
    <row r="75" spans="1:9" x14ac:dyDescent="0.25">
      <c r="A75">
        <v>105010</v>
      </c>
      <c r="B75">
        <v>1.2</v>
      </c>
      <c r="C75">
        <v>720</v>
      </c>
      <c r="D75" s="9">
        <v>43250</v>
      </c>
      <c r="E75" t="s">
        <v>296</v>
      </c>
      <c r="I75" s="9"/>
    </row>
    <row r="76" spans="1:9" x14ac:dyDescent="0.25">
      <c r="A76">
        <v>105010</v>
      </c>
      <c r="B76">
        <v>1.1000000000000001</v>
      </c>
      <c r="C76">
        <v>720</v>
      </c>
      <c r="D76" s="9">
        <v>43132</v>
      </c>
      <c r="E76" t="s">
        <v>296</v>
      </c>
      <c r="I76" s="9"/>
    </row>
    <row r="77" spans="1:9" x14ac:dyDescent="0.25">
      <c r="A77">
        <v>105010</v>
      </c>
      <c r="B77">
        <v>4.1399999999999997</v>
      </c>
      <c r="C77">
        <v>720</v>
      </c>
      <c r="D77" s="9">
        <v>43132</v>
      </c>
      <c r="E77" t="s">
        <v>295</v>
      </c>
      <c r="I77" s="9"/>
    </row>
    <row r="78" spans="1:9" x14ac:dyDescent="0.25">
      <c r="A78">
        <v>105010</v>
      </c>
      <c r="B78">
        <v>1.1080000000000001</v>
      </c>
      <c r="C78">
        <v>792</v>
      </c>
      <c r="D78" s="9">
        <v>42607</v>
      </c>
      <c r="E78" t="s">
        <v>297</v>
      </c>
      <c r="I78" s="9"/>
    </row>
    <row r="79" spans="1:9" x14ac:dyDescent="0.25">
      <c r="A79">
        <v>105010</v>
      </c>
      <c r="B79">
        <v>1.1080000000000001</v>
      </c>
      <c r="C79">
        <v>900</v>
      </c>
      <c r="D79" s="9">
        <v>42607</v>
      </c>
      <c r="E79" t="s">
        <v>297</v>
      </c>
      <c r="I79" s="9"/>
    </row>
    <row r="80" spans="1:9" x14ac:dyDescent="0.25">
      <c r="A80">
        <v>105010</v>
      </c>
      <c r="B80">
        <v>1.1080000000000001</v>
      </c>
      <c r="C80">
        <v>1080</v>
      </c>
      <c r="D80" s="9">
        <v>42285</v>
      </c>
      <c r="E80" t="s">
        <v>297</v>
      </c>
      <c r="I80" s="9"/>
    </row>
    <row r="81" spans="1:9" x14ac:dyDescent="0.25">
      <c r="A81">
        <v>105010</v>
      </c>
      <c r="B81">
        <v>1.218</v>
      </c>
      <c r="C81">
        <v>1080</v>
      </c>
      <c r="D81" s="9">
        <v>42129</v>
      </c>
      <c r="E81" t="s">
        <v>296</v>
      </c>
      <c r="I81" s="9"/>
    </row>
    <row r="82" spans="1:9" x14ac:dyDescent="0.25">
      <c r="A82">
        <v>105010</v>
      </c>
      <c r="B82">
        <v>1.218</v>
      </c>
      <c r="C82">
        <v>1080</v>
      </c>
      <c r="D82" s="9">
        <v>41865</v>
      </c>
      <c r="E82" t="s">
        <v>296</v>
      </c>
      <c r="I82" s="9"/>
    </row>
    <row r="83" spans="1:9" x14ac:dyDescent="0.25">
      <c r="A83">
        <v>105010</v>
      </c>
      <c r="B83">
        <v>1.1830000000000001</v>
      </c>
      <c r="C83">
        <v>1008</v>
      </c>
      <c r="D83" s="9">
        <v>41786</v>
      </c>
      <c r="E83" t="s">
        <v>296</v>
      </c>
      <c r="I83" s="9"/>
    </row>
    <row r="84" spans="1:9" x14ac:dyDescent="0.25">
      <c r="A84">
        <v>105010</v>
      </c>
      <c r="B84">
        <v>1.1830000000000001</v>
      </c>
      <c r="C84">
        <v>1152</v>
      </c>
      <c r="D84" s="9">
        <v>41418</v>
      </c>
      <c r="E84" t="s">
        <v>296</v>
      </c>
      <c r="I84" s="9"/>
    </row>
    <row r="85" spans="1:9" x14ac:dyDescent="0.25">
      <c r="A85">
        <v>105010</v>
      </c>
      <c r="B85">
        <v>1.2350000000000001</v>
      </c>
      <c r="C85">
        <v>1080</v>
      </c>
      <c r="D85" s="9">
        <v>41288</v>
      </c>
      <c r="E85" t="s">
        <v>296</v>
      </c>
      <c r="I85" s="9"/>
    </row>
    <row r="86" spans="1:9" x14ac:dyDescent="0.25">
      <c r="A86">
        <v>105012</v>
      </c>
      <c r="B86">
        <v>1.5</v>
      </c>
      <c r="C86">
        <v>250</v>
      </c>
      <c r="D86" s="9">
        <v>44005</v>
      </c>
      <c r="E86" t="s">
        <v>296</v>
      </c>
      <c r="I86" s="9"/>
    </row>
    <row r="87" spans="1:9" x14ac:dyDescent="0.25">
      <c r="A87">
        <v>106010</v>
      </c>
      <c r="B87">
        <v>1.38</v>
      </c>
      <c r="C87">
        <v>576</v>
      </c>
      <c r="D87" s="9">
        <v>44021</v>
      </c>
      <c r="E87" t="s">
        <v>296</v>
      </c>
      <c r="I87" s="9"/>
    </row>
    <row r="88" spans="1:9" x14ac:dyDescent="0.25">
      <c r="A88">
        <v>106010</v>
      </c>
      <c r="B88">
        <v>1.38</v>
      </c>
      <c r="C88">
        <v>576</v>
      </c>
      <c r="D88" s="9">
        <v>43959</v>
      </c>
      <c r="E88" t="s">
        <v>296</v>
      </c>
      <c r="I88" s="9"/>
    </row>
    <row r="89" spans="1:9" x14ac:dyDescent="0.25">
      <c r="A89">
        <v>106010</v>
      </c>
      <c r="B89">
        <v>1.38</v>
      </c>
      <c r="C89">
        <v>576</v>
      </c>
      <c r="D89" s="9">
        <v>43592</v>
      </c>
      <c r="E89" t="s">
        <v>296</v>
      </c>
      <c r="I89" s="9"/>
    </row>
    <row r="90" spans="1:9" x14ac:dyDescent="0.25">
      <c r="A90">
        <v>106010</v>
      </c>
      <c r="B90">
        <v>1.4019999999999999</v>
      </c>
      <c r="C90">
        <v>576</v>
      </c>
      <c r="D90" s="9">
        <v>43409</v>
      </c>
      <c r="E90" t="s">
        <v>296</v>
      </c>
      <c r="I90" s="9"/>
    </row>
    <row r="91" spans="1:9" x14ac:dyDescent="0.25">
      <c r="A91">
        <v>106010</v>
      </c>
      <c r="B91">
        <v>1.34</v>
      </c>
      <c r="C91">
        <v>576</v>
      </c>
      <c r="D91" s="9">
        <v>43250</v>
      </c>
      <c r="E91" t="s">
        <v>296</v>
      </c>
      <c r="I91" s="9"/>
    </row>
    <row r="92" spans="1:9" x14ac:dyDescent="0.25">
      <c r="A92">
        <v>106010</v>
      </c>
      <c r="B92">
        <v>1.1499999999999999</v>
      </c>
      <c r="C92">
        <v>576</v>
      </c>
      <c r="D92" s="9">
        <v>43039</v>
      </c>
      <c r="E92" t="s">
        <v>296</v>
      </c>
      <c r="I92" s="9"/>
    </row>
    <row r="93" spans="1:9" x14ac:dyDescent="0.25">
      <c r="A93">
        <v>106010</v>
      </c>
      <c r="B93">
        <v>1.3</v>
      </c>
      <c r="C93">
        <v>576</v>
      </c>
      <c r="D93" s="9">
        <v>42530</v>
      </c>
      <c r="E93" t="s">
        <v>296</v>
      </c>
      <c r="I93" s="9"/>
    </row>
    <row r="94" spans="1:9" x14ac:dyDescent="0.25">
      <c r="A94">
        <v>106010</v>
      </c>
      <c r="B94">
        <v>3.53</v>
      </c>
      <c r="C94">
        <v>288</v>
      </c>
      <c r="D94" s="9">
        <v>42269</v>
      </c>
      <c r="E94" t="s">
        <v>295</v>
      </c>
      <c r="I94" s="9"/>
    </row>
    <row r="95" spans="1:9" x14ac:dyDescent="0.25">
      <c r="A95">
        <v>106010</v>
      </c>
      <c r="B95">
        <v>1.33</v>
      </c>
      <c r="C95">
        <v>576</v>
      </c>
      <c r="D95" s="9">
        <v>42229</v>
      </c>
      <c r="E95" t="s">
        <v>296</v>
      </c>
      <c r="I95" s="9"/>
    </row>
    <row r="96" spans="1:9" x14ac:dyDescent="0.25">
      <c r="A96">
        <v>108010</v>
      </c>
      <c r="B96">
        <v>1.68</v>
      </c>
      <c r="C96">
        <v>432</v>
      </c>
      <c r="D96" s="9">
        <v>44111</v>
      </c>
      <c r="E96" t="s">
        <v>296</v>
      </c>
      <c r="I96" s="9"/>
    </row>
    <row r="97" spans="1:9" x14ac:dyDescent="0.25">
      <c r="A97">
        <v>108010</v>
      </c>
      <c r="B97">
        <v>1.68</v>
      </c>
      <c r="C97">
        <v>480</v>
      </c>
      <c r="D97" s="9">
        <v>43829</v>
      </c>
      <c r="E97" t="s">
        <v>296</v>
      </c>
      <c r="I97" s="9"/>
    </row>
    <row r="98" spans="1:9" x14ac:dyDescent="0.25">
      <c r="A98">
        <v>108010</v>
      </c>
      <c r="B98">
        <v>1.73</v>
      </c>
      <c r="C98">
        <v>480</v>
      </c>
      <c r="D98" s="9">
        <v>43592</v>
      </c>
      <c r="E98" t="s">
        <v>296</v>
      </c>
      <c r="I98" s="9"/>
    </row>
    <row r="99" spans="1:9" x14ac:dyDescent="0.25">
      <c r="A99">
        <v>108010</v>
      </c>
      <c r="B99">
        <v>1.764</v>
      </c>
      <c r="C99">
        <v>432</v>
      </c>
      <c r="D99" s="9">
        <v>43409</v>
      </c>
      <c r="E99" t="s">
        <v>296</v>
      </c>
      <c r="I99" s="9"/>
    </row>
    <row r="100" spans="1:9" x14ac:dyDescent="0.25">
      <c r="A100">
        <v>108010</v>
      </c>
      <c r="B100">
        <v>1.6</v>
      </c>
      <c r="C100">
        <v>432</v>
      </c>
      <c r="D100" s="9">
        <v>43250</v>
      </c>
      <c r="E100" t="s">
        <v>296</v>
      </c>
      <c r="I100" s="9"/>
    </row>
    <row r="101" spans="1:9" x14ac:dyDescent="0.25">
      <c r="A101">
        <v>108010</v>
      </c>
      <c r="B101">
        <v>1.52</v>
      </c>
      <c r="C101">
        <v>432</v>
      </c>
      <c r="D101" s="9">
        <v>43039</v>
      </c>
      <c r="E101" t="s">
        <v>296</v>
      </c>
      <c r="I101" s="9"/>
    </row>
    <row r="102" spans="1:9" x14ac:dyDescent="0.25">
      <c r="A102">
        <v>108010</v>
      </c>
      <c r="B102">
        <v>1.66</v>
      </c>
      <c r="C102">
        <v>432</v>
      </c>
      <c r="D102" s="9">
        <v>42530</v>
      </c>
      <c r="E102" t="s">
        <v>296</v>
      </c>
      <c r="I102" s="9"/>
    </row>
    <row r="103" spans="1:9" x14ac:dyDescent="0.25">
      <c r="A103">
        <v>108010</v>
      </c>
      <c r="B103">
        <v>1.75</v>
      </c>
      <c r="C103">
        <v>432</v>
      </c>
      <c r="D103" s="9">
        <v>42299</v>
      </c>
      <c r="E103" t="s">
        <v>296</v>
      </c>
      <c r="I103" s="9"/>
    </row>
    <row r="104" spans="1:9" x14ac:dyDescent="0.25">
      <c r="A104">
        <v>108010</v>
      </c>
      <c r="B104">
        <v>1.833</v>
      </c>
      <c r="C104">
        <v>480</v>
      </c>
      <c r="D104" s="9">
        <v>42129</v>
      </c>
      <c r="E104" t="s">
        <v>296</v>
      </c>
      <c r="I104" s="9"/>
    </row>
    <row r="105" spans="1:9" x14ac:dyDescent="0.25">
      <c r="A105">
        <v>108010</v>
      </c>
      <c r="B105">
        <v>1.833</v>
      </c>
      <c r="C105">
        <v>480</v>
      </c>
      <c r="D105" s="9">
        <v>41786</v>
      </c>
      <c r="E105" t="s">
        <v>296</v>
      </c>
      <c r="I105" s="9"/>
    </row>
    <row r="106" spans="1:9" x14ac:dyDescent="0.25">
      <c r="A106">
        <v>108010</v>
      </c>
      <c r="B106">
        <v>1.78</v>
      </c>
      <c r="C106">
        <v>576</v>
      </c>
      <c r="D106" s="9">
        <v>41418</v>
      </c>
      <c r="E106" t="s">
        <v>296</v>
      </c>
      <c r="I106" s="9"/>
    </row>
    <row r="107" spans="1:9" x14ac:dyDescent="0.25">
      <c r="A107">
        <v>108010</v>
      </c>
      <c r="B107">
        <v>1.83</v>
      </c>
      <c r="C107">
        <v>576</v>
      </c>
      <c r="D107" s="9">
        <v>41288</v>
      </c>
      <c r="E107" t="s">
        <v>296</v>
      </c>
      <c r="I107" s="9"/>
    </row>
    <row r="108" spans="1:9" x14ac:dyDescent="0.25">
      <c r="A108">
        <v>108012</v>
      </c>
      <c r="B108">
        <v>2.1800000000000002</v>
      </c>
      <c r="C108">
        <v>250</v>
      </c>
      <c r="D108" s="9">
        <v>44005</v>
      </c>
      <c r="E108" t="s">
        <v>296</v>
      </c>
      <c r="I108" s="9"/>
    </row>
    <row r="109" spans="1:9" x14ac:dyDescent="0.25">
      <c r="A109">
        <v>110010</v>
      </c>
      <c r="B109">
        <v>2.02</v>
      </c>
      <c r="C109">
        <v>384</v>
      </c>
      <c r="D109" s="9">
        <v>44068</v>
      </c>
      <c r="E109" t="s">
        <v>296</v>
      </c>
      <c r="I109" s="9"/>
    </row>
    <row r="110" spans="1:9" x14ac:dyDescent="0.25">
      <c r="A110">
        <v>110010</v>
      </c>
      <c r="B110">
        <v>2.02</v>
      </c>
      <c r="C110">
        <v>384</v>
      </c>
      <c r="D110" s="9">
        <v>43959</v>
      </c>
      <c r="E110" t="s">
        <v>296</v>
      </c>
      <c r="I110" s="9"/>
    </row>
    <row r="111" spans="1:9" x14ac:dyDescent="0.25">
      <c r="A111">
        <v>110010</v>
      </c>
      <c r="B111">
        <v>2.02</v>
      </c>
      <c r="C111">
        <v>480</v>
      </c>
      <c r="D111" s="9">
        <v>43829</v>
      </c>
      <c r="E111" t="s">
        <v>296</v>
      </c>
      <c r="I111" s="9"/>
    </row>
    <row r="112" spans="1:9" x14ac:dyDescent="0.25">
      <c r="A112">
        <v>110010</v>
      </c>
      <c r="B112">
        <v>2.0499999999999998</v>
      </c>
      <c r="C112">
        <v>600</v>
      </c>
      <c r="D112" s="9">
        <v>43592</v>
      </c>
      <c r="E112" t="s">
        <v>296</v>
      </c>
      <c r="I112" s="9"/>
    </row>
    <row r="113" spans="1:9" x14ac:dyDescent="0.25">
      <c r="A113">
        <v>110010</v>
      </c>
      <c r="B113">
        <v>2.0790000000000002</v>
      </c>
      <c r="C113">
        <v>480</v>
      </c>
      <c r="D113" s="9">
        <v>43409</v>
      </c>
      <c r="E113" t="s">
        <v>296</v>
      </c>
      <c r="I113" s="9"/>
    </row>
    <row r="114" spans="1:9" x14ac:dyDescent="0.25">
      <c r="A114">
        <v>110010</v>
      </c>
      <c r="B114">
        <v>2.0499999999999998</v>
      </c>
      <c r="C114">
        <v>480</v>
      </c>
      <c r="D114" s="9">
        <v>43250</v>
      </c>
      <c r="E114" t="s">
        <v>296</v>
      </c>
      <c r="I114" s="9"/>
    </row>
    <row r="115" spans="1:9" x14ac:dyDescent="0.25">
      <c r="A115">
        <v>110010</v>
      </c>
      <c r="B115">
        <v>1.89</v>
      </c>
      <c r="C115">
        <v>480</v>
      </c>
      <c r="D115" s="9">
        <v>43131</v>
      </c>
      <c r="E115" t="s">
        <v>296</v>
      </c>
      <c r="I115" s="9"/>
    </row>
    <row r="116" spans="1:9" x14ac:dyDescent="0.25">
      <c r="A116">
        <v>110010</v>
      </c>
      <c r="B116">
        <v>1.69</v>
      </c>
      <c r="C116">
        <v>480</v>
      </c>
      <c r="D116" s="9">
        <v>42972</v>
      </c>
      <c r="E116" t="s">
        <v>296</v>
      </c>
      <c r="I116" s="9"/>
    </row>
    <row r="117" spans="1:9" x14ac:dyDescent="0.25">
      <c r="A117">
        <v>110010</v>
      </c>
      <c r="B117">
        <v>1.65</v>
      </c>
      <c r="C117">
        <v>576</v>
      </c>
      <c r="D117" s="9">
        <v>42781</v>
      </c>
      <c r="E117" t="s">
        <v>296</v>
      </c>
      <c r="I117" s="9"/>
    </row>
    <row r="118" spans="1:9" x14ac:dyDescent="0.25">
      <c r="A118">
        <v>110010</v>
      </c>
      <c r="B118">
        <v>1.69</v>
      </c>
      <c r="C118">
        <v>384</v>
      </c>
      <c r="D118" s="9">
        <v>42617</v>
      </c>
      <c r="E118" t="s">
        <v>296</v>
      </c>
      <c r="I118" s="9"/>
    </row>
    <row r="119" spans="1:9" x14ac:dyDescent="0.25">
      <c r="A119">
        <v>110010</v>
      </c>
      <c r="B119">
        <v>1.93</v>
      </c>
      <c r="C119">
        <v>384</v>
      </c>
      <c r="D119" s="9">
        <v>42494</v>
      </c>
      <c r="E119" t="s">
        <v>296</v>
      </c>
      <c r="I119" s="9"/>
    </row>
    <row r="120" spans="1:9" x14ac:dyDescent="0.25">
      <c r="A120">
        <v>110010</v>
      </c>
      <c r="B120">
        <v>1.69</v>
      </c>
      <c r="C120">
        <v>384</v>
      </c>
      <c r="D120" s="9">
        <v>42230</v>
      </c>
      <c r="E120" t="s">
        <v>296</v>
      </c>
      <c r="I120" s="9"/>
    </row>
    <row r="121" spans="1:9" x14ac:dyDescent="0.25">
      <c r="A121">
        <v>110010</v>
      </c>
      <c r="B121">
        <v>2.15</v>
      </c>
      <c r="C121">
        <v>432</v>
      </c>
      <c r="D121" s="9">
        <v>41947</v>
      </c>
      <c r="E121" t="s">
        <v>296</v>
      </c>
      <c r="I121" s="9"/>
    </row>
    <row r="122" spans="1:9" x14ac:dyDescent="0.25">
      <c r="A122">
        <v>110010</v>
      </c>
      <c r="B122">
        <v>2.1379999999999999</v>
      </c>
      <c r="C122">
        <v>480</v>
      </c>
      <c r="D122" s="9">
        <v>41747</v>
      </c>
      <c r="E122" t="s">
        <v>296</v>
      </c>
      <c r="I122" s="9"/>
    </row>
    <row r="123" spans="1:9" x14ac:dyDescent="0.25">
      <c r="A123">
        <v>110010</v>
      </c>
      <c r="B123">
        <v>2.1379999999999999</v>
      </c>
      <c r="C123">
        <v>432</v>
      </c>
      <c r="D123" s="9">
        <v>41682</v>
      </c>
      <c r="E123" t="s">
        <v>296</v>
      </c>
      <c r="I123" s="9"/>
    </row>
    <row r="124" spans="1:9" x14ac:dyDescent="0.25">
      <c r="A124">
        <v>110010</v>
      </c>
      <c r="B124">
        <v>2.077</v>
      </c>
      <c r="C124">
        <v>576</v>
      </c>
      <c r="D124" s="9">
        <v>41375</v>
      </c>
      <c r="E124" t="s">
        <v>296</v>
      </c>
      <c r="I124" s="9"/>
    </row>
    <row r="125" spans="1:9" x14ac:dyDescent="0.25">
      <c r="A125">
        <v>110012</v>
      </c>
      <c r="B125">
        <v>2.52</v>
      </c>
      <c r="C125">
        <v>240</v>
      </c>
      <c r="D125" s="9">
        <v>44005</v>
      </c>
      <c r="E125" t="s">
        <v>296</v>
      </c>
      <c r="I125" s="9"/>
    </row>
    <row r="126" spans="1:9" x14ac:dyDescent="0.25">
      <c r="A126">
        <v>115010</v>
      </c>
      <c r="B126">
        <v>2.52</v>
      </c>
      <c r="C126">
        <v>300</v>
      </c>
      <c r="D126" s="9">
        <v>44098</v>
      </c>
      <c r="E126" t="s">
        <v>296</v>
      </c>
      <c r="I126" s="9"/>
    </row>
    <row r="127" spans="1:9" x14ac:dyDescent="0.25">
      <c r="A127">
        <v>115010</v>
      </c>
      <c r="B127">
        <v>2.52</v>
      </c>
      <c r="C127">
        <v>300</v>
      </c>
      <c r="D127" s="9">
        <v>44043</v>
      </c>
      <c r="E127" t="s">
        <v>296</v>
      </c>
      <c r="I127" s="9"/>
    </row>
    <row r="128" spans="1:9" x14ac:dyDescent="0.25">
      <c r="A128">
        <v>115010</v>
      </c>
      <c r="B128">
        <v>2.52</v>
      </c>
      <c r="C128">
        <v>300</v>
      </c>
      <c r="D128" s="9">
        <v>43839</v>
      </c>
      <c r="E128" t="s">
        <v>296</v>
      </c>
      <c r="I128" s="9"/>
    </row>
    <row r="129" spans="1:9" x14ac:dyDescent="0.25">
      <c r="A129">
        <v>115010</v>
      </c>
      <c r="B129">
        <v>2.52</v>
      </c>
      <c r="C129">
        <v>300</v>
      </c>
      <c r="D129" s="9">
        <v>43648</v>
      </c>
      <c r="E129" t="s">
        <v>296</v>
      </c>
      <c r="I129" s="9"/>
    </row>
    <row r="130" spans="1:9" x14ac:dyDescent="0.25">
      <c r="A130">
        <v>115010</v>
      </c>
      <c r="B130">
        <v>2.52</v>
      </c>
      <c r="C130">
        <v>300</v>
      </c>
      <c r="D130" s="9">
        <v>43438</v>
      </c>
      <c r="E130" t="s">
        <v>296</v>
      </c>
      <c r="I130" s="9"/>
    </row>
    <row r="131" spans="1:9" x14ac:dyDescent="0.25">
      <c r="A131">
        <v>115010</v>
      </c>
      <c r="B131">
        <v>9.4499999999999993</v>
      </c>
      <c r="C131">
        <v>144</v>
      </c>
      <c r="D131" s="9">
        <v>43230</v>
      </c>
      <c r="E131" t="s">
        <v>295</v>
      </c>
      <c r="I131" s="9"/>
    </row>
    <row r="132" spans="1:9" x14ac:dyDescent="0.25">
      <c r="A132">
        <v>115010</v>
      </c>
      <c r="B132">
        <v>2.46</v>
      </c>
      <c r="C132">
        <v>300</v>
      </c>
      <c r="D132" s="9">
        <v>43199</v>
      </c>
      <c r="E132" t="s">
        <v>296</v>
      </c>
      <c r="I132" s="9"/>
    </row>
    <row r="133" spans="1:9" x14ac:dyDescent="0.25">
      <c r="A133">
        <v>115010</v>
      </c>
      <c r="B133">
        <v>2.39</v>
      </c>
      <c r="C133">
        <v>300</v>
      </c>
      <c r="D133" s="9">
        <v>43063</v>
      </c>
      <c r="E133" t="s">
        <v>296</v>
      </c>
      <c r="I133" s="9"/>
    </row>
    <row r="134" spans="1:9" x14ac:dyDescent="0.25">
      <c r="A134">
        <v>115010</v>
      </c>
      <c r="B134">
        <v>2.2999999999999998</v>
      </c>
      <c r="C134">
        <v>300</v>
      </c>
      <c r="D134" s="9">
        <v>42912</v>
      </c>
      <c r="E134" t="s">
        <v>296</v>
      </c>
      <c r="I134" s="9"/>
    </row>
    <row r="135" spans="1:9" x14ac:dyDescent="0.25">
      <c r="A135">
        <v>115010</v>
      </c>
      <c r="B135">
        <v>2.1</v>
      </c>
      <c r="C135">
        <v>240</v>
      </c>
      <c r="D135" s="9">
        <v>42617</v>
      </c>
      <c r="E135" t="s">
        <v>296</v>
      </c>
      <c r="I135" s="9"/>
    </row>
    <row r="136" spans="1:9" x14ac:dyDescent="0.25">
      <c r="A136">
        <v>115010</v>
      </c>
      <c r="B136">
        <v>2.6</v>
      </c>
      <c r="C136">
        <v>300</v>
      </c>
      <c r="D136" s="9">
        <v>42494</v>
      </c>
      <c r="E136" t="s">
        <v>296</v>
      </c>
      <c r="I136" s="9"/>
    </row>
    <row r="137" spans="1:9" x14ac:dyDescent="0.25">
      <c r="A137">
        <v>115010</v>
      </c>
      <c r="B137">
        <v>2.1</v>
      </c>
      <c r="C137">
        <v>300</v>
      </c>
      <c r="D137" s="9">
        <v>42230</v>
      </c>
      <c r="E137" t="s">
        <v>296</v>
      </c>
      <c r="I137" s="9"/>
    </row>
    <row r="138" spans="1:9" x14ac:dyDescent="0.25">
      <c r="A138">
        <v>115010</v>
      </c>
      <c r="B138">
        <v>2.63</v>
      </c>
      <c r="C138">
        <v>336</v>
      </c>
      <c r="D138" s="9">
        <v>41877</v>
      </c>
      <c r="E138" t="s">
        <v>296</v>
      </c>
      <c r="I138" s="9"/>
    </row>
    <row r="139" spans="1:9" x14ac:dyDescent="0.25">
      <c r="A139">
        <v>115010</v>
      </c>
      <c r="B139">
        <v>2.63</v>
      </c>
      <c r="C139">
        <v>360</v>
      </c>
      <c r="D139" s="9">
        <v>41746</v>
      </c>
      <c r="E139" t="s">
        <v>296</v>
      </c>
      <c r="I139" s="9"/>
    </row>
    <row r="140" spans="1:9" x14ac:dyDescent="0.25">
      <c r="A140">
        <v>115010</v>
      </c>
      <c r="B140">
        <v>2.63</v>
      </c>
      <c r="C140">
        <v>384</v>
      </c>
      <c r="D140" s="9">
        <v>41592</v>
      </c>
      <c r="E140" t="s">
        <v>296</v>
      </c>
      <c r="I140" s="9"/>
    </row>
    <row r="141" spans="1:9" x14ac:dyDescent="0.25">
      <c r="A141">
        <v>116010</v>
      </c>
      <c r="B141">
        <v>3.25</v>
      </c>
      <c r="C141">
        <v>360</v>
      </c>
      <c r="D141" s="9">
        <v>44043</v>
      </c>
      <c r="E141" t="s">
        <v>296</v>
      </c>
      <c r="I141" s="9"/>
    </row>
    <row r="142" spans="1:9" x14ac:dyDescent="0.25">
      <c r="A142">
        <v>116010</v>
      </c>
      <c r="B142">
        <v>3.25</v>
      </c>
      <c r="C142">
        <v>360</v>
      </c>
      <c r="D142" s="9">
        <v>44020</v>
      </c>
      <c r="E142" t="s">
        <v>296</v>
      </c>
      <c r="I142" s="9"/>
    </row>
    <row r="143" spans="1:9" x14ac:dyDescent="0.25">
      <c r="A143">
        <v>116010</v>
      </c>
      <c r="B143">
        <v>3.25</v>
      </c>
      <c r="C143">
        <v>360</v>
      </c>
      <c r="D143" s="9">
        <v>43839</v>
      </c>
      <c r="E143" t="s">
        <v>296</v>
      </c>
      <c r="I143" s="9"/>
    </row>
    <row r="144" spans="1:9" x14ac:dyDescent="0.25">
      <c r="A144">
        <v>116010</v>
      </c>
      <c r="B144">
        <v>3.25</v>
      </c>
      <c r="C144">
        <v>360</v>
      </c>
      <c r="D144" s="9">
        <v>43686</v>
      </c>
      <c r="E144" t="s">
        <v>296</v>
      </c>
      <c r="I144" s="9"/>
    </row>
    <row r="145" spans="1:9" x14ac:dyDescent="0.25">
      <c r="A145">
        <v>116010</v>
      </c>
      <c r="B145">
        <v>3.45</v>
      </c>
      <c r="C145">
        <v>420</v>
      </c>
      <c r="D145" s="9">
        <v>43250</v>
      </c>
      <c r="E145" t="s">
        <v>296</v>
      </c>
      <c r="I145" s="9"/>
    </row>
    <row r="146" spans="1:9" x14ac:dyDescent="0.25">
      <c r="A146">
        <v>116010</v>
      </c>
      <c r="B146">
        <v>2.66</v>
      </c>
      <c r="C146">
        <v>480</v>
      </c>
      <c r="D146" s="9">
        <v>43063</v>
      </c>
      <c r="E146" t="s">
        <v>296</v>
      </c>
      <c r="I146" s="9"/>
    </row>
    <row r="147" spans="1:9" x14ac:dyDescent="0.25">
      <c r="A147">
        <v>116010</v>
      </c>
      <c r="B147">
        <v>2.2799999999999998</v>
      </c>
      <c r="C147">
        <v>480</v>
      </c>
      <c r="D147" s="9">
        <v>42972</v>
      </c>
      <c r="E147" t="s">
        <v>296</v>
      </c>
      <c r="I147" s="9"/>
    </row>
    <row r="148" spans="1:9" x14ac:dyDescent="0.25">
      <c r="A148">
        <v>116010</v>
      </c>
      <c r="B148">
        <v>14.8</v>
      </c>
      <c r="C148">
        <v>120</v>
      </c>
      <c r="D148" s="9">
        <v>42922</v>
      </c>
      <c r="E148" t="s">
        <v>295</v>
      </c>
      <c r="I148" s="9"/>
    </row>
    <row r="149" spans="1:9" x14ac:dyDescent="0.25">
      <c r="A149">
        <v>116010</v>
      </c>
      <c r="B149">
        <v>2.8130000000000002</v>
      </c>
      <c r="C149">
        <v>480</v>
      </c>
      <c r="D149" s="9">
        <v>42781</v>
      </c>
      <c r="E149" t="s">
        <v>296</v>
      </c>
      <c r="I149" s="9"/>
    </row>
    <row r="150" spans="1:9" x14ac:dyDescent="0.25">
      <c r="A150">
        <v>116010</v>
      </c>
      <c r="B150">
        <v>2.2799999999999998</v>
      </c>
      <c r="C150">
        <v>216</v>
      </c>
      <c r="D150" s="9">
        <v>42617</v>
      </c>
      <c r="E150" t="s">
        <v>296</v>
      </c>
      <c r="I150" s="9"/>
    </row>
    <row r="151" spans="1:9" x14ac:dyDescent="0.25">
      <c r="A151">
        <v>116010</v>
      </c>
      <c r="B151">
        <v>3.42</v>
      </c>
      <c r="C151">
        <v>216</v>
      </c>
      <c r="D151" s="9">
        <v>42494</v>
      </c>
      <c r="E151" t="s">
        <v>296</v>
      </c>
      <c r="I151" s="9"/>
    </row>
    <row r="152" spans="1:9" x14ac:dyDescent="0.25">
      <c r="A152">
        <v>116010</v>
      </c>
      <c r="B152">
        <v>3.72</v>
      </c>
      <c r="C152">
        <v>288</v>
      </c>
      <c r="D152" s="9">
        <v>41947</v>
      </c>
      <c r="E152" t="s">
        <v>296</v>
      </c>
      <c r="I152" s="9"/>
    </row>
    <row r="153" spans="1:9" x14ac:dyDescent="0.25">
      <c r="A153">
        <v>116010</v>
      </c>
      <c r="B153">
        <v>3.7210000000000001</v>
      </c>
      <c r="C153">
        <v>480</v>
      </c>
      <c r="D153" s="9">
        <v>41747</v>
      </c>
      <c r="E153" t="s">
        <v>296</v>
      </c>
      <c r="I153" s="9"/>
    </row>
    <row r="154" spans="1:9" x14ac:dyDescent="0.25">
      <c r="A154">
        <v>116010</v>
      </c>
      <c r="B154">
        <v>3.7210000000000001</v>
      </c>
      <c r="C154">
        <v>480</v>
      </c>
      <c r="D154" s="9">
        <v>41682</v>
      </c>
      <c r="E154" t="s">
        <v>296</v>
      </c>
      <c r="I154" s="9"/>
    </row>
    <row r="155" spans="1:9" x14ac:dyDescent="0.25">
      <c r="A155">
        <v>116010</v>
      </c>
      <c r="B155">
        <v>3.52</v>
      </c>
      <c r="C155">
        <v>288</v>
      </c>
      <c r="D155" s="9">
        <v>41592</v>
      </c>
      <c r="E155" t="s">
        <v>296</v>
      </c>
      <c r="I155" s="9"/>
    </row>
    <row r="156" spans="1:9" x14ac:dyDescent="0.25">
      <c r="A156">
        <v>116010</v>
      </c>
      <c r="B156">
        <v>3.52</v>
      </c>
      <c r="C156">
        <v>432</v>
      </c>
      <c r="D156" s="9">
        <v>41375</v>
      </c>
      <c r="E156" t="s">
        <v>296</v>
      </c>
      <c r="I156" s="9"/>
    </row>
    <row r="157" spans="1:9" x14ac:dyDescent="0.25">
      <c r="A157">
        <v>121010</v>
      </c>
      <c r="B157">
        <v>1.88</v>
      </c>
      <c r="C157">
        <v>384</v>
      </c>
      <c r="D157" s="9">
        <v>44068</v>
      </c>
      <c r="E157" t="s">
        <v>296</v>
      </c>
      <c r="I157" s="9"/>
    </row>
    <row r="158" spans="1:9" x14ac:dyDescent="0.25">
      <c r="A158">
        <v>121010</v>
      </c>
      <c r="B158">
        <v>1.88</v>
      </c>
      <c r="C158">
        <v>384</v>
      </c>
      <c r="D158" s="9">
        <v>43829</v>
      </c>
      <c r="E158" t="s">
        <v>296</v>
      </c>
      <c r="I158" s="9"/>
    </row>
    <row r="159" spans="1:9" x14ac:dyDescent="0.25">
      <c r="A159">
        <v>121010</v>
      </c>
      <c r="B159">
        <v>1.88</v>
      </c>
      <c r="C159">
        <v>384</v>
      </c>
      <c r="D159" s="9">
        <v>43592</v>
      </c>
      <c r="E159" t="s">
        <v>296</v>
      </c>
      <c r="I159" s="9"/>
    </row>
    <row r="160" spans="1:9" x14ac:dyDescent="0.25">
      <c r="A160">
        <v>121010</v>
      </c>
      <c r="B160">
        <v>1.9</v>
      </c>
      <c r="C160">
        <v>384</v>
      </c>
      <c r="D160" s="9">
        <v>43250</v>
      </c>
      <c r="E160" t="s">
        <v>296</v>
      </c>
      <c r="I160" s="9"/>
    </row>
    <row r="161" spans="1:9" x14ac:dyDescent="0.25">
      <c r="A161">
        <v>121010</v>
      </c>
      <c r="B161">
        <v>1.69</v>
      </c>
      <c r="C161">
        <v>384</v>
      </c>
      <c r="D161" s="9">
        <v>42617</v>
      </c>
      <c r="E161" t="s">
        <v>296</v>
      </c>
      <c r="I161" s="9"/>
    </row>
    <row r="162" spans="1:9" x14ac:dyDescent="0.25">
      <c r="A162">
        <v>121010</v>
      </c>
      <c r="B162">
        <v>1.9</v>
      </c>
      <c r="C162">
        <v>384</v>
      </c>
      <c r="D162" s="9">
        <v>42270</v>
      </c>
      <c r="E162" t="s">
        <v>296</v>
      </c>
      <c r="I162" s="9"/>
    </row>
    <row r="163" spans="1:9" x14ac:dyDescent="0.25">
      <c r="A163">
        <v>121010</v>
      </c>
      <c r="B163">
        <v>1.9</v>
      </c>
      <c r="C163">
        <v>384</v>
      </c>
      <c r="D163" s="9">
        <v>42031</v>
      </c>
      <c r="E163" t="s">
        <v>296</v>
      </c>
      <c r="I163" s="9"/>
    </row>
    <row r="164" spans="1:9" x14ac:dyDescent="0.25">
      <c r="A164">
        <v>121010</v>
      </c>
      <c r="B164">
        <v>1.56</v>
      </c>
      <c r="C164">
        <v>384</v>
      </c>
      <c r="D164" s="9">
        <v>41592</v>
      </c>
      <c r="E164" t="s">
        <v>296</v>
      </c>
      <c r="I164" s="9"/>
    </row>
    <row r="165" spans="1:9" x14ac:dyDescent="0.25">
      <c r="A165">
        <v>121012</v>
      </c>
      <c r="B165">
        <v>2.0499999999999998</v>
      </c>
      <c r="C165">
        <v>120</v>
      </c>
      <c r="D165" s="9">
        <v>44005</v>
      </c>
      <c r="E165" t="s">
        <v>296</v>
      </c>
      <c r="I165" s="9"/>
    </row>
    <row r="166" spans="1:9" x14ac:dyDescent="0.25">
      <c r="A166">
        <v>121510</v>
      </c>
      <c r="B166">
        <v>2.7</v>
      </c>
      <c r="C166">
        <v>360</v>
      </c>
      <c r="D166" s="9">
        <v>44141</v>
      </c>
      <c r="E166" t="s">
        <v>296</v>
      </c>
      <c r="I166" s="9"/>
    </row>
    <row r="167" spans="1:9" x14ac:dyDescent="0.25">
      <c r="A167">
        <v>121510</v>
      </c>
      <c r="B167">
        <v>2.7</v>
      </c>
      <c r="C167">
        <v>360</v>
      </c>
      <c r="D167" s="9">
        <v>44043</v>
      </c>
      <c r="E167" t="s">
        <v>296</v>
      </c>
      <c r="I167" s="9"/>
    </row>
    <row r="168" spans="1:9" x14ac:dyDescent="0.25">
      <c r="A168">
        <v>121510</v>
      </c>
      <c r="B168">
        <v>2.7</v>
      </c>
      <c r="C168">
        <v>360</v>
      </c>
      <c r="D168" s="9">
        <v>43839</v>
      </c>
      <c r="E168" t="s">
        <v>296</v>
      </c>
      <c r="I168" s="9"/>
    </row>
    <row r="169" spans="1:9" x14ac:dyDescent="0.25">
      <c r="A169">
        <v>121510</v>
      </c>
      <c r="B169">
        <v>2.7</v>
      </c>
      <c r="C169">
        <v>360</v>
      </c>
      <c r="D169" s="9">
        <v>43648</v>
      </c>
      <c r="E169" t="s">
        <v>296</v>
      </c>
      <c r="I169" s="9"/>
    </row>
    <row r="170" spans="1:9" x14ac:dyDescent="0.25">
      <c r="A170">
        <v>121510</v>
      </c>
      <c r="B170">
        <v>2.7</v>
      </c>
      <c r="C170">
        <v>360</v>
      </c>
      <c r="D170" s="9">
        <v>43438</v>
      </c>
      <c r="E170" t="s">
        <v>296</v>
      </c>
      <c r="I170" s="9"/>
    </row>
    <row r="171" spans="1:9" x14ac:dyDescent="0.25">
      <c r="A171">
        <v>121510</v>
      </c>
      <c r="B171">
        <v>2.75</v>
      </c>
      <c r="C171">
        <v>360</v>
      </c>
      <c r="D171" s="9">
        <v>43250</v>
      </c>
      <c r="E171" t="s">
        <v>296</v>
      </c>
      <c r="I171" s="9"/>
    </row>
    <row r="172" spans="1:9" x14ac:dyDescent="0.25">
      <c r="A172">
        <v>121510</v>
      </c>
      <c r="B172">
        <v>2.5499999999999998</v>
      </c>
      <c r="C172">
        <v>360</v>
      </c>
      <c r="D172" s="9">
        <v>43131</v>
      </c>
      <c r="E172" t="s">
        <v>296</v>
      </c>
      <c r="I172" s="9"/>
    </row>
    <row r="173" spans="1:9" x14ac:dyDescent="0.25">
      <c r="A173">
        <v>121510</v>
      </c>
      <c r="B173">
        <v>2.06</v>
      </c>
      <c r="C173">
        <v>360</v>
      </c>
      <c r="D173" s="9">
        <v>42972</v>
      </c>
      <c r="E173" t="s">
        <v>296</v>
      </c>
      <c r="I173" s="9"/>
    </row>
    <row r="174" spans="1:9" x14ac:dyDescent="0.25">
      <c r="A174">
        <v>121510</v>
      </c>
      <c r="B174">
        <v>1.6819999999999999</v>
      </c>
      <c r="C174">
        <v>360</v>
      </c>
      <c r="D174" s="9">
        <v>42781</v>
      </c>
      <c r="E174" t="s">
        <v>296</v>
      </c>
      <c r="I174" s="9"/>
    </row>
    <row r="175" spans="1:9" x14ac:dyDescent="0.25">
      <c r="A175">
        <v>121510</v>
      </c>
      <c r="B175">
        <v>2.06</v>
      </c>
      <c r="C175">
        <v>300</v>
      </c>
      <c r="D175" s="9">
        <v>42510</v>
      </c>
      <c r="E175" t="s">
        <v>296</v>
      </c>
      <c r="I175" s="9"/>
    </row>
    <row r="176" spans="1:9" x14ac:dyDescent="0.25">
      <c r="A176">
        <v>121510</v>
      </c>
      <c r="B176">
        <v>2.06</v>
      </c>
      <c r="C176">
        <v>312</v>
      </c>
      <c r="D176" s="9">
        <v>42230</v>
      </c>
      <c r="E176" t="s">
        <v>296</v>
      </c>
      <c r="I176" s="9"/>
    </row>
    <row r="177" spans="1:9" x14ac:dyDescent="0.25">
      <c r="A177">
        <v>121510</v>
      </c>
      <c r="B177">
        <v>2.58</v>
      </c>
      <c r="C177">
        <v>360</v>
      </c>
      <c r="D177" s="9">
        <v>41865</v>
      </c>
      <c r="E177" t="s">
        <v>296</v>
      </c>
      <c r="I177" s="9"/>
    </row>
    <row r="178" spans="1:9" x14ac:dyDescent="0.25">
      <c r="A178">
        <v>121510</v>
      </c>
      <c r="B178">
        <v>2.58</v>
      </c>
      <c r="C178">
        <v>360</v>
      </c>
      <c r="D178" s="9">
        <v>41786</v>
      </c>
      <c r="E178" t="s">
        <v>296</v>
      </c>
      <c r="I178" s="9"/>
    </row>
    <row r="179" spans="1:9" x14ac:dyDescent="0.25">
      <c r="A179">
        <v>121510</v>
      </c>
      <c r="B179">
        <v>2.7080000000000002</v>
      </c>
      <c r="C179">
        <v>240</v>
      </c>
      <c r="D179" s="9">
        <v>41288</v>
      </c>
      <c r="E179" t="s">
        <v>296</v>
      </c>
      <c r="I179" s="9"/>
    </row>
    <row r="180" spans="1:9" x14ac:dyDescent="0.25">
      <c r="A180">
        <v>121512</v>
      </c>
      <c r="B180">
        <v>2.9</v>
      </c>
      <c r="C180">
        <v>120</v>
      </c>
      <c r="D180" s="9">
        <v>44005</v>
      </c>
      <c r="E180" t="s">
        <v>296</v>
      </c>
      <c r="I180" s="9"/>
    </row>
    <row r="181" spans="1:9" x14ac:dyDescent="0.25">
      <c r="A181">
        <v>131270</v>
      </c>
      <c r="B181">
        <v>1.4</v>
      </c>
      <c r="C181">
        <v>480</v>
      </c>
      <c r="D181" s="9">
        <v>42573</v>
      </c>
      <c r="E181" t="s">
        <v>296</v>
      </c>
      <c r="I181" s="9"/>
    </row>
    <row r="182" spans="1:9" x14ac:dyDescent="0.25">
      <c r="A182">
        <v>131270</v>
      </c>
      <c r="B182">
        <v>1.55</v>
      </c>
      <c r="C182">
        <v>720</v>
      </c>
      <c r="D182" s="9">
        <v>42031</v>
      </c>
      <c r="E182" t="s">
        <v>296</v>
      </c>
      <c r="I182" s="9"/>
    </row>
    <row r="183" spans="1:9" x14ac:dyDescent="0.25">
      <c r="A183">
        <v>131270</v>
      </c>
      <c r="B183">
        <v>1.597</v>
      </c>
      <c r="C183">
        <v>720</v>
      </c>
      <c r="D183" s="9">
        <v>41747</v>
      </c>
      <c r="E183" t="s">
        <v>296</v>
      </c>
      <c r="I183" s="9"/>
    </row>
    <row r="184" spans="1:9" x14ac:dyDescent="0.25">
      <c r="A184">
        <v>131270</v>
      </c>
      <c r="B184">
        <v>1.597</v>
      </c>
      <c r="C184">
        <v>480</v>
      </c>
      <c r="D184" s="9">
        <v>41288</v>
      </c>
      <c r="E184" t="s">
        <v>296</v>
      </c>
      <c r="I184" s="9"/>
    </row>
    <row r="185" spans="1:9" x14ac:dyDescent="0.25">
      <c r="A185">
        <v>132270</v>
      </c>
      <c r="B185">
        <v>1.7749999999999999</v>
      </c>
      <c r="C185">
        <v>720</v>
      </c>
      <c r="D185" s="9">
        <v>41682</v>
      </c>
      <c r="E185" t="s">
        <v>296</v>
      </c>
      <c r="I185" s="9"/>
    </row>
    <row r="186" spans="1:9" x14ac:dyDescent="0.25">
      <c r="A186">
        <v>132270</v>
      </c>
      <c r="B186">
        <v>1.6</v>
      </c>
      <c r="C186">
        <v>576</v>
      </c>
      <c r="D186" s="9">
        <v>41592</v>
      </c>
      <c r="E186" t="s">
        <v>296</v>
      </c>
      <c r="I186" s="9"/>
    </row>
    <row r="187" spans="1:9" x14ac:dyDescent="0.25">
      <c r="A187">
        <v>132390</v>
      </c>
      <c r="B187">
        <v>1.61</v>
      </c>
      <c r="C187">
        <v>576</v>
      </c>
      <c r="D187" s="9">
        <v>44133</v>
      </c>
      <c r="E187" t="s">
        <v>296</v>
      </c>
      <c r="I187" s="9"/>
    </row>
    <row r="188" spans="1:9" x14ac:dyDescent="0.25">
      <c r="A188">
        <v>132390</v>
      </c>
      <c r="B188">
        <v>1.61</v>
      </c>
      <c r="C188">
        <v>576</v>
      </c>
      <c r="D188" s="9">
        <v>43959</v>
      </c>
      <c r="E188" t="s">
        <v>296</v>
      </c>
      <c r="I188" s="9"/>
    </row>
    <row r="189" spans="1:9" x14ac:dyDescent="0.25">
      <c r="A189">
        <v>132390</v>
      </c>
      <c r="B189">
        <v>1.53</v>
      </c>
      <c r="C189">
        <v>432</v>
      </c>
      <c r="D189" s="9">
        <v>43829</v>
      </c>
      <c r="E189" t="s">
        <v>296</v>
      </c>
      <c r="I189" s="9"/>
    </row>
    <row r="190" spans="1:9" x14ac:dyDescent="0.25">
      <c r="A190">
        <v>132390</v>
      </c>
      <c r="B190">
        <v>1.61</v>
      </c>
      <c r="C190">
        <v>480</v>
      </c>
      <c r="D190" s="9">
        <v>43592</v>
      </c>
      <c r="E190" t="s">
        <v>296</v>
      </c>
      <c r="I190" s="9"/>
    </row>
    <row r="191" spans="1:9" x14ac:dyDescent="0.25">
      <c r="A191">
        <v>132390</v>
      </c>
      <c r="B191">
        <v>1.61</v>
      </c>
      <c r="C191">
        <v>480</v>
      </c>
      <c r="D191" s="9">
        <v>43409</v>
      </c>
      <c r="E191" t="s">
        <v>296</v>
      </c>
      <c r="I191" s="9"/>
    </row>
    <row r="192" spans="1:9" x14ac:dyDescent="0.25">
      <c r="A192">
        <v>132390</v>
      </c>
      <c r="B192">
        <v>1.645</v>
      </c>
      <c r="C192">
        <v>480</v>
      </c>
      <c r="D192" s="9">
        <v>43250</v>
      </c>
      <c r="E192" t="s">
        <v>296</v>
      </c>
      <c r="I192" s="9"/>
    </row>
    <row r="193" spans="1:9" x14ac:dyDescent="0.25">
      <c r="A193">
        <v>132390</v>
      </c>
      <c r="B193">
        <v>1.54</v>
      </c>
      <c r="C193">
        <v>480</v>
      </c>
      <c r="D193" s="9">
        <v>43131</v>
      </c>
      <c r="E193" t="s">
        <v>296</v>
      </c>
      <c r="I193" s="9"/>
    </row>
    <row r="194" spans="1:9" x14ac:dyDescent="0.25">
      <c r="A194">
        <v>132390</v>
      </c>
      <c r="B194">
        <v>1.48</v>
      </c>
      <c r="C194">
        <v>480</v>
      </c>
      <c r="D194" s="9">
        <v>42781</v>
      </c>
      <c r="E194" t="s">
        <v>296</v>
      </c>
      <c r="I194" s="9"/>
    </row>
    <row r="195" spans="1:9" x14ac:dyDescent="0.25">
      <c r="A195">
        <v>132390</v>
      </c>
      <c r="B195">
        <v>1.48</v>
      </c>
      <c r="C195">
        <v>480</v>
      </c>
      <c r="D195" s="9">
        <v>42656</v>
      </c>
      <c r="E195" t="s">
        <v>296</v>
      </c>
      <c r="I195" s="9"/>
    </row>
    <row r="196" spans="1:9" x14ac:dyDescent="0.25">
      <c r="A196">
        <v>132390</v>
      </c>
      <c r="B196">
        <v>1.6</v>
      </c>
      <c r="C196">
        <v>432</v>
      </c>
      <c r="D196" s="9">
        <v>42494</v>
      </c>
      <c r="E196" t="s">
        <v>296</v>
      </c>
      <c r="I196" s="9"/>
    </row>
    <row r="197" spans="1:9" x14ac:dyDescent="0.25">
      <c r="A197">
        <v>132390</v>
      </c>
      <c r="B197">
        <v>6.73</v>
      </c>
      <c r="C197">
        <v>600</v>
      </c>
      <c r="D197" s="9">
        <v>42269</v>
      </c>
      <c r="E197" t="s">
        <v>295</v>
      </c>
      <c r="I197" s="9"/>
    </row>
    <row r="198" spans="1:9" x14ac:dyDescent="0.25">
      <c r="A198">
        <v>132390</v>
      </c>
      <c r="B198">
        <v>1.66</v>
      </c>
      <c r="C198">
        <v>600</v>
      </c>
      <c r="D198" s="9">
        <v>42229</v>
      </c>
      <c r="E198" t="s">
        <v>296</v>
      </c>
      <c r="I198" s="9"/>
    </row>
    <row r="199" spans="1:9" x14ac:dyDescent="0.25">
      <c r="A199">
        <v>132390</v>
      </c>
      <c r="B199">
        <v>1.66</v>
      </c>
      <c r="C199">
        <v>432</v>
      </c>
      <c r="D199" s="9">
        <v>41947</v>
      </c>
      <c r="E199" t="s">
        <v>296</v>
      </c>
      <c r="I199" s="9"/>
    </row>
    <row r="200" spans="1:9" x14ac:dyDescent="0.25">
      <c r="A200">
        <v>132390</v>
      </c>
      <c r="B200">
        <v>1.66</v>
      </c>
      <c r="C200">
        <v>720</v>
      </c>
      <c r="D200" s="9">
        <v>41746</v>
      </c>
      <c r="E200" t="s">
        <v>296</v>
      </c>
      <c r="I200" s="9"/>
    </row>
    <row r="201" spans="1:9" x14ac:dyDescent="0.25">
      <c r="A201">
        <v>132390</v>
      </c>
      <c r="B201">
        <v>1.66</v>
      </c>
      <c r="C201">
        <v>720</v>
      </c>
      <c r="D201" s="9">
        <v>41618</v>
      </c>
      <c r="E201" t="s">
        <v>296</v>
      </c>
      <c r="I201" s="9"/>
    </row>
    <row r="202" spans="1:9" x14ac:dyDescent="0.25">
      <c r="A202">
        <v>133000</v>
      </c>
      <c r="B202">
        <v>1</v>
      </c>
      <c r="C202">
        <v>200</v>
      </c>
      <c r="D202" s="9">
        <v>44005</v>
      </c>
      <c r="E202" t="s">
        <v>296</v>
      </c>
      <c r="I202" s="9"/>
    </row>
    <row r="203" spans="1:9" x14ac:dyDescent="0.25">
      <c r="A203">
        <v>136010</v>
      </c>
      <c r="B203">
        <v>2.13</v>
      </c>
      <c r="C203">
        <v>288</v>
      </c>
      <c r="D203" s="9">
        <v>43959</v>
      </c>
      <c r="E203" t="s">
        <v>296</v>
      </c>
      <c r="I203" s="9"/>
    </row>
    <row r="204" spans="1:9" x14ac:dyDescent="0.25">
      <c r="A204">
        <v>136010</v>
      </c>
      <c r="B204">
        <v>2.13</v>
      </c>
      <c r="C204">
        <v>384</v>
      </c>
      <c r="D204" s="9">
        <v>43959</v>
      </c>
      <c r="E204" t="s">
        <v>296</v>
      </c>
      <c r="I204" s="9"/>
    </row>
    <row r="205" spans="1:9" x14ac:dyDescent="0.25">
      <c r="A205">
        <v>136010</v>
      </c>
      <c r="B205">
        <v>2.13</v>
      </c>
      <c r="C205">
        <v>384</v>
      </c>
      <c r="D205" s="9">
        <v>43829</v>
      </c>
      <c r="E205" t="s">
        <v>296</v>
      </c>
      <c r="I205" s="9"/>
    </row>
    <row r="206" spans="1:9" x14ac:dyDescent="0.25">
      <c r="A206">
        <v>136010</v>
      </c>
      <c r="B206">
        <v>2.13</v>
      </c>
      <c r="C206">
        <v>384</v>
      </c>
      <c r="D206" s="9">
        <v>43592</v>
      </c>
      <c r="E206" t="s">
        <v>296</v>
      </c>
      <c r="I206" s="9"/>
    </row>
    <row r="207" spans="1:9" x14ac:dyDescent="0.25">
      <c r="A207">
        <v>136010</v>
      </c>
      <c r="B207">
        <v>2.06</v>
      </c>
      <c r="C207">
        <v>384</v>
      </c>
      <c r="D207" s="9">
        <v>43409</v>
      </c>
      <c r="E207" t="s">
        <v>296</v>
      </c>
      <c r="I207" s="9"/>
    </row>
    <row r="208" spans="1:9" x14ac:dyDescent="0.25">
      <c r="A208">
        <v>136010</v>
      </c>
      <c r="B208">
        <v>2.1800000000000002</v>
      </c>
      <c r="C208">
        <v>384</v>
      </c>
      <c r="D208" s="9">
        <v>43131</v>
      </c>
      <c r="E208" t="s">
        <v>296</v>
      </c>
      <c r="I208" s="9"/>
    </row>
    <row r="209" spans="1:9" x14ac:dyDescent="0.25">
      <c r="A209">
        <v>136010</v>
      </c>
      <c r="B209">
        <v>1.9870000000000001</v>
      </c>
      <c r="C209">
        <v>480</v>
      </c>
      <c r="D209" s="9">
        <v>42573</v>
      </c>
      <c r="E209" t="s">
        <v>296</v>
      </c>
      <c r="I209" s="9"/>
    </row>
    <row r="210" spans="1:9" x14ac:dyDescent="0.25">
      <c r="A210">
        <v>136010</v>
      </c>
      <c r="B210">
        <v>2.16</v>
      </c>
      <c r="C210">
        <v>384</v>
      </c>
      <c r="D210" s="9">
        <v>42380</v>
      </c>
      <c r="E210" t="s">
        <v>296</v>
      </c>
      <c r="I210" s="9"/>
    </row>
    <row r="211" spans="1:9" x14ac:dyDescent="0.25">
      <c r="A211">
        <v>136010</v>
      </c>
      <c r="B211">
        <v>2.16</v>
      </c>
      <c r="C211">
        <v>432</v>
      </c>
      <c r="D211" s="9">
        <v>42031</v>
      </c>
      <c r="E211" t="s">
        <v>296</v>
      </c>
      <c r="I211" s="9"/>
    </row>
    <row r="212" spans="1:9" x14ac:dyDescent="0.25">
      <c r="A212">
        <v>136010</v>
      </c>
      <c r="B212">
        <v>1.93</v>
      </c>
      <c r="C212">
        <v>384</v>
      </c>
      <c r="D212" s="9">
        <v>41765</v>
      </c>
      <c r="E212" t="s">
        <v>296</v>
      </c>
      <c r="I212" s="9"/>
    </row>
    <row r="213" spans="1:9" x14ac:dyDescent="0.25">
      <c r="A213">
        <v>136010</v>
      </c>
      <c r="B213">
        <v>2.2599999999999998</v>
      </c>
      <c r="C213">
        <v>576</v>
      </c>
      <c r="D213" s="9">
        <v>41288</v>
      </c>
      <c r="E213" t="s">
        <v>296</v>
      </c>
      <c r="I213" s="9"/>
    </row>
    <row r="214" spans="1:9" x14ac:dyDescent="0.25">
      <c r="A214">
        <v>136022</v>
      </c>
      <c r="B214">
        <v>2.14</v>
      </c>
      <c r="C214">
        <v>312</v>
      </c>
      <c r="D214" s="9">
        <v>44111</v>
      </c>
      <c r="E214" t="s">
        <v>296</v>
      </c>
      <c r="I214" s="9"/>
    </row>
    <row r="215" spans="1:9" x14ac:dyDescent="0.25">
      <c r="A215">
        <v>136022</v>
      </c>
      <c r="B215">
        <v>2.14</v>
      </c>
      <c r="C215">
        <v>312</v>
      </c>
      <c r="D215" s="9">
        <v>43959</v>
      </c>
      <c r="E215" t="s">
        <v>296</v>
      </c>
      <c r="I215" s="9"/>
    </row>
    <row r="216" spans="1:9" x14ac:dyDescent="0.25">
      <c r="A216">
        <v>136022</v>
      </c>
      <c r="B216">
        <v>2.14</v>
      </c>
      <c r="C216">
        <v>432</v>
      </c>
      <c r="D216" s="9">
        <v>43959</v>
      </c>
      <c r="E216" t="s">
        <v>296</v>
      </c>
      <c r="I216" s="9"/>
    </row>
    <row r="217" spans="1:9" x14ac:dyDescent="0.25">
      <c r="A217">
        <v>136022</v>
      </c>
      <c r="B217">
        <v>2.14</v>
      </c>
      <c r="C217">
        <v>432</v>
      </c>
      <c r="D217" s="9">
        <v>43829</v>
      </c>
      <c r="E217" t="s">
        <v>296</v>
      </c>
      <c r="I217" s="9"/>
    </row>
    <row r="218" spans="1:9" x14ac:dyDescent="0.25">
      <c r="A218">
        <v>136022</v>
      </c>
      <c r="B218">
        <v>2.2200000000000002</v>
      </c>
      <c r="C218">
        <v>432</v>
      </c>
      <c r="D218" s="9">
        <v>43592</v>
      </c>
      <c r="E218" t="s">
        <v>296</v>
      </c>
      <c r="I218" s="9"/>
    </row>
    <row r="219" spans="1:9" x14ac:dyDescent="0.25">
      <c r="A219">
        <v>136022</v>
      </c>
      <c r="B219">
        <v>2.2200000000000002</v>
      </c>
      <c r="C219">
        <v>432</v>
      </c>
      <c r="D219" s="9">
        <v>43409</v>
      </c>
      <c r="E219" t="s">
        <v>296</v>
      </c>
      <c r="I219" s="9"/>
    </row>
    <row r="220" spans="1:9" x14ac:dyDescent="0.25">
      <c r="A220">
        <v>136022</v>
      </c>
      <c r="B220">
        <v>2.2200000000000002</v>
      </c>
      <c r="C220">
        <v>432</v>
      </c>
      <c r="D220" s="9">
        <v>43250</v>
      </c>
      <c r="E220" t="s">
        <v>296</v>
      </c>
      <c r="I220" s="9"/>
    </row>
    <row r="221" spans="1:9" x14ac:dyDescent="0.25">
      <c r="A221">
        <v>136022</v>
      </c>
      <c r="B221">
        <v>2.2200000000000002</v>
      </c>
      <c r="C221">
        <v>432</v>
      </c>
      <c r="D221" s="9">
        <v>43131</v>
      </c>
      <c r="E221" t="s">
        <v>296</v>
      </c>
      <c r="I221" s="9"/>
    </row>
    <row r="222" spans="1:9" x14ac:dyDescent="0.25">
      <c r="A222">
        <v>136022</v>
      </c>
      <c r="B222">
        <v>2.14</v>
      </c>
      <c r="C222">
        <v>384</v>
      </c>
      <c r="D222" s="9">
        <v>42905</v>
      </c>
      <c r="E222" t="s">
        <v>296</v>
      </c>
      <c r="I222" s="9"/>
    </row>
    <row r="223" spans="1:9" x14ac:dyDescent="0.25">
      <c r="A223">
        <v>136022</v>
      </c>
      <c r="B223">
        <v>2.14</v>
      </c>
      <c r="C223">
        <v>384</v>
      </c>
      <c r="D223" s="9">
        <v>42656</v>
      </c>
      <c r="E223" t="s">
        <v>296</v>
      </c>
      <c r="I223" s="9"/>
    </row>
    <row r="224" spans="1:9" x14ac:dyDescent="0.25">
      <c r="A224">
        <v>136022</v>
      </c>
      <c r="B224">
        <v>2.15</v>
      </c>
      <c r="C224">
        <v>384</v>
      </c>
      <c r="D224" s="9">
        <v>42494</v>
      </c>
      <c r="E224" t="s">
        <v>296</v>
      </c>
      <c r="I224" s="9"/>
    </row>
    <row r="225" spans="1:9" x14ac:dyDescent="0.25">
      <c r="A225">
        <v>136022</v>
      </c>
      <c r="B225">
        <v>2.3199999999999998</v>
      </c>
      <c r="C225">
        <v>384</v>
      </c>
      <c r="D225" s="9">
        <v>42380</v>
      </c>
      <c r="E225" t="s">
        <v>296</v>
      </c>
      <c r="I225" s="9"/>
    </row>
    <row r="226" spans="1:9" x14ac:dyDescent="0.25">
      <c r="A226">
        <v>136022</v>
      </c>
      <c r="B226">
        <v>9.4</v>
      </c>
      <c r="C226">
        <v>432</v>
      </c>
      <c r="D226" s="9">
        <v>42269</v>
      </c>
      <c r="E226" t="s">
        <v>295</v>
      </c>
      <c r="I226" s="9"/>
    </row>
    <row r="227" spans="1:9" x14ac:dyDescent="0.25">
      <c r="A227">
        <v>136022</v>
      </c>
      <c r="B227">
        <v>2.3199999999999998</v>
      </c>
      <c r="C227">
        <v>432</v>
      </c>
      <c r="D227" s="9">
        <v>42229</v>
      </c>
      <c r="E227" t="s">
        <v>296</v>
      </c>
      <c r="I227" s="9"/>
    </row>
    <row r="228" spans="1:9" x14ac:dyDescent="0.25">
      <c r="A228">
        <v>136022</v>
      </c>
      <c r="B228">
        <v>2.3199999999999998</v>
      </c>
      <c r="C228">
        <v>840</v>
      </c>
      <c r="D228" s="9">
        <v>41747</v>
      </c>
      <c r="E228" t="s">
        <v>296</v>
      </c>
      <c r="I228" s="9"/>
    </row>
    <row r="229" spans="1:9" x14ac:dyDescent="0.25">
      <c r="A229">
        <v>136022</v>
      </c>
      <c r="B229">
        <v>2.3210000000000002</v>
      </c>
      <c r="C229">
        <v>624</v>
      </c>
      <c r="D229" s="9">
        <v>41682</v>
      </c>
      <c r="E229" t="s">
        <v>296</v>
      </c>
      <c r="I229" s="9"/>
    </row>
    <row r="230" spans="1:9" x14ac:dyDescent="0.25">
      <c r="A230">
        <v>136022</v>
      </c>
      <c r="B230">
        <v>2.2869999999999999</v>
      </c>
      <c r="C230">
        <v>576</v>
      </c>
      <c r="D230" s="9">
        <v>41288</v>
      </c>
      <c r="E230" t="s">
        <v>296</v>
      </c>
      <c r="I230" s="9"/>
    </row>
    <row r="231" spans="1:9" x14ac:dyDescent="0.25">
      <c r="A231">
        <v>136110</v>
      </c>
      <c r="B231">
        <v>2.2000000000000002</v>
      </c>
      <c r="C231">
        <v>384</v>
      </c>
      <c r="D231" s="9">
        <v>41682</v>
      </c>
      <c r="E231" t="s">
        <v>296</v>
      </c>
      <c r="I231" s="9"/>
    </row>
    <row r="232" spans="1:9" x14ac:dyDescent="0.25">
      <c r="A232">
        <v>136210</v>
      </c>
      <c r="B232">
        <v>2.1</v>
      </c>
      <c r="C232">
        <v>480</v>
      </c>
      <c r="D232" s="9">
        <v>43829</v>
      </c>
      <c r="E232" t="s">
        <v>296</v>
      </c>
      <c r="I232" s="9"/>
    </row>
    <row r="233" spans="1:9" x14ac:dyDescent="0.25">
      <c r="A233">
        <v>136210</v>
      </c>
      <c r="B233">
        <v>2.0499999999999998</v>
      </c>
      <c r="C233">
        <v>360</v>
      </c>
      <c r="D233" s="9">
        <v>43829</v>
      </c>
      <c r="E233" t="s">
        <v>296</v>
      </c>
      <c r="I233" s="9"/>
    </row>
    <row r="234" spans="1:9" x14ac:dyDescent="0.25">
      <c r="A234">
        <v>136210</v>
      </c>
      <c r="B234">
        <v>2.17</v>
      </c>
      <c r="C234">
        <v>240</v>
      </c>
      <c r="D234" s="9">
        <v>43409</v>
      </c>
      <c r="E234" t="s">
        <v>296</v>
      </c>
      <c r="I234" s="9"/>
    </row>
    <row r="235" spans="1:9" x14ac:dyDescent="0.25">
      <c r="A235">
        <v>136210</v>
      </c>
      <c r="B235">
        <v>1.93</v>
      </c>
      <c r="C235">
        <v>384</v>
      </c>
      <c r="D235" s="9">
        <v>42656</v>
      </c>
      <c r="E235" t="s">
        <v>296</v>
      </c>
      <c r="I235" s="9"/>
    </row>
    <row r="236" spans="1:9" x14ac:dyDescent="0.25">
      <c r="A236">
        <v>136210</v>
      </c>
      <c r="B236">
        <v>1.92</v>
      </c>
      <c r="C236">
        <v>240</v>
      </c>
      <c r="D236" s="9">
        <v>42656</v>
      </c>
      <c r="E236" t="s">
        <v>296</v>
      </c>
      <c r="I236" s="9"/>
    </row>
    <row r="237" spans="1:9" x14ac:dyDescent="0.25">
      <c r="A237">
        <v>136210</v>
      </c>
      <c r="B237">
        <v>1.93</v>
      </c>
      <c r="C237">
        <v>240</v>
      </c>
      <c r="D237" s="9">
        <v>42573</v>
      </c>
      <c r="E237" t="s">
        <v>296</v>
      </c>
      <c r="I237" s="9"/>
    </row>
    <row r="238" spans="1:9" x14ac:dyDescent="0.25">
      <c r="A238">
        <v>136210</v>
      </c>
      <c r="B238">
        <v>1.93</v>
      </c>
      <c r="C238">
        <v>384</v>
      </c>
      <c r="D238" s="9">
        <v>42380</v>
      </c>
      <c r="E238" t="s">
        <v>296</v>
      </c>
      <c r="I238" s="9"/>
    </row>
    <row r="239" spans="1:9" x14ac:dyDescent="0.25">
      <c r="A239">
        <v>136210</v>
      </c>
      <c r="B239">
        <v>1.93</v>
      </c>
      <c r="C239">
        <v>384</v>
      </c>
      <c r="D239" s="9">
        <v>41947</v>
      </c>
      <c r="E239" t="s">
        <v>296</v>
      </c>
      <c r="I239" s="9"/>
    </row>
    <row r="240" spans="1:9" x14ac:dyDescent="0.25">
      <c r="A240">
        <v>136210</v>
      </c>
      <c r="B240">
        <v>1.925</v>
      </c>
      <c r="C240">
        <v>384</v>
      </c>
      <c r="D240" s="9">
        <v>41682</v>
      </c>
      <c r="E240" t="s">
        <v>296</v>
      </c>
      <c r="I240" s="9"/>
    </row>
    <row r="241" spans="1:9" x14ac:dyDescent="0.25">
      <c r="A241">
        <v>136210</v>
      </c>
      <c r="B241">
        <v>2.2149999999999999</v>
      </c>
      <c r="C241">
        <v>384</v>
      </c>
      <c r="D241" s="9">
        <v>41417</v>
      </c>
      <c r="E241" t="s">
        <v>296</v>
      </c>
      <c r="I241" s="9"/>
    </row>
    <row r="242" spans="1:9" x14ac:dyDescent="0.25">
      <c r="A242">
        <v>136222</v>
      </c>
      <c r="B242">
        <v>2.1850000000000001</v>
      </c>
      <c r="C242">
        <v>360</v>
      </c>
      <c r="D242" s="9">
        <v>44083</v>
      </c>
      <c r="E242" t="s">
        <v>296</v>
      </c>
      <c r="I242" s="9"/>
    </row>
    <row r="243" spans="1:9" x14ac:dyDescent="0.25">
      <c r="A243">
        <v>136222</v>
      </c>
      <c r="B243">
        <v>2.1850000000000001</v>
      </c>
      <c r="C243">
        <v>360</v>
      </c>
      <c r="D243" s="9">
        <v>43959</v>
      </c>
      <c r="E243" t="s">
        <v>296</v>
      </c>
      <c r="I243" s="9"/>
    </row>
    <row r="244" spans="1:9" x14ac:dyDescent="0.25">
      <c r="A244">
        <v>136222</v>
      </c>
      <c r="B244">
        <v>2.1800000000000002</v>
      </c>
      <c r="C244">
        <v>336</v>
      </c>
      <c r="D244" s="9">
        <v>43592</v>
      </c>
      <c r="E244" t="s">
        <v>296</v>
      </c>
      <c r="I244" s="9"/>
    </row>
    <row r="245" spans="1:9" x14ac:dyDescent="0.25">
      <c r="A245">
        <v>136222</v>
      </c>
      <c r="B245">
        <v>2.1800000000000002</v>
      </c>
      <c r="C245">
        <v>288</v>
      </c>
      <c r="D245" s="9">
        <v>43409</v>
      </c>
      <c r="E245" t="s">
        <v>296</v>
      </c>
      <c r="I245" s="9"/>
    </row>
    <row r="246" spans="1:9" x14ac:dyDescent="0.25">
      <c r="A246">
        <v>136222</v>
      </c>
      <c r="B246">
        <v>2.1</v>
      </c>
      <c r="C246">
        <v>288</v>
      </c>
      <c r="D246" s="9">
        <v>43131</v>
      </c>
      <c r="E246" t="s">
        <v>296</v>
      </c>
      <c r="I246" s="9"/>
    </row>
    <row r="247" spans="1:9" x14ac:dyDescent="0.25">
      <c r="A247">
        <v>136222</v>
      </c>
      <c r="B247">
        <v>2.0699999999999998</v>
      </c>
      <c r="C247">
        <v>288</v>
      </c>
      <c r="D247" s="9">
        <v>42573</v>
      </c>
      <c r="E247" t="s">
        <v>296</v>
      </c>
      <c r="I247" s="9"/>
    </row>
    <row r="248" spans="1:9" x14ac:dyDescent="0.25">
      <c r="A248">
        <v>136222</v>
      </c>
      <c r="B248">
        <v>2.25</v>
      </c>
      <c r="C248">
        <v>288</v>
      </c>
      <c r="D248" s="9">
        <v>42380</v>
      </c>
      <c r="E248" t="s">
        <v>296</v>
      </c>
      <c r="I248" s="9"/>
    </row>
    <row r="249" spans="1:9" x14ac:dyDescent="0.25">
      <c r="A249">
        <v>136222</v>
      </c>
      <c r="B249">
        <v>6.81</v>
      </c>
      <c r="C249">
        <v>288</v>
      </c>
      <c r="D249" s="9">
        <v>42269</v>
      </c>
      <c r="E249" t="s">
        <v>295</v>
      </c>
      <c r="I249" s="9"/>
    </row>
    <row r="250" spans="1:9" x14ac:dyDescent="0.25">
      <c r="A250">
        <v>136222</v>
      </c>
      <c r="B250">
        <v>2.25</v>
      </c>
      <c r="C250">
        <v>288</v>
      </c>
      <c r="D250" s="9">
        <v>42229</v>
      </c>
      <c r="E250" t="s">
        <v>296</v>
      </c>
      <c r="I250" s="9"/>
    </row>
    <row r="251" spans="1:9" x14ac:dyDescent="0.25">
      <c r="A251">
        <v>136222</v>
      </c>
      <c r="B251">
        <v>1.99</v>
      </c>
      <c r="C251">
        <v>288</v>
      </c>
      <c r="D251" s="9">
        <v>41765</v>
      </c>
      <c r="E251" t="s">
        <v>296</v>
      </c>
      <c r="I251" s="9"/>
    </row>
    <row r="252" spans="1:9" x14ac:dyDescent="0.25">
      <c r="A252">
        <v>136260</v>
      </c>
      <c r="B252">
        <v>2.0939999999999999</v>
      </c>
      <c r="C252">
        <v>336</v>
      </c>
      <c r="D252" s="9">
        <v>42860</v>
      </c>
      <c r="E252" t="s">
        <v>296</v>
      </c>
      <c r="I252" s="9"/>
    </row>
    <row r="253" spans="1:9" x14ac:dyDescent="0.25">
      <c r="A253">
        <v>136260</v>
      </c>
      <c r="B253">
        <v>2.35</v>
      </c>
      <c r="C253">
        <v>336</v>
      </c>
      <c r="D253" s="9">
        <v>42494</v>
      </c>
      <c r="E253" t="s">
        <v>296</v>
      </c>
      <c r="I253" s="9"/>
    </row>
    <row r="254" spans="1:9" x14ac:dyDescent="0.25">
      <c r="A254">
        <v>136260</v>
      </c>
      <c r="B254">
        <v>2.2599999999999998</v>
      </c>
      <c r="C254">
        <v>336</v>
      </c>
      <c r="D254" s="9">
        <v>42129</v>
      </c>
      <c r="E254" t="s">
        <v>296</v>
      </c>
      <c r="I254" s="9"/>
    </row>
    <row r="255" spans="1:9" x14ac:dyDescent="0.25">
      <c r="A255">
        <v>136260</v>
      </c>
      <c r="B255">
        <v>2.2599999999999998</v>
      </c>
      <c r="C255">
        <v>240</v>
      </c>
      <c r="D255" s="9">
        <v>41865</v>
      </c>
      <c r="E255" t="s">
        <v>296</v>
      </c>
      <c r="I255" s="9"/>
    </row>
    <row r="256" spans="1:9" x14ac:dyDescent="0.25">
      <c r="A256">
        <v>136260</v>
      </c>
      <c r="B256">
        <v>2.2599999999999998</v>
      </c>
      <c r="C256">
        <v>240</v>
      </c>
      <c r="D256" s="9">
        <v>41786</v>
      </c>
      <c r="E256" t="s">
        <v>296</v>
      </c>
      <c r="I256" s="9"/>
    </row>
    <row r="257" spans="1:9" x14ac:dyDescent="0.25">
      <c r="A257">
        <v>136260</v>
      </c>
      <c r="B257">
        <v>2.2599999999999998</v>
      </c>
      <c r="C257">
        <v>240</v>
      </c>
      <c r="D257" s="9">
        <v>41418</v>
      </c>
      <c r="E257" t="s">
        <v>296</v>
      </c>
      <c r="I257" s="9"/>
    </row>
    <row r="258" spans="1:9" x14ac:dyDescent="0.25">
      <c r="A258">
        <v>136320</v>
      </c>
      <c r="B258">
        <v>0.96199999999999997</v>
      </c>
      <c r="C258">
        <v>648</v>
      </c>
      <c r="D258" s="9">
        <v>44113</v>
      </c>
      <c r="E258" t="s">
        <v>296</v>
      </c>
      <c r="I258" s="9"/>
    </row>
    <row r="259" spans="1:9" x14ac:dyDescent="0.25">
      <c r="A259">
        <v>136320</v>
      </c>
      <c r="B259">
        <v>0.96199999999999997</v>
      </c>
      <c r="C259">
        <v>720</v>
      </c>
      <c r="D259" s="9">
        <v>43972</v>
      </c>
      <c r="E259" t="s">
        <v>296</v>
      </c>
      <c r="I259" s="9"/>
    </row>
    <row r="260" spans="1:9" x14ac:dyDescent="0.25">
      <c r="A260">
        <v>136320</v>
      </c>
      <c r="B260">
        <v>0.96199999999999997</v>
      </c>
      <c r="C260">
        <v>720</v>
      </c>
      <c r="D260" s="9">
        <v>43612</v>
      </c>
      <c r="E260" t="s">
        <v>296</v>
      </c>
      <c r="I260" s="9"/>
    </row>
    <row r="261" spans="1:9" x14ac:dyDescent="0.25">
      <c r="A261">
        <v>136320</v>
      </c>
      <c r="B261">
        <v>0.96199999999999997</v>
      </c>
      <c r="C261">
        <v>720</v>
      </c>
      <c r="D261" s="9">
        <v>43238</v>
      </c>
      <c r="E261" t="s">
        <v>296</v>
      </c>
      <c r="I261" s="9"/>
    </row>
    <row r="262" spans="1:9" x14ac:dyDescent="0.25">
      <c r="A262">
        <v>136320</v>
      </c>
      <c r="B262">
        <v>3.7</v>
      </c>
      <c r="C262">
        <v>720</v>
      </c>
      <c r="D262" s="9">
        <v>43238</v>
      </c>
      <c r="E262" t="s">
        <v>295</v>
      </c>
      <c r="I262" s="9"/>
    </row>
    <row r="263" spans="1:9" x14ac:dyDescent="0.25">
      <c r="A263">
        <v>136320</v>
      </c>
      <c r="B263">
        <v>0.96199999999999997</v>
      </c>
      <c r="C263">
        <v>720</v>
      </c>
      <c r="D263" s="9">
        <v>42815</v>
      </c>
      <c r="E263" t="s">
        <v>296</v>
      </c>
      <c r="I263" s="9"/>
    </row>
    <row r="264" spans="1:9" x14ac:dyDescent="0.25">
      <c r="A264">
        <v>136320</v>
      </c>
      <c r="B264">
        <v>0.98299999999999998</v>
      </c>
      <c r="C264">
        <v>576</v>
      </c>
      <c r="D264" s="9">
        <v>42641</v>
      </c>
      <c r="E264" t="s">
        <v>296</v>
      </c>
      <c r="I264" s="9"/>
    </row>
    <row r="265" spans="1:9" x14ac:dyDescent="0.25">
      <c r="A265">
        <v>136320</v>
      </c>
      <c r="B265">
        <v>0.98299999999999998</v>
      </c>
      <c r="C265">
        <v>576</v>
      </c>
      <c r="D265" s="9">
        <v>42641</v>
      </c>
      <c r="E265" t="s">
        <v>296</v>
      </c>
      <c r="I265" s="9"/>
    </row>
    <row r="266" spans="1:9" x14ac:dyDescent="0.25">
      <c r="A266">
        <v>136320</v>
      </c>
      <c r="B266">
        <v>0.98299999999999998</v>
      </c>
      <c r="C266">
        <v>720</v>
      </c>
      <c r="D266" s="9">
        <v>42508</v>
      </c>
      <c r="E266" t="s">
        <v>296</v>
      </c>
      <c r="I266" s="9"/>
    </row>
    <row r="267" spans="1:9" x14ac:dyDescent="0.25">
      <c r="A267">
        <v>136320</v>
      </c>
      <c r="B267">
        <v>3.83</v>
      </c>
      <c r="C267">
        <v>720</v>
      </c>
      <c r="D267" s="9">
        <v>42508</v>
      </c>
      <c r="E267" t="s">
        <v>295</v>
      </c>
      <c r="I267" s="9"/>
    </row>
    <row r="268" spans="1:9" x14ac:dyDescent="0.25">
      <c r="A268">
        <v>136320</v>
      </c>
      <c r="B268">
        <v>0.98299999999999998</v>
      </c>
      <c r="C268">
        <v>720</v>
      </c>
      <c r="D268" s="9">
        <v>41870</v>
      </c>
      <c r="E268" t="s">
        <v>296</v>
      </c>
      <c r="I268" s="9"/>
    </row>
    <row r="269" spans="1:9" x14ac:dyDescent="0.25">
      <c r="A269">
        <v>136320</v>
      </c>
      <c r="B269">
        <v>0.98299999999999998</v>
      </c>
      <c r="C269">
        <v>720</v>
      </c>
      <c r="D269" s="9">
        <v>41751</v>
      </c>
      <c r="E269" t="s">
        <v>296</v>
      </c>
      <c r="I269" s="9"/>
    </row>
    <row r="270" spans="1:9" x14ac:dyDescent="0.25">
      <c r="A270">
        <v>136320</v>
      </c>
      <c r="B270">
        <v>0.95</v>
      </c>
      <c r="C270">
        <v>612</v>
      </c>
      <c r="D270" s="9">
        <v>41435</v>
      </c>
      <c r="E270" t="s">
        <v>296</v>
      </c>
      <c r="I270" s="9"/>
    </row>
    <row r="271" spans="1:9" x14ac:dyDescent="0.25">
      <c r="A271">
        <v>136450</v>
      </c>
      <c r="B271">
        <v>0.47499999999999998</v>
      </c>
      <c r="C271">
        <v>1200</v>
      </c>
      <c r="D271" s="9">
        <v>44068</v>
      </c>
      <c r="E271" t="s">
        <v>296</v>
      </c>
      <c r="I271" s="9"/>
    </row>
    <row r="272" spans="1:9" x14ac:dyDescent="0.25">
      <c r="A272">
        <v>136450</v>
      </c>
      <c r="B272">
        <v>0.46100000000000002</v>
      </c>
      <c r="C272">
        <v>1500</v>
      </c>
      <c r="D272" s="9">
        <v>43612</v>
      </c>
      <c r="E272" t="s">
        <v>296</v>
      </c>
      <c r="I272" s="9"/>
    </row>
    <row r="273" spans="1:9" x14ac:dyDescent="0.25">
      <c r="A273">
        <v>136450</v>
      </c>
      <c r="B273">
        <v>0.46100000000000002</v>
      </c>
      <c r="C273">
        <v>1500</v>
      </c>
      <c r="D273" s="9">
        <v>43403</v>
      </c>
      <c r="E273" t="s">
        <v>296</v>
      </c>
      <c r="I273" s="9"/>
    </row>
    <row r="274" spans="1:9" x14ac:dyDescent="0.25">
      <c r="A274">
        <v>136450</v>
      </c>
      <c r="B274">
        <v>0.39</v>
      </c>
      <c r="C274">
        <v>1500</v>
      </c>
      <c r="D274" s="9">
        <v>42719</v>
      </c>
      <c r="E274" t="s">
        <v>296</v>
      </c>
      <c r="I274" s="9"/>
    </row>
    <row r="275" spans="1:9" x14ac:dyDescent="0.25">
      <c r="A275">
        <v>136450</v>
      </c>
      <c r="B275">
        <v>0.39</v>
      </c>
      <c r="C275">
        <v>1600</v>
      </c>
      <c r="D275" s="9">
        <v>42698</v>
      </c>
      <c r="E275" t="s">
        <v>296</v>
      </c>
      <c r="I275" s="9"/>
    </row>
    <row r="276" spans="1:9" x14ac:dyDescent="0.25">
      <c r="A276">
        <v>136450</v>
      </c>
      <c r="B276">
        <v>0.39</v>
      </c>
      <c r="C276">
        <v>1500</v>
      </c>
      <c r="D276" s="9">
        <v>42660</v>
      </c>
      <c r="E276" t="s">
        <v>296</v>
      </c>
      <c r="I276" s="9"/>
    </row>
    <row r="277" spans="1:9" x14ac:dyDescent="0.25">
      <c r="A277">
        <v>136450</v>
      </c>
      <c r="B277">
        <v>0.39</v>
      </c>
      <c r="C277">
        <v>1500</v>
      </c>
      <c r="D277" s="9">
        <v>42383</v>
      </c>
      <c r="E277" t="s">
        <v>296</v>
      </c>
      <c r="I277" s="9"/>
    </row>
    <row r="278" spans="1:9" x14ac:dyDescent="0.25">
      <c r="A278">
        <v>136450</v>
      </c>
      <c r="B278">
        <v>0.46500000000000002</v>
      </c>
      <c r="C278">
        <v>1500</v>
      </c>
      <c r="D278" s="9">
        <v>41816</v>
      </c>
      <c r="E278" t="s">
        <v>296</v>
      </c>
      <c r="I278" s="9"/>
    </row>
    <row r="279" spans="1:9" x14ac:dyDescent="0.25">
      <c r="A279">
        <v>136450</v>
      </c>
      <c r="B279">
        <v>0.45100000000000001</v>
      </c>
      <c r="C279">
        <v>1500</v>
      </c>
      <c r="D279" s="9">
        <v>41647</v>
      </c>
      <c r="E279" t="s">
        <v>296</v>
      </c>
      <c r="I279" s="9"/>
    </row>
    <row r="280" spans="1:9" x14ac:dyDescent="0.25">
      <c r="A280">
        <v>136550</v>
      </c>
      <c r="B280">
        <v>0.56599999999999995</v>
      </c>
      <c r="C280">
        <v>800</v>
      </c>
      <c r="D280" s="9">
        <v>44068</v>
      </c>
      <c r="E280" t="s">
        <v>296</v>
      </c>
      <c r="I280" s="9"/>
    </row>
    <row r="281" spans="1:9" x14ac:dyDescent="0.25">
      <c r="A281">
        <v>136550</v>
      </c>
      <c r="B281">
        <v>0.56599999999999995</v>
      </c>
      <c r="C281">
        <v>960</v>
      </c>
      <c r="D281" s="9">
        <v>43567</v>
      </c>
      <c r="E281" t="s">
        <v>296</v>
      </c>
      <c r="I281" s="9"/>
    </row>
    <row r="282" spans="1:9" x14ac:dyDescent="0.25">
      <c r="A282">
        <v>136550</v>
      </c>
      <c r="B282">
        <v>2.2799999999999998</v>
      </c>
      <c r="C282">
        <v>960</v>
      </c>
      <c r="D282" s="9">
        <v>43238</v>
      </c>
      <c r="E282" t="s">
        <v>295</v>
      </c>
      <c r="I282" s="9"/>
    </row>
    <row r="283" spans="1:9" x14ac:dyDescent="0.25">
      <c r="A283">
        <v>136550</v>
      </c>
      <c r="B283">
        <v>0.56599999999999995</v>
      </c>
      <c r="C283">
        <v>960</v>
      </c>
      <c r="D283" s="9">
        <v>43238</v>
      </c>
      <c r="E283" t="s">
        <v>296</v>
      </c>
      <c r="I283" s="9"/>
    </row>
    <row r="284" spans="1:9" x14ac:dyDescent="0.25">
      <c r="A284">
        <v>136550</v>
      </c>
      <c r="B284">
        <v>0.55300000000000005</v>
      </c>
      <c r="C284">
        <v>960</v>
      </c>
      <c r="D284" s="9">
        <v>42877</v>
      </c>
      <c r="E284" t="s">
        <v>296</v>
      </c>
      <c r="I284" s="9"/>
    </row>
    <row r="285" spans="1:9" x14ac:dyDescent="0.25">
      <c r="A285">
        <v>136550</v>
      </c>
      <c r="B285">
        <v>2.15</v>
      </c>
      <c r="C285">
        <v>960</v>
      </c>
      <c r="D285" s="9">
        <v>42508</v>
      </c>
      <c r="E285" t="s">
        <v>295</v>
      </c>
      <c r="I285" s="9"/>
    </row>
    <row r="286" spans="1:9" x14ac:dyDescent="0.25">
      <c r="A286">
        <v>136550</v>
      </c>
      <c r="B286">
        <v>0.55300000000000005</v>
      </c>
      <c r="C286">
        <v>960</v>
      </c>
      <c r="D286" s="9">
        <v>42508</v>
      </c>
      <c r="E286" t="s">
        <v>296</v>
      </c>
      <c r="I286" s="9"/>
    </row>
    <row r="287" spans="1:9" x14ac:dyDescent="0.25">
      <c r="A287">
        <v>136550</v>
      </c>
      <c r="B287">
        <v>0.55300000000000005</v>
      </c>
      <c r="C287">
        <v>960</v>
      </c>
      <c r="D287" s="9">
        <v>42271</v>
      </c>
      <c r="E287" t="s">
        <v>296</v>
      </c>
      <c r="I287" s="9"/>
    </row>
    <row r="288" spans="1:9" x14ac:dyDescent="0.25">
      <c r="A288">
        <v>136550</v>
      </c>
      <c r="B288">
        <v>0.55300000000000005</v>
      </c>
      <c r="C288">
        <v>1600</v>
      </c>
      <c r="D288" s="9">
        <v>41816</v>
      </c>
      <c r="E288" t="s">
        <v>296</v>
      </c>
      <c r="I288" s="9"/>
    </row>
    <row r="289" spans="1:9" x14ac:dyDescent="0.25">
      <c r="A289">
        <v>136550</v>
      </c>
      <c r="B289">
        <v>0.52300000000000002</v>
      </c>
      <c r="C289">
        <v>960</v>
      </c>
      <c r="D289" s="9">
        <v>41751</v>
      </c>
      <c r="E289" t="s">
        <v>296</v>
      </c>
      <c r="I289" s="9"/>
    </row>
    <row r="290" spans="1:9" x14ac:dyDescent="0.25">
      <c r="A290">
        <v>136600</v>
      </c>
      <c r="B290">
        <v>0.69</v>
      </c>
      <c r="C290">
        <v>1080</v>
      </c>
      <c r="D290" s="9">
        <v>44131</v>
      </c>
      <c r="E290" t="s">
        <v>296</v>
      </c>
      <c r="I290" s="9"/>
    </row>
    <row r="291" spans="1:9" x14ac:dyDescent="0.25">
      <c r="A291">
        <v>136600</v>
      </c>
      <c r="B291">
        <v>0.74299999999999999</v>
      </c>
      <c r="C291">
        <v>720</v>
      </c>
      <c r="D291" s="9">
        <v>43972</v>
      </c>
      <c r="E291" t="s">
        <v>296</v>
      </c>
      <c r="I291" s="9"/>
    </row>
    <row r="292" spans="1:9" x14ac:dyDescent="0.25">
      <c r="A292">
        <v>136600</v>
      </c>
      <c r="B292">
        <v>0.74299999999999999</v>
      </c>
      <c r="C292">
        <v>720</v>
      </c>
      <c r="D292" s="9">
        <v>43612</v>
      </c>
      <c r="E292" t="s">
        <v>296</v>
      </c>
      <c r="I292" s="9"/>
    </row>
    <row r="293" spans="1:9" x14ac:dyDescent="0.25">
      <c r="A293">
        <v>136600</v>
      </c>
      <c r="B293">
        <v>0.74299999999999999</v>
      </c>
      <c r="C293">
        <v>720</v>
      </c>
      <c r="D293" s="9">
        <v>43238</v>
      </c>
      <c r="E293" t="s">
        <v>296</v>
      </c>
      <c r="I293" s="9"/>
    </row>
    <row r="294" spans="1:9" x14ac:dyDescent="0.25">
      <c r="A294">
        <v>136600</v>
      </c>
      <c r="B294">
        <v>0.74299999999999999</v>
      </c>
      <c r="C294">
        <v>720</v>
      </c>
      <c r="D294" s="9">
        <v>43136</v>
      </c>
      <c r="E294" t="s">
        <v>296</v>
      </c>
      <c r="I294" s="9"/>
    </row>
    <row r="295" spans="1:9" x14ac:dyDescent="0.25">
      <c r="A295">
        <v>136600</v>
      </c>
      <c r="B295">
        <v>0.74299999999999999</v>
      </c>
      <c r="C295">
        <v>720</v>
      </c>
      <c r="D295" s="9">
        <v>43054</v>
      </c>
      <c r="E295" t="s">
        <v>296</v>
      </c>
      <c r="I295" s="9"/>
    </row>
    <row r="296" spans="1:9" x14ac:dyDescent="0.25">
      <c r="A296">
        <v>136600</v>
      </c>
      <c r="B296">
        <v>0.74299999999999999</v>
      </c>
      <c r="C296">
        <v>720</v>
      </c>
      <c r="D296" s="9">
        <v>42641</v>
      </c>
      <c r="E296" t="s">
        <v>296</v>
      </c>
      <c r="I296" s="9"/>
    </row>
    <row r="297" spans="1:9" x14ac:dyDescent="0.25">
      <c r="A297">
        <v>136600</v>
      </c>
      <c r="B297">
        <v>0.74299999999999999</v>
      </c>
      <c r="C297">
        <v>720</v>
      </c>
      <c r="D297" s="9">
        <v>42641</v>
      </c>
      <c r="E297" t="s">
        <v>296</v>
      </c>
      <c r="I297" s="9"/>
    </row>
    <row r="298" spans="1:9" x14ac:dyDescent="0.25">
      <c r="A298">
        <v>136600</v>
      </c>
      <c r="B298">
        <v>0.74299999999999999</v>
      </c>
      <c r="C298">
        <v>720</v>
      </c>
      <c r="D298" s="9">
        <v>42440</v>
      </c>
      <c r="E298" t="s">
        <v>296</v>
      </c>
      <c r="I298" s="9"/>
    </row>
    <row r="299" spans="1:9" x14ac:dyDescent="0.25">
      <c r="A299">
        <v>136600</v>
      </c>
      <c r="B299">
        <v>0.74299999999999999</v>
      </c>
      <c r="C299">
        <v>720</v>
      </c>
      <c r="D299" s="9">
        <v>41870</v>
      </c>
      <c r="E299" t="s">
        <v>296</v>
      </c>
      <c r="I299" s="9"/>
    </row>
    <row r="300" spans="1:9" x14ac:dyDescent="0.25">
      <c r="A300">
        <v>136600</v>
      </c>
      <c r="B300">
        <v>0.74299999999999999</v>
      </c>
      <c r="C300">
        <v>720</v>
      </c>
      <c r="D300" s="9">
        <v>41782</v>
      </c>
      <c r="E300" t="s">
        <v>296</v>
      </c>
      <c r="I300" s="9"/>
    </row>
    <row r="301" spans="1:9" x14ac:dyDescent="0.25">
      <c r="A301">
        <v>136600</v>
      </c>
      <c r="B301">
        <v>0.69599999999999995</v>
      </c>
      <c r="C301">
        <v>720</v>
      </c>
      <c r="D301" s="9">
        <v>41435</v>
      </c>
      <c r="E301" t="s">
        <v>296</v>
      </c>
      <c r="I301" s="9"/>
    </row>
    <row r="302" spans="1:9" x14ac:dyDescent="0.25">
      <c r="A302">
        <v>136650</v>
      </c>
      <c r="B302">
        <v>0.89</v>
      </c>
      <c r="C302">
        <v>48</v>
      </c>
      <c r="D302" s="9">
        <v>44068</v>
      </c>
      <c r="E302" t="s">
        <v>296</v>
      </c>
      <c r="I302" s="9"/>
    </row>
    <row r="303" spans="1:9" x14ac:dyDescent="0.25">
      <c r="A303">
        <v>136650</v>
      </c>
      <c r="B303">
        <v>0.89</v>
      </c>
      <c r="C303">
        <v>864</v>
      </c>
      <c r="D303" s="9">
        <v>44041</v>
      </c>
      <c r="E303" t="s">
        <v>296</v>
      </c>
      <c r="I303" s="9"/>
    </row>
    <row r="304" spans="1:9" x14ac:dyDescent="0.25">
      <c r="A304">
        <v>136650</v>
      </c>
      <c r="B304">
        <v>0.89</v>
      </c>
      <c r="C304">
        <v>912</v>
      </c>
      <c r="D304" s="9">
        <v>43972</v>
      </c>
      <c r="E304" t="s">
        <v>296</v>
      </c>
      <c r="I304" s="9"/>
    </row>
    <row r="305" spans="1:9" x14ac:dyDescent="0.25">
      <c r="A305">
        <v>136650</v>
      </c>
      <c r="B305">
        <v>0.89</v>
      </c>
      <c r="C305">
        <v>912</v>
      </c>
      <c r="D305" s="9">
        <v>43567</v>
      </c>
      <c r="E305" t="s">
        <v>296</v>
      </c>
      <c r="I305" s="9"/>
    </row>
    <row r="306" spans="1:9" x14ac:dyDescent="0.25">
      <c r="A306">
        <v>136650</v>
      </c>
      <c r="B306">
        <v>0.89</v>
      </c>
      <c r="C306">
        <v>912</v>
      </c>
      <c r="D306" s="9">
        <v>43403</v>
      </c>
      <c r="E306" t="s">
        <v>296</v>
      </c>
      <c r="I306" s="9"/>
    </row>
    <row r="307" spans="1:9" x14ac:dyDescent="0.25">
      <c r="A307">
        <v>136650</v>
      </c>
      <c r="B307">
        <v>0.89</v>
      </c>
      <c r="C307">
        <v>864</v>
      </c>
      <c r="D307" s="9">
        <v>43238</v>
      </c>
      <c r="E307" t="s">
        <v>296</v>
      </c>
      <c r="I307" s="9"/>
    </row>
    <row r="308" spans="1:9" x14ac:dyDescent="0.25">
      <c r="A308">
        <v>136650</v>
      </c>
      <c r="B308">
        <v>3.62</v>
      </c>
      <c r="C308">
        <v>864</v>
      </c>
      <c r="D308" s="9">
        <v>43238</v>
      </c>
      <c r="E308" t="s">
        <v>295</v>
      </c>
      <c r="I308" s="9"/>
    </row>
    <row r="309" spans="1:9" x14ac:dyDescent="0.25">
      <c r="A309">
        <v>136650</v>
      </c>
      <c r="B309">
        <v>0.89</v>
      </c>
      <c r="C309">
        <v>864</v>
      </c>
      <c r="D309" s="9">
        <v>43054</v>
      </c>
      <c r="E309" t="s">
        <v>296</v>
      </c>
      <c r="I309" s="9"/>
    </row>
    <row r="310" spans="1:9" x14ac:dyDescent="0.25">
      <c r="A310">
        <v>136650</v>
      </c>
      <c r="B310">
        <v>0.89</v>
      </c>
      <c r="C310">
        <v>960</v>
      </c>
      <c r="D310" s="9">
        <v>42815</v>
      </c>
      <c r="E310" t="s">
        <v>296</v>
      </c>
      <c r="I310" s="9"/>
    </row>
    <row r="311" spans="1:9" x14ac:dyDescent="0.25">
      <c r="A311">
        <v>136650</v>
      </c>
      <c r="B311">
        <v>0.91800000000000004</v>
      </c>
      <c r="C311">
        <v>720</v>
      </c>
      <c r="D311" s="9">
        <v>42508</v>
      </c>
      <c r="E311" t="s">
        <v>296</v>
      </c>
      <c r="I311" s="9"/>
    </row>
    <row r="312" spans="1:9" x14ac:dyDescent="0.25">
      <c r="A312">
        <v>136650</v>
      </c>
      <c r="B312">
        <v>3.58</v>
      </c>
      <c r="C312">
        <v>720</v>
      </c>
      <c r="D312" s="9">
        <v>42508</v>
      </c>
      <c r="E312" t="s">
        <v>295</v>
      </c>
      <c r="I312" s="9"/>
    </row>
    <row r="313" spans="1:9" x14ac:dyDescent="0.25">
      <c r="A313">
        <v>136650</v>
      </c>
      <c r="B313">
        <v>0.91800000000000004</v>
      </c>
      <c r="C313">
        <v>720</v>
      </c>
      <c r="D313" s="9">
        <v>42440</v>
      </c>
      <c r="E313" t="s">
        <v>296</v>
      </c>
      <c r="I313" s="9"/>
    </row>
    <row r="314" spans="1:9" x14ac:dyDescent="0.25">
      <c r="A314">
        <v>136650</v>
      </c>
      <c r="B314">
        <v>0.91800000000000004</v>
      </c>
      <c r="C314">
        <v>816</v>
      </c>
      <c r="D314" s="9">
        <v>42111</v>
      </c>
      <c r="E314" t="s">
        <v>296</v>
      </c>
      <c r="I314" s="9"/>
    </row>
    <row r="315" spans="1:9" x14ac:dyDescent="0.25">
      <c r="A315">
        <v>136650</v>
      </c>
      <c r="B315">
        <v>2.93</v>
      </c>
      <c r="C315">
        <v>1200</v>
      </c>
      <c r="D315" s="9">
        <v>41927</v>
      </c>
      <c r="E315" t="s">
        <v>295</v>
      </c>
      <c r="I315" s="9"/>
    </row>
    <row r="316" spans="1:9" x14ac:dyDescent="0.25">
      <c r="A316">
        <v>136650</v>
      </c>
      <c r="B316">
        <v>0.90500000000000003</v>
      </c>
      <c r="C316">
        <v>1200</v>
      </c>
      <c r="D316" s="9">
        <v>41870</v>
      </c>
      <c r="E316" t="s">
        <v>296</v>
      </c>
      <c r="I316" s="9"/>
    </row>
    <row r="317" spans="1:9" x14ac:dyDescent="0.25">
      <c r="A317">
        <v>136650</v>
      </c>
      <c r="B317">
        <v>0.89</v>
      </c>
      <c r="C317">
        <v>816</v>
      </c>
      <c r="D317" s="9">
        <v>41782</v>
      </c>
      <c r="E317" t="s">
        <v>296</v>
      </c>
      <c r="I317" s="9"/>
    </row>
    <row r="318" spans="1:9" x14ac:dyDescent="0.25">
      <c r="A318">
        <v>136650</v>
      </c>
      <c r="B318">
        <v>0.86</v>
      </c>
      <c r="C318">
        <v>816</v>
      </c>
      <c r="D318" s="9">
        <v>41647</v>
      </c>
      <c r="E318" t="s">
        <v>296</v>
      </c>
      <c r="I318" s="9"/>
    </row>
    <row r="319" spans="1:9" x14ac:dyDescent="0.25">
      <c r="A319">
        <v>136650</v>
      </c>
      <c r="B319">
        <v>0.83899999999999997</v>
      </c>
      <c r="C319">
        <v>864</v>
      </c>
      <c r="D319" s="9">
        <v>41295</v>
      </c>
      <c r="E319" t="s">
        <v>296</v>
      </c>
      <c r="I319" s="9"/>
    </row>
    <row r="320" spans="1:9" x14ac:dyDescent="0.25">
      <c r="A320">
        <v>136660</v>
      </c>
      <c r="B320">
        <v>0.79200000000000004</v>
      </c>
      <c r="C320">
        <v>576</v>
      </c>
      <c r="D320" s="9">
        <v>44095</v>
      </c>
      <c r="E320" t="s">
        <v>296</v>
      </c>
      <c r="I320" s="9"/>
    </row>
    <row r="321" spans="1:9" x14ac:dyDescent="0.25">
      <c r="A321">
        <v>136660</v>
      </c>
      <c r="B321">
        <v>0.79200000000000004</v>
      </c>
      <c r="C321">
        <v>864</v>
      </c>
      <c r="D321" s="9">
        <v>43972</v>
      </c>
      <c r="E321" t="s">
        <v>296</v>
      </c>
      <c r="I321" s="9"/>
    </row>
    <row r="322" spans="1:9" x14ac:dyDescent="0.25">
      <c r="A322">
        <v>136660</v>
      </c>
      <c r="B322">
        <v>3.37</v>
      </c>
      <c r="C322">
        <v>400</v>
      </c>
      <c r="D322" s="9">
        <v>43882</v>
      </c>
      <c r="E322" t="s">
        <v>295</v>
      </c>
      <c r="I322" s="9"/>
    </row>
    <row r="323" spans="1:9" x14ac:dyDescent="0.25">
      <c r="A323">
        <v>136660</v>
      </c>
      <c r="B323">
        <v>3.37</v>
      </c>
      <c r="C323">
        <v>180</v>
      </c>
      <c r="D323" s="9">
        <v>43867</v>
      </c>
      <c r="E323" t="s">
        <v>295</v>
      </c>
      <c r="I323" s="9"/>
    </row>
    <row r="324" spans="1:9" x14ac:dyDescent="0.25">
      <c r="A324">
        <v>136660</v>
      </c>
      <c r="B324">
        <v>0.79200000000000004</v>
      </c>
      <c r="C324">
        <v>864</v>
      </c>
      <c r="D324" s="9">
        <v>43403</v>
      </c>
      <c r="E324" t="s">
        <v>296</v>
      </c>
      <c r="I324" s="9"/>
    </row>
    <row r="325" spans="1:9" x14ac:dyDescent="0.25">
      <c r="A325">
        <v>136660</v>
      </c>
      <c r="B325">
        <v>3.13</v>
      </c>
      <c r="C325">
        <v>864</v>
      </c>
      <c r="D325" s="9">
        <v>43340</v>
      </c>
      <c r="E325" t="s">
        <v>295</v>
      </c>
      <c r="I325" s="9"/>
    </row>
    <row r="326" spans="1:9" x14ac:dyDescent="0.25">
      <c r="A326">
        <v>136660</v>
      </c>
      <c r="B326">
        <v>0.79200000000000004</v>
      </c>
      <c r="C326">
        <v>864</v>
      </c>
      <c r="D326" s="9">
        <v>43299</v>
      </c>
      <c r="E326" t="s">
        <v>296</v>
      </c>
      <c r="I326" s="9"/>
    </row>
    <row r="327" spans="1:9" x14ac:dyDescent="0.25">
      <c r="A327">
        <v>136660</v>
      </c>
      <c r="B327">
        <v>0.66900000000000004</v>
      </c>
      <c r="C327">
        <v>864</v>
      </c>
      <c r="D327" s="9">
        <v>43054</v>
      </c>
      <c r="E327" t="s">
        <v>296</v>
      </c>
      <c r="I327" s="9"/>
    </row>
    <row r="328" spans="1:9" x14ac:dyDescent="0.25">
      <c r="A328">
        <v>136660</v>
      </c>
      <c r="B328">
        <v>0.66900000000000004</v>
      </c>
      <c r="C328">
        <v>864</v>
      </c>
      <c r="D328" s="9">
        <v>42641</v>
      </c>
      <c r="E328" t="s">
        <v>296</v>
      </c>
      <c r="I328" s="9"/>
    </row>
    <row r="329" spans="1:9" x14ac:dyDescent="0.25">
      <c r="A329">
        <v>136660</v>
      </c>
      <c r="B329">
        <v>0.66900000000000004</v>
      </c>
      <c r="C329">
        <v>864</v>
      </c>
      <c r="D329" s="9">
        <v>42641</v>
      </c>
      <c r="E329" t="s">
        <v>296</v>
      </c>
      <c r="I329" s="9"/>
    </row>
    <row r="330" spans="1:9" x14ac:dyDescent="0.25">
      <c r="A330">
        <v>136660</v>
      </c>
      <c r="B330">
        <v>2.61</v>
      </c>
      <c r="C330">
        <v>432</v>
      </c>
      <c r="D330" s="9">
        <v>42508</v>
      </c>
      <c r="E330" t="s">
        <v>295</v>
      </c>
      <c r="I330" s="9"/>
    </row>
    <row r="331" spans="1:9" x14ac:dyDescent="0.25">
      <c r="A331">
        <v>136660</v>
      </c>
      <c r="B331">
        <v>0.66900000000000004</v>
      </c>
      <c r="C331">
        <v>864</v>
      </c>
      <c r="D331" s="9">
        <v>42508</v>
      </c>
      <c r="E331" t="s">
        <v>296</v>
      </c>
      <c r="I331" s="9"/>
    </row>
    <row r="332" spans="1:9" x14ac:dyDescent="0.25">
      <c r="A332">
        <v>136660</v>
      </c>
      <c r="B332">
        <v>0.68799999999999994</v>
      </c>
      <c r="C332">
        <v>864</v>
      </c>
      <c r="D332" s="9">
        <v>42271</v>
      </c>
      <c r="E332" t="s">
        <v>296</v>
      </c>
      <c r="I332" s="9"/>
    </row>
    <row r="333" spans="1:9" x14ac:dyDescent="0.25">
      <c r="A333">
        <v>136660</v>
      </c>
      <c r="B333">
        <v>2.16</v>
      </c>
      <c r="C333">
        <v>816</v>
      </c>
      <c r="D333" s="9">
        <v>41927</v>
      </c>
      <c r="E333" t="s">
        <v>295</v>
      </c>
      <c r="I333" s="9"/>
    </row>
    <row r="334" spans="1:9" x14ac:dyDescent="0.25">
      <c r="A334">
        <v>136660</v>
      </c>
      <c r="B334">
        <v>0.66700000000000004</v>
      </c>
      <c r="C334">
        <v>816</v>
      </c>
      <c r="D334" s="9">
        <v>41870</v>
      </c>
      <c r="E334" t="s">
        <v>296</v>
      </c>
      <c r="I334" s="9"/>
    </row>
    <row r="335" spans="1:9" x14ac:dyDescent="0.25">
      <c r="A335">
        <v>136660</v>
      </c>
      <c r="B335">
        <v>0.65800000000000003</v>
      </c>
      <c r="C335">
        <v>816</v>
      </c>
      <c r="D335" s="9">
        <v>41782</v>
      </c>
      <c r="E335" t="s">
        <v>296</v>
      </c>
      <c r="I335" s="9"/>
    </row>
    <row r="336" spans="1:9" x14ac:dyDescent="0.25">
      <c r="A336">
        <v>136660</v>
      </c>
      <c r="B336">
        <v>0.65500000000000003</v>
      </c>
      <c r="C336">
        <v>816</v>
      </c>
      <c r="D336" s="9">
        <v>41647</v>
      </c>
      <c r="E336" t="s">
        <v>296</v>
      </c>
      <c r="I336" s="9"/>
    </row>
    <row r="337" spans="1:9" x14ac:dyDescent="0.25">
      <c r="A337">
        <v>136660</v>
      </c>
      <c r="B337">
        <v>0.65500000000000003</v>
      </c>
      <c r="C337">
        <v>816</v>
      </c>
      <c r="D337" s="9">
        <v>41435</v>
      </c>
      <c r="E337" t="s">
        <v>296</v>
      </c>
      <c r="I337" s="9"/>
    </row>
    <row r="338" spans="1:9" x14ac:dyDescent="0.25">
      <c r="A338">
        <v>136660</v>
      </c>
      <c r="B338">
        <v>0.65500000000000003</v>
      </c>
      <c r="C338">
        <v>816</v>
      </c>
      <c r="D338" s="9">
        <v>41295</v>
      </c>
      <c r="E338" t="s">
        <v>296</v>
      </c>
      <c r="I338" s="9"/>
    </row>
    <row r="339" spans="1:9" x14ac:dyDescent="0.25">
      <c r="A339">
        <v>136691</v>
      </c>
      <c r="B339">
        <v>1.468</v>
      </c>
      <c r="C339">
        <v>756</v>
      </c>
      <c r="D339" s="9">
        <v>44068</v>
      </c>
      <c r="E339" t="s">
        <v>296</v>
      </c>
      <c r="I339" s="9"/>
    </row>
    <row r="340" spans="1:9" x14ac:dyDescent="0.25">
      <c r="A340">
        <v>136691</v>
      </c>
      <c r="B340">
        <v>1.468</v>
      </c>
      <c r="C340">
        <v>504</v>
      </c>
      <c r="D340" s="9">
        <v>43936</v>
      </c>
      <c r="E340" t="s">
        <v>296</v>
      </c>
      <c r="I340" s="9"/>
    </row>
    <row r="341" spans="1:9" x14ac:dyDescent="0.25">
      <c r="A341">
        <v>136691</v>
      </c>
      <c r="B341">
        <v>1.468</v>
      </c>
      <c r="C341">
        <v>900</v>
      </c>
      <c r="D341" s="9">
        <v>43612</v>
      </c>
      <c r="E341" t="s">
        <v>296</v>
      </c>
      <c r="I341" s="9"/>
    </row>
    <row r="342" spans="1:9" x14ac:dyDescent="0.25">
      <c r="A342">
        <v>136691</v>
      </c>
      <c r="B342">
        <v>1.468</v>
      </c>
      <c r="C342">
        <v>720</v>
      </c>
      <c r="D342" s="9">
        <v>43403</v>
      </c>
      <c r="E342" t="s">
        <v>296</v>
      </c>
      <c r="I342" s="9"/>
    </row>
    <row r="343" spans="1:9" x14ac:dyDescent="0.25">
      <c r="A343">
        <v>136691</v>
      </c>
      <c r="B343">
        <v>5.94</v>
      </c>
      <c r="C343">
        <v>540</v>
      </c>
      <c r="D343" s="9">
        <v>43340</v>
      </c>
      <c r="E343" t="s">
        <v>295</v>
      </c>
      <c r="I343" s="9"/>
    </row>
    <row r="344" spans="1:9" x14ac:dyDescent="0.25">
      <c r="A344">
        <v>136691</v>
      </c>
      <c r="B344">
        <v>1.468</v>
      </c>
      <c r="C344">
        <v>540</v>
      </c>
      <c r="D344" s="9">
        <v>43299</v>
      </c>
      <c r="E344" t="s">
        <v>296</v>
      </c>
      <c r="I344" s="9"/>
    </row>
    <row r="345" spans="1:9" x14ac:dyDescent="0.25">
      <c r="A345">
        <v>136691</v>
      </c>
      <c r="B345">
        <v>1.4219999999999999</v>
      </c>
      <c r="C345">
        <v>720</v>
      </c>
      <c r="D345" s="9">
        <v>43054</v>
      </c>
      <c r="E345" t="s">
        <v>296</v>
      </c>
      <c r="I345" s="9"/>
    </row>
    <row r="346" spans="1:9" x14ac:dyDescent="0.25">
      <c r="A346">
        <v>136691</v>
      </c>
      <c r="B346">
        <v>1.28</v>
      </c>
      <c r="C346">
        <v>720</v>
      </c>
      <c r="D346" s="9">
        <v>42972</v>
      </c>
      <c r="E346" t="s">
        <v>296</v>
      </c>
      <c r="I346" s="9"/>
    </row>
    <row r="347" spans="1:9" x14ac:dyDescent="0.25">
      <c r="A347">
        <v>136691</v>
      </c>
      <c r="B347">
        <v>1.24</v>
      </c>
      <c r="C347">
        <v>432</v>
      </c>
      <c r="D347" s="9">
        <v>42781</v>
      </c>
      <c r="E347" t="s">
        <v>296</v>
      </c>
      <c r="I347" s="9"/>
    </row>
    <row r="348" spans="1:9" x14ac:dyDescent="0.25">
      <c r="A348">
        <v>136691</v>
      </c>
      <c r="B348">
        <v>1.24</v>
      </c>
      <c r="C348">
        <v>540</v>
      </c>
      <c r="D348" s="9">
        <v>42719</v>
      </c>
      <c r="E348" t="s">
        <v>296</v>
      </c>
      <c r="I348" s="9"/>
    </row>
    <row r="349" spans="1:9" x14ac:dyDescent="0.25">
      <c r="A349">
        <v>136691</v>
      </c>
      <c r="B349">
        <v>1.24</v>
      </c>
      <c r="C349">
        <v>864</v>
      </c>
      <c r="D349" s="9">
        <v>42698</v>
      </c>
      <c r="E349" t="s">
        <v>296</v>
      </c>
      <c r="I349" s="9"/>
    </row>
    <row r="350" spans="1:9" x14ac:dyDescent="0.25">
      <c r="A350">
        <v>136691</v>
      </c>
      <c r="B350">
        <v>1.28</v>
      </c>
      <c r="C350">
        <v>576</v>
      </c>
      <c r="D350" s="9">
        <v>42617</v>
      </c>
      <c r="E350" t="s">
        <v>296</v>
      </c>
      <c r="I350" s="9"/>
    </row>
    <row r="351" spans="1:9" x14ac:dyDescent="0.25">
      <c r="A351">
        <v>136691</v>
      </c>
      <c r="B351">
        <v>1.28</v>
      </c>
      <c r="C351">
        <v>540</v>
      </c>
      <c r="D351" s="9">
        <v>42510</v>
      </c>
      <c r="E351" t="s">
        <v>296</v>
      </c>
      <c r="I351" s="9"/>
    </row>
    <row r="352" spans="1:9" x14ac:dyDescent="0.25">
      <c r="A352">
        <v>136691</v>
      </c>
      <c r="B352">
        <v>1.28</v>
      </c>
      <c r="C352">
        <v>540</v>
      </c>
      <c r="D352" s="9">
        <v>42321</v>
      </c>
      <c r="E352" t="s">
        <v>296</v>
      </c>
      <c r="I352" s="9"/>
    </row>
    <row r="353" spans="1:9" x14ac:dyDescent="0.25">
      <c r="A353">
        <v>136691</v>
      </c>
      <c r="B353">
        <v>1.28</v>
      </c>
      <c r="C353">
        <v>540</v>
      </c>
      <c r="D353" s="9">
        <v>42207</v>
      </c>
      <c r="E353" t="s">
        <v>296</v>
      </c>
      <c r="I353" s="9"/>
    </row>
    <row r="354" spans="1:9" x14ac:dyDescent="0.25">
      <c r="A354">
        <v>136691</v>
      </c>
      <c r="B354">
        <v>4.75</v>
      </c>
      <c r="C354">
        <v>612</v>
      </c>
      <c r="D354" s="9">
        <v>41927</v>
      </c>
      <c r="E354" t="s">
        <v>295</v>
      </c>
      <c r="I354" s="9"/>
    </row>
    <row r="355" spans="1:9" x14ac:dyDescent="0.25">
      <c r="A355">
        <v>136691</v>
      </c>
      <c r="B355">
        <v>1.468</v>
      </c>
      <c r="C355">
        <v>612</v>
      </c>
      <c r="D355" s="9">
        <v>41870</v>
      </c>
      <c r="E355" t="s">
        <v>296</v>
      </c>
      <c r="I355" s="9"/>
    </row>
    <row r="356" spans="1:9" x14ac:dyDescent="0.25">
      <c r="A356">
        <v>136691</v>
      </c>
      <c r="B356">
        <v>1.4450000000000001</v>
      </c>
      <c r="C356">
        <v>612</v>
      </c>
      <c r="D356" s="9">
        <v>41782</v>
      </c>
      <c r="E356" t="s">
        <v>296</v>
      </c>
      <c r="I356" s="9"/>
    </row>
    <row r="357" spans="1:9" x14ac:dyDescent="0.25">
      <c r="A357">
        <v>136691</v>
      </c>
      <c r="B357">
        <v>1.415</v>
      </c>
      <c r="C357">
        <v>612</v>
      </c>
      <c r="D357" s="9">
        <v>41647</v>
      </c>
      <c r="E357" t="s">
        <v>296</v>
      </c>
      <c r="I357" s="9"/>
    </row>
    <row r="358" spans="1:9" x14ac:dyDescent="0.25">
      <c r="A358">
        <v>136691</v>
      </c>
      <c r="B358">
        <v>1.391</v>
      </c>
      <c r="C358">
        <v>612</v>
      </c>
      <c r="D358" s="9">
        <v>41435</v>
      </c>
      <c r="E358" t="s">
        <v>296</v>
      </c>
      <c r="I358" s="9"/>
    </row>
    <row r="359" spans="1:9" x14ac:dyDescent="0.25">
      <c r="A359">
        <v>136691</v>
      </c>
      <c r="B359">
        <v>1.391</v>
      </c>
      <c r="C359">
        <v>576</v>
      </c>
      <c r="D359" s="9">
        <v>41295</v>
      </c>
      <c r="E359" t="s">
        <v>296</v>
      </c>
      <c r="I359" s="9"/>
    </row>
    <row r="360" spans="1:9" x14ac:dyDescent="0.25">
      <c r="A360">
        <v>136865</v>
      </c>
      <c r="B360">
        <v>1.5669999999999999</v>
      </c>
      <c r="C360">
        <v>432</v>
      </c>
      <c r="D360" s="9">
        <v>44074</v>
      </c>
      <c r="E360" t="s">
        <v>296</v>
      </c>
      <c r="I360" s="9"/>
    </row>
    <row r="361" spans="1:9" x14ac:dyDescent="0.25">
      <c r="A361">
        <v>136865</v>
      </c>
      <c r="B361">
        <v>1.5669999999999999</v>
      </c>
      <c r="C361">
        <v>576</v>
      </c>
      <c r="D361" s="9">
        <v>43972</v>
      </c>
      <c r="E361" t="s">
        <v>296</v>
      </c>
      <c r="I361" s="9"/>
    </row>
    <row r="362" spans="1:9" x14ac:dyDescent="0.25">
      <c r="A362">
        <v>136865</v>
      </c>
      <c r="B362">
        <v>1.5669999999999999</v>
      </c>
      <c r="C362">
        <v>432</v>
      </c>
      <c r="D362" s="9">
        <v>43612</v>
      </c>
      <c r="E362" t="s">
        <v>296</v>
      </c>
      <c r="I362" s="9"/>
    </row>
    <row r="363" spans="1:9" x14ac:dyDescent="0.25">
      <c r="A363">
        <v>136865</v>
      </c>
      <c r="B363">
        <v>1.5669999999999999</v>
      </c>
      <c r="C363">
        <v>432</v>
      </c>
      <c r="D363" s="9">
        <v>43403</v>
      </c>
      <c r="E363" t="s">
        <v>296</v>
      </c>
      <c r="I363" s="9"/>
    </row>
    <row r="364" spans="1:9" x14ac:dyDescent="0.25">
      <c r="A364">
        <v>136865</v>
      </c>
      <c r="B364">
        <v>1.5669999999999999</v>
      </c>
      <c r="C364">
        <v>432</v>
      </c>
      <c r="D364" s="9">
        <v>43136</v>
      </c>
      <c r="E364" t="s">
        <v>296</v>
      </c>
      <c r="I364" s="9"/>
    </row>
    <row r="365" spans="1:9" x14ac:dyDescent="0.25">
      <c r="A365">
        <v>136865</v>
      </c>
      <c r="B365">
        <v>1.5669999999999999</v>
      </c>
      <c r="C365">
        <v>432</v>
      </c>
      <c r="D365" s="9">
        <v>43054</v>
      </c>
      <c r="E365" t="s">
        <v>296</v>
      </c>
      <c r="I365" s="9"/>
    </row>
    <row r="366" spans="1:9" x14ac:dyDescent="0.25">
      <c r="A366">
        <v>136865</v>
      </c>
      <c r="B366">
        <v>1.5669999999999999</v>
      </c>
      <c r="C366">
        <v>432</v>
      </c>
      <c r="D366" s="9">
        <v>42815</v>
      </c>
      <c r="E366" t="s">
        <v>296</v>
      </c>
      <c r="I366" s="9"/>
    </row>
    <row r="367" spans="1:9" x14ac:dyDescent="0.25">
      <c r="A367">
        <v>136865</v>
      </c>
      <c r="B367">
        <v>1.605</v>
      </c>
      <c r="C367">
        <v>432</v>
      </c>
      <c r="D367" s="9">
        <v>42508</v>
      </c>
      <c r="E367" t="s">
        <v>296</v>
      </c>
      <c r="I367" s="9"/>
    </row>
    <row r="368" spans="1:9" x14ac:dyDescent="0.25">
      <c r="A368">
        <v>136865</v>
      </c>
      <c r="B368">
        <v>6.25</v>
      </c>
      <c r="C368">
        <v>216</v>
      </c>
      <c r="D368" s="9">
        <v>42508</v>
      </c>
      <c r="E368" t="s">
        <v>295</v>
      </c>
      <c r="I368" s="9"/>
    </row>
    <row r="369" spans="1:9" x14ac:dyDescent="0.25">
      <c r="A369">
        <v>136865</v>
      </c>
      <c r="B369">
        <v>1.605</v>
      </c>
      <c r="C369">
        <v>432</v>
      </c>
      <c r="D369" s="9">
        <v>42271</v>
      </c>
      <c r="E369" t="s">
        <v>296</v>
      </c>
      <c r="I369" s="9"/>
    </row>
    <row r="370" spans="1:9" x14ac:dyDescent="0.25">
      <c r="A370">
        <v>136865</v>
      </c>
      <c r="B370">
        <v>5.19</v>
      </c>
      <c r="C370">
        <v>432</v>
      </c>
      <c r="D370" s="9">
        <v>41927</v>
      </c>
      <c r="E370" t="s">
        <v>295</v>
      </c>
      <c r="I370" s="9"/>
    </row>
    <row r="371" spans="1:9" x14ac:dyDescent="0.25">
      <c r="A371">
        <v>136865</v>
      </c>
      <c r="B371">
        <v>1.605</v>
      </c>
      <c r="C371">
        <v>432</v>
      </c>
      <c r="D371" s="9">
        <v>41870</v>
      </c>
      <c r="E371" t="s">
        <v>296</v>
      </c>
      <c r="I371" s="9"/>
    </row>
    <row r="372" spans="1:9" x14ac:dyDescent="0.25">
      <c r="A372">
        <v>136865</v>
      </c>
      <c r="B372">
        <v>1.605</v>
      </c>
      <c r="C372">
        <v>432</v>
      </c>
      <c r="D372" s="9">
        <v>41816</v>
      </c>
      <c r="E372" t="s">
        <v>296</v>
      </c>
      <c r="I372" s="9"/>
    </row>
    <row r="373" spans="1:9" x14ac:dyDescent="0.25">
      <c r="A373">
        <v>136865</v>
      </c>
      <c r="B373">
        <v>1.605</v>
      </c>
      <c r="C373">
        <v>432</v>
      </c>
      <c r="D373" s="9">
        <v>41647</v>
      </c>
      <c r="E373" t="s">
        <v>296</v>
      </c>
      <c r="I373" s="9"/>
    </row>
    <row r="374" spans="1:9" x14ac:dyDescent="0.25">
      <c r="A374">
        <v>136865</v>
      </c>
      <c r="B374">
        <v>1.579</v>
      </c>
      <c r="C374">
        <v>432</v>
      </c>
      <c r="D374" s="9">
        <v>41435</v>
      </c>
      <c r="E374" t="s">
        <v>296</v>
      </c>
      <c r="I374" s="9"/>
    </row>
    <row r="375" spans="1:9" x14ac:dyDescent="0.25">
      <c r="A375">
        <v>136865</v>
      </c>
      <c r="B375">
        <v>1.579</v>
      </c>
      <c r="C375">
        <v>432</v>
      </c>
      <c r="D375" s="9">
        <v>41295</v>
      </c>
      <c r="E375" t="s">
        <v>296</v>
      </c>
      <c r="I375" s="9"/>
    </row>
    <row r="376" spans="1:9" x14ac:dyDescent="0.25">
      <c r="A376">
        <v>136892</v>
      </c>
      <c r="B376">
        <v>1.5920000000000001</v>
      </c>
      <c r="C376">
        <v>512</v>
      </c>
      <c r="D376" s="9">
        <v>43889</v>
      </c>
      <c r="E376" t="s">
        <v>296</v>
      </c>
      <c r="I376" s="9"/>
    </row>
    <row r="377" spans="1:9" x14ac:dyDescent="0.25">
      <c r="A377">
        <v>136892</v>
      </c>
      <c r="B377">
        <v>1.5920000000000001</v>
      </c>
      <c r="C377">
        <v>480</v>
      </c>
      <c r="D377" s="9">
        <v>43612</v>
      </c>
      <c r="E377" t="s">
        <v>296</v>
      </c>
      <c r="I377" s="9"/>
    </row>
    <row r="378" spans="1:9" x14ac:dyDescent="0.25">
      <c r="A378">
        <v>136892</v>
      </c>
      <c r="B378">
        <v>1.5920000000000001</v>
      </c>
      <c r="C378">
        <v>480</v>
      </c>
      <c r="D378" s="9">
        <v>43567</v>
      </c>
      <c r="E378" t="s">
        <v>296</v>
      </c>
      <c r="I378" s="9"/>
    </row>
    <row r="379" spans="1:9" x14ac:dyDescent="0.25">
      <c r="A379">
        <v>136892</v>
      </c>
      <c r="B379">
        <v>1.5920000000000001</v>
      </c>
      <c r="C379">
        <v>480</v>
      </c>
      <c r="D379" s="9">
        <v>43403</v>
      </c>
      <c r="E379" t="s">
        <v>296</v>
      </c>
      <c r="I379" s="9"/>
    </row>
    <row r="380" spans="1:9" x14ac:dyDescent="0.25">
      <c r="A380">
        <v>136892</v>
      </c>
      <c r="B380">
        <v>6.55</v>
      </c>
      <c r="C380">
        <v>480</v>
      </c>
      <c r="D380" s="9">
        <v>43238</v>
      </c>
      <c r="E380" t="s">
        <v>295</v>
      </c>
      <c r="I380" s="9"/>
    </row>
    <row r="381" spans="1:9" x14ac:dyDescent="0.25">
      <c r="A381">
        <v>136892</v>
      </c>
      <c r="B381">
        <v>1.5920000000000001</v>
      </c>
      <c r="C381">
        <v>480</v>
      </c>
      <c r="D381" s="9">
        <v>43238</v>
      </c>
      <c r="E381" t="s">
        <v>296</v>
      </c>
      <c r="I381" s="9"/>
    </row>
    <row r="382" spans="1:9" x14ac:dyDescent="0.25">
      <c r="A382">
        <v>136892</v>
      </c>
      <c r="B382">
        <v>1.5920000000000001</v>
      </c>
      <c r="C382">
        <v>480</v>
      </c>
      <c r="D382" s="9">
        <v>43136</v>
      </c>
      <c r="E382" t="s">
        <v>296</v>
      </c>
      <c r="I382" s="9"/>
    </row>
    <row r="383" spans="1:9" x14ac:dyDescent="0.25">
      <c r="A383">
        <v>136892</v>
      </c>
      <c r="B383">
        <v>5.84</v>
      </c>
      <c r="C383">
        <v>240</v>
      </c>
      <c r="D383" s="9">
        <v>43136</v>
      </c>
      <c r="E383" t="s">
        <v>295</v>
      </c>
      <c r="I383" s="9"/>
    </row>
    <row r="384" spans="1:9" x14ac:dyDescent="0.25">
      <c r="A384">
        <v>136892</v>
      </c>
      <c r="B384">
        <v>1.5920000000000001</v>
      </c>
      <c r="C384">
        <v>256</v>
      </c>
      <c r="D384" s="9">
        <v>42815</v>
      </c>
      <c r="E384" t="s">
        <v>296</v>
      </c>
      <c r="I384" s="9"/>
    </row>
    <row r="385" spans="1:9" x14ac:dyDescent="0.25">
      <c r="A385">
        <v>136892</v>
      </c>
      <c r="B385">
        <v>1.6180000000000001</v>
      </c>
      <c r="C385">
        <v>384</v>
      </c>
      <c r="D385" s="9">
        <v>42641</v>
      </c>
      <c r="E385" t="s">
        <v>296</v>
      </c>
      <c r="I385" s="9"/>
    </row>
    <row r="386" spans="1:9" x14ac:dyDescent="0.25">
      <c r="A386">
        <v>136892</v>
      </c>
      <c r="B386">
        <v>1.6180000000000001</v>
      </c>
      <c r="C386">
        <v>384</v>
      </c>
      <c r="D386" s="9">
        <v>42641</v>
      </c>
      <c r="E386" t="s">
        <v>296</v>
      </c>
      <c r="I386" s="9"/>
    </row>
    <row r="387" spans="1:9" x14ac:dyDescent="0.25">
      <c r="A387">
        <v>136892</v>
      </c>
      <c r="B387">
        <v>1.6180000000000001</v>
      </c>
      <c r="C387">
        <v>384</v>
      </c>
      <c r="D387" s="9">
        <v>42440</v>
      </c>
      <c r="E387" t="s">
        <v>296</v>
      </c>
      <c r="I387" s="9"/>
    </row>
    <row r="388" spans="1:9" x14ac:dyDescent="0.25">
      <c r="A388">
        <v>136892</v>
      </c>
      <c r="B388">
        <v>1.6180000000000001</v>
      </c>
      <c r="C388">
        <v>384</v>
      </c>
      <c r="D388" s="9">
        <v>42271</v>
      </c>
      <c r="E388" t="s">
        <v>296</v>
      </c>
      <c r="I388" s="9"/>
    </row>
    <row r="389" spans="1:9" x14ac:dyDescent="0.25">
      <c r="A389">
        <v>136892</v>
      </c>
      <c r="B389">
        <v>1.6180000000000001</v>
      </c>
      <c r="C389">
        <v>384</v>
      </c>
      <c r="D389" s="9">
        <v>42111</v>
      </c>
      <c r="E389" t="s">
        <v>296</v>
      </c>
      <c r="I389" s="9"/>
    </row>
    <row r="390" spans="1:9" x14ac:dyDescent="0.25">
      <c r="A390">
        <v>136892</v>
      </c>
      <c r="B390">
        <v>1.6180000000000001</v>
      </c>
      <c r="C390">
        <v>384</v>
      </c>
      <c r="D390" s="9">
        <v>41983</v>
      </c>
      <c r="E390" t="s">
        <v>296</v>
      </c>
      <c r="I390" s="9"/>
    </row>
    <row r="391" spans="1:9" x14ac:dyDescent="0.25">
      <c r="A391">
        <v>136892</v>
      </c>
      <c r="B391">
        <v>1.6180000000000001</v>
      </c>
      <c r="C391">
        <v>416</v>
      </c>
      <c r="D391" s="9">
        <v>41782</v>
      </c>
      <c r="E391" t="s">
        <v>296</v>
      </c>
      <c r="I391" s="9"/>
    </row>
    <row r="392" spans="1:9" x14ac:dyDescent="0.25">
      <c r="A392">
        <v>136892</v>
      </c>
      <c r="B392">
        <v>1.6180000000000001</v>
      </c>
      <c r="C392">
        <v>384</v>
      </c>
      <c r="D392" s="9">
        <v>41647</v>
      </c>
      <c r="E392" t="s">
        <v>296</v>
      </c>
      <c r="I392" s="9"/>
    </row>
    <row r="393" spans="1:9" x14ac:dyDescent="0.25">
      <c r="A393">
        <v>136892</v>
      </c>
      <c r="B393">
        <v>1.6180000000000001</v>
      </c>
      <c r="C393">
        <v>320</v>
      </c>
      <c r="D393" s="9">
        <v>41435</v>
      </c>
      <c r="E393" t="s">
        <v>296</v>
      </c>
      <c r="I393" s="9"/>
    </row>
    <row r="394" spans="1:9" x14ac:dyDescent="0.25">
      <c r="A394">
        <v>136892</v>
      </c>
      <c r="B394">
        <v>1.6180000000000001</v>
      </c>
      <c r="C394">
        <v>320</v>
      </c>
      <c r="D394" s="9">
        <v>41295</v>
      </c>
      <c r="E394" t="s">
        <v>296</v>
      </c>
      <c r="I394" s="9"/>
    </row>
    <row r="395" spans="1:9" x14ac:dyDescent="0.25">
      <c r="A395">
        <v>136900</v>
      </c>
      <c r="B395">
        <v>1.3</v>
      </c>
      <c r="C395">
        <v>720</v>
      </c>
      <c r="D395" s="9">
        <v>43936</v>
      </c>
      <c r="E395" t="s">
        <v>296</v>
      </c>
      <c r="I395" s="9"/>
    </row>
    <row r="396" spans="1:9" x14ac:dyDescent="0.25">
      <c r="A396">
        <v>136900</v>
      </c>
      <c r="B396">
        <v>1.3</v>
      </c>
      <c r="C396">
        <v>720</v>
      </c>
      <c r="D396" s="9">
        <v>43684</v>
      </c>
      <c r="E396" t="s">
        <v>296</v>
      </c>
      <c r="I396" s="9"/>
    </row>
    <row r="397" spans="1:9" x14ac:dyDescent="0.25">
      <c r="A397">
        <v>136900</v>
      </c>
      <c r="B397">
        <v>1.3</v>
      </c>
      <c r="C397">
        <v>612</v>
      </c>
      <c r="D397" s="9">
        <v>43612</v>
      </c>
      <c r="E397" t="s">
        <v>296</v>
      </c>
      <c r="I397" s="9"/>
    </row>
    <row r="398" spans="1:9" x14ac:dyDescent="0.25">
      <c r="A398">
        <v>136900</v>
      </c>
      <c r="B398">
        <v>1.32</v>
      </c>
      <c r="C398">
        <v>720</v>
      </c>
      <c r="D398" s="9">
        <v>43438</v>
      </c>
      <c r="E398" t="s">
        <v>296</v>
      </c>
      <c r="I398" s="9"/>
    </row>
    <row r="399" spans="1:9" x14ac:dyDescent="0.25">
      <c r="A399">
        <v>136900</v>
      </c>
      <c r="B399">
        <v>1.38</v>
      </c>
      <c r="C399">
        <v>720</v>
      </c>
      <c r="D399" s="9">
        <v>43199</v>
      </c>
      <c r="E399" t="s">
        <v>296</v>
      </c>
      <c r="I399" s="9"/>
    </row>
    <row r="400" spans="1:9" x14ac:dyDescent="0.25">
      <c r="A400">
        <v>136900</v>
      </c>
      <c r="B400">
        <v>1.35</v>
      </c>
      <c r="C400">
        <v>720</v>
      </c>
      <c r="D400" s="9">
        <v>43063</v>
      </c>
      <c r="E400" t="s">
        <v>296</v>
      </c>
      <c r="I400" s="9"/>
    </row>
    <row r="401" spans="1:9" x14ac:dyDescent="0.25">
      <c r="A401">
        <v>136900</v>
      </c>
      <c r="B401">
        <v>1.3</v>
      </c>
      <c r="C401">
        <v>198</v>
      </c>
      <c r="D401" s="9">
        <v>42877</v>
      </c>
      <c r="E401" t="s">
        <v>296</v>
      </c>
      <c r="I401" s="9"/>
    </row>
    <row r="402" spans="1:9" x14ac:dyDescent="0.25">
      <c r="A402">
        <v>136900</v>
      </c>
      <c r="B402">
        <v>1.3180000000000001</v>
      </c>
      <c r="C402">
        <v>576</v>
      </c>
      <c r="D402" s="9">
        <v>42815</v>
      </c>
      <c r="E402" t="s">
        <v>296</v>
      </c>
      <c r="I402" s="9"/>
    </row>
    <row r="403" spans="1:9" x14ac:dyDescent="0.25">
      <c r="A403">
        <v>136900</v>
      </c>
      <c r="B403">
        <v>1.3</v>
      </c>
      <c r="C403">
        <v>378</v>
      </c>
      <c r="D403" s="9">
        <v>42815</v>
      </c>
      <c r="E403" t="s">
        <v>296</v>
      </c>
      <c r="I403" s="9"/>
    </row>
    <row r="404" spans="1:9" x14ac:dyDescent="0.25">
      <c r="A404">
        <v>136900</v>
      </c>
      <c r="B404">
        <v>1.24</v>
      </c>
      <c r="C404">
        <v>720</v>
      </c>
      <c r="D404" s="9">
        <v>42719</v>
      </c>
      <c r="E404" t="s">
        <v>296</v>
      </c>
      <c r="I404" s="9"/>
    </row>
    <row r="405" spans="1:9" x14ac:dyDescent="0.25">
      <c r="A405">
        <v>136900</v>
      </c>
      <c r="B405">
        <v>1.24</v>
      </c>
      <c r="C405">
        <v>432</v>
      </c>
      <c r="D405" s="9">
        <v>42698</v>
      </c>
      <c r="E405" t="s">
        <v>296</v>
      </c>
      <c r="I405" s="9"/>
    </row>
    <row r="406" spans="1:9" x14ac:dyDescent="0.25">
      <c r="A406">
        <v>136900</v>
      </c>
      <c r="B406">
        <v>1.24</v>
      </c>
      <c r="C406">
        <v>720</v>
      </c>
      <c r="D406" s="9">
        <v>42617</v>
      </c>
      <c r="E406" t="s">
        <v>296</v>
      </c>
      <c r="I406" s="9"/>
    </row>
    <row r="407" spans="1:9" x14ac:dyDescent="0.25">
      <c r="A407">
        <v>136900</v>
      </c>
      <c r="B407">
        <v>1.33</v>
      </c>
      <c r="C407">
        <v>720</v>
      </c>
      <c r="D407" s="9">
        <v>42440</v>
      </c>
      <c r="E407" t="s">
        <v>296</v>
      </c>
      <c r="I407" s="9"/>
    </row>
    <row r="408" spans="1:9" x14ac:dyDescent="0.25">
      <c r="A408">
        <v>136900</v>
      </c>
      <c r="B408">
        <v>1.24</v>
      </c>
      <c r="C408">
        <v>720</v>
      </c>
      <c r="D408" s="9">
        <v>42321</v>
      </c>
      <c r="E408" t="s">
        <v>296</v>
      </c>
      <c r="I408" s="9"/>
    </row>
    <row r="409" spans="1:9" x14ac:dyDescent="0.25">
      <c r="A409">
        <v>136900</v>
      </c>
      <c r="B409">
        <v>1.24</v>
      </c>
      <c r="C409">
        <v>720</v>
      </c>
      <c r="D409" s="9">
        <v>42207</v>
      </c>
      <c r="E409" t="s">
        <v>296</v>
      </c>
      <c r="I409" s="9"/>
    </row>
    <row r="410" spans="1:9" x14ac:dyDescent="0.25">
      <c r="A410">
        <v>136900</v>
      </c>
      <c r="B410">
        <v>1.395</v>
      </c>
      <c r="C410">
        <v>720</v>
      </c>
      <c r="D410" s="9">
        <v>42111</v>
      </c>
      <c r="E410" t="s">
        <v>296</v>
      </c>
      <c r="I410" s="9"/>
    </row>
    <row r="411" spans="1:9" x14ac:dyDescent="0.25">
      <c r="A411">
        <v>136900</v>
      </c>
      <c r="B411">
        <v>1.395</v>
      </c>
      <c r="C411">
        <v>900</v>
      </c>
      <c r="D411" s="9">
        <v>41983</v>
      </c>
      <c r="E411" t="s">
        <v>296</v>
      </c>
      <c r="I411" s="9"/>
    </row>
    <row r="412" spans="1:9" x14ac:dyDescent="0.25">
      <c r="A412">
        <v>136900</v>
      </c>
      <c r="B412">
        <v>4.4800000000000004</v>
      </c>
      <c r="C412">
        <v>1080</v>
      </c>
      <c r="D412" s="9">
        <v>41927</v>
      </c>
      <c r="E412" t="s">
        <v>295</v>
      </c>
      <c r="I412" s="9"/>
    </row>
    <row r="413" spans="1:9" x14ac:dyDescent="0.25">
      <c r="A413">
        <v>136900</v>
      </c>
      <c r="B413">
        <v>1.385</v>
      </c>
      <c r="C413">
        <v>1080</v>
      </c>
      <c r="D413" s="9">
        <v>41870</v>
      </c>
      <c r="E413" t="s">
        <v>296</v>
      </c>
      <c r="I413" s="9"/>
    </row>
    <row r="414" spans="1:9" x14ac:dyDescent="0.25">
      <c r="A414">
        <v>136900</v>
      </c>
      <c r="B414">
        <v>1.385</v>
      </c>
      <c r="C414">
        <v>1080</v>
      </c>
      <c r="D414" s="9">
        <v>41816</v>
      </c>
      <c r="E414" t="s">
        <v>296</v>
      </c>
      <c r="I414" s="9"/>
    </row>
    <row r="415" spans="1:9" x14ac:dyDescent="0.25">
      <c r="A415">
        <v>136900</v>
      </c>
      <c r="B415">
        <v>1.385</v>
      </c>
      <c r="C415">
        <v>648</v>
      </c>
      <c r="D415" s="9">
        <v>41782</v>
      </c>
      <c r="E415" t="s">
        <v>296</v>
      </c>
      <c r="I415" s="9"/>
    </row>
    <row r="416" spans="1:9" x14ac:dyDescent="0.25">
      <c r="A416">
        <v>136900</v>
      </c>
      <c r="B416">
        <v>5.82</v>
      </c>
      <c r="C416">
        <v>100</v>
      </c>
      <c r="D416" s="9">
        <v>41736</v>
      </c>
      <c r="E416" t="s">
        <v>295</v>
      </c>
      <c r="I416" s="9"/>
    </row>
    <row r="417" spans="1:9" x14ac:dyDescent="0.25">
      <c r="A417">
        <v>136900</v>
      </c>
      <c r="B417">
        <v>5.82</v>
      </c>
      <c r="C417">
        <v>100</v>
      </c>
      <c r="D417" s="9">
        <v>41718</v>
      </c>
      <c r="E417" t="s">
        <v>295</v>
      </c>
      <c r="I417" s="9"/>
    </row>
    <row r="418" spans="1:9" x14ac:dyDescent="0.25">
      <c r="A418">
        <v>136900</v>
      </c>
      <c r="B418">
        <v>1.3340000000000001</v>
      </c>
      <c r="C418">
        <v>1008</v>
      </c>
      <c r="D418" s="9">
        <v>41647</v>
      </c>
      <c r="E418" t="s">
        <v>296</v>
      </c>
      <c r="I418" s="9"/>
    </row>
    <row r="419" spans="1:9" x14ac:dyDescent="0.25">
      <c r="A419">
        <v>136900</v>
      </c>
      <c r="B419">
        <v>5.92</v>
      </c>
      <c r="C419">
        <v>120</v>
      </c>
      <c r="D419" s="9">
        <v>41617</v>
      </c>
      <c r="E419" t="s">
        <v>295</v>
      </c>
      <c r="I419" s="9"/>
    </row>
    <row r="420" spans="1:9" x14ac:dyDescent="0.25">
      <c r="A420">
        <v>136900</v>
      </c>
      <c r="B420">
        <v>5.92</v>
      </c>
      <c r="C420">
        <v>60</v>
      </c>
      <c r="D420" s="9">
        <v>41605</v>
      </c>
      <c r="E420" t="s">
        <v>295</v>
      </c>
      <c r="I420" s="9"/>
    </row>
    <row r="421" spans="1:9" x14ac:dyDescent="0.25">
      <c r="A421">
        <v>136900</v>
      </c>
      <c r="B421">
        <v>5.92</v>
      </c>
      <c r="C421">
        <v>60</v>
      </c>
      <c r="D421" s="9">
        <v>41603</v>
      </c>
      <c r="E421" t="s">
        <v>295</v>
      </c>
      <c r="I421" s="9"/>
    </row>
    <row r="422" spans="1:9" x14ac:dyDescent="0.25">
      <c r="A422">
        <v>136900</v>
      </c>
      <c r="B422">
        <v>1.3340000000000001</v>
      </c>
      <c r="C422">
        <v>1008</v>
      </c>
      <c r="D422" s="9">
        <v>41435</v>
      </c>
      <c r="E422" t="s">
        <v>296</v>
      </c>
      <c r="I422" s="9"/>
    </row>
    <row r="423" spans="1:9" x14ac:dyDescent="0.25">
      <c r="A423">
        <v>136900</v>
      </c>
      <c r="B423">
        <v>1.3340000000000001</v>
      </c>
      <c r="C423">
        <v>1296</v>
      </c>
      <c r="D423" s="9">
        <v>41295</v>
      </c>
      <c r="E423" t="s">
        <v>296</v>
      </c>
      <c r="I423" s="9"/>
    </row>
    <row r="424" spans="1:9" x14ac:dyDescent="0.25">
      <c r="A424">
        <v>136920</v>
      </c>
      <c r="B424">
        <v>1.9</v>
      </c>
      <c r="C424">
        <v>480</v>
      </c>
      <c r="D424" s="9">
        <v>44120</v>
      </c>
      <c r="E424" t="s">
        <v>296</v>
      </c>
      <c r="I424" s="9"/>
    </row>
    <row r="425" spans="1:9" x14ac:dyDescent="0.25">
      <c r="A425">
        <v>136920</v>
      </c>
      <c r="B425">
        <v>1.9</v>
      </c>
      <c r="C425">
        <v>720</v>
      </c>
      <c r="D425" s="9">
        <v>44035</v>
      </c>
      <c r="E425" t="s">
        <v>296</v>
      </c>
      <c r="I425" s="9"/>
    </row>
    <row r="426" spans="1:9" x14ac:dyDescent="0.25">
      <c r="A426">
        <v>136920</v>
      </c>
      <c r="B426">
        <v>1.9</v>
      </c>
      <c r="C426">
        <v>720</v>
      </c>
      <c r="D426" s="9">
        <v>43972</v>
      </c>
      <c r="E426" t="s">
        <v>296</v>
      </c>
      <c r="I426" s="9"/>
    </row>
    <row r="427" spans="1:9" x14ac:dyDescent="0.25">
      <c r="A427">
        <v>136920</v>
      </c>
      <c r="B427">
        <v>1.75</v>
      </c>
      <c r="C427">
        <v>480</v>
      </c>
      <c r="D427" s="9">
        <v>43608</v>
      </c>
      <c r="E427" t="s">
        <v>296</v>
      </c>
      <c r="I427" s="9"/>
    </row>
    <row r="428" spans="1:9" x14ac:dyDescent="0.25">
      <c r="A428">
        <v>136920</v>
      </c>
      <c r="B428">
        <v>1.75</v>
      </c>
      <c r="C428">
        <v>480</v>
      </c>
      <c r="D428" s="9">
        <v>43608</v>
      </c>
      <c r="E428" t="s">
        <v>296</v>
      </c>
      <c r="I428" s="9"/>
    </row>
    <row r="429" spans="1:9" x14ac:dyDescent="0.25">
      <c r="A429">
        <v>136920</v>
      </c>
      <c r="B429">
        <v>1.75</v>
      </c>
      <c r="C429">
        <v>480</v>
      </c>
      <c r="D429" s="9">
        <v>43340</v>
      </c>
      <c r="E429" t="s">
        <v>296</v>
      </c>
      <c r="I429" s="9"/>
    </row>
    <row r="430" spans="1:9" x14ac:dyDescent="0.25">
      <c r="A430">
        <v>136920</v>
      </c>
      <c r="B430">
        <v>1.75</v>
      </c>
      <c r="C430">
        <v>480</v>
      </c>
      <c r="D430" s="9">
        <v>43340</v>
      </c>
      <c r="E430" t="s">
        <v>296</v>
      </c>
      <c r="I430" s="9"/>
    </row>
    <row r="431" spans="1:9" x14ac:dyDescent="0.25">
      <c r="A431">
        <v>136920</v>
      </c>
      <c r="B431">
        <v>6.11</v>
      </c>
      <c r="C431">
        <v>660</v>
      </c>
      <c r="D431" s="9">
        <v>43132</v>
      </c>
      <c r="E431" t="s">
        <v>295</v>
      </c>
      <c r="I431" s="9"/>
    </row>
    <row r="432" spans="1:9" x14ac:dyDescent="0.25">
      <c r="A432">
        <v>136920</v>
      </c>
      <c r="B432">
        <v>1.7</v>
      </c>
      <c r="C432">
        <v>660</v>
      </c>
      <c r="D432" s="9">
        <v>43132</v>
      </c>
      <c r="E432" t="s">
        <v>296</v>
      </c>
      <c r="I432" s="9"/>
    </row>
    <row r="433" spans="1:9" x14ac:dyDescent="0.25">
      <c r="A433">
        <v>136920</v>
      </c>
      <c r="B433">
        <v>1.7</v>
      </c>
      <c r="C433">
        <v>300</v>
      </c>
      <c r="D433" s="9">
        <v>43063</v>
      </c>
      <c r="E433" t="s">
        <v>296</v>
      </c>
      <c r="I433" s="9"/>
    </row>
    <row r="434" spans="1:9" x14ac:dyDescent="0.25">
      <c r="A434">
        <v>136920</v>
      </c>
      <c r="B434">
        <v>1.7</v>
      </c>
      <c r="C434">
        <v>480</v>
      </c>
      <c r="D434" s="9">
        <v>42976</v>
      </c>
      <c r="E434" t="s">
        <v>296</v>
      </c>
      <c r="I434" s="9"/>
    </row>
    <row r="435" spans="1:9" x14ac:dyDescent="0.25">
      <c r="A435">
        <v>136920</v>
      </c>
      <c r="B435">
        <v>1.7</v>
      </c>
      <c r="C435">
        <v>1680</v>
      </c>
      <c r="D435" s="9">
        <v>42860</v>
      </c>
      <c r="E435" t="s">
        <v>296</v>
      </c>
      <c r="I435" s="9"/>
    </row>
    <row r="436" spans="1:9" x14ac:dyDescent="0.25">
      <c r="A436">
        <v>136920</v>
      </c>
      <c r="B436">
        <v>1.7</v>
      </c>
      <c r="C436">
        <v>480</v>
      </c>
      <c r="D436" s="9">
        <v>42753</v>
      </c>
      <c r="E436" t="s">
        <v>296</v>
      </c>
      <c r="I436" s="9"/>
    </row>
    <row r="437" spans="1:9" x14ac:dyDescent="0.25">
      <c r="A437">
        <v>136920</v>
      </c>
      <c r="B437">
        <v>1.75</v>
      </c>
      <c r="C437">
        <v>920</v>
      </c>
      <c r="D437" s="9">
        <v>42655</v>
      </c>
      <c r="E437" t="s">
        <v>296</v>
      </c>
      <c r="I437" s="9"/>
    </row>
    <row r="438" spans="1:9" x14ac:dyDescent="0.25">
      <c r="A438">
        <v>136920</v>
      </c>
      <c r="B438">
        <v>1.75</v>
      </c>
      <c r="C438">
        <v>920</v>
      </c>
      <c r="D438" s="9">
        <v>42655</v>
      </c>
      <c r="E438" t="s">
        <v>296</v>
      </c>
      <c r="I438" s="9"/>
    </row>
    <row r="439" spans="1:9" x14ac:dyDescent="0.25">
      <c r="A439">
        <v>136920</v>
      </c>
      <c r="B439">
        <v>2.0019999999999998</v>
      </c>
      <c r="C439">
        <v>900</v>
      </c>
      <c r="D439" s="9">
        <v>42607</v>
      </c>
      <c r="E439" t="s">
        <v>297</v>
      </c>
      <c r="I439" s="9"/>
    </row>
    <row r="440" spans="1:9" x14ac:dyDescent="0.25">
      <c r="A440">
        <v>136920</v>
      </c>
      <c r="B440">
        <v>2.0019999999999998</v>
      </c>
      <c r="C440">
        <v>660</v>
      </c>
      <c r="D440" s="9">
        <v>42401</v>
      </c>
      <c r="E440" t="s">
        <v>297</v>
      </c>
      <c r="I440" s="9"/>
    </row>
    <row r="441" spans="1:9" x14ac:dyDescent="0.25">
      <c r="A441">
        <v>136920</v>
      </c>
      <c r="B441">
        <v>2.0019999999999998</v>
      </c>
      <c r="C441">
        <v>660</v>
      </c>
      <c r="D441" s="9">
        <v>42233</v>
      </c>
      <c r="E441" t="s">
        <v>297</v>
      </c>
      <c r="I441" s="9"/>
    </row>
    <row r="442" spans="1:9" x14ac:dyDescent="0.25">
      <c r="A442">
        <v>136920</v>
      </c>
      <c r="B442">
        <v>2.0019999999999998</v>
      </c>
      <c r="C442">
        <v>540</v>
      </c>
      <c r="D442" s="9">
        <v>42186</v>
      </c>
      <c r="E442" t="s">
        <v>297</v>
      </c>
      <c r="I442" s="9"/>
    </row>
    <row r="443" spans="1:9" x14ac:dyDescent="0.25">
      <c r="A443">
        <v>136920</v>
      </c>
      <c r="B443">
        <v>2.13</v>
      </c>
      <c r="C443">
        <v>1200</v>
      </c>
      <c r="D443" s="9">
        <v>42040</v>
      </c>
      <c r="E443" t="s">
        <v>296</v>
      </c>
      <c r="I443" s="9"/>
    </row>
    <row r="444" spans="1:9" x14ac:dyDescent="0.25">
      <c r="A444">
        <v>136920</v>
      </c>
      <c r="B444">
        <v>7.09</v>
      </c>
      <c r="C444">
        <v>1020</v>
      </c>
      <c r="D444" s="9">
        <v>41957</v>
      </c>
      <c r="E444" t="s">
        <v>295</v>
      </c>
      <c r="I444" s="9"/>
    </row>
    <row r="445" spans="1:9" x14ac:dyDescent="0.25">
      <c r="A445">
        <v>136920</v>
      </c>
      <c r="B445">
        <v>2.13</v>
      </c>
      <c r="C445">
        <v>1020</v>
      </c>
      <c r="D445" s="9">
        <v>41912</v>
      </c>
      <c r="E445" t="s">
        <v>296</v>
      </c>
      <c r="I445" s="9"/>
    </row>
    <row r="446" spans="1:9" x14ac:dyDescent="0.25">
      <c r="A446">
        <v>136920</v>
      </c>
      <c r="B446">
        <v>2.0680000000000001</v>
      </c>
      <c r="C446">
        <v>1080</v>
      </c>
      <c r="D446" s="9">
        <v>41744</v>
      </c>
      <c r="E446" t="s">
        <v>296</v>
      </c>
      <c r="I446" s="9"/>
    </row>
    <row r="447" spans="1:9" x14ac:dyDescent="0.25">
      <c r="A447">
        <v>136920</v>
      </c>
      <c r="B447">
        <v>2.048</v>
      </c>
      <c r="C447">
        <v>1080</v>
      </c>
      <c r="D447" s="9">
        <v>41418</v>
      </c>
      <c r="E447" t="s">
        <v>296</v>
      </c>
      <c r="I447" s="9"/>
    </row>
    <row r="448" spans="1:9" x14ac:dyDescent="0.25">
      <c r="A448">
        <v>136920</v>
      </c>
      <c r="B448">
        <v>2.048</v>
      </c>
      <c r="C448">
        <v>1560</v>
      </c>
      <c r="D448" s="9">
        <v>41295</v>
      </c>
      <c r="E448" t="s">
        <v>296</v>
      </c>
      <c r="I448" s="9"/>
    </row>
    <row r="449" spans="1:9" x14ac:dyDescent="0.25">
      <c r="A449">
        <v>136930</v>
      </c>
      <c r="B449">
        <v>1.8</v>
      </c>
      <c r="C449">
        <v>600</v>
      </c>
      <c r="D449" s="9">
        <v>44141</v>
      </c>
      <c r="E449" t="s">
        <v>296</v>
      </c>
      <c r="I449" s="9"/>
    </row>
    <row r="450" spans="1:9" x14ac:dyDescent="0.25">
      <c r="A450">
        <v>136930</v>
      </c>
      <c r="B450">
        <v>1.72</v>
      </c>
      <c r="C450">
        <v>600</v>
      </c>
      <c r="D450" s="9">
        <v>43951</v>
      </c>
      <c r="E450" t="s">
        <v>296</v>
      </c>
      <c r="I450" s="9"/>
    </row>
    <row r="451" spans="1:9" x14ac:dyDescent="0.25">
      <c r="A451">
        <v>136930</v>
      </c>
      <c r="B451">
        <v>1.72</v>
      </c>
      <c r="C451">
        <v>600</v>
      </c>
      <c r="D451" s="9">
        <v>43839</v>
      </c>
      <c r="E451" t="s">
        <v>296</v>
      </c>
      <c r="I451" s="9"/>
    </row>
    <row r="452" spans="1:9" x14ac:dyDescent="0.25">
      <c r="A452">
        <v>136930</v>
      </c>
      <c r="B452">
        <v>2.0179999999999998</v>
      </c>
      <c r="C452">
        <v>1008</v>
      </c>
      <c r="D452" s="9">
        <v>43427</v>
      </c>
      <c r="E452" t="s">
        <v>296</v>
      </c>
      <c r="I452" s="9"/>
    </row>
    <row r="453" spans="1:9" x14ac:dyDescent="0.25">
      <c r="A453">
        <v>136930</v>
      </c>
      <c r="B453">
        <v>1.575</v>
      </c>
      <c r="C453">
        <v>1008</v>
      </c>
      <c r="D453" s="9">
        <v>43427</v>
      </c>
      <c r="E453" t="s">
        <v>296</v>
      </c>
      <c r="I453" s="9"/>
    </row>
    <row r="454" spans="1:9" x14ac:dyDescent="0.25">
      <c r="A454">
        <v>136930</v>
      </c>
      <c r="B454">
        <v>6.42</v>
      </c>
      <c r="C454">
        <v>528</v>
      </c>
      <c r="D454" s="9">
        <v>43090</v>
      </c>
      <c r="E454" t="s">
        <v>295</v>
      </c>
      <c r="I454" s="9"/>
    </row>
    <row r="455" spans="1:9" x14ac:dyDescent="0.25">
      <c r="A455">
        <v>136930</v>
      </c>
      <c r="B455">
        <v>1.75</v>
      </c>
      <c r="C455">
        <v>1008</v>
      </c>
      <c r="D455" s="9">
        <v>43052</v>
      </c>
      <c r="E455" t="s">
        <v>296</v>
      </c>
      <c r="I455" s="9"/>
    </row>
    <row r="456" spans="1:9" x14ac:dyDescent="0.25">
      <c r="A456">
        <v>136930</v>
      </c>
      <c r="B456">
        <v>2.0179999999999998</v>
      </c>
      <c r="C456">
        <v>720</v>
      </c>
      <c r="D456" s="9">
        <v>42860</v>
      </c>
      <c r="E456" t="s">
        <v>296</v>
      </c>
      <c r="I456" s="9"/>
    </row>
    <row r="457" spans="1:9" x14ac:dyDescent="0.25">
      <c r="A457">
        <v>136930</v>
      </c>
      <c r="B457">
        <v>1.84</v>
      </c>
      <c r="C457">
        <v>720</v>
      </c>
      <c r="D457" s="9">
        <v>42586</v>
      </c>
      <c r="E457" t="s">
        <v>296</v>
      </c>
      <c r="I457" s="9"/>
    </row>
    <row r="458" spans="1:9" x14ac:dyDescent="0.25">
      <c r="A458">
        <v>136930</v>
      </c>
      <c r="B458">
        <v>2.5619999999999998</v>
      </c>
      <c r="C458">
        <v>600</v>
      </c>
      <c r="D458" s="9">
        <v>42129</v>
      </c>
      <c r="E458" t="s">
        <v>296</v>
      </c>
      <c r="I458" s="9"/>
    </row>
    <row r="459" spans="1:9" x14ac:dyDescent="0.25">
      <c r="A459">
        <v>136930</v>
      </c>
      <c r="B459">
        <v>2.44</v>
      </c>
      <c r="C459">
        <v>960</v>
      </c>
      <c r="D459" s="9">
        <v>41961</v>
      </c>
      <c r="E459" t="s">
        <v>296</v>
      </c>
      <c r="I459" s="9"/>
    </row>
    <row r="460" spans="1:9" x14ac:dyDescent="0.25">
      <c r="A460">
        <v>136930</v>
      </c>
      <c r="B460">
        <v>2.44</v>
      </c>
      <c r="C460">
        <v>960</v>
      </c>
      <c r="D460" s="9">
        <v>41418</v>
      </c>
      <c r="E460" t="s">
        <v>296</v>
      </c>
      <c r="I460" s="9"/>
    </row>
    <row r="461" spans="1:9" x14ac:dyDescent="0.25">
      <c r="A461">
        <v>136950</v>
      </c>
      <c r="B461">
        <v>4.4400000000000004</v>
      </c>
      <c r="C461">
        <v>240</v>
      </c>
      <c r="D461" s="9">
        <v>44068</v>
      </c>
      <c r="E461" t="s">
        <v>296</v>
      </c>
      <c r="I461" s="9"/>
    </row>
    <row r="462" spans="1:9" x14ac:dyDescent="0.25">
      <c r="A462">
        <v>136950</v>
      </c>
      <c r="B462">
        <v>4.3129999999999997</v>
      </c>
      <c r="C462">
        <v>240</v>
      </c>
      <c r="D462" s="9">
        <v>43427</v>
      </c>
      <c r="E462" t="s">
        <v>296</v>
      </c>
      <c r="I462" s="9"/>
    </row>
    <row r="463" spans="1:9" x14ac:dyDescent="0.25">
      <c r="A463">
        <v>136950</v>
      </c>
      <c r="B463">
        <v>4.1079999999999997</v>
      </c>
      <c r="C463">
        <v>360</v>
      </c>
      <c r="D463" s="9">
        <v>42860</v>
      </c>
      <c r="E463" t="s">
        <v>296</v>
      </c>
      <c r="I463" s="9"/>
    </row>
    <row r="464" spans="1:9" x14ac:dyDescent="0.25">
      <c r="A464">
        <v>136950</v>
      </c>
      <c r="B464">
        <v>4.7389999999999999</v>
      </c>
      <c r="C464">
        <v>240</v>
      </c>
      <c r="D464" s="9">
        <v>42607</v>
      </c>
      <c r="E464" t="s">
        <v>297</v>
      </c>
      <c r="I464" s="9"/>
    </row>
    <row r="465" spans="1:9" x14ac:dyDescent="0.25">
      <c r="A465">
        <v>136950</v>
      </c>
      <c r="B465">
        <v>3.57</v>
      </c>
      <c r="C465">
        <v>360</v>
      </c>
      <c r="D465" s="9">
        <v>42586</v>
      </c>
      <c r="E465" t="s">
        <v>296</v>
      </c>
      <c r="I465" s="9"/>
    </row>
    <row r="466" spans="1:9" x14ac:dyDescent="0.25">
      <c r="A466">
        <v>136950</v>
      </c>
      <c r="B466">
        <v>4.9880000000000004</v>
      </c>
      <c r="C466">
        <v>240</v>
      </c>
      <c r="D466" s="9">
        <v>42129</v>
      </c>
      <c r="E466" t="s">
        <v>296</v>
      </c>
      <c r="I466" s="9"/>
    </row>
    <row r="467" spans="1:9" x14ac:dyDescent="0.25">
      <c r="A467">
        <v>136950</v>
      </c>
      <c r="B467">
        <v>4.75</v>
      </c>
      <c r="C467">
        <v>240</v>
      </c>
      <c r="D467" s="9">
        <v>41865</v>
      </c>
      <c r="E467" t="s">
        <v>296</v>
      </c>
      <c r="I467" s="9"/>
    </row>
    <row r="468" spans="1:9" x14ac:dyDescent="0.25">
      <c r="A468">
        <v>136950</v>
      </c>
      <c r="B468">
        <v>4.57</v>
      </c>
      <c r="C468">
        <v>240</v>
      </c>
      <c r="D468" s="9">
        <v>41744</v>
      </c>
      <c r="E468" t="s">
        <v>296</v>
      </c>
      <c r="I468" s="9"/>
    </row>
    <row r="469" spans="1:9" x14ac:dyDescent="0.25">
      <c r="A469">
        <v>136950</v>
      </c>
      <c r="B469">
        <v>4.4400000000000004</v>
      </c>
      <c r="C469">
        <v>144</v>
      </c>
      <c r="D469" s="9">
        <v>41418</v>
      </c>
      <c r="E469" t="s">
        <v>296</v>
      </c>
      <c r="I469" s="9"/>
    </row>
    <row r="470" spans="1:9" x14ac:dyDescent="0.25">
      <c r="A470">
        <v>137300</v>
      </c>
      <c r="B470">
        <v>0.59</v>
      </c>
      <c r="C470">
        <v>1536</v>
      </c>
      <c r="D470" s="9">
        <v>44071</v>
      </c>
      <c r="E470" t="s">
        <v>296</v>
      </c>
      <c r="I470" s="9"/>
    </row>
    <row r="471" spans="1:9" x14ac:dyDescent="0.25">
      <c r="A471">
        <v>137300</v>
      </c>
      <c r="B471">
        <v>0.59</v>
      </c>
      <c r="C471">
        <v>960</v>
      </c>
      <c r="D471" s="9">
        <v>44005</v>
      </c>
      <c r="E471" t="s">
        <v>296</v>
      </c>
      <c r="I471" s="9"/>
    </row>
    <row r="472" spans="1:9" x14ac:dyDescent="0.25">
      <c r="A472">
        <v>137300</v>
      </c>
      <c r="B472">
        <v>0.59</v>
      </c>
      <c r="C472">
        <v>600</v>
      </c>
      <c r="D472" s="9">
        <v>43717</v>
      </c>
      <c r="E472" t="s">
        <v>296</v>
      </c>
      <c r="I472" s="9"/>
    </row>
    <row r="473" spans="1:9" x14ac:dyDescent="0.25">
      <c r="A473">
        <v>137300</v>
      </c>
      <c r="B473">
        <v>0.59</v>
      </c>
      <c r="C473">
        <v>1200</v>
      </c>
      <c r="D473" s="9">
        <v>43578</v>
      </c>
      <c r="E473" t="s">
        <v>296</v>
      </c>
      <c r="I473" s="9"/>
    </row>
    <row r="474" spans="1:9" x14ac:dyDescent="0.25">
      <c r="A474">
        <v>137300</v>
      </c>
      <c r="B474">
        <v>0.59</v>
      </c>
      <c r="C474">
        <v>1200</v>
      </c>
      <c r="D474" s="9">
        <v>43486</v>
      </c>
      <c r="E474" t="s">
        <v>296</v>
      </c>
      <c r="I474" s="9"/>
    </row>
    <row r="475" spans="1:9" x14ac:dyDescent="0.25">
      <c r="A475">
        <v>137300</v>
      </c>
      <c r="B475">
        <v>0.59</v>
      </c>
      <c r="C475">
        <v>840</v>
      </c>
      <c r="D475" s="9">
        <v>43350</v>
      </c>
      <c r="E475" t="s">
        <v>296</v>
      </c>
      <c r="I475" s="9"/>
    </row>
    <row r="476" spans="1:9" x14ac:dyDescent="0.25">
      <c r="A476">
        <v>137300</v>
      </c>
      <c r="B476">
        <v>0.59</v>
      </c>
      <c r="C476">
        <v>840</v>
      </c>
      <c r="D476" s="9">
        <v>43270</v>
      </c>
      <c r="E476" t="s">
        <v>296</v>
      </c>
      <c r="I476" s="9"/>
    </row>
    <row r="477" spans="1:9" x14ac:dyDescent="0.25">
      <c r="A477">
        <v>137300</v>
      </c>
      <c r="B477">
        <v>2.11</v>
      </c>
      <c r="C477">
        <v>1440</v>
      </c>
      <c r="D477" s="9">
        <v>43234</v>
      </c>
      <c r="E477" t="s">
        <v>295</v>
      </c>
      <c r="I477" s="9"/>
    </row>
    <row r="478" spans="1:9" x14ac:dyDescent="0.25">
      <c r="A478">
        <v>137300</v>
      </c>
      <c r="B478">
        <v>0.56000000000000005</v>
      </c>
      <c r="C478">
        <v>1440</v>
      </c>
      <c r="D478" s="9">
        <v>43049</v>
      </c>
      <c r="E478" t="s">
        <v>296</v>
      </c>
      <c r="I478" s="9"/>
    </row>
    <row r="479" spans="1:9" x14ac:dyDescent="0.25">
      <c r="A479">
        <v>137300</v>
      </c>
      <c r="B479">
        <v>0.56000000000000005</v>
      </c>
      <c r="C479">
        <v>1440</v>
      </c>
      <c r="D479" s="9">
        <v>42892</v>
      </c>
      <c r="E479" t="s">
        <v>296</v>
      </c>
      <c r="I479" s="9"/>
    </row>
    <row r="480" spans="1:9" x14ac:dyDescent="0.25">
      <c r="A480">
        <v>137300</v>
      </c>
      <c r="B480">
        <v>0.55000000000000004</v>
      </c>
      <c r="C480">
        <v>1600</v>
      </c>
      <c r="D480" s="9">
        <v>42781</v>
      </c>
      <c r="E480" t="s">
        <v>296</v>
      </c>
      <c r="I480" s="9"/>
    </row>
    <row r="481" spans="1:9" x14ac:dyDescent="0.25">
      <c r="A481">
        <v>137300</v>
      </c>
      <c r="B481">
        <v>0.55000000000000004</v>
      </c>
      <c r="C481">
        <v>800</v>
      </c>
      <c r="D481" s="9">
        <v>42781</v>
      </c>
      <c r="E481" t="s">
        <v>296</v>
      </c>
      <c r="I481" s="9"/>
    </row>
    <row r="482" spans="1:9" x14ac:dyDescent="0.25">
      <c r="A482">
        <v>137300</v>
      </c>
      <c r="B482">
        <v>0.57999999999999996</v>
      </c>
      <c r="C482">
        <v>3000</v>
      </c>
      <c r="D482" s="9">
        <v>42380</v>
      </c>
      <c r="E482" t="s">
        <v>296</v>
      </c>
      <c r="I482" s="9"/>
    </row>
    <row r="483" spans="1:9" x14ac:dyDescent="0.25">
      <c r="A483">
        <v>137300</v>
      </c>
      <c r="B483">
        <v>0.57999999999999996</v>
      </c>
      <c r="C483">
        <v>1520</v>
      </c>
      <c r="D483" s="9">
        <v>41947</v>
      </c>
      <c r="E483" t="s">
        <v>296</v>
      </c>
      <c r="I483" s="9"/>
    </row>
    <row r="484" spans="1:9" x14ac:dyDescent="0.25">
      <c r="A484">
        <v>137300</v>
      </c>
      <c r="B484">
        <v>0.56000000000000005</v>
      </c>
      <c r="C484">
        <v>792</v>
      </c>
      <c r="D484" s="9">
        <v>41943</v>
      </c>
      <c r="E484" t="s">
        <v>296</v>
      </c>
      <c r="I484" s="9"/>
    </row>
    <row r="485" spans="1:9" x14ac:dyDescent="0.25">
      <c r="A485">
        <v>137300</v>
      </c>
      <c r="B485">
        <v>0.55000000000000004</v>
      </c>
      <c r="C485">
        <v>2080</v>
      </c>
      <c r="D485" s="9">
        <v>41618</v>
      </c>
      <c r="E485" t="s">
        <v>296</v>
      </c>
      <c r="I485" s="9"/>
    </row>
    <row r="486" spans="1:9" x14ac:dyDescent="0.25">
      <c r="A486">
        <v>137300</v>
      </c>
      <c r="B486">
        <v>0.65</v>
      </c>
      <c r="C486">
        <v>1000</v>
      </c>
      <c r="D486" s="9">
        <v>41281</v>
      </c>
      <c r="E486" t="s">
        <v>296</v>
      </c>
      <c r="I486" s="9"/>
    </row>
    <row r="487" spans="1:9" x14ac:dyDescent="0.25">
      <c r="A487">
        <v>137380</v>
      </c>
      <c r="B487">
        <v>1.1499999999999999</v>
      </c>
      <c r="C487">
        <v>240</v>
      </c>
      <c r="D487" s="9">
        <v>44005</v>
      </c>
      <c r="E487" t="s">
        <v>296</v>
      </c>
      <c r="I487" s="9"/>
    </row>
    <row r="488" spans="1:9" x14ac:dyDescent="0.25">
      <c r="A488">
        <v>137380</v>
      </c>
      <c r="B488">
        <v>1.1499999999999999</v>
      </c>
      <c r="C488">
        <v>400</v>
      </c>
      <c r="D488" s="9">
        <v>43578</v>
      </c>
      <c r="E488" t="s">
        <v>296</v>
      </c>
      <c r="I488" s="9"/>
    </row>
    <row r="489" spans="1:9" x14ac:dyDescent="0.25">
      <c r="A489">
        <v>137380</v>
      </c>
      <c r="B489">
        <v>4.2300000000000004</v>
      </c>
      <c r="C489">
        <v>400</v>
      </c>
      <c r="D489" s="9">
        <v>43234</v>
      </c>
      <c r="E489" t="s">
        <v>295</v>
      </c>
      <c r="I489" s="9"/>
    </row>
    <row r="490" spans="1:9" x14ac:dyDescent="0.25">
      <c r="A490">
        <v>137380</v>
      </c>
      <c r="B490">
        <v>1.1499999999999999</v>
      </c>
      <c r="C490">
        <v>400</v>
      </c>
      <c r="D490" s="9">
        <v>43049</v>
      </c>
      <c r="E490" t="s">
        <v>296</v>
      </c>
      <c r="I490" s="9"/>
    </row>
    <row r="491" spans="1:9" x14ac:dyDescent="0.25">
      <c r="A491">
        <v>137600</v>
      </c>
      <c r="B491">
        <v>1.23</v>
      </c>
      <c r="C491">
        <v>750</v>
      </c>
      <c r="D491" s="9">
        <v>44097</v>
      </c>
      <c r="E491" t="s">
        <v>296</v>
      </c>
      <c r="I491" s="9"/>
    </row>
    <row r="492" spans="1:9" x14ac:dyDescent="0.25">
      <c r="A492">
        <v>137600</v>
      </c>
      <c r="B492">
        <v>1.1499999999999999</v>
      </c>
      <c r="C492">
        <v>900</v>
      </c>
      <c r="D492" s="9">
        <v>44039</v>
      </c>
      <c r="E492" t="s">
        <v>296</v>
      </c>
      <c r="I492" s="9"/>
    </row>
    <row r="493" spans="1:9" x14ac:dyDescent="0.25">
      <c r="A493">
        <v>137600</v>
      </c>
      <c r="B493">
        <v>5.98</v>
      </c>
      <c r="C493">
        <v>100</v>
      </c>
      <c r="D493" s="9">
        <v>43768</v>
      </c>
      <c r="E493" t="s">
        <v>295</v>
      </c>
      <c r="I493" s="9"/>
    </row>
    <row r="494" spans="1:9" x14ac:dyDescent="0.25">
      <c r="A494">
        <v>137600</v>
      </c>
      <c r="B494">
        <v>1.1499999999999999</v>
      </c>
      <c r="C494">
        <v>1000</v>
      </c>
      <c r="D494" s="9">
        <v>43760</v>
      </c>
      <c r="E494" t="s">
        <v>296</v>
      </c>
      <c r="I494" s="9"/>
    </row>
    <row r="495" spans="1:9" x14ac:dyDescent="0.25">
      <c r="A495">
        <v>137600</v>
      </c>
      <c r="B495">
        <v>5.98</v>
      </c>
      <c r="C495">
        <v>240</v>
      </c>
      <c r="D495" s="9">
        <v>43745</v>
      </c>
      <c r="E495" t="s">
        <v>295</v>
      </c>
      <c r="I495" s="9"/>
    </row>
    <row r="496" spans="1:9" x14ac:dyDescent="0.25">
      <c r="A496">
        <v>137600</v>
      </c>
      <c r="B496">
        <v>1.1499999999999999</v>
      </c>
      <c r="C496">
        <v>1000</v>
      </c>
      <c r="D496" s="9">
        <v>43592</v>
      </c>
      <c r="E496" t="s">
        <v>296</v>
      </c>
      <c r="I496" s="9"/>
    </row>
    <row r="497" spans="1:9" x14ac:dyDescent="0.25">
      <c r="A497">
        <v>137600</v>
      </c>
      <c r="B497">
        <v>1.17</v>
      </c>
      <c r="C497">
        <v>1000</v>
      </c>
      <c r="D497" s="9">
        <v>43438</v>
      </c>
      <c r="E497" t="s">
        <v>296</v>
      </c>
      <c r="I497" s="9"/>
    </row>
    <row r="498" spans="1:9" x14ac:dyDescent="0.25">
      <c r="A498">
        <v>137600</v>
      </c>
      <c r="B498">
        <v>5.03</v>
      </c>
      <c r="C498">
        <v>1000</v>
      </c>
      <c r="D498" s="9">
        <v>43298</v>
      </c>
      <c r="E498" t="s">
        <v>295</v>
      </c>
      <c r="I498" s="9"/>
    </row>
    <row r="499" spans="1:9" x14ac:dyDescent="0.25">
      <c r="A499">
        <v>137600</v>
      </c>
      <c r="B499">
        <v>1.21</v>
      </c>
      <c r="C499">
        <v>1000</v>
      </c>
      <c r="D499" s="9">
        <v>43264</v>
      </c>
      <c r="E499" t="s">
        <v>296</v>
      </c>
      <c r="I499" s="9"/>
    </row>
    <row r="500" spans="1:9" x14ac:dyDescent="0.25">
      <c r="A500">
        <v>137600</v>
      </c>
      <c r="B500">
        <v>1.1599999999999999</v>
      </c>
      <c r="C500">
        <v>1000</v>
      </c>
      <c r="D500" s="9">
        <v>43063</v>
      </c>
      <c r="E500" t="s">
        <v>296</v>
      </c>
      <c r="I500" s="9"/>
    </row>
    <row r="501" spans="1:9" x14ac:dyDescent="0.25">
      <c r="A501">
        <v>137600</v>
      </c>
      <c r="B501">
        <v>1.1599999999999999</v>
      </c>
      <c r="C501">
        <v>1000</v>
      </c>
      <c r="D501" s="9">
        <v>42912</v>
      </c>
      <c r="E501" t="s">
        <v>296</v>
      </c>
      <c r="I501" s="9"/>
    </row>
    <row r="502" spans="1:9" x14ac:dyDescent="0.25">
      <c r="A502">
        <v>137600</v>
      </c>
      <c r="B502">
        <v>1.1000000000000001</v>
      </c>
      <c r="C502">
        <v>1000</v>
      </c>
      <c r="D502" s="9">
        <v>42781</v>
      </c>
      <c r="E502" t="s">
        <v>296</v>
      </c>
      <c r="I502" s="9"/>
    </row>
    <row r="503" spans="1:9" x14ac:dyDescent="0.25">
      <c r="A503">
        <v>137600</v>
      </c>
      <c r="B503">
        <v>1.1499999999999999</v>
      </c>
      <c r="C503">
        <v>2000</v>
      </c>
      <c r="D503" s="9">
        <v>42380</v>
      </c>
      <c r="E503" t="s">
        <v>296</v>
      </c>
      <c r="I503" s="9"/>
    </row>
    <row r="504" spans="1:9" x14ac:dyDescent="0.25">
      <c r="A504">
        <v>137600</v>
      </c>
      <c r="B504">
        <v>1.1000000000000001</v>
      </c>
      <c r="C504">
        <v>1000</v>
      </c>
      <c r="D504" s="9">
        <v>42207</v>
      </c>
      <c r="E504" t="s">
        <v>296</v>
      </c>
      <c r="I504" s="9"/>
    </row>
    <row r="505" spans="1:9" x14ac:dyDescent="0.25">
      <c r="A505">
        <v>137600</v>
      </c>
      <c r="B505">
        <v>1.17</v>
      </c>
      <c r="C505">
        <v>1180</v>
      </c>
      <c r="D505" s="9">
        <v>41947</v>
      </c>
      <c r="E505" t="s">
        <v>296</v>
      </c>
      <c r="I505" s="9"/>
    </row>
    <row r="506" spans="1:9" x14ac:dyDescent="0.25">
      <c r="A506">
        <v>137600</v>
      </c>
      <c r="B506">
        <v>1.1499999999999999</v>
      </c>
      <c r="C506">
        <v>1280</v>
      </c>
      <c r="D506" s="9">
        <v>41947</v>
      </c>
      <c r="E506" t="s">
        <v>296</v>
      </c>
      <c r="I506" s="9"/>
    </row>
    <row r="507" spans="1:9" x14ac:dyDescent="0.25">
      <c r="A507">
        <v>137600</v>
      </c>
      <c r="B507">
        <v>1.1000000000000001</v>
      </c>
      <c r="C507">
        <v>1860</v>
      </c>
      <c r="D507" s="9">
        <v>41618</v>
      </c>
      <c r="E507" t="s">
        <v>296</v>
      </c>
      <c r="I507" s="9"/>
    </row>
    <row r="508" spans="1:9" x14ac:dyDescent="0.25">
      <c r="A508">
        <v>137600</v>
      </c>
      <c r="B508">
        <v>1.25</v>
      </c>
      <c r="C508">
        <v>600</v>
      </c>
      <c r="D508" s="9">
        <v>41592</v>
      </c>
      <c r="E508" t="s">
        <v>296</v>
      </c>
      <c r="I508" s="9"/>
    </row>
    <row r="509" spans="1:9" x14ac:dyDescent="0.25">
      <c r="A509">
        <v>137600</v>
      </c>
      <c r="B509">
        <v>1.2749999999999999</v>
      </c>
      <c r="C509">
        <v>1000</v>
      </c>
      <c r="D509" s="9">
        <v>41281</v>
      </c>
      <c r="E509" t="s">
        <v>296</v>
      </c>
      <c r="I509" s="9"/>
    </row>
    <row r="510" spans="1:9" x14ac:dyDescent="0.25">
      <c r="A510">
        <v>137618</v>
      </c>
      <c r="B510">
        <v>2</v>
      </c>
      <c r="C510">
        <v>204</v>
      </c>
      <c r="D510" s="9">
        <v>44005</v>
      </c>
      <c r="E510" t="s">
        <v>296</v>
      </c>
      <c r="I510" s="9"/>
    </row>
    <row r="511" spans="1:9" x14ac:dyDescent="0.25">
      <c r="A511">
        <v>140060</v>
      </c>
      <c r="B511">
        <v>1.06</v>
      </c>
      <c r="C511">
        <v>960</v>
      </c>
      <c r="D511" s="9">
        <v>44091</v>
      </c>
      <c r="E511" t="s">
        <v>296</v>
      </c>
      <c r="I511" s="9"/>
    </row>
    <row r="512" spans="1:9" x14ac:dyDescent="0.25">
      <c r="A512">
        <v>140060</v>
      </c>
      <c r="B512">
        <v>0.85599999999999998</v>
      </c>
      <c r="C512">
        <v>960</v>
      </c>
      <c r="D512" s="9">
        <v>43608</v>
      </c>
      <c r="E512" t="s">
        <v>296</v>
      </c>
      <c r="I512" s="9"/>
    </row>
    <row r="513" spans="1:9" x14ac:dyDescent="0.25">
      <c r="A513">
        <v>140060</v>
      </c>
      <c r="B513">
        <v>0.85599999999999998</v>
      </c>
      <c r="C513">
        <v>960</v>
      </c>
      <c r="D513" s="9">
        <v>43340</v>
      </c>
      <c r="E513" t="s">
        <v>296</v>
      </c>
      <c r="I513" s="9"/>
    </row>
    <row r="514" spans="1:9" x14ac:dyDescent="0.25">
      <c r="A514">
        <v>140060</v>
      </c>
      <c r="B514">
        <v>0.91</v>
      </c>
      <c r="C514">
        <v>1320</v>
      </c>
      <c r="D514" s="9">
        <v>42719</v>
      </c>
      <c r="E514" t="s">
        <v>296</v>
      </c>
      <c r="I514" s="9"/>
    </row>
    <row r="515" spans="1:9" x14ac:dyDescent="0.25">
      <c r="A515">
        <v>140060</v>
      </c>
      <c r="B515">
        <v>0.94099999999999995</v>
      </c>
      <c r="C515">
        <v>1152</v>
      </c>
      <c r="D515" s="9">
        <v>41961</v>
      </c>
      <c r="E515" t="s">
        <v>296</v>
      </c>
      <c r="I515" s="9"/>
    </row>
    <row r="516" spans="1:9" x14ac:dyDescent="0.25">
      <c r="A516">
        <v>140060</v>
      </c>
      <c r="B516">
        <v>3.13</v>
      </c>
      <c r="C516">
        <v>1152</v>
      </c>
      <c r="D516" s="9">
        <v>41957</v>
      </c>
      <c r="E516" t="s">
        <v>295</v>
      </c>
      <c r="I516" s="9"/>
    </row>
    <row r="517" spans="1:9" x14ac:dyDescent="0.25">
      <c r="A517">
        <v>140060</v>
      </c>
      <c r="B517">
        <v>0.94099999999999995</v>
      </c>
      <c r="C517">
        <v>1152</v>
      </c>
      <c r="D517" s="9">
        <v>41912</v>
      </c>
      <c r="E517" t="s">
        <v>296</v>
      </c>
      <c r="I517" s="9"/>
    </row>
    <row r="518" spans="1:9" x14ac:dyDescent="0.25">
      <c r="A518">
        <v>140060</v>
      </c>
      <c r="B518">
        <v>2.89</v>
      </c>
      <c r="C518">
        <v>1440</v>
      </c>
      <c r="D518" s="9">
        <v>41821</v>
      </c>
      <c r="E518" t="s">
        <v>295</v>
      </c>
      <c r="I518" s="9"/>
    </row>
    <row r="519" spans="1:9" x14ac:dyDescent="0.25">
      <c r="A519">
        <v>140060</v>
      </c>
      <c r="B519">
        <v>0.94099999999999995</v>
      </c>
      <c r="C519">
        <v>1440</v>
      </c>
      <c r="D519" s="9">
        <v>41821</v>
      </c>
      <c r="E519" t="s">
        <v>296</v>
      </c>
      <c r="I519" s="9"/>
    </row>
    <row r="520" spans="1:9" x14ac:dyDescent="0.25">
      <c r="A520">
        <v>140060</v>
      </c>
      <c r="B520">
        <v>0.94099999999999995</v>
      </c>
      <c r="C520">
        <v>1008</v>
      </c>
      <c r="D520" s="9">
        <v>41744</v>
      </c>
      <c r="E520" t="s">
        <v>296</v>
      </c>
      <c r="I520" s="9"/>
    </row>
    <row r="521" spans="1:9" x14ac:dyDescent="0.25">
      <c r="A521">
        <v>140060</v>
      </c>
      <c r="B521">
        <v>0.94099999999999995</v>
      </c>
      <c r="C521">
        <v>1584</v>
      </c>
      <c r="D521" s="9">
        <v>41418</v>
      </c>
      <c r="E521" t="s">
        <v>296</v>
      </c>
      <c r="I521" s="9"/>
    </row>
    <row r="522" spans="1:9" x14ac:dyDescent="0.25">
      <c r="A522">
        <v>140060</v>
      </c>
      <c r="B522">
        <v>0.94099999999999995</v>
      </c>
      <c r="C522">
        <v>1584</v>
      </c>
      <c r="D522" s="9">
        <v>41295</v>
      </c>
      <c r="E522" t="s">
        <v>296</v>
      </c>
      <c r="I522" s="9"/>
    </row>
    <row r="523" spans="1:9" x14ac:dyDescent="0.25">
      <c r="A523">
        <v>140062</v>
      </c>
      <c r="B523">
        <v>1.04</v>
      </c>
      <c r="C523">
        <v>360</v>
      </c>
      <c r="D523" s="9">
        <v>44005</v>
      </c>
      <c r="E523" t="s">
        <v>296</v>
      </c>
      <c r="I523" s="9"/>
    </row>
    <row r="524" spans="1:9" x14ac:dyDescent="0.25">
      <c r="A524">
        <v>140070</v>
      </c>
      <c r="B524">
        <v>1.17</v>
      </c>
      <c r="C524">
        <v>960</v>
      </c>
      <c r="D524" s="9">
        <v>43972</v>
      </c>
      <c r="E524" t="s">
        <v>296</v>
      </c>
      <c r="I524" s="9"/>
    </row>
    <row r="525" spans="1:9" x14ac:dyDescent="0.25">
      <c r="A525">
        <v>140070</v>
      </c>
      <c r="B525">
        <v>1.0129999999999999</v>
      </c>
      <c r="C525">
        <v>720</v>
      </c>
      <c r="D525" s="9">
        <v>43608</v>
      </c>
      <c r="E525" t="s">
        <v>296</v>
      </c>
      <c r="I525" s="9"/>
    </row>
    <row r="526" spans="1:9" x14ac:dyDescent="0.25">
      <c r="A526">
        <v>140070</v>
      </c>
      <c r="B526">
        <v>0.93799999999999994</v>
      </c>
      <c r="C526">
        <v>720</v>
      </c>
      <c r="D526" s="9">
        <v>43340</v>
      </c>
      <c r="E526" t="s">
        <v>296</v>
      </c>
      <c r="I526" s="9"/>
    </row>
    <row r="527" spans="1:9" x14ac:dyDescent="0.25">
      <c r="A527">
        <v>140070</v>
      </c>
      <c r="B527">
        <v>1.0900000000000001</v>
      </c>
      <c r="C527">
        <v>960</v>
      </c>
      <c r="D527" s="9">
        <v>43017</v>
      </c>
      <c r="E527" t="s">
        <v>296</v>
      </c>
      <c r="I527" s="9"/>
    </row>
    <row r="528" spans="1:9" x14ac:dyDescent="0.25">
      <c r="A528">
        <v>140070</v>
      </c>
      <c r="B528">
        <v>1.03</v>
      </c>
      <c r="C528">
        <v>960</v>
      </c>
      <c r="D528" s="9">
        <v>42853</v>
      </c>
      <c r="E528" t="s">
        <v>296</v>
      </c>
      <c r="I528" s="9"/>
    </row>
    <row r="529" spans="1:9" x14ac:dyDescent="0.25">
      <c r="A529">
        <v>140070</v>
      </c>
      <c r="B529">
        <v>0.98</v>
      </c>
      <c r="C529">
        <v>720</v>
      </c>
      <c r="D529" s="9">
        <v>42698</v>
      </c>
      <c r="E529" t="s">
        <v>296</v>
      </c>
      <c r="I529" s="9"/>
    </row>
    <row r="530" spans="1:9" x14ac:dyDescent="0.25">
      <c r="A530">
        <v>140070</v>
      </c>
      <c r="B530">
        <v>0.98</v>
      </c>
      <c r="C530">
        <v>1500</v>
      </c>
      <c r="D530" s="9">
        <v>42617</v>
      </c>
      <c r="E530" t="s">
        <v>296</v>
      </c>
      <c r="I530" s="9"/>
    </row>
    <row r="531" spans="1:9" x14ac:dyDescent="0.25">
      <c r="A531">
        <v>140070</v>
      </c>
      <c r="B531">
        <v>0.98</v>
      </c>
      <c r="C531">
        <v>720</v>
      </c>
      <c r="D531" s="9">
        <v>42383</v>
      </c>
      <c r="E531" t="s">
        <v>296</v>
      </c>
      <c r="I531" s="9"/>
    </row>
    <row r="532" spans="1:9" x14ac:dyDescent="0.25">
      <c r="A532">
        <v>140070</v>
      </c>
      <c r="B532">
        <v>1.1359999999999999</v>
      </c>
      <c r="C532">
        <v>1200</v>
      </c>
      <c r="D532" s="9">
        <v>41961</v>
      </c>
      <c r="E532" t="s">
        <v>296</v>
      </c>
      <c r="I532" s="9"/>
    </row>
    <row r="533" spans="1:9" x14ac:dyDescent="0.25">
      <c r="A533">
        <v>140070</v>
      </c>
      <c r="B533">
        <v>1.1359999999999999</v>
      </c>
      <c r="C533">
        <v>1200</v>
      </c>
      <c r="D533" s="9">
        <v>41912</v>
      </c>
      <c r="E533" t="s">
        <v>296</v>
      </c>
      <c r="I533" s="9"/>
    </row>
    <row r="534" spans="1:9" x14ac:dyDescent="0.25">
      <c r="A534">
        <v>140070</v>
      </c>
      <c r="B534">
        <v>3.49</v>
      </c>
      <c r="C534">
        <v>1200</v>
      </c>
      <c r="D534" s="9">
        <v>41821</v>
      </c>
      <c r="E534" t="s">
        <v>295</v>
      </c>
      <c r="I534" s="9"/>
    </row>
    <row r="535" spans="1:9" x14ac:dyDescent="0.25">
      <c r="A535">
        <v>140070</v>
      </c>
      <c r="B535">
        <v>1.1359999999999999</v>
      </c>
      <c r="C535">
        <v>1200</v>
      </c>
      <c r="D535" s="9">
        <v>41821</v>
      </c>
      <c r="E535" t="s">
        <v>296</v>
      </c>
      <c r="I535" s="9"/>
    </row>
    <row r="536" spans="1:9" x14ac:dyDescent="0.25">
      <c r="A536">
        <v>140070</v>
      </c>
      <c r="B536">
        <v>1.1359999999999999</v>
      </c>
      <c r="C536">
        <v>1320</v>
      </c>
      <c r="D536" s="9">
        <v>41744</v>
      </c>
      <c r="E536" t="s">
        <v>296</v>
      </c>
      <c r="I536" s="9"/>
    </row>
    <row r="537" spans="1:9" x14ac:dyDescent="0.25">
      <c r="A537">
        <v>140070</v>
      </c>
      <c r="B537">
        <v>1.1359999999999999</v>
      </c>
      <c r="C537">
        <v>1440</v>
      </c>
      <c r="D537" s="9">
        <v>41418</v>
      </c>
      <c r="E537" t="s">
        <v>296</v>
      </c>
      <c r="I537" s="9"/>
    </row>
    <row r="538" spans="1:9" x14ac:dyDescent="0.25">
      <c r="A538">
        <v>140070</v>
      </c>
      <c r="B538">
        <v>1.1359999999999999</v>
      </c>
      <c r="C538">
        <v>1800</v>
      </c>
      <c r="D538" s="9">
        <v>41295</v>
      </c>
      <c r="E538" t="s">
        <v>296</v>
      </c>
      <c r="I538" s="9"/>
    </row>
    <row r="539" spans="1:9" x14ac:dyDescent="0.25">
      <c r="A539">
        <v>140072</v>
      </c>
      <c r="B539">
        <v>1.07</v>
      </c>
      <c r="C539">
        <v>360</v>
      </c>
      <c r="D539" s="9">
        <v>44005</v>
      </c>
      <c r="E539" t="s">
        <v>296</v>
      </c>
      <c r="I539" s="9"/>
    </row>
    <row r="540" spans="1:9" x14ac:dyDescent="0.25">
      <c r="A540">
        <v>140080</v>
      </c>
      <c r="B540">
        <v>1.3</v>
      </c>
      <c r="C540">
        <v>960</v>
      </c>
      <c r="D540" s="9">
        <v>44091</v>
      </c>
      <c r="E540" t="s">
        <v>296</v>
      </c>
      <c r="I540" s="9"/>
    </row>
    <row r="541" spans="1:9" x14ac:dyDescent="0.25">
      <c r="A541">
        <v>140080</v>
      </c>
      <c r="B541">
        <v>1.27</v>
      </c>
      <c r="C541">
        <v>960</v>
      </c>
      <c r="D541" s="9">
        <v>43972</v>
      </c>
      <c r="E541" t="s">
        <v>296</v>
      </c>
      <c r="I541" s="9"/>
    </row>
    <row r="542" spans="1:9" x14ac:dyDescent="0.25">
      <c r="A542">
        <v>140080</v>
      </c>
      <c r="B542">
        <v>1.27</v>
      </c>
      <c r="C542">
        <v>960</v>
      </c>
      <c r="D542" s="9">
        <v>43803</v>
      </c>
      <c r="E542" t="s">
        <v>296</v>
      </c>
      <c r="I542" s="9"/>
    </row>
    <row r="543" spans="1:9" x14ac:dyDescent="0.25">
      <c r="A543">
        <v>140080</v>
      </c>
      <c r="B543">
        <v>1.08</v>
      </c>
      <c r="C543">
        <v>960</v>
      </c>
      <c r="D543" s="9">
        <v>43608</v>
      </c>
      <c r="E543" t="s">
        <v>296</v>
      </c>
      <c r="I543" s="9"/>
    </row>
    <row r="544" spans="1:9" x14ac:dyDescent="0.25">
      <c r="A544">
        <v>140080</v>
      </c>
      <c r="B544">
        <v>1</v>
      </c>
      <c r="C544">
        <v>960</v>
      </c>
      <c r="D544" s="9">
        <v>43340</v>
      </c>
      <c r="E544" t="s">
        <v>296</v>
      </c>
      <c r="I544" s="9"/>
    </row>
    <row r="545" spans="1:9" x14ac:dyDescent="0.25">
      <c r="A545">
        <v>140080</v>
      </c>
      <c r="B545">
        <v>1.1000000000000001</v>
      </c>
      <c r="C545">
        <v>1200</v>
      </c>
      <c r="D545" s="9">
        <v>43017</v>
      </c>
      <c r="E545" t="s">
        <v>296</v>
      </c>
      <c r="I545" s="9"/>
    </row>
    <row r="546" spans="1:9" x14ac:dyDescent="0.25">
      <c r="A546">
        <v>140080</v>
      </c>
      <c r="B546">
        <v>1.1200000000000001</v>
      </c>
      <c r="C546">
        <v>1200</v>
      </c>
      <c r="D546" s="9">
        <v>42912</v>
      </c>
      <c r="E546" t="s">
        <v>296</v>
      </c>
      <c r="I546" s="9"/>
    </row>
    <row r="547" spans="1:9" x14ac:dyDescent="0.25">
      <c r="A547">
        <v>140080</v>
      </c>
      <c r="B547">
        <v>1.02</v>
      </c>
      <c r="C547">
        <v>1080</v>
      </c>
      <c r="D547" s="9">
        <v>42719</v>
      </c>
      <c r="E547" t="s">
        <v>296</v>
      </c>
      <c r="I547" s="9"/>
    </row>
    <row r="548" spans="1:9" x14ac:dyDescent="0.25">
      <c r="A548">
        <v>140080</v>
      </c>
      <c r="B548">
        <v>1.02</v>
      </c>
      <c r="C548">
        <v>720</v>
      </c>
      <c r="D548" s="9">
        <v>42698</v>
      </c>
      <c r="E548" t="s">
        <v>296</v>
      </c>
      <c r="I548" s="9"/>
    </row>
    <row r="549" spans="1:9" x14ac:dyDescent="0.25">
      <c r="A549">
        <v>140080</v>
      </c>
      <c r="B549">
        <v>1.02</v>
      </c>
      <c r="C549">
        <v>1080</v>
      </c>
      <c r="D549" s="9">
        <v>42530</v>
      </c>
      <c r="E549" t="s">
        <v>296</v>
      </c>
      <c r="I549" s="9"/>
    </row>
    <row r="550" spans="1:9" x14ac:dyDescent="0.25">
      <c r="A550">
        <v>140080</v>
      </c>
      <c r="B550">
        <v>1.02</v>
      </c>
      <c r="C550">
        <v>1020</v>
      </c>
      <c r="D550" s="9">
        <v>42383</v>
      </c>
      <c r="E550" t="s">
        <v>296</v>
      </c>
      <c r="I550" s="9"/>
    </row>
    <row r="551" spans="1:9" x14ac:dyDescent="0.25">
      <c r="A551">
        <v>140080</v>
      </c>
      <c r="B551">
        <v>1.228</v>
      </c>
      <c r="C551">
        <v>1152</v>
      </c>
      <c r="D551" s="9">
        <v>41961</v>
      </c>
      <c r="E551" t="s">
        <v>296</v>
      </c>
      <c r="I551" s="9"/>
    </row>
    <row r="552" spans="1:9" x14ac:dyDescent="0.25">
      <c r="A552">
        <v>140080</v>
      </c>
      <c r="B552">
        <v>4.09</v>
      </c>
      <c r="C552">
        <v>1152</v>
      </c>
      <c r="D552" s="9">
        <v>41957</v>
      </c>
      <c r="E552" t="s">
        <v>295</v>
      </c>
      <c r="I552" s="9"/>
    </row>
    <row r="553" spans="1:9" x14ac:dyDescent="0.25">
      <c r="A553">
        <v>140080</v>
      </c>
      <c r="B553">
        <v>1.228</v>
      </c>
      <c r="C553">
        <v>1152</v>
      </c>
      <c r="D553" s="9">
        <v>41912</v>
      </c>
      <c r="E553" t="s">
        <v>296</v>
      </c>
      <c r="I553" s="9"/>
    </row>
    <row r="554" spans="1:9" x14ac:dyDescent="0.25">
      <c r="A554">
        <v>140080</v>
      </c>
      <c r="B554">
        <v>3.77</v>
      </c>
      <c r="C554">
        <v>1296</v>
      </c>
      <c r="D554" s="9">
        <v>41821</v>
      </c>
      <c r="E554" t="s">
        <v>295</v>
      </c>
      <c r="I554" s="9"/>
    </row>
    <row r="555" spans="1:9" x14ac:dyDescent="0.25">
      <c r="A555">
        <v>140080</v>
      </c>
      <c r="B555">
        <v>1.228</v>
      </c>
      <c r="C555">
        <v>1296</v>
      </c>
      <c r="D555" s="9">
        <v>41821</v>
      </c>
      <c r="E555" t="s">
        <v>296</v>
      </c>
      <c r="I555" s="9"/>
    </row>
    <row r="556" spans="1:9" x14ac:dyDescent="0.25">
      <c r="A556">
        <v>140080</v>
      </c>
      <c r="B556">
        <v>1.228</v>
      </c>
      <c r="C556">
        <v>1296</v>
      </c>
      <c r="D556" s="9">
        <v>41744</v>
      </c>
      <c r="E556" t="s">
        <v>296</v>
      </c>
      <c r="I556" s="9"/>
    </row>
    <row r="557" spans="1:9" x14ac:dyDescent="0.25">
      <c r="A557">
        <v>140080</v>
      </c>
      <c r="B557">
        <v>1.228</v>
      </c>
      <c r="C557">
        <v>1728</v>
      </c>
      <c r="D557" s="9">
        <v>41418</v>
      </c>
      <c r="E557" t="s">
        <v>296</v>
      </c>
      <c r="I557" s="9"/>
    </row>
    <row r="558" spans="1:9" x14ac:dyDescent="0.25">
      <c r="A558">
        <v>140080</v>
      </c>
      <c r="B558">
        <v>1.228</v>
      </c>
      <c r="C558">
        <v>1728</v>
      </c>
      <c r="D558" s="9">
        <v>41295</v>
      </c>
      <c r="E558" t="s">
        <v>296</v>
      </c>
      <c r="I558" s="9"/>
    </row>
    <row r="559" spans="1:9" x14ac:dyDescent="0.25">
      <c r="A559">
        <v>140082</v>
      </c>
      <c r="B559">
        <v>1.1200000000000001</v>
      </c>
      <c r="C559">
        <v>360</v>
      </c>
      <c r="D559" s="9">
        <v>44005</v>
      </c>
      <c r="E559" t="s">
        <v>296</v>
      </c>
      <c r="I559" s="9"/>
    </row>
    <row r="560" spans="1:9" x14ac:dyDescent="0.25">
      <c r="A560">
        <v>140160</v>
      </c>
      <c r="B560">
        <v>1.08</v>
      </c>
      <c r="C560">
        <v>1200</v>
      </c>
      <c r="D560" s="9">
        <v>44117</v>
      </c>
      <c r="E560" t="s">
        <v>296</v>
      </c>
      <c r="I560" s="9"/>
    </row>
    <row r="561" spans="1:9" x14ac:dyDescent="0.25">
      <c r="A561">
        <v>140160</v>
      </c>
      <c r="B561">
        <v>1.05</v>
      </c>
      <c r="C561">
        <v>1200</v>
      </c>
      <c r="D561" s="9">
        <v>43803</v>
      </c>
      <c r="E561" t="s">
        <v>296</v>
      </c>
      <c r="I561" s="9"/>
    </row>
    <row r="562" spans="1:9" x14ac:dyDescent="0.25">
      <c r="A562">
        <v>140160</v>
      </c>
      <c r="B562">
        <v>0.99399999999999999</v>
      </c>
      <c r="C562">
        <v>960</v>
      </c>
      <c r="D562" s="9">
        <v>43608</v>
      </c>
      <c r="E562" t="s">
        <v>296</v>
      </c>
      <c r="I562" s="9"/>
    </row>
    <row r="563" spans="1:9" x14ac:dyDescent="0.25">
      <c r="A563">
        <v>140160</v>
      </c>
      <c r="B563">
        <v>0.92</v>
      </c>
      <c r="C563">
        <v>960</v>
      </c>
      <c r="D563" s="9">
        <v>43340</v>
      </c>
      <c r="E563" t="s">
        <v>296</v>
      </c>
      <c r="I563" s="9"/>
    </row>
    <row r="564" spans="1:9" x14ac:dyDescent="0.25">
      <c r="A564">
        <v>140160</v>
      </c>
      <c r="B564">
        <v>0.96</v>
      </c>
      <c r="C564">
        <v>1200</v>
      </c>
      <c r="D564" s="9">
        <v>43017</v>
      </c>
      <c r="E564" t="s">
        <v>296</v>
      </c>
      <c r="I564" s="9"/>
    </row>
    <row r="565" spans="1:9" x14ac:dyDescent="0.25">
      <c r="A565">
        <v>140160</v>
      </c>
      <c r="B565">
        <v>0.92</v>
      </c>
      <c r="C565">
        <v>960</v>
      </c>
      <c r="D565" s="9">
        <v>42860</v>
      </c>
      <c r="E565" t="s">
        <v>296</v>
      </c>
      <c r="I565" s="9"/>
    </row>
    <row r="566" spans="1:9" x14ac:dyDescent="0.25">
      <c r="A566">
        <v>140160</v>
      </c>
      <c r="B566">
        <v>0.94</v>
      </c>
      <c r="C566">
        <v>1080</v>
      </c>
      <c r="D566" s="9">
        <v>42719</v>
      </c>
      <c r="E566" t="s">
        <v>296</v>
      </c>
      <c r="I566" s="9"/>
    </row>
    <row r="567" spans="1:9" x14ac:dyDescent="0.25">
      <c r="A567">
        <v>140160</v>
      </c>
      <c r="B567">
        <v>0.94</v>
      </c>
      <c r="C567">
        <v>720</v>
      </c>
      <c r="D567" s="9">
        <v>42698</v>
      </c>
      <c r="E567" t="s">
        <v>296</v>
      </c>
      <c r="I567" s="9"/>
    </row>
    <row r="568" spans="1:9" x14ac:dyDescent="0.25">
      <c r="A568">
        <v>140160</v>
      </c>
      <c r="B568">
        <v>0.94</v>
      </c>
      <c r="C568">
        <v>1320</v>
      </c>
      <c r="D568" s="9">
        <v>42510</v>
      </c>
      <c r="E568" t="s">
        <v>296</v>
      </c>
      <c r="I568" s="9"/>
    </row>
    <row r="569" spans="1:9" x14ac:dyDescent="0.25">
      <c r="A569">
        <v>140160</v>
      </c>
      <c r="B569">
        <v>1.0840000000000001</v>
      </c>
      <c r="C569">
        <v>1152</v>
      </c>
      <c r="D569" s="9">
        <v>41961</v>
      </c>
      <c r="E569" t="s">
        <v>296</v>
      </c>
      <c r="I569" s="9"/>
    </row>
    <row r="570" spans="1:9" x14ac:dyDescent="0.25">
      <c r="A570">
        <v>140160</v>
      </c>
      <c r="B570">
        <v>1.0840000000000001</v>
      </c>
      <c r="C570">
        <v>1152</v>
      </c>
      <c r="D570" s="9">
        <v>41912</v>
      </c>
      <c r="E570" t="s">
        <v>296</v>
      </c>
      <c r="I570" s="9"/>
    </row>
    <row r="571" spans="1:9" x14ac:dyDescent="0.25">
      <c r="A571">
        <v>140160</v>
      </c>
      <c r="B571">
        <v>3.33</v>
      </c>
      <c r="C571">
        <v>1152</v>
      </c>
      <c r="D571" s="9">
        <v>41821</v>
      </c>
      <c r="E571" t="s">
        <v>295</v>
      </c>
      <c r="I571" s="9"/>
    </row>
    <row r="572" spans="1:9" x14ac:dyDescent="0.25">
      <c r="A572">
        <v>140160</v>
      </c>
      <c r="B572">
        <v>1.0840000000000001</v>
      </c>
      <c r="C572">
        <v>1152</v>
      </c>
      <c r="D572" s="9">
        <v>41821</v>
      </c>
      <c r="E572" t="s">
        <v>296</v>
      </c>
      <c r="I572" s="9"/>
    </row>
    <row r="573" spans="1:9" x14ac:dyDescent="0.25">
      <c r="A573">
        <v>140160</v>
      </c>
      <c r="B573">
        <v>1.052</v>
      </c>
      <c r="C573">
        <v>1152</v>
      </c>
      <c r="D573" s="9">
        <v>41418</v>
      </c>
      <c r="E573" t="s">
        <v>296</v>
      </c>
      <c r="I573" s="9"/>
    </row>
    <row r="574" spans="1:9" x14ac:dyDescent="0.25">
      <c r="A574">
        <v>140160</v>
      </c>
      <c r="B574">
        <v>1.052</v>
      </c>
      <c r="C574">
        <v>1152</v>
      </c>
      <c r="D574" s="9">
        <v>41295</v>
      </c>
      <c r="E574" t="s">
        <v>296</v>
      </c>
      <c r="I574" s="9"/>
    </row>
    <row r="575" spans="1:9" x14ac:dyDescent="0.25">
      <c r="A575">
        <v>140170</v>
      </c>
      <c r="B575">
        <v>1.1339999999999999</v>
      </c>
      <c r="C575">
        <v>1080</v>
      </c>
      <c r="D575" s="9">
        <v>43608</v>
      </c>
      <c r="E575" t="s">
        <v>296</v>
      </c>
      <c r="I575" s="9"/>
    </row>
    <row r="576" spans="1:9" x14ac:dyDescent="0.25">
      <c r="A576">
        <v>140170</v>
      </c>
      <c r="B576">
        <v>1.05</v>
      </c>
      <c r="C576">
        <v>1200</v>
      </c>
      <c r="D576" s="9">
        <v>43340</v>
      </c>
      <c r="E576" t="s">
        <v>296</v>
      </c>
      <c r="I576" s="9"/>
    </row>
    <row r="577" spans="1:9" x14ac:dyDescent="0.25">
      <c r="A577">
        <v>140170</v>
      </c>
      <c r="B577">
        <v>1.05</v>
      </c>
      <c r="C577">
        <v>1200</v>
      </c>
      <c r="D577" s="9">
        <v>42860</v>
      </c>
      <c r="E577" t="s">
        <v>296</v>
      </c>
      <c r="I577" s="9"/>
    </row>
    <row r="578" spans="1:9" x14ac:dyDescent="0.25">
      <c r="A578">
        <v>140170</v>
      </c>
      <c r="B578">
        <v>1.06</v>
      </c>
      <c r="C578">
        <v>1200</v>
      </c>
      <c r="D578" s="9">
        <v>42719</v>
      </c>
      <c r="E578" t="s">
        <v>296</v>
      </c>
      <c r="I578" s="9"/>
    </row>
    <row r="579" spans="1:9" x14ac:dyDescent="0.25">
      <c r="A579">
        <v>140170</v>
      </c>
      <c r="B579">
        <v>1.06</v>
      </c>
      <c r="C579">
        <v>720</v>
      </c>
      <c r="D579" s="9">
        <v>42698</v>
      </c>
      <c r="E579" t="s">
        <v>296</v>
      </c>
      <c r="I579" s="9"/>
    </row>
    <row r="580" spans="1:9" x14ac:dyDescent="0.25">
      <c r="A580">
        <v>140170</v>
      </c>
      <c r="B580">
        <v>1.06</v>
      </c>
      <c r="C580">
        <v>1320</v>
      </c>
      <c r="D580" s="9">
        <v>42510</v>
      </c>
      <c r="E580" t="s">
        <v>296</v>
      </c>
      <c r="I580" s="9"/>
    </row>
    <row r="581" spans="1:9" x14ac:dyDescent="0.25">
      <c r="A581">
        <v>140170</v>
      </c>
      <c r="B581">
        <v>1.1859999999999999</v>
      </c>
      <c r="C581">
        <v>1152</v>
      </c>
      <c r="D581" s="9">
        <v>41961</v>
      </c>
      <c r="E581" t="s">
        <v>296</v>
      </c>
      <c r="I581" s="9"/>
    </row>
    <row r="582" spans="1:9" x14ac:dyDescent="0.25">
      <c r="A582">
        <v>140170</v>
      </c>
      <c r="B582">
        <v>1.1859999999999999</v>
      </c>
      <c r="C582">
        <v>1152</v>
      </c>
      <c r="D582" s="9">
        <v>41912</v>
      </c>
      <c r="E582" t="s">
        <v>296</v>
      </c>
      <c r="I582" s="9"/>
    </row>
    <row r="583" spans="1:9" x14ac:dyDescent="0.25">
      <c r="A583">
        <v>140170</v>
      </c>
      <c r="B583">
        <v>5.3</v>
      </c>
      <c r="C583">
        <v>1</v>
      </c>
      <c r="D583" s="9">
        <v>41884</v>
      </c>
      <c r="E583" t="s">
        <v>295</v>
      </c>
      <c r="I583" s="9"/>
    </row>
    <row r="584" spans="1:9" x14ac:dyDescent="0.25">
      <c r="A584">
        <v>140170</v>
      </c>
      <c r="B584">
        <v>3.64</v>
      </c>
      <c r="C584">
        <v>1152</v>
      </c>
      <c r="D584" s="9">
        <v>41821</v>
      </c>
      <c r="E584" t="s">
        <v>295</v>
      </c>
      <c r="I584" s="9"/>
    </row>
    <row r="585" spans="1:9" x14ac:dyDescent="0.25">
      <c r="A585">
        <v>140170</v>
      </c>
      <c r="B585">
        <v>1.1859999999999999</v>
      </c>
      <c r="C585">
        <v>1152</v>
      </c>
      <c r="D585" s="9">
        <v>41821</v>
      </c>
      <c r="E585" t="s">
        <v>296</v>
      </c>
      <c r="I585" s="9"/>
    </row>
    <row r="586" spans="1:9" x14ac:dyDescent="0.25">
      <c r="A586">
        <v>140170</v>
      </c>
      <c r="B586">
        <v>1.151</v>
      </c>
      <c r="C586">
        <v>1152</v>
      </c>
      <c r="D586" s="9">
        <v>41418</v>
      </c>
      <c r="E586" t="s">
        <v>296</v>
      </c>
      <c r="I586" s="9"/>
    </row>
    <row r="587" spans="1:9" x14ac:dyDescent="0.25">
      <c r="A587">
        <v>140170</v>
      </c>
      <c r="B587">
        <v>1.151</v>
      </c>
      <c r="C587">
        <v>1152</v>
      </c>
      <c r="D587" s="9">
        <v>41295</v>
      </c>
      <c r="E587" t="s">
        <v>296</v>
      </c>
      <c r="I587" s="9"/>
    </row>
    <row r="588" spans="1:9" x14ac:dyDescent="0.25">
      <c r="A588">
        <v>141160</v>
      </c>
      <c r="B588">
        <v>0.93700000000000006</v>
      </c>
      <c r="C588">
        <v>960</v>
      </c>
      <c r="D588" s="9">
        <v>44070</v>
      </c>
      <c r="E588" t="s">
        <v>296</v>
      </c>
      <c r="I588" s="9"/>
    </row>
    <row r="589" spans="1:9" x14ac:dyDescent="0.25">
      <c r="A589">
        <v>141160</v>
      </c>
      <c r="B589">
        <v>1.02</v>
      </c>
      <c r="C589">
        <v>960</v>
      </c>
      <c r="D589" s="9">
        <v>43483</v>
      </c>
      <c r="E589" t="s">
        <v>296</v>
      </c>
      <c r="I589" s="9"/>
    </row>
    <row r="590" spans="1:9" x14ac:dyDescent="0.25">
      <c r="A590">
        <v>141160</v>
      </c>
      <c r="B590">
        <v>0.87</v>
      </c>
      <c r="C590">
        <v>960</v>
      </c>
      <c r="D590" s="9">
        <v>42781</v>
      </c>
      <c r="E590" t="s">
        <v>296</v>
      </c>
      <c r="I590" s="9"/>
    </row>
    <row r="591" spans="1:9" x14ac:dyDescent="0.25">
      <c r="A591">
        <v>141160</v>
      </c>
      <c r="B591">
        <v>2.75</v>
      </c>
      <c r="C591">
        <v>960</v>
      </c>
      <c r="D591" s="9">
        <v>41957</v>
      </c>
      <c r="E591" t="s">
        <v>295</v>
      </c>
      <c r="I591" s="9"/>
    </row>
    <row r="592" spans="1:9" x14ac:dyDescent="0.25">
      <c r="A592">
        <v>141160</v>
      </c>
      <c r="B592">
        <v>0.82599999999999996</v>
      </c>
      <c r="C592">
        <v>960</v>
      </c>
      <c r="D592" s="9">
        <v>41912</v>
      </c>
      <c r="E592" t="s">
        <v>296</v>
      </c>
      <c r="I592" s="9"/>
    </row>
    <row r="593" spans="1:9" x14ac:dyDescent="0.25">
      <c r="A593">
        <v>141160</v>
      </c>
      <c r="B593">
        <v>0.82599999999999996</v>
      </c>
      <c r="C593">
        <v>1152</v>
      </c>
      <c r="D593" s="9">
        <v>41295</v>
      </c>
      <c r="E593" t="s">
        <v>296</v>
      </c>
      <c r="I593" s="9"/>
    </row>
    <row r="594" spans="1:9" x14ac:dyDescent="0.25">
      <c r="A594">
        <v>141162</v>
      </c>
      <c r="B594">
        <v>0.9</v>
      </c>
      <c r="C594">
        <v>300</v>
      </c>
      <c r="D594" s="9">
        <v>44005</v>
      </c>
      <c r="E594" t="s">
        <v>296</v>
      </c>
      <c r="I594" s="9"/>
    </row>
    <row r="595" spans="1:9" x14ac:dyDescent="0.25">
      <c r="A595">
        <v>154060</v>
      </c>
      <c r="B595">
        <v>1</v>
      </c>
      <c r="C595">
        <v>960</v>
      </c>
      <c r="D595" s="9">
        <v>44070</v>
      </c>
      <c r="E595" t="s">
        <v>296</v>
      </c>
      <c r="I595" s="9"/>
    </row>
    <row r="596" spans="1:9" x14ac:dyDescent="0.25">
      <c r="A596">
        <v>154060</v>
      </c>
      <c r="B596">
        <v>1.07</v>
      </c>
      <c r="C596">
        <v>960</v>
      </c>
      <c r="D596" s="9">
        <v>43803</v>
      </c>
      <c r="E596" t="s">
        <v>296</v>
      </c>
      <c r="I596" s="9"/>
    </row>
    <row r="597" spans="1:9" x14ac:dyDescent="0.25">
      <c r="A597">
        <v>154060</v>
      </c>
      <c r="B597">
        <v>4.24</v>
      </c>
      <c r="C597">
        <v>960</v>
      </c>
      <c r="D597" s="9">
        <v>43298</v>
      </c>
      <c r="E597" t="s">
        <v>295</v>
      </c>
      <c r="I597" s="9"/>
    </row>
    <row r="598" spans="1:9" x14ac:dyDescent="0.25">
      <c r="A598">
        <v>154060</v>
      </c>
      <c r="B598">
        <v>1.07</v>
      </c>
      <c r="C598">
        <v>960</v>
      </c>
      <c r="D598" s="9">
        <v>43264</v>
      </c>
      <c r="E598" t="s">
        <v>296</v>
      </c>
      <c r="I598" s="9"/>
    </row>
    <row r="599" spans="1:9" x14ac:dyDescent="0.25">
      <c r="A599">
        <v>154060</v>
      </c>
      <c r="B599">
        <v>1.07</v>
      </c>
      <c r="C599">
        <v>1200</v>
      </c>
      <c r="D599" s="9">
        <v>42912</v>
      </c>
      <c r="E599" t="s">
        <v>296</v>
      </c>
      <c r="I599" s="9"/>
    </row>
    <row r="600" spans="1:9" x14ac:dyDescent="0.25">
      <c r="A600">
        <v>154060</v>
      </c>
      <c r="B600">
        <v>1.01</v>
      </c>
      <c r="C600">
        <v>1320</v>
      </c>
      <c r="D600" s="9">
        <v>42660</v>
      </c>
      <c r="E600" t="s">
        <v>296</v>
      </c>
      <c r="I600" s="9"/>
    </row>
    <row r="601" spans="1:9" x14ac:dyDescent="0.25">
      <c r="A601">
        <v>154060</v>
      </c>
      <c r="B601">
        <v>0.82199999999999995</v>
      </c>
      <c r="C601">
        <v>1152</v>
      </c>
      <c r="D601" s="9">
        <v>41961</v>
      </c>
      <c r="E601" t="s">
        <v>296</v>
      </c>
      <c r="I601" s="9"/>
    </row>
    <row r="602" spans="1:9" x14ac:dyDescent="0.25">
      <c r="A602">
        <v>154060</v>
      </c>
      <c r="B602">
        <v>0.82199999999999995</v>
      </c>
      <c r="C602">
        <v>1152</v>
      </c>
      <c r="D602" s="9">
        <v>41912</v>
      </c>
      <c r="E602" t="s">
        <v>296</v>
      </c>
      <c r="I602" s="9"/>
    </row>
    <row r="603" spans="1:9" x14ac:dyDescent="0.25">
      <c r="A603">
        <v>154060</v>
      </c>
      <c r="B603">
        <v>2.52</v>
      </c>
      <c r="C603">
        <v>1152</v>
      </c>
      <c r="D603" s="9">
        <v>41821</v>
      </c>
      <c r="E603" t="s">
        <v>295</v>
      </c>
      <c r="I603" s="9"/>
    </row>
    <row r="604" spans="1:9" x14ac:dyDescent="0.25">
      <c r="A604">
        <v>154060</v>
      </c>
      <c r="B604">
        <v>0.82199999999999995</v>
      </c>
      <c r="C604">
        <v>1152</v>
      </c>
      <c r="D604" s="9">
        <v>41821</v>
      </c>
      <c r="E604" t="s">
        <v>296</v>
      </c>
      <c r="I604" s="9"/>
    </row>
    <row r="605" spans="1:9" x14ac:dyDescent="0.25">
      <c r="A605">
        <v>154060</v>
      </c>
      <c r="B605">
        <v>0.82199999999999995</v>
      </c>
      <c r="C605">
        <v>1152</v>
      </c>
      <c r="D605" s="9">
        <v>41744</v>
      </c>
      <c r="E605" t="s">
        <v>296</v>
      </c>
      <c r="I605" s="9"/>
    </row>
    <row r="606" spans="1:9" x14ac:dyDescent="0.25">
      <c r="A606">
        <v>154060</v>
      </c>
      <c r="B606">
        <v>0.82199999999999995</v>
      </c>
      <c r="C606">
        <v>1440</v>
      </c>
      <c r="D606" s="9">
        <v>41418</v>
      </c>
      <c r="E606" t="s">
        <v>296</v>
      </c>
      <c r="I606" s="9"/>
    </row>
    <row r="607" spans="1:9" x14ac:dyDescent="0.25">
      <c r="A607">
        <v>154060</v>
      </c>
      <c r="B607">
        <v>0.82199999999999995</v>
      </c>
      <c r="C607">
        <v>1440</v>
      </c>
      <c r="D607" s="9">
        <v>41295</v>
      </c>
      <c r="E607" t="s">
        <v>296</v>
      </c>
      <c r="I607" s="9"/>
    </row>
    <row r="608" spans="1:9" x14ac:dyDescent="0.25">
      <c r="A608">
        <v>154062</v>
      </c>
      <c r="B608">
        <v>0.9</v>
      </c>
      <c r="C608">
        <v>360</v>
      </c>
      <c r="D608" s="9">
        <v>44005</v>
      </c>
      <c r="E608" t="s">
        <v>296</v>
      </c>
      <c r="I608" s="9"/>
    </row>
    <row r="609" spans="1:9" x14ac:dyDescent="0.25">
      <c r="A609">
        <v>154070</v>
      </c>
      <c r="B609">
        <v>1.07</v>
      </c>
      <c r="C609">
        <v>960</v>
      </c>
      <c r="D609" s="9">
        <v>43972</v>
      </c>
      <c r="E609" t="s">
        <v>296</v>
      </c>
      <c r="I609" s="9"/>
    </row>
    <row r="610" spans="1:9" x14ac:dyDescent="0.25">
      <c r="A610">
        <v>154070</v>
      </c>
      <c r="B610">
        <v>1.07</v>
      </c>
      <c r="C610">
        <v>960</v>
      </c>
      <c r="D610" s="9">
        <v>43600</v>
      </c>
      <c r="E610" t="s">
        <v>296</v>
      </c>
      <c r="I610" s="9"/>
    </row>
    <row r="611" spans="1:9" x14ac:dyDescent="0.25">
      <c r="A611">
        <v>154070</v>
      </c>
      <c r="B611">
        <v>1.07</v>
      </c>
      <c r="C611">
        <v>960</v>
      </c>
      <c r="D611" s="9">
        <v>43381</v>
      </c>
      <c r="E611" t="s">
        <v>296</v>
      </c>
      <c r="I611" s="9"/>
    </row>
    <row r="612" spans="1:9" x14ac:dyDescent="0.25">
      <c r="A612">
        <v>154070</v>
      </c>
      <c r="B612">
        <v>0.74</v>
      </c>
      <c r="C612">
        <v>720</v>
      </c>
      <c r="D612" s="9">
        <v>43244</v>
      </c>
      <c r="E612" t="s">
        <v>296</v>
      </c>
      <c r="I612" s="9"/>
    </row>
    <row r="613" spans="1:9" x14ac:dyDescent="0.25">
      <c r="A613">
        <v>154070</v>
      </c>
      <c r="B613">
        <v>1.04</v>
      </c>
      <c r="C613">
        <v>864</v>
      </c>
      <c r="D613" s="9">
        <v>42698</v>
      </c>
      <c r="E613" t="s">
        <v>296</v>
      </c>
      <c r="I613" s="9"/>
    </row>
    <row r="614" spans="1:9" x14ac:dyDescent="0.25">
      <c r="A614">
        <v>154070</v>
      </c>
      <c r="B614">
        <v>0.81399999999999995</v>
      </c>
      <c r="C614">
        <v>1152</v>
      </c>
      <c r="D614" s="9">
        <v>41961</v>
      </c>
      <c r="E614" t="s">
        <v>296</v>
      </c>
      <c r="I614" s="9"/>
    </row>
    <row r="615" spans="1:9" x14ac:dyDescent="0.25">
      <c r="A615">
        <v>154070</v>
      </c>
      <c r="B615">
        <v>0.81399999999999995</v>
      </c>
      <c r="C615">
        <v>1152</v>
      </c>
      <c r="D615" s="9">
        <v>41912</v>
      </c>
      <c r="E615" t="s">
        <v>296</v>
      </c>
      <c r="I615" s="9"/>
    </row>
    <row r="616" spans="1:9" x14ac:dyDescent="0.25">
      <c r="A616">
        <v>154070</v>
      </c>
      <c r="B616">
        <v>2.5</v>
      </c>
      <c r="C616">
        <v>1152</v>
      </c>
      <c r="D616" s="9">
        <v>41821</v>
      </c>
      <c r="E616" t="s">
        <v>295</v>
      </c>
      <c r="I616" s="9"/>
    </row>
    <row r="617" spans="1:9" x14ac:dyDescent="0.25">
      <c r="A617">
        <v>154070</v>
      </c>
      <c r="B617">
        <v>0.81399999999999995</v>
      </c>
      <c r="C617">
        <v>1152</v>
      </c>
      <c r="D617" s="9">
        <v>41821</v>
      </c>
      <c r="E617" t="s">
        <v>296</v>
      </c>
      <c r="I617" s="9"/>
    </row>
    <row r="618" spans="1:9" x14ac:dyDescent="0.25">
      <c r="A618">
        <v>154070</v>
      </c>
      <c r="B618">
        <v>0.79</v>
      </c>
      <c r="C618">
        <v>1008</v>
      </c>
      <c r="D618" s="9">
        <v>41418</v>
      </c>
      <c r="E618" t="s">
        <v>296</v>
      </c>
      <c r="I618" s="9"/>
    </row>
    <row r="619" spans="1:9" x14ac:dyDescent="0.25">
      <c r="A619">
        <v>154070</v>
      </c>
      <c r="B619">
        <v>0.79</v>
      </c>
      <c r="C619">
        <v>1008</v>
      </c>
      <c r="D619" s="9">
        <v>41295</v>
      </c>
      <c r="E619" t="s">
        <v>296</v>
      </c>
      <c r="I619" s="9"/>
    </row>
    <row r="620" spans="1:9" x14ac:dyDescent="0.25">
      <c r="A620">
        <v>154080</v>
      </c>
      <c r="B620">
        <v>0.61</v>
      </c>
      <c r="C620">
        <v>1152</v>
      </c>
      <c r="D620" s="9">
        <v>41961</v>
      </c>
      <c r="E620" t="s">
        <v>296</v>
      </c>
      <c r="I620" s="9"/>
    </row>
    <row r="621" spans="1:9" x14ac:dyDescent="0.25">
      <c r="A621">
        <v>154080</v>
      </c>
      <c r="B621">
        <v>0.61</v>
      </c>
      <c r="C621">
        <v>1152</v>
      </c>
      <c r="D621" s="9">
        <v>41912</v>
      </c>
      <c r="E621" t="s">
        <v>296</v>
      </c>
      <c r="I621" s="9"/>
    </row>
    <row r="622" spans="1:9" x14ac:dyDescent="0.25">
      <c r="A622">
        <v>154080</v>
      </c>
      <c r="B622">
        <v>2.83</v>
      </c>
      <c r="C622">
        <v>1</v>
      </c>
      <c r="D622" s="9">
        <v>41884</v>
      </c>
      <c r="E622" t="s">
        <v>295</v>
      </c>
      <c r="I622" s="9"/>
    </row>
    <row r="623" spans="1:9" x14ac:dyDescent="0.25">
      <c r="A623">
        <v>154080</v>
      </c>
      <c r="B623">
        <v>1.87</v>
      </c>
      <c r="C623">
        <v>1152</v>
      </c>
      <c r="D623" s="9">
        <v>41821</v>
      </c>
      <c r="E623" t="s">
        <v>295</v>
      </c>
      <c r="I623" s="9"/>
    </row>
    <row r="624" spans="1:9" x14ac:dyDescent="0.25">
      <c r="A624">
        <v>154080</v>
      </c>
      <c r="B624">
        <v>0.61</v>
      </c>
      <c r="C624">
        <v>1152</v>
      </c>
      <c r="D624" s="9">
        <v>41821</v>
      </c>
      <c r="E624" t="s">
        <v>296</v>
      </c>
      <c r="I624" s="9"/>
    </row>
    <row r="625" spans="1:9" x14ac:dyDescent="0.25">
      <c r="A625">
        <v>154080</v>
      </c>
      <c r="B625">
        <v>0.61</v>
      </c>
      <c r="C625">
        <v>1008</v>
      </c>
      <c r="D625" s="9">
        <v>41744</v>
      </c>
      <c r="E625" t="s">
        <v>296</v>
      </c>
      <c r="I625" s="9"/>
    </row>
    <row r="626" spans="1:9" x14ac:dyDescent="0.25">
      <c r="A626">
        <v>154080</v>
      </c>
      <c r="B626">
        <v>0.59299999999999997</v>
      </c>
      <c r="C626">
        <v>1008</v>
      </c>
      <c r="D626" s="9">
        <v>41418</v>
      </c>
      <c r="E626" t="s">
        <v>296</v>
      </c>
      <c r="I626" s="9"/>
    </row>
    <row r="627" spans="1:9" x14ac:dyDescent="0.25">
      <c r="A627">
        <v>154100</v>
      </c>
      <c r="B627">
        <v>1.17</v>
      </c>
      <c r="C627">
        <v>960</v>
      </c>
      <c r="D627" s="9">
        <v>43600</v>
      </c>
      <c r="E627" t="s">
        <v>296</v>
      </c>
      <c r="I627" s="9"/>
    </row>
    <row r="628" spans="1:9" x14ac:dyDescent="0.25">
      <c r="A628">
        <v>154100</v>
      </c>
      <c r="B628">
        <v>1.0249999999999999</v>
      </c>
      <c r="C628">
        <v>840</v>
      </c>
      <c r="D628" s="9">
        <v>43340</v>
      </c>
      <c r="E628" t="s">
        <v>296</v>
      </c>
      <c r="I628" s="9"/>
    </row>
    <row r="629" spans="1:9" x14ac:dyDescent="0.25">
      <c r="A629">
        <v>154100</v>
      </c>
      <c r="B629">
        <v>1.1399999999999999</v>
      </c>
      <c r="C629">
        <v>1200</v>
      </c>
      <c r="D629" s="9">
        <v>42912</v>
      </c>
      <c r="E629" t="s">
        <v>296</v>
      </c>
      <c r="I629" s="9"/>
    </row>
    <row r="630" spans="1:9" x14ac:dyDescent="0.25">
      <c r="A630">
        <v>154100</v>
      </c>
      <c r="B630">
        <v>1.08</v>
      </c>
      <c r="C630">
        <v>840</v>
      </c>
      <c r="D630" s="9">
        <v>42510</v>
      </c>
      <c r="E630" t="s">
        <v>296</v>
      </c>
      <c r="I630" s="9"/>
    </row>
    <row r="631" spans="1:9" x14ac:dyDescent="0.25">
      <c r="A631">
        <v>154100</v>
      </c>
      <c r="B631">
        <v>1.0249999999999999</v>
      </c>
      <c r="C631">
        <v>960</v>
      </c>
      <c r="D631" s="9">
        <v>41961</v>
      </c>
      <c r="E631" t="s">
        <v>296</v>
      </c>
      <c r="I631" s="9"/>
    </row>
    <row r="632" spans="1:9" x14ac:dyDescent="0.25">
      <c r="A632">
        <v>154100</v>
      </c>
      <c r="B632">
        <v>3.41</v>
      </c>
      <c r="C632">
        <v>960</v>
      </c>
      <c r="D632" s="9">
        <v>41957</v>
      </c>
      <c r="E632" t="s">
        <v>295</v>
      </c>
      <c r="I632" s="9"/>
    </row>
    <row r="633" spans="1:9" x14ac:dyDescent="0.25">
      <c r="A633">
        <v>154100</v>
      </c>
      <c r="B633">
        <v>1.0249999999999999</v>
      </c>
      <c r="C633">
        <v>960</v>
      </c>
      <c r="D633" s="9">
        <v>41912</v>
      </c>
      <c r="E633" t="s">
        <v>296</v>
      </c>
      <c r="I633" s="9"/>
    </row>
    <row r="634" spans="1:9" x14ac:dyDescent="0.25">
      <c r="A634">
        <v>154100</v>
      </c>
      <c r="B634">
        <v>1.0249999999999999</v>
      </c>
      <c r="C634">
        <v>900</v>
      </c>
      <c r="D634" s="9">
        <v>41744</v>
      </c>
      <c r="E634" t="s">
        <v>296</v>
      </c>
      <c r="I634" s="9"/>
    </row>
    <row r="635" spans="1:9" x14ac:dyDescent="0.25">
      <c r="A635">
        <v>156140</v>
      </c>
      <c r="B635">
        <v>2.58</v>
      </c>
      <c r="C635">
        <v>576</v>
      </c>
      <c r="D635" s="9">
        <v>43998</v>
      </c>
      <c r="E635" t="s">
        <v>296</v>
      </c>
      <c r="I635" s="9"/>
    </row>
    <row r="636" spans="1:9" x14ac:dyDescent="0.25">
      <c r="A636">
        <v>156140</v>
      </c>
      <c r="B636">
        <v>2.58</v>
      </c>
      <c r="C636">
        <v>648</v>
      </c>
      <c r="D636" s="9">
        <v>43803</v>
      </c>
      <c r="E636" t="s">
        <v>296</v>
      </c>
      <c r="I636" s="9"/>
    </row>
    <row r="637" spans="1:9" x14ac:dyDescent="0.25">
      <c r="A637">
        <v>156140</v>
      </c>
      <c r="B637">
        <v>9.84</v>
      </c>
      <c r="C637">
        <v>288</v>
      </c>
      <c r="D637" s="9">
        <v>43298</v>
      </c>
      <c r="E637" t="s">
        <v>295</v>
      </c>
      <c r="I637" s="9"/>
    </row>
    <row r="638" spans="1:9" x14ac:dyDescent="0.25">
      <c r="A638">
        <v>156140</v>
      </c>
      <c r="B638">
        <v>2.58</v>
      </c>
      <c r="C638">
        <v>600</v>
      </c>
      <c r="D638" s="9">
        <v>43264</v>
      </c>
      <c r="E638" t="s">
        <v>296</v>
      </c>
      <c r="I638" s="9"/>
    </row>
    <row r="639" spans="1:9" x14ac:dyDescent="0.25">
      <c r="A639">
        <v>156140</v>
      </c>
      <c r="B639">
        <v>2.5</v>
      </c>
      <c r="C639">
        <v>336</v>
      </c>
      <c r="D639" s="9">
        <v>43063</v>
      </c>
      <c r="E639" t="s">
        <v>296</v>
      </c>
      <c r="I639" s="9"/>
    </row>
    <row r="640" spans="1:9" x14ac:dyDescent="0.25">
      <c r="A640">
        <v>156140</v>
      </c>
      <c r="B640">
        <v>2.5</v>
      </c>
      <c r="C640">
        <v>600</v>
      </c>
      <c r="D640" s="9">
        <v>42530</v>
      </c>
      <c r="E640" t="s">
        <v>296</v>
      </c>
      <c r="I640" s="9"/>
    </row>
    <row r="641" spans="1:9" x14ac:dyDescent="0.25">
      <c r="A641">
        <v>156140</v>
      </c>
      <c r="B641">
        <v>2.63</v>
      </c>
      <c r="C641">
        <v>500</v>
      </c>
      <c r="D641" s="9">
        <v>42144</v>
      </c>
      <c r="E641" t="s">
        <v>296</v>
      </c>
      <c r="I641" s="9"/>
    </row>
    <row r="642" spans="1:9" x14ac:dyDescent="0.25">
      <c r="A642">
        <v>156140</v>
      </c>
      <c r="B642">
        <v>2.46</v>
      </c>
      <c r="C642">
        <v>600</v>
      </c>
      <c r="D642" s="9">
        <v>41947</v>
      </c>
      <c r="E642" t="s">
        <v>296</v>
      </c>
      <c r="I642" s="9"/>
    </row>
    <row r="643" spans="1:9" x14ac:dyDescent="0.25">
      <c r="A643">
        <v>156140</v>
      </c>
      <c r="B643">
        <v>2.46</v>
      </c>
      <c r="C643">
        <v>600</v>
      </c>
      <c r="D643" s="9">
        <v>41526</v>
      </c>
      <c r="E643" t="s">
        <v>296</v>
      </c>
      <c r="I643" s="9"/>
    </row>
    <row r="644" spans="1:9" x14ac:dyDescent="0.25">
      <c r="A644">
        <v>156140</v>
      </c>
      <c r="B644">
        <v>2.46</v>
      </c>
      <c r="C644">
        <v>600</v>
      </c>
      <c r="D644" s="9">
        <v>41375</v>
      </c>
      <c r="E644" t="s">
        <v>296</v>
      </c>
      <c r="I644" s="9"/>
    </row>
    <row r="645" spans="1:9" x14ac:dyDescent="0.25">
      <c r="A645">
        <v>156490</v>
      </c>
      <c r="B645">
        <v>1.26</v>
      </c>
      <c r="C645">
        <v>840</v>
      </c>
      <c r="D645" s="9">
        <v>44005</v>
      </c>
      <c r="E645" t="s">
        <v>296</v>
      </c>
      <c r="I645" s="9"/>
    </row>
    <row r="646" spans="1:9" x14ac:dyDescent="0.25">
      <c r="A646">
        <v>156490</v>
      </c>
      <c r="B646">
        <v>1.26</v>
      </c>
      <c r="C646">
        <v>1200</v>
      </c>
      <c r="D646" s="9">
        <v>43717</v>
      </c>
      <c r="E646" t="s">
        <v>296</v>
      </c>
      <c r="I646" s="9"/>
    </row>
    <row r="647" spans="1:9" x14ac:dyDescent="0.25">
      <c r="A647">
        <v>156490</v>
      </c>
      <c r="B647">
        <v>1.26</v>
      </c>
      <c r="C647">
        <v>840</v>
      </c>
      <c r="D647" s="9">
        <v>43578</v>
      </c>
      <c r="E647" t="s">
        <v>296</v>
      </c>
      <c r="I647" s="9"/>
    </row>
    <row r="648" spans="1:9" x14ac:dyDescent="0.25">
      <c r="A648">
        <v>156490</v>
      </c>
      <c r="B648">
        <v>1.26</v>
      </c>
      <c r="C648">
        <v>900</v>
      </c>
      <c r="D648" s="9">
        <v>43486</v>
      </c>
      <c r="E648" t="s">
        <v>296</v>
      </c>
      <c r="I648" s="9"/>
    </row>
    <row r="649" spans="1:9" x14ac:dyDescent="0.25">
      <c r="A649">
        <v>156490</v>
      </c>
      <c r="B649">
        <v>1.26</v>
      </c>
      <c r="C649">
        <v>420</v>
      </c>
      <c r="D649" s="9">
        <v>43350</v>
      </c>
      <c r="E649" t="s">
        <v>296</v>
      </c>
      <c r="I649" s="9"/>
    </row>
    <row r="650" spans="1:9" x14ac:dyDescent="0.25">
      <c r="A650">
        <v>156490</v>
      </c>
      <c r="B650">
        <v>1.26</v>
      </c>
      <c r="C650">
        <v>420</v>
      </c>
      <c r="D650" s="9">
        <v>43270</v>
      </c>
      <c r="E650" t="s">
        <v>296</v>
      </c>
      <c r="I650" s="9"/>
    </row>
    <row r="651" spans="1:9" x14ac:dyDescent="0.25">
      <c r="A651">
        <v>156490</v>
      </c>
      <c r="B651">
        <v>1.2</v>
      </c>
      <c r="C651">
        <v>840</v>
      </c>
      <c r="D651" s="9">
        <v>42892</v>
      </c>
      <c r="E651" t="s">
        <v>296</v>
      </c>
      <c r="I651" s="9"/>
    </row>
    <row r="652" spans="1:9" x14ac:dyDescent="0.25">
      <c r="A652">
        <v>156490</v>
      </c>
      <c r="B652">
        <v>1.2</v>
      </c>
      <c r="C652">
        <v>480</v>
      </c>
      <c r="D652" s="9">
        <v>42634</v>
      </c>
      <c r="E652" t="s">
        <v>296</v>
      </c>
      <c r="I652" s="9"/>
    </row>
    <row r="653" spans="1:9" x14ac:dyDescent="0.25">
      <c r="A653">
        <v>156490</v>
      </c>
      <c r="B653">
        <v>1.45</v>
      </c>
      <c r="C653">
        <v>480</v>
      </c>
      <c r="D653" s="9">
        <v>42367</v>
      </c>
      <c r="E653" t="s">
        <v>296</v>
      </c>
      <c r="I653" s="9"/>
    </row>
    <row r="654" spans="1:9" x14ac:dyDescent="0.25">
      <c r="A654">
        <v>156490</v>
      </c>
      <c r="B654">
        <v>1.45</v>
      </c>
      <c r="C654">
        <v>480</v>
      </c>
      <c r="D654" s="9">
        <v>41943</v>
      </c>
      <c r="E654" t="s">
        <v>296</v>
      </c>
      <c r="I654" s="9"/>
    </row>
    <row r="655" spans="1:9" x14ac:dyDescent="0.25">
      <c r="A655">
        <v>156494</v>
      </c>
      <c r="B655">
        <v>1.48</v>
      </c>
      <c r="C655">
        <v>840</v>
      </c>
      <c r="D655" s="9">
        <v>44005</v>
      </c>
      <c r="E655" t="s">
        <v>296</v>
      </c>
      <c r="I655" s="9"/>
    </row>
    <row r="656" spans="1:9" x14ac:dyDescent="0.25">
      <c r="A656">
        <v>156494</v>
      </c>
      <c r="B656">
        <v>6.8</v>
      </c>
      <c r="C656">
        <v>180</v>
      </c>
      <c r="D656" s="9">
        <v>43745</v>
      </c>
      <c r="E656" t="s">
        <v>295</v>
      </c>
      <c r="I656" s="9"/>
    </row>
    <row r="657" spans="1:9" x14ac:dyDescent="0.25">
      <c r="A657">
        <v>156494</v>
      </c>
      <c r="B657">
        <v>1.48</v>
      </c>
      <c r="C657">
        <v>540</v>
      </c>
      <c r="D657" s="9">
        <v>43717</v>
      </c>
      <c r="E657" t="s">
        <v>296</v>
      </c>
      <c r="I657" s="9"/>
    </row>
    <row r="658" spans="1:9" x14ac:dyDescent="0.25">
      <c r="A658">
        <v>156494</v>
      </c>
      <c r="B658">
        <v>1.48</v>
      </c>
      <c r="C658">
        <v>720</v>
      </c>
      <c r="D658" s="9">
        <v>43486</v>
      </c>
      <c r="E658" t="s">
        <v>296</v>
      </c>
      <c r="I658" s="9"/>
    </row>
    <row r="659" spans="1:9" x14ac:dyDescent="0.25">
      <c r="A659">
        <v>156494</v>
      </c>
      <c r="B659">
        <v>6.21</v>
      </c>
      <c r="C659">
        <v>600</v>
      </c>
      <c r="D659" s="9">
        <v>43090</v>
      </c>
      <c r="E659" t="s">
        <v>295</v>
      </c>
      <c r="I659" s="9"/>
    </row>
    <row r="660" spans="1:9" x14ac:dyDescent="0.25">
      <c r="A660">
        <v>156494</v>
      </c>
      <c r="B660">
        <v>1.65</v>
      </c>
      <c r="C660">
        <v>600</v>
      </c>
      <c r="D660" s="9">
        <v>43052</v>
      </c>
      <c r="E660" t="s">
        <v>296</v>
      </c>
      <c r="I660" s="9"/>
    </row>
    <row r="661" spans="1:9" x14ac:dyDescent="0.25">
      <c r="A661">
        <v>156494</v>
      </c>
      <c r="B661">
        <v>1.58</v>
      </c>
      <c r="C661">
        <v>1200</v>
      </c>
      <c r="D661" s="9">
        <v>42586</v>
      </c>
      <c r="E661" t="s">
        <v>296</v>
      </c>
      <c r="I661" s="9"/>
    </row>
    <row r="662" spans="1:9" x14ac:dyDescent="0.25">
      <c r="A662">
        <v>156494</v>
      </c>
      <c r="B662">
        <v>1.75</v>
      </c>
      <c r="C662">
        <v>1200</v>
      </c>
      <c r="D662" s="9">
        <v>41934</v>
      </c>
      <c r="E662" t="s">
        <v>296</v>
      </c>
      <c r="I662" s="9"/>
    </row>
    <row r="663" spans="1:9" x14ac:dyDescent="0.25">
      <c r="A663">
        <v>156496</v>
      </c>
      <c r="B663">
        <v>1.17</v>
      </c>
      <c r="C663">
        <v>1200</v>
      </c>
      <c r="D663" s="9">
        <v>42586</v>
      </c>
      <c r="E663" t="s">
        <v>296</v>
      </c>
      <c r="I663" s="9"/>
    </row>
    <row r="664" spans="1:9" x14ac:dyDescent="0.25">
      <c r="A664">
        <v>156496</v>
      </c>
      <c r="B664">
        <v>1.3</v>
      </c>
      <c r="C664">
        <v>1200</v>
      </c>
      <c r="D664" s="9">
        <v>41934</v>
      </c>
      <c r="E664" t="s">
        <v>296</v>
      </c>
      <c r="I664" s="9"/>
    </row>
    <row r="665" spans="1:9" x14ac:dyDescent="0.25">
      <c r="A665">
        <v>156600</v>
      </c>
      <c r="B665">
        <v>1.1299999999999999</v>
      </c>
      <c r="C665">
        <v>1920</v>
      </c>
      <c r="D665" s="9">
        <v>44071</v>
      </c>
      <c r="E665" t="s">
        <v>296</v>
      </c>
      <c r="I665" s="9"/>
    </row>
    <row r="666" spans="1:9" x14ac:dyDescent="0.25">
      <c r="A666">
        <v>156600</v>
      </c>
      <c r="B666">
        <v>1.1299999999999999</v>
      </c>
      <c r="C666">
        <v>1620</v>
      </c>
      <c r="D666" s="9">
        <v>44005</v>
      </c>
      <c r="E666" t="s">
        <v>296</v>
      </c>
      <c r="I666" s="9"/>
    </row>
    <row r="667" spans="1:9" x14ac:dyDescent="0.25">
      <c r="A667">
        <v>156600</v>
      </c>
      <c r="B667">
        <v>1.1299999999999999</v>
      </c>
      <c r="C667">
        <v>1920</v>
      </c>
      <c r="D667" s="9">
        <v>43717</v>
      </c>
      <c r="E667" t="s">
        <v>296</v>
      </c>
      <c r="I667" s="9"/>
    </row>
    <row r="668" spans="1:9" x14ac:dyDescent="0.25">
      <c r="A668">
        <v>156600</v>
      </c>
      <c r="B668">
        <v>1.1299999999999999</v>
      </c>
      <c r="C668">
        <v>1500</v>
      </c>
      <c r="D668" s="9">
        <v>43578</v>
      </c>
      <c r="E668" t="s">
        <v>296</v>
      </c>
      <c r="I668" s="9"/>
    </row>
    <row r="669" spans="1:9" x14ac:dyDescent="0.25">
      <c r="A669">
        <v>156600</v>
      </c>
      <c r="B669">
        <v>1.1299999999999999</v>
      </c>
      <c r="C669">
        <v>1200</v>
      </c>
      <c r="D669" s="9">
        <v>43486</v>
      </c>
      <c r="E669" t="s">
        <v>296</v>
      </c>
      <c r="I669" s="9"/>
    </row>
    <row r="670" spans="1:9" x14ac:dyDescent="0.25">
      <c r="A670">
        <v>156600</v>
      </c>
      <c r="B670">
        <v>1.1299999999999999</v>
      </c>
      <c r="C670">
        <v>600</v>
      </c>
      <c r="D670" s="9">
        <v>43350</v>
      </c>
      <c r="E670" t="s">
        <v>296</v>
      </c>
      <c r="I670" s="9"/>
    </row>
    <row r="671" spans="1:9" x14ac:dyDescent="0.25">
      <c r="A671">
        <v>156600</v>
      </c>
      <c r="B671">
        <v>1.1299999999999999</v>
      </c>
      <c r="C671">
        <v>600</v>
      </c>
      <c r="D671" s="9">
        <v>43270</v>
      </c>
      <c r="E671" t="s">
        <v>296</v>
      </c>
      <c r="I671" s="9"/>
    </row>
    <row r="672" spans="1:9" x14ac:dyDescent="0.25">
      <c r="A672">
        <v>156600</v>
      </c>
      <c r="B672">
        <v>3.86</v>
      </c>
      <c r="C672">
        <v>1740</v>
      </c>
      <c r="D672" s="9">
        <v>43234</v>
      </c>
      <c r="E672" t="s">
        <v>295</v>
      </c>
      <c r="I672" s="9"/>
    </row>
    <row r="673" spans="1:9" x14ac:dyDescent="0.25">
      <c r="A673">
        <v>156600</v>
      </c>
      <c r="B673">
        <v>1.08</v>
      </c>
      <c r="C673">
        <v>1740</v>
      </c>
      <c r="D673" s="9">
        <v>43049</v>
      </c>
      <c r="E673" t="s">
        <v>296</v>
      </c>
      <c r="I673" s="9"/>
    </row>
    <row r="674" spans="1:9" x14ac:dyDescent="0.25">
      <c r="A674">
        <v>156600</v>
      </c>
      <c r="B674">
        <v>1.08</v>
      </c>
      <c r="C674">
        <v>1080</v>
      </c>
      <c r="D674" s="9">
        <v>42844</v>
      </c>
      <c r="E674" t="s">
        <v>296</v>
      </c>
      <c r="I674" s="9"/>
    </row>
    <row r="675" spans="1:9" x14ac:dyDescent="0.25">
      <c r="A675">
        <v>156600</v>
      </c>
      <c r="B675">
        <v>1.08</v>
      </c>
      <c r="C675">
        <v>1800</v>
      </c>
      <c r="D675" s="9">
        <v>42634</v>
      </c>
      <c r="E675" t="s">
        <v>296</v>
      </c>
      <c r="I675" s="9"/>
    </row>
    <row r="676" spans="1:9" x14ac:dyDescent="0.25">
      <c r="A676">
        <v>156600</v>
      </c>
      <c r="B676">
        <v>1.08</v>
      </c>
      <c r="C676">
        <v>2520</v>
      </c>
      <c r="D676" s="9">
        <v>42472</v>
      </c>
      <c r="E676" t="s">
        <v>296</v>
      </c>
      <c r="I676" s="9"/>
    </row>
    <row r="677" spans="1:9" x14ac:dyDescent="0.25">
      <c r="A677">
        <v>156600</v>
      </c>
      <c r="B677">
        <v>1.2</v>
      </c>
      <c r="C677">
        <v>1500</v>
      </c>
      <c r="D677" s="9">
        <v>42367</v>
      </c>
      <c r="E677" t="s">
        <v>296</v>
      </c>
      <c r="I677" s="9"/>
    </row>
    <row r="678" spans="1:9" x14ac:dyDescent="0.25">
      <c r="A678">
        <v>156600</v>
      </c>
      <c r="B678">
        <v>1.2</v>
      </c>
      <c r="C678">
        <v>1320</v>
      </c>
      <c r="D678" s="9">
        <v>42136</v>
      </c>
      <c r="E678" t="s">
        <v>296</v>
      </c>
      <c r="I678" s="9"/>
    </row>
    <row r="679" spans="1:9" x14ac:dyDescent="0.25">
      <c r="A679">
        <v>156600</v>
      </c>
      <c r="B679">
        <v>1.2</v>
      </c>
      <c r="C679">
        <v>1080</v>
      </c>
      <c r="D679" s="9">
        <v>41943</v>
      </c>
      <c r="E679" t="s">
        <v>296</v>
      </c>
      <c r="I679" s="9"/>
    </row>
    <row r="680" spans="1:9" x14ac:dyDescent="0.25">
      <c r="A680">
        <v>156600</v>
      </c>
      <c r="B680">
        <v>1.2</v>
      </c>
      <c r="C680">
        <v>2880</v>
      </c>
      <c r="D680" s="9">
        <v>41479</v>
      </c>
      <c r="E680" t="s">
        <v>296</v>
      </c>
      <c r="I680" s="9"/>
    </row>
    <row r="681" spans="1:9" x14ac:dyDescent="0.25">
      <c r="A681">
        <v>156630</v>
      </c>
      <c r="B681">
        <v>2.34</v>
      </c>
      <c r="C681">
        <v>720</v>
      </c>
      <c r="D681" s="9">
        <v>44071</v>
      </c>
      <c r="E681" t="s">
        <v>296</v>
      </c>
      <c r="I681" s="9"/>
    </row>
    <row r="682" spans="1:9" x14ac:dyDescent="0.25">
      <c r="A682">
        <v>156630</v>
      </c>
      <c r="B682">
        <v>2.319</v>
      </c>
      <c r="C682">
        <v>672</v>
      </c>
      <c r="D682" s="9">
        <v>44070</v>
      </c>
      <c r="E682" t="s">
        <v>296</v>
      </c>
      <c r="I682" s="9"/>
    </row>
    <row r="683" spans="1:9" x14ac:dyDescent="0.25">
      <c r="A683">
        <v>156630</v>
      </c>
      <c r="B683">
        <v>2.34</v>
      </c>
      <c r="C683">
        <v>480</v>
      </c>
      <c r="D683" s="9">
        <v>44005</v>
      </c>
      <c r="E683" t="s">
        <v>296</v>
      </c>
      <c r="I683" s="9"/>
    </row>
    <row r="684" spans="1:9" x14ac:dyDescent="0.25">
      <c r="A684">
        <v>156630</v>
      </c>
      <c r="B684">
        <v>2.34</v>
      </c>
      <c r="C684">
        <v>960</v>
      </c>
      <c r="D684" s="9">
        <v>43717</v>
      </c>
      <c r="E684" t="s">
        <v>296</v>
      </c>
      <c r="I684" s="9"/>
    </row>
    <row r="685" spans="1:9" x14ac:dyDescent="0.25">
      <c r="A685">
        <v>156630</v>
      </c>
      <c r="B685">
        <v>2.34</v>
      </c>
      <c r="C685">
        <v>480</v>
      </c>
      <c r="D685" s="9">
        <v>43578</v>
      </c>
      <c r="E685" t="s">
        <v>296</v>
      </c>
      <c r="I685" s="9"/>
    </row>
    <row r="686" spans="1:9" x14ac:dyDescent="0.25">
      <c r="A686">
        <v>156630</v>
      </c>
      <c r="B686">
        <v>2.34</v>
      </c>
      <c r="C686">
        <v>960</v>
      </c>
      <c r="D686" s="9">
        <v>43486</v>
      </c>
      <c r="E686" t="s">
        <v>296</v>
      </c>
      <c r="I686" s="9"/>
    </row>
    <row r="687" spans="1:9" x14ac:dyDescent="0.25">
      <c r="A687">
        <v>156630</v>
      </c>
      <c r="B687">
        <v>2.34</v>
      </c>
      <c r="C687">
        <v>360</v>
      </c>
      <c r="D687" s="9">
        <v>43350</v>
      </c>
      <c r="E687" t="s">
        <v>296</v>
      </c>
      <c r="I687" s="9"/>
    </row>
    <row r="688" spans="1:9" x14ac:dyDescent="0.25">
      <c r="A688">
        <v>156630</v>
      </c>
      <c r="B688">
        <v>2.34</v>
      </c>
      <c r="C688">
        <v>360</v>
      </c>
      <c r="D688" s="9">
        <v>43270</v>
      </c>
      <c r="E688" t="s">
        <v>296</v>
      </c>
      <c r="I688" s="9"/>
    </row>
    <row r="689" spans="1:9" x14ac:dyDescent="0.25">
      <c r="A689">
        <v>156630</v>
      </c>
      <c r="B689">
        <v>2.13</v>
      </c>
      <c r="C689">
        <v>1200</v>
      </c>
      <c r="D689" s="9">
        <v>42655</v>
      </c>
      <c r="E689" t="s">
        <v>296</v>
      </c>
      <c r="I689" s="9"/>
    </row>
    <row r="690" spans="1:9" x14ac:dyDescent="0.25">
      <c r="A690">
        <v>156630</v>
      </c>
      <c r="B690">
        <v>2.13</v>
      </c>
      <c r="C690">
        <v>1200</v>
      </c>
      <c r="D690" s="9">
        <v>42655</v>
      </c>
      <c r="E690" t="s">
        <v>296</v>
      </c>
      <c r="I690" s="9"/>
    </row>
    <row r="691" spans="1:9" x14ac:dyDescent="0.25">
      <c r="A691">
        <v>156630</v>
      </c>
      <c r="B691">
        <v>2.13</v>
      </c>
      <c r="C691">
        <v>1200</v>
      </c>
      <c r="D691" s="9">
        <v>42586</v>
      </c>
      <c r="E691" t="s">
        <v>296</v>
      </c>
      <c r="I691" s="9"/>
    </row>
    <row r="692" spans="1:9" x14ac:dyDescent="0.25">
      <c r="A692">
        <v>156630</v>
      </c>
      <c r="B692">
        <v>2.2999999999999998</v>
      </c>
      <c r="C692">
        <v>600</v>
      </c>
      <c r="D692" s="9">
        <v>42325</v>
      </c>
      <c r="E692" t="s">
        <v>296</v>
      </c>
      <c r="I692" s="9"/>
    </row>
    <row r="693" spans="1:9" x14ac:dyDescent="0.25">
      <c r="A693">
        <v>156630</v>
      </c>
      <c r="B693">
        <v>2.2999999999999998</v>
      </c>
      <c r="C693">
        <v>1200</v>
      </c>
      <c r="D693" s="9">
        <v>41934</v>
      </c>
      <c r="E693" t="s">
        <v>296</v>
      </c>
      <c r="I693" s="9"/>
    </row>
    <row r="694" spans="1:9" x14ac:dyDescent="0.25">
      <c r="A694">
        <v>156630</v>
      </c>
      <c r="B694">
        <v>2.34</v>
      </c>
      <c r="C694">
        <v>1200</v>
      </c>
      <c r="D694" s="9">
        <v>41479</v>
      </c>
      <c r="E694" t="s">
        <v>296</v>
      </c>
      <c r="I694" s="9"/>
    </row>
    <row r="695" spans="1:9" x14ac:dyDescent="0.25">
      <c r="A695">
        <v>162500</v>
      </c>
      <c r="B695">
        <v>1.1299999999999999</v>
      </c>
      <c r="C695">
        <v>840</v>
      </c>
      <c r="D695" s="9">
        <v>44111</v>
      </c>
      <c r="E695" t="s">
        <v>296</v>
      </c>
      <c r="I695" s="9"/>
    </row>
    <row r="696" spans="1:9" x14ac:dyDescent="0.25">
      <c r="A696">
        <v>162500</v>
      </c>
      <c r="B696">
        <v>1.1299999999999999</v>
      </c>
      <c r="C696">
        <v>1080</v>
      </c>
      <c r="D696" s="9">
        <v>43991</v>
      </c>
      <c r="E696" t="s">
        <v>296</v>
      </c>
      <c r="I696" s="9"/>
    </row>
    <row r="697" spans="1:9" x14ac:dyDescent="0.25">
      <c r="A697">
        <v>162500</v>
      </c>
      <c r="B697">
        <v>1.1299999999999999</v>
      </c>
      <c r="C697">
        <v>780</v>
      </c>
      <c r="D697" s="9">
        <v>43829</v>
      </c>
      <c r="E697" t="s">
        <v>296</v>
      </c>
      <c r="I697" s="9"/>
    </row>
    <row r="698" spans="1:9" x14ac:dyDescent="0.25">
      <c r="A698">
        <v>162500</v>
      </c>
      <c r="B698">
        <v>1.1299999999999999</v>
      </c>
      <c r="C698">
        <v>720</v>
      </c>
      <c r="D698" s="9">
        <v>43592</v>
      </c>
      <c r="E698" t="s">
        <v>296</v>
      </c>
      <c r="I698" s="9"/>
    </row>
    <row r="699" spans="1:9" x14ac:dyDescent="0.25">
      <c r="A699">
        <v>162500</v>
      </c>
      <c r="B699">
        <v>1.08</v>
      </c>
      <c r="C699">
        <v>720</v>
      </c>
      <c r="D699" s="9">
        <v>43244</v>
      </c>
      <c r="E699" t="s">
        <v>296</v>
      </c>
      <c r="I699" s="9"/>
    </row>
    <row r="700" spans="1:9" x14ac:dyDescent="0.25">
      <c r="A700">
        <v>162500</v>
      </c>
      <c r="B700">
        <v>1.08</v>
      </c>
      <c r="C700">
        <v>1200</v>
      </c>
      <c r="D700" s="9">
        <v>42836</v>
      </c>
      <c r="E700" t="s">
        <v>296</v>
      </c>
      <c r="I700" s="9"/>
    </row>
    <row r="701" spans="1:9" x14ac:dyDescent="0.25">
      <c r="A701">
        <v>162500</v>
      </c>
      <c r="B701">
        <v>1.1000000000000001</v>
      </c>
      <c r="C701">
        <v>1500</v>
      </c>
      <c r="D701" s="9">
        <v>42617</v>
      </c>
      <c r="E701" t="s">
        <v>296</v>
      </c>
      <c r="I701" s="9"/>
    </row>
    <row r="702" spans="1:9" x14ac:dyDescent="0.25">
      <c r="A702">
        <v>162500</v>
      </c>
      <c r="B702">
        <v>1.1399999999999999</v>
      </c>
      <c r="C702">
        <v>1500</v>
      </c>
      <c r="D702" s="9">
        <v>42494</v>
      </c>
      <c r="E702" t="s">
        <v>296</v>
      </c>
      <c r="I702" s="9"/>
    </row>
    <row r="703" spans="1:9" x14ac:dyDescent="0.25">
      <c r="A703">
        <v>162500</v>
      </c>
      <c r="B703">
        <v>1.22</v>
      </c>
      <c r="C703">
        <v>1500</v>
      </c>
      <c r="D703" s="9">
        <v>42397</v>
      </c>
      <c r="E703" t="s">
        <v>296</v>
      </c>
      <c r="I703" s="9"/>
    </row>
    <row r="704" spans="1:9" x14ac:dyDescent="0.25">
      <c r="A704">
        <v>162500</v>
      </c>
      <c r="B704">
        <v>1.22</v>
      </c>
      <c r="C704">
        <v>1200</v>
      </c>
      <c r="D704" s="9">
        <v>42270</v>
      </c>
      <c r="E704" t="s">
        <v>296</v>
      </c>
      <c r="I704" s="9"/>
    </row>
    <row r="705" spans="1:9" x14ac:dyDescent="0.25">
      <c r="A705">
        <v>162500</v>
      </c>
      <c r="B705">
        <v>1.22</v>
      </c>
      <c r="C705">
        <v>1200</v>
      </c>
      <c r="D705" s="9">
        <v>41947</v>
      </c>
      <c r="E705" t="s">
        <v>296</v>
      </c>
      <c r="I705" s="9"/>
    </row>
    <row r="706" spans="1:9" x14ac:dyDescent="0.25">
      <c r="A706">
        <v>162500</v>
      </c>
      <c r="B706">
        <v>1.22</v>
      </c>
      <c r="C706">
        <v>1080</v>
      </c>
      <c r="D706" s="9">
        <v>41747</v>
      </c>
      <c r="E706" t="s">
        <v>296</v>
      </c>
      <c r="I706" s="9"/>
    </row>
    <row r="707" spans="1:9" x14ac:dyDescent="0.25">
      <c r="A707">
        <v>162500</v>
      </c>
      <c r="B707">
        <v>1.22</v>
      </c>
      <c r="C707">
        <v>1200</v>
      </c>
      <c r="D707" s="9">
        <v>41747</v>
      </c>
      <c r="E707" t="s">
        <v>296</v>
      </c>
      <c r="I707" s="9"/>
    </row>
    <row r="708" spans="1:9" x14ac:dyDescent="0.25">
      <c r="A708">
        <v>162500</v>
      </c>
      <c r="B708">
        <v>1.18</v>
      </c>
      <c r="C708">
        <v>1080</v>
      </c>
      <c r="D708" s="9">
        <v>41330</v>
      </c>
      <c r="E708" t="s">
        <v>296</v>
      </c>
      <c r="I708" s="9"/>
    </row>
    <row r="709" spans="1:9" x14ac:dyDescent="0.25">
      <c r="A709">
        <v>162502</v>
      </c>
      <c r="B709">
        <v>1.1399999999999999</v>
      </c>
      <c r="C709">
        <v>480</v>
      </c>
      <c r="D709" s="9">
        <v>44133</v>
      </c>
      <c r="E709" t="s">
        <v>296</v>
      </c>
      <c r="I709" s="9"/>
    </row>
    <row r="710" spans="1:9" x14ac:dyDescent="0.25">
      <c r="A710">
        <v>162502</v>
      </c>
      <c r="B710">
        <v>1.1399999999999999</v>
      </c>
      <c r="C710">
        <v>480</v>
      </c>
      <c r="D710" s="9">
        <v>43829</v>
      </c>
      <c r="E710" t="s">
        <v>296</v>
      </c>
      <c r="I710" s="9"/>
    </row>
    <row r="711" spans="1:9" x14ac:dyDescent="0.25">
      <c r="A711">
        <v>162502</v>
      </c>
      <c r="B711">
        <v>1.1399999999999999</v>
      </c>
      <c r="C711">
        <v>360</v>
      </c>
      <c r="D711" s="9">
        <v>43592</v>
      </c>
      <c r="E711" t="s">
        <v>296</v>
      </c>
      <c r="I711" s="9"/>
    </row>
    <row r="712" spans="1:9" x14ac:dyDescent="0.25">
      <c r="A712">
        <v>162502</v>
      </c>
      <c r="B712">
        <v>1.25</v>
      </c>
      <c r="C712">
        <v>240</v>
      </c>
      <c r="D712" s="9">
        <v>43244</v>
      </c>
      <c r="E712" t="s">
        <v>296</v>
      </c>
      <c r="I712" s="9"/>
    </row>
    <row r="713" spans="1:9" x14ac:dyDescent="0.25">
      <c r="A713">
        <v>162502</v>
      </c>
      <c r="B713">
        <v>1.25</v>
      </c>
      <c r="C713">
        <v>240</v>
      </c>
      <c r="D713" s="9">
        <v>42860</v>
      </c>
      <c r="E713" t="s">
        <v>296</v>
      </c>
      <c r="I713" s="9"/>
    </row>
    <row r="714" spans="1:9" x14ac:dyDescent="0.25">
      <c r="A714">
        <v>162504</v>
      </c>
      <c r="B714">
        <v>2.12</v>
      </c>
      <c r="C714">
        <v>270</v>
      </c>
      <c r="D714" s="9">
        <v>44039</v>
      </c>
      <c r="E714" t="s">
        <v>296</v>
      </c>
      <c r="I714" s="9"/>
    </row>
    <row r="715" spans="1:9" x14ac:dyDescent="0.25">
      <c r="A715">
        <v>162504</v>
      </c>
      <c r="B715">
        <v>2.12</v>
      </c>
      <c r="C715">
        <v>270</v>
      </c>
      <c r="D715" s="9">
        <v>44028</v>
      </c>
      <c r="E715" t="s">
        <v>296</v>
      </c>
      <c r="I715" s="9"/>
    </row>
    <row r="716" spans="1:9" x14ac:dyDescent="0.25">
      <c r="A716">
        <v>162504</v>
      </c>
      <c r="B716">
        <v>2.12</v>
      </c>
      <c r="C716">
        <v>240</v>
      </c>
      <c r="D716" s="9">
        <v>43829</v>
      </c>
      <c r="E716" t="s">
        <v>296</v>
      </c>
      <c r="I716" s="9"/>
    </row>
    <row r="717" spans="1:9" x14ac:dyDescent="0.25">
      <c r="A717">
        <v>162504</v>
      </c>
      <c r="B717">
        <v>2.12</v>
      </c>
      <c r="C717">
        <v>240</v>
      </c>
      <c r="D717" s="9">
        <v>43592</v>
      </c>
      <c r="E717" t="s">
        <v>296</v>
      </c>
      <c r="I717" s="9"/>
    </row>
    <row r="718" spans="1:9" x14ac:dyDescent="0.25">
      <c r="A718">
        <v>162504</v>
      </c>
      <c r="B718">
        <v>2.3420000000000001</v>
      </c>
      <c r="C718">
        <v>300</v>
      </c>
      <c r="D718" s="9">
        <v>43244</v>
      </c>
      <c r="E718" t="s">
        <v>296</v>
      </c>
      <c r="I718" s="9"/>
    </row>
    <row r="719" spans="1:9" x14ac:dyDescent="0.25">
      <c r="A719">
        <v>162504</v>
      </c>
      <c r="B719">
        <v>2.23</v>
      </c>
      <c r="C719">
        <v>120</v>
      </c>
      <c r="D719" s="9">
        <v>42860</v>
      </c>
      <c r="E719" t="s">
        <v>296</v>
      </c>
      <c r="I719" s="9"/>
    </row>
    <row r="720" spans="1:9" x14ac:dyDescent="0.25">
      <c r="A720">
        <v>162506</v>
      </c>
      <c r="B720">
        <v>1.8</v>
      </c>
      <c r="C720">
        <v>300</v>
      </c>
      <c r="D720" s="9">
        <v>44125</v>
      </c>
      <c r="E720" t="s">
        <v>296</v>
      </c>
      <c r="I720" s="9"/>
    </row>
    <row r="721" spans="1:9" x14ac:dyDescent="0.25">
      <c r="A721">
        <v>162506</v>
      </c>
      <c r="B721">
        <v>1.8</v>
      </c>
      <c r="C721">
        <v>240</v>
      </c>
      <c r="D721" s="9">
        <v>44039</v>
      </c>
      <c r="E721" t="s">
        <v>296</v>
      </c>
      <c r="I721" s="9"/>
    </row>
    <row r="722" spans="1:9" x14ac:dyDescent="0.25">
      <c r="A722">
        <v>162506</v>
      </c>
      <c r="B722">
        <v>1.8</v>
      </c>
      <c r="C722">
        <v>300</v>
      </c>
      <c r="D722" s="9">
        <v>43829</v>
      </c>
      <c r="E722" t="s">
        <v>296</v>
      </c>
      <c r="I722" s="9"/>
    </row>
    <row r="723" spans="1:9" x14ac:dyDescent="0.25">
      <c r="A723">
        <v>162506</v>
      </c>
      <c r="B723">
        <v>1.85</v>
      </c>
      <c r="C723">
        <v>300</v>
      </c>
      <c r="D723" s="9">
        <v>43592</v>
      </c>
      <c r="E723" t="s">
        <v>296</v>
      </c>
      <c r="I723" s="9"/>
    </row>
    <row r="724" spans="1:9" x14ac:dyDescent="0.25">
      <c r="A724">
        <v>162506</v>
      </c>
      <c r="B724">
        <v>1.68</v>
      </c>
      <c r="C724">
        <v>480</v>
      </c>
      <c r="D724" s="9">
        <v>43244</v>
      </c>
      <c r="E724" t="s">
        <v>296</v>
      </c>
      <c r="I724" s="9"/>
    </row>
    <row r="725" spans="1:9" x14ac:dyDescent="0.25">
      <c r="A725">
        <v>162506</v>
      </c>
      <c r="B725">
        <v>1.58</v>
      </c>
      <c r="C725">
        <v>120</v>
      </c>
      <c r="D725" s="9">
        <v>42860</v>
      </c>
      <c r="E725" t="s">
        <v>296</v>
      </c>
      <c r="I725" s="9"/>
    </row>
    <row r="726" spans="1:9" x14ac:dyDescent="0.25">
      <c r="A726">
        <v>162508</v>
      </c>
      <c r="B726">
        <v>2.29</v>
      </c>
      <c r="C726">
        <v>120</v>
      </c>
      <c r="D726" s="9">
        <v>44102</v>
      </c>
      <c r="E726" t="s">
        <v>296</v>
      </c>
      <c r="I726" s="9"/>
    </row>
    <row r="727" spans="1:9" x14ac:dyDescent="0.25">
      <c r="A727">
        <v>170100</v>
      </c>
      <c r="B727">
        <v>2.31</v>
      </c>
      <c r="C727">
        <v>360</v>
      </c>
      <c r="D727" s="9">
        <v>44140</v>
      </c>
      <c r="E727" t="s">
        <v>296</v>
      </c>
      <c r="I727" s="9"/>
    </row>
    <row r="728" spans="1:9" x14ac:dyDescent="0.25">
      <c r="A728">
        <v>170100</v>
      </c>
      <c r="B728">
        <v>2.23</v>
      </c>
      <c r="C728">
        <v>320</v>
      </c>
      <c r="D728" s="9">
        <v>43955</v>
      </c>
      <c r="E728" t="s">
        <v>296</v>
      </c>
      <c r="I728" s="9"/>
    </row>
    <row r="729" spans="1:9" x14ac:dyDescent="0.25">
      <c r="A729">
        <v>170100</v>
      </c>
      <c r="B729">
        <v>2.23</v>
      </c>
      <c r="C729">
        <v>320</v>
      </c>
      <c r="D729" s="9">
        <v>43760</v>
      </c>
      <c r="E729" t="s">
        <v>296</v>
      </c>
      <c r="I729" s="9"/>
    </row>
    <row r="730" spans="1:9" x14ac:dyDescent="0.25">
      <c r="A730">
        <v>170100</v>
      </c>
      <c r="B730">
        <v>2.44</v>
      </c>
      <c r="C730">
        <v>320</v>
      </c>
      <c r="D730" s="9">
        <v>43605</v>
      </c>
      <c r="E730" t="s">
        <v>296</v>
      </c>
      <c r="I730" s="9"/>
    </row>
    <row r="731" spans="1:9" x14ac:dyDescent="0.25">
      <c r="A731">
        <v>170100</v>
      </c>
      <c r="B731">
        <v>2.44</v>
      </c>
      <c r="C731">
        <v>320</v>
      </c>
      <c r="D731" s="9">
        <v>43391</v>
      </c>
      <c r="E731" t="s">
        <v>296</v>
      </c>
      <c r="I731" s="9"/>
    </row>
    <row r="732" spans="1:9" x14ac:dyDescent="0.25">
      <c r="A732">
        <v>170100</v>
      </c>
      <c r="B732">
        <v>2.44</v>
      </c>
      <c r="C732">
        <v>400</v>
      </c>
      <c r="D732" s="9">
        <v>43391</v>
      </c>
      <c r="E732" t="s">
        <v>296</v>
      </c>
      <c r="I732" s="9"/>
    </row>
    <row r="733" spans="1:9" x14ac:dyDescent="0.25">
      <c r="A733">
        <v>170100</v>
      </c>
      <c r="B733">
        <v>10.5</v>
      </c>
      <c r="C733">
        <v>300</v>
      </c>
      <c r="D733" s="9">
        <v>43235</v>
      </c>
      <c r="E733" t="s">
        <v>295</v>
      </c>
      <c r="I733" s="9"/>
    </row>
    <row r="734" spans="1:9" x14ac:dyDescent="0.25">
      <c r="A734">
        <v>170100</v>
      </c>
      <c r="B734">
        <v>2.33</v>
      </c>
      <c r="C734">
        <v>320</v>
      </c>
      <c r="D734" s="9">
        <v>43131</v>
      </c>
      <c r="E734" t="s">
        <v>296</v>
      </c>
      <c r="I734" s="9"/>
    </row>
    <row r="735" spans="1:9" x14ac:dyDescent="0.25">
      <c r="A735">
        <v>170100</v>
      </c>
      <c r="B735">
        <v>8.48</v>
      </c>
      <c r="C735">
        <v>360</v>
      </c>
      <c r="D735" s="9">
        <v>43123</v>
      </c>
      <c r="E735" t="s">
        <v>295</v>
      </c>
      <c r="I735" s="9"/>
    </row>
    <row r="736" spans="1:9" x14ac:dyDescent="0.25">
      <c r="A736">
        <v>170100</v>
      </c>
      <c r="B736">
        <v>2.23</v>
      </c>
      <c r="C736">
        <v>360</v>
      </c>
      <c r="D736" s="9">
        <v>43067</v>
      </c>
      <c r="E736" t="s">
        <v>296</v>
      </c>
      <c r="I736" s="9"/>
    </row>
    <row r="737" spans="1:9" x14ac:dyDescent="0.25">
      <c r="A737">
        <v>170100</v>
      </c>
      <c r="B737">
        <v>2.1</v>
      </c>
      <c r="C737">
        <v>500</v>
      </c>
      <c r="D737" s="9">
        <v>42836</v>
      </c>
      <c r="E737" t="s">
        <v>296</v>
      </c>
      <c r="I737" s="9"/>
    </row>
    <row r="738" spans="1:9" x14ac:dyDescent="0.25">
      <c r="A738">
        <v>170100</v>
      </c>
      <c r="B738">
        <v>2.02</v>
      </c>
      <c r="C738">
        <v>640</v>
      </c>
      <c r="D738" s="9">
        <v>42585</v>
      </c>
      <c r="E738" t="s">
        <v>296</v>
      </c>
      <c r="I738" s="9"/>
    </row>
    <row r="739" spans="1:9" x14ac:dyDescent="0.25">
      <c r="A739">
        <v>170100</v>
      </c>
      <c r="B739">
        <v>2.08</v>
      </c>
      <c r="C739">
        <v>440</v>
      </c>
      <c r="D739" s="9">
        <v>42397</v>
      </c>
      <c r="E739" t="s">
        <v>296</v>
      </c>
      <c r="I739" s="9"/>
    </row>
    <row r="740" spans="1:9" x14ac:dyDescent="0.25">
      <c r="A740">
        <v>170100</v>
      </c>
      <c r="B740">
        <v>2.08</v>
      </c>
      <c r="C740">
        <v>360</v>
      </c>
      <c r="D740" s="9">
        <v>42191</v>
      </c>
      <c r="E740" t="s">
        <v>296</v>
      </c>
      <c r="I740" s="9"/>
    </row>
    <row r="741" spans="1:9" x14ac:dyDescent="0.25">
      <c r="A741">
        <v>170100</v>
      </c>
      <c r="B741">
        <v>2.1</v>
      </c>
      <c r="C741">
        <v>360</v>
      </c>
      <c r="D741" s="9">
        <v>41947</v>
      </c>
      <c r="E741" t="s">
        <v>296</v>
      </c>
      <c r="I741" s="9"/>
    </row>
    <row r="742" spans="1:9" x14ac:dyDescent="0.25">
      <c r="A742">
        <v>170100</v>
      </c>
      <c r="B742">
        <v>2.1</v>
      </c>
      <c r="C742">
        <v>360</v>
      </c>
      <c r="D742" s="9">
        <v>41746</v>
      </c>
      <c r="E742" t="s">
        <v>296</v>
      </c>
      <c r="I742" s="9"/>
    </row>
    <row r="743" spans="1:9" x14ac:dyDescent="0.25">
      <c r="A743">
        <v>170100</v>
      </c>
      <c r="B743">
        <v>2.08</v>
      </c>
      <c r="C743">
        <v>360</v>
      </c>
      <c r="D743" s="9">
        <v>41618</v>
      </c>
      <c r="E743" t="s">
        <v>296</v>
      </c>
      <c r="I743" s="9"/>
    </row>
    <row r="744" spans="1:9" x14ac:dyDescent="0.25">
      <c r="A744">
        <v>170100</v>
      </c>
      <c r="B744">
        <v>2.0550000000000002</v>
      </c>
      <c r="C744">
        <v>720</v>
      </c>
      <c r="D744" s="9">
        <v>41417</v>
      </c>
      <c r="E744" t="s">
        <v>296</v>
      </c>
      <c r="I744" s="9"/>
    </row>
    <row r="745" spans="1:9" x14ac:dyDescent="0.25">
      <c r="A745">
        <v>170150</v>
      </c>
      <c r="B745">
        <v>3.15</v>
      </c>
      <c r="C745">
        <v>280</v>
      </c>
      <c r="D745" s="9">
        <v>44083</v>
      </c>
      <c r="E745" t="s">
        <v>296</v>
      </c>
      <c r="I745" s="9"/>
    </row>
    <row r="746" spans="1:9" x14ac:dyDescent="0.25">
      <c r="A746">
        <v>170150</v>
      </c>
      <c r="B746">
        <v>3.15</v>
      </c>
      <c r="C746">
        <v>280</v>
      </c>
      <c r="D746" s="9">
        <v>43829</v>
      </c>
      <c r="E746" t="s">
        <v>296</v>
      </c>
      <c r="I746" s="9"/>
    </row>
    <row r="747" spans="1:9" x14ac:dyDescent="0.25">
      <c r="A747">
        <v>170150</v>
      </c>
      <c r="B747">
        <v>3.15</v>
      </c>
      <c r="C747">
        <v>280</v>
      </c>
      <c r="D747" s="9">
        <v>43391</v>
      </c>
      <c r="E747" t="s">
        <v>296</v>
      </c>
      <c r="I747" s="9"/>
    </row>
    <row r="748" spans="1:9" x14ac:dyDescent="0.25">
      <c r="A748">
        <v>170150</v>
      </c>
      <c r="B748">
        <v>3.15</v>
      </c>
      <c r="C748">
        <v>280</v>
      </c>
      <c r="D748" s="9">
        <v>43391</v>
      </c>
      <c r="E748" t="s">
        <v>296</v>
      </c>
      <c r="I748" s="9"/>
    </row>
    <row r="749" spans="1:9" x14ac:dyDescent="0.25">
      <c r="A749">
        <v>170150</v>
      </c>
      <c r="B749">
        <v>14.33</v>
      </c>
      <c r="C749">
        <v>400</v>
      </c>
      <c r="D749" s="9">
        <v>43235</v>
      </c>
      <c r="E749" t="s">
        <v>295</v>
      </c>
      <c r="I749" s="9"/>
    </row>
    <row r="750" spans="1:9" x14ac:dyDescent="0.25">
      <c r="A750">
        <v>170150</v>
      </c>
      <c r="B750">
        <v>3.15</v>
      </c>
      <c r="C750">
        <v>280</v>
      </c>
      <c r="D750" s="9">
        <v>43131</v>
      </c>
      <c r="E750" t="s">
        <v>296</v>
      </c>
      <c r="I750" s="9"/>
    </row>
    <row r="751" spans="1:9" x14ac:dyDescent="0.25">
      <c r="A751">
        <v>170150</v>
      </c>
      <c r="B751">
        <v>10.7</v>
      </c>
      <c r="C751">
        <v>280</v>
      </c>
      <c r="D751" s="9">
        <v>43123</v>
      </c>
      <c r="E751" t="s">
        <v>295</v>
      </c>
      <c r="I751" s="9"/>
    </row>
    <row r="752" spans="1:9" x14ac:dyDescent="0.25">
      <c r="A752">
        <v>170150</v>
      </c>
      <c r="B752">
        <v>2.85</v>
      </c>
      <c r="C752">
        <v>280</v>
      </c>
      <c r="D752" s="9">
        <v>43067</v>
      </c>
      <c r="E752" t="s">
        <v>296</v>
      </c>
      <c r="I752" s="9"/>
    </row>
    <row r="753" spans="1:9" x14ac:dyDescent="0.25">
      <c r="A753">
        <v>170150</v>
      </c>
      <c r="B753">
        <v>2.85</v>
      </c>
      <c r="C753">
        <v>320</v>
      </c>
      <c r="D753" s="9">
        <v>42836</v>
      </c>
      <c r="E753" t="s">
        <v>296</v>
      </c>
      <c r="I753" s="9"/>
    </row>
    <row r="754" spans="1:9" x14ac:dyDescent="0.25">
      <c r="A754">
        <v>170150</v>
      </c>
      <c r="B754">
        <v>2.78</v>
      </c>
      <c r="C754">
        <v>320</v>
      </c>
      <c r="D754" s="9">
        <v>42585</v>
      </c>
      <c r="E754" t="s">
        <v>296</v>
      </c>
      <c r="I754" s="9"/>
    </row>
    <row r="755" spans="1:9" x14ac:dyDescent="0.25">
      <c r="A755">
        <v>170150</v>
      </c>
      <c r="B755">
        <v>3.02</v>
      </c>
      <c r="C755">
        <v>320</v>
      </c>
      <c r="D755" s="9">
        <v>42299</v>
      </c>
      <c r="E755" t="s">
        <v>296</v>
      </c>
      <c r="I755" s="9"/>
    </row>
    <row r="756" spans="1:9" x14ac:dyDescent="0.25">
      <c r="A756">
        <v>170150</v>
      </c>
      <c r="B756">
        <v>3.02</v>
      </c>
      <c r="C756">
        <v>320</v>
      </c>
      <c r="D756" s="9">
        <v>42191</v>
      </c>
      <c r="E756" t="s">
        <v>296</v>
      </c>
      <c r="I756" s="9"/>
    </row>
    <row r="757" spans="1:9" x14ac:dyDescent="0.25">
      <c r="A757">
        <v>170150</v>
      </c>
      <c r="B757">
        <v>3.03</v>
      </c>
      <c r="C757">
        <v>320</v>
      </c>
      <c r="D757" s="9">
        <v>41877</v>
      </c>
      <c r="E757" t="s">
        <v>296</v>
      </c>
      <c r="I757" s="9"/>
    </row>
    <row r="758" spans="1:9" x14ac:dyDescent="0.25">
      <c r="A758">
        <v>170150</v>
      </c>
      <c r="B758">
        <v>3.05</v>
      </c>
      <c r="C758">
        <v>320</v>
      </c>
      <c r="D758" s="9">
        <v>41682</v>
      </c>
      <c r="E758" t="s">
        <v>296</v>
      </c>
      <c r="I758" s="9"/>
    </row>
    <row r="759" spans="1:9" x14ac:dyDescent="0.25">
      <c r="A759">
        <v>170150</v>
      </c>
      <c r="B759">
        <v>2.9750000000000001</v>
      </c>
      <c r="C759">
        <v>280</v>
      </c>
      <c r="D759" s="9">
        <v>41281</v>
      </c>
      <c r="E759" t="s">
        <v>296</v>
      </c>
      <c r="I759" s="9"/>
    </row>
    <row r="760" spans="1:9" x14ac:dyDescent="0.25">
      <c r="A760">
        <v>170200</v>
      </c>
      <c r="B760">
        <v>4.5999999999999996</v>
      </c>
      <c r="C760">
        <v>100</v>
      </c>
      <c r="D760" s="9">
        <v>44018</v>
      </c>
      <c r="E760" t="s">
        <v>296</v>
      </c>
      <c r="I760" s="9"/>
    </row>
    <row r="761" spans="1:9" x14ac:dyDescent="0.25">
      <c r="A761">
        <v>170200</v>
      </c>
      <c r="B761">
        <v>4.5999999999999996</v>
      </c>
      <c r="C761">
        <v>100</v>
      </c>
      <c r="D761" s="9">
        <v>43955</v>
      </c>
      <c r="E761" t="s">
        <v>296</v>
      </c>
      <c r="I761" s="9"/>
    </row>
    <row r="762" spans="1:9" x14ac:dyDescent="0.25">
      <c r="A762">
        <v>170200</v>
      </c>
      <c r="B762">
        <v>4.5999999999999996</v>
      </c>
      <c r="C762">
        <v>100</v>
      </c>
      <c r="D762" s="9">
        <v>43760</v>
      </c>
      <c r="E762" t="s">
        <v>296</v>
      </c>
      <c r="I762" s="9"/>
    </row>
    <row r="763" spans="1:9" x14ac:dyDescent="0.25">
      <c r="A763">
        <v>170200</v>
      </c>
      <c r="B763">
        <v>4.8499999999999996</v>
      </c>
      <c r="C763">
        <v>100</v>
      </c>
      <c r="D763" s="9">
        <v>43605</v>
      </c>
      <c r="E763" t="s">
        <v>296</v>
      </c>
      <c r="I763" s="9"/>
    </row>
    <row r="764" spans="1:9" x14ac:dyDescent="0.25">
      <c r="A764">
        <v>170200</v>
      </c>
      <c r="B764">
        <v>5</v>
      </c>
      <c r="C764">
        <v>100</v>
      </c>
      <c r="D764" s="9">
        <v>43391</v>
      </c>
      <c r="E764" t="s">
        <v>296</v>
      </c>
      <c r="I764" s="9"/>
    </row>
    <row r="765" spans="1:9" x14ac:dyDescent="0.25">
      <c r="A765">
        <v>170200</v>
      </c>
      <c r="B765">
        <v>4.8499999999999996</v>
      </c>
      <c r="C765">
        <v>100</v>
      </c>
      <c r="D765" s="9">
        <v>43131</v>
      </c>
      <c r="E765" t="s">
        <v>296</v>
      </c>
      <c r="I765" s="9"/>
    </row>
    <row r="766" spans="1:9" x14ac:dyDescent="0.25">
      <c r="A766">
        <v>170200</v>
      </c>
      <c r="B766">
        <v>18.34</v>
      </c>
      <c r="C766">
        <v>200</v>
      </c>
      <c r="D766" s="9">
        <v>43123</v>
      </c>
      <c r="E766" t="s">
        <v>295</v>
      </c>
      <c r="I766" s="9"/>
    </row>
    <row r="767" spans="1:9" x14ac:dyDescent="0.25">
      <c r="A767">
        <v>170200</v>
      </c>
      <c r="B767">
        <v>4.8499999999999996</v>
      </c>
      <c r="C767">
        <v>200</v>
      </c>
      <c r="D767" s="9">
        <v>43067</v>
      </c>
      <c r="E767" t="s">
        <v>296</v>
      </c>
      <c r="I767" s="9"/>
    </row>
    <row r="768" spans="1:9" x14ac:dyDescent="0.25">
      <c r="A768">
        <v>170200</v>
      </c>
      <c r="B768">
        <v>4.43</v>
      </c>
      <c r="C768">
        <v>160</v>
      </c>
      <c r="D768" s="9">
        <v>42836</v>
      </c>
      <c r="E768" t="s">
        <v>296</v>
      </c>
      <c r="I768" s="9"/>
    </row>
    <row r="769" spans="1:9" x14ac:dyDescent="0.25">
      <c r="A769">
        <v>170200</v>
      </c>
      <c r="B769">
        <v>4.3</v>
      </c>
      <c r="C769">
        <v>160</v>
      </c>
      <c r="D769" s="9">
        <v>42585</v>
      </c>
      <c r="E769" t="s">
        <v>296</v>
      </c>
      <c r="I769" s="9"/>
    </row>
    <row r="770" spans="1:9" x14ac:dyDescent="0.25">
      <c r="A770">
        <v>170200</v>
      </c>
      <c r="B770">
        <v>4.63</v>
      </c>
      <c r="C770">
        <v>160</v>
      </c>
      <c r="D770" s="9">
        <v>42299</v>
      </c>
      <c r="E770" t="s">
        <v>296</v>
      </c>
      <c r="I770" s="9"/>
    </row>
    <row r="771" spans="1:9" x14ac:dyDescent="0.25">
      <c r="A771">
        <v>170200</v>
      </c>
      <c r="B771">
        <v>4.6500000000000004</v>
      </c>
      <c r="C771">
        <v>200</v>
      </c>
      <c r="D771" s="9">
        <v>41877</v>
      </c>
      <c r="E771" t="s">
        <v>296</v>
      </c>
      <c r="I771" s="9"/>
    </row>
    <row r="772" spans="1:9" x14ac:dyDescent="0.25">
      <c r="A772">
        <v>170200</v>
      </c>
      <c r="B772">
        <v>4.6500000000000004</v>
      </c>
      <c r="C772">
        <v>180</v>
      </c>
      <c r="D772" s="9">
        <v>41618</v>
      </c>
      <c r="E772" t="s">
        <v>296</v>
      </c>
      <c r="I772" s="9"/>
    </row>
    <row r="773" spans="1:9" x14ac:dyDescent="0.25">
      <c r="A773">
        <v>170200</v>
      </c>
      <c r="B773">
        <v>4.66</v>
      </c>
      <c r="C773">
        <v>200</v>
      </c>
      <c r="D773" s="9">
        <v>41417</v>
      </c>
      <c r="E773" t="s">
        <v>296</v>
      </c>
      <c r="I773" s="9"/>
    </row>
    <row r="774" spans="1:9" x14ac:dyDescent="0.25">
      <c r="A774">
        <v>170200</v>
      </c>
      <c r="B774">
        <v>4.6660000000000004</v>
      </c>
      <c r="C774">
        <v>200</v>
      </c>
      <c r="D774" s="9">
        <v>41281</v>
      </c>
      <c r="E774" t="s">
        <v>296</v>
      </c>
      <c r="I774" s="9"/>
    </row>
    <row r="775" spans="1:9" x14ac:dyDescent="0.25">
      <c r="A775">
        <v>172100</v>
      </c>
      <c r="B775">
        <v>2.48</v>
      </c>
      <c r="C775">
        <v>240</v>
      </c>
      <c r="D775" s="9">
        <v>44034</v>
      </c>
      <c r="E775" t="s">
        <v>296</v>
      </c>
      <c r="I775" s="9"/>
    </row>
    <row r="776" spans="1:9" x14ac:dyDescent="0.25">
      <c r="A776">
        <v>172100</v>
      </c>
      <c r="B776">
        <v>2.48</v>
      </c>
      <c r="C776">
        <v>240</v>
      </c>
      <c r="D776" s="9">
        <v>43760</v>
      </c>
      <c r="E776" t="s">
        <v>296</v>
      </c>
      <c r="I776" s="9"/>
    </row>
    <row r="777" spans="1:9" x14ac:dyDescent="0.25">
      <c r="A777">
        <v>172100</v>
      </c>
      <c r="B777">
        <v>2.5299999999999998</v>
      </c>
      <c r="C777">
        <v>280</v>
      </c>
      <c r="D777" s="9">
        <v>43605</v>
      </c>
      <c r="E777" t="s">
        <v>296</v>
      </c>
      <c r="I777" s="9"/>
    </row>
    <row r="778" spans="1:9" x14ac:dyDescent="0.25">
      <c r="A778">
        <v>172100</v>
      </c>
      <c r="B778">
        <v>2.1</v>
      </c>
      <c r="C778">
        <v>400</v>
      </c>
      <c r="D778" s="9">
        <v>42836</v>
      </c>
      <c r="E778" t="s">
        <v>296</v>
      </c>
      <c r="I778" s="9"/>
    </row>
    <row r="779" spans="1:9" x14ac:dyDescent="0.25">
      <c r="A779">
        <v>172100</v>
      </c>
      <c r="B779">
        <v>2.0499999999999998</v>
      </c>
      <c r="C779">
        <v>400</v>
      </c>
      <c r="D779" s="9">
        <v>42617</v>
      </c>
      <c r="E779" t="s">
        <v>296</v>
      </c>
      <c r="I779" s="9"/>
    </row>
    <row r="780" spans="1:9" x14ac:dyDescent="0.25">
      <c r="A780">
        <v>172100</v>
      </c>
      <c r="B780">
        <v>12.08</v>
      </c>
      <c r="C780">
        <v>30</v>
      </c>
      <c r="D780" s="9">
        <v>42507</v>
      </c>
      <c r="E780" t="s">
        <v>295</v>
      </c>
      <c r="I780" s="9"/>
    </row>
    <row r="781" spans="1:9" x14ac:dyDescent="0.25">
      <c r="A781">
        <v>172100</v>
      </c>
      <c r="B781">
        <v>2.04</v>
      </c>
      <c r="C781">
        <v>400</v>
      </c>
      <c r="D781" s="9">
        <v>42494</v>
      </c>
      <c r="E781" t="s">
        <v>296</v>
      </c>
      <c r="I781" s="9"/>
    </row>
    <row r="782" spans="1:9" x14ac:dyDescent="0.25">
      <c r="A782">
        <v>172100</v>
      </c>
      <c r="B782">
        <v>2.1800000000000002</v>
      </c>
      <c r="C782">
        <v>320</v>
      </c>
      <c r="D782" s="9">
        <v>42299</v>
      </c>
      <c r="E782" t="s">
        <v>296</v>
      </c>
      <c r="I782" s="9"/>
    </row>
    <row r="783" spans="1:9" x14ac:dyDescent="0.25">
      <c r="A783">
        <v>172100</v>
      </c>
      <c r="B783">
        <v>2.1800000000000002</v>
      </c>
      <c r="C783">
        <v>320</v>
      </c>
      <c r="D783" s="9">
        <v>41877</v>
      </c>
      <c r="E783" t="s">
        <v>296</v>
      </c>
      <c r="I783" s="9"/>
    </row>
    <row r="784" spans="1:9" x14ac:dyDescent="0.25">
      <c r="A784">
        <v>172100</v>
      </c>
      <c r="B784">
        <v>2.1850000000000001</v>
      </c>
      <c r="C784">
        <v>320</v>
      </c>
      <c r="D784" s="9">
        <v>41682</v>
      </c>
      <c r="E784" t="s">
        <v>296</v>
      </c>
      <c r="I784" s="9"/>
    </row>
    <row r="785" spans="1:9" x14ac:dyDescent="0.25">
      <c r="A785">
        <v>172100</v>
      </c>
      <c r="B785">
        <v>2.1960000000000002</v>
      </c>
      <c r="C785">
        <v>360</v>
      </c>
      <c r="D785" s="9">
        <v>41618</v>
      </c>
      <c r="E785" t="s">
        <v>296</v>
      </c>
      <c r="I785" s="9"/>
    </row>
    <row r="786" spans="1:9" x14ac:dyDescent="0.25">
      <c r="A786">
        <v>172100</v>
      </c>
      <c r="B786">
        <v>2.169</v>
      </c>
      <c r="C786">
        <v>400</v>
      </c>
      <c r="D786" s="9">
        <v>41281</v>
      </c>
      <c r="E786" t="s">
        <v>296</v>
      </c>
      <c r="I786" s="9"/>
    </row>
    <row r="787" spans="1:9" x14ac:dyDescent="0.25">
      <c r="A787">
        <v>172100</v>
      </c>
      <c r="B787">
        <v>2.169</v>
      </c>
      <c r="C787">
        <v>560</v>
      </c>
      <c r="D787" s="9">
        <v>41281</v>
      </c>
      <c r="E787" t="s">
        <v>296</v>
      </c>
      <c r="I787" s="9"/>
    </row>
    <row r="788" spans="1:9" x14ac:dyDescent="0.25">
      <c r="A788">
        <v>172150</v>
      </c>
      <c r="B788">
        <v>3.8879999999999999</v>
      </c>
      <c r="C788">
        <v>240</v>
      </c>
      <c r="D788" s="9">
        <v>44111</v>
      </c>
      <c r="E788" t="s">
        <v>296</v>
      </c>
      <c r="I788" s="9"/>
    </row>
    <row r="789" spans="1:9" x14ac:dyDescent="0.25">
      <c r="A789">
        <v>172150</v>
      </c>
      <c r="B789">
        <v>3.8879999999999999</v>
      </c>
      <c r="C789">
        <v>240</v>
      </c>
      <c r="D789" s="9">
        <v>43955</v>
      </c>
      <c r="E789" t="s">
        <v>296</v>
      </c>
      <c r="I789" s="9"/>
    </row>
    <row r="790" spans="1:9" x14ac:dyDescent="0.25">
      <c r="A790">
        <v>172150</v>
      </c>
      <c r="B790">
        <v>3.8879999999999999</v>
      </c>
      <c r="C790">
        <v>240</v>
      </c>
      <c r="D790" s="9">
        <v>43605</v>
      </c>
      <c r="E790" t="s">
        <v>296</v>
      </c>
      <c r="I790" s="9"/>
    </row>
    <row r="791" spans="1:9" x14ac:dyDescent="0.25">
      <c r="A791">
        <v>172150</v>
      </c>
      <c r="B791">
        <v>3.11</v>
      </c>
      <c r="C791">
        <v>240</v>
      </c>
      <c r="D791" s="9">
        <v>43244</v>
      </c>
      <c r="E791" t="s">
        <v>296</v>
      </c>
      <c r="I791" s="9"/>
    </row>
    <row r="792" spans="1:9" x14ac:dyDescent="0.25">
      <c r="A792">
        <v>172150</v>
      </c>
      <c r="B792">
        <v>3.11</v>
      </c>
      <c r="C792">
        <v>240</v>
      </c>
      <c r="D792" s="9">
        <v>42617</v>
      </c>
      <c r="E792" t="s">
        <v>296</v>
      </c>
      <c r="I792" s="9"/>
    </row>
    <row r="793" spans="1:9" x14ac:dyDescent="0.25">
      <c r="A793">
        <v>172150</v>
      </c>
      <c r="B793">
        <v>3.16</v>
      </c>
      <c r="C793">
        <v>240</v>
      </c>
      <c r="D793" s="9">
        <v>42494</v>
      </c>
      <c r="E793" t="s">
        <v>296</v>
      </c>
      <c r="I793" s="9"/>
    </row>
    <row r="794" spans="1:9" x14ac:dyDescent="0.25">
      <c r="A794">
        <v>172150</v>
      </c>
      <c r="B794">
        <v>3.3</v>
      </c>
      <c r="C794">
        <v>240</v>
      </c>
      <c r="D794" s="9">
        <v>42299</v>
      </c>
      <c r="E794" t="s">
        <v>296</v>
      </c>
      <c r="I794" s="9"/>
    </row>
    <row r="795" spans="1:9" x14ac:dyDescent="0.25">
      <c r="A795">
        <v>172150</v>
      </c>
      <c r="B795">
        <v>3.3</v>
      </c>
      <c r="C795">
        <v>360</v>
      </c>
      <c r="D795" s="9">
        <v>41746</v>
      </c>
      <c r="E795" t="s">
        <v>296</v>
      </c>
      <c r="I795" s="9"/>
    </row>
    <row r="796" spans="1:9" x14ac:dyDescent="0.25">
      <c r="A796">
        <v>172200</v>
      </c>
      <c r="B796">
        <v>5.68</v>
      </c>
      <c r="C796">
        <v>120</v>
      </c>
      <c r="D796" s="9">
        <v>43955</v>
      </c>
      <c r="E796" t="s">
        <v>296</v>
      </c>
      <c r="I796" s="9"/>
    </row>
    <row r="797" spans="1:9" x14ac:dyDescent="0.25">
      <c r="A797">
        <v>172200</v>
      </c>
      <c r="B797">
        <v>5.68</v>
      </c>
      <c r="C797">
        <v>120</v>
      </c>
      <c r="D797" s="9">
        <v>43605</v>
      </c>
      <c r="E797" t="s">
        <v>296</v>
      </c>
      <c r="I797" s="9"/>
    </row>
    <row r="798" spans="1:9" x14ac:dyDescent="0.25">
      <c r="A798">
        <v>172200</v>
      </c>
      <c r="B798">
        <v>4.45</v>
      </c>
      <c r="C798">
        <v>120</v>
      </c>
      <c r="D798" s="9">
        <v>43244</v>
      </c>
      <c r="E798" t="s">
        <v>296</v>
      </c>
      <c r="I798" s="9"/>
    </row>
    <row r="799" spans="1:9" x14ac:dyDescent="0.25">
      <c r="A799">
        <v>173101</v>
      </c>
      <c r="B799">
        <v>1.95</v>
      </c>
      <c r="C799">
        <v>400</v>
      </c>
      <c r="D799" s="9">
        <v>43244</v>
      </c>
      <c r="E799" t="s">
        <v>296</v>
      </c>
      <c r="I799" s="9"/>
    </row>
    <row r="800" spans="1:9" x14ac:dyDescent="0.25">
      <c r="A800">
        <v>173101</v>
      </c>
      <c r="B800">
        <v>1.95</v>
      </c>
      <c r="C800">
        <v>400</v>
      </c>
      <c r="D800" s="9">
        <v>42836</v>
      </c>
      <c r="E800" t="s">
        <v>296</v>
      </c>
      <c r="I800" s="9"/>
    </row>
    <row r="801" spans="1:9" x14ac:dyDescent="0.25">
      <c r="A801">
        <v>173101</v>
      </c>
      <c r="B801">
        <v>2</v>
      </c>
      <c r="C801">
        <v>300</v>
      </c>
      <c r="D801" s="9">
        <v>42656</v>
      </c>
      <c r="E801" t="s">
        <v>296</v>
      </c>
      <c r="I801" s="9"/>
    </row>
    <row r="802" spans="1:9" x14ac:dyDescent="0.25">
      <c r="A802">
        <v>173101</v>
      </c>
      <c r="B802">
        <v>2.04</v>
      </c>
      <c r="C802">
        <v>360</v>
      </c>
      <c r="D802" s="9">
        <v>42494</v>
      </c>
      <c r="E802" t="s">
        <v>296</v>
      </c>
      <c r="I802" s="9"/>
    </row>
    <row r="803" spans="1:9" x14ac:dyDescent="0.25">
      <c r="A803">
        <v>173101</v>
      </c>
      <c r="B803">
        <v>2.25</v>
      </c>
      <c r="C803">
        <v>360</v>
      </c>
      <c r="D803" s="9">
        <v>42031</v>
      </c>
      <c r="E803" t="s">
        <v>296</v>
      </c>
      <c r="I803" s="9"/>
    </row>
    <row r="804" spans="1:9" x14ac:dyDescent="0.25">
      <c r="A804">
        <v>173101</v>
      </c>
      <c r="B804">
        <v>2.2650000000000001</v>
      </c>
      <c r="C804">
        <v>480</v>
      </c>
      <c r="D804" s="9">
        <v>41618</v>
      </c>
      <c r="E804" t="s">
        <v>296</v>
      </c>
      <c r="I804" s="9"/>
    </row>
    <row r="805" spans="1:9" x14ac:dyDescent="0.25">
      <c r="A805">
        <v>173151</v>
      </c>
      <c r="B805">
        <v>3.05</v>
      </c>
      <c r="C805">
        <v>280</v>
      </c>
      <c r="D805" s="9">
        <v>42836</v>
      </c>
      <c r="E805" t="s">
        <v>296</v>
      </c>
      <c r="I805" s="9"/>
    </row>
    <row r="806" spans="1:9" x14ac:dyDescent="0.25">
      <c r="A806">
        <v>173151</v>
      </c>
      <c r="B806">
        <v>3.14</v>
      </c>
      <c r="C806">
        <v>240</v>
      </c>
      <c r="D806" s="9">
        <v>42494</v>
      </c>
      <c r="E806" t="s">
        <v>296</v>
      </c>
      <c r="I806" s="9"/>
    </row>
    <row r="807" spans="1:9" x14ac:dyDescent="0.25">
      <c r="A807">
        <v>173151</v>
      </c>
      <c r="B807">
        <v>3.34</v>
      </c>
      <c r="C807">
        <v>280</v>
      </c>
      <c r="D807" s="9">
        <v>42031</v>
      </c>
      <c r="E807" t="s">
        <v>296</v>
      </c>
      <c r="I807" s="9"/>
    </row>
    <row r="808" spans="1:9" x14ac:dyDescent="0.25">
      <c r="A808">
        <v>173182</v>
      </c>
      <c r="B808">
        <v>18.489999999999998</v>
      </c>
      <c r="C808">
        <v>100</v>
      </c>
      <c r="D808" s="9">
        <v>43123</v>
      </c>
      <c r="E808" t="s">
        <v>295</v>
      </c>
      <c r="I808" s="9"/>
    </row>
    <row r="809" spans="1:9" x14ac:dyDescent="0.25">
      <c r="A809">
        <v>173182</v>
      </c>
      <c r="B809">
        <v>4.88</v>
      </c>
      <c r="C809">
        <v>100</v>
      </c>
      <c r="D809" s="9">
        <v>43067</v>
      </c>
      <c r="E809" t="s">
        <v>296</v>
      </c>
      <c r="I809" s="9"/>
    </row>
    <row r="810" spans="1:9" x14ac:dyDescent="0.25">
      <c r="A810">
        <v>173182</v>
      </c>
      <c r="B810">
        <v>4.88</v>
      </c>
      <c r="C810">
        <v>100</v>
      </c>
      <c r="D810" s="9">
        <v>42656</v>
      </c>
      <c r="E810" t="s">
        <v>296</v>
      </c>
      <c r="I810" s="9"/>
    </row>
    <row r="811" spans="1:9" x14ac:dyDescent="0.25">
      <c r="A811">
        <v>173182</v>
      </c>
      <c r="B811">
        <v>4.88</v>
      </c>
      <c r="C811">
        <v>100</v>
      </c>
      <c r="D811" s="9">
        <v>42530</v>
      </c>
      <c r="E811" t="s">
        <v>296</v>
      </c>
      <c r="I811" s="9"/>
    </row>
    <row r="812" spans="1:9" x14ac:dyDescent="0.25">
      <c r="A812">
        <v>173182</v>
      </c>
      <c r="B812">
        <v>5.09</v>
      </c>
      <c r="C812">
        <v>100</v>
      </c>
      <c r="D812" s="9">
        <v>42299</v>
      </c>
      <c r="E812" t="s">
        <v>296</v>
      </c>
      <c r="I812" s="9"/>
    </row>
    <row r="813" spans="1:9" x14ac:dyDescent="0.25">
      <c r="A813">
        <v>173182</v>
      </c>
      <c r="B813">
        <v>5.09</v>
      </c>
      <c r="C813">
        <v>160</v>
      </c>
      <c r="D813" s="9">
        <v>41682</v>
      </c>
      <c r="E813" t="s">
        <v>296</v>
      </c>
      <c r="I813" s="9"/>
    </row>
    <row r="814" spans="1:9" x14ac:dyDescent="0.25">
      <c r="A814">
        <v>180192</v>
      </c>
      <c r="B814">
        <v>1.1499999999999999</v>
      </c>
      <c r="C814">
        <v>720</v>
      </c>
      <c r="D814" s="9">
        <v>44098</v>
      </c>
      <c r="E814" t="s">
        <v>296</v>
      </c>
      <c r="I814" s="9"/>
    </row>
    <row r="815" spans="1:9" x14ac:dyDescent="0.25">
      <c r="A815">
        <v>180192</v>
      </c>
      <c r="B815">
        <v>1.1499999999999999</v>
      </c>
      <c r="C815">
        <v>720</v>
      </c>
      <c r="D815" s="9">
        <v>43829</v>
      </c>
      <c r="E815" t="s">
        <v>296</v>
      </c>
      <c r="I815" s="9"/>
    </row>
    <row r="816" spans="1:9" x14ac:dyDescent="0.25">
      <c r="A816">
        <v>180192</v>
      </c>
      <c r="B816">
        <v>1.1499999999999999</v>
      </c>
      <c r="C816">
        <v>840</v>
      </c>
      <c r="D816" s="9">
        <v>43605</v>
      </c>
      <c r="E816" t="s">
        <v>296</v>
      </c>
      <c r="I816" s="9"/>
    </row>
    <row r="817" spans="1:9" x14ac:dyDescent="0.25">
      <c r="A817">
        <v>180192</v>
      </c>
      <c r="B817">
        <v>1.1499999999999999</v>
      </c>
      <c r="C817">
        <v>720</v>
      </c>
      <c r="D817" s="9">
        <v>43391</v>
      </c>
      <c r="E817" t="s">
        <v>296</v>
      </c>
      <c r="I817" s="9"/>
    </row>
    <row r="818" spans="1:9" x14ac:dyDescent="0.25">
      <c r="A818">
        <v>180192</v>
      </c>
      <c r="B818">
        <v>1.1499999999999999</v>
      </c>
      <c r="C818">
        <v>1680</v>
      </c>
      <c r="D818" s="9">
        <v>42585</v>
      </c>
      <c r="E818" t="s">
        <v>296</v>
      </c>
      <c r="I818" s="9"/>
    </row>
    <row r="819" spans="1:9" x14ac:dyDescent="0.25">
      <c r="A819">
        <v>180192</v>
      </c>
      <c r="B819">
        <v>1.19</v>
      </c>
      <c r="C819">
        <v>840</v>
      </c>
      <c r="D819" s="9">
        <v>42380</v>
      </c>
      <c r="E819" t="s">
        <v>296</v>
      </c>
      <c r="I819" s="9"/>
    </row>
    <row r="820" spans="1:9" x14ac:dyDescent="0.25">
      <c r="A820">
        <v>180192</v>
      </c>
      <c r="B820">
        <v>1.19</v>
      </c>
      <c r="C820">
        <v>840</v>
      </c>
      <c r="D820" s="9">
        <v>42191</v>
      </c>
      <c r="E820" t="s">
        <v>296</v>
      </c>
      <c r="I820" s="9"/>
    </row>
    <row r="821" spans="1:9" x14ac:dyDescent="0.25">
      <c r="A821">
        <v>180192</v>
      </c>
      <c r="B821">
        <v>1.18</v>
      </c>
      <c r="C821">
        <v>960</v>
      </c>
      <c r="D821" s="9">
        <v>41765</v>
      </c>
      <c r="E821" t="s">
        <v>296</v>
      </c>
      <c r="I821" s="9"/>
    </row>
    <row r="822" spans="1:9" x14ac:dyDescent="0.25">
      <c r="A822">
        <v>180194</v>
      </c>
      <c r="B822">
        <v>1.24</v>
      </c>
      <c r="C822">
        <v>600</v>
      </c>
      <c r="D822" s="9">
        <v>44097</v>
      </c>
      <c r="E822" t="s">
        <v>296</v>
      </c>
      <c r="I822" s="9"/>
    </row>
    <row r="823" spans="1:9" x14ac:dyDescent="0.25">
      <c r="A823">
        <v>180194</v>
      </c>
      <c r="B823">
        <v>1.2</v>
      </c>
      <c r="C823">
        <v>600</v>
      </c>
      <c r="D823" s="9">
        <v>43829</v>
      </c>
      <c r="E823" t="s">
        <v>296</v>
      </c>
      <c r="I823" s="9"/>
    </row>
    <row r="824" spans="1:9" x14ac:dyDescent="0.25">
      <c r="A824">
        <v>180194</v>
      </c>
      <c r="B824">
        <v>1.3149999999999999</v>
      </c>
      <c r="C824">
        <v>540</v>
      </c>
      <c r="D824" s="9">
        <v>43391</v>
      </c>
      <c r="E824" t="s">
        <v>296</v>
      </c>
      <c r="I824" s="9"/>
    </row>
    <row r="825" spans="1:9" x14ac:dyDescent="0.25">
      <c r="A825">
        <v>180194</v>
      </c>
      <c r="B825">
        <v>1.23</v>
      </c>
      <c r="C825">
        <v>600</v>
      </c>
      <c r="D825" s="9">
        <v>43116</v>
      </c>
      <c r="E825" t="s">
        <v>296</v>
      </c>
      <c r="I825" s="9"/>
    </row>
    <row r="826" spans="1:9" x14ac:dyDescent="0.25">
      <c r="A826">
        <v>180194</v>
      </c>
      <c r="B826">
        <v>1.18</v>
      </c>
      <c r="C826">
        <v>960</v>
      </c>
      <c r="D826" s="9">
        <v>42585</v>
      </c>
      <c r="E826" t="s">
        <v>296</v>
      </c>
      <c r="I826" s="9"/>
    </row>
    <row r="827" spans="1:9" x14ac:dyDescent="0.25">
      <c r="A827">
        <v>180194</v>
      </c>
      <c r="B827">
        <v>1.2</v>
      </c>
      <c r="C827">
        <v>576</v>
      </c>
      <c r="D827" s="9">
        <v>42136</v>
      </c>
      <c r="E827" t="s">
        <v>296</v>
      </c>
      <c r="I827" s="9"/>
    </row>
    <row r="828" spans="1:9" x14ac:dyDescent="0.25">
      <c r="A828">
        <v>180194</v>
      </c>
      <c r="B828">
        <v>1.18</v>
      </c>
      <c r="C828">
        <v>864</v>
      </c>
      <c r="D828" s="9">
        <v>41682</v>
      </c>
      <c r="E828" t="s">
        <v>296</v>
      </c>
      <c r="I828" s="9"/>
    </row>
    <row r="829" spans="1:9" x14ac:dyDescent="0.25">
      <c r="A829">
        <v>181170</v>
      </c>
      <c r="B829">
        <v>0.88</v>
      </c>
      <c r="C829">
        <v>660</v>
      </c>
      <c r="D829" s="9">
        <v>44005</v>
      </c>
      <c r="E829" t="s">
        <v>296</v>
      </c>
      <c r="I829" s="9"/>
    </row>
    <row r="830" spans="1:9" x14ac:dyDescent="0.25">
      <c r="A830">
        <v>181170</v>
      </c>
      <c r="B830">
        <v>3.99</v>
      </c>
      <c r="C830">
        <v>200</v>
      </c>
      <c r="D830" s="9">
        <v>43768</v>
      </c>
      <c r="E830" t="s">
        <v>295</v>
      </c>
      <c r="I830" s="9"/>
    </row>
    <row r="831" spans="1:9" x14ac:dyDescent="0.25">
      <c r="A831">
        <v>181170</v>
      </c>
      <c r="B831">
        <v>0.88</v>
      </c>
      <c r="C831">
        <v>540</v>
      </c>
      <c r="D831" s="9">
        <v>43717</v>
      </c>
      <c r="E831" t="s">
        <v>296</v>
      </c>
      <c r="I831" s="9"/>
    </row>
    <row r="832" spans="1:9" x14ac:dyDescent="0.25">
      <c r="A832">
        <v>181170</v>
      </c>
      <c r="B832">
        <v>0.88</v>
      </c>
      <c r="C832">
        <v>720</v>
      </c>
      <c r="D832" s="9">
        <v>43486</v>
      </c>
      <c r="E832" t="s">
        <v>296</v>
      </c>
      <c r="I832" s="9"/>
    </row>
    <row r="833" spans="1:9" x14ac:dyDescent="0.25">
      <c r="A833">
        <v>181170</v>
      </c>
      <c r="B833">
        <v>0.88</v>
      </c>
      <c r="C833">
        <v>420</v>
      </c>
      <c r="D833" s="9">
        <v>43350</v>
      </c>
      <c r="E833" t="s">
        <v>296</v>
      </c>
      <c r="I833" s="9"/>
    </row>
    <row r="834" spans="1:9" x14ac:dyDescent="0.25">
      <c r="A834">
        <v>181170</v>
      </c>
      <c r="B834">
        <v>0.88</v>
      </c>
      <c r="C834">
        <v>420</v>
      </c>
      <c r="D834" s="9">
        <v>43270</v>
      </c>
      <c r="E834" t="s">
        <v>296</v>
      </c>
      <c r="I834" s="9"/>
    </row>
    <row r="835" spans="1:9" x14ac:dyDescent="0.25">
      <c r="A835">
        <v>181170</v>
      </c>
      <c r="B835">
        <v>0.83</v>
      </c>
      <c r="C835">
        <v>960</v>
      </c>
      <c r="D835" s="9">
        <v>42696</v>
      </c>
      <c r="E835" t="s">
        <v>296</v>
      </c>
      <c r="I835" s="9"/>
    </row>
    <row r="836" spans="1:9" x14ac:dyDescent="0.25">
      <c r="A836">
        <v>181170</v>
      </c>
      <c r="B836">
        <v>0.89</v>
      </c>
      <c r="C836">
        <v>1200</v>
      </c>
      <c r="D836" s="9">
        <v>42494</v>
      </c>
      <c r="E836" t="s">
        <v>296</v>
      </c>
      <c r="I836" s="9"/>
    </row>
    <row r="837" spans="1:9" x14ac:dyDescent="0.25">
      <c r="A837">
        <v>181170</v>
      </c>
      <c r="B837">
        <v>0.92500000000000004</v>
      </c>
      <c r="C837">
        <v>1200</v>
      </c>
      <c r="D837" s="9">
        <v>41682</v>
      </c>
      <c r="E837" t="s">
        <v>296</v>
      </c>
      <c r="I837" s="9"/>
    </row>
    <row r="838" spans="1:9" x14ac:dyDescent="0.25">
      <c r="A838">
        <v>181180</v>
      </c>
      <c r="B838">
        <v>0.98</v>
      </c>
      <c r="C838">
        <v>840</v>
      </c>
      <c r="D838" s="9">
        <v>42380</v>
      </c>
      <c r="E838" t="s">
        <v>296</v>
      </c>
      <c r="I838" s="9"/>
    </row>
    <row r="839" spans="1:9" x14ac:dyDescent="0.25">
      <c r="A839">
        <v>181180</v>
      </c>
      <c r="B839">
        <v>0.98</v>
      </c>
      <c r="C839">
        <v>900</v>
      </c>
      <c r="D839" s="9">
        <v>41947</v>
      </c>
      <c r="E839" t="s">
        <v>296</v>
      </c>
      <c r="I839" s="9"/>
    </row>
    <row r="840" spans="1:9" x14ac:dyDescent="0.25">
      <c r="A840">
        <v>181180</v>
      </c>
      <c r="B840">
        <v>0.98</v>
      </c>
      <c r="C840">
        <v>600</v>
      </c>
      <c r="D840" s="9">
        <v>41682</v>
      </c>
      <c r="E840" t="s">
        <v>296</v>
      </c>
      <c r="I840" s="9"/>
    </row>
    <row r="841" spans="1:9" x14ac:dyDescent="0.25">
      <c r="A841">
        <v>182000</v>
      </c>
      <c r="B841">
        <v>1.37</v>
      </c>
      <c r="C841">
        <v>1200</v>
      </c>
      <c r="D841" s="9">
        <v>44091</v>
      </c>
      <c r="E841" t="s">
        <v>296</v>
      </c>
      <c r="I841" s="9"/>
    </row>
    <row r="842" spans="1:9" x14ac:dyDescent="0.25">
      <c r="A842">
        <v>182000</v>
      </c>
      <c r="B842">
        <v>1.37</v>
      </c>
      <c r="C842">
        <v>1320</v>
      </c>
      <c r="D842" s="9">
        <v>43972</v>
      </c>
      <c r="E842" t="s">
        <v>296</v>
      </c>
      <c r="I842" s="9"/>
    </row>
    <row r="843" spans="1:9" x14ac:dyDescent="0.25">
      <c r="A843">
        <v>182000</v>
      </c>
      <c r="B843">
        <v>1.37</v>
      </c>
      <c r="C843">
        <v>1200</v>
      </c>
      <c r="D843" s="9">
        <v>43381</v>
      </c>
      <c r="E843" t="s">
        <v>296</v>
      </c>
      <c r="I843" s="9"/>
    </row>
    <row r="844" spans="1:9" x14ac:dyDescent="0.25">
      <c r="A844">
        <v>182000</v>
      </c>
      <c r="B844">
        <v>1.1599999999999999</v>
      </c>
      <c r="C844">
        <v>3024</v>
      </c>
      <c r="D844" s="9">
        <v>43244</v>
      </c>
      <c r="E844" t="s">
        <v>296</v>
      </c>
      <c r="I844" s="9"/>
    </row>
    <row r="845" spans="1:9" x14ac:dyDescent="0.25">
      <c r="A845">
        <v>182000</v>
      </c>
      <c r="B845">
        <v>1.1299999999999999</v>
      </c>
      <c r="C845">
        <v>864</v>
      </c>
      <c r="D845" s="9">
        <v>42919</v>
      </c>
      <c r="E845" t="s">
        <v>296</v>
      </c>
      <c r="I845" s="9"/>
    </row>
    <row r="846" spans="1:9" x14ac:dyDescent="0.25">
      <c r="A846">
        <v>182000</v>
      </c>
      <c r="B846">
        <v>1.1599999999999999</v>
      </c>
      <c r="C846">
        <v>1116</v>
      </c>
      <c r="D846" s="9">
        <v>42676</v>
      </c>
      <c r="E846" t="s">
        <v>297</v>
      </c>
      <c r="I846" s="9"/>
    </row>
    <row r="847" spans="1:9" x14ac:dyDescent="0.25">
      <c r="A847">
        <v>182000</v>
      </c>
      <c r="B847">
        <v>1.1599999999999999</v>
      </c>
      <c r="C847">
        <v>900</v>
      </c>
      <c r="D847" s="9">
        <v>42520</v>
      </c>
      <c r="E847" t="s">
        <v>297</v>
      </c>
      <c r="I847" s="9"/>
    </row>
    <row r="848" spans="1:9" x14ac:dyDescent="0.25">
      <c r="A848">
        <v>182000</v>
      </c>
      <c r="B848">
        <v>5.09</v>
      </c>
      <c r="C848">
        <v>900</v>
      </c>
      <c r="D848" s="9">
        <v>42520</v>
      </c>
      <c r="E848" t="s">
        <v>295</v>
      </c>
      <c r="I848" s="9"/>
    </row>
    <row r="849" spans="1:9" x14ac:dyDescent="0.25">
      <c r="A849">
        <v>182000</v>
      </c>
      <c r="B849">
        <v>1.2210000000000001</v>
      </c>
      <c r="C849">
        <v>1152</v>
      </c>
      <c r="D849" s="9">
        <v>42129</v>
      </c>
      <c r="E849" t="s">
        <v>296</v>
      </c>
      <c r="I849" s="9"/>
    </row>
    <row r="850" spans="1:9" x14ac:dyDescent="0.25">
      <c r="A850">
        <v>182000</v>
      </c>
      <c r="B850">
        <v>3.94</v>
      </c>
      <c r="C850">
        <v>1152</v>
      </c>
      <c r="D850" s="9">
        <v>41957</v>
      </c>
      <c r="E850" t="s">
        <v>295</v>
      </c>
      <c r="I850" s="9"/>
    </row>
    <row r="851" spans="1:9" x14ac:dyDescent="0.25">
      <c r="A851">
        <v>182000</v>
      </c>
      <c r="B851">
        <v>1.1850000000000001</v>
      </c>
      <c r="C851">
        <v>1152</v>
      </c>
      <c r="D851" s="9">
        <v>41912</v>
      </c>
      <c r="E851" t="s">
        <v>296</v>
      </c>
      <c r="I851" s="9"/>
    </row>
    <row r="852" spans="1:9" x14ac:dyDescent="0.25">
      <c r="A852">
        <v>182000</v>
      </c>
      <c r="B852">
        <v>1.1850000000000001</v>
      </c>
      <c r="C852">
        <v>1152</v>
      </c>
      <c r="D852" s="9">
        <v>41744</v>
      </c>
      <c r="E852" t="s">
        <v>296</v>
      </c>
      <c r="I852" s="9"/>
    </row>
    <row r="853" spans="1:9" x14ac:dyDescent="0.25">
      <c r="A853">
        <v>182000</v>
      </c>
      <c r="B853">
        <v>1.1850000000000001</v>
      </c>
      <c r="C853">
        <v>1152</v>
      </c>
      <c r="D853" s="9">
        <v>41617</v>
      </c>
      <c r="E853" t="s">
        <v>296</v>
      </c>
      <c r="I853" s="9"/>
    </row>
    <row r="854" spans="1:9" x14ac:dyDescent="0.25">
      <c r="A854">
        <v>182000</v>
      </c>
      <c r="B854">
        <v>1.129</v>
      </c>
      <c r="C854">
        <v>1152</v>
      </c>
      <c r="D854" s="9">
        <v>41456</v>
      </c>
      <c r="E854" t="s">
        <v>296</v>
      </c>
      <c r="I854" s="9"/>
    </row>
    <row r="855" spans="1:9" x14ac:dyDescent="0.25">
      <c r="A855">
        <v>182060</v>
      </c>
      <c r="B855">
        <v>2.41</v>
      </c>
      <c r="C855">
        <v>960</v>
      </c>
      <c r="D855" s="9">
        <v>43483</v>
      </c>
      <c r="E855" t="s">
        <v>296</v>
      </c>
      <c r="I855" s="9"/>
    </row>
    <row r="856" spans="1:9" x14ac:dyDescent="0.25">
      <c r="A856">
        <v>182060</v>
      </c>
      <c r="B856">
        <v>2.41</v>
      </c>
      <c r="C856">
        <v>920</v>
      </c>
      <c r="D856" s="9">
        <v>43381</v>
      </c>
      <c r="E856" t="s">
        <v>296</v>
      </c>
      <c r="I856" s="9"/>
    </row>
    <row r="857" spans="1:9" x14ac:dyDescent="0.25">
      <c r="A857">
        <v>182060</v>
      </c>
      <c r="B857">
        <v>1.95</v>
      </c>
      <c r="C857">
        <v>576</v>
      </c>
      <c r="D857" s="9">
        <v>43244</v>
      </c>
      <c r="E857" t="s">
        <v>296</v>
      </c>
      <c r="I857" s="9"/>
    </row>
    <row r="858" spans="1:9" x14ac:dyDescent="0.25">
      <c r="A858">
        <v>182060</v>
      </c>
      <c r="B858">
        <v>1.95</v>
      </c>
      <c r="C858">
        <v>576</v>
      </c>
      <c r="D858" s="9">
        <v>42919</v>
      </c>
      <c r="E858" t="s">
        <v>296</v>
      </c>
      <c r="I858" s="9"/>
    </row>
    <row r="859" spans="1:9" x14ac:dyDescent="0.25">
      <c r="A859">
        <v>182060</v>
      </c>
      <c r="B859">
        <v>1.98</v>
      </c>
      <c r="C859">
        <v>480</v>
      </c>
      <c r="D859" s="9">
        <v>42617</v>
      </c>
      <c r="E859" t="s">
        <v>296</v>
      </c>
      <c r="I859" s="9"/>
    </row>
    <row r="860" spans="1:9" x14ac:dyDescent="0.25">
      <c r="A860">
        <v>182060</v>
      </c>
      <c r="B860">
        <v>10.74</v>
      </c>
      <c r="C860">
        <v>384</v>
      </c>
      <c r="D860" s="9">
        <v>42520</v>
      </c>
      <c r="E860" t="s">
        <v>295</v>
      </c>
      <c r="I860" s="9"/>
    </row>
    <row r="861" spans="1:9" x14ac:dyDescent="0.25">
      <c r="A861">
        <v>182060</v>
      </c>
      <c r="B861">
        <v>2.4460000000000002</v>
      </c>
      <c r="C861">
        <v>384</v>
      </c>
      <c r="D861" s="9">
        <v>42520</v>
      </c>
      <c r="E861" t="s">
        <v>297</v>
      </c>
      <c r="I861" s="9"/>
    </row>
    <row r="862" spans="1:9" x14ac:dyDescent="0.25">
      <c r="A862">
        <v>182060</v>
      </c>
      <c r="B862">
        <v>2.4460000000000002</v>
      </c>
      <c r="C862">
        <v>384</v>
      </c>
      <c r="D862" s="9">
        <v>42401</v>
      </c>
      <c r="E862" t="s">
        <v>297</v>
      </c>
      <c r="I862" s="9"/>
    </row>
    <row r="863" spans="1:9" x14ac:dyDescent="0.25">
      <c r="A863">
        <v>182060</v>
      </c>
      <c r="B863">
        <v>2.5750000000000002</v>
      </c>
      <c r="C863">
        <v>480</v>
      </c>
      <c r="D863" s="9">
        <v>42012</v>
      </c>
      <c r="E863" t="s">
        <v>296</v>
      </c>
      <c r="I863" s="9"/>
    </row>
    <row r="864" spans="1:9" x14ac:dyDescent="0.25">
      <c r="A864">
        <v>182060</v>
      </c>
      <c r="B864">
        <v>7.91</v>
      </c>
      <c r="C864">
        <v>480</v>
      </c>
      <c r="D864" s="9">
        <v>41821</v>
      </c>
      <c r="E864" t="s">
        <v>295</v>
      </c>
      <c r="I864" s="9"/>
    </row>
    <row r="865" spans="1:9" x14ac:dyDescent="0.25">
      <c r="A865">
        <v>182060</v>
      </c>
      <c r="B865">
        <v>2.5750000000000002</v>
      </c>
      <c r="C865">
        <v>480</v>
      </c>
      <c r="D865" s="9">
        <v>41821</v>
      </c>
      <c r="E865" t="s">
        <v>296</v>
      </c>
      <c r="I865" s="9"/>
    </row>
    <row r="866" spans="1:9" x14ac:dyDescent="0.25">
      <c r="A866">
        <v>182060</v>
      </c>
      <c r="B866">
        <v>2.5750000000000002</v>
      </c>
      <c r="C866">
        <v>528</v>
      </c>
      <c r="D866" s="9">
        <v>41744</v>
      </c>
      <c r="E866" t="s">
        <v>296</v>
      </c>
      <c r="I866" s="9"/>
    </row>
    <row r="867" spans="1:9" x14ac:dyDescent="0.25">
      <c r="A867">
        <v>182060</v>
      </c>
      <c r="B867">
        <v>2.5</v>
      </c>
      <c r="C867">
        <v>528</v>
      </c>
      <c r="D867" s="9">
        <v>41535</v>
      </c>
      <c r="E867" t="s">
        <v>296</v>
      </c>
      <c r="I867" s="9"/>
    </row>
    <row r="868" spans="1:9" x14ac:dyDescent="0.25">
      <c r="A868">
        <v>182060</v>
      </c>
      <c r="B868">
        <v>2.3809999999999998</v>
      </c>
      <c r="C868">
        <v>504</v>
      </c>
      <c r="D868" s="9">
        <v>41418</v>
      </c>
      <c r="E868" t="s">
        <v>296</v>
      </c>
      <c r="I868" s="9"/>
    </row>
    <row r="869" spans="1:9" x14ac:dyDescent="0.25">
      <c r="A869">
        <v>182070</v>
      </c>
      <c r="B869">
        <v>3.68</v>
      </c>
      <c r="C869">
        <v>240</v>
      </c>
      <c r="D869" s="9">
        <v>43707</v>
      </c>
      <c r="E869" t="s">
        <v>296</v>
      </c>
      <c r="I869" s="9"/>
    </row>
    <row r="870" spans="1:9" x14ac:dyDescent="0.25">
      <c r="A870">
        <v>182070</v>
      </c>
      <c r="B870">
        <v>2.78</v>
      </c>
      <c r="C870">
        <v>360</v>
      </c>
      <c r="D870" s="9">
        <v>42976</v>
      </c>
      <c r="E870" t="s">
        <v>296</v>
      </c>
      <c r="I870" s="9"/>
    </row>
    <row r="871" spans="1:9" x14ac:dyDescent="0.25">
      <c r="A871">
        <v>182070</v>
      </c>
      <c r="B871">
        <v>3.8940000000000001</v>
      </c>
      <c r="C871">
        <v>240</v>
      </c>
      <c r="D871" s="9">
        <v>42401</v>
      </c>
      <c r="E871" t="s">
        <v>297</v>
      </c>
      <c r="I871" s="9"/>
    </row>
    <row r="872" spans="1:9" x14ac:dyDescent="0.25">
      <c r="A872">
        <v>182070</v>
      </c>
      <c r="B872">
        <v>4.0990000000000002</v>
      </c>
      <c r="C872">
        <v>320</v>
      </c>
      <c r="D872" s="9">
        <v>42012</v>
      </c>
      <c r="E872" t="s">
        <v>296</v>
      </c>
      <c r="I872" s="9"/>
    </row>
    <row r="873" spans="1:9" x14ac:dyDescent="0.25">
      <c r="A873">
        <v>182070</v>
      </c>
      <c r="B873">
        <v>3.98</v>
      </c>
      <c r="C873">
        <v>300</v>
      </c>
      <c r="D873" s="9">
        <v>41309</v>
      </c>
      <c r="E873" t="s">
        <v>296</v>
      </c>
      <c r="I873" s="9"/>
    </row>
    <row r="874" spans="1:9" x14ac:dyDescent="0.25">
      <c r="A874">
        <v>182500</v>
      </c>
      <c r="B874">
        <v>1.73</v>
      </c>
      <c r="C874">
        <v>1080</v>
      </c>
      <c r="D874" s="9">
        <v>43686</v>
      </c>
      <c r="E874" t="s">
        <v>296</v>
      </c>
      <c r="I874" s="9"/>
    </row>
    <row r="875" spans="1:9" x14ac:dyDescent="0.25">
      <c r="A875">
        <v>182500</v>
      </c>
      <c r="B875">
        <v>1.73</v>
      </c>
      <c r="C875">
        <v>920</v>
      </c>
      <c r="D875" s="9">
        <v>43381</v>
      </c>
      <c r="E875" t="s">
        <v>296</v>
      </c>
      <c r="I875" s="9"/>
    </row>
    <row r="876" spans="1:9" x14ac:dyDescent="0.25">
      <c r="A876">
        <v>182500</v>
      </c>
      <c r="B876">
        <v>1.4</v>
      </c>
      <c r="C876">
        <v>432</v>
      </c>
      <c r="D876" s="9">
        <v>43244</v>
      </c>
      <c r="E876" t="s">
        <v>296</v>
      </c>
      <c r="I876" s="9"/>
    </row>
    <row r="877" spans="1:9" x14ac:dyDescent="0.25">
      <c r="A877">
        <v>182500</v>
      </c>
      <c r="B877">
        <v>1.4</v>
      </c>
      <c r="C877">
        <v>432</v>
      </c>
      <c r="D877" s="9">
        <v>42919</v>
      </c>
      <c r="E877" t="s">
        <v>296</v>
      </c>
      <c r="I877" s="9"/>
    </row>
    <row r="878" spans="1:9" x14ac:dyDescent="0.25">
      <c r="A878">
        <v>182500</v>
      </c>
      <c r="B878">
        <v>1.45</v>
      </c>
      <c r="C878">
        <v>480</v>
      </c>
      <c r="D878" s="9">
        <v>42617</v>
      </c>
      <c r="E878" t="s">
        <v>296</v>
      </c>
      <c r="I878" s="9"/>
    </row>
    <row r="879" spans="1:9" x14ac:dyDescent="0.25">
      <c r="A879">
        <v>182500</v>
      </c>
      <c r="B879">
        <v>1.5720000000000001</v>
      </c>
      <c r="C879">
        <v>384</v>
      </c>
      <c r="D879" s="9">
        <v>42520</v>
      </c>
      <c r="E879" t="s">
        <v>297</v>
      </c>
      <c r="I879" s="9"/>
    </row>
    <row r="880" spans="1:9" x14ac:dyDescent="0.25">
      <c r="A880">
        <v>182500</v>
      </c>
      <c r="B880">
        <v>6.9</v>
      </c>
      <c r="C880">
        <v>384</v>
      </c>
      <c r="D880" s="9">
        <v>42520</v>
      </c>
      <c r="E880" t="s">
        <v>295</v>
      </c>
      <c r="I880" s="9"/>
    </row>
    <row r="881" spans="1:9" x14ac:dyDescent="0.25">
      <c r="A881">
        <v>182500</v>
      </c>
      <c r="B881">
        <v>1.655</v>
      </c>
      <c r="C881">
        <v>384</v>
      </c>
      <c r="D881" s="9">
        <v>42129</v>
      </c>
      <c r="E881" t="s">
        <v>296</v>
      </c>
      <c r="I881" s="9"/>
    </row>
    <row r="882" spans="1:9" x14ac:dyDescent="0.25">
      <c r="A882">
        <v>182500</v>
      </c>
      <c r="B882">
        <v>1.607</v>
      </c>
      <c r="C882">
        <v>384</v>
      </c>
      <c r="D882" s="9">
        <v>42012</v>
      </c>
      <c r="E882" t="s">
        <v>296</v>
      </c>
      <c r="I882" s="9"/>
    </row>
    <row r="883" spans="1:9" x14ac:dyDescent="0.25">
      <c r="A883">
        <v>182500</v>
      </c>
      <c r="B883">
        <v>1.53</v>
      </c>
      <c r="C883">
        <v>720</v>
      </c>
      <c r="D883" s="9">
        <v>41744</v>
      </c>
      <c r="E883" t="s">
        <v>296</v>
      </c>
      <c r="I883" s="9"/>
    </row>
    <row r="884" spans="1:9" x14ac:dyDescent="0.25">
      <c r="A884">
        <v>182500</v>
      </c>
      <c r="B884">
        <v>1.417</v>
      </c>
      <c r="C884">
        <v>720</v>
      </c>
      <c r="D884" s="9">
        <v>41617</v>
      </c>
      <c r="E884" t="s">
        <v>296</v>
      </c>
      <c r="I884" s="9"/>
    </row>
    <row r="885" spans="1:9" x14ac:dyDescent="0.25">
      <c r="A885">
        <v>183000</v>
      </c>
      <c r="B885">
        <v>2.25</v>
      </c>
      <c r="C885">
        <v>400</v>
      </c>
      <c r="D885" s="9">
        <v>43972</v>
      </c>
      <c r="E885" t="s">
        <v>296</v>
      </c>
      <c r="I885" s="9"/>
    </row>
    <row r="886" spans="1:9" x14ac:dyDescent="0.25">
      <c r="A886">
        <v>183000</v>
      </c>
      <c r="B886">
        <v>2.25</v>
      </c>
      <c r="C886">
        <v>400</v>
      </c>
      <c r="D886" s="9">
        <v>43686</v>
      </c>
      <c r="E886" t="s">
        <v>296</v>
      </c>
      <c r="I886" s="9"/>
    </row>
    <row r="887" spans="1:9" x14ac:dyDescent="0.25">
      <c r="A887">
        <v>183000</v>
      </c>
      <c r="B887">
        <v>2.25</v>
      </c>
      <c r="C887">
        <v>560</v>
      </c>
      <c r="D887" s="9">
        <v>43381</v>
      </c>
      <c r="E887" t="s">
        <v>296</v>
      </c>
      <c r="I887" s="9"/>
    </row>
    <row r="888" spans="1:9" x14ac:dyDescent="0.25">
      <c r="A888">
        <v>183000</v>
      </c>
      <c r="B888">
        <v>2.5499999999999998</v>
      </c>
      <c r="C888">
        <v>600</v>
      </c>
      <c r="D888" s="9">
        <v>43063</v>
      </c>
      <c r="E888" t="s">
        <v>296</v>
      </c>
      <c r="I888" s="9"/>
    </row>
    <row r="889" spans="1:9" x14ac:dyDescent="0.25">
      <c r="A889">
        <v>183000</v>
      </c>
      <c r="B889">
        <v>2.62</v>
      </c>
      <c r="C889">
        <v>300</v>
      </c>
      <c r="D889" s="9">
        <v>42976</v>
      </c>
      <c r="E889" t="s">
        <v>296</v>
      </c>
      <c r="I889" s="9"/>
    </row>
    <row r="890" spans="1:9" x14ac:dyDescent="0.25">
      <c r="A890">
        <v>183000</v>
      </c>
      <c r="B890">
        <v>10.86</v>
      </c>
      <c r="C890">
        <v>360</v>
      </c>
      <c r="D890" s="9">
        <v>42520</v>
      </c>
      <c r="E890" t="s">
        <v>295</v>
      </c>
      <c r="I890" s="9"/>
    </row>
    <row r="891" spans="1:9" x14ac:dyDescent="0.25">
      <c r="A891">
        <v>183000</v>
      </c>
      <c r="B891">
        <v>2.4740000000000002</v>
      </c>
      <c r="C891">
        <v>360</v>
      </c>
      <c r="D891" s="9">
        <v>42520</v>
      </c>
      <c r="E891" t="s">
        <v>297</v>
      </c>
      <c r="I891" s="9"/>
    </row>
    <row r="892" spans="1:9" x14ac:dyDescent="0.25">
      <c r="A892">
        <v>183000</v>
      </c>
      <c r="B892">
        <v>2.6040000000000001</v>
      </c>
      <c r="C892">
        <v>600</v>
      </c>
      <c r="D892" s="9">
        <v>42129</v>
      </c>
      <c r="E892" t="s">
        <v>296</v>
      </c>
      <c r="I892" s="9"/>
    </row>
    <row r="893" spans="1:9" x14ac:dyDescent="0.25">
      <c r="A893">
        <v>183000</v>
      </c>
      <c r="B893">
        <v>2.528</v>
      </c>
      <c r="C893">
        <v>600</v>
      </c>
      <c r="D893" s="9">
        <v>42012</v>
      </c>
      <c r="E893" t="s">
        <v>296</v>
      </c>
      <c r="I893" s="9"/>
    </row>
    <row r="894" spans="1:9" x14ac:dyDescent="0.25">
      <c r="A894">
        <v>183000</v>
      </c>
      <c r="B894">
        <v>2.4540000000000002</v>
      </c>
      <c r="C894">
        <v>400</v>
      </c>
      <c r="D894" s="9">
        <v>41744</v>
      </c>
      <c r="E894" t="s">
        <v>296</v>
      </c>
      <c r="I894" s="9"/>
    </row>
    <row r="895" spans="1:9" x14ac:dyDescent="0.25">
      <c r="A895">
        <v>183000</v>
      </c>
      <c r="B895">
        <v>2.383</v>
      </c>
      <c r="C895">
        <v>600</v>
      </c>
      <c r="D895" s="9">
        <v>41617</v>
      </c>
      <c r="E895" t="s">
        <v>296</v>
      </c>
      <c r="I895" s="9"/>
    </row>
    <row r="896" spans="1:9" x14ac:dyDescent="0.25">
      <c r="A896">
        <v>183010</v>
      </c>
      <c r="B896">
        <v>4.18</v>
      </c>
      <c r="C896">
        <v>60</v>
      </c>
      <c r="D896" s="9">
        <v>44102</v>
      </c>
      <c r="E896" t="s">
        <v>296</v>
      </c>
      <c r="I896" s="9"/>
    </row>
    <row r="897" spans="1:9" x14ac:dyDescent="0.25">
      <c r="A897">
        <v>183010</v>
      </c>
      <c r="B897">
        <v>10.3</v>
      </c>
      <c r="C897">
        <v>224</v>
      </c>
      <c r="D897" s="9">
        <v>43803</v>
      </c>
      <c r="E897" t="s">
        <v>296</v>
      </c>
      <c r="I897" s="9"/>
    </row>
    <row r="898" spans="1:9" x14ac:dyDescent="0.25">
      <c r="A898">
        <v>183010</v>
      </c>
      <c r="B898">
        <v>10.3</v>
      </c>
      <c r="C898">
        <v>224</v>
      </c>
      <c r="D898" s="9">
        <v>43600</v>
      </c>
      <c r="E898" t="s">
        <v>296</v>
      </c>
      <c r="I898" s="9"/>
    </row>
    <row r="899" spans="1:9" x14ac:dyDescent="0.25">
      <c r="A899">
        <v>183010</v>
      </c>
      <c r="B899">
        <v>38.729999999999997</v>
      </c>
      <c r="C899">
        <v>148</v>
      </c>
      <c r="D899" s="9">
        <v>43298</v>
      </c>
      <c r="E899" t="s">
        <v>295</v>
      </c>
      <c r="I899" s="9"/>
    </row>
    <row r="900" spans="1:9" x14ac:dyDescent="0.25">
      <c r="A900">
        <v>183010</v>
      </c>
      <c r="B900">
        <v>10.3</v>
      </c>
      <c r="C900">
        <v>160</v>
      </c>
      <c r="D900" s="9">
        <v>43264</v>
      </c>
      <c r="E900" t="s">
        <v>296</v>
      </c>
      <c r="I900" s="9"/>
    </row>
    <row r="901" spans="1:9" x14ac:dyDescent="0.25">
      <c r="A901">
        <v>183010</v>
      </c>
      <c r="B901">
        <v>12.56</v>
      </c>
      <c r="C901">
        <v>108</v>
      </c>
      <c r="D901" s="9">
        <v>43136</v>
      </c>
      <c r="E901" t="s">
        <v>296</v>
      </c>
      <c r="I901" s="9"/>
    </row>
    <row r="902" spans="1:9" x14ac:dyDescent="0.25">
      <c r="A902">
        <v>183010</v>
      </c>
      <c r="B902">
        <v>42.51</v>
      </c>
      <c r="C902">
        <v>108</v>
      </c>
      <c r="D902" s="9">
        <v>43136</v>
      </c>
      <c r="E902" t="s">
        <v>295</v>
      </c>
      <c r="I902" s="9"/>
    </row>
    <row r="903" spans="1:9" x14ac:dyDescent="0.25">
      <c r="A903">
        <v>183502</v>
      </c>
      <c r="B903">
        <v>1.65</v>
      </c>
      <c r="C903">
        <v>360</v>
      </c>
      <c r="D903" s="9">
        <v>44102</v>
      </c>
      <c r="E903" t="s">
        <v>296</v>
      </c>
      <c r="I903" s="9"/>
    </row>
    <row r="904" spans="1:9" x14ac:dyDescent="0.25">
      <c r="A904">
        <v>183502</v>
      </c>
      <c r="B904">
        <v>1.85</v>
      </c>
      <c r="C904">
        <v>504</v>
      </c>
      <c r="D904" s="9">
        <v>44043</v>
      </c>
      <c r="E904" t="s">
        <v>296</v>
      </c>
      <c r="I904" s="9"/>
    </row>
    <row r="905" spans="1:9" x14ac:dyDescent="0.25">
      <c r="A905">
        <v>183502</v>
      </c>
      <c r="B905">
        <v>1.75</v>
      </c>
      <c r="C905">
        <v>504</v>
      </c>
      <c r="D905" s="9">
        <v>43600</v>
      </c>
      <c r="E905" t="s">
        <v>296</v>
      </c>
      <c r="I905" s="9"/>
    </row>
    <row r="906" spans="1:9" x14ac:dyDescent="0.25">
      <c r="A906">
        <v>183502</v>
      </c>
      <c r="B906">
        <v>1.75</v>
      </c>
      <c r="C906">
        <v>504</v>
      </c>
      <c r="D906" s="9">
        <v>43381</v>
      </c>
      <c r="E906" t="s">
        <v>296</v>
      </c>
      <c r="I906" s="9"/>
    </row>
    <row r="907" spans="1:9" x14ac:dyDescent="0.25">
      <c r="A907">
        <v>183502</v>
      </c>
      <c r="B907">
        <v>6.96</v>
      </c>
      <c r="C907">
        <v>504</v>
      </c>
      <c r="D907" s="9">
        <v>43298</v>
      </c>
      <c r="E907" t="s">
        <v>295</v>
      </c>
      <c r="I907" s="9"/>
    </row>
    <row r="908" spans="1:9" x14ac:dyDescent="0.25">
      <c r="A908">
        <v>183502</v>
      </c>
      <c r="B908">
        <v>1.8</v>
      </c>
      <c r="C908">
        <v>504</v>
      </c>
      <c r="D908" s="9">
        <v>43264</v>
      </c>
      <c r="E908" t="s">
        <v>296</v>
      </c>
      <c r="I908" s="9"/>
    </row>
    <row r="909" spans="1:9" x14ac:dyDescent="0.25">
      <c r="A909">
        <v>183502</v>
      </c>
      <c r="B909">
        <v>1.8</v>
      </c>
      <c r="C909">
        <v>540</v>
      </c>
      <c r="D909" s="9">
        <v>42864</v>
      </c>
      <c r="E909" t="s">
        <v>296</v>
      </c>
      <c r="I909" s="9"/>
    </row>
    <row r="910" spans="1:9" x14ac:dyDescent="0.25">
      <c r="A910">
        <v>183502</v>
      </c>
      <c r="B910">
        <v>1.8</v>
      </c>
      <c r="C910">
        <v>540</v>
      </c>
      <c r="D910" s="9">
        <v>42325</v>
      </c>
      <c r="E910" t="s">
        <v>296</v>
      </c>
      <c r="I910" s="9"/>
    </row>
    <row r="911" spans="1:9" x14ac:dyDescent="0.25">
      <c r="A911">
        <v>183650</v>
      </c>
      <c r="B911">
        <v>1</v>
      </c>
      <c r="C911">
        <v>1200</v>
      </c>
      <c r="D911" s="9">
        <v>44020</v>
      </c>
      <c r="E911" t="s">
        <v>296</v>
      </c>
      <c r="I911" s="9"/>
    </row>
    <row r="912" spans="1:9" x14ac:dyDescent="0.25">
      <c r="A912">
        <v>183650</v>
      </c>
      <c r="B912">
        <v>1</v>
      </c>
      <c r="C912">
        <v>1200</v>
      </c>
      <c r="D912" s="9">
        <v>43972</v>
      </c>
      <c r="E912" t="s">
        <v>296</v>
      </c>
      <c r="I912" s="9"/>
    </row>
    <row r="913" spans="1:9" x14ac:dyDescent="0.25">
      <c r="A913">
        <v>183650</v>
      </c>
      <c r="B913">
        <v>1.01</v>
      </c>
      <c r="C913">
        <v>1008</v>
      </c>
      <c r="D913" s="9">
        <v>43340</v>
      </c>
      <c r="E913" t="s">
        <v>296</v>
      </c>
      <c r="I913" s="9"/>
    </row>
    <row r="914" spans="1:9" x14ac:dyDescent="0.25">
      <c r="A914">
        <v>183650</v>
      </c>
      <c r="B914">
        <v>0.83</v>
      </c>
      <c r="C914">
        <v>864</v>
      </c>
      <c r="D914" s="9">
        <v>43340</v>
      </c>
      <c r="E914" t="s">
        <v>296</v>
      </c>
      <c r="I914" s="9"/>
    </row>
    <row r="915" spans="1:9" x14ac:dyDescent="0.25">
      <c r="A915">
        <v>183650</v>
      </c>
      <c r="B915">
        <v>0.92</v>
      </c>
      <c r="C915">
        <v>1008</v>
      </c>
      <c r="D915" s="9">
        <v>43063</v>
      </c>
      <c r="E915" t="s">
        <v>296</v>
      </c>
      <c r="I915" s="9"/>
    </row>
    <row r="916" spans="1:9" x14ac:dyDescent="0.25">
      <c r="A916">
        <v>183650</v>
      </c>
      <c r="B916">
        <v>0.85</v>
      </c>
      <c r="C916">
        <v>1008</v>
      </c>
      <c r="D916" s="9">
        <v>42919</v>
      </c>
      <c r="E916" t="s">
        <v>296</v>
      </c>
      <c r="I916" s="9"/>
    </row>
    <row r="917" spans="1:9" x14ac:dyDescent="0.25">
      <c r="A917">
        <v>183650</v>
      </c>
      <c r="B917">
        <v>5.51</v>
      </c>
      <c r="C917">
        <v>6</v>
      </c>
      <c r="D917" s="9">
        <v>42880</v>
      </c>
      <c r="E917" t="s">
        <v>295</v>
      </c>
      <c r="I917" s="9"/>
    </row>
    <row r="918" spans="1:9" x14ac:dyDescent="0.25">
      <c r="A918">
        <v>183650</v>
      </c>
      <c r="B918">
        <v>0.88200000000000001</v>
      </c>
      <c r="C918">
        <v>1008</v>
      </c>
      <c r="D918" s="9">
        <v>42676</v>
      </c>
      <c r="E918" t="s">
        <v>297</v>
      </c>
      <c r="I918" s="9"/>
    </row>
    <row r="919" spans="1:9" x14ac:dyDescent="0.25">
      <c r="A919">
        <v>183650</v>
      </c>
      <c r="B919">
        <v>0.88200000000000001</v>
      </c>
      <c r="C919">
        <v>1008</v>
      </c>
      <c r="D919" s="9">
        <v>42520</v>
      </c>
      <c r="E919" t="s">
        <v>297</v>
      </c>
      <c r="I919" s="9"/>
    </row>
    <row r="920" spans="1:9" x14ac:dyDescent="0.25">
      <c r="A920">
        <v>183650</v>
      </c>
      <c r="B920">
        <v>3.87</v>
      </c>
      <c r="C920">
        <v>1008</v>
      </c>
      <c r="D920" s="9">
        <v>42520</v>
      </c>
      <c r="E920" t="s">
        <v>295</v>
      </c>
      <c r="I920" s="9"/>
    </row>
    <row r="921" spans="1:9" x14ac:dyDescent="0.25">
      <c r="A921">
        <v>183650</v>
      </c>
      <c r="B921">
        <v>0.88200000000000001</v>
      </c>
      <c r="C921">
        <v>1008</v>
      </c>
      <c r="D921" s="9">
        <v>42186</v>
      </c>
      <c r="E921" t="s">
        <v>297</v>
      </c>
      <c r="I921" s="9"/>
    </row>
    <row r="922" spans="1:9" x14ac:dyDescent="0.25">
      <c r="A922">
        <v>183650</v>
      </c>
      <c r="B922">
        <v>0.95899999999999996</v>
      </c>
      <c r="C922">
        <v>1152</v>
      </c>
      <c r="D922" s="9">
        <v>41786</v>
      </c>
      <c r="E922" t="s">
        <v>296</v>
      </c>
      <c r="I922" s="9"/>
    </row>
    <row r="923" spans="1:9" x14ac:dyDescent="0.25">
      <c r="A923">
        <v>183650</v>
      </c>
      <c r="B923">
        <v>0.93100000000000005</v>
      </c>
      <c r="C923">
        <v>1152</v>
      </c>
      <c r="D923" s="9">
        <v>41535</v>
      </c>
      <c r="E923" t="s">
        <v>296</v>
      </c>
      <c r="I923" s="9"/>
    </row>
    <row r="924" spans="1:9" x14ac:dyDescent="0.25">
      <c r="A924">
        <v>194000</v>
      </c>
      <c r="B924">
        <v>1.65</v>
      </c>
      <c r="C924">
        <v>640</v>
      </c>
      <c r="D924" s="9">
        <v>44140</v>
      </c>
      <c r="E924" t="s">
        <v>296</v>
      </c>
      <c r="I924" s="9"/>
    </row>
    <row r="925" spans="1:9" x14ac:dyDescent="0.25">
      <c r="A925">
        <v>194000</v>
      </c>
      <c r="B925">
        <v>1.65</v>
      </c>
      <c r="C925">
        <v>600</v>
      </c>
      <c r="D925" s="9">
        <v>43684</v>
      </c>
      <c r="E925" t="s">
        <v>296</v>
      </c>
      <c r="I925" s="9"/>
    </row>
    <row r="926" spans="1:9" x14ac:dyDescent="0.25">
      <c r="A926">
        <v>194000</v>
      </c>
      <c r="B926">
        <v>1.65</v>
      </c>
      <c r="C926">
        <v>400</v>
      </c>
      <c r="D926" s="9">
        <v>43409</v>
      </c>
      <c r="E926" t="s">
        <v>296</v>
      </c>
      <c r="I926" s="9"/>
    </row>
    <row r="927" spans="1:9" x14ac:dyDescent="0.25">
      <c r="A927">
        <v>194000</v>
      </c>
      <c r="B927">
        <v>1.6</v>
      </c>
      <c r="C927">
        <v>1000</v>
      </c>
      <c r="D927" s="9">
        <v>42859</v>
      </c>
      <c r="E927" t="s">
        <v>296</v>
      </c>
      <c r="I927" s="9"/>
    </row>
    <row r="928" spans="1:9" x14ac:dyDescent="0.25">
      <c r="A928">
        <v>194000</v>
      </c>
      <c r="B928">
        <v>1.5</v>
      </c>
      <c r="C928">
        <v>400</v>
      </c>
      <c r="D928" s="9">
        <v>42656</v>
      </c>
      <c r="E928" t="s">
        <v>296</v>
      </c>
      <c r="I928" s="9"/>
    </row>
    <row r="929" spans="1:9" x14ac:dyDescent="0.25">
      <c r="A929">
        <v>194000</v>
      </c>
      <c r="B929">
        <v>1.5</v>
      </c>
      <c r="C929">
        <v>640</v>
      </c>
      <c r="D929" s="9">
        <v>42656</v>
      </c>
      <c r="E929" t="s">
        <v>296</v>
      </c>
      <c r="I929" s="9"/>
    </row>
    <row r="930" spans="1:9" x14ac:dyDescent="0.25">
      <c r="A930">
        <v>194000</v>
      </c>
      <c r="B930">
        <v>1.7</v>
      </c>
      <c r="C930">
        <v>720</v>
      </c>
      <c r="D930" s="9">
        <v>42270</v>
      </c>
      <c r="E930" t="s">
        <v>296</v>
      </c>
      <c r="I930" s="9"/>
    </row>
    <row r="931" spans="1:9" x14ac:dyDescent="0.25">
      <c r="A931">
        <v>194000</v>
      </c>
      <c r="B931">
        <v>6</v>
      </c>
      <c r="C931">
        <v>720</v>
      </c>
      <c r="D931" s="9">
        <v>42011</v>
      </c>
      <c r="E931" t="s">
        <v>295</v>
      </c>
      <c r="I931" s="9"/>
    </row>
    <row r="932" spans="1:9" x14ac:dyDescent="0.25">
      <c r="A932">
        <v>194000</v>
      </c>
      <c r="B932">
        <v>1.7</v>
      </c>
      <c r="C932">
        <v>720</v>
      </c>
      <c r="D932" s="9">
        <v>41961</v>
      </c>
      <c r="E932" t="s">
        <v>296</v>
      </c>
      <c r="I932" s="9"/>
    </row>
    <row r="933" spans="1:9" x14ac:dyDescent="0.25">
      <c r="A933">
        <v>194000</v>
      </c>
      <c r="B933">
        <v>1.7</v>
      </c>
      <c r="C933">
        <v>640</v>
      </c>
      <c r="D933" s="9">
        <v>41682</v>
      </c>
      <c r="E933" t="s">
        <v>296</v>
      </c>
      <c r="I933" s="9"/>
    </row>
    <row r="934" spans="1:9" x14ac:dyDescent="0.25">
      <c r="A934">
        <v>194000</v>
      </c>
      <c r="B934">
        <v>1.75</v>
      </c>
      <c r="C934">
        <v>800</v>
      </c>
      <c r="D934" s="9">
        <v>41592</v>
      </c>
      <c r="E934" t="s">
        <v>296</v>
      </c>
      <c r="I934" s="9"/>
    </row>
    <row r="935" spans="1:9" x14ac:dyDescent="0.25">
      <c r="A935">
        <v>194140</v>
      </c>
      <c r="B935">
        <v>1.9</v>
      </c>
      <c r="C935">
        <v>1680</v>
      </c>
      <c r="D935" s="9">
        <v>44060</v>
      </c>
      <c r="E935" t="s">
        <v>296</v>
      </c>
      <c r="I935" s="9"/>
    </row>
    <row r="936" spans="1:9" x14ac:dyDescent="0.25">
      <c r="A936">
        <v>194140</v>
      </c>
      <c r="B936">
        <v>1.9</v>
      </c>
      <c r="C936">
        <v>1600</v>
      </c>
      <c r="D936" s="9">
        <v>44060</v>
      </c>
      <c r="E936" t="s">
        <v>296</v>
      </c>
      <c r="I936" s="9"/>
    </row>
    <row r="937" spans="1:9" x14ac:dyDescent="0.25">
      <c r="A937">
        <v>194140</v>
      </c>
      <c r="B937">
        <v>1.9</v>
      </c>
      <c r="C937">
        <v>1200</v>
      </c>
      <c r="D937" s="9">
        <v>43829</v>
      </c>
      <c r="E937" t="s">
        <v>296</v>
      </c>
      <c r="I937" s="9"/>
    </row>
    <row r="938" spans="1:9" x14ac:dyDescent="0.25">
      <c r="A938">
        <v>194140</v>
      </c>
      <c r="B938">
        <v>1.98</v>
      </c>
      <c r="C938">
        <v>1640</v>
      </c>
      <c r="D938" s="9">
        <v>43684</v>
      </c>
      <c r="E938" t="s">
        <v>296</v>
      </c>
      <c r="I938" s="9"/>
    </row>
    <row r="939" spans="1:9" x14ac:dyDescent="0.25">
      <c r="A939">
        <v>194140</v>
      </c>
      <c r="B939">
        <v>1.98</v>
      </c>
      <c r="C939">
        <v>1200</v>
      </c>
      <c r="D939" s="9">
        <v>43592</v>
      </c>
      <c r="E939" t="s">
        <v>296</v>
      </c>
      <c r="I939" s="9"/>
    </row>
    <row r="940" spans="1:9" x14ac:dyDescent="0.25">
      <c r="A940">
        <v>194140</v>
      </c>
      <c r="B940">
        <v>1.98</v>
      </c>
      <c r="C940">
        <v>1200</v>
      </c>
      <c r="D940" s="9">
        <v>43409</v>
      </c>
      <c r="E940" t="s">
        <v>296</v>
      </c>
      <c r="I940" s="9"/>
    </row>
    <row r="941" spans="1:9" x14ac:dyDescent="0.25">
      <c r="A941">
        <v>194140</v>
      </c>
      <c r="B941">
        <v>2.15</v>
      </c>
      <c r="C941">
        <v>1200</v>
      </c>
      <c r="D941" s="9">
        <v>43381</v>
      </c>
      <c r="E941" t="s">
        <v>296</v>
      </c>
      <c r="I941" s="9"/>
    </row>
    <row r="942" spans="1:9" x14ac:dyDescent="0.25">
      <c r="A942">
        <v>194140</v>
      </c>
      <c r="B942">
        <v>2.15</v>
      </c>
      <c r="C942">
        <v>1800</v>
      </c>
      <c r="D942" s="9">
        <v>43284</v>
      </c>
      <c r="E942" t="s">
        <v>296</v>
      </c>
      <c r="I942" s="9"/>
    </row>
    <row r="943" spans="1:9" x14ac:dyDescent="0.25">
      <c r="A943">
        <v>194140</v>
      </c>
      <c r="B943">
        <v>1.8</v>
      </c>
      <c r="C943">
        <v>1800</v>
      </c>
      <c r="D943" s="9">
        <v>43131</v>
      </c>
      <c r="E943" t="s">
        <v>296</v>
      </c>
      <c r="I943" s="9"/>
    </row>
    <row r="944" spans="1:9" x14ac:dyDescent="0.25">
      <c r="A944">
        <v>194140</v>
      </c>
      <c r="B944">
        <v>2</v>
      </c>
      <c r="C944">
        <v>1800</v>
      </c>
      <c r="D944" s="9">
        <v>43039</v>
      </c>
      <c r="E944" t="s">
        <v>296</v>
      </c>
      <c r="I944" s="9"/>
    </row>
    <row r="945" spans="1:9" x14ac:dyDescent="0.25">
      <c r="A945">
        <v>194140</v>
      </c>
      <c r="B945">
        <v>2</v>
      </c>
      <c r="C945">
        <v>1920</v>
      </c>
      <c r="D945" s="9">
        <v>42859</v>
      </c>
      <c r="E945" t="s">
        <v>296</v>
      </c>
      <c r="I945" s="9"/>
    </row>
    <row r="946" spans="1:9" x14ac:dyDescent="0.25">
      <c r="A946">
        <v>194140</v>
      </c>
      <c r="B946">
        <v>1.95</v>
      </c>
      <c r="C946">
        <v>1800</v>
      </c>
      <c r="D946" s="9">
        <v>42781</v>
      </c>
      <c r="E946" t="s">
        <v>296</v>
      </c>
      <c r="I946" s="9"/>
    </row>
    <row r="947" spans="1:9" x14ac:dyDescent="0.25">
      <c r="A947">
        <v>194140</v>
      </c>
      <c r="B947">
        <v>2</v>
      </c>
      <c r="C947">
        <v>1400</v>
      </c>
      <c r="D947" s="9">
        <v>42656</v>
      </c>
      <c r="E947" t="s">
        <v>296</v>
      </c>
      <c r="I947" s="9"/>
    </row>
    <row r="948" spans="1:9" x14ac:dyDescent="0.25">
      <c r="A948">
        <v>194140</v>
      </c>
      <c r="B948">
        <v>2.2000000000000002</v>
      </c>
      <c r="C948">
        <v>1200</v>
      </c>
      <c r="D948" s="9">
        <v>42380</v>
      </c>
      <c r="E948" t="s">
        <v>296</v>
      </c>
      <c r="I948" s="9"/>
    </row>
    <row r="949" spans="1:9" x14ac:dyDescent="0.25">
      <c r="A949">
        <v>194140</v>
      </c>
      <c r="B949">
        <v>2.2000000000000002</v>
      </c>
      <c r="C949">
        <v>2000</v>
      </c>
      <c r="D949" s="9">
        <v>42270</v>
      </c>
      <c r="E949" t="s">
        <v>296</v>
      </c>
      <c r="I949" s="9"/>
    </row>
    <row r="950" spans="1:9" x14ac:dyDescent="0.25">
      <c r="A950">
        <v>194140</v>
      </c>
      <c r="B950">
        <v>2.2000000000000002</v>
      </c>
      <c r="C950">
        <v>2400</v>
      </c>
      <c r="D950" s="9">
        <v>41961</v>
      </c>
      <c r="E950" t="s">
        <v>296</v>
      </c>
      <c r="I950" s="9"/>
    </row>
    <row r="951" spans="1:9" x14ac:dyDescent="0.25">
      <c r="A951">
        <v>194140</v>
      </c>
      <c r="B951">
        <v>2.25</v>
      </c>
      <c r="C951">
        <v>2400</v>
      </c>
      <c r="D951" s="9">
        <v>41947</v>
      </c>
      <c r="E951" t="s">
        <v>296</v>
      </c>
      <c r="I951" s="9"/>
    </row>
    <row r="952" spans="1:9" x14ac:dyDescent="0.25">
      <c r="A952">
        <v>194140</v>
      </c>
      <c r="B952">
        <v>2.2000000000000002</v>
      </c>
      <c r="C952">
        <v>2400</v>
      </c>
      <c r="D952" s="9">
        <v>41789</v>
      </c>
      <c r="E952" t="s">
        <v>296</v>
      </c>
      <c r="I952" s="9"/>
    </row>
    <row r="953" spans="1:9" x14ac:dyDescent="0.25">
      <c r="A953">
        <v>194140</v>
      </c>
      <c r="B953">
        <v>2.2000000000000002</v>
      </c>
      <c r="C953">
        <v>2400</v>
      </c>
      <c r="D953" s="9">
        <v>41682</v>
      </c>
      <c r="E953" t="s">
        <v>296</v>
      </c>
      <c r="I953" s="9"/>
    </row>
    <row r="954" spans="1:9" x14ac:dyDescent="0.25">
      <c r="A954">
        <v>194140</v>
      </c>
      <c r="B954">
        <v>2.0099999999999998</v>
      </c>
      <c r="C954">
        <v>1720</v>
      </c>
      <c r="D954" s="9">
        <v>41592</v>
      </c>
      <c r="E954" t="s">
        <v>296</v>
      </c>
      <c r="I954" s="9"/>
    </row>
    <row r="955" spans="1:9" x14ac:dyDescent="0.25">
      <c r="A955">
        <v>194140</v>
      </c>
      <c r="B955">
        <v>2.0099999999999998</v>
      </c>
      <c r="C955">
        <v>20</v>
      </c>
      <c r="D955" s="9">
        <v>41592</v>
      </c>
      <c r="E955" t="s">
        <v>296</v>
      </c>
      <c r="I955" s="9"/>
    </row>
    <row r="956" spans="1:9" x14ac:dyDescent="0.25">
      <c r="A956">
        <v>194140</v>
      </c>
      <c r="B956">
        <v>2.1</v>
      </c>
      <c r="C956">
        <v>900</v>
      </c>
      <c r="D956" s="9">
        <v>41366</v>
      </c>
      <c r="E956" t="s">
        <v>296</v>
      </c>
      <c r="I956" s="9"/>
    </row>
    <row r="957" spans="1:9" x14ac:dyDescent="0.25">
      <c r="A957">
        <v>194140</v>
      </c>
      <c r="B957">
        <v>2</v>
      </c>
      <c r="C957">
        <v>1440</v>
      </c>
      <c r="D957" s="9">
        <v>41366</v>
      </c>
      <c r="E957" t="s">
        <v>296</v>
      </c>
      <c r="I957" s="9"/>
    </row>
    <row r="958" spans="1:9" x14ac:dyDescent="0.25">
      <c r="A958">
        <v>194140</v>
      </c>
      <c r="B958">
        <v>2.1</v>
      </c>
      <c r="C958">
        <v>1440</v>
      </c>
      <c r="D958" s="9">
        <v>41281</v>
      </c>
      <c r="E958" t="s">
        <v>296</v>
      </c>
      <c r="I958" s="9"/>
    </row>
    <row r="959" spans="1:9" x14ac:dyDescent="0.25">
      <c r="A959">
        <v>194141</v>
      </c>
      <c r="B959">
        <v>2.4500000000000002</v>
      </c>
      <c r="C959">
        <v>800</v>
      </c>
      <c r="D959" s="9">
        <v>44060</v>
      </c>
      <c r="E959" t="s">
        <v>296</v>
      </c>
      <c r="I959" s="9"/>
    </row>
    <row r="960" spans="1:9" x14ac:dyDescent="0.25">
      <c r="A960">
        <v>194141</v>
      </c>
      <c r="B960">
        <v>2.4500000000000002</v>
      </c>
      <c r="C960">
        <v>800</v>
      </c>
      <c r="D960" s="9">
        <v>44021</v>
      </c>
      <c r="E960" t="s">
        <v>296</v>
      </c>
      <c r="I960" s="9"/>
    </row>
    <row r="961" spans="1:9" x14ac:dyDescent="0.25">
      <c r="A961">
        <v>194141</v>
      </c>
      <c r="B961">
        <v>2.4500000000000002</v>
      </c>
      <c r="C961">
        <v>600</v>
      </c>
      <c r="D961" s="9">
        <v>43991</v>
      </c>
      <c r="E961" t="s">
        <v>296</v>
      </c>
      <c r="I961" s="9"/>
    </row>
    <row r="962" spans="1:9" x14ac:dyDescent="0.25">
      <c r="A962">
        <v>194141</v>
      </c>
      <c r="B962">
        <v>2.5</v>
      </c>
      <c r="C962">
        <v>800</v>
      </c>
      <c r="D962" s="9">
        <v>43837</v>
      </c>
      <c r="E962" t="s">
        <v>296</v>
      </c>
      <c r="I962" s="9"/>
    </row>
    <row r="963" spans="1:9" x14ac:dyDescent="0.25">
      <c r="A963">
        <v>194141</v>
      </c>
      <c r="B963">
        <v>2.5</v>
      </c>
      <c r="C963">
        <v>1000</v>
      </c>
      <c r="D963" s="9">
        <v>43592</v>
      </c>
      <c r="E963" t="s">
        <v>296</v>
      </c>
      <c r="I963" s="9"/>
    </row>
    <row r="964" spans="1:9" x14ac:dyDescent="0.25">
      <c r="A964">
        <v>194141</v>
      </c>
      <c r="B964">
        <v>2.5</v>
      </c>
      <c r="C964">
        <v>1000</v>
      </c>
      <c r="D964" s="9">
        <v>43409</v>
      </c>
      <c r="E964" t="s">
        <v>296</v>
      </c>
      <c r="I964" s="9"/>
    </row>
    <row r="965" spans="1:9" x14ac:dyDescent="0.25">
      <c r="A965">
        <v>194141</v>
      </c>
      <c r="B965">
        <v>2.5</v>
      </c>
      <c r="C965">
        <v>800</v>
      </c>
      <c r="D965" s="9">
        <v>43284</v>
      </c>
      <c r="E965" t="s">
        <v>296</v>
      </c>
      <c r="I965" s="9"/>
    </row>
    <row r="966" spans="1:9" x14ac:dyDescent="0.25">
      <c r="A966">
        <v>194141</v>
      </c>
      <c r="B966">
        <v>2.16</v>
      </c>
      <c r="C966">
        <v>900</v>
      </c>
      <c r="D966" s="9">
        <v>43131</v>
      </c>
      <c r="E966" t="s">
        <v>296</v>
      </c>
      <c r="I966" s="9"/>
    </row>
    <row r="967" spans="1:9" x14ac:dyDescent="0.25">
      <c r="A967">
        <v>194141</v>
      </c>
      <c r="B967">
        <v>9.1300000000000008</v>
      </c>
      <c r="C967">
        <v>480</v>
      </c>
      <c r="D967" s="9">
        <v>43123</v>
      </c>
      <c r="E967" t="s">
        <v>295</v>
      </c>
      <c r="I967" s="9"/>
    </row>
    <row r="968" spans="1:9" x14ac:dyDescent="0.25">
      <c r="A968">
        <v>194141</v>
      </c>
      <c r="B968">
        <v>2.48</v>
      </c>
      <c r="C968">
        <v>800</v>
      </c>
      <c r="D968" s="9">
        <v>43067</v>
      </c>
      <c r="E968" t="s">
        <v>296</v>
      </c>
      <c r="I968" s="9"/>
    </row>
    <row r="969" spans="1:9" x14ac:dyDescent="0.25">
      <c r="A969">
        <v>194141</v>
      </c>
      <c r="B969">
        <v>2.2999999999999998</v>
      </c>
      <c r="C969">
        <v>800</v>
      </c>
      <c r="D969" s="9">
        <v>42905</v>
      </c>
      <c r="E969" t="s">
        <v>296</v>
      </c>
      <c r="I969" s="9"/>
    </row>
    <row r="970" spans="1:9" x14ac:dyDescent="0.25">
      <c r="A970">
        <v>194141</v>
      </c>
      <c r="B970">
        <v>2.21</v>
      </c>
      <c r="C970">
        <v>1120</v>
      </c>
      <c r="D970" s="9">
        <v>42781</v>
      </c>
      <c r="E970" t="s">
        <v>296</v>
      </c>
      <c r="I970" s="9"/>
    </row>
    <row r="971" spans="1:9" x14ac:dyDescent="0.25">
      <c r="A971">
        <v>194141</v>
      </c>
      <c r="B971">
        <v>2.2999999999999998</v>
      </c>
      <c r="C971">
        <v>960</v>
      </c>
      <c r="D971" s="9">
        <v>42656</v>
      </c>
      <c r="E971" t="s">
        <v>296</v>
      </c>
      <c r="I971" s="9"/>
    </row>
    <row r="972" spans="1:9" x14ac:dyDescent="0.25">
      <c r="A972">
        <v>194141</v>
      </c>
      <c r="B972">
        <v>2.36</v>
      </c>
      <c r="C972">
        <v>800</v>
      </c>
      <c r="D972" s="9">
        <v>42530</v>
      </c>
      <c r="E972" t="s">
        <v>296</v>
      </c>
      <c r="I972" s="9"/>
    </row>
    <row r="973" spans="1:9" x14ac:dyDescent="0.25">
      <c r="A973">
        <v>194141</v>
      </c>
      <c r="B973">
        <v>2.5499999999999998</v>
      </c>
      <c r="C973">
        <v>800</v>
      </c>
      <c r="D973" s="9">
        <v>42325</v>
      </c>
      <c r="E973" t="s">
        <v>296</v>
      </c>
      <c r="I973" s="9"/>
    </row>
    <row r="974" spans="1:9" x14ac:dyDescent="0.25">
      <c r="A974">
        <v>194141</v>
      </c>
      <c r="B974">
        <v>2.5499999999999998</v>
      </c>
      <c r="C974">
        <v>1200</v>
      </c>
      <c r="D974" s="9">
        <v>41982</v>
      </c>
      <c r="E974" t="s">
        <v>296</v>
      </c>
      <c r="I974" s="9"/>
    </row>
    <row r="975" spans="1:9" x14ac:dyDescent="0.25">
      <c r="A975">
        <v>194141</v>
      </c>
      <c r="B975">
        <v>2.4500000000000002</v>
      </c>
      <c r="C975">
        <v>1200</v>
      </c>
      <c r="D975" s="9">
        <v>41947</v>
      </c>
      <c r="E975" t="s">
        <v>296</v>
      </c>
      <c r="I975" s="9"/>
    </row>
    <row r="976" spans="1:9" x14ac:dyDescent="0.25">
      <c r="A976">
        <v>194141</v>
      </c>
      <c r="B976">
        <v>2.4500000000000002</v>
      </c>
      <c r="C976">
        <v>1200</v>
      </c>
      <c r="D976" s="9">
        <v>41813</v>
      </c>
      <c r="E976" t="s">
        <v>296</v>
      </c>
      <c r="I976" s="9"/>
    </row>
    <row r="977" spans="1:9" x14ac:dyDescent="0.25">
      <c r="A977">
        <v>194141</v>
      </c>
      <c r="B977">
        <v>2.4500000000000002</v>
      </c>
      <c r="C977">
        <v>640</v>
      </c>
      <c r="D977" s="9">
        <v>41682</v>
      </c>
      <c r="E977" t="s">
        <v>296</v>
      </c>
      <c r="I977" s="9"/>
    </row>
    <row r="978" spans="1:9" x14ac:dyDescent="0.25">
      <c r="A978">
        <v>194141</v>
      </c>
      <c r="B978">
        <v>2.4500000000000002</v>
      </c>
      <c r="C978">
        <v>600</v>
      </c>
      <c r="D978" s="9">
        <v>41682</v>
      </c>
      <c r="E978" t="s">
        <v>296</v>
      </c>
      <c r="I978" s="9"/>
    </row>
    <row r="979" spans="1:9" x14ac:dyDescent="0.25">
      <c r="A979">
        <v>194141</v>
      </c>
      <c r="B979">
        <v>2.4500000000000002</v>
      </c>
      <c r="C979">
        <v>640</v>
      </c>
      <c r="D979" s="9">
        <v>41375</v>
      </c>
      <c r="E979" t="s">
        <v>296</v>
      </c>
      <c r="I979" s="9"/>
    </row>
    <row r="980" spans="1:9" x14ac:dyDescent="0.25">
      <c r="A980">
        <v>194141</v>
      </c>
      <c r="B980">
        <v>2.4500000000000002</v>
      </c>
      <c r="C980">
        <v>720</v>
      </c>
      <c r="D980" s="9">
        <v>41281</v>
      </c>
      <c r="E980" t="s">
        <v>296</v>
      </c>
      <c r="I980" s="9"/>
    </row>
    <row r="981" spans="1:9" x14ac:dyDescent="0.25">
      <c r="A981">
        <v>195012</v>
      </c>
      <c r="B981">
        <v>1.5</v>
      </c>
      <c r="C981">
        <v>200</v>
      </c>
      <c r="D981" s="9">
        <v>44141</v>
      </c>
      <c r="E981" t="s">
        <v>296</v>
      </c>
      <c r="I981" s="9"/>
    </row>
    <row r="982" spans="1:9" x14ac:dyDescent="0.25">
      <c r="A982">
        <v>195012</v>
      </c>
      <c r="B982">
        <v>1.5680000000000001</v>
      </c>
      <c r="C982">
        <v>200</v>
      </c>
      <c r="D982" s="9">
        <v>43959</v>
      </c>
      <c r="E982" t="s">
        <v>296</v>
      </c>
      <c r="I982" s="9"/>
    </row>
    <row r="983" spans="1:9" x14ac:dyDescent="0.25">
      <c r="A983">
        <v>195012</v>
      </c>
      <c r="B983">
        <v>1.5680000000000001</v>
      </c>
      <c r="C983">
        <v>200</v>
      </c>
      <c r="D983" s="9">
        <v>43244</v>
      </c>
      <c r="E983" t="s">
        <v>296</v>
      </c>
      <c r="I983" s="9"/>
    </row>
    <row r="984" spans="1:9" x14ac:dyDescent="0.25">
      <c r="A984">
        <v>195012</v>
      </c>
      <c r="B984">
        <v>1.5680000000000001</v>
      </c>
      <c r="C984">
        <v>200</v>
      </c>
      <c r="D984" s="9">
        <v>42676</v>
      </c>
      <c r="E984" t="s">
        <v>297</v>
      </c>
      <c r="I984" s="9"/>
    </row>
    <row r="985" spans="1:9" x14ac:dyDescent="0.25">
      <c r="A985">
        <v>195012</v>
      </c>
      <c r="B985">
        <v>1.5680000000000001</v>
      </c>
      <c r="C985">
        <v>100</v>
      </c>
      <c r="D985" s="9">
        <v>42401</v>
      </c>
      <c r="E985" t="s">
        <v>297</v>
      </c>
      <c r="I985" s="9"/>
    </row>
    <row r="986" spans="1:9" x14ac:dyDescent="0.25">
      <c r="A986">
        <v>195012</v>
      </c>
      <c r="B986">
        <v>1.65</v>
      </c>
      <c r="C986">
        <v>200</v>
      </c>
      <c r="D986" s="9">
        <v>41865</v>
      </c>
      <c r="E986" t="s">
        <v>296</v>
      </c>
      <c r="I986" s="9"/>
    </row>
    <row r="987" spans="1:9" x14ac:dyDescent="0.25">
      <c r="A987">
        <v>195012</v>
      </c>
      <c r="B987">
        <v>1.65</v>
      </c>
      <c r="C987">
        <v>100</v>
      </c>
      <c r="D987" s="9">
        <v>41617</v>
      </c>
      <c r="E987" t="s">
        <v>296</v>
      </c>
      <c r="I987" s="9"/>
    </row>
    <row r="988" spans="1:9" x14ac:dyDescent="0.25">
      <c r="A988">
        <v>195013</v>
      </c>
      <c r="B988">
        <v>7.92</v>
      </c>
      <c r="C988">
        <v>120</v>
      </c>
      <c r="D988" s="9">
        <v>43244</v>
      </c>
      <c r="E988" t="s">
        <v>296</v>
      </c>
      <c r="I988" s="9"/>
    </row>
    <row r="989" spans="1:9" x14ac:dyDescent="0.25">
      <c r="A989">
        <v>195013</v>
      </c>
      <c r="B989">
        <v>7.92</v>
      </c>
      <c r="C989">
        <v>100</v>
      </c>
      <c r="D989" s="9">
        <v>42676</v>
      </c>
      <c r="E989" t="s">
        <v>297</v>
      </c>
      <c r="I989" s="9"/>
    </row>
    <row r="990" spans="1:9" x14ac:dyDescent="0.25">
      <c r="A990">
        <v>195013</v>
      </c>
      <c r="B990">
        <v>7.92</v>
      </c>
      <c r="C990">
        <v>50</v>
      </c>
      <c r="D990" s="9">
        <v>42401</v>
      </c>
      <c r="E990" t="s">
        <v>297</v>
      </c>
      <c r="I990" s="9"/>
    </row>
    <row r="991" spans="1:9" x14ac:dyDescent="0.25">
      <c r="A991">
        <v>195013</v>
      </c>
      <c r="B991">
        <v>8.34</v>
      </c>
      <c r="C991">
        <v>10</v>
      </c>
      <c r="D991" s="9">
        <v>42186</v>
      </c>
      <c r="E991" t="s">
        <v>296</v>
      </c>
      <c r="I991" s="9"/>
    </row>
    <row r="992" spans="1:9" x14ac:dyDescent="0.25">
      <c r="A992">
        <v>195014</v>
      </c>
      <c r="B992">
        <v>1.65</v>
      </c>
      <c r="C992">
        <v>250</v>
      </c>
      <c r="D992" s="9">
        <v>44021</v>
      </c>
      <c r="E992" t="s">
        <v>296</v>
      </c>
      <c r="I992" s="9"/>
    </row>
    <row r="993" spans="1:9" x14ac:dyDescent="0.25">
      <c r="A993">
        <v>195014</v>
      </c>
      <c r="B993">
        <v>1.881</v>
      </c>
      <c r="C993">
        <v>200</v>
      </c>
      <c r="D993" s="9">
        <v>43959</v>
      </c>
      <c r="E993" t="s">
        <v>296</v>
      </c>
      <c r="I993" s="9"/>
    </row>
    <row r="994" spans="1:9" x14ac:dyDescent="0.25">
      <c r="A994">
        <v>195014</v>
      </c>
      <c r="B994">
        <v>1.881</v>
      </c>
      <c r="C994">
        <v>200</v>
      </c>
      <c r="D994" s="9">
        <v>43244</v>
      </c>
      <c r="E994" t="s">
        <v>296</v>
      </c>
      <c r="I994" s="9"/>
    </row>
    <row r="995" spans="1:9" x14ac:dyDescent="0.25">
      <c r="A995">
        <v>195014</v>
      </c>
      <c r="B995">
        <v>1.881</v>
      </c>
      <c r="C995">
        <v>56</v>
      </c>
      <c r="D995" s="9">
        <v>42753</v>
      </c>
      <c r="E995" t="s">
        <v>297</v>
      </c>
      <c r="I995" s="9"/>
    </row>
    <row r="996" spans="1:9" x14ac:dyDescent="0.25">
      <c r="A996">
        <v>195014</v>
      </c>
      <c r="B996">
        <v>1.881</v>
      </c>
      <c r="C996">
        <v>144</v>
      </c>
      <c r="D996" s="9">
        <v>42753</v>
      </c>
      <c r="E996" t="s">
        <v>297</v>
      </c>
      <c r="I996" s="9"/>
    </row>
    <row r="997" spans="1:9" x14ac:dyDescent="0.25">
      <c r="A997">
        <v>195014</v>
      </c>
      <c r="B997">
        <v>1.881</v>
      </c>
      <c r="C997">
        <v>200</v>
      </c>
      <c r="D997" s="9">
        <v>42401</v>
      </c>
      <c r="E997" t="s">
        <v>297</v>
      </c>
      <c r="I997" s="9"/>
    </row>
    <row r="998" spans="1:9" x14ac:dyDescent="0.25">
      <c r="A998">
        <v>195014</v>
      </c>
      <c r="B998">
        <v>1.98</v>
      </c>
      <c r="C998">
        <v>48</v>
      </c>
      <c r="D998" s="9">
        <v>42186</v>
      </c>
      <c r="E998" t="s">
        <v>296</v>
      </c>
      <c r="I998" s="9"/>
    </row>
    <row r="999" spans="1:9" x14ac:dyDescent="0.25">
      <c r="A999">
        <v>195015</v>
      </c>
      <c r="B999">
        <v>1.54</v>
      </c>
      <c r="C999">
        <v>240</v>
      </c>
      <c r="D999" s="9">
        <v>44102</v>
      </c>
      <c r="E999" t="s">
        <v>296</v>
      </c>
      <c r="I999" s="9"/>
    </row>
    <row r="1000" spans="1:9" x14ac:dyDescent="0.25">
      <c r="A1000">
        <v>195016</v>
      </c>
      <c r="B1000">
        <v>5.2</v>
      </c>
      <c r="C1000">
        <v>288</v>
      </c>
      <c r="D1000" s="9">
        <v>42144</v>
      </c>
      <c r="E1000" t="s">
        <v>296</v>
      </c>
      <c r="I1000" s="9"/>
    </row>
    <row r="1001" spans="1:9" x14ac:dyDescent="0.25">
      <c r="A1001">
        <v>195016</v>
      </c>
      <c r="B1001">
        <v>5.5</v>
      </c>
      <c r="C1001">
        <v>32</v>
      </c>
      <c r="D1001" s="9">
        <v>41877</v>
      </c>
      <c r="E1001" t="s">
        <v>296</v>
      </c>
      <c r="I1001" s="9"/>
    </row>
    <row r="1002" spans="1:9" x14ac:dyDescent="0.25">
      <c r="A1002">
        <v>195310</v>
      </c>
      <c r="B1002">
        <v>0.51300000000000001</v>
      </c>
      <c r="C1002">
        <v>1440</v>
      </c>
      <c r="D1002" s="9">
        <v>44125</v>
      </c>
      <c r="E1002" t="s">
        <v>296</v>
      </c>
      <c r="I1002" s="9"/>
    </row>
    <row r="1003" spans="1:9" x14ac:dyDescent="0.25">
      <c r="A1003">
        <v>195310</v>
      </c>
      <c r="B1003">
        <v>0.51300000000000001</v>
      </c>
      <c r="C1003">
        <v>1440</v>
      </c>
      <c r="D1003" s="9">
        <v>44068</v>
      </c>
      <c r="E1003" t="s">
        <v>296</v>
      </c>
      <c r="I1003" s="9"/>
    </row>
    <row r="1004" spans="1:9" x14ac:dyDescent="0.25">
      <c r="A1004">
        <v>195310</v>
      </c>
      <c r="B1004">
        <v>0.503</v>
      </c>
      <c r="C1004">
        <v>1440</v>
      </c>
      <c r="D1004" s="9">
        <v>43843</v>
      </c>
      <c r="E1004" t="s">
        <v>296</v>
      </c>
      <c r="I1004" s="9"/>
    </row>
    <row r="1005" spans="1:9" x14ac:dyDescent="0.25">
      <c r="A1005">
        <v>195310</v>
      </c>
      <c r="B1005">
        <v>0.503</v>
      </c>
      <c r="C1005">
        <v>2400</v>
      </c>
      <c r="D1005" s="9">
        <v>43403</v>
      </c>
      <c r="E1005" t="s">
        <v>296</v>
      </c>
      <c r="I1005" s="9"/>
    </row>
    <row r="1006" spans="1:9" x14ac:dyDescent="0.25">
      <c r="A1006">
        <v>195310</v>
      </c>
      <c r="B1006">
        <v>0.46600000000000003</v>
      </c>
      <c r="C1006">
        <v>2400</v>
      </c>
      <c r="D1006" s="9">
        <v>43238</v>
      </c>
      <c r="E1006" t="s">
        <v>296</v>
      </c>
      <c r="I1006" s="9"/>
    </row>
    <row r="1007" spans="1:9" x14ac:dyDescent="0.25">
      <c r="A1007">
        <v>195310</v>
      </c>
      <c r="B1007">
        <v>1.77</v>
      </c>
      <c r="C1007">
        <v>2400</v>
      </c>
      <c r="D1007" s="9">
        <v>43238</v>
      </c>
      <c r="E1007" t="s">
        <v>295</v>
      </c>
      <c r="I1007" s="9"/>
    </row>
    <row r="1008" spans="1:9" x14ac:dyDescent="0.25">
      <c r="A1008">
        <v>195310</v>
      </c>
      <c r="B1008">
        <v>0.36499999999999999</v>
      </c>
      <c r="C1008">
        <v>2160</v>
      </c>
      <c r="D1008" s="9">
        <v>43054</v>
      </c>
      <c r="E1008" t="s">
        <v>296</v>
      </c>
      <c r="I1008" s="9"/>
    </row>
    <row r="1009" spans="1:9" x14ac:dyDescent="0.25">
      <c r="A1009">
        <v>195310</v>
      </c>
      <c r="B1009">
        <v>0.34499999999999997</v>
      </c>
      <c r="C1009">
        <v>2000</v>
      </c>
      <c r="D1009" s="9">
        <v>42696</v>
      </c>
      <c r="E1009" t="s">
        <v>296</v>
      </c>
      <c r="I1009" s="9"/>
    </row>
    <row r="1010" spans="1:9" x14ac:dyDescent="0.25">
      <c r="A1010">
        <v>195310</v>
      </c>
      <c r="B1010">
        <v>1.42</v>
      </c>
      <c r="C1010">
        <v>1920</v>
      </c>
      <c r="D1010" s="9">
        <v>42508</v>
      </c>
      <c r="E1010" t="s">
        <v>295</v>
      </c>
      <c r="I1010" s="9"/>
    </row>
    <row r="1011" spans="1:9" x14ac:dyDescent="0.25">
      <c r="A1011">
        <v>195310</v>
      </c>
      <c r="B1011">
        <v>0.36499999999999999</v>
      </c>
      <c r="C1011">
        <v>1920</v>
      </c>
      <c r="D1011" s="9">
        <v>42508</v>
      </c>
      <c r="E1011" t="s">
        <v>296</v>
      </c>
      <c r="I1011" s="9"/>
    </row>
    <row r="1012" spans="1:9" x14ac:dyDescent="0.25">
      <c r="A1012">
        <v>195310</v>
      </c>
      <c r="B1012">
        <v>0.48</v>
      </c>
      <c r="C1012">
        <v>1920</v>
      </c>
      <c r="D1012" s="9">
        <v>42191</v>
      </c>
      <c r="E1012" t="s">
        <v>296</v>
      </c>
      <c r="I1012" s="9"/>
    </row>
    <row r="1013" spans="1:9" x14ac:dyDescent="0.25">
      <c r="A1013">
        <v>195310</v>
      </c>
      <c r="B1013">
        <v>0.48</v>
      </c>
      <c r="C1013">
        <v>2160</v>
      </c>
      <c r="D1013" s="9">
        <v>41813</v>
      </c>
      <c r="E1013" t="s">
        <v>296</v>
      </c>
      <c r="I1013" s="9"/>
    </row>
    <row r="1014" spans="1:9" x14ac:dyDescent="0.25">
      <c r="A1014">
        <v>195310</v>
      </c>
      <c r="B1014">
        <v>0.51</v>
      </c>
      <c r="C1014">
        <v>2640</v>
      </c>
      <c r="D1014" s="9">
        <v>41617</v>
      </c>
      <c r="E1014" t="s">
        <v>296</v>
      </c>
      <c r="I1014" s="9"/>
    </row>
    <row r="1015" spans="1:9" x14ac:dyDescent="0.25">
      <c r="A1015">
        <v>195310</v>
      </c>
      <c r="B1015">
        <v>0.5</v>
      </c>
      <c r="C1015">
        <v>2640</v>
      </c>
      <c r="D1015" s="9">
        <v>41456</v>
      </c>
      <c r="E1015" t="s">
        <v>296</v>
      </c>
      <c r="I1015" s="9"/>
    </row>
    <row r="1016" spans="1:9" x14ac:dyDescent="0.25">
      <c r="A1016">
        <v>195310</v>
      </c>
      <c r="B1016">
        <v>0.5</v>
      </c>
      <c r="C1016">
        <v>2160</v>
      </c>
      <c r="D1016" s="9">
        <v>41309</v>
      </c>
      <c r="E1016" t="s">
        <v>296</v>
      </c>
      <c r="I1016" s="9"/>
    </row>
    <row r="1017" spans="1:9" x14ac:dyDescent="0.25">
      <c r="A1017">
        <v>198190</v>
      </c>
      <c r="B1017">
        <v>0.255</v>
      </c>
      <c r="C1017">
        <v>3000</v>
      </c>
      <c r="D1017" s="9">
        <v>44140</v>
      </c>
      <c r="E1017" t="s">
        <v>296</v>
      </c>
      <c r="I1017" s="9"/>
    </row>
    <row r="1018" spans="1:9" x14ac:dyDescent="0.25">
      <c r="A1018">
        <v>198190</v>
      </c>
      <c r="B1018">
        <v>0.24299999999999999</v>
      </c>
      <c r="C1018">
        <v>1800</v>
      </c>
      <c r="D1018" s="9">
        <v>44060</v>
      </c>
      <c r="E1018" t="s">
        <v>296</v>
      </c>
      <c r="I1018" s="9"/>
    </row>
    <row r="1019" spans="1:9" x14ac:dyDescent="0.25">
      <c r="A1019">
        <v>198190</v>
      </c>
      <c r="B1019">
        <v>0.42799999999999999</v>
      </c>
      <c r="C1019">
        <v>1920</v>
      </c>
      <c r="D1019" s="9">
        <v>43843</v>
      </c>
      <c r="E1019" t="s">
        <v>296</v>
      </c>
      <c r="I1019" s="9"/>
    </row>
    <row r="1020" spans="1:9" x14ac:dyDescent="0.25">
      <c r="A1020">
        <v>198190</v>
      </c>
      <c r="B1020">
        <v>0.42799999999999999</v>
      </c>
      <c r="C1020">
        <v>1800</v>
      </c>
      <c r="D1020" s="9">
        <v>43707</v>
      </c>
      <c r="E1020" t="s">
        <v>296</v>
      </c>
      <c r="I1020" s="9"/>
    </row>
    <row r="1021" spans="1:9" x14ac:dyDescent="0.25">
      <c r="A1021">
        <v>198190</v>
      </c>
      <c r="B1021">
        <v>0.47199999999999998</v>
      </c>
      <c r="C1021">
        <v>1920</v>
      </c>
      <c r="D1021" s="9">
        <v>43567</v>
      </c>
      <c r="E1021" t="s">
        <v>296</v>
      </c>
      <c r="I1021" s="9"/>
    </row>
    <row r="1022" spans="1:9" x14ac:dyDescent="0.25">
      <c r="A1022">
        <v>198190</v>
      </c>
      <c r="B1022">
        <v>0.34699999999999998</v>
      </c>
      <c r="C1022">
        <v>3840</v>
      </c>
      <c r="D1022" s="9">
        <v>43136</v>
      </c>
      <c r="E1022" t="s">
        <v>296</v>
      </c>
      <c r="I1022" s="9"/>
    </row>
    <row r="1023" spans="1:9" x14ac:dyDescent="0.25">
      <c r="A1023">
        <v>198190</v>
      </c>
      <c r="B1023">
        <v>1.2</v>
      </c>
      <c r="C1023">
        <v>3840</v>
      </c>
      <c r="D1023" s="9">
        <v>43136</v>
      </c>
      <c r="E1023" t="s">
        <v>295</v>
      </c>
      <c r="I1023" s="9"/>
    </row>
    <row r="1024" spans="1:9" x14ac:dyDescent="0.25">
      <c r="A1024">
        <v>198190</v>
      </c>
      <c r="B1024">
        <v>0.29899999999999999</v>
      </c>
      <c r="C1024">
        <v>4800</v>
      </c>
      <c r="D1024" s="9">
        <v>42877</v>
      </c>
      <c r="E1024" t="s">
        <v>296</v>
      </c>
      <c r="I1024" s="9"/>
    </row>
    <row r="1025" spans="1:9" x14ac:dyDescent="0.25">
      <c r="A1025">
        <v>198190</v>
      </c>
      <c r="B1025">
        <v>0.28999999999999998</v>
      </c>
      <c r="C1025">
        <v>2400</v>
      </c>
      <c r="D1025" s="9">
        <v>42696</v>
      </c>
      <c r="E1025" t="s">
        <v>296</v>
      </c>
      <c r="I1025" s="9"/>
    </row>
    <row r="1026" spans="1:9" x14ac:dyDescent="0.25">
      <c r="A1026">
        <v>198190</v>
      </c>
      <c r="B1026">
        <v>0.29899999999999999</v>
      </c>
      <c r="C1026">
        <v>2400</v>
      </c>
      <c r="D1026" s="9">
        <v>42508</v>
      </c>
      <c r="E1026" t="s">
        <v>296</v>
      </c>
      <c r="I1026" s="9"/>
    </row>
    <row r="1027" spans="1:9" x14ac:dyDescent="0.25">
      <c r="A1027">
        <v>198190</v>
      </c>
      <c r="B1027">
        <v>1.1599999999999999</v>
      </c>
      <c r="C1027">
        <v>2400</v>
      </c>
      <c r="D1027" s="9">
        <v>42508</v>
      </c>
      <c r="E1027" t="s">
        <v>295</v>
      </c>
      <c r="I1027" s="9"/>
    </row>
    <row r="1028" spans="1:9" x14ac:dyDescent="0.25">
      <c r="A1028">
        <v>198190</v>
      </c>
      <c r="B1028">
        <v>0.28999999999999998</v>
      </c>
      <c r="C1028">
        <v>1800</v>
      </c>
      <c r="D1028" s="9">
        <v>42321</v>
      </c>
      <c r="E1028" t="s">
        <v>296</v>
      </c>
      <c r="I1028" s="9"/>
    </row>
    <row r="1029" spans="1:9" x14ac:dyDescent="0.25">
      <c r="A1029">
        <v>198190</v>
      </c>
      <c r="B1029">
        <v>0.36499999999999999</v>
      </c>
      <c r="C1029">
        <v>2400</v>
      </c>
      <c r="D1029" s="9">
        <v>42191</v>
      </c>
      <c r="E1029" t="s">
        <v>296</v>
      </c>
      <c r="I1029" s="9"/>
    </row>
    <row r="1030" spans="1:9" x14ac:dyDescent="0.25">
      <c r="A1030">
        <v>198190</v>
      </c>
      <c r="B1030">
        <v>0.36</v>
      </c>
      <c r="C1030">
        <v>4200</v>
      </c>
      <c r="D1030" s="9">
        <v>41947</v>
      </c>
      <c r="E1030" t="s">
        <v>296</v>
      </c>
      <c r="I1030" s="9"/>
    </row>
    <row r="1031" spans="1:9" x14ac:dyDescent="0.25">
      <c r="A1031">
        <v>198190</v>
      </c>
      <c r="B1031">
        <v>0.36499999999999999</v>
      </c>
      <c r="C1031">
        <v>3900</v>
      </c>
      <c r="D1031" s="9">
        <v>41947</v>
      </c>
      <c r="E1031" t="s">
        <v>296</v>
      </c>
      <c r="I1031" s="9"/>
    </row>
    <row r="1032" spans="1:9" x14ac:dyDescent="0.25">
      <c r="A1032">
        <v>198190</v>
      </c>
      <c r="B1032">
        <v>0.36</v>
      </c>
      <c r="C1032">
        <v>4200</v>
      </c>
      <c r="D1032" s="9">
        <v>41813</v>
      </c>
      <c r="E1032" t="s">
        <v>296</v>
      </c>
      <c r="I1032" s="9"/>
    </row>
    <row r="1033" spans="1:9" x14ac:dyDescent="0.25">
      <c r="A1033">
        <v>198190</v>
      </c>
      <c r="B1033">
        <v>0.38</v>
      </c>
      <c r="C1033">
        <v>3000</v>
      </c>
      <c r="D1033" s="9">
        <v>41744</v>
      </c>
      <c r="E1033" t="s">
        <v>296</v>
      </c>
      <c r="I1033" s="9"/>
    </row>
    <row r="1034" spans="1:9" x14ac:dyDescent="0.25">
      <c r="A1034">
        <v>198190</v>
      </c>
      <c r="B1034">
        <v>0.38</v>
      </c>
      <c r="C1034">
        <v>2880</v>
      </c>
      <c r="D1034" s="9">
        <v>41682</v>
      </c>
      <c r="E1034" t="s">
        <v>296</v>
      </c>
      <c r="I1034" s="9"/>
    </row>
    <row r="1035" spans="1:9" x14ac:dyDescent="0.25">
      <c r="A1035">
        <v>198190</v>
      </c>
      <c r="B1035">
        <v>0.45</v>
      </c>
      <c r="C1035">
        <v>2880</v>
      </c>
      <c r="D1035" s="9">
        <v>41526</v>
      </c>
      <c r="E1035" t="s">
        <v>296</v>
      </c>
      <c r="I1035" s="9"/>
    </row>
    <row r="1036" spans="1:9" x14ac:dyDescent="0.25">
      <c r="A1036">
        <v>198190</v>
      </c>
      <c r="B1036">
        <v>0.46</v>
      </c>
      <c r="C1036">
        <v>2880</v>
      </c>
      <c r="D1036" s="9">
        <v>41375</v>
      </c>
      <c r="E1036" t="s">
        <v>296</v>
      </c>
      <c r="I1036" s="9"/>
    </row>
    <row r="1037" spans="1:9" x14ac:dyDescent="0.25">
      <c r="A1037">
        <v>198190</v>
      </c>
      <c r="B1037">
        <v>0.46</v>
      </c>
      <c r="C1037">
        <v>3840</v>
      </c>
      <c r="D1037" s="9">
        <v>41281</v>
      </c>
      <c r="E1037" t="s">
        <v>296</v>
      </c>
      <c r="I1037" s="9"/>
    </row>
    <row r="1038" spans="1:9" x14ac:dyDescent="0.25">
      <c r="A1038">
        <v>198300</v>
      </c>
      <c r="B1038">
        <v>0.55300000000000005</v>
      </c>
      <c r="C1038">
        <v>1500</v>
      </c>
      <c r="D1038" s="9">
        <v>44068</v>
      </c>
      <c r="E1038" t="s">
        <v>296</v>
      </c>
      <c r="I1038" s="9"/>
    </row>
    <row r="1039" spans="1:9" x14ac:dyDescent="0.25">
      <c r="A1039">
        <v>198300</v>
      </c>
      <c r="B1039">
        <v>0.315</v>
      </c>
      <c r="C1039">
        <v>1800</v>
      </c>
      <c r="D1039" s="9">
        <v>44060</v>
      </c>
      <c r="E1039" t="s">
        <v>296</v>
      </c>
      <c r="I1039" s="9"/>
    </row>
    <row r="1040" spans="1:9" x14ac:dyDescent="0.25">
      <c r="A1040">
        <v>198300</v>
      </c>
      <c r="B1040">
        <v>0.55300000000000005</v>
      </c>
      <c r="C1040">
        <v>1500</v>
      </c>
      <c r="D1040" s="9">
        <v>44005</v>
      </c>
      <c r="E1040" t="s">
        <v>296</v>
      </c>
      <c r="I1040" s="9"/>
    </row>
    <row r="1041" spans="1:9" x14ac:dyDescent="0.25">
      <c r="A1041">
        <v>198300</v>
      </c>
      <c r="B1041">
        <v>0.65</v>
      </c>
      <c r="C1041">
        <v>2250</v>
      </c>
      <c r="D1041" s="9">
        <v>43707</v>
      </c>
      <c r="E1041" t="s">
        <v>296</v>
      </c>
      <c r="I1041" s="9"/>
    </row>
    <row r="1042" spans="1:9" x14ac:dyDescent="0.25">
      <c r="A1042">
        <v>198300</v>
      </c>
      <c r="B1042">
        <v>0.625</v>
      </c>
      <c r="C1042">
        <v>3000</v>
      </c>
      <c r="D1042" s="9">
        <v>43381</v>
      </c>
      <c r="E1042" t="s">
        <v>296</v>
      </c>
      <c r="I1042" s="9"/>
    </row>
    <row r="1043" spans="1:9" x14ac:dyDescent="0.25">
      <c r="A1043">
        <v>198300</v>
      </c>
      <c r="B1043">
        <v>2.54</v>
      </c>
      <c r="C1043">
        <v>2850</v>
      </c>
      <c r="D1043" s="9">
        <v>43238</v>
      </c>
      <c r="E1043" t="s">
        <v>295</v>
      </c>
      <c r="I1043" s="9"/>
    </row>
    <row r="1044" spans="1:9" x14ac:dyDescent="0.25">
      <c r="A1044">
        <v>198300</v>
      </c>
      <c r="B1044">
        <v>0.66700000000000004</v>
      </c>
      <c r="C1044">
        <v>2850</v>
      </c>
      <c r="D1044" s="9">
        <v>43238</v>
      </c>
      <c r="E1044" t="s">
        <v>296</v>
      </c>
      <c r="I1044" s="9"/>
    </row>
    <row r="1045" spans="1:9" x14ac:dyDescent="0.25">
      <c r="A1045">
        <v>198300</v>
      </c>
      <c r="B1045">
        <v>0.44</v>
      </c>
      <c r="C1045">
        <v>3600</v>
      </c>
      <c r="D1045" s="9">
        <v>42859</v>
      </c>
      <c r="E1045" t="s">
        <v>296</v>
      </c>
      <c r="I1045" s="9"/>
    </row>
    <row r="1046" spans="1:9" x14ac:dyDescent="0.25">
      <c r="A1046">
        <v>198300</v>
      </c>
      <c r="B1046">
        <v>0.45800000000000002</v>
      </c>
      <c r="C1046">
        <v>3600</v>
      </c>
      <c r="D1046" s="9">
        <v>42815</v>
      </c>
      <c r="E1046" t="s">
        <v>296</v>
      </c>
      <c r="I1046" s="9"/>
    </row>
    <row r="1047" spans="1:9" x14ac:dyDescent="0.25">
      <c r="A1047">
        <v>198300</v>
      </c>
      <c r="B1047">
        <v>0.45</v>
      </c>
      <c r="C1047">
        <v>2400</v>
      </c>
      <c r="D1047" s="9">
        <v>42641</v>
      </c>
      <c r="E1047" t="s">
        <v>296</v>
      </c>
      <c r="I1047" s="9"/>
    </row>
    <row r="1048" spans="1:9" x14ac:dyDescent="0.25">
      <c r="A1048">
        <v>198300</v>
      </c>
      <c r="B1048">
        <v>0.45</v>
      </c>
      <c r="C1048">
        <v>2400</v>
      </c>
      <c r="D1048" s="9">
        <v>42641</v>
      </c>
      <c r="E1048" t="s">
        <v>296</v>
      </c>
      <c r="I1048" s="9"/>
    </row>
    <row r="1049" spans="1:9" x14ac:dyDescent="0.25">
      <c r="A1049">
        <v>198300</v>
      </c>
      <c r="B1049">
        <v>1.69</v>
      </c>
      <c r="C1049">
        <v>3000</v>
      </c>
      <c r="D1049" s="9">
        <v>42508</v>
      </c>
      <c r="E1049" t="s">
        <v>295</v>
      </c>
      <c r="I1049" s="9"/>
    </row>
    <row r="1050" spans="1:9" x14ac:dyDescent="0.25">
      <c r="A1050">
        <v>198300</v>
      </c>
      <c r="B1050">
        <v>0.434</v>
      </c>
      <c r="C1050">
        <v>3000</v>
      </c>
      <c r="D1050" s="9">
        <v>42508</v>
      </c>
      <c r="E1050" t="s">
        <v>296</v>
      </c>
      <c r="I1050" s="9"/>
    </row>
    <row r="1051" spans="1:9" x14ac:dyDescent="0.25">
      <c r="A1051">
        <v>198300</v>
      </c>
      <c r="B1051">
        <v>0.41</v>
      </c>
      <c r="C1051">
        <v>3000</v>
      </c>
      <c r="D1051" s="9">
        <v>42321</v>
      </c>
      <c r="E1051" t="s">
        <v>296</v>
      </c>
      <c r="I1051" s="9"/>
    </row>
    <row r="1052" spans="1:9" x14ac:dyDescent="0.25">
      <c r="A1052">
        <v>198300</v>
      </c>
      <c r="B1052">
        <v>0.53</v>
      </c>
      <c r="C1052">
        <v>3000</v>
      </c>
      <c r="D1052" s="9">
        <v>42191</v>
      </c>
      <c r="E1052" t="s">
        <v>296</v>
      </c>
      <c r="I1052" s="9"/>
    </row>
    <row r="1053" spans="1:9" x14ac:dyDescent="0.25">
      <c r="A1053">
        <v>198300</v>
      </c>
      <c r="B1053">
        <v>0.53</v>
      </c>
      <c r="C1053">
        <v>3000</v>
      </c>
      <c r="D1053" s="9">
        <v>41947</v>
      </c>
      <c r="E1053" t="s">
        <v>296</v>
      </c>
      <c r="I1053" s="9"/>
    </row>
    <row r="1054" spans="1:9" x14ac:dyDescent="0.25">
      <c r="A1054">
        <v>198300</v>
      </c>
      <c r="B1054">
        <v>0.52</v>
      </c>
      <c r="C1054">
        <v>3000</v>
      </c>
      <c r="D1054" s="9">
        <v>41947</v>
      </c>
      <c r="E1054" t="s">
        <v>296</v>
      </c>
      <c r="I1054" s="9"/>
    </row>
    <row r="1055" spans="1:9" x14ac:dyDescent="0.25">
      <c r="A1055">
        <v>198300</v>
      </c>
      <c r="B1055">
        <v>0.52</v>
      </c>
      <c r="C1055">
        <v>4200</v>
      </c>
      <c r="D1055" s="9">
        <v>41813</v>
      </c>
      <c r="E1055" t="s">
        <v>296</v>
      </c>
      <c r="I1055" s="9"/>
    </row>
    <row r="1056" spans="1:9" x14ac:dyDescent="0.25">
      <c r="A1056">
        <v>198300</v>
      </c>
      <c r="B1056">
        <v>0.53</v>
      </c>
      <c r="C1056">
        <v>1920</v>
      </c>
      <c r="D1056" s="9">
        <v>41744</v>
      </c>
      <c r="E1056" t="s">
        <v>296</v>
      </c>
      <c r="I1056" s="9"/>
    </row>
    <row r="1057" spans="1:9" x14ac:dyDescent="0.25">
      <c r="A1057">
        <v>198300</v>
      </c>
      <c r="B1057">
        <v>0.53</v>
      </c>
      <c r="C1057">
        <v>1920</v>
      </c>
      <c r="D1057" s="9">
        <v>41682</v>
      </c>
      <c r="E1057" t="s">
        <v>296</v>
      </c>
      <c r="I1057" s="9"/>
    </row>
    <row r="1058" spans="1:9" x14ac:dyDescent="0.25">
      <c r="A1058">
        <v>198300</v>
      </c>
      <c r="B1058">
        <v>0.66</v>
      </c>
      <c r="C1058">
        <v>2880</v>
      </c>
      <c r="D1058" s="9">
        <v>41526</v>
      </c>
      <c r="E1058" t="s">
        <v>296</v>
      </c>
      <c r="I1058" s="9"/>
    </row>
    <row r="1059" spans="1:9" x14ac:dyDescent="0.25">
      <c r="A1059">
        <v>198300</v>
      </c>
      <c r="B1059">
        <v>0.67</v>
      </c>
      <c r="C1059">
        <v>2880</v>
      </c>
      <c r="D1059" s="9">
        <v>41375</v>
      </c>
      <c r="E1059" t="s">
        <v>296</v>
      </c>
      <c r="I1059" s="9"/>
    </row>
    <row r="1060" spans="1:9" x14ac:dyDescent="0.25">
      <c r="A1060">
        <v>198300</v>
      </c>
      <c r="B1060">
        <v>0.67</v>
      </c>
      <c r="C1060">
        <v>3600</v>
      </c>
      <c r="D1060" s="9">
        <v>41281</v>
      </c>
      <c r="E1060" t="s">
        <v>296</v>
      </c>
      <c r="I1060" s="9"/>
    </row>
    <row r="1061" spans="1:9" x14ac:dyDescent="0.25">
      <c r="A1061">
        <v>198390</v>
      </c>
      <c r="B1061">
        <v>0.36399999999999999</v>
      </c>
      <c r="C1061">
        <v>1200</v>
      </c>
      <c r="D1061" s="9">
        <v>44068</v>
      </c>
      <c r="E1061" t="s">
        <v>296</v>
      </c>
      <c r="I1061" s="9"/>
    </row>
    <row r="1062" spans="1:9" x14ac:dyDescent="0.25">
      <c r="A1062">
        <v>198390</v>
      </c>
      <c r="B1062">
        <v>0.24299999999999999</v>
      </c>
      <c r="C1062">
        <v>1800</v>
      </c>
      <c r="D1062" s="9">
        <v>44060</v>
      </c>
      <c r="E1062" t="s">
        <v>296</v>
      </c>
      <c r="I1062" s="9"/>
    </row>
    <row r="1063" spans="1:9" x14ac:dyDescent="0.25">
      <c r="A1063">
        <v>198390</v>
      </c>
      <c r="B1063">
        <v>0.36399999999999999</v>
      </c>
      <c r="C1063">
        <v>1200</v>
      </c>
      <c r="D1063" s="9">
        <v>44005</v>
      </c>
      <c r="E1063" t="s">
        <v>296</v>
      </c>
      <c r="I1063" s="9"/>
    </row>
    <row r="1064" spans="1:9" x14ac:dyDescent="0.25">
      <c r="A1064">
        <v>198390</v>
      </c>
      <c r="B1064">
        <v>0.41799999999999998</v>
      </c>
      <c r="C1064">
        <v>1800</v>
      </c>
      <c r="D1064" s="9">
        <v>43707</v>
      </c>
      <c r="E1064" t="s">
        <v>296</v>
      </c>
      <c r="I1064" s="9"/>
    </row>
    <row r="1065" spans="1:9" x14ac:dyDescent="0.25">
      <c r="A1065">
        <v>198390</v>
      </c>
      <c r="B1065">
        <v>0.42799999999999999</v>
      </c>
      <c r="C1065">
        <v>1440</v>
      </c>
      <c r="D1065" s="9">
        <v>43707</v>
      </c>
      <c r="E1065" t="s">
        <v>296</v>
      </c>
      <c r="I1065" s="9"/>
    </row>
    <row r="1066" spans="1:9" x14ac:dyDescent="0.25">
      <c r="A1066">
        <v>198390</v>
      </c>
      <c r="B1066">
        <v>0.41799999999999998</v>
      </c>
      <c r="C1066">
        <v>2400</v>
      </c>
      <c r="D1066" s="9">
        <v>43403</v>
      </c>
      <c r="E1066" t="s">
        <v>296</v>
      </c>
      <c r="I1066" s="9"/>
    </row>
    <row r="1067" spans="1:9" x14ac:dyDescent="0.25">
      <c r="A1067">
        <v>198390</v>
      </c>
      <c r="B1067">
        <v>0.31900000000000001</v>
      </c>
      <c r="C1067">
        <v>3600</v>
      </c>
      <c r="D1067" s="9">
        <v>43054</v>
      </c>
      <c r="E1067" t="s">
        <v>296</v>
      </c>
      <c r="I1067" s="9"/>
    </row>
    <row r="1068" spans="1:9" x14ac:dyDescent="0.25">
      <c r="A1068">
        <v>198390</v>
      </c>
      <c r="B1068">
        <v>1.51</v>
      </c>
      <c r="C1068">
        <v>60</v>
      </c>
      <c r="D1068" s="9">
        <v>42998</v>
      </c>
      <c r="E1068" t="s">
        <v>295</v>
      </c>
      <c r="I1068" s="9"/>
    </row>
    <row r="1069" spans="1:9" x14ac:dyDescent="0.25">
      <c r="A1069">
        <v>198390</v>
      </c>
      <c r="B1069">
        <v>0.29899999999999999</v>
      </c>
      <c r="C1069">
        <v>3600</v>
      </c>
      <c r="D1069" s="9">
        <v>42877</v>
      </c>
      <c r="E1069" t="s">
        <v>296</v>
      </c>
      <c r="I1069" s="9"/>
    </row>
    <row r="1070" spans="1:9" x14ac:dyDescent="0.25">
      <c r="A1070">
        <v>198390</v>
      </c>
      <c r="B1070">
        <v>0.30399999999999999</v>
      </c>
      <c r="C1070">
        <v>2880</v>
      </c>
      <c r="D1070" s="9">
        <v>42815</v>
      </c>
      <c r="E1070" t="s">
        <v>296</v>
      </c>
      <c r="I1070" s="9"/>
    </row>
    <row r="1071" spans="1:9" x14ac:dyDescent="0.25">
      <c r="A1071">
        <v>198390</v>
      </c>
      <c r="B1071">
        <v>0.29899999999999999</v>
      </c>
      <c r="C1071">
        <v>3600</v>
      </c>
      <c r="D1071" s="9">
        <v>42641</v>
      </c>
      <c r="E1071" t="s">
        <v>296</v>
      </c>
      <c r="I1071" s="9"/>
    </row>
    <row r="1072" spans="1:9" x14ac:dyDescent="0.25">
      <c r="A1072">
        <v>198390</v>
      </c>
      <c r="B1072">
        <v>0.29899999999999999</v>
      </c>
      <c r="C1072">
        <v>3600</v>
      </c>
      <c r="D1072" s="9">
        <v>42641</v>
      </c>
      <c r="E1072" t="s">
        <v>296</v>
      </c>
      <c r="I1072" s="9"/>
    </row>
    <row r="1073" spans="1:9" x14ac:dyDescent="0.25">
      <c r="A1073">
        <v>198390</v>
      </c>
      <c r="B1073">
        <v>0.29899999999999999</v>
      </c>
      <c r="C1073">
        <v>3000</v>
      </c>
      <c r="D1073" s="9">
        <v>42508</v>
      </c>
      <c r="E1073" t="s">
        <v>296</v>
      </c>
      <c r="I1073" s="9"/>
    </row>
    <row r="1074" spans="1:9" x14ac:dyDescent="0.25">
      <c r="A1074">
        <v>198390</v>
      </c>
      <c r="B1074">
        <v>1.1599999999999999</v>
      </c>
      <c r="C1074">
        <v>3000</v>
      </c>
      <c r="D1074" s="9">
        <v>42508</v>
      </c>
      <c r="E1074" t="s">
        <v>295</v>
      </c>
      <c r="I1074" s="9"/>
    </row>
    <row r="1075" spans="1:9" x14ac:dyDescent="0.25">
      <c r="A1075">
        <v>198390</v>
      </c>
      <c r="B1075">
        <v>0.28999999999999998</v>
      </c>
      <c r="C1075">
        <v>3000</v>
      </c>
      <c r="D1075" s="9">
        <v>42321</v>
      </c>
      <c r="E1075" t="s">
        <v>296</v>
      </c>
      <c r="I1075" s="9"/>
    </row>
    <row r="1076" spans="1:9" x14ac:dyDescent="0.25">
      <c r="A1076">
        <v>198390</v>
      </c>
      <c r="B1076">
        <v>0.36499999999999999</v>
      </c>
      <c r="C1076">
        <v>3000</v>
      </c>
      <c r="D1076" s="9">
        <v>42191</v>
      </c>
      <c r="E1076" t="s">
        <v>296</v>
      </c>
      <c r="I1076" s="9"/>
    </row>
    <row r="1077" spans="1:9" x14ac:dyDescent="0.25">
      <c r="A1077">
        <v>198390</v>
      </c>
      <c r="B1077">
        <v>0.36</v>
      </c>
      <c r="C1077">
        <v>4200</v>
      </c>
      <c r="D1077" s="9">
        <v>41947</v>
      </c>
      <c r="E1077" t="s">
        <v>296</v>
      </c>
      <c r="I1077" s="9"/>
    </row>
    <row r="1078" spans="1:9" x14ac:dyDescent="0.25">
      <c r="A1078">
        <v>198390</v>
      </c>
      <c r="B1078">
        <v>0.36499999999999999</v>
      </c>
      <c r="C1078">
        <v>4500</v>
      </c>
      <c r="D1078" s="9">
        <v>41947</v>
      </c>
      <c r="E1078" t="s">
        <v>296</v>
      </c>
      <c r="I1078" s="9"/>
    </row>
    <row r="1079" spans="1:9" x14ac:dyDescent="0.25">
      <c r="A1079">
        <v>198390</v>
      </c>
      <c r="B1079">
        <v>0.36</v>
      </c>
      <c r="C1079">
        <v>4200</v>
      </c>
      <c r="D1079" s="9">
        <v>41813</v>
      </c>
      <c r="E1079" t="s">
        <v>296</v>
      </c>
      <c r="I1079" s="9"/>
    </row>
    <row r="1080" spans="1:9" x14ac:dyDescent="0.25">
      <c r="A1080">
        <v>198390</v>
      </c>
      <c r="B1080">
        <v>0.38</v>
      </c>
      <c r="C1080">
        <v>3000</v>
      </c>
      <c r="D1080" s="9">
        <v>41744</v>
      </c>
      <c r="E1080" t="s">
        <v>296</v>
      </c>
      <c r="I1080" s="9"/>
    </row>
    <row r="1081" spans="1:9" x14ac:dyDescent="0.25">
      <c r="A1081">
        <v>198390</v>
      </c>
      <c r="B1081">
        <v>0.38</v>
      </c>
      <c r="C1081">
        <v>3120</v>
      </c>
      <c r="D1081" s="9">
        <v>41682</v>
      </c>
      <c r="E1081" t="s">
        <v>296</v>
      </c>
      <c r="I1081" s="9"/>
    </row>
    <row r="1082" spans="1:9" x14ac:dyDescent="0.25">
      <c r="A1082">
        <v>198390</v>
      </c>
      <c r="B1082">
        <v>0.45</v>
      </c>
      <c r="C1082">
        <v>1920</v>
      </c>
      <c r="D1082" s="9">
        <v>41526</v>
      </c>
      <c r="E1082" t="s">
        <v>296</v>
      </c>
      <c r="I1082" s="9"/>
    </row>
    <row r="1083" spans="1:9" x14ac:dyDescent="0.25">
      <c r="A1083">
        <v>198390</v>
      </c>
      <c r="B1083">
        <v>0.46</v>
      </c>
      <c r="C1083">
        <v>3360</v>
      </c>
      <c r="D1083" s="9">
        <v>41375</v>
      </c>
      <c r="E1083" t="s">
        <v>296</v>
      </c>
      <c r="I1083" s="9"/>
    </row>
    <row r="1084" spans="1:9" x14ac:dyDescent="0.25">
      <c r="A1084">
        <v>198390</v>
      </c>
      <c r="B1084">
        <v>0.46</v>
      </c>
      <c r="C1084">
        <v>4320</v>
      </c>
      <c r="D1084" s="9">
        <v>41281</v>
      </c>
      <c r="E1084" t="s">
        <v>296</v>
      </c>
      <c r="I1084" s="9"/>
    </row>
    <row r="1085" spans="1:9" x14ac:dyDescent="0.25">
      <c r="A1085">
        <v>198400</v>
      </c>
      <c r="B1085">
        <v>0.55300000000000005</v>
      </c>
      <c r="C1085">
        <v>2100</v>
      </c>
      <c r="D1085" s="9">
        <v>44068</v>
      </c>
      <c r="E1085" t="s">
        <v>296</v>
      </c>
      <c r="I1085" s="9"/>
    </row>
    <row r="1086" spans="1:9" x14ac:dyDescent="0.25">
      <c r="A1086">
        <v>198400</v>
      </c>
      <c r="B1086">
        <v>0.315</v>
      </c>
      <c r="C1086">
        <v>1800</v>
      </c>
      <c r="D1086" s="9">
        <v>44060</v>
      </c>
      <c r="E1086" t="s">
        <v>296</v>
      </c>
      <c r="I1086" s="9"/>
    </row>
    <row r="1087" spans="1:9" x14ac:dyDescent="0.25">
      <c r="A1087">
        <v>198400</v>
      </c>
      <c r="B1087">
        <v>0.55300000000000005</v>
      </c>
      <c r="C1087">
        <v>2100</v>
      </c>
      <c r="D1087" s="9">
        <v>44005</v>
      </c>
      <c r="E1087" t="s">
        <v>296</v>
      </c>
      <c r="I1087" s="9"/>
    </row>
    <row r="1088" spans="1:9" x14ac:dyDescent="0.25">
      <c r="A1088">
        <v>198400</v>
      </c>
      <c r="B1088">
        <v>0.65</v>
      </c>
      <c r="C1088">
        <v>2100</v>
      </c>
      <c r="D1088" s="9">
        <v>43707</v>
      </c>
      <c r="E1088" t="s">
        <v>296</v>
      </c>
      <c r="I1088" s="9"/>
    </row>
    <row r="1089" spans="1:9" x14ac:dyDescent="0.25">
      <c r="A1089">
        <v>198400</v>
      </c>
      <c r="B1089">
        <v>0.69499999999999995</v>
      </c>
      <c r="C1089">
        <v>2400</v>
      </c>
      <c r="D1089" s="9">
        <v>43567</v>
      </c>
      <c r="E1089" t="s">
        <v>296</v>
      </c>
      <c r="I1089" s="9"/>
    </row>
    <row r="1090" spans="1:9" x14ac:dyDescent="0.25">
      <c r="A1090">
        <v>198400</v>
      </c>
      <c r="B1090">
        <v>0.44</v>
      </c>
      <c r="C1090">
        <v>3000</v>
      </c>
      <c r="D1090" s="9">
        <v>42859</v>
      </c>
      <c r="E1090" t="s">
        <v>296</v>
      </c>
      <c r="I1090" s="9"/>
    </row>
    <row r="1091" spans="1:9" x14ac:dyDescent="0.25">
      <c r="A1091">
        <v>198400</v>
      </c>
      <c r="B1091">
        <v>0.45800000000000002</v>
      </c>
      <c r="C1091">
        <v>3600</v>
      </c>
      <c r="D1091" s="9">
        <v>42815</v>
      </c>
      <c r="E1091" t="s">
        <v>296</v>
      </c>
      <c r="I1091" s="9"/>
    </row>
    <row r="1092" spans="1:9" x14ac:dyDescent="0.25">
      <c r="A1092">
        <v>198400</v>
      </c>
      <c r="B1092">
        <v>0.434</v>
      </c>
      <c r="C1092">
        <v>4500</v>
      </c>
      <c r="D1092" s="9">
        <v>42641</v>
      </c>
      <c r="E1092" t="s">
        <v>296</v>
      </c>
      <c r="I1092" s="9"/>
    </row>
    <row r="1093" spans="1:9" x14ac:dyDescent="0.25">
      <c r="A1093">
        <v>198400</v>
      </c>
      <c r="B1093">
        <v>0.434</v>
      </c>
      <c r="C1093">
        <v>4500</v>
      </c>
      <c r="D1093" s="9">
        <v>42641</v>
      </c>
      <c r="E1093" t="s">
        <v>296</v>
      </c>
      <c r="I1093" s="9"/>
    </row>
    <row r="1094" spans="1:9" x14ac:dyDescent="0.25">
      <c r="A1094">
        <v>198400</v>
      </c>
      <c r="B1094">
        <v>1.69</v>
      </c>
      <c r="C1094">
        <v>4500</v>
      </c>
      <c r="D1094" s="9">
        <v>42508</v>
      </c>
      <c r="E1094" t="s">
        <v>295</v>
      </c>
      <c r="I1094" s="9"/>
    </row>
    <row r="1095" spans="1:9" x14ac:dyDescent="0.25">
      <c r="A1095">
        <v>198400</v>
      </c>
      <c r="B1095">
        <v>0.434</v>
      </c>
      <c r="C1095">
        <v>4500</v>
      </c>
      <c r="D1095" s="9">
        <v>42508</v>
      </c>
      <c r="E1095" t="s">
        <v>296</v>
      </c>
      <c r="I1095" s="9"/>
    </row>
    <row r="1096" spans="1:9" x14ac:dyDescent="0.25">
      <c r="A1096">
        <v>198400</v>
      </c>
      <c r="B1096">
        <v>0.41</v>
      </c>
      <c r="C1096">
        <v>1800</v>
      </c>
      <c r="D1096" s="9">
        <v>42321</v>
      </c>
      <c r="E1096" t="s">
        <v>296</v>
      </c>
      <c r="I1096" s="9"/>
    </row>
    <row r="1097" spans="1:9" x14ac:dyDescent="0.25">
      <c r="A1097">
        <v>198400</v>
      </c>
      <c r="B1097">
        <v>0.53</v>
      </c>
      <c r="C1097">
        <v>3000</v>
      </c>
      <c r="D1097" s="9">
        <v>42191</v>
      </c>
      <c r="E1097" t="s">
        <v>296</v>
      </c>
      <c r="I1097" s="9"/>
    </row>
    <row r="1098" spans="1:9" x14ac:dyDescent="0.25">
      <c r="A1098">
        <v>198400</v>
      </c>
      <c r="B1098">
        <v>0.53</v>
      </c>
      <c r="C1098">
        <v>4200</v>
      </c>
      <c r="D1098" s="9">
        <v>41947</v>
      </c>
      <c r="E1098" t="s">
        <v>296</v>
      </c>
      <c r="I1098" s="9"/>
    </row>
    <row r="1099" spans="1:9" x14ac:dyDescent="0.25">
      <c r="A1099">
        <v>198400</v>
      </c>
      <c r="B1099">
        <v>0.52</v>
      </c>
      <c r="C1099">
        <v>4200</v>
      </c>
      <c r="D1099" s="9">
        <v>41947</v>
      </c>
      <c r="E1099" t="s">
        <v>296</v>
      </c>
      <c r="I1099" s="9"/>
    </row>
    <row r="1100" spans="1:9" x14ac:dyDescent="0.25">
      <c r="A1100">
        <v>198400</v>
      </c>
      <c r="B1100">
        <v>0.52</v>
      </c>
      <c r="C1100">
        <v>3000</v>
      </c>
      <c r="D1100" s="9">
        <v>41813</v>
      </c>
      <c r="E1100" t="s">
        <v>296</v>
      </c>
      <c r="I1100" s="9"/>
    </row>
    <row r="1101" spans="1:9" x14ac:dyDescent="0.25">
      <c r="A1101">
        <v>198400</v>
      </c>
      <c r="B1101">
        <v>0.53</v>
      </c>
      <c r="C1101">
        <v>3000</v>
      </c>
      <c r="D1101" s="9">
        <v>41744</v>
      </c>
      <c r="E1101" t="s">
        <v>296</v>
      </c>
      <c r="I1101" s="9"/>
    </row>
    <row r="1102" spans="1:9" x14ac:dyDescent="0.25">
      <c r="A1102">
        <v>198400</v>
      </c>
      <c r="B1102">
        <v>0.53</v>
      </c>
      <c r="C1102">
        <v>2880</v>
      </c>
      <c r="D1102" s="9">
        <v>41682</v>
      </c>
      <c r="E1102" t="s">
        <v>296</v>
      </c>
      <c r="I1102" s="9"/>
    </row>
    <row r="1103" spans="1:9" x14ac:dyDescent="0.25">
      <c r="A1103">
        <v>198400</v>
      </c>
      <c r="B1103">
        <v>0.66</v>
      </c>
      <c r="C1103">
        <v>960</v>
      </c>
      <c r="D1103" s="9">
        <v>41526</v>
      </c>
      <c r="E1103" t="s">
        <v>296</v>
      </c>
      <c r="I1103" s="9"/>
    </row>
    <row r="1104" spans="1:9" x14ac:dyDescent="0.25">
      <c r="A1104">
        <v>198400</v>
      </c>
      <c r="B1104">
        <v>0.67</v>
      </c>
      <c r="C1104">
        <v>3360</v>
      </c>
      <c r="D1104" s="9">
        <v>41375</v>
      </c>
      <c r="E1104" t="s">
        <v>296</v>
      </c>
      <c r="I1104" s="9"/>
    </row>
    <row r="1105" spans="1:9" x14ac:dyDescent="0.25">
      <c r="A1105">
        <v>198400</v>
      </c>
      <c r="B1105">
        <v>0.67</v>
      </c>
      <c r="C1105">
        <v>4320</v>
      </c>
      <c r="D1105" s="9">
        <v>41281</v>
      </c>
      <c r="E1105" t="s">
        <v>296</v>
      </c>
      <c r="I1105" s="9"/>
    </row>
    <row r="1106" spans="1:9" x14ac:dyDescent="0.25">
      <c r="A1106">
        <v>198501</v>
      </c>
      <c r="B1106">
        <v>0.42099999999999999</v>
      </c>
      <c r="C1106">
        <v>1800</v>
      </c>
      <c r="D1106" s="9">
        <v>44060</v>
      </c>
      <c r="E1106" t="s">
        <v>296</v>
      </c>
      <c r="I1106" s="9"/>
    </row>
    <row r="1107" spans="1:9" x14ac:dyDescent="0.25">
      <c r="A1107">
        <v>198501</v>
      </c>
      <c r="B1107">
        <v>0.68400000000000005</v>
      </c>
      <c r="C1107">
        <v>1200</v>
      </c>
      <c r="D1107" s="9">
        <v>43843</v>
      </c>
      <c r="E1107" t="s">
        <v>296</v>
      </c>
      <c r="I1107" s="9"/>
    </row>
    <row r="1108" spans="1:9" x14ac:dyDescent="0.25">
      <c r="A1108">
        <v>198501</v>
      </c>
      <c r="B1108">
        <v>0.68400000000000005</v>
      </c>
      <c r="C1108">
        <v>1200</v>
      </c>
      <c r="D1108" s="9">
        <v>43707</v>
      </c>
      <c r="E1108" t="s">
        <v>296</v>
      </c>
      <c r="I1108" s="9"/>
    </row>
    <row r="1109" spans="1:9" x14ac:dyDescent="0.25">
      <c r="A1109">
        <v>198501</v>
      </c>
      <c r="B1109">
        <v>0.68400000000000005</v>
      </c>
      <c r="C1109">
        <v>1200</v>
      </c>
      <c r="D1109" s="9">
        <v>43403</v>
      </c>
      <c r="E1109" t="s">
        <v>296</v>
      </c>
      <c r="I1109" s="9"/>
    </row>
    <row r="1110" spans="1:9" x14ac:dyDescent="0.25">
      <c r="A1110">
        <v>198501</v>
      </c>
      <c r="B1110">
        <v>1.9</v>
      </c>
      <c r="C1110">
        <v>1200</v>
      </c>
      <c r="D1110" s="9">
        <v>43136</v>
      </c>
      <c r="E1110" t="s">
        <v>295</v>
      </c>
      <c r="I1110" s="9"/>
    </row>
    <row r="1111" spans="1:9" x14ac:dyDescent="0.25">
      <c r="A1111">
        <v>198501</v>
      </c>
      <c r="B1111">
        <v>0.55000000000000004</v>
      </c>
      <c r="C1111">
        <v>1200</v>
      </c>
      <c r="D1111" s="9">
        <v>43136</v>
      </c>
      <c r="E1111" t="s">
        <v>296</v>
      </c>
      <c r="I1111" s="9"/>
    </row>
    <row r="1112" spans="1:9" x14ac:dyDescent="0.25">
      <c r="A1112">
        <v>198501</v>
      </c>
      <c r="B1112">
        <v>0.5</v>
      </c>
      <c r="C1112">
        <v>1920</v>
      </c>
      <c r="D1112" s="9">
        <v>42815</v>
      </c>
      <c r="E1112" t="s">
        <v>296</v>
      </c>
      <c r="I1112" s="9"/>
    </row>
    <row r="1113" spans="1:9" x14ac:dyDescent="0.25">
      <c r="A1113">
        <v>198501</v>
      </c>
      <c r="B1113">
        <v>0.49099999999999999</v>
      </c>
      <c r="C1113">
        <v>1500</v>
      </c>
      <c r="D1113" s="9">
        <v>42641</v>
      </c>
      <c r="E1113" t="s">
        <v>296</v>
      </c>
      <c r="I1113" s="9"/>
    </row>
    <row r="1114" spans="1:9" x14ac:dyDescent="0.25">
      <c r="A1114">
        <v>198501</v>
      </c>
      <c r="B1114">
        <v>0.49099999999999999</v>
      </c>
      <c r="C1114">
        <v>1500</v>
      </c>
      <c r="D1114" s="9">
        <v>42641</v>
      </c>
      <c r="E1114" t="s">
        <v>296</v>
      </c>
      <c r="I1114" s="9"/>
    </row>
    <row r="1115" spans="1:9" x14ac:dyDescent="0.25">
      <c r="A1115">
        <v>198501</v>
      </c>
      <c r="B1115">
        <v>0.48</v>
      </c>
      <c r="C1115">
        <v>1500</v>
      </c>
      <c r="D1115" s="9">
        <v>42508</v>
      </c>
      <c r="E1115" t="s">
        <v>296</v>
      </c>
      <c r="I1115" s="9"/>
    </row>
    <row r="1116" spans="1:9" x14ac:dyDescent="0.25">
      <c r="A1116">
        <v>198501</v>
      </c>
      <c r="B1116">
        <v>1.87</v>
      </c>
      <c r="C1116">
        <v>1500</v>
      </c>
      <c r="D1116" s="9">
        <v>42508</v>
      </c>
      <c r="E1116" t="s">
        <v>295</v>
      </c>
      <c r="I1116" s="9"/>
    </row>
    <row r="1117" spans="1:9" x14ac:dyDescent="0.25">
      <c r="A1117">
        <v>198501</v>
      </c>
      <c r="B1117">
        <v>0.5</v>
      </c>
      <c r="C1117">
        <v>1500</v>
      </c>
      <c r="D1117" s="9">
        <v>42321</v>
      </c>
      <c r="E1117" t="s">
        <v>296</v>
      </c>
      <c r="I1117" s="9"/>
    </row>
    <row r="1118" spans="1:9" x14ac:dyDescent="0.25">
      <c r="A1118">
        <v>198501</v>
      </c>
      <c r="B1118">
        <v>0.75</v>
      </c>
      <c r="C1118">
        <v>1500</v>
      </c>
      <c r="D1118" s="9">
        <v>42139</v>
      </c>
      <c r="E1118" t="s">
        <v>296</v>
      </c>
      <c r="I1118" s="9"/>
    </row>
    <row r="1119" spans="1:9" x14ac:dyDescent="0.25">
      <c r="A1119">
        <v>198501</v>
      </c>
      <c r="B1119">
        <v>0.75</v>
      </c>
      <c r="C1119">
        <v>1080</v>
      </c>
      <c r="D1119" s="9">
        <v>41947</v>
      </c>
      <c r="E1119" t="s">
        <v>296</v>
      </c>
      <c r="I1119" s="9"/>
    </row>
    <row r="1120" spans="1:9" x14ac:dyDescent="0.25">
      <c r="A1120">
        <v>198501</v>
      </c>
      <c r="B1120">
        <v>0.75</v>
      </c>
      <c r="C1120">
        <v>960</v>
      </c>
      <c r="D1120" s="9">
        <v>41526</v>
      </c>
      <c r="E1120" t="s">
        <v>296</v>
      </c>
      <c r="I1120" s="9"/>
    </row>
    <row r="1121" spans="1:9" x14ac:dyDescent="0.25">
      <c r="A1121">
        <v>198501</v>
      </c>
      <c r="B1121">
        <v>0.75</v>
      </c>
      <c r="C1121">
        <v>960</v>
      </c>
      <c r="D1121" s="9">
        <v>41375</v>
      </c>
      <c r="E1121" t="s">
        <v>296</v>
      </c>
      <c r="I1121" s="9"/>
    </row>
    <row r="1122" spans="1:9" x14ac:dyDescent="0.25">
      <c r="A1122">
        <v>198501</v>
      </c>
      <c r="B1122">
        <v>0.75</v>
      </c>
      <c r="C1122">
        <v>3000</v>
      </c>
      <c r="D1122" s="9">
        <v>41281</v>
      </c>
      <c r="E1122" t="s">
        <v>296</v>
      </c>
      <c r="I1122" s="9"/>
    </row>
    <row r="1123" spans="1:9" x14ac:dyDescent="0.25">
      <c r="A1123">
        <v>198502</v>
      </c>
      <c r="B1123">
        <v>0.61199999999999999</v>
      </c>
      <c r="C1123">
        <v>1140</v>
      </c>
      <c r="D1123" s="9">
        <v>44068</v>
      </c>
      <c r="E1123" t="s">
        <v>296</v>
      </c>
      <c r="I1123" s="9"/>
    </row>
    <row r="1124" spans="1:9" x14ac:dyDescent="0.25">
      <c r="A1124">
        <v>198502</v>
      </c>
      <c r="B1124">
        <v>0.42099999999999999</v>
      </c>
      <c r="C1124">
        <v>1800</v>
      </c>
      <c r="D1124" s="9">
        <v>44060</v>
      </c>
      <c r="E1124" t="s">
        <v>296</v>
      </c>
      <c r="I1124" s="9"/>
    </row>
    <row r="1125" spans="1:9" x14ac:dyDescent="0.25">
      <c r="A1125">
        <v>198502</v>
      </c>
      <c r="B1125">
        <v>0.72</v>
      </c>
      <c r="C1125">
        <v>1140</v>
      </c>
      <c r="D1125" s="9">
        <v>44005</v>
      </c>
      <c r="E1125" t="s">
        <v>296</v>
      </c>
      <c r="I1125" s="9"/>
    </row>
    <row r="1126" spans="1:9" x14ac:dyDescent="0.25">
      <c r="A1126">
        <v>198502</v>
      </c>
      <c r="B1126">
        <v>0.72</v>
      </c>
      <c r="C1126">
        <v>1080</v>
      </c>
      <c r="D1126" s="9">
        <v>43843</v>
      </c>
      <c r="E1126" t="s">
        <v>296</v>
      </c>
      <c r="I1126" s="9"/>
    </row>
    <row r="1127" spans="1:9" x14ac:dyDescent="0.25">
      <c r="A1127">
        <v>198502</v>
      </c>
      <c r="B1127">
        <v>0.82</v>
      </c>
      <c r="C1127">
        <v>1500</v>
      </c>
      <c r="D1127" s="9">
        <v>43567</v>
      </c>
      <c r="E1127" t="s">
        <v>296</v>
      </c>
      <c r="I1127" s="9"/>
    </row>
    <row r="1128" spans="1:9" x14ac:dyDescent="0.25">
      <c r="A1128">
        <v>198502</v>
      </c>
      <c r="B1128">
        <v>0.64800000000000002</v>
      </c>
      <c r="C1128">
        <v>1500</v>
      </c>
      <c r="D1128" s="9">
        <v>43238</v>
      </c>
      <c r="E1128" t="s">
        <v>296</v>
      </c>
      <c r="I1128" s="9"/>
    </row>
    <row r="1129" spans="1:9" x14ac:dyDescent="0.25">
      <c r="A1129">
        <v>198502</v>
      </c>
      <c r="B1129">
        <v>2.4700000000000002</v>
      </c>
      <c r="C1129">
        <v>1500</v>
      </c>
      <c r="D1129" s="9">
        <v>43238</v>
      </c>
      <c r="E1129" t="s">
        <v>295</v>
      </c>
      <c r="I1129" s="9"/>
    </row>
    <row r="1130" spans="1:9" x14ac:dyDescent="0.25">
      <c r="A1130">
        <v>198502</v>
      </c>
      <c r="B1130">
        <v>0.5</v>
      </c>
      <c r="C1130">
        <v>1500</v>
      </c>
      <c r="D1130" s="9">
        <v>43054</v>
      </c>
      <c r="E1130" t="s">
        <v>296</v>
      </c>
      <c r="I1130" s="9"/>
    </row>
    <row r="1131" spans="1:9" x14ac:dyDescent="0.25">
      <c r="A1131">
        <v>198502</v>
      </c>
      <c r="B1131">
        <v>0.5</v>
      </c>
      <c r="C1131">
        <v>1800</v>
      </c>
      <c r="D1131" s="9">
        <v>42815</v>
      </c>
      <c r="E1131" t="s">
        <v>296</v>
      </c>
      <c r="I1131" s="9"/>
    </row>
    <row r="1132" spans="1:9" x14ac:dyDescent="0.25">
      <c r="A1132">
        <v>198502</v>
      </c>
      <c r="B1132">
        <v>0.49099999999999999</v>
      </c>
      <c r="C1132">
        <v>1200</v>
      </c>
      <c r="D1132" s="9">
        <v>42641</v>
      </c>
      <c r="E1132" t="s">
        <v>296</v>
      </c>
      <c r="I1132" s="9"/>
    </row>
    <row r="1133" spans="1:9" x14ac:dyDescent="0.25">
      <c r="A1133">
        <v>198502</v>
      </c>
      <c r="B1133">
        <v>0.49099999999999999</v>
      </c>
      <c r="C1133">
        <v>1200</v>
      </c>
      <c r="D1133" s="9">
        <v>42641</v>
      </c>
      <c r="E1133" t="s">
        <v>296</v>
      </c>
      <c r="I1133" s="9"/>
    </row>
    <row r="1134" spans="1:9" x14ac:dyDescent="0.25">
      <c r="A1134">
        <v>198502</v>
      </c>
      <c r="B1134">
        <v>1.91</v>
      </c>
      <c r="C1134">
        <v>1200</v>
      </c>
      <c r="D1134" s="9">
        <v>42508</v>
      </c>
      <c r="E1134" t="s">
        <v>295</v>
      </c>
      <c r="I1134" s="9"/>
    </row>
    <row r="1135" spans="1:9" x14ac:dyDescent="0.25">
      <c r="A1135">
        <v>198502</v>
      </c>
      <c r="B1135">
        <v>0.49099999999999999</v>
      </c>
      <c r="C1135">
        <v>1200</v>
      </c>
      <c r="D1135" s="9">
        <v>42508</v>
      </c>
      <c r="E1135" t="s">
        <v>296</v>
      </c>
      <c r="I1135" s="9"/>
    </row>
    <row r="1136" spans="1:9" x14ac:dyDescent="0.25">
      <c r="A1136">
        <v>198502</v>
      </c>
      <c r="B1136">
        <v>0.5</v>
      </c>
      <c r="C1136">
        <v>1200</v>
      </c>
      <c r="D1136" s="9">
        <v>42321</v>
      </c>
      <c r="E1136" t="s">
        <v>296</v>
      </c>
      <c r="I1136" s="9"/>
    </row>
    <row r="1137" spans="1:9" x14ac:dyDescent="0.25">
      <c r="A1137">
        <v>198502</v>
      </c>
      <c r="B1137">
        <v>0.75</v>
      </c>
      <c r="C1137">
        <v>1200</v>
      </c>
      <c r="D1137" s="9">
        <v>42139</v>
      </c>
      <c r="E1137" t="s">
        <v>296</v>
      </c>
      <c r="I1137" s="9"/>
    </row>
    <row r="1138" spans="1:9" x14ac:dyDescent="0.25">
      <c r="A1138">
        <v>198502</v>
      </c>
      <c r="B1138">
        <v>0.63800000000000001</v>
      </c>
      <c r="C1138">
        <v>1560</v>
      </c>
      <c r="D1138" s="9">
        <v>41865</v>
      </c>
      <c r="E1138" t="s">
        <v>296</v>
      </c>
      <c r="I1138" s="9"/>
    </row>
    <row r="1139" spans="1:9" x14ac:dyDescent="0.25">
      <c r="A1139">
        <v>198502</v>
      </c>
      <c r="B1139">
        <v>0.57999999999999996</v>
      </c>
      <c r="C1139">
        <v>1320</v>
      </c>
      <c r="D1139" s="9">
        <v>41682</v>
      </c>
      <c r="E1139" t="s">
        <v>296</v>
      </c>
      <c r="I1139" s="9"/>
    </row>
    <row r="1140" spans="1:9" x14ac:dyDescent="0.25">
      <c r="A1140">
        <v>198502</v>
      </c>
      <c r="B1140">
        <v>0.75</v>
      </c>
      <c r="C1140">
        <v>1800</v>
      </c>
      <c r="D1140" s="9">
        <v>41281</v>
      </c>
      <c r="E1140" t="s">
        <v>296</v>
      </c>
      <c r="I1140" s="9"/>
    </row>
    <row r="1141" spans="1:9" x14ac:dyDescent="0.25">
      <c r="A1141">
        <v>198571</v>
      </c>
      <c r="B1141">
        <v>0.90400000000000003</v>
      </c>
      <c r="C1141">
        <v>480</v>
      </c>
      <c r="D1141" s="9">
        <v>44068</v>
      </c>
      <c r="E1141" t="s">
        <v>296</v>
      </c>
      <c r="I1141" s="9"/>
    </row>
    <row r="1142" spans="1:9" x14ac:dyDescent="0.25">
      <c r="A1142">
        <v>198571</v>
      </c>
      <c r="B1142">
        <v>0.48499999999999999</v>
      </c>
      <c r="C1142">
        <v>960</v>
      </c>
      <c r="D1142" s="9">
        <v>44060</v>
      </c>
      <c r="E1142" t="s">
        <v>296</v>
      </c>
      <c r="I1142" s="9"/>
    </row>
    <row r="1143" spans="1:9" x14ac:dyDescent="0.25">
      <c r="A1143">
        <v>198571</v>
      </c>
      <c r="B1143">
        <v>0.90400000000000003</v>
      </c>
      <c r="C1143">
        <v>420</v>
      </c>
      <c r="D1143" s="9">
        <v>43707</v>
      </c>
      <c r="E1143" t="s">
        <v>296</v>
      </c>
      <c r="I1143" s="9"/>
    </row>
    <row r="1144" spans="1:9" x14ac:dyDescent="0.25">
      <c r="A1144">
        <v>198571</v>
      </c>
      <c r="B1144">
        <v>0.62</v>
      </c>
      <c r="C1144">
        <v>1200</v>
      </c>
      <c r="D1144" s="9">
        <v>43131</v>
      </c>
      <c r="E1144" t="s">
        <v>296</v>
      </c>
      <c r="I1144" s="9"/>
    </row>
    <row r="1145" spans="1:9" x14ac:dyDescent="0.25">
      <c r="A1145">
        <v>198571</v>
      </c>
      <c r="B1145">
        <v>0.59</v>
      </c>
      <c r="C1145">
        <v>1200</v>
      </c>
      <c r="D1145" s="9">
        <v>42696</v>
      </c>
      <c r="E1145" t="s">
        <v>296</v>
      </c>
      <c r="I1145" s="9"/>
    </row>
    <row r="1146" spans="1:9" x14ac:dyDescent="0.25">
      <c r="A1146">
        <v>198571</v>
      </c>
      <c r="B1146">
        <v>0.75</v>
      </c>
      <c r="C1146">
        <v>1200</v>
      </c>
      <c r="D1146" s="9">
        <v>42139</v>
      </c>
      <c r="E1146" t="s">
        <v>296</v>
      </c>
      <c r="I1146" s="9"/>
    </row>
    <row r="1147" spans="1:9" x14ac:dyDescent="0.25">
      <c r="A1147">
        <v>198571</v>
      </c>
      <c r="B1147">
        <v>0.75</v>
      </c>
      <c r="C1147">
        <v>1200</v>
      </c>
      <c r="D1147" s="9">
        <v>41813</v>
      </c>
      <c r="E1147" t="s">
        <v>296</v>
      </c>
      <c r="I1147" s="9"/>
    </row>
    <row r="1148" spans="1:9" x14ac:dyDescent="0.25">
      <c r="A1148">
        <v>198571</v>
      </c>
      <c r="B1148">
        <v>0.81499999999999995</v>
      </c>
      <c r="C1148">
        <v>1080</v>
      </c>
      <c r="D1148" s="9">
        <v>41281</v>
      </c>
      <c r="E1148" t="s">
        <v>296</v>
      </c>
      <c r="I1148" s="9"/>
    </row>
    <row r="1149" spans="1:9" x14ac:dyDescent="0.25">
      <c r="A1149">
        <v>198572</v>
      </c>
      <c r="B1149">
        <v>0.48499999999999999</v>
      </c>
      <c r="C1149">
        <v>960</v>
      </c>
      <c r="D1149" s="9">
        <v>44060</v>
      </c>
      <c r="E1149" t="s">
        <v>296</v>
      </c>
      <c r="I1149" s="9"/>
    </row>
    <row r="1150" spans="1:9" x14ac:dyDescent="0.25">
      <c r="A1150">
        <v>198572</v>
      </c>
      <c r="B1150">
        <v>0.90400000000000003</v>
      </c>
      <c r="C1150">
        <v>960</v>
      </c>
      <c r="D1150" s="9">
        <v>43567</v>
      </c>
      <c r="E1150" t="s">
        <v>296</v>
      </c>
      <c r="I1150" s="9"/>
    </row>
    <row r="1151" spans="1:9" x14ac:dyDescent="0.25">
      <c r="A1151">
        <v>198572</v>
      </c>
      <c r="B1151">
        <v>0.62</v>
      </c>
      <c r="C1151">
        <v>960</v>
      </c>
      <c r="D1151" s="9">
        <v>43131</v>
      </c>
      <c r="E1151" t="s">
        <v>296</v>
      </c>
      <c r="I1151" s="9"/>
    </row>
    <row r="1152" spans="1:9" x14ac:dyDescent="0.25">
      <c r="A1152">
        <v>198572</v>
      </c>
      <c r="B1152">
        <v>0.78500000000000003</v>
      </c>
      <c r="C1152">
        <v>960</v>
      </c>
      <c r="D1152" s="9">
        <v>42877</v>
      </c>
      <c r="E1152" t="s">
        <v>296</v>
      </c>
      <c r="I1152" s="9"/>
    </row>
    <row r="1153" spans="1:9" x14ac:dyDescent="0.25">
      <c r="A1153">
        <v>198572</v>
      </c>
      <c r="B1153">
        <v>0.73499999999999999</v>
      </c>
      <c r="C1153">
        <v>960</v>
      </c>
      <c r="D1153" s="9">
        <v>42641</v>
      </c>
      <c r="E1153" t="s">
        <v>296</v>
      </c>
      <c r="I1153" s="9"/>
    </row>
    <row r="1154" spans="1:9" x14ac:dyDescent="0.25">
      <c r="A1154">
        <v>198572</v>
      </c>
      <c r="B1154">
        <v>0.73499999999999999</v>
      </c>
      <c r="C1154">
        <v>960</v>
      </c>
      <c r="D1154" s="9">
        <v>42641</v>
      </c>
      <c r="E1154" t="s">
        <v>296</v>
      </c>
      <c r="I1154" s="9"/>
    </row>
    <row r="1155" spans="1:9" x14ac:dyDescent="0.25">
      <c r="A1155">
        <v>198572</v>
      </c>
      <c r="B1155">
        <v>0.81499999999999995</v>
      </c>
      <c r="C1155">
        <v>960</v>
      </c>
      <c r="D1155" s="9">
        <v>41281</v>
      </c>
      <c r="E1155" t="s">
        <v>296</v>
      </c>
      <c r="I1155" s="9"/>
    </row>
    <row r="1156" spans="1:9" x14ac:dyDescent="0.25">
      <c r="A1156">
        <v>199160</v>
      </c>
      <c r="B1156">
        <v>0.5</v>
      </c>
      <c r="C1156">
        <v>1200</v>
      </c>
      <c r="D1156" s="9">
        <v>44113</v>
      </c>
      <c r="E1156" t="s">
        <v>296</v>
      </c>
      <c r="I1156" s="9"/>
    </row>
    <row r="1157" spans="1:9" x14ac:dyDescent="0.25">
      <c r="A1157">
        <v>199160</v>
      </c>
      <c r="B1157">
        <v>0.5</v>
      </c>
      <c r="C1157">
        <v>1560</v>
      </c>
      <c r="D1157" s="9">
        <v>43686</v>
      </c>
      <c r="E1157" t="s">
        <v>296</v>
      </c>
      <c r="I1157" s="9"/>
    </row>
    <row r="1158" spans="1:9" x14ac:dyDescent="0.25">
      <c r="A1158">
        <v>199160</v>
      </c>
      <c r="B1158">
        <v>0.47</v>
      </c>
      <c r="C1158">
        <v>1440</v>
      </c>
      <c r="D1158" s="9">
        <v>43381</v>
      </c>
      <c r="E1158" t="s">
        <v>296</v>
      </c>
      <c r="I1158" s="9"/>
    </row>
    <row r="1159" spans="1:9" x14ac:dyDescent="0.25">
      <c r="A1159">
        <v>199160</v>
      </c>
      <c r="B1159">
        <v>0.37</v>
      </c>
      <c r="C1159">
        <v>1920</v>
      </c>
      <c r="D1159" s="9">
        <v>42976</v>
      </c>
      <c r="E1159" t="s">
        <v>296</v>
      </c>
      <c r="I1159" s="9"/>
    </row>
    <row r="1160" spans="1:9" x14ac:dyDescent="0.25">
      <c r="A1160">
        <v>199160</v>
      </c>
      <c r="B1160">
        <v>0.4</v>
      </c>
      <c r="C1160">
        <v>600</v>
      </c>
      <c r="D1160" s="9">
        <v>42976</v>
      </c>
      <c r="E1160" t="s">
        <v>296</v>
      </c>
      <c r="I1160" s="9"/>
    </row>
    <row r="1161" spans="1:9" x14ac:dyDescent="0.25">
      <c r="A1161">
        <v>199160</v>
      </c>
      <c r="B1161">
        <v>0.37</v>
      </c>
      <c r="C1161">
        <v>1920</v>
      </c>
      <c r="D1161" s="9">
        <v>42494</v>
      </c>
      <c r="E1161" t="s">
        <v>296</v>
      </c>
      <c r="I1161" s="9"/>
    </row>
    <row r="1162" spans="1:9" x14ac:dyDescent="0.25">
      <c r="A1162">
        <v>199160</v>
      </c>
      <c r="B1162">
        <v>0.38500000000000001</v>
      </c>
      <c r="C1162">
        <v>1920</v>
      </c>
      <c r="D1162" s="9">
        <v>42139</v>
      </c>
      <c r="E1162" t="s">
        <v>296</v>
      </c>
      <c r="I1162" s="9"/>
    </row>
    <row r="1163" spans="1:9" x14ac:dyDescent="0.25">
      <c r="A1163">
        <v>199160</v>
      </c>
      <c r="B1163">
        <v>0.38500000000000001</v>
      </c>
      <c r="C1163">
        <v>1920</v>
      </c>
      <c r="D1163" s="9">
        <v>41837</v>
      </c>
      <c r="E1163" t="s">
        <v>296</v>
      </c>
      <c r="I1163" s="9"/>
    </row>
    <row r="1164" spans="1:9" x14ac:dyDescent="0.25">
      <c r="A1164">
        <v>199160</v>
      </c>
      <c r="B1164">
        <v>0.38500000000000001</v>
      </c>
      <c r="C1164">
        <v>1920</v>
      </c>
      <c r="D1164" s="9">
        <v>41647</v>
      </c>
      <c r="E1164" t="s">
        <v>296</v>
      </c>
      <c r="I1164" s="9"/>
    </row>
    <row r="1165" spans="1:9" x14ac:dyDescent="0.25">
      <c r="A1165">
        <v>199160</v>
      </c>
      <c r="B1165">
        <v>0.38500000000000001</v>
      </c>
      <c r="C1165">
        <v>1920</v>
      </c>
      <c r="D1165" s="9">
        <v>41330</v>
      </c>
      <c r="E1165" t="s">
        <v>296</v>
      </c>
      <c r="I1165" s="9"/>
    </row>
    <row r="1166" spans="1:9" x14ac:dyDescent="0.25">
      <c r="A1166">
        <v>199180</v>
      </c>
      <c r="B1166">
        <v>0.67</v>
      </c>
      <c r="C1166">
        <v>1320</v>
      </c>
      <c r="D1166" s="9">
        <v>43972</v>
      </c>
      <c r="E1166" t="s">
        <v>296</v>
      </c>
      <c r="I1166" s="9"/>
    </row>
    <row r="1167" spans="1:9" x14ac:dyDescent="0.25">
      <c r="A1167">
        <v>199180</v>
      </c>
      <c r="B1167">
        <v>0.67</v>
      </c>
      <c r="C1167">
        <v>1320</v>
      </c>
      <c r="D1167" s="9">
        <v>43600</v>
      </c>
      <c r="E1167" t="s">
        <v>296</v>
      </c>
      <c r="I1167" s="9"/>
    </row>
    <row r="1168" spans="1:9" x14ac:dyDescent="0.25">
      <c r="A1168">
        <v>199180</v>
      </c>
      <c r="B1168">
        <v>0.67</v>
      </c>
      <c r="C1168">
        <v>1200</v>
      </c>
      <c r="D1168" s="9">
        <v>43381</v>
      </c>
      <c r="E1168" t="s">
        <v>296</v>
      </c>
      <c r="I1168" s="9"/>
    </row>
    <row r="1169" spans="1:9" x14ac:dyDescent="0.25">
      <c r="A1169">
        <v>199180</v>
      </c>
      <c r="B1169">
        <v>0.52</v>
      </c>
      <c r="C1169">
        <v>1920</v>
      </c>
      <c r="D1169" s="9">
        <v>42976</v>
      </c>
      <c r="E1169" t="s">
        <v>296</v>
      </c>
      <c r="I1169" s="9"/>
    </row>
    <row r="1170" spans="1:9" x14ac:dyDescent="0.25">
      <c r="A1170">
        <v>199180</v>
      </c>
      <c r="B1170">
        <v>0.495</v>
      </c>
      <c r="C1170">
        <v>1920</v>
      </c>
      <c r="D1170" s="9">
        <v>42617</v>
      </c>
      <c r="E1170" t="s">
        <v>296</v>
      </c>
      <c r="I1170" s="9"/>
    </row>
    <row r="1171" spans="1:9" x14ac:dyDescent="0.25">
      <c r="A1171">
        <v>199180</v>
      </c>
      <c r="B1171">
        <v>0.51500000000000001</v>
      </c>
      <c r="C1171">
        <v>1920</v>
      </c>
      <c r="D1171" s="9">
        <v>41837</v>
      </c>
      <c r="E1171" t="s">
        <v>296</v>
      </c>
      <c r="I1171" s="9"/>
    </row>
    <row r="1172" spans="1:9" x14ac:dyDescent="0.25">
      <c r="A1172">
        <v>199180</v>
      </c>
      <c r="B1172">
        <v>0.53100000000000003</v>
      </c>
      <c r="C1172">
        <v>1200</v>
      </c>
      <c r="D1172" s="9">
        <v>41647</v>
      </c>
      <c r="E1172" t="s">
        <v>296</v>
      </c>
      <c r="I1172" s="9"/>
    </row>
    <row r="1173" spans="1:9" x14ac:dyDescent="0.25">
      <c r="A1173">
        <v>199180</v>
      </c>
      <c r="B1173">
        <v>0.53100000000000003</v>
      </c>
      <c r="C1173">
        <v>1200</v>
      </c>
      <c r="D1173" s="9">
        <v>41330</v>
      </c>
      <c r="E1173" t="s">
        <v>296</v>
      </c>
      <c r="I1173" s="9"/>
    </row>
    <row r="1174" spans="1:9" x14ac:dyDescent="0.25">
      <c r="A1174">
        <v>199245</v>
      </c>
      <c r="B1174">
        <v>1.6</v>
      </c>
      <c r="C1174">
        <v>600</v>
      </c>
      <c r="D1174" s="9">
        <v>42494</v>
      </c>
      <c r="E1174" t="s">
        <v>296</v>
      </c>
      <c r="I1174" s="9"/>
    </row>
    <row r="1175" spans="1:9" x14ac:dyDescent="0.25">
      <c r="A1175">
        <v>199245</v>
      </c>
      <c r="B1175">
        <v>1.7250000000000001</v>
      </c>
      <c r="C1175">
        <v>480</v>
      </c>
      <c r="D1175" s="9">
        <v>41747</v>
      </c>
      <c r="E1175" t="s">
        <v>296</v>
      </c>
      <c r="I1175" s="9"/>
    </row>
    <row r="1176" spans="1:9" x14ac:dyDescent="0.25">
      <c r="A1176">
        <v>199245</v>
      </c>
      <c r="B1176">
        <v>1.7250000000000001</v>
      </c>
      <c r="C1176">
        <v>600</v>
      </c>
      <c r="D1176" s="9">
        <v>41330</v>
      </c>
      <c r="E1176" t="s">
        <v>296</v>
      </c>
      <c r="I1176" s="9"/>
    </row>
    <row r="1177" spans="1:9" x14ac:dyDescent="0.25">
      <c r="A1177">
        <v>199260</v>
      </c>
      <c r="B1177">
        <v>1.25</v>
      </c>
      <c r="C1177">
        <v>720</v>
      </c>
      <c r="D1177" s="9">
        <v>43381</v>
      </c>
      <c r="E1177" t="s">
        <v>296</v>
      </c>
      <c r="I1177" s="9"/>
    </row>
    <row r="1178" spans="1:9" x14ac:dyDescent="0.25">
      <c r="A1178">
        <v>199260</v>
      </c>
      <c r="B1178">
        <v>0.97</v>
      </c>
      <c r="C1178">
        <v>576</v>
      </c>
      <c r="D1178" s="9">
        <v>42617</v>
      </c>
      <c r="E1178" t="s">
        <v>296</v>
      </c>
      <c r="I1178" s="9"/>
    </row>
    <row r="1179" spans="1:9" x14ac:dyDescent="0.25">
      <c r="A1179">
        <v>199260</v>
      </c>
      <c r="B1179">
        <v>0.996</v>
      </c>
      <c r="C1179">
        <v>648</v>
      </c>
      <c r="D1179" s="9">
        <v>41747</v>
      </c>
      <c r="E1179" t="s">
        <v>296</v>
      </c>
      <c r="I1179" s="9"/>
    </row>
    <row r="1180" spans="1:9" x14ac:dyDescent="0.25">
      <c r="A1180">
        <v>199260</v>
      </c>
      <c r="B1180">
        <v>0.996</v>
      </c>
      <c r="C1180">
        <v>648</v>
      </c>
      <c r="D1180" s="9">
        <v>41330</v>
      </c>
      <c r="E1180" t="s">
        <v>296</v>
      </c>
      <c r="I1180" s="9"/>
    </row>
    <row r="1181" spans="1:9" x14ac:dyDescent="0.25">
      <c r="A1181">
        <v>214032</v>
      </c>
      <c r="B1181">
        <v>4.1500000000000004</v>
      </c>
      <c r="C1181">
        <v>200</v>
      </c>
      <c r="D1181" s="9">
        <v>44043</v>
      </c>
      <c r="E1181" t="s">
        <v>296</v>
      </c>
      <c r="I1181" s="9"/>
    </row>
    <row r="1182" spans="1:9" x14ac:dyDescent="0.25">
      <c r="A1182">
        <v>214032</v>
      </c>
      <c r="B1182">
        <v>4.1500000000000004</v>
      </c>
      <c r="C1182">
        <v>200</v>
      </c>
      <c r="D1182" s="9">
        <v>43803</v>
      </c>
      <c r="E1182" t="s">
        <v>296</v>
      </c>
      <c r="I1182" s="9"/>
    </row>
    <row r="1183" spans="1:9" x14ac:dyDescent="0.25">
      <c r="A1183">
        <v>214032</v>
      </c>
      <c r="B1183">
        <v>4.08</v>
      </c>
      <c r="C1183">
        <v>480</v>
      </c>
      <c r="D1183" s="9">
        <v>43111</v>
      </c>
      <c r="E1183" t="s">
        <v>296</v>
      </c>
      <c r="I1183" s="9"/>
    </row>
    <row r="1184" spans="1:9" x14ac:dyDescent="0.25">
      <c r="A1184">
        <v>214032</v>
      </c>
      <c r="B1184">
        <v>3.7</v>
      </c>
      <c r="C1184">
        <v>360</v>
      </c>
      <c r="D1184" s="9">
        <v>42972</v>
      </c>
      <c r="E1184" t="s">
        <v>296</v>
      </c>
      <c r="I1184" s="9"/>
    </row>
    <row r="1185" spans="1:9" x14ac:dyDescent="0.25">
      <c r="A1185">
        <v>214032</v>
      </c>
      <c r="B1185">
        <v>3.75</v>
      </c>
      <c r="C1185">
        <v>280</v>
      </c>
      <c r="D1185" s="9">
        <v>42853</v>
      </c>
      <c r="E1185" t="s">
        <v>296</v>
      </c>
      <c r="I1185" s="9"/>
    </row>
    <row r="1186" spans="1:9" x14ac:dyDescent="0.25">
      <c r="A1186">
        <v>214032</v>
      </c>
      <c r="B1186">
        <v>3.64</v>
      </c>
      <c r="C1186">
        <v>280</v>
      </c>
      <c r="D1186" s="9">
        <v>42617</v>
      </c>
      <c r="E1186" t="s">
        <v>296</v>
      </c>
      <c r="I1186" s="9"/>
    </row>
    <row r="1187" spans="1:9" x14ac:dyDescent="0.25">
      <c r="A1187">
        <v>214032</v>
      </c>
      <c r="B1187">
        <v>3.64</v>
      </c>
      <c r="C1187">
        <v>200</v>
      </c>
      <c r="D1187" s="9">
        <v>42207</v>
      </c>
      <c r="E1187" t="s">
        <v>296</v>
      </c>
      <c r="I1187" s="9"/>
    </row>
    <row r="1188" spans="1:9" x14ac:dyDescent="0.25">
      <c r="A1188">
        <v>214032</v>
      </c>
      <c r="B1188">
        <v>4.4539999999999997</v>
      </c>
      <c r="C1188">
        <v>280</v>
      </c>
      <c r="D1188" s="9">
        <v>41782</v>
      </c>
      <c r="E1188" t="s">
        <v>296</v>
      </c>
      <c r="I1188" s="9"/>
    </row>
    <row r="1189" spans="1:9" x14ac:dyDescent="0.25">
      <c r="A1189">
        <v>214032</v>
      </c>
      <c r="B1189">
        <v>4.3120000000000003</v>
      </c>
      <c r="C1189">
        <v>280</v>
      </c>
      <c r="D1189" s="9">
        <v>41435</v>
      </c>
      <c r="E1189" t="s">
        <v>296</v>
      </c>
      <c r="I1189" s="9"/>
    </row>
    <row r="1190" spans="1:9" x14ac:dyDescent="0.25">
      <c r="A1190">
        <v>214052</v>
      </c>
      <c r="B1190">
        <v>5</v>
      </c>
      <c r="C1190">
        <v>140</v>
      </c>
      <c r="D1190" s="9">
        <v>44113</v>
      </c>
      <c r="E1190" t="s">
        <v>296</v>
      </c>
      <c r="I1190" s="9"/>
    </row>
    <row r="1191" spans="1:9" x14ac:dyDescent="0.25">
      <c r="A1191">
        <v>214052</v>
      </c>
      <c r="B1191">
        <v>5</v>
      </c>
      <c r="C1191">
        <v>160</v>
      </c>
      <c r="D1191" s="9">
        <v>44043</v>
      </c>
      <c r="E1191" t="s">
        <v>296</v>
      </c>
      <c r="I1191" s="9"/>
    </row>
    <row r="1192" spans="1:9" x14ac:dyDescent="0.25">
      <c r="A1192">
        <v>214052</v>
      </c>
      <c r="B1192">
        <v>5</v>
      </c>
      <c r="C1192">
        <v>140</v>
      </c>
      <c r="D1192" s="9">
        <v>43803</v>
      </c>
      <c r="E1192" t="s">
        <v>296</v>
      </c>
      <c r="I1192" s="9"/>
    </row>
    <row r="1193" spans="1:9" x14ac:dyDescent="0.25">
      <c r="A1193">
        <v>214052</v>
      </c>
      <c r="B1193">
        <v>5</v>
      </c>
      <c r="C1193">
        <v>120</v>
      </c>
      <c r="D1193" s="9">
        <v>43305</v>
      </c>
      <c r="E1193" t="s">
        <v>296</v>
      </c>
      <c r="I1193" s="9"/>
    </row>
    <row r="1194" spans="1:9" x14ac:dyDescent="0.25">
      <c r="A1194">
        <v>214052</v>
      </c>
      <c r="B1194">
        <v>17.18</v>
      </c>
      <c r="C1194">
        <v>120</v>
      </c>
      <c r="D1194" s="9">
        <v>43138</v>
      </c>
      <c r="E1194" t="s">
        <v>295</v>
      </c>
      <c r="I1194" s="9"/>
    </row>
    <row r="1195" spans="1:9" x14ac:dyDescent="0.25">
      <c r="A1195">
        <v>214052</v>
      </c>
      <c r="B1195">
        <v>4.8</v>
      </c>
      <c r="C1195">
        <v>120</v>
      </c>
      <c r="D1195" s="9">
        <v>43111</v>
      </c>
      <c r="E1195" t="s">
        <v>296</v>
      </c>
      <c r="I1195" s="9"/>
    </row>
    <row r="1196" spans="1:9" x14ac:dyDescent="0.25">
      <c r="A1196">
        <v>214052</v>
      </c>
      <c r="B1196">
        <v>4.0999999999999996</v>
      </c>
      <c r="C1196">
        <v>160</v>
      </c>
      <c r="D1196" s="9">
        <v>42972</v>
      </c>
      <c r="E1196" t="s">
        <v>296</v>
      </c>
      <c r="I1196" s="9"/>
    </row>
    <row r="1197" spans="1:9" x14ac:dyDescent="0.25">
      <c r="A1197">
        <v>214052</v>
      </c>
      <c r="B1197">
        <v>4</v>
      </c>
      <c r="C1197">
        <v>120</v>
      </c>
      <c r="D1197" s="9">
        <v>42617</v>
      </c>
      <c r="E1197" t="s">
        <v>296</v>
      </c>
      <c r="I1197" s="9"/>
    </row>
    <row r="1198" spans="1:9" x14ac:dyDescent="0.25">
      <c r="A1198">
        <v>214052</v>
      </c>
      <c r="B1198">
        <v>4</v>
      </c>
      <c r="C1198">
        <v>160</v>
      </c>
      <c r="D1198" s="9">
        <v>42510</v>
      </c>
      <c r="E1198" t="s">
        <v>296</v>
      </c>
      <c r="I1198" s="9"/>
    </row>
    <row r="1199" spans="1:9" x14ac:dyDescent="0.25">
      <c r="A1199">
        <v>214052</v>
      </c>
      <c r="B1199">
        <v>4.2</v>
      </c>
      <c r="C1199">
        <v>160</v>
      </c>
      <c r="D1199" s="9">
        <v>42207</v>
      </c>
      <c r="E1199" t="s">
        <v>296</v>
      </c>
      <c r="I1199" s="9"/>
    </row>
    <row r="1200" spans="1:9" x14ac:dyDescent="0.25">
      <c r="A1200">
        <v>214052</v>
      </c>
      <c r="B1200">
        <v>5.07</v>
      </c>
      <c r="C1200">
        <v>200</v>
      </c>
      <c r="D1200" s="9">
        <v>41782</v>
      </c>
      <c r="E1200" t="s">
        <v>296</v>
      </c>
      <c r="I1200" s="9"/>
    </row>
    <row r="1201" spans="1:9" x14ac:dyDescent="0.25">
      <c r="A1201">
        <v>214082</v>
      </c>
      <c r="B1201">
        <v>5.7</v>
      </c>
      <c r="C1201">
        <v>120</v>
      </c>
      <c r="D1201" s="9">
        <v>44113</v>
      </c>
      <c r="E1201" t="s">
        <v>296</v>
      </c>
      <c r="I1201" s="9"/>
    </row>
    <row r="1202" spans="1:9" x14ac:dyDescent="0.25">
      <c r="A1202">
        <v>214082</v>
      </c>
      <c r="B1202">
        <v>5.7</v>
      </c>
      <c r="C1202">
        <v>120</v>
      </c>
      <c r="D1202" s="9">
        <v>44043</v>
      </c>
      <c r="E1202" t="s">
        <v>296</v>
      </c>
      <c r="I1202" s="9"/>
    </row>
    <row r="1203" spans="1:9" x14ac:dyDescent="0.25">
      <c r="A1203">
        <v>214082</v>
      </c>
      <c r="B1203">
        <v>5.7</v>
      </c>
      <c r="C1203">
        <v>120</v>
      </c>
      <c r="D1203" s="9">
        <v>43803</v>
      </c>
      <c r="E1203" t="s">
        <v>296</v>
      </c>
      <c r="I1203" s="9"/>
    </row>
    <row r="1204" spans="1:9" x14ac:dyDescent="0.25">
      <c r="A1204">
        <v>214082</v>
      </c>
      <c r="B1204">
        <v>5.55</v>
      </c>
      <c r="C1204">
        <v>120</v>
      </c>
      <c r="D1204" s="9">
        <v>43305</v>
      </c>
      <c r="E1204" t="s">
        <v>296</v>
      </c>
      <c r="I1204" s="9"/>
    </row>
    <row r="1205" spans="1:9" x14ac:dyDescent="0.25">
      <c r="A1205">
        <v>214082</v>
      </c>
      <c r="B1205">
        <v>19.48</v>
      </c>
      <c r="C1205">
        <v>120</v>
      </c>
      <c r="D1205" s="9">
        <v>43138</v>
      </c>
      <c r="E1205" t="s">
        <v>295</v>
      </c>
      <c r="I1205" s="9"/>
    </row>
    <row r="1206" spans="1:9" x14ac:dyDescent="0.25">
      <c r="A1206">
        <v>214082</v>
      </c>
      <c r="B1206">
        <v>5.2</v>
      </c>
      <c r="C1206">
        <v>120</v>
      </c>
      <c r="D1206" s="9">
        <v>43111</v>
      </c>
      <c r="E1206" t="s">
        <v>296</v>
      </c>
      <c r="I1206" s="9"/>
    </row>
    <row r="1207" spans="1:9" x14ac:dyDescent="0.25">
      <c r="A1207">
        <v>214082</v>
      </c>
      <c r="B1207">
        <v>4.95</v>
      </c>
      <c r="C1207">
        <v>120</v>
      </c>
      <c r="D1207" s="9">
        <v>42972</v>
      </c>
      <c r="E1207" t="s">
        <v>296</v>
      </c>
      <c r="I1207" s="9"/>
    </row>
    <row r="1208" spans="1:9" x14ac:dyDescent="0.25">
      <c r="A1208">
        <v>214082</v>
      </c>
      <c r="B1208">
        <v>5.05</v>
      </c>
      <c r="C1208">
        <v>120</v>
      </c>
      <c r="D1208" s="9">
        <v>42853</v>
      </c>
      <c r="E1208" t="s">
        <v>296</v>
      </c>
      <c r="I1208" s="9"/>
    </row>
    <row r="1209" spans="1:9" x14ac:dyDescent="0.25">
      <c r="A1209">
        <v>214082</v>
      </c>
      <c r="B1209">
        <v>4.8499999999999996</v>
      </c>
      <c r="C1209">
        <v>80</v>
      </c>
      <c r="D1209" s="9">
        <v>42617</v>
      </c>
      <c r="E1209" t="s">
        <v>296</v>
      </c>
      <c r="I1209" s="9"/>
    </row>
    <row r="1210" spans="1:9" x14ac:dyDescent="0.25">
      <c r="A1210">
        <v>214082</v>
      </c>
      <c r="B1210">
        <v>4.8499999999999996</v>
      </c>
      <c r="C1210">
        <v>120</v>
      </c>
      <c r="D1210" s="9">
        <v>42510</v>
      </c>
      <c r="E1210" t="s">
        <v>296</v>
      </c>
      <c r="I1210" s="9"/>
    </row>
    <row r="1211" spans="1:9" x14ac:dyDescent="0.25">
      <c r="A1211">
        <v>214082</v>
      </c>
      <c r="B1211">
        <v>5</v>
      </c>
      <c r="C1211">
        <v>140</v>
      </c>
      <c r="D1211" s="9">
        <v>42207</v>
      </c>
      <c r="E1211" t="s">
        <v>296</v>
      </c>
      <c r="I1211" s="9"/>
    </row>
    <row r="1212" spans="1:9" x14ac:dyDescent="0.25">
      <c r="A1212">
        <v>214082</v>
      </c>
      <c r="B1212">
        <v>5.9939999999999998</v>
      </c>
      <c r="C1212">
        <v>140</v>
      </c>
      <c r="D1212" s="9">
        <v>41782</v>
      </c>
      <c r="E1212" t="s">
        <v>296</v>
      </c>
      <c r="I1212" s="9"/>
    </row>
    <row r="1213" spans="1:9" x14ac:dyDescent="0.25">
      <c r="A1213">
        <v>214082</v>
      </c>
      <c r="B1213">
        <v>5.74</v>
      </c>
      <c r="C1213">
        <v>160</v>
      </c>
      <c r="D1213" s="9">
        <v>41435</v>
      </c>
      <c r="E1213" t="s">
        <v>296</v>
      </c>
      <c r="I1213" s="9"/>
    </row>
    <row r="1214" spans="1:9" x14ac:dyDescent="0.25">
      <c r="A1214">
        <v>230015</v>
      </c>
      <c r="B1214">
        <v>0.87</v>
      </c>
      <c r="C1214">
        <v>1000</v>
      </c>
      <c r="D1214" s="9">
        <v>44113</v>
      </c>
      <c r="E1214" t="s">
        <v>296</v>
      </c>
      <c r="I1214" s="9"/>
    </row>
    <row r="1215" spans="1:9" x14ac:dyDescent="0.25">
      <c r="A1215">
        <v>230015</v>
      </c>
      <c r="B1215">
        <v>0.87</v>
      </c>
      <c r="C1215">
        <v>1000</v>
      </c>
      <c r="D1215" s="9">
        <v>44043</v>
      </c>
      <c r="E1215" t="s">
        <v>296</v>
      </c>
      <c r="I1215" s="9"/>
    </row>
    <row r="1216" spans="1:9" x14ac:dyDescent="0.25">
      <c r="A1216">
        <v>230015</v>
      </c>
      <c r="B1216">
        <v>0.87</v>
      </c>
      <c r="C1216">
        <v>800</v>
      </c>
      <c r="D1216" s="9">
        <v>43686</v>
      </c>
      <c r="E1216" t="s">
        <v>296</v>
      </c>
      <c r="I1216" s="9"/>
    </row>
    <row r="1217" spans="1:9" x14ac:dyDescent="0.25">
      <c r="A1217">
        <v>230015</v>
      </c>
      <c r="B1217">
        <v>0.98</v>
      </c>
      <c r="C1217">
        <v>1200</v>
      </c>
      <c r="D1217" s="9">
        <v>42655</v>
      </c>
      <c r="E1217" t="s">
        <v>296</v>
      </c>
      <c r="I1217" s="9"/>
    </row>
    <row r="1218" spans="1:9" x14ac:dyDescent="0.25">
      <c r="A1218">
        <v>230015</v>
      </c>
      <c r="B1218">
        <v>0.98</v>
      </c>
      <c r="C1218">
        <v>1200</v>
      </c>
      <c r="D1218" s="9">
        <v>42655</v>
      </c>
      <c r="E1218" t="s">
        <v>296</v>
      </c>
      <c r="I1218" s="9"/>
    </row>
    <row r="1219" spans="1:9" x14ac:dyDescent="0.25">
      <c r="A1219">
        <v>230015</v>
      </c>
      <c r="B1219">
        <v>0.98</v>
      </c>
      <c r="C1219">
        <v>480</v>
      </c>
      <c r="D1219" s="9">
        <v>42325</v>
      </c>
      <c r="E1219" t="s">
        <v>296</v>
      </c>
      <c r="I1219" s="9"/>
    </row>
    <row r="1220" spans="1:9" x14ac:dyDescent="0.25">
      <c r="A1220">
        <v>230015</v>
      </c>
      <c r="B1220">
        <v>0.98</v>
      </c>
      <c r="C1220">
        <v>240</v>
      </c>
      <c r="D1220" s="9">
        <v>41934</v>
      </c>
      <c r="E1220" t="s">
        <v>296</v>
      </c>
      <c r="I1220" s="9"/>
    </row>
    <row r="1221" spans="1:9" x14ac:dyDescent="0.25">
      <c r="A1221">
        <v>230016</v>
      </c>
      <c r="B1221">
        <v>7.75</v>
      </c>
      <c r="C1221">
        <v>144</v>
      </c>
      <c r="D1221" s="9">
        <v>43992</v>
      </c>
      <c r="E1221" t="s">
        <v>296</v>
      </c>
      <c r="I1221" s="9"/>
    </row>
    <row r="1222" spans="1:9" x14ac:dyDescent="0.25">
      <c r="A1222">
        <v>230016</v>
      </c>
      <c r="B1222">
        <v>7.75</v>
      </c>
      <c r="C1222">
        <v>240</v>
      </c>
      <c r="D1222" s="9">
        <v>43686</v>
      </c>
      <c r="E1222" t="s">
        <v>296</v>
      </c>
      <c r="I1222" s="9"/>
    </row>
    <row r="1223" spans="1:9" x14ac:dyDescent="0.25">
      <c r="A1223">
        <v>230016</v>
      </c>
      <c r="B1223">
        <v>7.75</v>
      </c>
      <c r="C1223">
        <v>132</v>
      </c>
      <c r="D1223" s="9">
        <v>43600</v>
      </c>
      <c r="E1223" t="s">
        <v>296</v>
      </c>
      <c r="I1223" s="9"/>
    </row>
    <row r="1224" spans="1:9" x14ac:dyDescent="0.25">
      <c r="A1224">
        <v>230016</v>
      </c>
      <c r="B1224">
        <v>7.75</v>
      </c>
      <c r="C1224">
        <v>132</v>
      </c>
      <c r="D1224" s="9">
        <v>43381</v>
      </c>
      <c r="E1224" t="s">
        <v>296</v>
      </c>
      <c r="I1224" s="9"/>
    </row>
    <row r="1225" spans="1:9" x14ac:dyDescent="0.25">
      <c r="A1225">
        <v>230018</v>
      </c>
      <c r="B1225">
        <v>3.6</v>
      </c>
      <c r="C1225">
        <v>192</v>
      </c>
      <c r="D1225" s="9">
        <v>44028</v>
      </c>
      <c r="E1225" t="s">
        <v>296</v>
      </c>
      <c r="I1225" s="9"/>
    </row>
    <row r="1226" spans="1:9" x14ac:dyDescent="0.25">
      <c r="A1226">
        <v>230018</v>
      </c>
      <c r="B1226">
        <v>3.4</v>
      </c>
      <c r="C1226">
        <v>264</v>
      </c>
      <c r="D1226" s="9">
        <v>43381</v>
      </c>
      <c r="E1226" t="s">
        <v>296</v>
      </c>
      <c r="I1226" s="9"/>
    </row>
    <row r="1227" spans="1:9" x14ac:dyDescent="0.25">
      <c r="A1227">
        <v>230030</v>
      </c>
      <c r="B1227">
        <v>1.4</v>
      </c>
      <c r="C1227">
        <v>320</v>
      </c>
      <c r="D1227" s="9">
        <v>44041</v>
      </c>
      <c r="E1227" t="s">
        <v>296</v>
      </c>
      <c r="I1227" s="9"/>
    </row>
    <row r="1228" spans="1:9" x14ac:dyDescent="0.25">
      <c r="A1228">
        <v>230030</v>
      </c>
      <c r="B1228">
        <v>1.4</v>
      </c>
      <c r="C1228">
        <v>720</v>
      </c>
      <c r="D1228" s="9">
        <v>44035</v>
      </c>
      <c r="E1228" t="s">
        <v>296</v>
      </c>
      <c r="I1228" s="9"/>
    </row>
    <row r="1229" spans="1:9" x14ac:dyDescent="0.25">
      <c r="A1229">
        <v>230030</v>
      </c>
      <c r="B1229">
        <v>1.3220000000000001</v>
      </c>
      <c r="C1229">
        <v>880</v>
      </c>
      <c r="D1229" s="9">
        <v>43608</v>
      </c>
      <c r="E1229" t="s">
        <v>296</v>
      </c>
      <c r="I1229" s="9"/>
    </row>
    <row r="1230" spans="1:9" x14ac:dyDescent="0.25">
      <c r="A1230">
        <v>230030</v>
      </c>
      <c r="B1230">
        <v>1.3</v>
      </c>
      <c r="C1230">
        <v>720</v>
      </c>
      <c r="D1230" s="9">
        <v>43608</v>
      </c>
      <c r="E1230" t="s">
        <v>296</v>
      </c>
      <c r="I1230" s="9"/>
    </row>
    <row r="1231" spans="1:9" x14ac:dyDescent="0.25">
      <c r="A1231">
        <v>230030</v>
      </c>
      <c r="B1231">
        <v>1.35</v>
      </c>
      <c r="C1231">
        <v>600</v>
      </c>
      <c r="D1231" s="9">
        <v>43600</v>
      </c>
      <c r="E1231" t="s">
        <v>296</v>
      </c>
      <c r="I1231" s="9"/>
    </row>
    <row r="1232" spans="1:9" x14ac:dyDescent="0.25">
      <c r="A1232">
        <v>230030</v>
      </c>
      <c r="B1232">
        <v>1.3220000000000001</v>
      </c>
      <c r="C1232">
        <v>640</v>
      </c>
      <c r="D1232" s="9">
        <v>42676</v>
      </c>
      <c r="E1232" t="s">
        <v>297</v>
      </c>
      <c r="I1232" s="9"/>
    </row>
    <row r="1233" spans="1:9" x14ac:dyDescent="0.25">
      <c r="A1233">
        <v>230030</v>
      </c>
      <c r="B1233">
        <v>1.3220000000000001</v>
      </c>
      <c r="C1233">
        <v>800</v>
      </c>
      <c r="D1233" s="9">
        <v>42607</v>
      </c>
      <c r="E1233" t="s">
        <v>297</v>
      </c>
      <c r="I1233" s="9"/>
    </row>
    <row r="1234" spans="1:9" x14ac:dyDescent="0.25">
      <c r="A1234">
        <v>230030</v>
      </c>
      <c r="B1234">
        <v>1.3220000000000001</v>
      </c>
      <c r="C1234">
        <v>800</v>
      </c>
      <c r="D1234" s="9">
        <v>42401</v>
      </c>
      <c r="E1234" t="s">
        <v>297</v>
      </c>
      <c r="I1234" s="9"/>
    </row>
    <row r="1235" spans="1:9" x14ac:dyDescent="0.25">
      <c r="A1235">
        <v>230030</v>
      </c>
      <c r="B1235">
        <v>1.3220000000000001</v>
      </c>
      <c r="C1235">
        <v>800</v>
      </c>
      <c r="D1235" s="9">
        <v>42186</v>
      </c>
      <c r="E1235" t="s">
        <v>297</v>
      </c>
      <c r="I1235" s="9"/>
    </row>
    <row r="1236" spans="1:9" x14ac:dyDescent="0.25">
      <c r="A1236">
        <v>230030</v>
      </c>
      <c r="B1236">
        <v>1.4059999999999999</v>
      </c>
      <c r="C1236">
        <v>1200</v>
      </c>
      <c r="D1236" s="9">
        <v>41865</v>
      </c>
      <c r="E1236" t="s">
        <v>296</v>
      </c>
      <c r="I1236" s="9"/>
    </row>
    <row r="1237" spans="1:9" x14ac:dyDescent="0.25">
      <c r="A1237">
        <v>230030</v>
      </c>
      <c r="B1237">
        <v>1.3779999999999999</v>
      </c>
      <c r="C1237">
        <v>1440</v>
      </c>
      <c r="D1237" s="9">
        <v>41744</v>
      </c>
      <c r="E1237" t="s">
        <v>296</v>
      </c>
      <c r="I1237" s="9"/>
    </row>
    <row r="1238" spans="1:9" x14ac:dyDescent="0.25">
      <c r="A1238">
        <v>230030</v>
      </c>
      <c r="B1238">
        <v>1.3380000000000001</v>
      </c>
      <c r="C1238">
        <v>800</v>
      </c>
      <c r="D1238" s="9">
        <v>41617</v>
      </c>
      <c r="E1238" t="s">
        <v>296</v>
      </c>
      <c r="I1238" s="9"/>
    </row>
    <row r="1239" spans="1:9" x14ac:dyDescent="0.25">
      <c r="A1239">
        <v>230030</v>
      </c>
      <c r="B1239">
        <v>1.274</v>
      </c>
      <c r="C1239">
        <v>1040</v>
      </c>
      <c r="D1239" s="9">
        <v>41535</v>
      </c>
      <c r="E1239" t="s">
        <v>296</v>
      </c>
      <c r="I1239" s="9"/>
    </row>
    <row r="1240" spans="1:9" x14ac:dyDescent="0.25">
      <c r="A1240">
        <v>230030</v>
      </c>
      <c r="B1240">
        <v>1.2130000000000001</v>
      </c>
      <c r="C1240">
        <v>960</v>
      </c>
      <c r="D1240" s="9">
        <v>41295</v>
      </c>
      <c r="E1240" t="s">
        <v>296</v>
      </c>
      <c r="I1240" s="9"/>
    </row>
    <row r="1241" spans="1:9" x14ac:dyDescent="0.25">
      <c r="A1241">
        <v>240101</v>
      </c>
      <c r="B1241">
        <v>0.9</v>
      </c>
      <c r="C1241">
        <v>384</v>
      </c>
      <c r="D1241" s="9">
        <v>44068</v>
      </c>
      <c r="E1241" t="s">
        <v>296</v>
      </c>
      <c r="I1241" s="9"/>
    </row>
    <row r="1242" spans="1:9" x14ac:dyDescent="0.25">
      <c r="A1242">
        <v>240101</v>
      </c>
      <c r="B1242">
        <v>0.9</v>
      </c>
      <c r="C1242">
        <v>2304</v>
      </c>
      <c r="D1242" s="9">
        <v>43895</v>
      </c>
      <c r="E1242" t="s">
        <v>296</v>
      </c>
      <c r="I1242" s="9"/>
    </row>
    <row r="1243" spans="1:9" x14ac:dyDescent="0.25">
      <c r="A1243">
        <v>240101</v>
      </c>
      <c r="B1243">
        <v>0.9</v>
      </c>
      <c r="C1243">
        <v>1920</v>
      </c>
      <c r="D1243" s="9">
        <v>43843</v>
      </c>
      <c r="E1243" t="s">
        <v>296</v>
      </c>
      <c r="I1243" s="9"/>
    </row>
    <row r="1244" spans="1:9" x14ac:dyDescent="0.25">
      <c r="A1244">
        <v>240101</v>
      </c>
      <c r="B1244">
        <v>0.9</v>
      </c>
      <c r="C1244">
        <v>2160</v>
      </c>
      <c r="D1244" s="9">
        <v>43707</v>
      </c>
      <c r="E1244" t="s">
        <v>296</v>
      </c>
      <c r="I1244" s="9"/>
    </row>
    <row r="1245" spans="1:9" x14ac:dyDescent="0.25">
      <c r="A1245">
        <v>240101</v>
      </c>
      <c r="B1245">
        <v>0.9</v>
      </c>
      <c r="C1245">
        <v>1920</v>
      </c>
      <c r="D1245" s="9">
        <v>43707</v>
      </c>
      <c r="E1245" t="s">
        <v>296</v>
      </c>
      <c r="I1245" s="9"/>
    </row>
    <row r="1246" spans="1:9" x14ac:dyDescent="0.25">
      <c r="A1246">
        <v>240101</v>
      </c>
      <c r="B1246">
        <v>0.88</v>
      </c>
      <c r="C1246">
        <v>1920</v>
      </c>
      <c r="D1246" s="9">
        <v>43299</v>
      </c>
      <c r="E1246" t="s">
        <v>296</v>
      </c>
      <c r="I1246" s="9"/>
    </row>
    <row r="1247" spans="1:9" x14ac:dyDescent="0.25">
      <c r="A1247">
        <v>240101</v>
      </c>
      <c r="B1247">
        <v>0.77300000000000002</v>
      </c>
      <c r="C1247">
        <v>1872</v>
      </c>
      <c r="D1247" s="9">
        <v>42877</v>
      </c>
      <c r="E1247" t="s">
        <v>296</v>
      </c>
      <c r="I1247" s="9"/>
    </row>
    <row r="1248" spans="1:9" x14ac:dyDescent="0.25">
      <c r="A1248">
        <v>240101</v>
      </c>
      <c r="B1248">
        <v>0.77300000000000002</v>
      </c>
      <c r="C1248">
        <v>2880</v>
      </c>
      <c r="D1248" s="9">
        <v>42815</v>
      </c>
      <c r="E1248" t="s">
        <v>296</v>
      </c>
      <c r="I1248" s="9"/>
    </row>
    <row r="1249" spans="1:9" x14ac:dyDescent="0.25">
      <c r="A1249">
        <v>240101</v>
      </c>
      <c r="B1249">
        <v>0.77300000000000002</v>
      </c>
      <c r="C1249">
        <v>5328</v>
      </c>
      <c r="D1249" s="9">
        <v>42815</v>
      </c>
      <c r="E1249" t="s">
        <v>296</v>
      </c>
      <c r="I1249" s="9"/>
    </row>
    <row r="1250" spans="1:9" x14ac:dyDescent="0.25">
      <c r="A1250">
        <v>240101</v>
      </c>
      <c r="B1250">
        <v>0.77</v>
      </c>
      <c r="C1250">
        <v>2880</v>
      </c>
      <c r="D1250" s="9">
        <v>42617</v>
      </c>
      <c r="E1250" t="s">
        <v>296</v>
      </c>
      <c r="I1250" s="9"/>
    </row>
    <row r="1251" spans="1:9" x14ac:dyDescent="0.25">
      <c r="A1251">
        <v>240101</v>
      </c>
      <c r="B1251">
        <v>0.77300000000000002</v>
      </c>
      <c r="C1251">
        <v>2880</v>
      </c>
      <c r="D1251" s="9">
        <v>42508</v>
      </c>
      <c r="E1251" t="s">
        <v>296</v>
      </c>
      <c r="I1251" s="9"/>
    </row>
    <row r="1252" spans="1:9" x14ac:dyDescent="0.25">
      <c r="A1252">
        <v>240101</v>
      </c>
      <c r="B1252">
        <v>3.01</v>
      </c>
      <c r="C1252">
        <v>2880</v>
      </c>
      <c r="D1252" s="9">
        <v>42508</v>
      </c>
      <c r="E1252" t="s">
        <v>295</v>
      </c>
      <c r="I1252" s="9"/>
    </row>
    <row r="1253" spans="1:9" x14ac:dyDescent="0.25">
      <c r="A1253">
        <v>240101</v>
      </c>
      <c r="B1253">
        <v>0.97399999999999998</v>
      </c>
      <c r="C1253">
        <v>2880</v>
      </c>
      <c r="D1253" s="9">
        <v>42186</v>
      </c>
      <c r="E1253" t="s">
        <v>297</v>
      </c>
      <c r="I1253" s="9"/>
    </row>
    <row r="1254" spans="1:9" x14ac:dyDescent="0.25">
      <c r="A1254">
        <v>240101</v>
      </c>
      <c r="B1254">
        <v>1.06</v>
      </c>
      <c r="C1254">
        <v>5040</v>
      </c>
      <c r="D1254" s="9">
        <v>41786</v>
      </c>
      <c r="E1254" t="s">
        <v>296</v>
      </c>
      <c r="I1254" s="9"/>
    </row>
    <row r="1255" spans="1:9" x14ac:dyDescent="0.25">
      <c r="A1255">
        <v>240101</v>
      </c>
      <c r="B1255">
        <v>0.79</v>
      </c>
      <c r="C1255">
        <v>2880</v>
      </c>
      <c r="D1255" s="9">
        <v>41765</v>
      </c>
      <c r="E1255" t="s">
        <v>296</v>
      </c>
      <c r="I1255" s="9"/>
    </row>
    <row r="1256" spans="1:9" x14ac:dyDescent="0.25">
      <c r="A1256">
        <v>240101</v>
      </c>
      <c r="B1256">
        <v>1.06</v>
      </c>
      <c r="C1256">
        <v>1728</v>
      </c>
      <c r="D1256" s="9">
        <v>41682</v>
      </c>
      <c r="E1256" t="s">
        <v>296</v>
      </c>
      <c r="I1256" s="9"/>
    </row>
    <row r="1257" spans="1:9" x14ac:dyDescent="0.25">
      <c r="A1257">
        <v>240101</v>
      </c>
      <c r="B1257">
        <v>1.06</v>
      </c>
      <c r="C1257">
        <v>1728</v>
      </c>
      <c r="D1257" s="9">
        <v>41535</v>
      </c>
      <c r="E1257" t="s">
        <v>296</v>
      </c>
      <c r="I1257" s="9"/>
    </row>
    <row r="1258" spans="1:9" x14ac:dyDescent="0.25">
      <c r="A1258">
        <v>240101</v>
      </c>
      <c r="B1258">
        <v>1.06</v>
      </c>
      <c r="C1258">
        <v>1728</v>
      </c>
      <c r="D1258" s="9">
        <v>41295</v>
      </c>
      <c r="E1258" t="s">
        <v>296</v>
      </c>
      <c r="I1258" s="9"/>
    </row>
    <row r="1259" spans="1:9" x14ac:dyDescent="0.25">
      <c r="A1259">
        <v>240103</v>
      </c>
      <c r="B1259">
        <v>1.06</v>
      </c>
      <c r="C1259">
        <v>512</v>
      </c>
      <c r="D1259" s="9">
        <v>44068</v>
      </c>
      <c r="E1259" t="s">
        <v>296</v>
      </c>
      <c r="I1259" s="9"/>
    </row>
    <row r="1260" spans="1:9" x14ac:dyDescent="0.25">
      <c r="A1260">
        <v>240103</v>
      </c>
      <c r="B1260">
        <v>1.02</v>
      </c>
      <c r="C1260">
        <v>1600</v>
      </c>
      <c r="D1260" s="9">
        <v>44068</v>
      </c>
      <c r="E1260" t="s">
        <v>296</v>
      </c>
      <c r="I1260" s="9"/>
    </row>
    <row r="1261" spans="1:9" x14ac:dyDescent="0.25">
      <c r="A1261">
        <v>240103</v>
      </c>
      <c r="B1261">
        <v>1.02</v>
      </c>
      <c r="C1261">
        <v>576</v>
      </c>
      <c r="D1261" s="9">
        <v>43707</v>
      </c>
      <c r="E1261" t="s">
        <v>296</v>
      </c>
      <c r="I1261" s="9"/>
    </row>
    <row r="1262" spans="1:9" x14ac:dyDescent="0.25">
      <c r="A1262">
        <v>240106</v>
      </c>
      <c r="B1262">
        <v>2.2000000000000002</v>
      </c>
      <c r="C1262">
        <v>576</v>
      </c>
      <c r="D1262" s="9">
        <v>43480</v>
      </c>
      <c r="E1262" t="s">
        <v>296</v>
      </c>
      <c r="I1262" s="9"/>
    </row>
    <row r="1263" spans="1:9" x14ac:dyDescent="0.25">
      <c r="A1263">
        <v>240401</v>
      </c>
      <c r="B1263">
        <v>1.39</v>
      </c>
      <c r="C1263">
        <v>2304</v>
      </c>
      <c r="D1263" s="9">
        <v>44120</v>
      </c>
      <c r="E1263" t="s">
        <v>296</v>
      </c>
      <c r="I1263" s="9"/>
    </row>
    <row r="1264" spans="1:9" x14ac:dyDescent="0.25">
      <c r="A1264">
        <v>240401</v>
      </c>
      <c r="B1264">
        <v>1.39</v>
      </c>
      <c r="C1264">
        <v>2400</v>
      </c>
      <c r="D1264" s="9">
        <v>44095</v>
      </c>
      <c r="E1264" t="s">
        <v>296</v>
      </c>
      <c r="I1264" s="9"/>
    </row>
    <row r="1265" spans="1:9" x14ac:dyDescent="0.25">
      <c r="A1265">
        <v>240401</v>
      </c>
      <c r="B1265">
        <v>1.42</v>
      </c>
      <c r="C1265">
        <v>1920</v>
      </c>
      <c r="D1265" s="9">
        <v>44068</v>
      </c>
      <c r="E1265" t="s">
        <v>296</v>
      </c>
      <c r="I1265" s="9"/>
    </row>
    <row r="1266" spans="1:9" x14ac:dyDescent="0.25">
      <c r="A1266">
        <v>240401</v>
      </c>
      <c r="B1266">
        <v>1.42</v>
      </c>
      <c r="C1266">
        <v>1920</v>
      </c>
      <c r="D1266" s="9">
        <v>43843</v>
      </c>
      <c r="E1266" t="s">
        <v>296</v>
      </c>
      <c r="I1266" s="9"/>
    </row>
    <row r="1267" spans="1:9" x14ac:dyDescent="0.25">
      <c r="A1267">
        <v>240401</v>
      </c>
      <c r="B1267">
        <v>1.385</v>
      </c>
      <c r="C1267">
        <v>2400</v>
      </c>
      <c r="D1267" s="9">
        <v>43707</v>
      </c>
      <c r="E1267" t="s">
        <v>296</v>
      </c>
      <c r="I1267" s="9"/>
    </row>
    <row r="1268" spans="1:9" x14ac:dyDescent="0.25">
      <c r="A1268">
        <v>240401</v>
      </c>
      <c r="B1268">
        <v>1.42</v>
      </c>
      <c r="C1268">
        <v>1728</v>
      </c>
      <c r="D1268" s="9">
        <v>43707</v>
      </c>
      <c r="E1268" t="s">
        <v>296</v>
      </c>
      <c r="I1268" s="9"/>
    </row>
    <row r="1269" spans="1:9" x14ac:dyDescent="0.25">
      <c r="A1269">
        <v>240401</v>
      </c>
      <c r="B1269">
        <v>1.35</v>
      </c>
      <c r="C1269">
        <v>480</v>
      </c>
      <c r="D1269" s="9">
        <v>43612</v>
      </c>
      <c r="E1269" t="s">
        <v>296</v>
      </c>
      <c r="I1269" s="9"/>
    </row>
    <row r="1270" spans="1:9" x14ac:dyDescent="0.25">
      <c r="A1270">
        <v>240401</v>
      </c>
      <c r="B1270">
        <v>1.35</v>
      </c>
      <c r="C1270">
        <v>1920</v>
      </c>
      <c r="D1270" s="9">
        <v>43452</v>
      </c>
      <c r="E1270" t="s">
        <v>296</v>
      </c>
      <c r="I1270" s="9"/>
    </row>
    <row r="1271" spans="1:9" x14ac:dyDescent="0.25">
      <c r="A1271">
        <v>240401</v>
      </c>
      <c r="B1271">
        <v>1.05</v>
      </c>
      <c r="C1271">
        <v>2400</v>
      </c>
      <c r="D1271" s="9">
        <v>43244</v>
      </c>
      <c r="E1271" t="s">
        <v>296</v>
      </c>
      <c r="I1271" s="9"/>
    </row>
    <row r="1272" spans="1:9" x14ac:dyDescent="0.25">
      <c r="A1272">
        <v>240401</v>
      </c>
      <c r="B1272">
        <v>1.07</v>
      </c>
      <c r="C1272">
        <v>1920</v>
      </c>
      <c r="D1272" s="9">
        <v>42912</v>
      </c>
      <c r="E1272" t="s">
        <v>296</v>
      </c>
      <c r="I1272" s="9"/>
    </row>
    <row r="1273" spans="1:9" x14ac:dyDescent="0.25">
      <c r="A1273">
        <v>240401</v>
      </c>
      <c r="B1273">
        <v>1.02</v>
      </c>
      <c r="C1273">
        <v>2016</v>
      </c>
      <c r="D1273" s="9">
        <v>42781</v>
      </c>
      <c r="E1273" t="s">
        <v>296</v>
      </c>
      <c r="I1273" s="9"/>
    </row>
    <row r="1274" spans="1:9" x14ac:dyDescent="0.25">
      <c r="A1274">
        <v>240401</v>
      </c>
      <c r="B1274">
        <v>1</v>
      </c>
      <c r="C1274">
        <v>5760</v>
      </c>
      <c r="D1274" s="9">
        <v>42753</v>
      </c>
      <c r="E1274" t="s">
        <v>296</v>
      </c>
      <c r="I1274" s="9"/>
    </row>
    <row r="1275" spans="1:9" x14ac:dyDescent="0.25">
      <c r="A1275">
        <v>240401</v>
      </c>
      <c r="B1275">
        <v>1.02</v>
      </c>
      <c r="C1275">
        <v>1920</v>
      </c>
      <c r="D1275" s="9">
        <v>42617</v>
      </c>
      <c r="E1275" t="s">
        <v>296</v>
      </c>
      <c r="I1275" s="9"/>
    </row>
    <row r="1276" spans="1:9" x14ac:dyDescent="0.25">
      <c r="A1276">
        <v>240401</v>
      </c>
      <c r="B1276">
        <v>1.02</v>
      </c>
      <c r="C1276">
        <v>2016</v>
      </c>
      <c r="D1276" s="9">
        <v>42510</v>
      </c>
      <c r="E1276" t="s">
        <v>296</v>
      </c>
      <c r="I1276" s="9"/>
    </row>
    <row r="1277" spans="1:9" x14ac:dyDescent="0.25">
      <c r="A1277">
        <v>240401</v>
      </c>
      <c r="B1277">
        <v>1.05</v>
      </c>
      <c r="C1277">
        <v>1920</v>
      </c>
      <c r="D1277" s="9">
        <v>42383</v>
      </c>
      <c r="E1277" t="s">
        <v>296</v>
      </c>
      <c r="I1277" s="9"/>
    </row>
    <row r="1278" spans="1:9" x14ac:dyDescent="0.25">
      <c r="A1278">
        <v>240401</v>
      </c>
      <c r="B1278">
        <v>1.407</v>
      </c>
      <c r="C1278">
        <v>3840</v>
      </c>
      <c r="D1278" s="9">
        <v>42186</v>
      </c>
      <c r="E1278" t="s">
        <v>297</v>
      </c>
      <c r="I1278" s="9"/>
    </row>
    <row r="1279" spans="1:9" x14ac:dyDescent="0.25">
      <c r="A1279">
        <v>240401</v>
      </c>
      <c r="B1279">
        <v>1.5309999999999999</v>
      </c>
      <c r="C1279">
        <v>5760</v>
      </c>
      <c r="D1279" s="9">
        <v>41786</v>
      </c>
      <c r="E1279" t="s">
        <v>296</v>
      </c>
      <c r="I1279" s="9"/>
    </row>
    <row r="1280" spans="1:9" x14ac:dyDescent="0.25">
      <c r="A1280">
        <v>240401</v>
      </c>
      <c r="B1280">
        <v>1.1599999999999999</v>
      </c>
      <c r="C1280">
        <v>2880</v>
      </c>
      <c r="D1280" s="9">
        <v>41765</v>
      </c>
      <c r="E1280" t="s">
        <v>296</v>
      </c>
      <c r="I1280" s="9"/>
    </row>
    <row r="1281" spans="1:9" x14ac:dyDescent="0.25">
      <c r="A1281">
        <v>240401</v>
      </c>
      <c r="B1281">
        <v>1.5309999999999999</v>
      </c>
      <c r="C1281">
        <v>2208</v>
      </c>
      <c r="D1281" s="9">
        <v>41682</v>
      </c>
      <c r="E1281" t="s">
        <v>296</v>
      </c>
      <c r="I1281" s="9"/>
    </row>
    <row r="1282" spans="1:9" x14ac:dyDescent="0.25">
      <c r="A1282">
        <v>240401</v>
      </c>
      <c r="B1282">
        <v>1.5309999999999999</v>
      </c>
      <c r="C1282">
        <v>2304</v>
      </c>
      <c r="D1282" s="9">
        <v>41535</v>
      </c>
      <c r="E1282" t="s">
        <v>296</v>
      </c>
      <c r="I1282" s="9"/>
    </row>
    <row r="1283" spans="1:9" x14ac:dyDescent="0.25">
      <c r="A1283">
        <v>240401</v>
      </c>
      <c r="B1283">
        <v>1.5309999999999999</v>
      </c>
      <c r="C1283">
        <v>1728</v>
      </c>
      <c r="D1283" s="9">
        <v>41295</v>
      </c>
      <c r="E1283" t="s">
        <v>296</v>
      </c>
      <c r="I1283" s="9"/>
    </row>
    <row r="1284" spans="1:9" x14ac:dyDescent="0.25">
      <c r="A1284">
        <v>241080</v>
      </c>
      <c r="B1284">
        <v>0.17</v>
      </c>
      <c r="C1284">
        <v>2400</v>
      </c>
      <c r="D1284" s="9">
        <v>44043</v>
      </c>
      <c r="E1284" t="s">
        <v>296</v>
      </c>
      <c r="I1284" s="9"/>
    </row>
    <row r="1285" spans="1:9" x14ac:dyDescent="0.25">
      <c r="A1285">
        <v>241080</v>
      </c>
      <c r="B1285">
        <v>0.17</v>
      </c>
      <c r="C1285">
        <v>4800</v>
      </c>
      <c r="D1285" s="9">
        <v>43483</v>
      </c>
      <c r="E1285" t="s">
        <v>296</v>
      </c>
      <c r="I1285" s="9"/>
    </row>
    <row r="1286" spans="1:9" x14ac:dyDescent="0.25">
      <c r="A1286">
        <v>241080</v>
      </c>
      <c r="B1286">
        <v>0.152</v>
      </c>
      <c r="C1286">
        <v>6000</v>
      </c>
      <c r="D1286" s="9">
        <v>43132</v>
      </c>
      <c r="E1286" t="s">
        <v>296</v>
      </c>
      <c r="I1286" s="9"/>
    </row>
    <row r="1287" spans="1:9" x14ac:dyDescent="0.25">
      <c r="A1287">
        <v>241080</v>
      </c>
      <c r="B1287">
        <v>0.53</v>
      </c>
      <c r="C1287">
        <v>3120</v>
      </c>
      <c r="D1287" s="9">
        <v>43132</v>
      </c>
      <c r="E1287" t="s">
        <v>295</v>
      </c>
      <c r="I1287" s="9"/>
    </row>
    <row r="1288" spans="1:9" x14ac:dyDescent="0.25">
      <c r="A1288">
        <v>241080</v>
      </c>
      <c r="B1288">
        <v>0.14299999999999999</v>
      </c>
      <c r="C1288">
        <v>6000</v>
      </c>
      <c r="D1288" s="9">
        <v>42676</v>
      </c>
      <c r="E1288" t="s">
        <v>297</v>
      </c>
      <c r="I1288" s="9"/>
    </row>
    <row r="1289" spans="1:9" x14ac:dyDescent="0.25">
      <c r="A1289">
        <v>241080</v>
      </c>
      <c r="B1289">
        <v>0.15</v>
      </c>
      <c r="C1289">
        <v>7200</v>
      </c>
      <c r="D1289" s="9">
        <v>42129</v>
      </c>
      <c r="E1289" t="s">
        <v>296</v>
      </c>
      <c r="I1289" s="9"/>
    </row>
    <row r="1290" spans="1:9" x14ac:dyDescent="0.25">
      <c r="A1290">
        <v>241080</v>
      </c>
      <c r="B1290">
        <v>0.14299999999999999</v>
      </c>
      <c r="C1290">
        <v>7200</v>
      </c>
      <c r="D1290" s="9">
        <v>41865</v>
      </c>
      <c r="E1290" t="s">
        <v>296</v>
      </c>
      <c r="I1290" s="9"/>
    </row>
    <row r="1291" spans="1:9" x14ac:dyDescent="0.25">
      <c r="A1291">
        <v>241080</v>
      </c>
      <c r="B1291">
        <v>0.14000000000000001</v>
      </c>
      <c r="C1291">
        <v>5760</v>
      </c>
      <c r="D1291" s="9">
        <v>41744</v>
      </c>
      <c r="E1291" t="s">
        <v>296</v>
      </c>
      <c r="I1291" s="9"/>
    </row>
    <row r="1292" spans="1:9" x14ac:dyDescent="0.25">
      <c r="A1292">
        <v>241080</v>
      </c>
      <c r="B1292">
        <v>0.19400000000000001</v>
      </c>
      <c r="C1292">
        <v>5760</v>
      </c>
      <c r="D1292" s="9">
        <v>41484</v>
      </c>
      <c r="E1292" t="s">
        <v>296</v>
      </c>
      <c r="I1292" s="9"/>
    </row>
    <row r="1293" spans="1:9" x14ac:dyDescent="0.25">
      <c r="A1293">
        <v>241080</v>
      </c>
      <c r="B1293">
        <v>0.19500000000000001</v>
      </c>
      <c r="C1293">
        <v>4800</v>
      </c>
      <c r="D1293" s="9">
        <v>41330</v>
      </c>
      <c r="E1293" t="s">
        <v>296</v>
      </c>
      <c r="I1293" s="9"/>
    </row>
    <row r="1294" spans="1:9" x14ac:dyDescent="0.25">
      <c r="A1294">
        <v>241082</v>
      </c>
      <c r="B1294">
        <v>0.20399999999999999</v>
      </c>
      <c r="C1294">
        <v>2400</v>
      </c>
      <c r="D1294" s="9">
        <v>43972</v>
      </c>
      <c r="E1294" t="s">
        <v>296</v>
      </c>
      <c r="I1294" s="9"/>
    </row>
    <row r="1295" spans="1:9" x14ac:dyDescent="0.25">
      <c r="A1295">
        <v>241082</v>
      </c>
      <c r="B1295">
        <v>0.20399999999999999</v>
      </c>
      <c r="C1295">
        <v>2880</v>
      </c>
      <c r="D1295" s="9">
        <v>43238</v>
      </c>
      <c r="E1295" t="s">
        <v>296</v>
      </c>
      <c r="I1295" s="9"/>
    </row>
    <row r="1296" spans="1:9" x14ac:dyDescent="0.25">
      <c r="A1296">
        <v>241082</v>
      </c>
      <c r="B1296">
        <v>0.78</v>
      </c>
      <c r="C1296">
        <v>1440</v>
      </c>
      <c r="D1296" s="9">
        <v>43238</v>
      </c>
      <c r="E1296" t="s">
        <v>295</v>
      </c>
      <c r="I1296" s="9"/>
    </row>
    <row r="1297" spans="1:9" x14ac:dyDescent="0.25">
      <c r="A1297">
        <v>241082</v>
      </c>
      <c r="B1297">
        <v>0.20399999999999999</v>
      </c>
      <c r="C1297">
        <v>2400</v>
      </c>
      <c r="D1297" s="9">
        <v>43054</v>
      </c>
      <c r="E1297" t="s">
        <v>296</v>
      </c>
      <c r="I1297" s="9"/>
    </row>
    <row r="1298" spans="1:9" x14ac:dyDescent="0.25">
      <c r="A1298">
        <v>241082</v>
      </c>
      <c r="B1298">
        <v>0.19</v>
      </c>
      <c r="C1298">
        <v>2400</v>
      </c>
      <c r="D1298" s="9">
        <v>42877</v>
      </c>
      <c r="E1298" t="s">
        <v>296</v>
      </c>
      <c r="I1298" s="9"/>
    </row>
    <row r="1299" spans="1:9" x14ac:dyDescent="0.25">
      <c r="A1299">
        <v>241110</v>
      </c>
      <c r="B1299">
        <v>0.26</v>
      </c>
      <c r="C1299">
        <v>2400</v>
      </c>
      <c r="D1299" s="9">
        <v>44091</v>
      </c>
      <c r="E1299" t="s">
        <v>296</v>
      </c>
      <c r="I1299" s="9"/>
    </row>
    <row r="1300" spans="1:9" x14ac:dyDescent="0.25">
      <c r="A1300">
        <v>241110</v>
      </c>
      <c r="B1300">
        <v>0.25</v>
      </c>
      <c r="C1300">
        <v>4200</v>
      </c>
      <c r="D1300" s="9">
        <v>43483</v>
      </c>
      <c r="E1300" t="s">
        <v>296</v>
      </c>
      <c r="I1300" s="9"/>
    </row>
    <row r="1301" spans="1:9" x14ac:dyDescent="0.25">
      <c r="A1301">
        <v>241110</v>
      </c>
      <c r="B1301">
        <v>0.25</v>
      </c>
      <c r="C1301">
        <v>3600</v>
      </c>
      <c r="D1301" s="9">
        <v>43264</v>
      </c>
      <c r="E1301" t="s">
        <v>296</v>
      </c>
      <c r="I1301" s="9"/>
    </row>
    <row r="1302" spans="1:9" x14ac:dyDescent="0.25">
      <c r="A1302">
        <v>241110</v>
      </c>
      <c r="B1302">
        <v>0.24</v>
      </c>
      <c r="C1302">
        <v>3600</v>
      </c>
      <c r="D1302" s="9">
        <v>43063</v>
      </c>
      <c r="E1302" t="s">
        <v>296</v>
      </c>
      <c r="I1302" s="9"/>
    </row>
    <row r="1303" spans="1:9" x14ac:dyDescent="0.25">
      <c r="A1303">
        <v>241110</v>
      </c>
      <c r="B1303">
        <v>0.2</v>
      </c>
      <c r="C1303">
        <v>2940</v>
      </c>
      <c r="D1303" s="9">
        <v>42860</v>
      </c>
      <c r="E1303" t="s">
        <v>296</v>
      </c>
      <c r="I1303" s="9"/>
    </row>
    <row r="1304" spans="1:9" x14ac:dyDescent="0.25">
      <c r="A1304">
        <v>241110</v>
      </c>
      <c r="B1304">
        <v>0.22</v>
      </c>
      <c r="C1304">
        <v>4000</v>
      </c>
      <c r="D1304" s="9">
        <v>42719</v>
      </c>
      <c r="E1304" t="s">
        <v>296</v>
      </c>
      <c r="I1304" s="9"/>
    </row>
    <row r="1305" spans="1:9" x14ac:dyDescent="0.25">
      <c r="A1305">
        <v>241110</v>
      </c>
      <c r="B1305">
        <v>0.22</v>
      </c>
      <c r="C1305">
        <v>3200</v>
      </c>
      <c r="D1305" s="9">
        <v>42698</v>
      </c>
      <c r="E1305" t="s">
        <v>296</v>
      </c>
      <c r="I1305" s="9"/>
    </row>
    <row r="1306" spans="1:9" x14ac:dyDescent="0.25">
      <c r="A1306">
        <v>241110</v>
      </c>
      <c r="B1306">
        <v>0.22</v>
      </c>
      <c r="C1306">
        <v>4000</v>
      </c>
      <c r="D1306" s="9">
        <v>42510</v>
      </c>
      <c r="E1306" t="s">
        <v>296</v>
      </c>
      <c r="I1306" s="9"/>
    </row>
    <row r="1307" spans="1:9" x14ac:dyDescent="0.25">
      <c r="A1307">
        <v>241110</v>
      </c>
      <c r="B1307">
        <v>0.23</v>
      </c>
      <c r="C1307">
        <v>4000</v>
      </c>
      <c r="D1307" s="9">
        <v>42321</v>
      </c>
      <c r="E1307" t="s">
        <v>296</v>
      </c>
      <c r="I1307" s="9"/>
    </row>
    <row r="1308" spans="1:9" x14ac:dyDescent="0.25">
      <c r="A1308">
        <v>241110</v>
      </c>
      <c r="B1308">
        <v>0.27500000000000002</v>
      </c>
      <c r="C1308">
        <v>3200</v>
      </c>
      <c r="D1308" s="9">
        <v>42129</v>
      </c>
      <c r="E1308" t="s">
        <v>296</v>
      </c>
      <c r="I1308" s="9"/>
    </row>
    <row r="1309" spans="1:9" x14ac:dyDescent="0.25">
      <c r="A1309">
        <v>241110</v>
      </c>
      <c r="B1309">
        <v>0.27500000000000002</v>
      </c>
      <c r="C1309">
        <v>3200</v>
      </c>
      <c r="D1309" s="9">
        <v>41744</v>
      </c>
      <c r="E1309" t="s">
        <v>296</v>
      </c>
      <c r="I1309" s="9"/>
    </row>
    <row r="1310" spans="1:9" x14ac:dyDescent="0.25">
      <c r="A1310">
        <v>241110</v>
      </c>
      <c r="B1310">
        <v>0.27500000000000002</v>
      </c>
      <c r="C1310">
        <v>3200</v>
      </c>
      <c r="D1310" s="9">
        <v>41535</v>
      </c>
      <c r="E1310" t="s">
        <v>296</v>
      </c>
      <c r="I1310" s="9"/>
    </row>
    <row r="1311" spans="1:9" x14ac:dyDescent="0.25">
      <c r="A1311">
        <v>241110</v>
      </c>
      <c r="B1311">
        <v>0.27500000000000002</v>
      </c>
      <c r="C1311">
        <v>3200</v>
      </c>
      <c r="D1311" s="9">
        <v>41418</v>
      </c>
      <c r="E1311" t="s">
        <v>296</v>
      </c>
      <c r="I1311" s="9"/>
    </row>
    <row r="1312" spans="1:9" x14ac:dyDescent="0.25">
      <c r="A1312">
        <v>241112</v>
      </c>
      <c r="B1312">
        <v>0.308</v>
      </c>
      <c r="C1312">
        <v>3000</v>
      </c>
      <c r="D1312" s="9">
        <v>43567</v>
      </c>
      <c r="E1312" t="s">
        <v>296</v>
      </c>
      <c r="I1312" s="9"/>
    </row>
    <row r="1313" spans="1:9" x14ac:dyDescent="0.25">
      <c r="A1313">
        <v>241112</v>
      </c>
      <c r="B1313">
        <v>1.18</v>
      </c>
      <c r="C1313">
        <v>1200</v>
      </c>
      <c r="D1313" s="9">
        <v>43238</v>
      </c>
      <c r="E1313" t="s">
        <v>295</v>
      </c>
      <c r="I1313" s="9"/>
    </row>
    <row r="1314" spans="1:9" x14ac:dyDescent="0.25">
      <c r="A1314">
        <v>241112</v>
      </c>
      <c r="B1314">
        <v>0.308</v>
      </c>
      <c r="C1314">
        <v>3000</v>
      </c>
      <c r="D1314" s="9">
        <v>43238</v>
      </c>
      <c r="E1314" t="s">
        <v>296</v>
      </c>
      <c r="I1314" s="9"/>
    </row>
    <row r="1315" spans="1:9" x14ac:dyDescent="0.25">
      <c r="A1315">
        <v>241112</v>
      </c>
      <c r="B1315">
        <v>0.308</v>
      </c>
      <c r="C1315">
        <v>2000</v>
      </c>
      <c r="D1315" s="9">
        <v>43054</v>
      </c>
      <c r="E1315" t="s">
        <v>296</v>
      </c>
      <c r="I1315" s="9"/>
    </row>
    <row r="1316" spans="1:9" x14ac:dyDescent="0.25">
      <c r="A1316">
        <v>241112</v>
      </c>
      <c r="B1316">
        <v>0.3</v>
      </c>
      <c r="C1316">
        <v>2000</v>
      </c>
      <c r="D1316" s="9">
        <v>42877</v>
      </c>
      <c r="E1316" t="s">
        <v>296</v>
      </c>
      <c r="I1316" s="9"/>
    </row>
    <row r="1317" spans="1:9" x14ac:dyDescent="0.25">
      <c r="A1317">
        <v>241200</v>
      </c>
      <c r="B1317">
        <v>1.18</v>
      </c>
      <c r="C1317">
        <v>1200</v>
      </c>
      <c r="D1317" s="9">
        <v>44091</v>
      </c>
      <c r="E1317" t="s">
        <v>296</v>
      </c>
      <c r="I1317" s="9"/>
    </row>
    <row r="1318" spans="1:9" x14ac:dyDescent="0.25">
      <c r="A1318">
        <v>241200</v>
      </c>
      <c r="B1318">
        <v>1.18</v>
      </c>
      <c r="C1318">
        <v>1800</v>
      </c>
      <c r="D1318" s="9">
        <v>44043</v>
      </c>
      <c r="E1318" t="s">
        <v>296</v>
      </c>
      <c r="I1318" s="9"/>
    </row>
    <row r="1319" spans="1:9" x14ac:dyDescent="0.25">
      <c r="A1319">
        <v>241200</v>
      </c>
      <c r="B1319">
        <v>1.18</v>
      </c>
      <c r="C1319">
        <v>2080</v>
      </c>
      <c r="D1319" s="9">
        <v>43686</v>
      </c>
      <c r="E1319" t="s">
        <v>296</v>
      </c>
      <c r="I1319" s="9"/>
    </row>
    <row r="1320" spans="1:9" x14ac:dyDescent="0.25">
      <c r="A1320">
        <v>241200</v>
      </c>
      <c r="B1320">
        <v>1.17</v>
      </c>
      <c r="C1320">
        <v>1000</v>
      </c>
      <c r="D1320" s="9">
        <v>43648</v>
      </c>
      <c r="E1320" t="s">
        <v>296</v>
      </c>
      <c r="I1320" s="9"/>
    </row>
    <row r="1321" spans="1:9" x14ac:dyDescent="0.25">
      <c r="A1321">
        <v>241200</v>
      </c>
      <c r="B1321">
        <v>1.17</v>
      </c>
      <c r="C1321">
        <v>1040</v>
      </c>
      <c r="D1321" s="9">
        <v>43438</v>
      </c>
      <c r="E1321" t="s">
        <v>296</v>
      </c>
      <c r="I1321" s="9"/>
    </row>
    <row r="1322" spans="1:9" x14ac:dyDescent="0.25">
      <c r="A1322">
        <v>241200</v>
      </c>
      <c r="B1322">
        <v>1.2</v>
      </c>
      <c r="C1322">
        <v>2000</v>
      </c>
      <c r="D1322" s="9">
        <v>43427</v>
      </c>
      <c r="E1322" t="s">
        <v>296</v>
      </c>
      <c r="I1322" s="9"/>
    </row>
    <row r="1323" spans="1:9" x14ac:dyDescent="0.25">
      <c r="A1323">
        <v>241200</v>
      </c>
      <c r="B1323">
        <v>1.2</v>
      </c>
      <c r="C1323">
        <v>1632</v>
      </c>
      <c r="D1323" s="9">
        <v>43244</v>
      </c>
      <c r="E1323" t="s">
        <v>296</v>
      </c>
      <c r="I1323" s="9"/>
    </row>
    <row r="1324" spans="1:9" x14ac:dyDescent="0.25">
      <c r="A1324">
        <v>241200</v>
      </c>
      <c r="B1324">
        <v>1.1000000000000001</v>
      </c>
      <c r="C1324">
        <v>1920</v>
      </c>
      <c r="D1324" s="9">
        <v>42976</v>
      </c>
      <c r="E1324" t="s">
        <v>296</v>
      </c>
      <c r="I1324" s="9"/>
    </row>
    <row r="1325" spans="1:9" x14ac:dyDescent="0.25">
      <c r="A1325">
        <v>241200</v>
      </c>
      <c r="B1325">
        <v>1.1000000000000001</v>
      </c>
      <c r="C1325">
        <v>1280</v>
      </c>
      <c r="D1325" s="9">
        <v>42860</v>
      </c>
      <c r="E1325" t="s">
        <v>296</v>
      </c>
      <c r="I1325" s="9"/>
    </row>
    <row r="1326" spans="1:9" x14ac:dyDescent="0.25">
      <c r="A1326">
        <v>241200</v>
      </c>
      <c r="B1326">
        <v>1.1299999999999999</v>
      </c>
      <c r="C1326">
        <v>1000</v>
      </c>
      <c r="D1326" s="9">
        <v>42719</v>
      </c>
      <c r="E1326" t="s">
        <v>296</v>
      </c>
      <c r="I1326" s="9"/>
    </row>
    <row r="1327" spans="1:9" x14ac:dyDescent="0.25">
      <c r="A1327">
        <v>241200</v>
      </c>
      <c r="B1327">
        <v>1.1299999999999999</v>
      </c>
      <c r="C1327">
        <v>800</v>
      </c>
      <c r="D1327" s="9">
        <v>42617</v>
      </c>
      <c r="E1327" t="s">
        <v>296</v>
      </c>
      <c r="I1327" s="9"/>
    </row>
    <row r="1328" spans="1:9" x14ac:dyDescent="0.25">
      <c r="A1328">
        <v>241200</v>
      </c>
      <c r="B1328">
        <v>1.1299999999999999</v>
      </c>
      <c r="C1328">
        <v>800</v>
      </c>
      <c r="D1328" s="9">
        <v>42510</v>
      </c>
      <c r="E1328" t="s">
        <v>296</v>
      </c>
      <c r="I1328" s="9"/>
    </row>
    <row r="1329" spans="1:9" x14ac:dyDescent="0.25">
      <c r="A1329">
        <v>241200</v>
      </c>
      <c r="B1329">
        <v>1.41</v>
      </c>
      <c r="C1329">
        <v>800</v>
      </c>
      <c r="D1329" s="9">
        <v>42401</v>
      </c>
      <c r="E1329" t="s">
        <v>297</v>
      </c>
      <c r="I1329" s="9"/>
    </row>
    <row r="1330" spans="1:9" x14ac:dyDescent="0.25">
      <c r="A1330">
        <v>241200</v>
      </c>
      <c r="B1330">
        <v>4.99</v>
      </c>
      <c r="C1330">
        <v>920</v>
      </c>
      <c r="D1330" s="9">
        <v>41957</v>
      </c>
      <c r="E1330" t="s">
        <v>295</v>
      </c>
      <c r="I1330" s="9"/>
    </row>
    <row r="1331" spans="1:9" x14ac:dyDescent="0.25">
      <c r="A1331">
        <v>241200</v>
      </c>
      <c r="B1331">
        <v>1.5</v>
      </c>
      <c r="C1331">
        <v>920</v>
      </c>
      <c r="D1331" s="9">
        <v>41912</v>
      </c>
      <c r="E1331" t="s">
        <v>296</v>
      </c>
      <c r="I1331" s="9"/>
    </row>
    <row r="1332" spans="1:9" x14ac:dyDescent="0.25">
      <c r="A1332">
        <v>241200</v>
      </c>
      <c r="B1332">
        <v>1.5</v>
      </c>
      <c r="C1332">
        <v>880</v>
      </c>
      <c r="D1332" s="9">
        <v>41865</v>
      </c>
      <c r="E1332" t="s">
        <v>296</v>
      </c>
      <c r="I1332" s="9"/>
    </row>
    <row r="1333" spans="1:9" x14ac:dyDescent="0.25">
      <c r="A1333">
        <v>241200</v>
      </c>
      <c r="B1333">
        <v>1.5</v>
      </c>
      <c r="C1333">
        <v>1120</v>
      </c>
      <c r="D1333" s="9">
        <v>41744</v>
      </c>
      <c r="E1333" t="s">
        <v>296</v>
      </c>
      <c r="I1333" s="9"/>
    </row>
    <row r="1334" spans="1:9" x14ac:dyDescent="0.25">
      <c r="A1334">
        <v>241200</v>
      </c>
      <c r="B1334">
        <v>1.5</v>
      </c>
      <c r="C1334">
        <v>1320</v>
      </c>
      <c r="D1334" s="9">
        <v>41535</v>
      </c>
      <c r="E1334" t="s">
        <v>296</v>
      </c>
      <c r="I1334" s="9"/>
    </row>
    <row r="1335" spans="1:9" x14ac:dyDescent="0.25">
      <c r="A1335">
        <v>241200</v>
      </c>
      <c r="B1335">
        <v>1.5</v>
      </c>
      <c r="C1335">
        <v>1200</v>
      </c>
      <c r="D1335" s="9">
        <v>41418</v>
      </c>
      <c r="E1335" t="s">
        <v>296</v>
      </c>
      <c r="I1335" s="9"/>
    </row>
    <row r="1336" spans="1:9" x14ac:dyDescent="0.25">
      <c r="A1336">
        <v>241200</v>
      </c>
      <c r="B1336">
        <v>1.5</v>
      </c>
      <c r="C1336">
        <v>924</v>
      </c>
      <c r="D1336" s="9">
        <v>41295</v>
      </c>
      <c r="E1336" t="s">
        <v>296</v>
      </c>
      <c r="I1336" s="9"/>
    </row>
    <row r="1337" spans="1:9" x14ac:dyDescent="0.25">
      <c r="A1337">
        <v>250000</v>
      </c>
      <c r="B1337">
        <v>0.33</v>
      </c>
      <c r="C1337">
        <v>11700</v>
      </c>
      <c r="D1337" s="9">
        <v>44123</v>
      </c>
      <c r="E1337" t="s">
        <v>295</v>
      </c>
      <c r="I1337" s="9"/>
    </row>
    <row r="1338" spans="1:9" x14ac:dyDescent="0.25">
      <c r="A1338">
        <v>250000</v>
      </c>
      <c r="B1338">
        <v>0.33</v>
      </c>
      <c r="C1338">
        <v>23400</v>
      </c>
      <c r="D1338" s="9">
        <v>44053</v>
      </c>
      <c r="E1338" t="s">
        <v>295</v>
      </c>
      <c r="I1338" s="9"/>
    </row>
    <row r="1339" spans="1:9" x14ac:dyDescent="0.25">
      <c r="A1339">
        <v>250000</v>
      </c>
      <c r="B1339">
        <v>0.33</v>
      </c>
      <c r="C1339">
        <v>4000</v>
      </c>
      <c r="D1339" s="9">
        <v>43990</v>
      </c>
      <c r="E1339" t="s">
        <v>295</v>
      </c>
      <c r="I1339" s="9"/>
    </row>
    <row r="1340" spans="1:9" x14ac:dyDescent="0.25">
      <c r="A1340">
        <v>250000</v>
      </c>
      <c r="B1340">
        <v>0.33</v>
      </c>
      <c r="C1340">
        <v>4000</v>
      </c>
      <c r="D1340" s="9">
        <v>43847</v>
      </c>
      <c r="E1340" t="s">
        <v>295</v>
      </c>
      <c r="I1340" s="9"/>
    </row>
    <row r="1341" spans="1:9" x14ac:dyDescent="0.25">
      <c r="A1341">
        <v>250000</v>
      </c>
      <c r="B1341">
        <v>0.33</v>
      </c>
      <c r="C1341">
        <v>4000</v>
      </c>
      <c r="D1341" s="9">
        <v>43656</v>
      </c>
      <c r="E1341" t="s">
        <v>295</v>
      </c>
      <c r="I1341" s="9"/>
    </row>
    <row r="1342" spans="1:9" x14ac:dyDescent="0.25">
      <c r="A1342">
        <v>250000</v>
      </c>
      <c r="B1342">
        <v>0.33</v>
      </c>
      <c r="C1342">
        <v>3000</v>
      </c>
      <c r="D1342" s="9">
        <v>43565</v>
      </c>
      <c r="E1342" t="s">
        <v>295</v>
      </c>
      <c r="I1342" s="9"/>
    </row>
    <row r="1343" spans="1:9" x14ac:dyDescent="0.25">
      <c r="A1343">
        <v>250000</v>
      </c>
      <c r="B1343">
        <v>0.33</v>
      </c>
      <c r="C1343">
        <v>3000</v>
      </c>
      <c r="D1343" s="9">
        <v>43530</v>
      </c>
      <c r="E1343" t="s">
        <v>295</v>
      </c>
      <c r="I1343" s="9"/>
    </row>
    <row r="1344" spans="1:9" x14ac:dyDescent="0.25">
      <c r="A1344">
        <v>250000</v>
      </c>
      <c r="B1344">
        <v>0.33</v>
      </c>
      <c r="C1344">
        <v>2500</v>
      </c>
      <c r="D1344" s="9">
        <v>43454</v>
      </c>
      <c r="E1344" t="s">
        <v>295</v>
      </c>
      <c r="I1344" s="9"/>
    </row>
    <row r="1345" spans="1:9" x14ac:dyDescent="0.25">
      <c r="A1345">
        <v>250000</v>
      </c>
      <c r="B1345">
        <v>0.33</v>
      </c>
      <c r="C1345">
        <v>2500</v>
      </c>
      <c r="D1345" s="9">
        <v>43381</v>
      </c>
      <c r="E1345" t="s">
        <v>295</v>
      </c>
      <c r="I1345" s="9"/>
    </row>
    <row r="1346" spans="1:9" x14ac:dyDescent="0.25">
      <c r="A1346">
        <v>250000</v>
      </c>
      <c r="B1346">
        <v>0.33</v>
      </c>
      <c r="C1346">
        <v>5000</v>
      </c>
      <c r="D1346" s="9">
        <v>43161</v>
      </c>
      <c r="E1346" t="s">
        <v>295</v>
      </c>
      <c r="I1346" s="9"/>
    </row>
    <row r="1347" spans="1:9" x14ac:dyDescent="0.25">
      <c r="A1347">
        <v>250000</v>
      </c>
      <c r="B1347">
        <v>0.33</v>
      </c>
      <c r="C1347">
        <v>8100</v>
      </c>
      <c r="D1347" s="9">
        <v>43076</v>
      </c>
      <c r="E1347" t="s">
        <v>295</v>
      </c>
      <c r="I1347" s="9"/>
    </row>
    <row r="1348" spans="1:9" x14ac:dyDescent="0.25">
      <c r="A1348">
        <v>250000</v>
      </c>
      <c r="B1348">
        <v>0.33</v>
      </c>
      <c r="C1348">
        <v>25000</v>
      </c>
      <c r="D1348" s="9">
        <v>43052</v>
      </c>
      <c r="E1348" t="s">
        <v>295</v>
      </c>
      <c r="I1348" s="9"/>
    </row>
    <row r="1349" spans="1:9" x14ac:dyDescent="0.25">
      <c r="A1349">
        <v>250000</v>
      </c>
      <c r="B1349">
        <v>0.33</v>
      </c>
      <c r="C1349">
        <v>38800</v>
      </c>
      <c r="D1349" s="9">
        <v>42873</v>
      </c>
      <c r="E1349" t="s">
        <v>295</v>
      </c>
      <c r="I1349" s="9"/>
    </row>
    <row r="1350" spans="1:9" x14ac:dyDescent="0.25">
      <c r="A1350">
        <v>250000</v>
      </c>
      <c r="B1350">
        <v>0.33</v>
      </c>
      <c r="C1350">
        <v>5000</v>
      </c>
      <c r="D1350" s="9">
        <v>42843</v>
      </c>
      <c r="E1350" t="s">
        <v>295</v>
      </c>
      <c r="I1350" s="9"/>
    </row>
    <row r="1351" spans="1:9" x14ac:dyDescent="0.25">
      <c r="A1351">
        <v>250000</v>
      </c>
      <c r="B1351">
        <v>0.33</v>
      </c>
      <c r="C1351">
        <v>2500</v>
      </c>
      <c r="D1351" s="9">
        <v>42779</v>
      </c>
      <c r="E1351" t="s">
        <v>295</v>
      </c>
      <c r="I1351" s="9"/>
    </row>
    <row r="1352" spans="1:9" x14ac:dyDescent="0.25">
      <c r="A1352">
        <v>250000</v>
      </c>
      <c r="B1352">
        <v>0.33</v>
      </c>
      <c r="C1352">
        <v>5000</v>
      </c>
      <c r="D1352" s="9">
        <v>42640</v>
      </c>
      <c r="E1352" t="s">
        <v>295</v>
      </c>
      <c r="I1352" s="9"/>
    </row>
    <row r="1353" spans="1:9" x14ac:dyDescent="0.25">
      <c r="A1353">
        <v>250000</v>
      </c>
      <c r="B1353">
        <v>0.33</v>
      </c>
      <c r="C1353">
        <v>5000</v>
      </c>
      <c r="D1353" s="9">
        <v>42625</v>
      </c>
      <c r="E1353" t="s">
        <v>295</v>
      </c>
      <c r="I1353" s="9"/>
    </row>
    <row r="1354" spans="1:9" x14ac:dyDescent="0.25">
      <c r="A1354">
        <v>250000</v>
      </c>
      <c r="B1354">
        <v>0.33</v>
      </c>
      <c r="C1354">
        <v>5000</v>
      </c>
      <c r="D1354" s="9">
        <v>42615</v>
      </c>
      <c r="E1354" t="s">
        <v>295</v>
      </c>
      <c r="I1354" s="9"/>
    </row>
    <row r="1355" spans="1:9" x14ac:dyDescent="0.25">
      <c r="A1355">
        <v>250000</v>
      </c>
      <c r="B1355">
        <v>0.33</v>
      </c>
      <c r="C1355">
        <v>19350</v>
      </c>
      <c r="D1355" s="9">
        <v>42600</v>
      </c>
      <c r="E1355" t="s">
        <v>295</v>
      </c>
      <c r="I1355" s="9"/>
    </row>
    <row r="1356" spans="1:9" x14ac:dyDescent="0.25">
      <c r="A1356">
        <v>250000</v>
      </c>
      <c r="B1356">
        <v>0.33</v>
      </c>
      <c r="C1356">
        <v>17000</v>
      </c>
      <c r="D1356" s="9">
        <v>42557</v>
      </c>
      <c r="E1356" t="s">
        <v>295</v>
      </c>
      <c r="I1356" s="9"/>
    </row>
    <row r="1357" spans="1:9" x14ac:dyDescent="0.25">
      <c r="A1357">
        <v>250000</v>
      </c>
      <c r="B1357">
        <v>0.33</v>
      </c>
      <c r="C1357">
        <v>2500</v>
      </c>
      <c r="D1357" s="9">
        <v>42513</v>
      </c>
      <c r="E1357" t="s">
        <v>295</v>
      </c>
      <c r="I1357" s="9"/>
    </row>
    <row r="1358" spans="1:9" x14ac:dyDescent="0.25">
      <c r="A1358">
        <v>250000</v>
      </c>
      <c r="B1358">
        <v>0.33</v>
      </c>
      <c r="C1358">
        <v>7800</v>
      </c>
      <c r="D1358" s="9">
        <v>42451</v>
      </c>
      <c r="E1358" t="s">
        <v>295</v>
      </c>
      <c r="I1358" s="9"/>
    </row>
    <row r="1359" spans="1:9" x14ac:dyDescent="0.25">
      <c r="A1359">
        <v>250000</v>
      </c>
      <c r="B1359">
        <v>0.33</v>
      </c>
      <c r="C1359">
        <v>2000</v>
      </c>
      <c r="D1359" s="9">
        <v>42411</v>
      </c>
      <c r="E1359" t="s">
        <v>295</v>
      </c>
      <c r="I1359" s="9"/>
    </row>
    <row r="1360" spans="1:9" x14ac:dyDescent="0.25">
      <c r="A1360">
        <v>250000</v>
      </c>
      <c r="B1360">
        <v>0.33</v>
      </c>
      <c r="C1360">
        <v>2000</v>
      </c>
      <c r="D1360" s="9">
        <v>42331</v>
      </c>
      <c r="E1360" t="s">
        <v>295</v>
      </c>
      <c r="I1360" s="9"/>
    </row>
    <row r="1361" spans="1:9" x14ac:dyDescent="0.25">
      <c r="A1361">
        <v>250000</v>
      </c>
      <c r="B1361">
        <v>0.33</v>
      </c>
      <c r="C1361">
        <v>2000</v>
      </c>
      <c r="D1361" s="9">
        <v>42212</v>
      </c>
      <c r="E1361" t="s">
        <v>295</v>
      </c>
      <c r="I1361" s="9"/>
    </row>
    <row r="1362" spans="1:9" x14ac:dyDescent="0.25">
      <c r="A1362">
        <v>250000</v>
      </c>
      <c r="B1362">
        <v>0.33</v>
      </c>
      <c r="C1362">
        <v>2200</v>
      </c>
      <c r="D1362" s="9">
        <v>42118</v>
      </c>
      <c r="E1362" t="s">
        <v>295</v>
      </c>
      <c r="I1362" s="9"/>
    </row>
    <row r="1363" spans="1:9" x14ac:dyDescent="0.25">
      <c r="A1363">
        <v>250000</v>
      </c>
      <c r="B1363">
        <v>0.33</v>
      </c>
      <c r="C1363">
        <v>2200</v>
      </c>
      <c r="D1363" s="9">
        <v>41948</v>
      </c>
      <c r="E1363" t="s">
        <v>295</v>
      </c>
      <c r="I1363" s="9"/>
    </row>
    <row r="1364" spans="1:9" x14ac:dyDescent="0.25">
      <c r="A1364">
        <v>250000</v>
      </c>
      <c r="B1364">
        <v>0.33</v>
      </c>
      <c r="C1364">
        <v>1950</v>
      </c>
      <c r="D1364" s="9">
        <v>41911</v>
      </c>
      <c r="E1364" t="s">
        <v>295</v>
      </c>
      <c r="I1364" s="9"/>
    </row>
    <row r="1365" spans="1:9" x14ac:dyDescent="0.25">
      <c r="A1365">
        <v>250000</v>
      </c>
      <c r="B1365">
        <v>0.33</v>
      </c>
      <c r="C1365">
        <v>1300</v>
      </c>
      <c r="D1365" s="9">
        <v>41827</v>
      </c>
      <c r="E1365" t="s">
        <v>295</v>
      </c>
      <c r="I1365" s="9"/>
    </row>
    <row r="1366" spans="1:9" x14ac:dyDescent="0.25">
      <c r="A1366">
        <v>250000</v>
      </c>
      <c r="B1366">
        <v>0.33</v>
      </c>
      <c r="C1366">
        <v>1300</v>
      </c>
      <c r="D1366" s="9">
        <v>41696</v>
      </c>
      <c r="E1366" t="s">
        <v>295</v>
      </c>
      <c r="I1366" s="9"/>
    </row>
    <row r="1367" spans="1:9" x14ac:dyDescent="0.25">
      <c r="A1367">
        <v>250002</v>
      </c>
      <c r="B1367">
        <v>2.6</v>
      </c>
      <c r="C1367">
        <v>1300</v>
      </c>
      <c r="D1367" s="9">
        <v>44110</v>
      </c>
      <c r="E1367" t="s">
        <v>295</v>
      </c>
      <c r="I1367" s="9"/>
    </row>
    <row r="1368" spans="1:9" x14ac:dyDescent="0.25">
      <c r="A1368">
        <v>250002</v>
      </c>
      <c r="B1368">
        <v>2.6</v>
      </c>
      <c r="C1368">
        <v>1300</v>
      </c>
      <c r="D1368" s="9">
        <v>44035</v>
      </c>
      <c r="E1368" t="s">
        <v>295</v>
      </c>
      <c r="I1368" s="9"/>
    </row>
    <row r="1369" spans="1:9" x14ac:dyDescent="0.25">
      <c r="A1369">
        <v>250002</v>
      </c>
      <c r="B1369">
        <v>2.6</v>
      </c>
      <c r="C1369">
        <v>1300</v>
      </c>
      <c r="D1369" s="9">
        <v>43970</v>
      </c>
      <c r="E1369" t="s">
        <v>295</v>
      </c>
      <c r="I1369" s="9"/>
    </row>
    <row r="1370" spans="1:9" x14ac:dyDescent="0.25">
      <c r="A1370">
        <v>250002</v>
      </c>
      <c r="B1370">
        <v>2.6</v>
      </c>
      <c r="C1370">
        <v>1300</v>
      </c>
      <c r="D1370" s="9">
        <v>43873</v>
      </c>
      <c r="E1370" t="s">
        <v>295</v>
      </c>
      <c r="I1370" s="9"/>
    </row>
    <row r="1371" spans="1:9" x14ac:dyDescent="0.25">
      <c r="A1371">
        <v>250002</v>
      </c>
      <c r="B1371">
        <v>2.6</v>
      </c>
      <c r="C1371">
        <v>1430</v>
      </c>
      <c r="D1371" s="9">
        <v>43784</v>
      </c>
      <c r="E1371" t="s">
        <v>295</v>
      </c>
      <c r="I1371" s="9"/>
    </row>
    <row r="1372" spans="1:9" x14ac:dyDescent="0.25">
      <c r="A1372">
        <v>250002</v>
      </c>
      <c r="B1372">
        <v>2.6</v>
      </c>
      <c r="C1372">
        <v>1430</v>
      </c>
      <c r="D1372" s="9">
        <v>43664</v>
      </c>
      <c r="E1372" t="s">
        <v>295</v>
      </c>
      <c r="I1372" s="9"/>
    </row>
    <row r="1373" spans="1:9" x14ac:dyDescent="0.25">
      <c r="A1373">
        <v>250002</v>
      </c>
      <c r="B1373">
        <v>2.6</v>
      </c>
      <c r="C1373">
        <v>570</v>
      </c>
      <c r="D1373" s="9">
        <v>43565</v>
      </c>
      <c r="E1373" t="s">
        <v>295</v>
      </c>
      <c r="I1373" s="9"/>
    </row>
    <row r="1374" spans="1:9" x14ac:dyDescent="0.25">
      <c r="A1374">
        <v>250002</v>
      </c>
      <c r="B1374">
        <v>2.6</v>
      </c>
      <c r="C1374">
        <v>1430</v>
      </c>
      <c r="D1374" s="9">
        <v>43556</v>
      </c>
      <c r="E1374" t="s">
        <v>295</v>
      </c>
      <c r="I1374" s="9"/>
    </row>
    <row r="1375" spans="1:9" x14ac:dyDescent="0.25">
      <c r="A1375">
        <v>250002</v>
      </c>
      <c r="B1375">
        <v>2.6</v>
      </c>
      <c r="C1375">
        <v>2000</v>
      </c>
      <c r="D1375" s="9">
        <v>43530</v>
      </c>
      <c r="E1375" t="s">
        <v>295</v>
      </c>
      <c r="I1375" s="9"/>
    </row>
    <row r="1376" spans="1:9" x14ac:dyDescent="0.25">
      <c r="A1376">
        <v>250002</v>
      </c>
      <c r="B1376">
        <v>2.6</v>
      </c>
      <c r="C1376">
        <v>1430</v>
      </c>
      <c r="D1376" s="9">
        <v>43417</v>
      </c>
      <c r="E1376" t="s">
        <v>295</v>
      </c>
      <c r="I1376" s="9"/>
    </row>
    <row r="1377" spans="1:9" x14ac:dyDescent="0.25">
      <c r="A1377">
        <v>250002</v>
      </c>
      <c r="B1377">
        <v>2.6</v>
      </c>
      <c r="C1377">
        <v>1430</v>
      </c>
      <c r="D1377" s="9">
        <v>43306</v>
      </c>
      <c r="E1377" t="s">
        <v>295</v>
      </c>
      <c r="I1377" s="9"/>
    </row>
    <row r="1378" spans="1:9" x14ac:dyDescent="0.25">
      <c r="A1378">
        <v>250002</v>
      </c>
      <c r="B1378">
        <v>2.6</v>
      </c>
      <c r="C1378">
        <v>1430</v>
      </c>
      <c r="D1378" s="9">
        <v>43294</v>
      </c>
      <c r="E1378" t="s">
        <v>295</v>
      </c>
      <c r="I1378" s="9"/>
    </row>
    <row r="1379" spans="1:9" x14ac:dyDescent="0.25">
      <c r="A1379">
        <v>250002</v>
      </c>
      <c r="B1379">
        <v>2.6</v>
      </c>
      <c r="C1379">
        <v>1430</v>
      </c>
      <c r="D1379" s="9">
        <v>43181</v>
      </c>
      <c r="E1379" t="s">
        <v>295</v>
      </c>
      <c r="I1379" s="9"/>
    </row>
    <row r="1380" spans="1:9" x14ac:dyDescent="0.25">
      <c r="A1380">
        <v>250002</v>
      </c>
      <c r="B1380">
        <v>2.6</v>
      </c>
      <c r="C1380">
        <v>1500</v>
      </c>
      <c r="D1380" s="9">
        <v>43108</v>
      </c>
      <c r="E1380" t="s">
        <v>295</v>
      </c>
      <c r="I1380" s="9"/>
    </row>
    <row r="1381" spans="1:9" x14ac:dyDescent="0.25">
      <c r="A1381">
        <v>250002</v>
      </c>
      <c r="B1381">
        <v>2.6</v>
      </c>
      <c r="C1381">
        <v>2340</v>
      </c>
      <c r="D1381" s="9">
        <v>42958</v>
      </c>
      <c r="E1381" t="s">
        <v>295</v>
      </c>
      <c r="I1381" s="9"/>
    </row>
    <row r="1382" spans="1:9" x14ac:dyDescent="0.25">
      <c r="A1382">
        <v>250002</v>
      </c>
      <c r="B1382">
        <v>2.6</v>
      </c>
      <c r="C1382">
        <v>1170</v>
      </c>
      <c r="D1382" s="9">
        <v>42877</v>
      </c>
      <c r="E1382" t="s">
        <v>295</v>
      </c>
      <c r="I1382" s="9"/>
    </row>
    <row r="1383" spans="1:9" x14ac:dyDescent="0.25">
      <c r="A1383">
        <v>250002</v>
      </c>
      <c r="B1383">
        <v>2.6</v>
      </c>
      <c r="C1383">
        <v>1170</v>
      </c>
      <c r="D1383" s="9">
        <v>42829</v>
      </c>
      <c r="E1383" t="s">
        <v>295</v>
      </c>
      <c r="I1383" s="9"/>
    </row>
    <row r="1384" spans="1:9" x14ac:dyDescent="0.25">
      <c r="A1384">
        <v>250002</v>
      </c>
      <c r="B1384">
        <v>2.6</v>
      </c>
      <c r="C1384">
        <v>1170</v>
      </c>
      <c r="D1384" s="9">
        <v>42818</v>
      </c>
      <c r="E1384" t="s">
        <v>295</v>
      </c>
      <c r="I1384" s="9"/>
    </row>
    <row r="1385" spans="1:9" x14ac:dyDescent="0.25">
      <c r="A1385">
        <v>250002</v>
      </c>
      <c r="B1385">
        <v>2.6</v>
      </c>
      <c r="C1385">
        <v>1170</v>
      </c>
      <c r="D1385" s="9">
        <v>42779</v>
      </c>
      <c r="E1385" t="s">
        <v>295</v>
      </c>
      <c r="I1385" s="9"/>
    </row>
    <row r="1386" spans="1:9" x14ac:dyDescent="0.25">
      <c r="A1386">
        <v>250002</v>
      </c>
      <c r="B1386">
        <v>2.6</v>
      </c>
      <c r="C1386">
        <v>1170</v>
      </c>
      <c r="D1386" s="9">
        <v>42640</v>
      </c>
      <c r="E1386" t="s">
        <v>295</v>
      </c>
      <c r="I1386" s="9"/>
    </row>
    <row r="1387" spans="1:9" x14ac:dyDescent="0.25">
      <c r="A1387">
        <v>250002</v>
      </c>
      <c r="B1387">
        <v>2.6</v>
      </c>
      <c r="C1387">
        <v>1170</v>
      </c>
      <c r="D1387" s="9">
        <v>42513</v>
      </c>
      <c r="E1387" t="s">
        <v>295</v>
      </c>
      <c r="I1387" s="9"/>
    </row>
    <row r="1388" spans="1:9" x14ac:dyDescent="0.25">
      <c r="A1388">
        <v>250002</v>
      </c>
      <c r="B1388">
        <v>2.6</v>
      </c>
      <c r="C1388">
        <v>2000</v>
      </c>
      <c r="D1388" s="9">
        <v>42411</v>
      </c>
      <c r="E1388" t="s">
        <v>295</v>
      </c>
      <c r="I1388" s="9"/>
    </row>
    <row r="1389" spans="1:9" x14ac:dyDescent="0.25">
      <c r="A1389">
        <v>250002</v>
      </c>
      <c r="B1389">
        <v>2.6</v>
      </c>
      <c r="C1389">
        <v>1000</v>
      </c>
      <c r="D1389" s="9">
        <v>42212</v>
      </c>
      <c r="E1389" t="s">
        <v>295</v>
      </c>
      <c r="I1389" s="9"/>
    </row>
    <row r="1390" spans="1:9" x14ac:dyDescent="0.25">
      <c r="A1390">
        <v>250002</v>
      </c>
      <c r="B1390">
        <v>2.6</v>
      </c>
      <c r="C1390">
        <v>1170</v>
      </c>
      <c r="D1390" s="9">
        <v>42163</v>
      </c>
      <c r="E1390" t="s">
        <v>295</v>
      </c>
      <c r="I1390" s="9"/>
    </row>
    <row r="1391" spans="1:9" x14ac:dyDescent="0.25">
      <c r="A1391">
        <v>250002</v>
      </c>
      <c r="B1391">
        <v>2.6</v>
      </c>
      <c r="C1391">
        <v>1170</v>
      </c>
      <c r="D1391" s="9">
        <v>42019</v>
      </c>
      <c r="E1391" t="s">
        <v>295</v>
      </c>
      <c r="I1391" s="9"/>
    </row>
    <row r="1392" spans="1:9" x14ac:dyDescent="0.25">
      <c r="A1392">
        <v>250002</v>
      </c>
      <c r="B1392">
        <v>2.6</v>
      </c>
      <c r="C1392">
        <v>1170</v>
      </c>
      <c r="D1392" s="9">
        <v>41696</v>
      </c>
      <c r="E1392" t="s">
        <v>295</v>
      </c>
      <c r="I1392" s="9"/>
    </row>
    <row r="1393" spans="1:9" x14ac:dyDescent="0.25">
      <c r="A1393">
        <v>250005</v>
      </c>
      <c r="B1393">
        <v>4.32</v>
      </c>
      <c r="C1393">
        <v>400</v>
      </c>
      <c r="D1393" s="9">
        <v>42226</v>
      </c>
      <c r="E1393" t="s">
        <v>295</v>
      </c>
      <c r="I1393" s="9"/>
    </row>
    <row r="1394" spans="1:9" x14ac:dyDescent="0.25">
      <c r="A1394">
        <v>250005</v>
      </c>
      <c r="B1394">
        <v>4.32</v>
      </c>
      <c r="C1394">
        <v>30</v>
      </c>
      <c r="D1394" s="9">
        <v>42199</v>
      </c>
      <c r="E1394" t="s">
        <v>295</v>
      </c>
      <c r="I1394" s="9"/>
    </row>
    <row r="1395" spans="1:9" x14ac:dyDescent="0.25">
      <c r="A1395">
        <v>250010</v>
      </c>
      <c r="B1395">
        <v>0.65</v>
      </c>
      <c r="C1395">
        <v>6300</v>
      </c>
      <c r="D1395" s="9">
        <v>44123</v>
      </c>
      <c r="E1395" t="s">
        <v>295</v>
      </c>
      <c r="I1395" s="9"/>
    </row>
    <row r="1396" spans="1:9" x14ac:dyDescent="0.25">
      <c r="A1396">
        <v>250010</v>
      </c>
      <c r="B1396">
        <v>0.65</v>
      </c>
      <c r="C1396">
        <v>6300</v>
      </c>
      <c r="D1396" s="9">
        <v>44050</v>
      </c>
      <c r="E1396" t="s">
        <v>295</v>
      </c>
      <c r="I1396" s="9"/>
    </row>
    <row r="1397" spans="1:9" x14ac:dyDescent="0.25">
      <c r="A1397">
        <v>250010</v>
      </c>
      <c r="B1397">
        <v>0.65</v>
      </c>
      <c r="C1397">
        <v>6300</v>
      </c>
      <c r="D1397" s="9">
        <v>43873</v>
      </c>
      <c r="E1397" t="s">
        <v>295</v>
      </c>
      <c r="I1397" s="9"/>
    </row>
    <row r="1398" spans="1:9" x14ac:dyDescent="0.25">
      <c r="A1398">
        <v>250010</v>
      </c>
      <c r="B1398">
        <v>0.65</v>
      </c>
      <c r="C1398">
        <v>12600</v>
      </c>
      <c r="D1398" s="9">
        <v>43656</v>
      </c>
      <c r="E1398" t="s">
        <v>295</v>
      </c>
      <c r="I1398" s="9"/>
    </row>
    <row r="1399" spans="1:9" x14ac:dyDescent="0.25">
      <c r="A1399">
        <v>250010</v>
      </c>
      <c r="B1399">
        <v>0.65</v>
      </c>
      <c r="C1399">
        <v>12600</v>
      </c>
      <c r="D1399" s="9">
        <v>43556</v>
      </c>
      <c r="E1399" t="s">
        <v>295</v>
      </c>
      <c r="I1399" s="9"/>
    </row>
    <row r="1400" spans="1:9" x14ac:dyDescent="0.25">
      <c r="A1400">
        <v>250010</v>
      </c>
      <c r="B1400">
        <v>0.65</v>
      </c>
      <c r="C1400">
        <v>12600</v>
      </c>
      <c r="D1400" s="9">
        <v>43530</v>
      </c>
      <c r="E1400" t="s">
        <v>295</v>
      </c>
      <c r="I1400" s="9"/>
    </row>
    <row r="1401" spans="1:9" x14ac:dyDescent="0.25">
      <c r="A1401">
        <v>250010</v>
      </c>
      <c r="B1401">
        <v>0.65</v>
      </c>
      <c r="C1401">
        <v>6300</v>
      </c>
      <c r="D1401" s="9">
        <v>43494</v>
      </c>
      <c r="E1401" t="s">
        <v>295</v>
      </c>
      <c r="I1401" s="9"/>
    </row>
    <row r="1402" spans="1:9" x14ac:dyDescent="0.25">
      <c r="A1402">
        <v>250010</v>
      </c>
      <c r="B1402">
        <v>0.65</v>
      </c>
      <c r="C1402">
        <v>12600</v>
      </c>
      <c r="D1402" s="9">
        <v>43404</v>
      </c>
      <c r="E1402" t="s">
        <v>295</v>
      </c>
      <c r="I1402" s="9"/>
    </row>
    <row r="1403" spans="1:9" x14ac:dyDescent="0.25">
      <c r="A1403">
        <v>250010</v>
      </c>
      <c r="B1403">
        <v>0.65</v>
      </c>
      <c r="C1403">
        <v>12600</v>
      </c>
      <c r="D1403" s="9">
        <v>43294</v>
      </c>
      <c r="E1403" t="s">
        <v>295</v>
      </c>
      <c r="I1403" s="9"/>
    </row>
    <row r="1404" spans="1:9" x14ac:dyDescent="0.25">
      <c r="A1404">
        <v>250010</v>
      </c>
      <c r="B1404">
        <v>0.65</v>
      </c>
      <c r="C1404">
        <v>6300</v>
      </c>
      <c r="D1404" s="9">
        <v>43284</v>
      </c>
      <c r="E1404" t="s">
        <v>295</v>
      </c>
      <c r="I1404" s="9"/>
    </row>
    <row r="1405" spans="1:9" x14ac:dyDescent="0.25">
      <c r="A1405">
        <v>250010</v>
      </c>
      <c r="B1405">
        <v>0.65</v>
      </c>
      <c r="C1405">
        <v>12600</v>
      </c>
      <c r="D1405" s="9">
        <v>43228</v>
      </c>
      <c r="E1405" t="s">
        <v>295</v>
      </c>
      <c r="I1405" s="9"/>
    </row>
    <row r="1406" spans="1:9" x14ac:dyDescent="0.25">
      <c r="A1406">
        <v>250010</v>
      </c>
      <c r="B1406">
        <v>0.65</v>
      </c>
      <c r="C1406">
        <v>6300</v>
      </c>
      <c r="D1406" s="9">
        <v>43199</v>
      </c>
      <c r="E1406" t="s">
        <v>295</v>
      </c>
      <c r="I1406" s="9"/>
    </row>
    <row r="1407" spans="1:9" x14ac:dyDescent="0.25">
      <c r="A1407">
        <v>250010</v>
      </c>
      <c r="B1407">
        <v>0.65</v>
      </c>
      <c r="C1407">
        <v>6300</v>
      </c>
      <c r="D1407" s="9">
        <v>43193</v>
      </c>
      <c r="E1407" t="s">
        <v>295</v>
      </c>
      <c r="I1407" s="9"/>
    </row>
    <row r="1408" spans="1:9" x14ac:dyDescent="0.25">
      <c r="A1408">
        <v>250010</v>
      </c>
      <c r="B1408">
        <v>0.65</v>
      </c>
      <c r="C1408">
        <v>6300</v>
      </c>
      <c r="D1408" s="9">
        <v>43161</v>
      </c>
      <c r="E1408" t="s">
        <v>295</v>
      </c>
      <c r="I1408" s="9"/>
    </row>
    <row r="1409" spans="1:9" x14ac:dyDescent="0.25">
      <c r="A1409">
        <v>250010</v>
      </c>
      <c r="B1409">
        <v>0.65</v>
      </c>
      <c r="C1409">
        <v>6300</v>
      </c>
      <c r="D1409" s="9">
        <v>43108</v>
      </c>
      <c r="E1409" t="s">
        <v>295</v>
      </c>
      <c r="I1409" s="9"/>
    </row>
    <row r="1410" spans="1:9" x14ac:dyDescent="0.25">
      <c r="A1410">
        <v>250010</v>
      </c>
      <c r="B1410">
        <v>0.65</v>
      </c>
      <c r="C1410">
        <v>6300</v>
      </c>
      <c r="D1410" s="9">
        <v>43067</v>
      </c>
      <c r="E1410" t="s">
        <v>295</v>
      </c>
      <c r="I1410" s="9"/>
    </row>
    <row r="1411" spans="1:9" x14ac:dyDescent="0.25">
      <c r="A1411">
        <v>250010</v>
      </c>
      <c r="B1411">
        <v>0.65</v>
      </c>
      <c r="C1411">
        <v>6300</v>
      </c>
      <c r="D1411" s="9">
        <v>42979</v>
      </c>
      <c r="E1411" t="s">
        <v>295</v>
      </c>
      <c r="I1411" s="9"/>
    </row>
    <row r="1412" spans="1:9" x14ac:dyDescent="0.25">
      <c r="A1412">
        <v>250010</v>
      </c>
      <c r="B1412">
        <v>0.65</v>
      </c>
      <c r="C1412">
        <v>6300</v>
      </c>
      <c r="D1412" s="9">
        <v>42921</v>
      </c>
      <c r="E1412" t="s">
        <v>295</v>
      </c>
      <c r="I1412" s="9"/>
    </row>
    <row r="1413" spans="1:9" x14ac:dyDescent="0.25">
      <c r="A1413">
        <v>250010</v>
      </c>
      <c r="B1413">
        <v>0.65</v>
      </c>
      <c r="C1413">
        <v>6300</v>
      </c>
      <c r="D1413" s="9">
        <v>42877</v>
      </c>
      <c r="E1413" t="s">
        <v>295</v>
      </c>
      <c r="I1413" s="9"/>
    </row>
    <row r="1414" spans="1:9" x14ac:dyDescent="0.25">
      <c r="A1414">
        <v>250010</v>
      </c>
      <c r="B1414">
        <v>0.65</v>
      </c>
      <c r="C1414">
        <v>12600</v>
      </c>
      <c r="D1414" s="9">
        <v>42818</v>
      </c>
      <c r="E1414" t="s">
        <v>295</v>
      </c>
      <c r="I1414" s="9"/>
    </row>
    <row r="1415" spans="1:9" x14ac:dyDescent="0.25">
      <c r="A1415">
        <v>250010</v>
      </c>
      <c r="B1415">
        <v>0.65</v>
      </c>
      <c r="C1415">
        <v>6300</v>
      </c>
      <c r="D1415" s="9">
        <v>42664</v>
      </c>
      <c r="E1415" t="s">
        <v>295</v>
      </c>
      <c r="I1415" s="9"/>
    </row>
    <row r="1416" spans="1:9" x14ac:dyDescent="0.25">
      <c r="A1416">
        <v>250010</v>
      </c>
      <c r="B1416">
        <v>0.65</v>
      </c>
      <c r="C1416">
        <v>6300</v>
      </c>
      <c r="D1416" s="9">
        <v>42647</v>
      </c>
      <c r="E1416" t="s">
        <v>295</v>
      </c>
      <c r="I1416" s="9"/>
    </row>
    <row r="1417" spans="1:9" x14ac:dyDescent="0.25">
      <c r="A1417">
        <v>250010</v>
      </c>
      <c r="B1417">
        <v>0.65</v>
      </c>
      <c r="C1417">
        <v>6300</v>
      </c>
      <c r="D1417" s="9">
        <v>42615</v>
      </c>
      <c r="E1417" t="s">
        <v>295</v>
      </c>
      <c r="I1417" s="9"/>
    </row>
    <row r="1418" spans="1:9" x14ac:dyDescent="0.25">
      <c r="A1418">
        <v>250010</v>
      </c>
      <c r="B1418">
        <v>0.65</v>
      </c>
      <c r="C1418">
        <v>12600</v>
      </c>
      <c r="D1418" s="9">
        <v>42570</v>
      </c>
      <c r="E1418" t="s">
        <v>295</v>
      </c>
      <c r="I1418" s="9"/>
    </row>
    <row r="1419" spans="1:9" x14ac:dyDescent="0.25">
      <c r="A1419">
        <v>250010</v>
      </c>
      <c r="B1419">
        <v>0.65</v>
      </c>
      <c r="C1419">
        <v>6300</v>
      </c>
      <c r="D1419" s="9">
        <v>42513</v>
      </c>
      <c r="E1419" t="s">
        <v>295</v>
      </c>
      <c r="I1419" s="9"/>
    </row>
    <row r="1420" spans="1:9" x14ac:dyDescent="0.25">
      <c r="A1420">
        <v>250010</v>
      </c>
      <c r="B1420">
        <v>0.65</v>
      </c>
      <c r="C1420">
        <v>6300</v>
      </c>
      <c r="D1420" s="9">
        <v>42451</v>
      </c>
      <c r="E1420" t="s">
        <v>295</v>
      </c>
      <c r="I1420" s="9"/>
    </row>
    <row r="1421" spans="1:9" x14ac:dyDescent="0.25">
      <c r="A1421">
        <v>250010</v>
      </c>
      <c r="B1421">
        <v>0.65</v>
      </c>
      <c r="C1421">
        <v>6300</v>
      </c>
      <c r="D1421" s="9">
        <v>42411</v>
      </c>
      <c r="E1421" t="s">
        <v>295</v>
      </c>
      <c r="I1421" s="9"/>
    </row>
    <row r="1422" spans="1:9" x14ac:dyDescent="0.25">
      <c r="A1422">
        <v>250010</v>
      </c>
      <c r="B1422">
        <v>0.65</v>
      </c>
      <c r="C1422">
        <v>6300</v>
      </c>
      <c r="D1422" s="9">
        <v>42331</v>
      </c>
      <c r="E1422" t="s">
        <v>295</v>
      </c>
      <c r="I1422" s="9"/>
    </row>
    <row r="1423" spans="1:9" x14ac:dyDescent="0.25">
      <c r="A1423">
        <v>250010</v>
      </c>
      <c r="B1423">
        <v>0.65</v>
      </c>
      <c r="C1423">
        <v>6300</v>
      </c>
      <c r="D1423" s="9">
        <v>42258</v>
      </c>
      <c r="E1423" t="s">
        <v>295</v>
      </c>
      <c r="I1423" s="9"/>
    </row>
    <row r="1424" spans="1:9" x14ac:dyDescent="0.25">
      <c r="A1424">
        <v>250010</v>
      </c>
      <c r="B1424">
        <v>0.65</v>
      </c>
      <c r="C1424">
        <v>6300</v>
      </c>
      <c r="D1424" s="9">
        <v>42212</v>
      </c>
      <c r="E1424" t="s">
        <v>295</v>
      </c>
      <c r="I1424" s="9"/>
    </row>
    <row r="1425" spans="1:9" x14ac:dyDescent="0.25">
      <c r="A1425">
        <v>250010</v>
      </c>
      <c r="B1425">
        <v>0.65</v>
      </c>
      <c r="C1425">
        <v>6300</v>
      </c>
      <c r="D1425" s="9">
        <v>42163</v>
      </c>
      <c r="E1425" t="s">
        <v>295</v>
      </c>
      <c r="I1425" s="9"/>
    </row>
    <row r="1426" spans="1:9" x14ac:dyDescent="0.25">
      <c r="A1426">
        <v>250010</v>
      </c>
      <c r="B1426">
        <v>0.65</v>
      </c>
      <c r="C1426">
        <v>6300</v>
      </c>
      <c r="D1426" s="9">
        <v>42118</v>
      </c>
      <c r="E1426" t="s">
        <v>295</v>
      </c>
      <c r="I1426" s="9"/>
    </row>
    <row r="1427" spans="1:9" x14ac:dyDescent="0.25">
      <c r="A1427">
        <v>250010</v>
      </c>
      <c r="B1427">
        <v>0.65</v>
      </c>
      <c r="C1427">
        <v>6300</v>
      </c>
      <c r="D1427" s="9">
        <v>42094</v>
      </c>
      <c r="E1427" t="s">
        <v>295</v>
      </c>
      <c r="I1427" s="9"/>
    </row>
    <row r="1428" spans="1:9" x14ac:dyDescent="0.25">
      <c r="A1428">
        <v>250010</v>
      </c>
      <c r="B1428">
        <v>0.65</v>
      </c>
      <c r="C1428">
        <v>6300</v>
      </c>
      <c r="D1428" s="9">
        <v>42019</v>
      </c>
      <c r="E1428" t="s">
        <v>295</v>
      </c>
      <c r="I1428" s="9"/>
    </row>
    <row r="1429" spans="1:9" x14ac:dyDescent="0.25">
      <c r="A1429">
        <v>250010</v>
      </c>
      <c r="B1429">
        <v>0.65</v>
      </c>
      <c r="C1429">
        <v>6300</v>
      </c>
      <c r="D1429" s="9">
        <v>41948</v>
      </c>
      <c r="E1429" t="s">
        <v>295</v>
      </c>
      <c r="I1429" s="9"/>
    </row>
    <row r="1430" spans="1:9" x14ac:dyDescent="0.25">
      <c r="A1430">
        <v>250010</v>
      </c>
      <c r="B1430">
        <v>0.65</v>
      </c>
      <c r="C1430">
        <v>6300</v>
      </c>
      <c r="D1430" s="9">
        <v>41911</v>
      </c>
      <c r="E1430" t="s">
        <v>295</v>
      </c>
      <c r="I1430" s="9"/>
    </row>
    <row r="1431" spans="1:9" x14ac:dyDescent="0.25">
      <c r="A1431">
        <v>250010</v>
      </c>
      <c r="B1431">
        <v>0.65</v>
      </c>
      <c r="C1431">
        <v>6300</v>
      </c>
      <c r="D1431" s="9">
        <v>41858</v>
      </c>
      <c r="E1431" t="s">
        <v>295</v>
      </c>
      <c r="I1431" s="9"/>
    </row>
    <row r="1432" spans="1:9" x14ac:dyDescent="0.25">
      <c r="A1432">
        <v>250010</v>
      </c>
      <c r="B1432">
        <v>0.65</v>
      </c>
      <c r="C1432">
        <v>6300</v>
      </c>
      <c r="D1432" s="9">
        <v>41827</v>
      </c>
      <c r="E1432" t="s">
        <v>295</v>
      </c>
      <c r="I1432" s="9"/>
    </row>
    <row r="1433" spans="1:9" x14ac:dyDescent="0.25">
      <c r="A1433">
        <v>250010</v>
      </c>
      <c r="B1433">
        <v>0.65</v>
      </c>
      <c r="C1433">
        <v>6300</v>
      </c>
      <c r="D1433" s="9">
        <v>41753</v>
      </c>
      <c r="E1433" t="s">
        <v>295</v>
      </c>
      <c r="I1433" s="9"/>
    </row>
    <row r="1434" spans="1:9" x14ac:dyDescent="0.25">
      <c r="A1434">
        <v>250010</v>
      </c>
      <c r="B1434">
        <v>0.65</v>
      </c>
      <c r="C1434">
        <v>6300</v>
      </c>
      <c r="D1434" s="9">
        <v>41696</v>
      </c>
      <c r="E1434" t="s">
        <v>295</v>
      </c>
      <c r="I1434" s="9"/>
    </row>
    <row r="1435" spans="1:9" x14ac:dyDescent="0.25">
      <c r="A1435">
        <v>250010</v>
      </c>
      <c r="B1435">
        <v>0.65</v>
      </c>
      <c r="C1435">
        <v>6300</v>
      </c>
      <c r="D1435" s="9">
        <v>41605</v>
      </c>
      <c r="E1435" t="s">
        <v>295</v>
      </c>
      <c r="I1435" s="9"/>
    </row>
    <row r="1436" spans="1:9" x14ac:dyDescent="0.25">
      <c r="A1436">
        <v>250010</v>
      </c>
      <c r="B1436">
        <v>0.65</v>
      </c>
      <c r="C1436">
        <v>6300</v>
      </c>
      <c r="D1436" s="9">
        <v>41543</v>
      </c>
      <c r="E1436" t="s">
        <v>295</v>
      </c>
      <c r="I1436" s="9"/>
    </row>
    <row r="1437" spans="1:9" x14ac:dyDescent="0.25">
      <c r="A1437">
        <v>250051</v>
      </c>
      <c r="B1437">
        <v>3</v>
      </c>
      <c r="C1437">
        <v>48</v>
      </c>
      <c r="D1437" s="9">
        <v>42432</v>
      </c>
      <c r="E1437" t="s">
        <v>295</v>
      </c>
      <c r="I1437" s="9"/>
    </row>
    <row r="1438" spans="1:9" x14ac:dyDescent="0.25">
      <c r="A1438">
        <v>250051</v>
      </c>
      <c r="B1438">
        <v>0</v>
      </c>
      <c r="C1438">
        <v>40</v>
      </c>
      <c r="D1438" s="9">
        <v>42411</v>
      </c>
      <c r="E1438" t="s">
        <v>295</v>
      </c>
      <c r="I1438" s="9"/>
    </row>
    <row r="1439" spans="1:9" x14ac:dyDescent="0.25">
      <c r="A1439">
        <v>250053</v>
      </c>
      <c r="B1439">
        <v>6</v>
      </c>
      <c r="C1439">
        <v>48</v>
      </c>
      <c r="D1439" s="9">
        <v>42432</v>
      </c>
      <c r="E1439" t="s">
        <v>295</v>
      </c>
      <c r="I1439" s="9"/>
    </row>
    <row r="1440" spans="1:9" x14ac:dyDescent="0.25">
      <c r="A1440">
        <v>250053</v>
      </c>
      <c r="B1440">
        <v>0</v>
      </c>
      <c r="C1440">
        <v>40</v>
      </c>
      <c r="D1440" s="9">
        <v>42411</v>
      </c>
      <c r="E1440" t="s">
        <v>295</v>
      </c>
      <c r="I1440" s="9"/>
    </row>
    <row r="1441" spans="1:9" x14ac:dyDescent="0.25">
      <c r="A1441">
        <v>250055</v>
      </c>
      <c r="B1441">
        <v>12</v>
      </c>
      <c r="C1441">
        <v>60</v>
      </c>
      <c r="D1441" s="9">
        <v>42619</v>
      </c>
      <c r="E1441" t="s">
        <v>295</v>
      </c>
      <c r="I1441" s="9"/>
    </row>
    <row r="1442" spans="1:9" x14ac:dyDescent="0.25">
      <c r="A1442">
        <v>250055</v>
      </c>
      <c r="B1442">
        <v>12</v>
      </c>
      <c r="C1442">
        <v>36</v>
      </c>
      <c r="D1442" s="9">
        <v>42411</v>
      </c>
      <c r="E1442" t="s">
        <v>295</v>
      </c>
      <c r="I1442" s="9"/>
    </row>
    <row r="1443" spans="1:9" x14ac:dyDescent="0.25">
      <c r="A1443">
        <v>250057</v>
      </c>
      <c r="B1443">
        <v>24.38</v>
      </c>
      <c r="C1443">
        <v>30</v>
      </c>
      <c r="D1443" s="9">
        <v>43761</v>
      </c>
      <c r="E1443" t="s">
        <v>295</v>
      </c>
      <c r="I1443" s="9"/>
    </row>
    <row r="1444" spans="1:9" x14ac:dyDescent="0.25">
      <c r="A1444">
        <v>250058</v>
      </c>
      <c r="B1444">
        <v>37.5</v>
      </c>
      <c r="C1444">
        <v>24</v>
      </c>
      <c r="D1444" s="9">
        <v>42411</v>
      </c>
      <c r="E1444" t="s">
        <v>295</v>
      </c>
      <c r="I1444" s="9"/>
    </row>
    <row r="1445" spans="1:9" x14ac:dyDescent="0.25">
      <c r="A1445">
        <v>250101</v>
      </c>
      <c r="B1445">
        <v>16</v>
      </c>
      <c r="C1445">
        <v>50</v>
      </c>
      <c r="D1445" s="9">
        <v>42024</v>
      </c>
      <c r="E1445" t="s">
        <v>295</v>
      </c>
      <c r="I1445" s="9"/>
    </row>
    <row r="1446" spans="1:9" x14ac:dyDescent="0.25">
      <c r="A1446">
        <v>250104</v>
      </c>
      <c r="B1446">
        <v>0</v>
      </c>
      <c r="C1446">
        <v>30</v>
      </c>
      <c r="D1446" s="9">
        <v>42600</v>
      </c>
      <c r="E1446" t="s">
        <v>295</v>
      </c>
      <c r="I1446" s="9"/>
    </row>
    <row r="1447" spans="1:9" x14ac:dyDescent="0.25">
      <c r="A1447">
        <v>250106</v>
      </c>
      <c r="B1447">
        <v>4.5</v>
      </c>
      <c r="C1447">
        <v>50</v>
      </c>
      <c r="D1447" s="9">
        <v>42024</v>
      </c>
      <c r="E1447" t="s">
        <v>295</v>
      </c>
      <c r="I1447" s="9"/>
    </row>
    <row r="1448" spans="1:9" x14ac:dyDescent="0.25">
      <c r="A1448">
        <v>250230</v>
      </c>
      <c r="B1448">
        <v>3.3</v>
      </c>
      <c r="C1448">
        <v>150</v>
      </c>
      <c r="D1448" s="9">
        <v>44133</v>
      </c>
      <c r="E1448" t="s">
        <v>295</v>
      </c>
      <c r="I1448" s="9"/>
    </row>
    <row r="1449" spans="1:9" x14ac:dyDescent="0.25">
      <c r="A1449">
        <v>250230</v>
      </c>
      <c r="B1449">
        <v>0.64</v>
      </c>
      <c r="C1449">
        <v>5000</v>
      </c>
      <c r="D1449" s="9">
        <v>44133</v>
      </c>
      <c r="E1449" t="s">
        <v>296</v>
      </c>
      <c r="I1449" s="9"/>
    </row>
    <row r="1450" spans="1:9" x14ac:dyDescent="0.25">
      <c r="A1450">
        <v>250230</v>
      </c>
      <c r="B1450">
        <v>0.53</v>
      </c>
      <c r="C1450">
        <v>3000</v>
      </c>
      <c r="D1450" s="9">
        <v>43966</v>
      </c>
      <c r="E1450" t="s">
        <v>296</v>
      </c>
      <c r="I1450" s="9"/>
    </row>
    <row r="1451" spans="1:9" x14ac:dyDescent="0.25">
      <c r="A1451">
        <v>250230</v>
      </c>
      <c r="B1451">
        <v>2.94</v>
      </c>
      <c r="C1451">
        <v>800</v>
      </c>
      <c r="D1451" s="9">
        <v>43671</v>
      </c>
      <c r="E1451" t="s">
        <v>295</v>
      </c>
      <c r="I1451" s="9"/>
    </row>
    <row r="1452" spans="1:9" x14ac:dyDescent="0.25">
      <c r="A1452">
        <v>250230</v>
      </c>
      <c r="B1452">
        <v>0.62</v>
      </c>
      <c r="C1452">
        <v>4000</v>
      </c>
      <c r="D1452" s="9">
        <v>43634</v>
      </c>
      <c r="E1452" t="s">
        <v>296</v>
      </c>
      <c r="I1452" s="9"/>
    </row>
    <row r="1453" spans="1:9" x14ac:dyDescent="0.25">
      <c r="A1453">
        <v>250230</v>
      </c>
      <c r="B1453">
        <v>2.94</v>
      </c>
      <c r="C1453">
        <v>400</v>
      </c>
      <c r="D1453" s="9">
        <v>43620</v>
      </c>
      <c r="E1453" t="s">
        <v>295</v>
      </c>
      <c r="I1453" s="9"/>
    </row>
    <row r="1454" spans="1:9" x14ac:dyDescent="0.25">
      <c r="A1454">
        <v>250230</v>
      </c>
      <c r="B1454">
        <v>0.6</v>
      </c>
      <c r="C1454">
        <v>1000</v>
      </c>
      <c r="D1454" s="9">
        <v>43483</v>
      </c>
      <c r="E1454" t="s">
        <v>296</v>
      </c>
      <c r="I1454" s="9"/>
    </row>
    <row r="1455" spans="1:9" x14ac:dyDescent="0.25">
      <c r="A1455">
        <v>250230</v>
      </c>
      <c r="B1455">
        <v>2.82</v>
      </c>
      <c r="C1455">
        <v>200</v>
      </c>
      <c r="D1455" s="9">
        <v>43431</v>
      </c>
      <c r="E1455" t="s">
        <v>295</v>
      </c>
      <c r="I1455" s="9"/>
    </row>
    <row r="1456" spans="1:9" x14ac:dyDescent="0.25">
      <c r="A1456">
        <v>250230</v>
      </c>
      <c r="B1456">
        <v>3.11</v>
      </c>
      <c r="C1456">
        <v>400</v>
      </c>
      <c r="D1456" s="9">
        <v>43377</v>
      </c>
      <c r="E1456" t="s">
        <v>295</v>
      </c>
      <c r="I1456" s="9"/>
    </row>
    <row r="1457" spans="1:9" x14ac:dyDescent="0.25">
      <c r="A1457">
        <v>250230</v>
      </c>
      <c r="B1457">
        <v>2.76</v>
      </c>
      <c r="C1457">
        <v>200</v>
      </c>
      <c r="D1457" s="9">
        <v>43319</v>
      </c>
      <c r="E1457" t="s">
        <v>295</v>
      </c>
      <c r="I1457" s="9"/>
    </row>
    <row r="1458" spans="1:9" x14ac:dyDescent="0.25">
      <c r="A1458">
        <v>250230</v>
      </c>
      <c r="B1458">
        <v>2.76</v>
      </c>
      <c r="C1458">
        <v>200</v>
      </c>
      <c r="D1458" s="9">
        <v>43230</v>
      </c>
      <c r="E1458" t="s">
        <v>295</v>
      </c>
      <c r="I1458" s="9"/>
    </row>
    <row r="1459" spans="1:9" x14ac:dyDescent="0.25">
      <c r="A1459">
        <v>250230</v>
      </c>
      <c r="B1459">
        <v>3.23</v>
      </c>
      <c r="C1459">
        <v>300</v>
      </c>
      <c r="D1459" s="9">
        <v>43103</v>
      </c>
      <c r="E1459" t="s">
        <v>295</v>
      </c>
      <c r="I1459" s="9"/>
    </row>
    <row r="1460" spans="1:9" x14ac:dyDescent="0.25">
      <c r="A1460">
        <v>250230</v>
      </c>
      <c r="B1460">
        <v>2.94</v>
      </c>
      <c r="C1460">
        <v>800</v>
      </c>
      <c r="D1460" s="9">
        <v>43049</v>
      </c>
      <c r="E1460" t="s">
        <v>295</v>
      </c>
      <c r="I1460" s="9"/>
    </row>
    <row r="1461" spans="1:9" x14ac:dyDescent="0.25">
      <c r="A1461">
        <v>250230</v>
      </c>
      <c r="B1461">
        <v>3.23</v>
      </c>
      <c r="C1461">
        <v>600</v>
      </c>
      <c r="D1461" s="9">
        <v>43028</v>
      </c>
      <c r="E1461" t="s">
        <v>295</v>
      </c>
      <c r="I1461" s="9"/>
    </row>
    <row r="1462" spans="1:9" x14ac:dyDescent="0.25">
      <c r="A1462">
        <v>250230</v>
      </c>
      <c r="B1462">
        <v>2.94</v>
      </c>
      <c r="C1462">
        <v>200</v>
      </c>
      <c r="D1462" s="9">
        <v>43006</v>
      </c>
      <c r="E1462" t="s">
        <v>295</v>
      </c>
      <c r="I1462" s="9"/>
    </row>
    <row r="1463" spans="1:9" x14ac:dyDescent="0.25">
      <c r="A1463">
        <v>250230</v>
      </c>
      <c r="B1463">
        <v>2.94</v>
      </c>
      <c r="C1463">
        <v>600</v>
      </c>
      <c r="D1463" s="9">
        <v>42986</v>
      </c>
      <c r="E1463" t="s">
        <v>295</v>
      </c>
      <c r="I1463" s="9"/>
    </row>
    <row r="1464" spans="1:9" x14ac:dyDescent="0.25">
      <c r="A1464">
        <v>250230</v>
      </c>
      <c r="B1464">
        <v>2.94</v>
      </c>
      <c r="C1464">
        <v>600</v>
      </c>
      <c r="D1464" s="9">
        <v>42985</v>
      </c>
      <c r="E1464" t="s">
        <v>295</v>
      </c>
      <c r="I1464" s="9"/>
    </row>
    <row r="1465" spans="1:9" x14ac:dyDescent="0.25">
      <c r="A1465">
        <v>250230</v>
      </c>
      <c r="B1465">
        <v>2.94</v>
      </c>
      <c r="C1465">
        <v>520</v>
      </c>
      <c r="D1465" s="9">
        <v>42935</v>
      </c>
      <c r="E1465" t="s">
        <v>295</v>
      </c>
      <c r="I1465" s="9"/>
    </row>
    <row r="1466" spans="1:9" x14ac:dyDescent="0.25">
      <c r="A1466">
        <v>250230</v>
      </c>
      <c r="B1466">
        <v>3</v>
      </c>
      <c r="C1466">
        <v>200</v>
      </c>
      <c r="D1466" s="9">
        <v>42829</v>
      </c>
      <c r="E1466" t="s">
        <v>295</v>
      </c>
      <c r="I1466" s="9"/>
    </row>
    <row r="1467" spans="1:9" x14ac:dyDescent="0.25">
      <c r="A1467">
        <v>250230</v>
      </c>
      <c r="B1467">
        <v>2.94</v>
      </c>
      <c r="C1467">
        <v>600</v>
      </c>
      <c r="D1467" s="9">
        <v>42635</v>
      </c>
      <c r="E1467" t="s">
        <v>295</v>
      </c>
      <c r="I1467" s="9"/>
    </row>
    <row r="1468" spans="1:9" x14ac:dyDescent="0.25">
      <c r="A1468">
        <v>250230</v>
      </c>
      <c r="B1468">
        <v>2.94</v>
      </c>
      <c r="C1468">
        <v>120</v>
      </c>
      <c r="D1468" s="9">
        <v>42626</v>
      </c>
      <c r="E1468" t="s">
        <v>295</v>
      </c>
      <c r="I1468" s="9"/>
    </row>
    <row r="1469" spans="1:9" x14ac:dyDescent="0.25">
      <c r="A1469">
        <v>250230</v>
      </c>
      <c r="B1469">
        <v>2.94</v>
      </c>
      <c r="C1469">
        <v>200</v>
      </c>
      <c r="D1469" s="9">
        <v>42621</v>
      </c>
      <c r="E1469" t="s">
        <v>295</v>
      </c>
      <c r="I1469" s="9"/>
    </row>
    <row r="1470" spans="1:9" x14ac:dyDescent="0.25">
      <c r="A1470">
        <v>250230</v>
      </c>
      <c r="B1470">
        <v>2.94</v>
      </c>
      <c r="C1470">
        <v>800</v>
      </c>
      <c r="D1470" s="9">
        <v>42605</v>
      </c>
      <c r="E1470" t="s">
        <v>295</v>
      </c>
      <c r="I1470" s="9"/>
    </row>
    <row r="1471" spans="1:9" x14ac:dyDescent="0.25">
      <c r="A1471">
        <v>250230</v>
      </c>
      <c r="B1471">
        <v>2.94</v>
      </c>
      <c r="C1471">
        <v>320</v>
      </c>
      <c r="D1471" s="9">
        <v>42527</v>
      </c>
      <c r="E1471" t="s">
        <v>295</v>
      </c>
      <c r="I1471" s="9"/>
    </row>
    <row r="1472" spans="1:9" x14ac:dyDescent="0.25">
      <c r="A1472">
        <v>250230</v>
      </c>
      <c r="B1472">
        <v>2.94</v>
      </c>
      <c r="C1472">
        <v>200</v>
      </c>
      <c r="D1472" s="9">
        <v>42515</v>
      </c>
      <c r="E1472" t="s">
        <v>295</v>
      </c>
      <c r="I1472" s="9"/>
    </row>
    <row r="1473" spans="1:9" x14ac:dyDescent="0.25">
      <c r="A1473">
        <v>250230</v>
      </c>
      <c r="B1473">
        <v>2.94</v>
      </c>
      <c r="C1473">
        <v>200</v>
      </c>
      <c r="D1473" s="9">
        <v>42515</v>
      </c>
      <c r="E1473" t="s">
        <v>295</v>
      </c>
      <c r="I1473" s="9"/>
    </row>
    <row r="1474" spans="1:9" x14ac:dyDescent="0.25">
      <c r="A1474">
        <v>250230</v>
      </c>
      <c r="B1474">
        <v>2.94</v>
      </c>
      <c r="C1474">
        <v>200</v>
      </c>
      <c r="D1474" s="9">
        <v>42510</v>
      </c>
      <c r="E1474" t="s">
        <v>295</v>
      </c>
      <c r="I1474" s="9"/>
    </row>
    <row r="1475" spans="1:9" x14ac:dyDescent="0.25">
      <c r="A1475">
        <v>250230</v>
      </c>
      <c r="B1475">
        <v>2.94</v>
      </c>
      <c r="C1475">
        <v>520</v>
      </c>
      <c r="D1475" s="9">
        <v>42339</v>
      </c>
      <c r="E1475" t="s">
        <v>295</v>
      </c>
      <c r="I1475" s="9"/>
    </row>
    <row r="1476" spans="1:9" x14ac:dyDescent="0.25">
      <c r="A1476">
        <v>250230</v>
      </c>
      <c r="B1476">
        <v>2.94</v>
      </c>
      <c r="C1476">
        <v>120</v>
      </c>
      <c r="D1476" s="9">
        <v>42268</v>
      </c>
      <c r="E1476" t="s">
        <v>295</v>
      </c>
      <c r="I1476" s="9"/>
    </row>
    <row r="1477" spans="1:9" x14ac:dyDescent="0.25">
      <c r="A1477">
        <v>250230</v>
      </c>
      <c r="B1477">
        <v>2.94</v>
      </c>
      <c r="C1477">
        <v>120</v>
      </c>
      <c r="D1477" s="9">
        <v>42262</v>
      </c>
      <c r="E1477" t="s">
        <v>295</v>
      </c>
      <c r="I1477" s="9"/>
    </row>
    <row r="1478" spans="1:9" x14ac:dyDescent="0.25">
      <c r="A1478">
        <v>250230</v>
      </c>
      <c r="B1478">
        <v>2.94</v>
      </c>
      <c r="C1478">
        <v>600</v>
      </c>
      <c r="D1478" s="9">
        <v>42243</v>
      </c>
      <c r="E1478" t="s">
        <v>295</v>
      </c>
      <c r="I1478" s="9"/>
    </row>
    <row r="1479" spans="1:9" x14ac:dyDescent="0.25">
      <c r="A1479">
        <v>250230</v>
      </c>
      <c r="B1479">
        <v>3.6</v>
      </c>
      <c r="C1479">
        <v>400</v>
      </c>
      <c r="D1479" s="9">
        <v>42229</v>
      </c>
      <c r="E1479" t="s">
        <v>295</v>
      </c>
      <c r="I1479" s="9"/>
    </row>
    <row r="1480" spans="1:9" x14ac:dyDescent="0.25">
      <c r="A1480">
        <v>250230</v>
      </c>
      <c r="B1480">
        <v>3.06</v>
      </c>
      <c r="C1480">
        <v>240</v>
      </c>
      <c r="D1480" s="9">
        <v>42229</v>
      </c>
      <c r="E1480" t="s">
        <v>295</v>
      </c>
      <c r="I1480" s="9"/>
    </row>
    <row r="1481" spans="1:9" x14ac:dyDescent="0.25">
      <c r="A1481">
        <v>250230</v>
      </c>
      <c r="B1481">
        <v>3.06</v>
      </c>
      <c r="C1481">
        <v>160</v>
      </c>
      <c r="D1481" s="9">
        <v>42173</v>
      </c>
      <c r="E1481" t="s">
        <v>295</v>
      </c>
      <c r="I1481" s="9"/>
    </row>
    <row r="1482" spans="1:9" x14ac:dyDescent="0.25">
      <c r="A1482">
        <v>250230</v>
      </c>
      <c r="B1482">
        <v>3.12</v>
      </c>
      <c r="C1482">
        <v>120</v>
      </c>
      <c r="D1482" s="9">
        <v>42170</v>
      </c>
      <c r="E1482" t="s">
        <v>295</v>
      </c>
      <c r="I1482" s="9"/>
    </row>
    <row r="1483" spans="1:9" x14ac:dyDescent="0.25">
      <c r="A1483">
        <v>250230</v>
      </c>
      <c r="B1483">
        <v>3.12</v>
      </c>
      <c r="C1483">
        <v>600</v>
      </c>
      <c r="D1483" s="9">
        <v>42040</v>
      </c>
      <c r="E1483" t="s">
        <v>295</v>
      </c>
      <c r="I1483" s="9"/>
    </row>
    <row r="1484" spans="1:9" x14ac:dyDescent="0.25">
      <c r="A1484">
        <v>250230</v>
      </c>
      <c r="B1484">
        <v>2.88</v>
      </c>
      <c r="C1484">
        <v>600</v>
      </c>
      <c r="D1484" s="9">
        <v>41960</v>
      </c>
      <c r="E1484" t="s">
        <v>295</v>
      </c>
      <c r="I1484" s="9"/>
    </row>
    <row r="1485" spans="1:9" x14ac:dyDescent="0.25">
      <c r="A1485">
        <v>250230</v>
      </c>
      <c r="B1485">
        <v>2.88</v>
      </c>
      <c r="C1485">
        <v>480</v>
      </c>
      <c r="D1485" s="9">
        <v>41884</v>
      </c>
      <c r="E1485" t="s">
        <v>295</v>
      </c>
      <c r="I1485" s="9"/>
    </row>
    <row r="1486" spans="1:9" x14ac:dyDescent="0.25">
      <c r="A1486">
        <v>250230</v>
      </c>
      <c r="B1486">
        <v>2.88</v>
      </c>
      <c r="C1486">
        <v>480</v>
      </c>
      <c r="D1486" s="9">
        <v>41879</v>
      </c>
      <c r="E1486" t="s">
        <v>295</v>
      </c>
      <c r="I1486" s="9"/>
    </row>
    <row r="1487" spans="1:9" x14ac:dyDescent="0.25">
      <c r="A1487">
        <v>250230</v>
      </c>
      <c r="B1487">
        <v>2.88</v>
      </c>
      <c r="C1487">
        <v>300</v>
      </c>
      <c r="D1487" s="9">
        <v>41864</v>
      </c>
      <c r="E1487" t="s">
        <v>295</v>
      </c>
      <c r="I1487" s="9"/>
    </row>
    <row r="1488" spans="1:9" x14ac:dyDescent="0.25">
      <c r="A1488">
        <v>250230</v>
      </c>
      <c r="B1488">
        <v>2.88</v>
      </c>
      <c r="C1488">
        <v>300</v>
      </c>
      <c r="D1488" s="9">
        <v>41858</v>
      </c>
      <c r="E1488" t="s">
        <v>295</v>
      </c>
      <c r="I1488" s="9"/>
    </row>
    <row r="1489" spans="1:9" x14ac:dyDescent="0.25">
      <c r="A1489">
        <v>250230</v>
      </c>
      <c r="B1489">
        <v>2.88</v>
      </c>
      <c r="C1489">
        <v>600</v>
      </c>
      <c r="D1489" s="9">
        <v>41725</v>
      </c>
      <c r="E1489" t="s">
        <v>295</v>
      </c>
      <c r="I1489" s="9"/>
    </row>
    <row r="1490" spans="1:9" x14ac:dyDescent="0.25">
      <c r="A1490">
        <v>250230</v>
      </c>
      <c r="B1490">
        <v>2.88</v>
      </c>
      <c r="C1490">
        <v>500</v>
      </c>
      <c r="D1490" s="9">
        <v>41596</v>
      </c>
      <c r="E1490" t="s">
        <v>295</v>
      </c>
      <c r="I1490" s="9"/>
    </row>
    <row r="1491" spans="1:9" x14ac:dyDescent="0.25">
      <c r="A1491">
        <v>250230</v>
      </c>
      <c r="B1491">
        <v>2.88</v>
      </c>
      <c r="C1491">
        <v>500</v>
      </c>
      <c r="D1491" s="9">
        <v>41565</v>
      </c>
      <c r="E1491" t="s">
        <v>295</v>
      </c>
      <c r="I1491" s="9"/>
    </row>
    <row r="1492" spans="1:9" x14ac:dyDescent="0.25">
      <c r="A1492">
        <v>250340</v>
      </c>
      <c r="B1492">
        <v>1.29</v>
      </c>
      <c r="C1492">
        <v>7500</v>
      </c>
      <c r="D1492" s="9">
        <v>44133</v>
      </c>
      <c r="E1492" t="s">
        <v>296</v>
      </c>
      <c r="I1492" s="9"/>
    </row>
    <row r="1493" spans="1:9" x14ac:dyDescent="0.25">
      <c r="A1493">
        <v>250340</v>
      </c>
      <c r="B1493">
        <v>6.23</v>
      </c>
      <c r="C1493">
        <v>1100</v>
      </c>
      <c r="D1493" s="9">
        <v>44076</v>
      </c>
      <c r="E1493" t="s">
        <v>295</v>
      </c>
      <c r="I1493" s="9"/>
    </row>
    <row r="1494" spans="1:9" x14ac:dyDescent="0.25">
      <c r="A1494">
        <v>250340</v>
      </c>
      <c r="B1494">
        <v>1.07</v>
      </c>
      <c r="C1494">
        <v>5000</v>
      </c>
      <c r="D1494" s="9">
        <v>43966</v>
      </c>
      <c r="E1494" t="s">
        <v>296</v>
      </c>
      <c r="I1494" s="9"/>
    </row>
    <row r="1495" spans="1:9" x14ac:dyDescent="0.25">
      <c r="A1495">
        <v>250340</v>
      </c>
      <c r="B1495">
        <v>5.64</v>
      </c>
      <c r="C1495">
        <v>2600</v>
      </c>
      <c r="D1495" s="9">
        <v>43783</v>
      </c>
      <c r="E1495" t="s">
        <v>295</v>
      </c>
      <c r="I1495" s="9"/>
    </row>
    <row r="1496" spans="1:9" x14ac:dyDescent="0.25">
      <c r="A1496">
        <v>250340</v>
      </c>
      <c r="B1496">
        <v>5.88</v>
      </c>
      <c r="C1496">
        <v>200</v>
      </c>
      <c r="D1496" s="9">
        <v>43671</v>
      </c>
      <c r="E1496" t="s">
        <v>295</v>
      </c>
      <c r="I1496" s="9"/>
    </row>
    <row r="1497" spans="1:9" x14ac:dyDescent="0.25">
      <c r="A1497">
        <v>250340</v>
      </c>
      <c r="B1497">
        <v>1.24</v>
      </c>
      <c r="C1497">
        <v>7000</v>
      </c>
      <c r="D1497" s="9">
        <v>43634</v>
      </c>
      <c r="E1497" t="s">
        <v>296</v>
      </c>
      <c r="I1497" s="9"/>
    </row>
    <row r="1498" spans="1:9" x14ac:dyDescent="0.25">
      <c r="A1498">
        <v>250340</v>
      </c>
      <c r="B1498">
        <v>5.88</v>
      </c>
      <c r="C1498">
        <v>200</v>
      </c>
      <c r="D1498" s="9">
        <v>43620</v>
      </c>
      <c r="E1498" t="s">
        <v>295</v>
      </c>
      <c r="I1498" s="9"/>
    </row>
    <row r="1499" spans="1:9" x14ac:dyDescent="0.25">
      <c r="A1499">
        <v>250340</v>
      </c>
      <c r="B1499">
        <v>6.23</v>
      </c>
      <c r="C1499">
        <v>3500</v>
      </c>
      <c r="D1499" s="9">
        <v>43602</v>
      </c>
      <c r="E1499" t="s">
        <v>295</v>
      </c>
      <c r="I1499" s="9"/>
    </row>
    <row r="1500" spans="1:9" x14ac:dyDescent="0.25">
      <c r="A1500">
        <v>250340</v>
      </c>
      <c r="B1500">
        <v>5.88</v>
      </c>
      <c r="C1500">
        <v>700</v>
      </c>
      <c r="D1500" s="9">
        <v>43600</v>
      </c>
      <c r="E1500" t="s">
        <v>295</v>
      </c>
      <c r="I1500" s="9"/>
    </row>
    <row r="1501" spans="1:9" x14ac:dyDescent="0.25">
      <c r="A1501">
        <v>250340</v>
      </c>
      <c r="B1501">
        <v>6.23</v>
      </c>
      <c r="C1501">
        <v>2800</v>
      </c>
      <c r="D1501" s="9">
        <v>43508</v>
      </c>
      <c r="E1501" t="s">
        <v>295</v>
      </c>
      <c r="I1501" s="9"/>
    </row>
    <row r="1502" spans="1:9" x14ac:dyDescent="0.25">
      <c r="A1502">
        <v>250340</v>
      </c>
      <c r="B1502">
        <v>5.52</v>
      </c>
      <c r="C1502">
        <v>1800</v>
      </c>
      <c r="D1502" s="9">
        <v>43504</v>
      </c>
      <c r="E1502" t="s">
        <v>295</v>
      </c>
      <c r="I1502" s="9"/>
    </row>
    <row r="1503" spans="1:9" x14ac:dyDescent="0.25">
      <c r="A1503">
        <v>250340</v>
      </c>
      <c r="B1503">
        <v>5.64</v>
      </c>
      <c r="C1503">
        <v>800</v>
      </c>
      <c r="D1503" s="9">
        <v>43495</v>
      </c>
      <c r="E1503" t="s">
        <v>295</v>
      </c>
      <c r="I1503" s="9"/>
    </row>
    <row r="1504" spans="1:9" x14ac:dyDescent="0.25">
      <c r="A1504">
        <v>250340</v>
      </c>
      <c r="B1504">
        <v>1.2</v>
      </c>
      <c r="C1504">
        <v>1300</v>
      </c>
      <c r="D1504" s="9">
        <v>43483</v>
      </c>
      <c r="E1504" t="s">
        <v>296</v>
      </c>
      <c r="I1504" s="9"/>
    </row>
    <row r="1505" spans="1:9" x14ac:dyDescent="0.25">
      <c r="A1505">
        <v>250340</v>
      </c>
      <c r="B1505">
        <v>5.64</v>
      </c>
      <c r="C1505">
        <v>100</v>
      </c>
      <c r="D1505" s="9">
        <v>43431</v>
      </c>
      <c r="E1505" t="s">
        <v>295</v>
      </c>
      <c r="I1505" s="9"/>
    </row>
    <row r="1506" spans="1:9" x14ac:dyDescent="0.25">
      <c r="A1506">
        <v>250340</v>
      </c>
      <c r="B1506">
        <v>6.23</v>
      </c>
      <c r="C1506">
        <v>200</v>
      </c>
      <c r="D1506" s="9">
        <v>43377</v>
      </c>
      <c r="E1506" t="s">
        <v>295</v>
      </c>
      <c r="I1506" s="9"/>
    </row>
    <row r="1507" spans="1:9" x14ac:dyDescent="0.25">
      <c r="A1507">
        <v>250340</v>
      </c>
      <c r="B1507">
        <v>5.52</v>
      </c>
      <c r="C1507">
        <v>200</v>
      </c>
      <c r="D1507" s="9">
        <v>43319</v>
      </c>
      <c r="E1507" t="s">
        <v>295</v>
      </c>
      <c r="I1507" s="9"/>
    </row>
    <row r="1508" spans="1:9" x14ac:dyDescent="0.25">
      <c r="A1508">
        <v>250340</v>
      </c>
      <c r="B1508">
        <v>5.52</v>
      </c>
      <c r="C1508">
        <v>100</v>
      </c>
      <c r="D1508" s="9">
        <v>43230</v>
      </c>
      <c r="E1508" t="s">
        <v>295</v>
      </c>
      <c r="I1508" s="9"/>
    </row>
    <row r="1509" spans="1:9" x14ac:dyDescent="0.25">
      <c r="A1509">
        <v>250340</v>
      </c>
      <c r="B1509">
        <v>6.47</v>
      </c>
      <c r="C1509">
        <v>200</v>
      </c>
      <c r="D1509" s="9">
        <v>43166</v>
      </c>
      <c r="E1509" t="s">
        <v>295</v>
      </c>
      <c r="I1509" s="9"/>
    </row>
    <row r="1510" spans="1:9" x14ac:dyDescent="0.25">
      <c r="A1510">
        <v>250340</v>
      </c>
      <c r="B1510">
        <v>6.47</v>
      </c>
      <c r="C1510">
        <v>500</v>
      </c>
      <c r="D1510" s="9">
        <v>43103</v>
      </c>
      <c r="E1510" t="s">
        <v>295</v>
      </c>
      <c r="I1510" s="9"/>
    </row>
    <row r="1511" spans="1:9" x14ac:dyDescent="0.25">
      <c r="A1511">
        <v>250340</v>
      </c>
      <c r="B1511">
        <v>5.88</v>
      </c>
      <c r="C1511">
        <v>100</v>
      </c>
      <c r="D1511" s="9">
        <v>43049</v>
      </c>
      <c r="E1511" t="s">
        <v>295</v>
      </c>
      <c r="I1511" s="9"/>
    </row>
    <row r="1512" spans="1:9" x14ac:dyDescent="0.25">
      <c r="A1512">
        <v>250340</v>
      </c>
      <c r="B1512">
        <v>6.47</v>
      </c>
      <c r="C1512">
        <v>100</v>
      </c>
      <c r="D1512" s="9">
        <v>43028</v>
      </c>
      <c r="E1512" t="s">
        <v>295</v>
      </c>
      <c r="I1512" s="9"/>
    </row>
    <row r="1513" spans="1:9" x14ac:dyDescent="0.25">
      <c r="A1513">
        <v>250340</v>
      </c>
      <c r="B1513">
        <v>5.88</v>
      </c>
      <c r="C1513">
        <v>100</v>
      </c>
      <c r="D1513" s="9">
        <v>43006</v>
      </c>
      <c r="E1513" t="s">
        <v>295</v>
      </c>
      <c r="I1513" s="9"/>
    </row>
    <row r="1514" spans="1:9" x14ac:dyDescent="0.25">
      <c r="A1514">
        <v>250340</v>
      </c>
      <c r="B1514">
        <v>5.88</v>
      </c>
      <c r="C1514">
        <v>600</v>
      </c>
      <c r="D1514" s="9">
        <v>42935</v>
      </c>
      <c r="E1514" t="s">
        <v>295</v>
      </c>
      <c r="I1514" s="9"/>
    </row>
    <row r="1515" spans="1:9" x14ac:dyDescent="0.25">
      <c r="A1515">
        <v>250340</v>
      </c>
      <c r="B1515">
        <v>6.83</v>
      </c>
      <c r="C1515">
        <v>2500</v>
      </c>
      <c r="D1515" s="9">
        <v>42929</v>
      </c>
      <c r="E1515" t="s">
        <v>295</v>
      </c>
      <c r="I1515" s="9"/>
    </row>
    <row r="1516" spans="1:9" x14ac:dyDescent="0.25">
      <c r="A1516">
        <v>250340</v>
      </c>
      <c r="B1516">
        <v>5.88</v>
      </c>
      <c r="C1516">
        <v>2000</v>
      </c>
      <c r="D1516" s="9">
        <v>42929</v>
      </c>
      <c r="E1516" t="s">
        <v>295</v>
      </c>
      <c r="I1516" s="9"/>
    </row>
    <row r="1517" spans="1:9" x14ac:dyDescent="0.25">
      <c r="A1517">
        <v>250340</v>
      </c>
      <c r="B1517">
        <v>5.88</v>
      </c>
      <c r="C1517">
        <v>2000</v>
      </c>
      <c r="D1517" s="9">
        <v>42923</v>
      </c>
      <c r="E1517" t="s">
        <v>295</v>
      </c>
      <c r="I1517" s="9"/>
    </row>
    <row r="1518" spans="1:9" x14ac:dyDescent="0.25">
      <c r="A1518">
        <v>250340</v>
      </c>
      <c r="B1518">
        <v>6</v>
      </c>
      <c r="C1518">
        <v>350</v>
      </c>
      <c r="D1518" s="9">
        <v>42913</v>
      </c>
      <c r="E1518" t="s">
        <v>295</v>
      </c>
      <c r="I1518" s="9"/>
    </row>
    <row r="1519" spans="1:9" x14ac:dyDescent="0.25">
      <c r="A1519">
        <v>250340</v>
      </c>
      <c r="B1519">
        <v>6</v>
      </c>
      <c r="C1519">
        <v>100</v>
      </c>
      <c r="D1519" s="9">
        <v>42846</v>
      </c>
      <c r="E1519" t="s">
        <v>295</v>
      </c>
      <c r="I1519" s="9"/>
    </row>
    <row r="1520" spans="1:9" x14ac:dyDescent="0.25">
      <c r="A1520">
        <v>250340</v>
      </c>
      <c r="B1520">
        <v>6</v>
      </c>
      <c r="C1520">
        <v>100</v>
      </c>
      <c r="D1520" s="9">
        <v>42829</v>
      </c>
      <c r="E1520" t="s">
        <v>295</v>
      </c>
      <c r="I1520" s="9"/>
    </row>
    <row r="1521" spans="1:9" x14ac:dyDescent="0.25">
      <c r="A1521">
        <v>250340</v>
      </c>
      <c r="B1521">
        <v>6.83</v>
      </c>
      <c r="C1521">
        <v>350</v>
      </c>
      <c r="D1521" s="9">
        <v>42793</v>
      </c>
      <c r="E1521" t="s">
        <v>295</v>
      </c>
      <c r="I1521" s="9"/>
    </row>
    <row r="1522" spans="1:9" x14ac:dyDescent="0.25">
      <c r="A1522">
        <v>250340</v>
      </c>
      <c r="B1522">
        <v>5.88</v>
      </c>
      <c r="C1522">
        <v>300</v>
      </c>
      <c r="D1522" s="9">
        <v>42745</v>
      </c>
      <c r="E1522" t="s">
        <v>295</v>
      </c>
      <c r="I1522" s="9"/>
    </row>
    <row r="1523" spans="1:9" x14ac:dyDescent="0.25">
      <c r="A1523">
        <v>250340</v>
      </c>
      <c r="B1523">
        <v>5.88</v>
      </c>
      <c r="C1523">
        <v>800</v>
      </c>
      <c r="D1523" s="9">
        <v>42719</v>
      </c>
      <c r="E1523" t="s">
        <v>295</v>
      </c>
      <c r="I1523" s="9"/>
    </row>
    <row r="1524" spans="1:9" x14ac:dyDescent="0.25">
      <c r="A1524">
        <v>250340</v>
      </c>
      <c r="B1524">
        <v>5.88</v>
      </c>
      <c r="C1524">
        <v>700</v>
      </c>
      <c r="D1524" s="9">
        <v>42643</v>
      </c>
      <c r="E1524" t="s">
        <v>295</v>
      </c>
      <c r="I1524" s="9"/>
    </row>
    <row r="1525" spans="1:9" x14ac:dyDescent="0.25">
      <c r="A1525">
        <v>250340</v>
      </c>
      <c r="B1525">
        <v>6.83</v>
      </c>
      <c r="C1525">
        <v>400</v>
      </c>
      <c r="D1525" s="9">
        <v>42629</v>
      </c>
      <c r="E1525" t="s">
        <v>295</v>
      </c>
      <c r="I1525" s="9"/>
    </row>
    <row r="1526" spans="1:9" x14ac:dyDescent="0.25">
      <c r="A1526">
        <v>250340</v>
      </c>
      <c r="B1526">
        <v>5.88</v>
      </c>
      <c r="C1526">
        <v>100</v>
      </c>
      <c r="D1526" s="9">
        <v>42626</v>
      </c>
      <c r="E1526" t="s">
        <v>295</v>
      </c>
      <c r="I1526" s="9"/>
    </row>
    <row r="1527" spans="1:9" x14ac:dyDescent="0.25">
      <c r="A1527">
        <v>250340</v>
      </c>
      <c r="B1527">
        <v>5.88</v>
      </c>
      <c r="C1527">
        <v>120</v>
      </c>
      <c r="D1527" s="9">
        <v>42621</v>
      </c>
      <c r="E1527" t="s">
        <v>295</v>
      </c>
      <c r="I1527" s="9"/>
    </row>
    <row r="1528" spans="1:9" x14ac:dyDescent="0.25">
      <c r="A1528">
        <v>250340</v>
      </c>
      <c r="B1528">
        <v>5.88</v>
      </c>
      <c r="C1528">
        <v>500</v>
      </c>
      <c r="D1528" s="9">
        <v>42605</v>
      </c>
      <c r="E1528" t="s">
        <v>295</v>
      </c>
      <c r="I1528" s="9"/>
    </row>
    <row r="1529" spans="1:9" x14ac:dyDescent="0.25">
      <c r="A1529">
        <v>250340</v>
      </c>
      <c r="B1529">
        <v>6.83</v>
      </c>
      <c r="C1529">
        <v>6000</v>
      </c>
      <c r="D1529" s="9">
        <v>42599</v>
      </c>
      <c r="E1529" t="s">
        <v>295</v>
      </c>
      <c r="I1529" s="9"/>
    </row>
    <row r="1530" spans="1:9" x14ac:dyDescent="0.25">
      <c r="A1530">
        <v>250340</v>
      </c>
      <c r="B1530">
        <v>6.83</v>
      </c>
      <c r="C1530">
        <v>3000</v>
      </c>
      <c r="D1530" s="9">
        <v>42599</v>
      </c>
      <c r="E1530" t="s">
        <v>295</v>
      </c>
      <c r="I1530" s="9"/>
    </row>
    <row r="1531" spans="1:9" x14ac:dyDescent="0.25">
      <c r="A1531">
        <v>250340</v>
      </c>
      <c r="B1531">
        <v>6.83</v>
      </c>
      <c r="C1531">
        <v>9000</v>
      </c>
      <c r="D1531" s="9">
        <v>42578</v>
      </c>
      <c r="E1531" t="s">
        <v>295</v>
      </c>
      <c r="I1531" s="9"/>
    </row>
    <row r="1532" spans="1:9" x14ac:dyDescent="0.25">
      <c r="A1532">
        <v>250340</v>
      </c>
      <c r="B1532">
        <v>5.88</v>
      </c>
      <c r="C1532">
        <v>400</v>
      </c>
      <c r="D1532" s="9">
        <v>42577</v>
      </c>
      <c r="E1532" t="s">
        <v>295</v>
      </c>
      <c r="I1532" s="9"/>
    </row>
    <row r="1533" spans="1:9" x14ac:dyDescent="0.25">
      <c r="A1533">
        <v>250340</v>
      </c>
      <c r="B1533">
        <v>5.88</v>
      </c>
      <c r="C1533">
        <v>3100</v>
      </c>
      <c r="D1533" s="9">
        <v>42527</v>
      </c>
      <c r="E1533" t="s">
        <v>295</v>
      </c>
      <c r="I1533" s="9"/>
    </row>
    <row r="1534" spans="1:9" x14ac:dyDescent="0.25">
      <c r="A1534">
        <v>250340</v>
      </c>
      <c r="B1534">
        <v>5.88</v>
      </c>
      <c r="C1534">
        <v>180</v>
      </c>
      <c r="D1534" s="9">
        <v>42515</v>
      </c>
      <c r="E1534" t="s">
        <v>295</v>
      </c>
      <c r="I1534" s="9"/>
    </row>
    <row r="1535" spans="1:9" x14ac:dyDescent="0.25">
      <c r="A1535">
        <v>250340</v>
      </c>
      <c r="B1535">
        <v>5.88</v>
      </c>
      <c r="C1535">
        <v>180</v>
      </c>
      <c r="D1535" s="9">
        <v>42510</v>
      </c>
      <c r="E1535" t="s">
        <v>295</v>
      </c>
      <c r="I1535" s="9"/>
    </row>
    <row r="1536" spans="1:9" x14ac:dyDescent="0.25">
      <c r="A1536">
        <v>250340</v>
      </c>
      <c r="B1536">
        <v>5.88</v>
      </c>
      <c r="C1536">
        <v>3300</v>
      </c>
      <c r="D1536" s="9">
        <v>42339</v>
      </c>
      <c r="E1536" t="s">
        <v>295</v>
      </c>
      <c r="I1536" s="9"/>
    </row>
    <row r="1537" spans="1:9" x14ac:dyDescent="0.25">
      <c r="A1537">
        <v>250340</v>
      </c>
      <c r="B1537">
        <v>6.83</v>
      </c>
      <c r="C1537">
        <v>2000</v>
      </c>
      <c r="D1537" s="9">
        <v>42334</v>
      </c>
      <c r="E1537" t="s">
        <v>295</v>
      </c>
      <c r="I1537" s="9"/>
    </row>
    <row r="1538" spans="1:9" x14ac:dyDescent="0.25">
      <c r="A1538">
        <v>250340</v>
      </c>
      <c r="B1538">
        <v>6.83</v>
      </c>
      <c r="C1538">
        <v>2200</v>
      </c>
      <c r="D1538" s="9">
        <v>42332</v>
      </c>
      <c r="E1538" t="s">
        <v>295</v>
      </c>
      <c r="I1538" s="9"/>
    </row>
    <row r="1539" spans="1:9" x14ac:dyDescent="0.25">
      <c r="A1539">
        <v>250340</v>
      </c>
      <c r="B1539">
        <v>5.88</v>
      </c>
      <c r="C1539">
        <v>200</v>
      </c>
      <c r="D1539" s="9">
        <v>42268</v>
      </c>
      <c r="E1539" t="s">
        <v>295</v>
      </c>
      <c r="I1539" s="9"/>
    </row>
    <row r="1540" spans="1:9" x14ac:dyDescent="0.25">
      <c r="A1540">
        <v>250340</v>
      </c>
      <c r="B1540">
        <v>5.88</v>
      </c>
      <c r="C1540">
        <v>2700</v>
      </c>
      <c r="D1540" s="9">
        <v>42262</v>
      </c>
      <c r="E1540" t="s">
        <v>295</v>
      </c>
      <c r="I1540" s="9"/>
    </row>
    <row r="1541" spans="1:9" x14ac:dyDescent="0.25">
      <c r="A1541">
        <v>250340</v>
      </c>
      <c r="B1541">
        <v>5.88</v>
      </c>
      <c r="C1541">
        <v>60</v>
      </c>
      <c r="D1541" s="9">
        <v>42243</v>
      </c>
      <c r="E1541" t="s">
        <v>295</v>
      </c>
      <c r="I1541" s="9"/>
    </row>
    <row r="1542" spans="1:9" x14ac:dyDescent="0.25">
      <c r="A1542">
        <v>250340</v>
      </c>
      <c r="B1542">
        <v>6.59</v>
      </c>
      <c r="C1542">
        <v>250</v>
      </c>
      <c r="D1542" s="9">
        <v>42229</v>
      </c>
      <c r="E1542" t="s">
        <v>295</v>
      </c>
      <c r="I1542" s="9"/>
    </row>
    <row r="1543" spans="1:9" x14ac:dyDescent="0.25">
      <c r="A1543">
        <v>250340</v>
      </c>
      <c r="B1543">
        <v>6.12</v>
      </c>
      <c r="C1543">
        <v>900</v>
      </c>
      <c r="D1543" s="9">
        <v>42188</v>
      </c>
      <c r="E1543" t="s">
        <v>295</v>
      </c>
      <c r="I1543" s="9"/>
    </row>
    <row r="1544" spans="1:9" x14ac:dyDescent="0.25">
      <c r="A1544">
        <v>250340</v>
      </c>
      <c r="B1544">
        <v>6.12</v>
      </c>
      <c r="C1544">
        <v>400</v>
      </c>
      <c r="D1544" s="9">
        <v>42179</v>
      </c>
      <c r="E1544" t="s">
        <v>295</v>
      </c>
      <c r="I1544" s="9"/>
    </row>
    <row r="1545" spans="1:9" x14ac:dyDescent="0.25">
      <c r="A1545">
        <v>250340</v>
      </c>
      <c r="B1545">
        <v>6.12</v>
      </c>
      <c r="C1545">
        <v>400</v>
      </c>
      <c r="D1545" s="9">
        <v>42178</v>
      </c>
      <c r="E1545" t="s">
        <v>295</v>
      </c>
      <c r="I1545" s="9"/>
    </row>
    <row r="1546" spans="1:9" x14ac:dyDescent="0.25">
      <c r="A1546">
        <v>250340</v>
      </c>
      <c r="B1546">
        <v>6.12</v>
      </c>
      <c r="C1546">
        <v>400</v>
      </c>
      <c r="D1546" s="9">
        <v>42173</v>
      </c>
      <c r="E1546" t="s">
        <v>295</v>
      </c>
      <c r="I1546" s="9"/>
    </row>
    <row r="1547" spans="1:9" x14ac:dyDescent="0.25">
      <c r="A1547">
        <v>250340</v>
      </c>
      <c r="B1547">
        <v>6.24</v>
      </c>
      <c r="C1547">
        <v>500</v>
      </c>
      <c r="D1547" s="9">
        <v>42170</v>
      </c>
      <c r="E1547" t="s">
        <v>295</v>
      </c>
      <c r="I1547" s="9"/>
    </row>
    <row r="1548" spans="1:9" x14ac:dyDescent="0.25">
      <c r="A1548">
        <v>250340</v>
      </c>
      <c r="B1548">
        <v>6.59</v>
      </c>
      <c r="C1548">
        <v>100</v>
      </c>
      <c r="D1548" s="9">
        <v>42170</v>
      </c>
      <c r="E1548" t="s">
        <v>295</v>
      </c>
      <c r="I1548" s="9"/>
    </row>
    <row r="1549" spans="1:9" x14ac:dyDescent="0.25">
      <c r="A1549">
        <v>250340</v>
      </c>
      <c r="B1549">
        <v>6.36</v>
      </c>
      <c r="C1549">
        <v>100</v>
      </c>
      <c r="D1549" s="9">
        <v>42116</v>
      </c>
      <c r="E1549" t="s">
        <v>295</v>
      </c>
      <c r="I1549" s="9"/>
    </row>
    <row r="1550" spans="1:9" x14ac:dyDescent="0.25">
      <c r="A1550">
        <v>250340</v>
      </c>
      <c r="B1550">
        <v>6.36</v>
      </c>
      <c r="C1550">
        <v>200</v>
      </c>
      <c r="D1550" s="9">
        <v>42083</v>
      </c>
      <c r="E1550" t="s">
        <v>295</v>
      </c>
      <c r="I1550" s="9"/>
    </row>
    <row r="1551" spans="1:9" x14ac:dyDescent="0.25">
      <c r="A1551">
        <v>250340</v>
      </c>
      <c r="B1551">
        <v>6.71</v>
      </c>
      <c r="C1551">
        <v>275</v>
      </c>
      <c r="D1551" s="9">
        <v>42034</v>
      </c>
      <c r="E1551" t="s">
        <v>295</v>
      </c>
      <c r="I1551" s="9"/>
    </row>
    <row r="1552" spans="1:9" x14ac:dyDescent="0.25">
      <c r="A1552">
        <v>250340</v>
      </c>
      <c r="B1552">
        <v>5.76</v>
      </c>
      <c r="C1552">
        <v>100</v>
      </c>
      <c r="D1552" s="9">
        <v>41960</v>
      </c>
      <c r="E1552" t="s">
        <v>295</v>
      </c>
      <c r="I1552" s="9"/>
    </row>
    <row r="1553" spans="1:9" x14ac:dyDescent="0.25">
      <c r="A1553">
        <v>250340</v>
      </c>
      <c r="B1553">
        <v>5.76</v>
      </c>
      <c r="C1553">
        <v>300</v>
      </c>
      <c r="D1553" s="9">
        <v>41935</v>
      </c>
      <c r="E1553" t="s">
        <v>295</v>
      </c>
      <c r="I1553" s="9"/>
    </row>
    <row r="1554" spans="1:9" x14ac:dyDescent="0.25">
      <c r="A1554">
        <v>250340</v>
      </c>
      <c r="B1554">
        <v>5.76</v>
      </c>
      <c r="C1554">
        <v>300</v>
      </c>
      <c r="D1554" s="9">
        <v>41912</v>
      </c>
      <c r="E1554" t="s">
        <v>295</v>
      </c>
      <c r="I1554" s="9"/>
    </row>
    <row r="1555" spans="1:9" x14ac:dyDescent="0.25">
      <c r="A1555">
        <v>250340</v>
      </c>
      <c r="B1555">
        <v>5.76</v>
      </c>
      <c r="C1555">
        <v>300</v>
      </c>
      <c r="D1555" s="9">
        <v>41884</v>
      </c>
      <c r="E1555" t="s">
        <v>295</v>
      </c>
      <c r="I1555" s="9"/>
    </row>
    <row r="1556" spans="1:9" x14ac:dyDescent="0.25">
      <c r="A1556">
        <v>250340</v>
      </c>
      <c r="B1556">
        <v>5.76</v>
      </c>
      <c r="C1556">
        <v>300</v>
      </c>
      <c r="D1556" s="9">
        <v>41879</v>
      </c>
      <c r="E1556" t="s">
        <v>295</v>
      </c>
      <c r="I1556" s="9"/>
    </row>
    <row r="1557" spans="1:9" x14ac:dyDescent="0.25">
      <c r="A1557">
        <v>250340</v>
      </c>
      <c r="B1557">
        <v>6.12</v>
      </c>
      <c r="C1557">
        <v>500</v>
      </c>
      <c r="D1557" s="9">
        <v>41870</v>
      </c>
      <c r="E1557" t="s">
        <v>295</v>
      </c>
      <c r="I1557" s="9"/>
    </row>
    <row r="1558" spans="1:9" x14ac:dyDescent="0.25">
      <c r="A1558">
        <v>250340</v>
      </c>
      <c r="B1558">
        <v>5.99</v>
      </c>
      <c r="C1558">
        <v>1000</v>
      </c>
      <c r="D1558" s="9">
        <v>41858</v>
      </c>
      <c r="E1558" t="s">
        <v>295</v>
      </c>
      <c r="I1558" s="9"/>
    </row>
    <row r="1559" spans="1:9" x14ac:dyDescent="0.25">
      <c r="A1559">
        <v>250340</v>
      </c>
      <c r="B1559">
        <v>5.99</v>
      </c>
      <c r="C1559">
        <v>500</v>
      </c>
      <c r="D1559" s="9">
        <v>41788</v>
      </c>
      <c r="E1559" t="s">
        <v>295</v>
      </c>
      <c r="I1559" s="9"/>
    </row>
    <row r="1560" spans="1:9" x14ac:dyDescent="0.25">
      <c r="A1560">
        <v>250340</v>
      </c>
      <c r="B1560">
        <v>5.76</v>
      </c>
      <c r="C1560">
        <v>200</v>
      </c>
      <c r="D1560" s="9">
        <v>41746</v>
      </c>
      <c r="E1560" t="s">
        <v>295</v>
      </c>
      <c r="I1560" s="9"/>
    </row>
    <row r="1561" spans="1:9" x14ac:dyDescent="0.25">
      <c r="A1561">
        <v>250340</v>
      </c>
      <c r="B1561">
        <v>5.76</v>
      </c>
      <c r="C1561">
        <v>200</v>
      </c>
      <c r="D1561" s="9">
        <v>41744</v>
      </c>
      <c r="E1561" t="s">
        <v>295</v>
      </c>
      <c r="I1561" s="9"/>
    </row>
    <row r="1562" spans="1:9" x14ac:dyDescent="0.25">
      <c r="A1562">
        <v>250340</v>
      </c>
      <c r="B1562">
        <v>5.76</v>
      </c>
      <c r="C1562">
        <v>275</v>
      </c>
      <c r="D1562" s="9">
        <v>41719</v>
      </c>
      <c r="E1562" t="s">
        <v>295</v>
      </c>
      <c r="I1562" s="9"/>
    </row>
    <row r="1563" spans="1:9" x14ac:dyDescent="0.25">
      <c r="A1563">
        <v>250340</v>
      </c>
      <c r="B1563">
        <v>5.76</v>
      </c>
      <c r="C1563">
        <v>250</v>
      </c>
      <c r="D1563" s="9">
        <v>41596</v>
      </c>
      <c r="E1563" t="s">
        <v>295</v>
      </c>
      <c r="I1563" s="9"/>
    </row>
    <row r="1564" spans="1:9" x14ac:dyDescent="0.25">
      <c r="A1564">
        <v>250340</v>
      </c>
      <c r="B1564">
        <v>5.76</v>
      </c>
      <c r="C1564">
        <v>300</v>
      </c>
      <c r="D1564" s="9">
        <v>41565</v>
      </c>
      <c r="E1564" t="s">
        <v>295</v>
      </c>
      <c r="I1564" s="9"/>
    </row>
    <row r="1565" spans="1:9" x14ac:dyDescent="0.25">
      <c r="A1565">
        <v>250350</v>
      </c>
      <c r="B1565">
        <v>1.61</v>
      </c>
      <c r="C1565">
        <v>2400</v>
      </c>
      <c r="D1565" s="9">
        <v>44133</v>
      </c>
      <c r="E1565" t="s">
        <v>296</v>
      </c>
      <c r="I1565" s="9"/>
    </row>
    <row r="1566" spans="1:9" x14ac:dyDescent="0.25">
      <c r="A1566">
        <v>250350</v>
      </c>
      <c r="B1566">
        <v>1.34</v>
      </c>
      <c r="C1566">
        <v>800</v>
      </c>
      <c r="D1566" s="9">
        <v>43966</v>
      </c>
      <c r="E1566" t="s">
        <v>296</v>
      </c>
      <c r="I1566" s="9"/>
    </row>
    <row r="1567" spans="1:9" x14ac:dyDescent="0.25">
      <c r="A1567">
        <v>250350</v>
      </c>
      <c r="B1567">
        <v>7.05</v>
      </c>
      <c r="C1567">
        <v>608</v>
      </c>
      <c r="D1567" s="9">
        <v>43783</v>
      </c>
      <c r="E1567" t="s">
        <v>295</v>
      </c>
      <c r="I1567" s="9"/>
    </row>
    <row r="1568" spans="1:9" x14ac:dyDescent="0.25">
      <c r="A1568">
        <v>250350</v>
      </c>
      <c r="B1568">
        <v>7.79</v>
      </c>
      <c r="C1568">
        <v>240</v>
      </c>
      <c r="D1568" s="9">
        <v>43740</v>
      </c>
      <c r="E1568" t="s">
        <v>295</v>
      </c>
      <c r="I1568" s="9"/>
    </row>
    <row r="1569" spans="1:9" x14ac:dyDescent="0.25">
      <c r="A1569">
        <v>250350</v>
      </c>
      <c r="B1569">
        <v>7.35</v>
      </c>
      <c r="C1569">
        <v>48</v>
      </c>
      <c r="D1569" s="9">
        <v>43671</v>
      </c>
      <c r="E1569" t="s">
        <v>295</v>
      </c>
      <c r="I1569" s="9"/>
    </row>
    <row r="1570" spans="1:9" x14ac:dyDescent="0.25">
      <c r="A1570">
        <v>250350</v>
      </c>
      <c r="B1570">
        <v>1.55</v>
      </c>
      <c r="C1570">
        <v>200</v>
      </c>
      <c r="D1570" s="9">
        <v>43634</v>
      </c>
      <c r="E1570" t="s">
        <v>296</v>
      </c>
      <c r="I1570" s="9"/>
    </row>
    <row r="1571" spans="1:9" x14ac:dyDescent="0.25">
      <c r="A1571">
        <v>250350</v>
      </c>
      <c r="B1571">
        <v>1.5</v>
      </c>
      <c r="C1571">
        <v>2000</v>
      </c>
      <c r="D1571" s="9">
        <v>43483</v>
      </c>
      <c r="E1571" t="s">
        <v>296</v>
      </c>
      <c r="I1571" s="9"/>
    </row>
    <row r="1572" spans="1:9" x14ac:dyDescent="0.25">
      <c r="A1572">
        <v>250350</v>
      </c>
      <c r="B1572">
        <v>7.05</v>
      </c>
      <c r="C1572">
        <v>112</v>
      </c>
      <c r="D1572" s="9">
        <v>43431</v>
      </c>
      <c r="E1572" t="s">
        <v>295</v>
      </c>
      <c r="I1572" s="9"/>
    </row>
    <row r="1573" spans="1:9" x14ac:dyDescent="0.25">
      <c r="A1573">
        <v>250350</v>
      </c>
      <c r="B1573">
        <v>7.79</v>
      </c>
      <c r="C1573">
        <v>120</v>
      </c>
      <c r="D1573" s="9">
        <v>43377</v>
      </c>
      <c r="E1573" t="s">
        <v>295</v>
      </c>
      <c r="I1573" s="9"/>
    </row>
    <row r="1574" spans="1:9" x14ac:dyDescent="0.25">
      <c r="A1574">
        <v>250350</v>
      </c>
      <c r="B1574">
        <v>6.9</v>
      </c>
      <c r="C1574">
        <v>112</v>
      </c>
      <c r="D1574" s="9">
        <v>43230</v>
      </c>
      <c r="E1574" t="s">
        <v>295</v>
      </c>
      <c r="I1574" s="9"/>
    </row>
    <row r="1575" spans="1:9" x14ac:dyDescent="0.25">
      <c r="A1575">
        <v>250350</v>
      </c>
      <c r="B1575">
        <v>8.09</v>
      </c>
      <c r="C1575">
        <v>120</v>
      </c>
      <c r="D1575" s="9">
        <v>43166</v>
      </c>
      <c r="E1575" t="s">
        <v>295</v>
      </c>
      <c r="I1575" s="9"/>
    </row>
    <row r="1576" spans="1:9" x14ac:dyDescent="0.25">
      <c r="A1576">
        <v>250350</v>
      </c>
      <c r="B1576">
        <v>8.09</v>
      </c>
      <c r="C1576">
        <v>320</v>
      </c>
      <c r="D1576" s="9">
        <v>43103</v>
      </c>
      <c r="E1576" t="s">
        <v>295</v>
      </c>
      <c r="I1576" s="9"/>
    </row>
    <row r="1577" spans="1:9" x14ac:dyDescent="0.25">
      <c r="A1577">
        <v>250350</v>
      </c>
      <c r="B1577">
        <v>7.35</v>
      </c>
      <c r="C1577">
        <v>240</v>
      </c>
      <c r="D1577" s="9">
        <v>43049</v>
      </c>
      <c r="E1577" t="s">
        <v>295</v>
      </c>
      <c r="I1577" s="9"/>
    </row>
    <row r="1578" spans="1:9" x14ac:dyDescent="0.25">
      <c r="A1578">
        <v>250350</v>
      </c>
      <c r="B1578">
        <v>7.35</v>
      </c>
      <c r="C1578">
        <v>192</v>
      </c>
      <c r="D1578" s="9">
        <v>43006</v>
      </c>
      <c r="E1578" t="s">
        <v>295</v>
      </c>
      <c r="I1578" s="9"/>
    </row>
    <row r="1579" spans="1:9" x14ac:dyDescent="0.25">
      <c r="A1579">
        <v>250350</v>
      </c>
      <c r="B1579">
        <v>7.35</v>
      </c>
      <c r="C1579">
        <v>100</v>
      </c>
      <c r="D1579" s="9">
        <v>42986</v>
      </c>
      <c r="E1579" t="s">
        <v>295</v>
      </c>
      <c r="I1579" s="9"/>
    </row>
    <row r="1580" spans="1:9" x14ac:dyDescent="0.25">
      <c r="A1580">
        <v>250350</v>
      </c>
      <c r="B1580">
        <v>7.35</v>
      </c>
      <c r="C1580">
        <v>100</v>
      </c>
      <c r="D1580" s="9">
        <v>42985</v>
      </c>
      <c r="E1580" t="s">
        <v>295</v>
      </c>
      <c r="I1580" s="9"/>
    </row>
    <row r="1581" spans="1:9" x14ac:dyDescent="0.25">
      <c r="A1581">
        <v>250350</v>
      </c>
      <c r="B1581">
        <v>7.35</v>
      </c>
      <c r="C1581">
        <v>112</v>
      </c>
      <c r="D1581" s="9">
        <v>42923</v>
      </c>
      <c r="E1581" t="s">
        <v>295</v>
      </c>
      <c r="I1581" s="9"/>
    </row>
    <row r="1582" spans="1:9" x14ac:dyDescent="0.25">
      <c r="A1582">
        <v>250350</v>
      </c>
      <c r="B1582">
        <v>7.5</v>
      </c>
      <c r="C1582">
        <v>80</v>
      </c>
      <c r="D1582" s="9">
        <v>42913</v>
      </c>
      <c r="E1582" t="s">
        <v>295</v>
      </c>
      <c r="I1582" s="9"/>
    </row>
    <row r="1583" spans="1:9" x14ac:dyDescent="0.25">
      <c r="A1583">
        <v>250350</v>
      </c>
      <c r="B1583">
        <v>7.5</v>
      </c>
      <c r="C1583">
        <v>80</v>
      </c>
      <c r="D1583" s="9">
        <v>42825</v>
      </c>
      <c r="E1583" t="s">
        <v>295</v>
      </c>
      <c r="I1583" s="9"/>
    </row>
    <row r="1584" spans="1:9" x14ac:dyDescent="0.25">
      <c r="A1584">
        <v>250350</v>
      </c>
      <c r="B1584">
        <v>8.5399999999999991</v>
      </c>
      <c r="C1584">
        <v>300</v>
      </c>
      <c r="D1584" s="9">
        <v>42793</v>
      </c>
      <c r="E1584" t="s">
        <v>295</v>
      </c>
      <c r="I1584" s="9"/>
    </row>
    <row r="1585" spans="1:9" x14ac:dyDescent="0.25">
      <c r="A1585">
        <v>250350</v>
      </c>
      <c r="B1585">
        <v>7.35</v>
      </c>
      <c r="C1585">
        <v>80</v>
      </c>
      <c r="D1585" s="9">
        <v>42745</v>
      </c>
      <c r="E1585" t="s">
        <v>295</v>
      </c>
      <c r="I1585" s="9"/>
    </row>
    <row r="1586" spans="1:9" x14ac:dyDescent="0.25">
      <c r="A1586">
        <v>250350</v>
      </c>
      <c r="B1586">
        <v>7.35</v>
      </c>
      <c r="C1586">
        <v>80</v>
      </c>
      <c r="D1586" s="9">
        <v>42719</v>
      </c>
      <c r="E1586" t="s">
        <v>295</v>
      </c>
      <c r="I1586" s="9"/>
    </row>
    <row r="1587" spans="1:9" x14ac:dyDescent="0.25">
      <c r="A1587">
        <v>250350</v>
      </c>
      <c r="B1587">
        <v>8.24</v>
      </c>
      <c r="C1587">
        <v>100</v>
      </c>
      <c r="D1587" s="9">
        <v>42629</v>
      </c>
      <c r="E1587" t="s">
        <v>295</v>
      </c>
      <c r="I1587" s="9"/>
    </row>
    <row r="1588" spans="1:9" x14ac:dyDescent="0.25">
      <c r="A1588">
        <v>250350</v>
      </c>
      <c r="B1588">
        <v>7.35</v>
      </c>
      <c r="C1588">
        <v>80</v>
      </c>
      <c r="D1588" s="9">
        <v>42626</v>
      </c>
      <c r="E1588" t="s">
        <v>295</v>
      </c>
      <c r="I1588" s="9"/>
    </row>
    <row r="1589" spans="1:9" x14ac:dyDescent="0.25">
      <c r="A1589">
        <v>250350</v>
      </c>
      <c r="B1589">
        <v>7.35</v>
      </c>
      <c r="C1589">
        <v>160</v>
      </c>
      <c r="D1589" s="9">
        <v>42621</v>
      </c>
      <c r="E1589" t="s">
        <v>295</v>
      </c>
      <c r="I1589" s="9"/>
    </row>
    <row r="1590" spans="1:9" x14ac:dyDescent="0.25">
      <c r="A1590">
        <v>250350</v>
      </c>
      <c r="B1590">
        <v>7.35</v>
      </c>
      <c r="C1590">
        <v>160</v>
      </c>
      <c r="D1590" s="9">
        <v>42527</v>
      </c>
      <c r="E1590" t="s">
        <v>295</v>
      </c>
      <c r="I1590" s="9"/>
    </row>
    <row r="1591" spans="1:9" x14ac:dyDescent="0.25">
      <c r="A1591">
        <v>250350</v>
      </c>
      <c r="B1591">
        <v>8.24</v>
      </c>
      <c r="C1591">
        <v>120</v>
      </c>
      <c r="D1591" s="9">
        <v>42332</v>
      </c>
      <c r="E1591" t="s">
        <v>295</v>
      </c>
      <c r="I1591" s="9"/>
    </row>
    <row r="1592" spans="1:9" x14ac:dyDescent="0.25">
      <c r="A1592">
        <v>250350</v>
      </c>
      <c r="B1592">
        <v>7.35</v>
      </c>
      <c r="C1592">
        <v>112</v>
      </c>
      <c r="D1592" s="9">
        <v>42268</v>
      </c>
      <c r="E1592" t="s">
        <v>295</v>
      </c>
      <c r="I1592" s="9"/>
    </row>
    <row r="1593" spans="1:9" x14ac:dyDescent="0.25">
      <c r="A1593">
        <v>250350</v>
      </c>
      <c r="B1593">
        <v>7.35</v>
      </c>
      <c r="C1593">
        <v>112</v>
      </c>
      <c r="D1593" s="9">
        <v>42262</v>
      </c>
      <c r="E1593" t="s">
        <v>295</v>
      </c>
      <c r="I1593" s="9"/>
    </row>
    <row r="1594" spans="1:9" x14ac:dyDescent="0.25">
      <c r="A1594">
        <v>250350</v>
      </c>
      <c r="B1594">
        <v>7.35</v>
      </c>
      <c r="C1594">
        <v>208</v>
      </c>
      <c r="D1594" s="9">
        <v>42243</v>
      </c>
      <c r="E1594" t="s">
        <v>295</v>
      </c>
      <c r="I1594" s="9"/>
    </row>
    <row r="1595" spans="1:9" x14ac:dyDescent="0.25">
      <c r="A1595">
        <v>250350</v>
      </c>
      <c r="B1595">
        <v>8.24</v>
      </c>
      <c r="C1595">
        <v>200</v>
      </c>
      <c r="D1595" s="9">
        <v>42229</v>
      </c>
      <c r="E1595" t="s">
        <v>295</v>
      </c>
      <c r="I1595" s="9"/>
    </row>
    <row r="1596" spans="1:9" x14ac:dyDescent="0.25">
      <c r="A1596">
        <v>250350</v>
      </c>
      <c r="B1596">
        <v>7.65</v>
      </c>
      <c r="C1596">
        <v>128</v>
      </c>
      <c r="D1596" s="9">
        <v>42173</v>
      </c>
      <c r="E1596" t="s">
        <v>295</v>
      </c>
      <c r="I1596" s="9"/>
    </row>
    <row r="1597" spans="1:9" x14ac:dyDescent="0.25">
      <c r="A1597">
        <v>250350</v>
      </c>
      <c r="B1597">
        <v>8.39</v>
      </c>
      <c r="C1597">
        <v>220</v>
      </c>
      <c r="D1597" s="9">
        <v>42034</v>
      </c>
      <c r="E1597" t="s">
        <v>295</v>
      </c>
      <c r="I1597" s="9"/>
    </row>
    <row r="1598" spans="1:9" x14ac:dyDescent="0.25">
      <c r="A1598">
        <v>250350</v>
      </c>
      <c r="B1598">
        <v>7.73</v>
      </c>
      <c r="C1598">
        <v>180</v>
      </c>
      <c r="D1598" s="9">
        <v>41960</v>
      </c>
      <c r="E1598" t="s">
        <v>295</v>
      </c>
      <c r="I1598" s="9"/>
    </row>
    <row r="1599" spans="1:9" x14ac:dyDescent="0.25">
      <c r="A1599">
        <v>250350</v>
      </c>
      <c r="B1599">
        <v>7.2</v>
      </c>
      <c r="C1599">
        <v>160</v>
      </c>
      <c r="D1599" s="9">
        <v>41935</v>
      </c>
      <c r="E1599" t="s">
        <v>295</v>
      </c>
      <c r="I1599" s="9"/>
    </row>
    <row r="1600" spans="1:9" x14ac:dyDescent="0.25">
      <c r="A1600">
        <v>250350</v>
      </c>
      <c r="B1600">
        <v>7.79</v>
      </c>
      <c r="C1600">
        <v>140</v>
      </c>
      <c r="D1600" s="9">
        <v>41918</v>
      </c>
      <c r="E1600" t="s">
        <v>295</v>
      </c>
      <c r="I1600" s="9"/>
    </row>
    <row r="1601" spans="1:9" x14ac:dyDescent="0.25">
      <c r="A1601">
        <v>250350</v>
      </c>
      <c r="B1601">
        <v>7.2</v>
      </c>
      <c r="C1601">
        <v>192</v>
      </c>
      <c r="D1601" s="9">
        <v>41884</v>
      </c>
      <c r="E1601" t="s">
        <v>295</v>
      </c>
      <c r="I1601" s="9"/>
    </row>
    <row r="1602" spans="1:9" x14ac:dyDescent="0.25">
      <c r="A1602">
        <v>250350</v>
      </c>
      <c r="B1602">
        <v>7.2</v>
      </c>
      <c r="C1602">
        <v>192</v>
      </c>
      <c r="D1602" s="9">
        <v>41879</v>
      </c>
      <c r="E1602" t="s">
        <v>295</v>
      </c>
      <c r="I1602" s="9"/>
    </row>
    <row r="1603" spans="1:9" x14ac:dyDescent="0.25">
      <c r="A1603">
        <v>250350</v>
      </c>
      <c r="B1603">
        <v>7.2</v>
      </c>
      <c r="C1603">
        <v>100</v>
      </c>
      <c r="D1603" s="9">
        <v>41864</v>
      </c>
      <c r="E1603" t="s">
        <v>295</v>
      </c>
      <c r="I1603" s="9"/>
    </row>
    <row r="1604" spans="1:9" x14ac:dyDescent="0.25">
      <c r="A1604">
        <v>250350</v>
      </c>
      <c r="B1604">
        <v>7.2</v>
      </c>
      <c r="C1604">
        <v>100</v>
      </c>
      <c r="D1604" s="9">
        <v>41858</v>
      </c>
      <c r="E1604" t="s">
        <v>295</v>
      </c>
      <c r="I1604" s="9"/>
    </row>
    <row r="1605" spans="1:9" x14ac:dyDescent="0.25">
      <c r="A1605">
        <v>250350</v>
      </c>
      <c r="B1605">
        <v>7.2</v>
      </c>
      <c r="C1605">
        <v>96</v>
      </c>
      <c r="D1605" s="9">
        <v>41725</v>
      </c>
      <c r="E1605" t="s">
        <v>295</v>
      </c>
      <c r="I1605" s="9"/>
    </row>
    <row r="1606" spans="1:9" x14ac:dyDescent="0.25">
      <c r="A1606">
        <v>250350</v>
      </c>
      <c r="B1606">
        <v>7.2</v>
      </c>
      <c r="C1606">
        <v>240</v>
      </c>
      <c r="D1606" s="9">
        <v>41719</v>
      </c>
      <c r="E1606" t="s">
        <v>295</v>
      </c>
      <c r="I1606" s="9"/>
    </row>
    <row r="1607" spans="1:9" x14ac:dyDescent="0.25">
      <c r="A1607">
        <v>250350</v>
      </c>
      <c r="B1607">
        <v>7.2</v>
      </c>
      <c r="C1607">
        <v>220</v>
      </c>
      <c r="D1607" s="9">
        <v>41614</v>
      </c>
      <c r="E1607" t="s">
        <v>295</v>
      </c>
      <c r="I1607" s="9"/>
    </row>
    <row r="1608" spans="1:9" x14ac:dyDescent="0.25">
      <c r="A1608">
        <v>250350</v>
      </c>
      <c r="B1608">
        <v>7.2</v>
      </c>
      <c r="C1608">
        <v>220</v>
      </c>
      <c r="D1608" s="9">
        <v>41596</v>
      </c>
      <c r="E1608" t="s">
        <v>295</v>
      </c>
      <c r="I1608" s="9"/>
    </row>
    <row r="1609" spans="1:9" x14ac:dyDescent="0.25">
      <c r="A1609">
        <v>250350</v>
      </c>
      <c r="B1609">
        <v>7.2</v>
      </c>
      <c r="C1609">
        <v>220</v>
      </c>
      <c r="D1609" s="9">
        <v>41565</v>
      </c>
      <c r="E1609" t="s">
        <v>295</v>
      </c>
      <c r="I1609" s="9"/>
    </row>
    <row r="1610" spans="1:9" x14ac:dyDescent="0.25">
      <c r="A1610">
        <v>250450</v>
      </c>
      <c r="B1610">
        <v>1.78</v>
      </c>
      <c r="C1610">
        <v>1600</v>
      </c>
      <c r="D1610" s="9">
        <v>43966</v>
      </c>
      <c r="E1610" t="s">
        <v>296</v>
      </c>
      <c r="I1610" s="9"/>
    </row>
    <row r="1611" spans="1:9" x14ac:dyDescent="0.25">
      <c r="A1611">
        <v>250450</v>
      </c>
      <c r="B1611">
        <v>2.06</v>
      </c>
      <c r="C1611">
        <v>2000</v>
      </c>
      <c r="D1611" s="9">
        <v>43634</v>
      </c>
      <c r="E1611" t="s">
        <v>296</v>
      </c>
      <c r="I1611" s="9"/>
    </row>
    <row r="1612" spans="1:9" x14ac:dyDescent="0.25">
      <c r="A1612">
        <v>250450</v>
      </c>
      <c r="B1612">
        <v>2</v>
      </c>
      <c r="C1612">
        <v>2200</v>
      </c>
      <c r="D1612" s="9">
        <v>43483</v>
      </c>
      <c r="E1612" t="s">
        <v>296</v>
      </c>
      <c r="I1612" s="9"/>
    </row>
    <row r="1613" spans="1:9" x14ac:dyDescent="0.25">
      <c r="A1613">
        <v>250450</v>
      </c>
      <c r="B1613">
        <v>9.4</v>
      </c>
      <c r="C1613">
        <v>108</v>
      </c>
      <c r="D1613" s="9">
        <v>43431</v>
      </c>
      <c r="E1613" t="s">
        <v>295</v>
      </c>
      <c r="I1613" s="9"/>
    </row>
    <row r="1614" spans="1:9" x14ac:dyDescent="0.25">
      <c r="A1614">
        <v>250450</v>
      </c>
      <c r="B1614">
        <v>10.38</v>
      </c>
      <c r="C1614">
        <v>160</v>
      </c>
      <c r="D1614" s="9">
        <v>43377</v>
      </c>
      <c r="E1614" t="s">
        <v>295</v>
      </c>
      <c r="I1614" s="9"/>
    </row>
    <row r="1615" spans="1:9" x14ac:dyDescent="0.25">
      <c r="A1615">
        <v>250450</v>
      </c>
      <c r="B1615">
        <v>10.78</v>
      </c>
      <c r="C1615">
        <v>144</v>
      </c>
      <c r="D1615" s="9">
        <v>43319</v>
      </c>
      <c r="E1615" t="s">
        <v>295</v>
      </c>
      <c r="I1615" s="9"/>
    </row>
    <row r="1616" spans="1:9" x14ac:dyDescent="0.25">
      <c r="A1616">
        <v>250450</v>
      </c>
      <c r="B1616">
        <v>10.78</v>
      </c>
      <c r="C1616">
        <v>120</v>
      </c>
      <c r="D1616" s="9">
        <v>43166</v>
      </c>
      <c r="E1616" t="s">
        <v>295</v>
      </c>
      <c r="I1616" s="9"/>
    </row>
    <row r="1617" spans="1:9" x14ac:dyDescent="0.25">
      <c r="A1617">
        <v>250450</v>
      </c>
      <c r="B1617">
        <v>10.78</v>
      </c>
      <c r="C1617">
        <v>300</v>
      </c>
      <c r="D1617" s="9">
        <v>43103</v>
      </c>
      <c r="E1617" t="s">
        <v>295</v>
      </c>
      <c r="I1617" s="9"/>
    </row>
    <row r="1618" spans="1:9" x14ac:dyDescent="0.25">
      <c r="A1618">
        <v>250450</v>
      </c>
      <c r="B1618">
        <v>9.8000000000000007</v>
      </c>
      <c r="C1618">
        <v>192</v>
      </c>
      <c r="D1618" s="9">
        <v>43049</v>
      </c>
      <c r="E1618" t="s">
        <v>295</v>
      </c>
      <c r="I1618" s="9"/>
    </row>
    <row r="1619" spans="1:9" x14ac:dyDescent="0.25">
      <c r="A1619">
        <v>250450</v>
      </c>
      <c r="B1619">
        <v>10.78</v>
      </c>
      <c r="C1619">
        <v>160</v>
      </c>
      <c r="D1619" s="9">
        <v>43028</v>
      </c>
      <c r="E1619" t="s">
        <v>295</v>
      </c>
      <c r="I1619" s="9"/>
    </row>
    <row r="1620" spans="1:9" x14ac:dyDescent="0.25">
      <c r="A1620">
        <v>250450</v>
      </c>
      <c r="B1620">
        <v>9.8000000000000007</v>
      </c>
      <c r="C1620">
        <v>168</v>
      </c>
      <c r="D1620" s="9">
        <v>42986</v>
      </c>
      <c r="E1620" t="s">
        <v>295</v>
      </c>
      <c r="I1620" s="9"/>
    </row>
    <row r="1621" spans="1:9" x14ac:dyDescent="0.25">
      <c r="A1621">
        <v>250450</v>
      </c>
      <c r="B1621">
        <v>9.8000000000000007</v>
      </c>
      <c r="C1621">
        <v>168</v>
      </c>
      <c r="D1621" s="9">
        <v>42985</v>
      </c>
      <c r="E1621" t="s">
        <v>295</v>
      </c>
      <c r="I1621" s="9"/>
    </row>
    <row r="1622" spans="1:9" x14ac:dyDescent="0.25">
      <c r="A1622">
        <v>250450</v>
      </c>
      <c r="B1622">
        <v>10</v>
      </c>
      <c r="C1622">
        <v>220</v>
      </c>
      <c r="D1622" s="9">
        <v>42913</v>
      </c>
      <c r="E1622" t="s">
        <v>295</v>
      </c>
      <c r="I1622" s="9"/>
    </row>
    <row r="1623" spans="1:9" x14ac:dyDescent="0.25">
      <c r="A1623">
        <v>250450</v>
      </c>
      <c r="B1623">
        <v>10</v>
      </c>
      <c r="C1623">
        <v>108</v>
      </c>
      <c r="D1623" s="9">
        <v>42825</v>
      </c>
      <c r="E1623" t="s">
        <v>295</v>
      </c>
      <c r="I1623" s="9"/>
    </row>
    <row r="1624" spans="1:9" x14ac:dyDescent="0.25">
      <c r="A1624">
        <v>250450</v>
      </c>
      <c r="B1624">
        <v>11.38</v>
      </c>
      <c r="C1624">
        <v>160</v>
      </c>
      <c r="D1624" s="9">
        <v>42793</v>
      </c>
      <c r="E1624" t="s">
        <v>295</v>
      </c>
      <c r="I1624" s="9"/>
    </row>
    <row r="1625" spans="1:9" x14ac:dyDescent="0.25">
      <c r="A1625">
        <v>250450</v>
      </c>
      <c r="B1625">
        <v>9.8000000000000007</v>
      </c>
      <c r="C1625">
        <v>100</v>
      </c>
      <c r="D1625" s="9">
        <v>42754</v>
      </c>
      <c r="E1625" t="s">
        <v>295</v>
      </c>
      <c r="I1625" s="9"/>
    </row>
    <row r="1626" spans="1:9" x14ac:dyDescent="0.25">
      <c r="A1626">
        <v>250450</v>
      </c>
      <c r="B1626">
        <v>9.8000000000000007</v>
      </c>
      <c r="C1626">
        <v>120</v>
      </c>
      <c r="D1626" s="9">
        <v>42745</v>
      </c>
      <c r="E1626" t="s">
        <v>295</v>
      </c>
      <c r="I1626" s="9"/>
    </row>
    <row r="1627" spans="1:9" x14ac:dyDescent="0.25">
      <c r="A1627">
        <v>250450</v>
      </c>
      <c r="B1627">
        <v>9.8000000000000007</v>
      </c>
      <c r="C1627">
        <v>444</v>
      </c>
      <c r="D1627" s="9">
        <v>42643</v>
      </c>
      <c r="E1627" t="s">
        <v>295</v>
      </c>
      <c r="I1627" s="9"/>
    </row>
    <row r="1628" spans="1:9" x14ac:dyDescent="0.25">
      <c r="A1628">
        <v>250450</v>
      </c>
      <c r="B1628">
        <v>11</v>
      </c>
      <c r="C1628">
        <v>260</v>
      </c>
      <c r="D1628" s="9">
        <v>42629</v>
      </c>
      <c r="E1628" t="s">
        <v>295</v>
      </c>
      <c r="I1628" s="9"/>
    </row>
    <row r="1629" spans="1:9" x14ac:dyDescent="0.25">
      <c r="A1629">
        <v>250450</v>
      </c>
      <c r="B1629">
        <v>9.8000000000000007</v>
      </c>
      <c r="C1629">
        <v>120</v>
      </c>
      <c r="D1629" s="9">
        <v>42626</v>
      </c>
      <c r="E1629" t="s">
        <v>295</v>
      </c>
      <c r="I1629" s="9"/>
    </row>
    <row r="1630" spans="1:9" x14ac:dyDescent="0.25">
      <c r="A1630">
        <v>250450</v>
      </c>
      <c r="B1630">
        <v>9.8000000000000007</v>
      </c>
      <c r="C1630">
        <v>180</v>
      </c>
      <c r="D1630" s="9">
        <v>42621</v>
      </c>
      <c r="E1630" t="s">
        <v>295</v>
      </c>
      <c r="I1630" s="9"/>
    </row>
    <row r="1631" spans="1:9" x14ac:dyDescent="0.25">
      <c r="A1631">
        <v>250450</v>
      </c>
      <c r="B1631">
        <v>9.8000000000000007</v>
      </c>
      <c r="C1631">
        <v>528</v>
      </c>
      <c r="D1631" s="9">
        <v>42605</v>
      </c>
      <c r="E1631" t="s">
        <v>295</v>
      </c>
      <c r="I1631" s="9"/>
    </row>
    <row r="1632" spans="1:9" x14ac:dyDescent="0.25">
      <c r="A1632">
        <v>250450</v>
      </c>
      <c r="B1632">
        <v>9.8000000000000007</v>
      </c>
      <c r="C1632">
        <v>144</v>
      </c>
      <c r="D1632" s="9">
        <v>42592</v>
      </c>
      <c r="E1632" t="s">
        <v>295</v>
      </c>
      <c r="I1632" s="9"/>
    </row>
    <row r="1633" spans="1:9" x14ac:dyDescent="0.25">
      <c r="A1633">
        <v>250450</v>
      </c>
      <c r="B1633">
        <v>9.8000000000000007</v>
      </c>
      <c r="C1633">
        <v>120</v>
      </c>
      <c r="D1633" s="9">
        <v>42527</v>
      </c>
      <c r="E1633" t="s">
        <v>295</v>
      </c>
      <c r="I1633" s="9"/>
    </row>
    <row r="1634" spans="1:9" x14ac:dyDescent="0.25">
      <c r="A1634">
        <v>250450</v>
      </c>
      <c r="B1634">
        <v>9.8000000000000007</v>
      </c>
      <c r="C1634">
        <v>204</v>
      </c>
      <c r="D1634" s="9">
        <v>42510</v>
      </c>
      <c r="E1634" t="s">
        <v>295</v>
      </c>
      <c r="I1634" s="9"/>
    </row>
    <row r="1635" spans="1:9" x14ac:dyDescent="0.25">
      <c r="A1635">
        <v>250450</v>
      </c>
      <c r="B1635">
        <v>10.98</v>
      </c>
      <c r="C1635">
        <v>224</v>
      </c>
      <c r="D1635" s="9">
        <v>42467</v>
      </c>
      <c r="E1635" t="s">
        <v>295</v>
      </c>
      <c r="I1635" s="9"/>
    </row>
    <row r="1636" spans="1:9" x14ac:dyDescent="0.25">
      <c r="A1636">
        <v>250450</v>
      </c>
      <c r="B1636">
        <v>10.98</v>
      </c>
      <c r="C1636">
        <v>144</v>
      </c>
      <c r="D1636" s="9">
        <v>42332</v>
      </c>
      <c r="E1636" t="s">
        <v>295</v>
      </c>
      <c r="I1636" s="9"/>
    </row>
    <row r="1637" spans="1:9" x14ac:dyDescent="0.25">
      <c r="A1637">
        <v>250450</v>
      </c>
      <c r="B1637">
        <v>9.8000000000000007</v>
      </c>
      <c r="C1637">
        <v>108</v>
      </c>
      <c r="D1637" s="9">
        <v>42268</v>
      </c>
      <c r="E1637" t="s">
        <v>295</v>
      </c>
      <c r="I1637" s="9"/>
    </row>
    <row r="1638" spans="1:9" x14ac:dyDescent="0.25">
      <c r="A1638">
        <v>250450</v>
      </c>
      <c r="B1638">
        <v>9.8000000000000007</v>
      </c>
      <c r="C1638">
        <v>108</v>
      </c>
      <c r="D1638" s="9">
        <v>42262</v>
      </c>
      <c r="E1638" t="s">
        <v>295</v>
      </c>
      <c r="I1638" s="9"/>
    </row>
    <row r="1639" spans="1:9" x14ac:dyDescent="0.25">
      <c r="A1639">
        <v>250450</v>
      </c>
      <c r="B1639">
        <v>9.8000000000000007</v>
      </c>
      <c r="C1639">
        <v>168</v>
      </c>
      <c r="D1639" s="9">
        <v>42243</v>
      </c>
      <c r="E1639" t="s">
        <v>295</v>
      </c>
      <c r="I1639" s="9"/>
    </row>
    <row r="1640" spans="1:9" x14ac:dyDescent="0.25">
      <c r="A1640">
        <v>250450</v>
      </c>
      <c r="B1640">
        <v>10.98</v>
      </c>
      <c r="C1640">
        <v>192</v>
      </c>
      <c r="D1640" s="9">
        <v>42229</v>
      </c>
      <c r="E1640" t="s">
        <v>295</v>
      </c>
      <c r="I1640" s="9"/>
    </row>
    <row r="1641" spans="1:9" x14ac:dyDescent="0.25">
      <c r="A1641">
        <v>250450</v>
      </c>
      <c r="B1641">
        <v>10.199999999999999</v>
      </c>
      <c r="C1641">
        <v>120</v>
      </c>
      <c r="D1641" s="9">
        <v>42173</v>
      </c>
      <c r="E1641" t="s">
        <v>295</v>
      </c>
      <c r="I1641" s="9"/>
    </row>
    <row r="1642" spans="1:9" x14ac:dyDescent="0.25">
      <c r="A1642">
        <v>250450</v>
      </c>
      <c r="B1642">
        <v>11.18</v>
      </c>
      <c r="C1642">
        <v>320</v>
      </c>
      <c r="D1642" s="9">
        <v>42034</v>
      </c>
      <c r="E1642" t="s">
        <v>295</v>
      </c>
      <c r="I1642" s="9"/>
    </row>
    <row r="1643" spans="1:9" x14ac:dyDescent="0.25">
      <c r="A1643">
        <v>250450</v>
      </c>
      <c r="B1643">
        <v>10.3</v>
      </c>
      <c r="C1643">
        <v>240</v>
      </c>
      <c r="D1643" s="9">
        <v>41960</v>
      </c>
      <c r="E1643" t="s">
        <v>295</v>
      </c>
      <c r="I1643" s="9"/>
    </row>
    <row r="1644" spans="1:9" x14ac:dyDescent="0.25">
      <c r="A1644">
        <v>250450</v>
      </c>
      <c r="B1644">
        <v>9.6</v>
      </c>
      <c r="C1644">
        <v>24</v>
      </c>
      <c r="D1644" s="9">
        <v>41935</v>
      </c>
      <c r="E1644" t="s">
        <v>295</v>
      </c>
      <c r="I1644" s="9"/>
    </row>
    <row r="1645" spans="1:9" x14ac:dyDescent="0.25">
      <c r="A1645">
        <v>250450</v>
      </c>
      <c r="B1645">
        <v>9.6</v>
      </c>
      <c r="C1645">
        <v>84</v>
      </c>
      <c r="D1645" s="9">
        <v>41912</v>
      </c>
      <c r="E1645" t="s">
        <v>295</v>
      </c>
      <c r="I1645" s="9"/>
    </row>
    <row r="1646" spans="1:9" x14ac:dyDescent="0.25">
      <c r="A1646">
        <v>250450</v>
      </c>
      <c r="B1646">
        <v>9.98</v>
      </c>
      <c r="C1646">
        <v>80</v>
      </c>
      <c r="D1646" s="9">
        <v>41892</v>
      </c>
      <c r="E1646" t="s">
        <v>295</v>
      </c>
      <c r="I1646" s="9"/>
    </row>
    <row r="1647" spans="1:9" x14ac:dyDescent="0.25">
      <c r="A1647">
        <v>250450</v>
      </c>
      <c r="B1647">
        <v>9.6</v>
      </c>
      <c r="C1647">
        <v>84</v>
      </c>
      <c r="D1647" s="9">
        <v>41884</v>
      </c>
      <c r="E1647" t="s">
        <v>295</v>
      </c>
      <c r="I1647" s="9"/>
    </row>
    <row r="1648" spans="1:9" x14ac:dyDescent="0.25">
      <c r="A1648">
        <v>250450</v>
      </c>
      <c r="B1648">
        <v>9.6</v>
      </c>
      <c r="C1648">
        <v>84</v>
      </c>
      <c r="D1648" s="9">
        <v>41879</v>
      </c>
      <c r="E1648" t="s">
        <v>295</v>
      </c>
      <c r="I1648" s="9"/>
    </row>
    <row r="1649" spans="1:9" x14ac:dyDescent="0.25">
      <c r="A1649">
        <v>250450</v>
      </c>
      <c r="B1649">
        <v>10.199999999999999</v>
      </c>
      <c r="C1649">
        <v>75</v>
      </c>
      <c r="D1649" s="9">
        <v>41870</v>
      </c>
      <c r="E1649" t="s">
        <v>295</v>
      </c>
      <c r="I1649" s="9"/>
    </row>
    <row r="1650" spans="1:9" x14ac:dyDescent="0.25">
      <c r="A1650">
        <v>250450</v>
      </c>
      <c r="B1650">
        <v>9.6</v>
      </c>
      <c r="C1650">
        <v>90</v>
      </c>
      <c r="D1650" s="9">
        <v>41864</v>
      </c>
      <c r="E1650" t="s">
        <v>295</v>
      </c>
      <c r="I1650" s="9"/>
    </row>
    <row r="1651" spans="1:9" x14ac:dyDescent="0.25">
      <c r="A1651">
        <v>250450</v>
      </c>
      <c r="B1651">
        <v>9.6</v>
      </c>
      <c r="C1651">
        <v>90</v>
      </c>
      <c r="D1651" s="9">
        <v>41858</v>
      </c>
      <c r="E1651" t="s">
        <v>295</v>
      </c>
      <c r="I1651" s="9"/>
    </row>
    <row r="1652" spans="1:9" x14ac:dyDescent="0.25">
      <c r="A1652">
        <v>250450</v>
      </c>
      <c r="B1652">
        <v>9.6</v>
      </c>
      <c r="C1652">
        <v>240</v>
      </c>
      <c r="D1652" s="9">
        <v>41719</v>
      </c>
      <c r="E1652" t="s">
        <v>295</v>
      </c>
      <c r="I1652" s="9"/>
    </row>
    <row r="1653" spans="1:9" x14ac:dyDescent="0.25">
      <c r="A1653">
        <v>250450</v>
      </c>
      <c r="B1653">
        <v>9.6</v>
      </c>
      <c r="C1653">
        <v>195</v>
      </c>
      <c r="D1653" s="9">
        <v>41596</v>
      </c>
      <c r="E1653" t="s">
        <v>295</v>
      </c>
      <c r="I1653" s="9"/>
    </row>
    <row r="1654" spans="1:9" x14ac:dyDescent="0.25">
      <c r="A1654">
        <v>250460</v>
      </c>
      <c r="B1654">
        <v>13.25</v>
      </c>
      <c r="C1654">
        <v>36</v>
      </c>
      <c r="D1654" s="9">
        <v>44133</v>
      </c>
      <c r="E1654" t="s">
        <v>295</v>
      </c>
      <c r="I1654" s="9"/>
    </row>
    <row r="1655" spans="1:9" x14ac:dyDescent="0.25">
      <c r="A1655">
        <v>250460</v>
      </c>
      <c r="B1655">
        <v>2.14</v>
      </c>
      <c r="C1655">
        <v>1350</v>
      </c>
      <c r="D1655" s="9">
        <v>43966</v>
      </c>
      <c r="E1655" t="s">
        <v>296</v>
      </c>
      <c r="I1655" s="9"/>
    </row>
    <row r="1656" spans="1:9" x14ac:dyDescent="0.25">
      <c r="A1656">
        <v>250460</v>
      </c>
      <c r="B1656">
        <v>2.4700000000000002</v>
      </c>
      <c r="C1656">
        <v>414</v>
      </c>
      <c r="D1656" s="9">
        <v>43634</v>
      </c>
      <c r="E1656" t="s">
        <v>296</v>
      </c>
      <c r="I1656" s="9"/>
    </row>
    <row r="1657" spans="1:9" x14ac:dyDescent="0.25">
      <c r="A1657">
        <v>250460</v>
      </c>
      <c r="B1657">
        <v>2.4</v>
      </c>
      <c r="C1657">
        <v>1980</v>
      </c>
      <c r="D1657" s="9">
        <v>43483</v>
      </c>
      <c r="E1657" t="s">
        <v>296</v>
      </c>
      <c r="I1657" s="9"/>
    </row>
    <row r="1658" spans="1:9" x14ac:dyDescent="0.25">
      <c r="A1658">
        <v>250460</v>
      </c>
      <c r="B1658">
        <v>11.28</v>
      </c>
      <c r="C1658">
        <v>140</v>
      </c>
      <c r="D1658" s="9">
        <v>43431</v>
      </c>
      <c r="E1658" t="s">
        <v>295</v>
      </c>
      <c r="I1658" s="9"/>
    </row>
    <row r="1659" spans="1:9" x14ac:dyDescent="0.25">
      <c r="A1659">
        <v>250460</v>
      </c>
      <c r="B1659">
        <v>12.46</v>
      </c>
      <c r="C1659">
        <v>140</v>
      </c>
      <c r="D1659" s="9">
        <v>43377</v>
      </c>
      <c r="E1659" t="s">
        <v>295</v>
      </c>
      <c r="I1659" s="9"/>
    </row>
    <row r="1660" spans="1:9" x14ac:dyDescent="0.25">
      <c r="A1660">
        <v>250460</v>
      </c>
      <c r="B1660">
        <v>11.04</v>
      </c>
      <c r="C1660">
        <v>140</v>
      </c>
      <c r="D1660" s="9">
        <v>43319</v>
      </c>
      <c r="E1660" t="s">
        <v>295</v>
      </c>
      <c r="I1660" s="9"/>
    </row>
    <row r="1661" spans="1:9" x14ac:dyDescent="0.25">
      <c r="A1661">
        <v>250460</v>
      </c>
      <c r="B1661">
        <v>11.04</v>
      </c>
      <c r="C1661">
        <v>50</v>
      </c>
      <c r="D1661" s="9">
        <v>43230</v>
      </c>
      <c r="E1661" t="s">
        <v>295</v>
      </c>
      <c r="I1661" s="9"/>
    </row>
    <row r="1662" spans="1:9" x14ac:dyDescent="0.25">
      <c r="A1662">
        <v>250460</v>
      </c>
      <c r="B1662">
        <v>12.94</v>
      </c>
      <c r="C1662">
        <v>120</v>
      </c>
      <c r="D1662" s="9">
        <v>43166</v>
      </c>
      <c r="E1662" t="s">
        <v>295</v>
      </c>
      <c r="I1662" s="9"/>
    </row>
    <row r="1663" spans="1:9" x14ac:dyDescent="0.25">
      <c r="A1663">
        <v>250460</v>
      </c>
      <c r="B1663">
        <v>12.94</v>
      </c>
      <c r="C1663">
        <v>150</v>
      </c>
      <c r="D1663" s="9">
        <v>43103</v>
      </c>
      <c r="E1663" t="s">
        <v>295</v>
      </c>
      <c r="I1663" s="9"/>
    </row>
    <row r="1664" spans="1:9" x14ac:dyDescent="0.25">
      <c r="A1664">
        <v>250460</v>
      </c>
      <c r="B1664">
        <v>12.94</v>
      </c>
      <c r="C1664">
        <v>300</v>
      </c>
      <c r="D1664" s="9">
        <v>43028</v>
      </c>
      <c r="E1664" t="s">
        <v>295</v>
      </c>
      <c r="I1664" s="9"/>
    </row>
    <row r="1665" spans="1:9" x14ac:dyDescent="0.25">
      <c r="A1665">
        <v>250460</v>
      </c>
      <c r="B1665">
        <v>11.76</v>
      </c>
      <c r="C1665">
        <v>150</v>
      </c>
      <c r="D1665" s="9">
        <v>43006</v>
      </c>
      <c r="E1665" t="s">
        <v>295</v>
      </c>
      <c r="I1665" s="9"/>
    </row>
    <row r="1666" spans="1:9" x14ac:dyDescent="0.25">
      <c r="A1666">
        <v>250460</v>
      </c>
      <c r="B1666">
        <v>11.76</v>
      </c>
      <c r="C1666">
        <v>120</v>
      </c>
      <c r="D1666" s="9">
        <v>42986</v>
      </c>
      <c r="E1666" t="s">
        <v>295</v>
      </c>
      <c r="I1666" s="9"/>
    </row>
    <row r="1667" spans="1:9" x14ac:dyDescent="0.25">
      <c r="A1667">
        <v>250460</v>
      </c>
      <c r="B1667">
        <v>11.76</v>
      </c>
      <c r="C1667">
        <v>120</v>
      </c>
      <c r="D1667" s="9">
        <v>42985</v>
      </c>
      <c r="E1667" t="s">
        <v>295</v>
      </c>
      <c r="I1667" s="9"/>
    </row>
    <row r="1668" spans="1:9" x14ac:dyDescent="0.25">
      <c r="A1668">
        <v>250460</v>
      </c>
      <c r="B1668">
        <v>11.76</v>
      </c>
      <c r="C1668">
        <v>100</v>
      </c>
      <c r="D1668" s="9">
        <v>42923</v>
      </c>
      <c r="E1668" t="s">
        <v>295</v>
      </c>
      <c r="I1668" s="9"/>
    </row>
    <row r="1669" spans="1:9" x14ac:dyDescent="0.25">
      <c r="A1669">
        <v>250460</v>
      </c>
      <c r="B1669">
        <v>12</v>
      </c>
      <c r="C1669">
        <v>100</v>
      </c>
      <c r="D1669" s="9">
        <v>42846</v>
      </c>
      <c r="E1669" t="s">
        <v>295</v>
      </c>
      <c r="I1669" s="9"/>
    </row>
    <row r="1670" spans="1:9" x14ac:dyDescent="0.25">
      <c r="A1670">
        <v>250460</v>
      </c>
      <c r="B1670">
        <v>12</v>
      </c>
      <c r="C1670">
        <v>120</v>
      </c>
      <c r="D1670" s="9">
        <v>42829</v>
      </c>
      <c r="E1670" t="s">
        <v>295</v>
      </c>
      <c r="I1670" s="9"/>
    </row>
    <row r="1671" spans="1:9" x14ac:dyDescent="0.25">
      <c r="A1671">
        <v>250460</v>
      </c>
      <c r="B1671">
        <v>11.76</v>
      </c>
      <c r="C1671">
        <v>120</v>
      </c>
      <c r="D1671" s="9">
        <v>42754</v>
      </c>
      <c r="E1671" t="s">
        <v>295</v>
      </c>
      <c r="I1671" s="9"/>
    </row>
    <row r="1672" spans="1:9" x14ac:dyDescent="0.25">
      <c r="A1672">
        <v>250460</v>
      </c>
      <c r="B1672">
        <v>11.76</v>
      </c>
      <c r="C1672">
        <v>50</v>
      </c>
      <c r="D1672" s="9">
        <v>42745</v>
      </c>
      <c r="E1672" t="s">
        <v>295</v>
      </c>
      <c r="I1672" s="9"/>
    </row>
    <row r="1673" spans="1:9" x14ac:dyDescent="0.25">
      <c r="A1673">
        <v>250460</v>
      </c>
      <c r="B1673">
        <v>11.76</v>
      </c>
      <c r="C1673">
        <v>50</v>
      </c>
      <c r="D1673" s="9">
        <v>42719</v>
      </c>
      <c r="E1673" t="s">
        <v>295</v>
      </c>
      <c r="I1673" s="9"/>
    </row>
    <row r="1674" spans="1:9" x14ac:dyDescent="0.25">
      <c r="A1674">
        <v>250460</v>
      </c>
      <c r="B1674">
        <v>11.76</v>
      </c>
      <c r="C1674">
        <v>80</v>
      </c>
      <c r="D1674" s="9">
        <v>42626</v>
      </c>
      <c r="E1674" t="s">
        <v>295</v>
      </c>
      <c r="I1674" s="9"/>
    </row>
    <row r="1675" spans="1:9" x14ac:dyDescent="0.25">
      <c r="A1675">
        <v>250460</v>
      </c>
      <c r="B1675">
        <v>11.76</v>
      </c>
      <c r="C1675">
        <v>80</v>
      </c>
      <c r="D1675" s="9">
        <v>42621</v>
      </c>
      <c r="E1675" t="s">
        <v>295</v>
      </c>
      <c r="I1675" s="9"/>
    </row>
    <row r="1676" spans="1:9" x14ac:dyDescent="0.25">
      <c r="A1676">
        <v>250460</v>
      </c>
      <c r="B1676">
        <v>13.18</v>
      </c>
      <c r="C1676">
        <v>140</v>
      </c>
      <c r="D1676" s="9">
        <v>42605</v>
      </c>
      <c r="E1676" t="s">
        <v>295</v>
      </c>
      <c r="I1676" s="9"/>
    </row>
    <row r="1677" spans="1:9" x14ac:dyDescent="0.25">
      <c r="A1677">
        <v>250460</v>
      </c>
      <c r="B1677">
        <v>11.76</v>
      </c>
      <c r="C1677">
        <v>90</v>
      </c>
      <c r="D1677" s="9">
        <v>42515</v>
      </c>
      <c r="E1677" t="s">
        <v>295</v>
      </c>
      <c r="I1677" s="9"/>
    </row>
    <row r="1678" spans="1:9" x14ac:dyDescent="0.25">
      <c r="A1678">
        <v>250460</v>
      </c>
      <c r="B1678">
        <v>11.76</v>
      </c>
      <c r="C1678">
        <v>90</v>
      </c>
      <c r="D1678" s="9">
        <v>42515</v>
      </c>
      <c r="E1678" t="s">
        <v>295</v>
      </c>
      <c r="I1678" s="9"/>
    </row>
    <row r="1679" spans="1:9" x14ac:dyDescent="0.25">
      <c r="A1679">
        <v>250460</v>
      </c>
      <c r="B1679">
        <v>11.76</v>
      </c>
      <c r="C1679">
        <v>90</v>
      </c>
      <c r="D1679" s="9">
        <v>42510</v>
      </c>
      <c r="E1679" t="s">
        <v>295</v>
      </c>
      <c r="I1679" s="9"/>
    </row>
    <row r="1680" spans="1:9" x14ac:dyDescent="0.25">
      <c r="A1680">
        <v>250460</v>
      </c>
      <c r="B1680">
        <v>13.18</v>
      </c>
      <c r="C1680">
        <v>140</v>
      </c>
      <c r="D1680" s="9">
        <v>42467</v>
      </c>
      <c r="E1680" t="s">
        <v>295</v>
      </c>
      <c r="I1680" s="9"/>
    </row>
    <row r="1681" spans="1:9" x14ac:dyDescent="0.25">
      <c r="A1681">
        <v>250460</v>
      </c>
      <c r="B1681">
        <v>13.18</v>
      </c>
      <c r="C1681">
        <v>230</v>
      </c>
      <c r="D1681" s="9">
        <v>42332</v>
      </c>
      <c r="E1681" t="s">
        <v>295</v>
      </c>
      <c r="I1681" s="9"/>
    </row>
    <row r="1682" spans="1:9" x14ac:dyDescent="0.25">
      <c r="A1682">
        <v>250460</v>
      </c>
      <c r="B1682">
        <v>13.18</v>
      </c>
      <c r="C1682">
        <v>220</v>
      </c>
      <c r="D1682" s="9">
        <v>42285</v>
      </c>
      <c r="E1682" t="s">
        <v>295</v>
      </c>
      <c r="I1682" s="9"/>
    </row>
    <row r="1683" spans="1:9" x14ac:dyDescent="0.25">
      <c r="A1683">
        <v>250460</v>
      </c>
      <c r="B1683">
        <v>11.76</v>
      </c>
      <c r="C1683">
        <v>100</v>
      </c>
      <c r="D1683" s="9">
        <v>42268</v>
      </c>
      <c r="E1683" t="s">
        <v>295</v>
      </c>
      <c r="I1683" s="9"/>
    </row>
    <row r="1684" spans="1:9" x14ac:dyDescent="0.25">
      <c r="A1684">
        <v>250460</v>
      </c>
      <c r="B1684">
        <v>11.76</v>
      </c>
      <c r="C1684">
        <v>100</v>
      </c>
      <c r="D1684" s="9">
        <v>42262</v>
      </c>
      <c r="E1684" t="s">
        <v>295</v>
      </c>
      <c r="I1684" s="9"/>
    </row>
    <row r="1685" spans="1:9" x14ac:dyDescent="0.25">
      <c r="A1685">
        <v>250460</v>
      </c>
      <c r="B1685">
        <v>11.76</v>
      </c>
      <c r="C1685">
        <v>50</v>
      </c>
      <c r="D1685" s="9">
        <v>42243</v>
      </c>
      <c r="E1685" t="s">
        <v>295</v>
      </c>
      <c r="I1685" s="9"/>
    </row>
    <row r="1686" spans="1:9" x14ac:dyDescent="0.25">
      <c r="A1686">
        <v>250460</v>
      </c>
      <c r="B1686">
        <v>13.18</v>
      </c>
      <c r="C1686">
        <v>300</v>
      </c>
      <c r="D1686" s="9">
        <v>42229</v>
      </c>
      <c r="E1686" t="s">
        <v>295</v>
      </c>
      <c r="I1686" s="9"/>
    </row>
    <row r="1687" spans="1:9" x14ac:dyDescent="0.25">
      <c r="A1687">
        <v>250460</v>
      </c>
      <c r="B1687">
        <v>12.24</v>
      </c>
      <c r="C1687">
        <v>100</v>
      </c>
      <c r="D1687" s="9">
        <v>42188</v>
      </c>
      <c r="E1687" t="s">
        <v>295</v>
      </c>
      <c r="I1687" s="9"/>
    </row>
    <row r="1688" spans="1:9" x14ac:dyDescent="0.25">
      <c r="A1688">
        <v>250460</v>
      </c>
      <c r="B1688">
        <v>12.24</v>
      </c>
      <c r="C1688">
        <v>100</v>
      </c>
      <c r="D1688" s="9">
        <v>42173</v>
      </c>
      <c r="E1688" t="s">
        <v>295</v>
      </c>
      <c r="I1688" s="9"/>
    </row>
    <row r="1689" spans="1:9" x14ac:dyDescent="0.25">
      <c r="A1689">
        <v>250460</v>
      </c>
      <c r="B1689">
        <v>12.36</v>
      </c>
      <c r="C1689">
        <v>200</v>
      </c>
      <c r="D1689" s="9">
        <v>41960</v>
      </c>
      <c r="E1689" t="s">
        <v>295</v>
      </c>
      <c r="I1689" s="9"/>
    </row>
    <row r="1690" spans="1:9" x14ac:dyDescent="0.25">
      <c r="A1690">
        <v>250460</v>
      </c>
      <c r="B1690">
        <v>11.52</v>
      </c>
      <c r="C1690">
        <v>100</v>
      </c>
      <c r="D1690" s="9">
        <v>41935</v>
      </c>
      <c r="E1690" t="s">
        <v>295</v>
      </c>
      <c r="I1690" s="9"/>
    </row>
    <row r="1691" spans="1:9" x14ac:dyDescent="0.25">
      <c r="A1691">
        <v>250460</v>
      </c>
      <c r="B1691">
        <v>12.46</v>
      </c>
      <c r="C1691">
        <v>300</v>
      </c>
      <c r="D1691" s="9">
        <v>41918</v>
      </c>
      <c r="E1691" t="s">
        <v>295</v>
      </c>
      <c r="I1691" s="9"/>
    </row>
    <row r="1692" spans="1:9" x14ac:dyDescent="0.25">
      <c r="A1692">
        <v>250460</v>
      </c>
      <c r="B1692">
        <v>11.52</v>
      </c>
      <c r="C1692">
        <v>100</v>
      </c>
      <c r="D1692" s="9">
        <v>41912</v>
      </c>
      <c r="E1692" t="s">
        <v>295</v>
      </c>
      <c r="I1692" s="9"/>
    </row>
    <row r="1693" spans="1:9" x14ac:dyDescent="0.25">
      <c r="A1693">
        <v>250460</v>
      </c>
      <c r="B1693">
        <v>11.98</v>
      </c>
      <c r="C1693">
        <v>60</v>
      </c>
      <c r="D1693" s="9">
        <v>41892</v>
      </c>
      <c r="E1693" t="s">
        <v>295</v>
      </c>
      <c r="I1693" s="9"/>
    </row>
    <row r="1694" spans="1:9" x14ac:dyDescent="0.25">
      <c r="A1694">
        <v>250460</v>
      </c>
      <c r="B1694">
        <v>11.52</v>
      </c>
      <c r="C1694">
        <v>200</v>
      </c>
      <c r="D1694" s="9">
        <v>41788</v>
      </c>
      <c r="E1694" t="s">
        <v>295</v>
      </c>
      <c r="I1694" s="9"/>
    </row>
    <row r="1695" spans="1:9" x14ac:dyDescent="0.25">
      <c r="A1695">
        <v>250460</v>
      </c>
      <c r="B1695">
        <v>11.52</v>
      </c>
      <c r="C1695">
        <v>100</v>
      </c>
      <c r="D1695" s="9">
        <v>41725</v>
      </c>
      <c r="E1695" t="s">
        <v>295</v>
      </c>
      <c r="I1695" s="9"/>
    </row>
    <row r="1696" spans="1:9" x14ac:dyDescent="0.25">
      <c r="A1696">
        <v>250460</v>
      </c>
      <c r="B1696">
        <v>11.52</v>
      </c>
      <c r="C1696">
        <v>240</v>
      </c>
      <c r="D1696" s="9">
        <v>41719</v>
      </c>
      <c r="E1696" t="s">
        <v>295</v>
      </c>
      <c r="I1696" s="9"/>
    </row>
    <row r="1697" spans="1:9" x14ac:dyDescent="0.25">
      <c r="A1697">
        <v>250460</v>
      </c>
      <c r="B1697">
        <v>11.52</v>
      </c>
      <c r="C1697">
        <v>500</v>
      </c>
      <c r="D1697" s="9">
        <v>41703</v>
      </c>
      <c r="E1697" t="s">
        <v>295</v>
      </c>
      <c r="I1697" s="9"/>
    </row>
    <row r="1698" spans="1:9" x14ac:dyDescent="0.25">
      <c r="A1698">
        <v>250460</v>
      </c>
      <c r="B1698">
        <v>12.24</v>
      </c>
      <c r="C1698">
        <v>360</v>
      </c>
      <c r="D1698" s="9">
        <v>41614</v>
      </c>
      <c r="E1698" t="s">
        <v>295</v>
      </c>
      <c r="I1698" s="9"/>
    </row>
    <row r="1699" spans="1:9" x14ac:dyDescent="0.25">
      <c r="A1699">
        <v>250480</v>
      </c>
      <c r="B1699">
        <v>2.85</v>
      </c>
      <c r="C1699">
        <v>550</v>
      </c>
      <c r="D1699" s="9">
        <v>43966</v>
      </c>
      <c r="E1699" t="s">
        <v>296</v>
      </c>
      <c r="I1699" s="9"/>
    </row>
    <row r="1700" spans="1:9" x14ac:dyDescent="0.25">
      <c r="A1700">
        <v>250480</v>
      </c>
      <c r="B1700">
        <v>3.2</v>
      </c>
      <c r="C1700">
        <v>1200</v>
      </c>
      <c r="D1700" s="9">
        <v>43483</v>
      </c>
      <c r="E1700" t="s">
        <v>296</v>
      </c>
      <c r="I1700" s="9"/>
    </row>
    <row r="1701" spans="1:9" x14ac:dyDescent="0.25">
      <c r="A1701">
        <v>250560</v>
      </c>
      <c r="B1701">
        <v>2.67</v>
      </c>
      <c r="C1701">
        <v>700</v>
      </c>
      <c r="D1701" s="9">
        <v>43966</v>
      </c>
      <c r="E1701" t="s">
        <v>296</v>
      </c>
      <c r="I1701" s="9"/>
    </row>
    <row r="1702" spans="1:9" x14ac:dyDescent="0.25">
      <c r="A1702">
        <v>250560</v>
      </c>
      <c r="B1702">
        <v>3</v>
      </c>
      <c r="C1702">
        <v>1250</v>
      </c>
      <c r="D1702" s="9">
        <v>43483</v>
      </c>
      <c r="E1702" t="s">
        <v>296</v>
      </c>
      <c r="I1702" s="9"/>
    </row>
    <row r="1703" spans="1:9" x14ac:dyDescent="0.25">
      <c r="A1703">
        <v>250560</v>
      </c>
      <c r="B1703">
        <v>14.1</v>
      </c>
      <c r="C1703">
        <v>104</v>
      </c>
      <c r="D1703" s="9">
        <v>43431</v>
      </c>
      <c r="E1703" t="s">
        <v>295</v>
      </c>
      <c r="I1703" s="9"/>
    </row>
    <row r="1704" spans="1:9" x14ac:dyDescent="0.25">
      <c r="A1704">
        <v>250560</v>
      </c>
      <c r="B1704">
        <v>15.57</v>
      </c>
      <c r="C1704">
        <v>80</v>
      </c>
      <c r="D1704" s="9">
        <v>43377</v>
      </c>
      <c r="E1704" t="s">
        <v>295</v>
      </c>
      <c r="I1704" s="9"/>
    </row>
    <row r="1705" spans="1:9" x14ac:dyDescent="0.25">
      <c r="A1705">
        <v>250560</v>
      </c>
      <c r="B1705">
        <v>14.72</v>
      </c>
      <c r="C1705">
        <v>56</v>
      </c>
      <c r="D1705" s="9">
        <v>43319</v>
      </c>
      <c r="E1705" t="s">
        <v>295</v>
      </c>
      <c r="I1705" s="9"/>
    </row>
    <row r="1706" spans="1:9" x14ac:dyDescent="0.25">
      <c r="A1706">
        <v>250560</v>
      </c>
      <c r="B1706">
        <v>14.72</v>
      </c>
      <c r="C1706">
        <v>56</v>
      </c>
      <c r="D1706" s="9">
        <v>43230</v>
      </c>
      <c r="E1706" t="s">
        <v>295</v>
      </c>
      <c r="I1706" s="9"/>
    </row>
    <row r="1707" spans="1:9" x14ac:dyDescent="0.25">
      <c r="A1707">
        <v>250560</v>
      </c>
      <c r="B1707">
        <v>16.170000000000002</v>
      </c>
      <c r="C1707">
        <v>60</v>
      </c>
      <c r="D1707" s="9">
        <v>43166</v>
      </c>
      <c r="E1707" t="s">
        <v>295</v>
      </c>
      <c r="I1707" s="9"/>
    </row>
    <row r="1708" spans="1:9" x14ac:dyDescent="0.25">
      <c r="A1708">
        <v>250560</v>
      </c>
      <c r="B1708">
        <v>14.7</v>
      </c>
      <c r="C1708">
        <v>56</v>
      </c>
      <c r="D1708" s="9">
        <v>43049</v>
      </c>
      <c r="E1708" t="s">
        <v>295</v>
      </c>
      <c r="I1708" s="9"/>
    </row>
    <row r="1709" spans="1:9" x14ac:dyDescent="0.25">
      <c r="A1709">
        <v>250560</v>
      </c>
      <c r="B1709">
        <v>16.170000000000002</v>
      </c>
      <c r="C1709">
        <v>150</v>
      </c>
      <c r="D1709" s="9">
        <v>43028</v>
      </c>
      <c r="E1709" t="s">
        <v>295</v>
      </c>
      <c r="I1709" s="9"/>
    </row>
    <row r="1710" spans="1:9" x14ac:dyDescent="0.25">
      <c r="A1710">
        <v>250560</v>
      </c>
      <c r="B1710">
        <v>14.7</v>
      </c>
      <c r="C1710">
        <v>112</v>
      </c>
      <c r="D1710" s="9">
        <v>42986</v>
      </c>
      <c r="E1710" t="s">
        <v>295</v>
      </c>
      <c r="I1710" s="9"/>
    </row>
    <row r="1711" spans="1:9" x14ac:dyDescent="0.25">
      <c r="A1711">
        <v>250560</v>
      </c>
      <c r="B1711">
        <v>14.7</v>
      </c>
      <c r="C1711">
        <v>112</v>
      </c>
      <c r="D1711" s="9">
        <v>42985</v>
      </c>
      <c r="E1711" t="s">
        <v>295</v>
      </c>
      <c r="I1711" s="9"/>
    </row>
    <row r="1712" spans="1:9" x14ac:dyDescent="0.25">
      <c r="A1712">
        <v>250560</v>
      </c>
      <c r="B1712">
        <v>14.7</v>
      </c>
      <c r="C1712">
        <v>48</v>
      </c>
      <c r="D1712" s="9">
        <v>42923</v>
      </c>
      <c r="E1712" t="s">
        <v>295</v>
      </c>
      <c r="I1712" s="9"/>
    </row>
    <row r="1713" spans="1:9" x14ac:dyDescent="0.25">
      <c r="A1713">
        <v>250560</v>
      </c>
      <c r="B1713">
        <v>15</v>
      </c>
      <c r="C1713">
        <v>120</v>
      </c>
      <c r="D1713" s="9">
        <v>42913</v>
      </c>
      <c r="E1713" t="s">
        <v>295</v>
      </c>
      <c r="I1713" s="9"/>
    </row>
    <row r="1714" spans="1:9" x14ac:dyDescent="0.25">
      <c r="A1714">
        <v>250560</v>
      </c>
      <c r="B1714">
        <v>15</v>
      </c>
      <c r="C1714">
        <v>64</v>
      </c>
      <c r="D1714" s="9">
        <v>42846</v>
      </c>
      <c r="E1714" t="s">
        <v>295</v>
      </c>
      <c r="I1714" s="9"/>
    </row>
    <row r="1715" spans="1:9" x14ac:dyDescent="0.25">
      <c r="A1715">
        <v>250560</v>
      </c>
      <c r="B1715">
        <v>15</v>
      </c>
      <c r="C1715">
        <v>64</v>
      </c>
      <c r="D1715" s="9">
        <v>42825</v>
      </c>
      <c r="E1715" t="s">
        <v>295</v>
      </c>
      <c r="I1715" s="9"/>
    </row>
    <row r="1716" spans="1:9" x14ac:dyDescent="0.25">
      <c r="A1716">
        <v>250560</v>
      </c>
      <c r="B1716">
        <v>14.7</v>
      </c>
      <c r="C1716">
        <v>70</v>
      </c>
      <c r="D1716" s="9">
        <v>42754</v>
      </c>
      <c r="E1716" t="s">
        <v>295</v>
      </c>
      <c r="I1716" s="9"/>
    </row>
    <row r="1717" spans="1:9" x14ac:dyDescent="0.25">
      <c r="A1717">
        <v>250560</v>
      </c>
      <c r="B1717">
        <v>14.7</v>
      </c>
      <c r="C1717">
        <v>64</v>
      </c>
      <c r="D1717" s="9">
        <v>42643</v>
      </c>
      <c r="E1717" t="s">
        <v>295</v>
      </c>
      <c r="I1717" s="9"/>
    </row>
    <row r="1718" spans="1:9" x14ac:dyDescent="0.25">
      <c r="A1718">
        <v>250560</v>
      </c>
      <c r="B1718">
        <v>16.47</v>
      </c>
      <c r="C1718">
        <v>156</v>
      </c>
      <c r="D1718" s="9">
        <v>42577</v>
      </c>
      <c r="E1718" t="s">
        <v>295</v>
      </c>
      <c r="I1718" s="9"/>
    </row>
    <row r="1719" spans="1:9" x14ac:dyDescent="0.25">
      <c r="A1719">
        <v>250560</v>
      </c>
      <c r="B1719">
        <v>16.47</v>
      </c>
      <c r="C1719">
        <v>140</v>
      </c>
      <c r="D1719" s="9">
        <v>42467</v>
      </c>
      <c r="E1719" t="s">
        <v>295</v>
      </c>
      <c r="I1719" s="9"/>
    </row>
    <row r="1720" spans="1:9" x14ac:dyDescent="0.25">
      <c r="A1720">
        <v>250560</v>
      </c>
      <c r="B1720">
        <v>14.7</v>
      </c>
      <c r="C1720">
        <v>64</v>
      </c>
      <c r="D1720" s="9">
        <v>42431</v>
      </c>
      <c r="E1720" t="s">
        <v>295</v>
      </c>
      <c r="I1720" s="9"/>
    </row>
    <row r="1721" spans="1:9" x14ac:dyDescent="0.25">
      <c r="A1721">
        <v>250560</v>
      </c>
      <c r="B1721">
        <v>14.7</v>
      </c>
      <c r="C1721">
        <v>96</v>
      </c>
      <c r="D1721" s="9">
        <v>42268</v>
      </c>
      <c r="E1721" t="s">
        <v>295</v>
      </c>
      <c r="I1721" s="9"/>
    </row>
    <row r="1722" spans="1:9" x14ac:dyDescent="0.25">
      <c r="A1722">
        <v>250560</v>
      </c>
      <c r="B1722">
        <v>14.7</v>
      </c>
      <c r="C1722">
        <v>200</v>
      </c>
      <c r="D1722" s="9">
        <v>42262</v>
      </c>
      <c r="E1722" t="s">
        <v>295</v>
      </c>
      <c r="I1722" s="9"/>
    </row>
    <row r="1723" spans="1:9" x14ac:dyDescent="0.25">
      <c r="A1723">
        <v>250560</v>
      </c>
      <c r="B1723">
        <v>15.3</v>
      </c>
      <c r="C1723">
        <v>128</v>
      </c>
      <c r="D1723" s="9">
        <v>42229</v>
      </c>
      <c r="E1723" t="s">
        <v>295</v>
      </c>
      <c r="I1723" s="9"/>
    </row>
    <row r="1724" spans="1:9" x14ac:dyDescent="0.25">
      <c r="A1724">
        <v>250560</v>
      </c>
      <c r="B1724">
        <v>15.3</v>
      </c>
      <c r="C1724">
        <v>120</v>
      </c>
      <c r="D1724" s="9">
        <v>42173</v>
      </c>
      <c r="E1724" t="s">
        <v>295</v>
      </c>
      <c r="I1724" s="9"/>
    </row>
    <row r="1725" spans="1:9" x14ac:dyDescent="0.25">
      <c r="A1725">
        <v>250560</v>
      </c>
      <c r="B1725">
        <v>15.6</v>
      </c>
      <c r="C1725">
        <v>80</v>
      </c>
      <c r="D1725" s="9">
        <v>42170</v>
      </c>
      <c r="E1725" t="s">
        <v>295</v>
      </c>
      <c r="I1725" s="9"/>
    </row>
    <row r="1726" spans="1:9" x14ac:dyDescent="0.25">
      <c r="A1726">
        <v>250560</v>
      </c>
      <c r="B1726">
        <v>16.77</v>
      </c>
      <c r="C1726">
        <v>80</v>
      </c>
      <c r="D1726" s="9">
        <v>42034</v>
      </c>
      <c r="E1726" t="s">
        <v>295</v>
      </c>
      <c r="I1726" s="9"/>
    </row>
    <row r="1727" spans="1:9" x14ac:dyDescent="0.25">
      <c r="A1727">
        <v>250560</v>
      </c>
      <c r="B1727">
        <v>15.45</v>
      </c>
      <c r="C1727">
        <v>80</v>
      </c>
      <c r="D1727" s="9">
        <v>41960</v>
      </c>
      <c r="E1727" t="s">
        <v>295</v>
      </c>
      <c r="I1727" s="9"/>
    </row>
    <row r="1728" spans="1:9" x14ac:dyDescent="0.25">
      <c r="A1728">
        <v>250560</v>
      </c>
      <c r="B1728">
        <v>14.4</v>
      </c>
      <c r="C1728">
        <v>64</v>
      </c>
      <c r="D1728" s="9">
        <v>41935</v>
      </c>
      <c r="E1728" t="s">
        <v>295</v>
      </c>
      <c r="I1728" s="9"/>
    </row>
    <row r="1729" spans="1:9" x14ac:dyDescent="0.25">
      <c r="A1729">
        <v>250560</v>
      </c>
      <c r="B1729">
        <v>15.57</v>
      </c>
      <c r="C1729">
        <v>60</v>
      </c>
      <c r="D1729" s="9">
        <v>41918</v>
      </c>
      <c r="E1729" t="s">
        <v>295</v>
      </c>
      <c r="I1729" s="9"/>
    </row>
    <row r="1730" spans="1:9" x14ac:dyDescent="0.25">
      <c r="A1730">
        <v>250560</v>
      </c>
      <c r="B1730">
        <v>14.97</v>
      </c>
      <c r="C1730">
        <v>40</v>
      </c>
      <c r="D1730" s="9">
        <v>41892</v>
      </c>
      <c r="E1730" t="s">
        <v>295</v>
      </c>
      <c r="I1730" s="9"/>
    </row>
    <row r="1731" spans="1:9" x14ac:dyDescent="0.25">
      <c r="A1731">
        <v>250560</v>
      </c>
      <c r="B1731">
        <v>14.4</v>
      </c>
      <c r="C1731">
        <v>64</v>
      </c>
      <c r="D1731" s="9">
        <v>41884</v>
      </c>
      <c r="E1731" t="s">
        <v>295</v>
      </c>
      <c r="I1731" s="9"/>
    </row>
    <row r="1732" spans="1:9" x14ac:dyDescent="0.25">
      <c r="A1732">
        <v>250560</v>
      </c>
      <c r="B1732">
        <v>14.4</v>
      </c>
      <c r="C1732">
        <v>64</v>
      </c>
      <c r="D1732" s="9">
        <v>41879</v>
      </c>
      <c r="E1732" t="s">
        <v>295</v>
      </c>
      <c r="I1732" s="9"/>
    </row>
    <row r="1733" spans="1:9" x14ac:dyDescent="0.25">
      <c r="A1733">
        <v>250560</v>
      </c>
      <c r="B1733">
        <v>14.4</v>
      </c>
      <c r="C1733">
        <v>60</v>
      </c>
      <c r="D1733" s="9">
        <v>41858</v>
      </c>
      <c r="E1733" t="s">
        <v>295</v>
      </c>
      <c r="I1733" s="9"/>
    </row>
    <row r="1734" spans="1:9" x14ac:dyDescent="0.25">
      <c r="A1734">
        <v>250560</v>
      </c>
      <c r="B1734">
        <v>14.4</v>
      </c>
      <c r="C1734">
        <v>100</v>
      </c>
      <c r="D1734" s="9">
        <v>41719</v>
      </c>
      <c r="E1734" t="s">
        <v>295</v>
      </c>
      <c r="I1734" s="9"/>
    </row>
    <row r="1735" spans="1:9" x14ac:dyDescent="0.25">
      <c r="A1735">
        <v>250560</v>
      </c>
      <c r="B1735">
        <v>14.4</v>
      </c>
      <c r="C1735">
        <v>80</v>
      </c>
      <c r="D1735" s="9">
        <v>41689</v>
      </c>
      <c r="E1735" t="s">
        <v>295</v>
      </c>
      <c r="I1735" s="9"/>
    </row>
    <row r="1736" spans="1:9" x14ac:dyDescent="0.25">
      <c r="A1736">
        <v>250560</v>
      </c>
      <c r="B1736">
        <v>15.3</v>
      </c>
      <c r="C1736">
        <v>48</v>
      </c>
      <c r="D1736" s="9">
        <v>41605</v>
      </c>
      <c r="E1736" t="s">
        <v>295</v>
      </c>
      <c r="I1736" s="9"/>
    </row>
    <row r="1737" spans="1:9" x14ac:dyDescent="0.25">
      <c r="A1737">
        <v>250560</v>
      </c>
      <c r="B1737">
        <v>14.4</v>
      </c>
      <c r="C1737">
        <v>120</v>
      </c>
      <c r="D1737" s="9">
        <v>41565</v>
      </c>
      <c r="E1737" t="s">
        <v>295</v>
      </c>
      <c r="I1737" s="9"/>
    </row>
    <row r="1738" spans="1:9" x14ac:dyDescent="0.25">
      <c r="A1738">
        <v>250570</v>
      </c>
      <c r="B1738">
        <v>15.04</v>
      </c>
      <c r="C1738">
        <v>56</v>
      </c>
      <c r="D1738" s="9">
        <v>43431</v>
      </c>
      <c r="E1738" t="s">
        <v>295</v>
      </c>
      <c r="I1738" s="9"/>
    </row>
    <row r="1739" spans="1:9" x14ac:dyDescent="0.25">
      <c r="A1739">
        <v>250570</v>
      </c>
      <c r="B1739">
        <v>13.8</v>
      </c>
      <c r="C1739">
        <v>56</v>
      </c>
      <c r="D1739" s="9">
        <v>43319</v>
      </c>
      <c r="E1739" t="s">
        <v>295</v>
      </c>
      <c r="I1739" s="9"/>
    </row>
    <row r="1740" spans="1:9" x14ac:dyDescent="0.25">
      <c r="A1740">
        <v>250570</v>
      </c>
      <c r="B1740">
        <v>13.8</v>
      </c>
      <c r="C1740">
        <v>56</v>
      </c>
      <c r="D1740" s="9">
        <v>43230</v>
      </c>
      <c r="E1740" t="s">
        <v>295</v>
      </c>
      <c r="I1740" s="9"/>
    </row>
    <row r="1741" spans="1:9" x14ac:dyDescent="0.25">
      <c r="A1741">
        <v>250570</v>
      </c>
      <c r="B1741">
        <v>17.25</v>
      </c>
      <c r="C1741">
        <v>30</v>
      </c>
      <c r="D1741" s="9">
        <v>43166</v>
      </c>
      <c r="E1741" t="s">
        <v>295</v>
      </c>
      <c r="I1741" s="9"/>
    </row>
    <row r="1742" spans="1:9" x14ac:dyDescent="0.25">
      <c r="A1742">
        <v>250570</v>
      </c>
      <c r="B1742">
        <v>17.25</v>
      </c>
      <c r="C1742">
        <v>50</v>
      </c>
      <c r="D1742" s="9">
        <v>43103</v>
      </c>
      <c r="E1742" t="s">
        <v>295</v>
      </c>
      <c r="I1742" s="9"/>
    </row>
    <row r="1743" spans="1:9" x14ac:dyDescent="0.25">
      <c r="A1743">
        <v>250570</v>
      </c>
      <c r="B1743">
        <v>15.68</v>
      </c>
      <c r="C1743">
        <v>32</v>
      </c>
      <c r="D1743" s="9">
        <v>43049</v>
      </c>
      <c r="E1743" t="s">
        <v>295</v>
      </c>
      <c r="I1743" s="9"/>
    </row>
    <row r="1744" spans="1:9" x14ac:dyDescent="0.25">
      <c r="A1744">
        <v>250570</v>
      </c>
      <c r="B1744">
        <v>15.68</v>
      </c>
      <c r="C1744">
        <v>40</v>
      </c>
      <c r="D1744" s="9">
        <v>43006</v>
      </c>
      <c r="E1744" t="s">
        <v>295</v>
      </c>
      <c r="I1744" s="9"/>
    </row>
    <row r="1745" spans="1:9" x14ac:dyDescent="0.25">
      <c r="A1745">
        <v>250570</v>
      </c>
      <c r="B1745">
        <v>15.68</v>
      </c>
      <c r="C1745">
        <v>40</v>
      </c>
      <c r="D1745" s="9">
        <v>42923</v>
      </c>
      <c r="E1745" t="s">
        <v>295</v>
      </c>
      <c r="I1745" s="9"/>
    </row>
    <row r="1746" spans="1:9" x14ac:dyDescent="0.25">
      <c r="A1746">
        <v>250570</v>
      </c>
      <c r="B1746">
        <v>16</v>
      </c>
      <c r="C1746">
        <v>48</v>
      </c>
      <c r="D1746" s="9">
        <v>42825</v>
      </c>
      <c r="E1746" t="s">
        <v>295</v>
      </c>
      <c r="I1746" s="9"/>
    </row>
    <row r="1747" spans="1:9" x14ac:dyDescent="0.25">
      <c r="A1747">
        <v>250570</v>
      </c>
      <c r="B1747">
        <v>15.68</v>
      </c>
      <c r="C1747">
        <v>50</v>
      </c>
      <c r="D1747" s="9">
        <v>42754</v>
      </c>
      <c r="E1747" t="s">
        <v>295</v>
      </c>
      <c r="I1747" s="9"/>
    </row>
    <row r="1748" spans="1:9" x14ac:dyDescent="0.25">
      <c r="A1748">
        <v>250570</v>
      </c>
      <c r="B1748">
        <v>15.68</v>
      </c>
      <c r="C1748">
        <v>48</v>
      </c>
      <c r="D1748" s="9">
        <v>42626</v>
      </c>
      <c r="E1748" t="s">
        <v>295</v>
      </c>
      <c r="I1748" s="9"/>
    </row>
    <row r="1749" spans="1:9" x14ac:dyDescent="0.25">
      <c r="A1749">
        <v>250570</v>
      </c>
      <c r="B1749">
        <v>15.68</v>
      </c>
      <c r="C1749">
        <v>48</v>
      </c>
      <c r="D1749" s="9">
        <v>42621</v>
      </c>
      <c r="E1749" t="s">
        <v>295</v>
      </c>
      <c r="I1749" s="9"/>
    </row>
    <row r="1750" spans="1:9" x14ac:dyDescent="0.25">
      <c r="A1750">
        <v>250570</v>
      </c>
      <c r="B1750">
        <v>15.68</v>
      </c>
      <c r="C1750">
        <v>72</v>
      </c>
      <c r="D1750" s="9">
        <v>42515</v>
      </c>
      <c r="E1750" t="s">
        <v>295</v>
      </c>
      <c r="I1750" s="9"/>
    </row>
    <row r="1751" spans="1:9" x14ac:dyDescent="0.25">
      <c r="A1751">
        <v>250570</v>
      </c>
      <c r="B1751">
        <v>15.68</v>
      </c>
      <c r="C1751">
        <v>72</v>
      </c>
      <c r="D1751" s="9">
        <v>42515</v>
      </c>
      <c r="E1751" t="s">
        <v>295</v>
      </c>
      <c r="I1751" s="9"/>
    </row>
    <row r="1752" spans="1:9" x14ac:dyDescent="0.25">
      <c r="A1752">
        <v>250570</v>
      </c>
      <c r="B1752">
        <v>15.68</v>
      </c>
      <c r="C1752">
        <v>72</v>
      </c>
      <c r="D1752" s="9">
        <v>42510</v>
      </c>
      <c r="E1752" t="s">
        <v>295</v>
      </c>
      <c r="I1752" s="9"/>
    </row>
    <row r="1753" spans="1:9" x14ac:dyDescent="0.25">
      <c r="A1753">
        <v>250570</v>
      </c>
      <c r="B1753">
        <v>15.68</v>
      </c>
      <c r="C1753">
        <v>80</v>
      </c>
      <c r="D1753" s="9">
        <v>42243</v>
      </c>
      <c r="E1753" t="s">
        <v>295</v>
      </c>
      <c r="I1753" s="9"/>
    </row>
    <row r="1754" spans="1:9" x14ac:dyDescent="0.25">
      <c r="A1754">
        <v>250570</v>
      </c>
      <c r="B1754">
        <v>17.89</v>
      </c>
      <c r="C1754">
        <v>80</v>
      </c>
      <c r="D1754" s="9">
        <v>42229</v>
      </c>
      <c r="E1754" t="s">
        <v>295</v>
      </c>
      <c r="I1754" s="9"/>
    </row>
    <row r="1755" spans="1:9" x14ac:dyDescent="0.25">
      <c r="A1755">
        <v>250570</v>
      </c>
      <c r="B1755">
        <v>16.32</v>
      </c>
      <c r="C1755">
        <v>80</v>
      </c>
      <c r="D1755" s="9">
        <v>42179</v>
      </c>
      <c r="E1755" t="s">
        <v>295</v>
      </c>
      <c r="I1755" s="9"/>
    </row>
    <row r="1756" spans="1:9" x14ac:dyDescent="0.25">
      <c r="A1756">
        <v>250570</v>
      </c>
      <c r="B1756">
        <v>16.32</v>
      </c>
      <c r="C1756">
        <v>80</v>
      </c>
      <c r="D1756" s="9">
        <v>42178</v>
      </c>
      <c r="E1756" t="s">
        <v>295</v>
      </c>
      <c r="I1756" s="9"/>
    </row>
    <row r="1757" spans="1:9" x14ac:dyDescent="0.25">
      <c r="A1757">
        <v>250570</v>
      </c>
      <c r="B1757">
        <v>16.32</v>
      </c>
      <c r="C1757">
        <v>80</v>
      </c>
      <c r="D1757" s="9">
        <v>42173</v>
      </c>
      <c r="E1757" t="s">
        <v>295</v>
      </c>
      <c r="I1757" s="9"/>
    </row>
    <row r="1758" spans="1:9" x14ac:dyDescent="0.25">
      <c r="A1758">
        <v>250570</v>
      </c>
      <c r="B1758">
        <v>16.64</v>
      </c>
      <c r="C1758">
        <v>40</v>
      </c>
      <c r="D1758" s="9">
        <v>42170</v>
      </c>
      <c r="E1758" t="s">
        <v>295</v>
      </c>
      <c r="I1758" s="9"/>
    </row>
    <row r="1759" spans="1:9" x14ac:dyDescent="0.25">
      <c r="A1759">
        <v>250570</v>
      </c>
      <c r="B1759">
        <v>16.96</v>
      </c>
      <c r="C1759">
        <v>40</v>
      </c>
      <c r="D1759" s="9">
        <v>42101</v>
      </c>
      <c r="E1759" t="s">
        <v>295</v>
      </c>
      <c r="I1759" s="9"/>
    </row>
    <row r="1760" spans="1:9" x14ac:dyDescent="0.25">
      <c r="A1760">
        <v>250570</v>
      </c>
      <c r="B1760">
        <v>16.48</v>
      </c>
      <c r="C1760">
        <v>40</v>
      </c>
      <c r="D1760" s="9">
        <v>42095</v>
      </c>
      <c r="E1760" t="s">
        <v>295</v>
      </c>
      <c r="I1760" s="9"/>
    </row>
    <row r="1761" spans="1:9" x14ac:dyDescent="0.25">
      <c r="A1761">
        <v>250570</v>
      </c>
      <c r="B1761">
        <v>16.48</v>
      </c>
      <c r="C1761">
        <v>70</v>
      </c>
      <c r="D1761" s="9">
        <v>41960</v>
      </c>
      <c r="E1761" t="s">
        <v>295</v>
      </c>
      <c r="I1761" s="9"/>
    </row>
    <row r="1762" spans="1:9" x14ac:dyDescent="0.25">
      <c r="A1762">
        <v>250570</v>
      </c>
      <c r="B1762">
        <v>15.36</v>
      </c>
      <c r="C1762">
        <v>56</v>
      </c>
      <c r="D1762" s="9">
        <v>41935</v>
      </c>
      <c r="E1762" t="s">
        <v>295</v>
      </c>
      <c r="I1762" s="9"/>
    </row>
    <row r="1763" spans="1:9" x14ac:dyDescent="0.25">
      <c r="A1763">
        <v>250570</v>
      </c>
      <c r="B1763">
        <v>15.36</v>
      </c>
      <c r="C1763">
        <v>56</v>
      </c>
      <c r="D1763" s="9">
        <v>41884</v>
      </c>
      <c r="E1763" t="s">
        <v>295</v>
      </c>
      <c r="I1763" s="9"/>
    </row>
    <row r="1764" spans="1:9" x14ac:dyDescent="0.25">
      <c r="A1764">
        <v>250570</v>
      </c>
      <c r="B1764">
        <v>15.36</v>
      </c>
      <c r="C1764">
        <v>56</v>
      </c>
      <c r="D1764" s="9">
        <v>41879</v>
      </c>
      <c r="E1764" t="s">
        <v>295</v>
      </c>
      <c r="I1764" s="9"/>
    </row>
    <row r="1765" spans="1:9" x14ac:dyDescent="0.25">
      <c r="A1765">
        <v>250570</v>
      </c>
      <c r="B1765">
        <v>15.97</v>
      </c>
      <c r="C1765">
        <v>80</v>
      </c>
      <c r="D1765" s="9">
        <v>41788</v>
      </c>
      <c r="E1765" t="s">
        <v>295</v>
      </c>
      <c r="I1765" s="9"/>
    </row>
    <row r="1766" spans="1:9" x14ac:dyDescent="0.25">
      <c r="A1766">
        <v>250570</v>
      </c>
      <c r="B1766">
        <v>15.36</v>
      </c>
      <c r="C1766">
        <v>80</v>
      </c>
      <c r="D1766" s="9">
        <v>41689</v>
      </c>
      <c r="E1766" t="s">
        <v>295</v>
      </c>
      <c r="I1766" s="9"/>
    </row>
    <row r="1767" spans="1:9" x14ac:dyDescent="0.25">
      <c r="A1767">
        <v>250570</v>
      </c>
      <c r="B1767">
        <v>16.32</v>
      </c>
      <c r="C1767">
        <v>56</v>
      </c>
      <c r="D1767" s="9">
        <v>41599</v>
      </c>
      <c r="E1767" t="s">
        <v>295</v>
      </c>
      <c r="I1767" s="9"/>
    </row>
    <row r="1768" spans="1:9" x14ac:dyDescent="0.25">
      <c r="A1768">
        <v>250580</v>
      </c>
      <c r="B1768">
        <v>3.56</v>
      </c>
      <c r="C1768">
        <v>800</v>
      </c>
      <c r="D1768" s="9">
        <v>43966</v>
      </c>
      <c r="E1768" t="s">
        <v>296</v>
      </c>
      <c r="I1768" s="9"/>
    </row>
    <row r="1769" spans="1:9" x14ac:dyDescent="0.25">
      <c r="A1769">
        <v>250580</v>
      </c>
      <c r="B1769">
        <v>4</v>
      </c>
      <c r="C1769">
        <v>1300</v>
      </c>
      <c r="D1769" s="9">
        <v>43483</v>
      </c>
      <c r="E1769" t="s">
        <v>296</v>
      </c>
      <c r="I1769" s="9"/>
    </row>
    <row r="1770" spans="1:9" x14ac:dyDescent="0.25">
      <c r="A1770">
        <v>250580</v>
      </c>
      <c r="B1770">
        <v>18.8</v>
      </c>
      <c r="C1770">
        <v>84</v>
      </c>
      <c r="D1770" s="9">
        <v>43431</v>
      </c>
      <c r="E1770" t="s">
        <v>295</v>
      </c>
      <c r="I1770" s="9"/>
    </row>
    <row r="1771" spans="1:9" x14ac:dyDescent="0.25">
      <c r="A1771">
        <v>250580</v>
      </c>
      <c r="B1771">
        <v>20.76</v>
      </c>
      <c r="C1771">
        <v>100</v>
      </c>
      <c r="D1771" s="9">
        <v>43377</v>
      </c>
      <c r="E1771" t="s">
        <v>295</v>
      </c>
      <c r="I1771" s="9"/>
    </row>
    <row r="1772" spans="1:9" x14ac:dyDescent="0.25">
      <c r="A1772">
        <v>250580</v>
      </c>
      <c r="B1772">
        <v>21.56</v>
      </c>
      <c r="C1772">
        <v>102</v>
      </c>
      <c r="D1772" s="9">
        <v>43319</v>
      </c>
      <c r="E1772" t="s">
        <v>295</v>
      </c>
      <c r="I1772" s="9"/>
    </row>
    <row r="1773" spans="1:9" x14ac:dyDescent="0.25">
      <c r="A1773">
        <v>250580</v>
      </c>
      <c r="B1773">
        <v>21.56</v>
      </c>
      <c r="C1773">
        <v>60</v>
      </c>
      <c r="D1773" s="9">
        <v>43166</v>
      </c>
      <c r="E1773" t="s">
        <v>295</v>
      </c>
      <c r="I1773" s="9"/>
    </row>
    <row r="1774" spans="1:9" x14ac:dyDescent="0.25">
      <c r="A1774">
        <v>250580</v>
      </c>
      <c r="B1774">
        <v>21.56</v>
      </c>
      <c r="C1774">
        <v>125</v>
      </c>
      <c r="D1774" s="9">
        <v>43103</v>
      </c>
      <c r="E1774" t="s">
        <v>295</v>
      </c>
      <c r="I1774" s="9"/>
    </row>
    <row r="1775" spans="1:9" x14ac:dyDescent="0.25">
      <c r="A1775">
        <v>250580</v>
      </c>
      <c r="B1775">
        <v>21.56</v>
      </c>
      <c r="C1775">
        <v>160</v>
      </c>
      <c r="D1775" s="9">
        <v>43028</v>
      </c>
      <c r="E1775" t="s">
        <v>295</v>
      </c>
      <c r="I1775" s="9"/>
    </row>
    <row r="1776" spans="1:9" x14ac:dyDescent="0.25">
      <c r="A1776">
        <v>250580</v>
      </c>
      <c r="B1776">
        <v>19.600000000000001</v>
      </c>
      <c r="C1776">
        <v>72</v>
      </c>
      <c r="D1776" s="9">
        <v>43006</v>
      </c>
      <c r="E1776" t="s">
        <v>295</v>
      </c>
      <c r="I1776" s="9"/>
    </row>
    <row r="1777" spans="1:9" x14ac:dyDescent="0.25">
      <c r="A1777">
        <v>250580</v>
      </c>
      <c r="B1777">
        <v>19.600000000000001</v>
      </c>
      <c r="C1777">
        <v>84</v>
      </c>
      <c r="D1777" s="9">
        <v>42986</v>
      </c>
      <c r="E1777" t="s">
        <v>295</v>
      </c>
      <c r="I1777" s="9"/>
    </row>
    <row r="1778" spans="1:9" x14ac:dyDescent="0.25">
      <c r="A1778">
        <v>250580</v>
      </c>
      <c r="B1778">
        <v>19.600000000000001</v>
      </c>
      <c r="C1778">
        <v>84</v>
      </c>
      <c r="D1778" s="9">
        <v>42985</v>
      </c>
      <c r="E1778" t="s">
        <v>295</v>
      </c>
      <c r="I1778" s="9"/>
    </row>
    <row r="1779" spans="1:9" x14ac:dyDescent="0.25">
      <c r="A1779">
        <v>250580</v>
      </c>
      <c r="B1779">
        <v>19.600000000000001</v>
      </c>
      <c r="C1779">
        <v>24</v>
      </c>
      <c r="D1779" s="9">
        <v>42923</v>
      </c>
      <c r="E1779" t="s">
        <v>295</v>
      </c>
      <c r="I1779" s="9"/>
    </row>
    <row r="1780" spans="1:9" x14ac:dyDescent="0.25">
      <c r="A1780">
        <v>250580</v>
      </c>
      <c r="B1780">
        <v>20</v>
      </c>
      <c r="C1780">
        <v>75</v>
      </c>
      <c r="D1780" s="9">
        <v>42913</v>
      </c>
      <c r="E1780" t="s">
        <v>295</v>
      </c>
      <c r="I1780" s="9"/>
    </row>
    <row r="1781" spans="1:9" x14ac:dyDescent="0.25">
      <c r="A1781">
        <v>250580</v>
      </c>
      <c r="B1781">
        <v>20</v>
      </c>
      <c r="C1781">
        <v>72</v>
      </c>
      <c r="D1781" s="9">
        <v>42836</v>
      </c>
      <c r="E1781" t="s">
        <v>295</v>
      </c>
      <c r="I1781" s="9"/>
    </row>
    <row r="1782" spans="1:9" x14ac:dyDescent="0.25">
      <c r="A1782">
        <v>250580</v>
      </c>
      <c r="B1782">
        <v>20</v>
      </c>
      <c r="C1782">
        <v>36</v>
      </c>
      <c r="D1782" s="9">
        <v>42825</v>
      </c>
      <c r="E1782" t="s">
        <v>295</v>
      </c>
      <c r="I1782" s="9"/>
    </row>
    <row r="1783" spans="1:9" x14ac:dyDescent="0.25">
      <c r="A1783">
        <v>250580</v>
      </c>
      <c r="B1783">
        <v>19.600000000000001</v>
      </c>
      <c r="C1783">
        <v>35</v>
      </c>
      <c r="D1783" s="9">
        <v>42754</v>
      </c>
      <c r="E1783" t="s">
        <v>295</v>
      </c>
      <c r="I1783" s="9"/>
    </row>
    <row r="1784" spans="1:9" x14ac:dyDescent="0.25">
      <c r="A1784">
        <v>250580</v>
      </c>
      <c r="B1784">
        <v>19.600000000000001</v>
      </c>
      <c r="C1784">
        <v>30</v>
      </c>
      <c r="D1784" s="9">
        <v>42745</v>
      </c>
      <c r="E1784" t="s">
        <v>295</v>
      </c>
      <c r="I1784" s="9"/>
    </row>
    <row r="1785" spans="1:9" x14ac:dyDescent="0.25">
      <c r="A1785">
        <v>250580</v>
      </c>
      <c r="B1785">
        <v>19.600000000000001</v>
      </c>
      <c r="C1785">
        <v>180</v>
      </c>
      <c r="D1785" s="9">
        <v>42643</v>
      </c>
      <c r="E1785" t="s">
        <v>295</v>
      </c>
      <c r="I1785" s="9"/>
    </row>
    <row r="1786" spans="1:9" x14ac:dyDescent="0.25">
      <c r="A1786">
        <v>250580</v>
      </c>
      <c r="B1786">
        <v>19.600000000000001</v>
      </c>
      <c r="C1786">
        <v>120</v>
      </c>
      <c r="D1786" s="9">
        <v>42621</v>
      </c>
      <c r="E1786" t="s">
        <v>295</v>
      </c>
      <c r="I1786" s="9"/>
    </row>
    <row r="1787" spans="1:9" x14ac:dyDescent="0.25">
      <c r="A1787">
        <v>250580</v>
      </c>
      <c r="B1787">
        <v>21.96</v>
      </c>
      <c r="C1787">
        <v>42</v>
      </c>
      <c r="D1787" s="9">
        <v>42605</v>
      </c>
      <c r="E1787" t="s">
        <v>295</v>
      </c>
      <c r="I1787" s="9"/>
    </row>
    <row r="1788" spans="1:9" x14ac:dyDescent="0.25">
      <c r="A1788">
        <v>250580</v>
      </c>
      <c r="B1788">
        <v>21.96</v>
      </c>
      <c r="C1788">
        <v>95</v>
      </c>
      <c r="D1788" s="9">
        <v>42577</v>
      </c>
      <c r="E1788" t="s">
        <v>295</v>
      </c>
      <c r="I1788" s="9"/>
    </row>
    <row r="1789" spans="1:9" x14ac:dyDescent="0.25">
      <c r="A1789">
        <v>250580</v>
      </c>
      <c r="B1789">
        <v>19.600000000000001</v>
      </c>
      <c r="C1789">
        <v>90</v>
      </c>
      <c r="D1789" s="9">
        <v>42510</v>
      </c>
      <c r="E1789" t="s">
        <v>295</v>
      </c>
      <c r="I1789" s="9"/>
    </row>
    <row r="1790" spans="1:9" x14ac:dyDescent="0.25">
      <c r="A1790">
        <v>250580</v>
      </c>
      <c r="B1790">
        <v>21.96</v>
      </c>
      <c r="C1790">
        <v>100</v>
      </c>
      <c r="D1790" s="9">
        <v>42467</v>
      </c>
      <c r="E1790" t="s">
        <v>295</v>
      </c>
      <c r="I1790" s="9"/>
    </row>
    <row r="1791" spans="1:9" x14ac:dyDescent="0.25">
      <c r="A1791">
        <v>250580</v>
      </c>
      <c r="B1791">
        <v>19.600000000000001</v>
      </c>
      <c r="C1791">
        <v>30</v>
      </c>
      <c r="D1791" s="9">
        <v>42431</v>
      </c>
      <c r="E1791" t="s">
        <v>295</v>
      </c>
      <c r="I1791" s="9"/>
    </row>
    <row r="1792" spans="1:9" x14ac:dyDescent="0.25">
      <c r="A1792">
        <v>250580</v>
      </c>
      <c r="B1792">
        <v>19.600000000000001</v>
      </c>
      <c r="C1792">
        <v>150</v>
      </c>
      <c r="D1792" s="9">
        <v>42339</v>
      </c>
      <c r="E1792" t="s">
        <v>295</v>
      </c>
      <c r="I1792" s="9"/>
    </row>
    <row r="1793" spans="1:9" x14ac:dyDescent="0.25">
      <c r="A1793">
        <v>250580</v>
      </c>
      <c r="B1793">
        <v>21.96</v>
      </c>
      <c r="C1793">
        <v>300</v>
      </c>
      <c r="D1793" s="9">
        <v>42285</v>
      </c>
      <c r="E1793" t="s">
        <v>295</v>
      </c>
      <c r="I1793" s="9"/>
    </row>
    <row r="1794" spans="1:9" x14ac:dyDescent="0.25">
      <c r="A1794">
        <v>250580</v>
      </c>
      <c r="B1794">
        <v>19.600000000000001</v>
      </c>
      <c r="C1794">
        <v>162</v>
      </c>
      <c r="D1794" s="9">
        <v>42262</v>
      </c>
      <c r="E1794" t="s">
        <v>295</v>
      </c>
      <c r="I1794" s="9"/>
    </row>
    <row r="1795" spans="1:9" x14ac:dyDescent="0.25">
      <c r="A1795">
        <v>250580</v>
      </c>
      <c r="B1795">
        <v>20.399999999999999</v>
      </c>
      <c r="C1795">
        <v>108</v>
      </c>
      <c r="D1795" s="9">
        <v>42229</v>
      </c>
      <c r="E1795" t="s">
        <v>295</v>
      </c>
      <c r="I1795" s="9"/>
    </row>
    <row r="1796" spans="1:9" x14ac:dyDescent="0.25">
      <c r="A1796">
        <v>250580</v>
      </c>
      <c r="B1796">
        <v>20.399999999999999</v>
      </c>
      <c r="C1796">
        <v>162</v>
      </c>
      <c r="D1796" s="9">
        <v>42173</v>
      </c>
      <c r="E1796" t="s">
        <v>295</v>
      </c>
      <c r="I1796" s="9"/>
    </row>
    <row r="1797" spans="1:9" x14ac:dyDescent="0.25">
      <c r="A1797">
        <v>250580</v>
      </c>
      <c r="B1797">
        <v>20.8</v>
      </c>
      <c r="C1797">
        <v>120</v>
      </c>
      <c r="D1797" s="9">
        <v>42170</v>
      </c>
      <c r="E1797" t="s">
        <v>295</v>
      </c>
      <c r="I1797" s="9"/>
    </row>
    <row r="1798" spans="1:9" x14ac:dyDescent="0.25">
      <c r="A1798">
        <v>250580</v>
      </c>
      <c r="B1798">
        <v>21.2</v>
      </c>
      <c r="C1798">
        <v>36</v>
      </c>
      <c r="D1798" s="9">
        <v>42101</v>
      </c>
      <c r="E1798" t="s">
        <v>295</v>
      </c>
      <c r="I1798" s="9"/>
    </row>
    <row r="1799" spans="1:9" x14ac:dyDescent="0.25">
      <c r="A1799">
        <v>250580</v>
      </c>
      <c r="B1799">
        <v>22.36</v>
      </c>
      <c r="C1799">
        <v>36</v>
      </c>
      <c r="D1799" s="9">
        <v>42095</v>
      </c>
      <c r="E1799" t="s">
        <v>295</v>
      </c>
      <c r="I1799" s="9"/>
    </row>
    <row r="1800" spans="1:9" x14ac:dyDescent="0.25">
      <c r="A1800">
        <v>250580</v>
      </c>
      <c r="B1800">
        <v>22.36</v>
      </c>
      <c r="C1800">
        <v>35</v>
      </c>
      <c r="D1800" s="9">
        <v>42034</v>
      </c>
      <c r="E1800" t="s">
        <v>295</v>
      </c>
      <c r="I1800" s="9"/>
    </row>
    <row r="1801" spans="1:9" x14ac:dyDescent="0.25">
      <c r="A1801">
        <v>250580</v>
      </c>
      <c r="B1801">
        <v>20.6</v>
      </c>
      <c r="C1801">
        <v>35</v>
      </c>
      <c r="D1801" s="9">
        <v>41960</v>
      </c>
      <c r="E1801" t="s">
        <v>295</v>
      </c>
      <c r="I1801" s="9"/>
    </row>
    <row r="1802" spans="1:9" x14ac:dyDescent="0.25">
      <c r="A1802">
        <v>250580</v>
      </c>
      <c r="B1802">
        <v>19.2</v>
      </c>
      <c r="C1802">
        <v>30</v>
      </c>
      <c r="D1802" s="9">
        <v>41935</v>
      </c>
      <c r="E1802" t="s">
        <v>295</v>
      </c>
      <c r="I1802" s="9"/>
    </row>
    <row r="1803" spans="1:9" x14ac:dyDescent="0.25">
      <c r="A1803">
        <v>250580</v>
      </c>
      <c r="B1803">
        <v>20.76</v>
      </c>
      <c r="C1803">
        <v>60</v>
      </c>
      <c r="D1803" s="9">
        <v>41918</v>
      </c>
      <c r="E1803" t="s">
        <v>295</v>
      </c>
      <c r="I1803" s="9"/>
    </row>
    <row r="1804" spans="1:9" x14ac:dyDescent="0.25">
      <c r="A1804">
        <v>250580</v>
      </c>
      <c r="B1804">
        <v>19.2</v>
      </c>
      <c r="C1804">
        <v>30</v>
      </c>
      <c r="D1804" s="9">
        <v>41912</v>
      </c>
      <c r="E1804" t="s">
        <v>295</v>
      </c>
      <c r="I1804" s="9"/>
    </row>
    <row r="1805" spans="1:9" x14ac:dyDescent="0.25">
      <c r="A1805">
        <v>250580</v>
      </c>
      <c r="B1805">
        <v>19.2</v>
      </c>
      <c r="C1805">
        <v>300</v>
      </c>
      <c r="D1805" s="9">
        <v>41764</v>
      </c>
      <c r="E1805" t="s">
        <v>295</v>
      </c>
      <c r="I1805" s="9"/>
    </row>
    <row r="1806" spans="1:9" x14ac:dyDescent="0.25">
      <c r="A1806">
        <v>250580</v>
      </c>
      <c r="B1806">
        <v>19.2</v>
      </c>
      <c r="C1806">
        <v>30</v>
      </c>
      <c r="D1806" s="9">
        <v>41725</v>
      </c>
      <c r="E1806" t="s">
        <v>295</v>
      </c>
      <c r="I1806" s="9"/>
    </row>
    <row r="1807" spans="1:9" x14ac:dyDescent="0.25">
      <c r="A1807">
        <v>250580</v>
      </c>
      <c r="B1807">
        <v>19.2</v>
      </c>
      <c r="C1807">
        <v>200</v>
      </c>
      <c r="D1807" s="9">
        <v>41689</v>
      </c>
      <c r="E1807" t="s">
        <v>295</v>
      </c>
      <c r="I1807" s="9"/>
    </row>
    <row r="1808" spans="1:9" x14ac:dyDescent="0.25">
      <c r="A1808">
        <v>250580</v>
      </c>
      <c r="B1808">
        <v>19.2</v>
      </c>
      <c r="C1808">
        <v>200</v>
      </c>
      <c r="D1808" s="9">
        <v>41614</v>
      </c>
      <c r="E1808" t="s">
        <v>295</v>
      </c>
      <c r="I1808" s="9"/>
    </row>
    <row r="1809" spans="1:9" x14ac:dyDescent="0.25">
      <c r="A1809">
        <v>250580</v>
      </c>
      <c r="B1809">
        <v>20.399999999999999</v>
      </c>
      <c r="C1809">
        <v>30</v>
      </c>
      <c r="D1809" s="9">
        <v>41605</v>
      </c>
      <c r="E1809" t="s">
        <v>295</v>
      </c>
      <c r="I1809" s="9"/>
    </row>
    <row r="1810" spans="1:9" x14ac:dyDescent="0.25">
      <c r="A1810">
        <v>250580</v>
      </c>
      <c r="B1810">
        <v>20.399999999999999</v>
      </c>
      <c r="C1810">
        <v>30</v>
      </c>
      <c r="D1810" s="9">
        <v>41599</v>
      </c>
      <c r="E1810" t="s">
        <v>295</v>
      </c>
      <c r="I1810" s="9"/>
    </row>
    <row r="1811" spans="1:9" x14ac:dyDescent="0.25">
      <c r="A1811">
        <v>250680</v>
      </c>
      <c r="B1811">
        <v>26.4</v>
      </c>
      <c r="C1811">
        <v>30</v>
      </c>
      <c r="D1811" s="9">
        <v>44133</v>
      </c>
      <c r="E1811" t="s">
        <v>295</v>
      </c>
      <c r="I1811" s="9"/>
    </row>
    <row r="1812" spans="1:9" x14ac:dyDescent="0.25">
      <c r="A1812">
        <v>250680</v>
      </c>
      <c r="B1812">
        <v>4.2699999999999996</v>
      </c>
      <c r="C1812">
        <v>700</v>
      </c>
      <c r="D1812" s="9">
        <v>43966</v>
      </c>
      <c r="E1812" t="s">
        <v>296</v>
      </c>
      <c r="I1812" s="9"/>
    </row>
    <row r="1813" spans="1:9" x14ac:dyDescent="0.25">
      <c r="A1813">
        <v>250680</v>
      </c>
      <c r="B1813">
        <v>22.56</v>
      </c>
      <c r="C1813">
        <v>40</v>
      </c>
      <c r="D1813" s="9">
        <v>43783</v>
      </c>
      <c r="E1813" t="s">
        <v>295</v>
      </c>
      <c r="I1813" s="9"/>
    </row>
    <row r="1814" spans="1:9" x14ac:dyDescent="0.25">
      <c r="A1814">
        <v>250680</v>
      </c>
      <c r="B1814">
        <v>24.91</v>
      </c>
      <c r="C1814">
        <v>110</v>
      </c>
      <c r="D1814" s="9">
        <v>43740</v>
      </c>
      <c r="E1814" t="s">
        <v>295</v>
      </c>
      <c r="I1814" s="9"/>
    </row>
    <row r="1815" spans="1:9" x14ac:dyDescent="0.25">
      <c r="A1815">
        <v>250680</v>
      </c>
      <c r="B1815">
        <v>4.8</v>
      </c>
      <c r="C1815">
        <v>640</v>
      </c>
      <c r="D1815" s="9">
        <v>43483</v>
      </c>
      <c r="E1815" t="s">
        <v>296</v>
      </c>
      <c r="I1815" s="9"/>
    </row>
    <row r="1816" spans="1:9" x14ac:dyDescent="0.25">
      <c r="A1816">
        <v>250680</v>
      </c>
      <c r="B1816">
        <v>22.56</v>
      </c>
      <c r="C1816">
        <v>70</v>
      </c>
      <c r="D1816" s="9">
        <v>43431</v>
      </c>
      <c r="E1816" t="s">
        <v>295</v>
      </c>
      <c r="I1816" s="9"/>
    </row>
    <row r="1817" spans="1:9" x14ac:dyDescent="0.25">
      <c r="A1817">
        <v>250680</v>
      </c>
      <c r="B1817">
        <v>24.91</v>
      </c>
      <c r="C1817">
        <v>70</v>
      </c>
      <c r="D1817" s="9">
        <v>43377</v>
      </c>
      <c r="E1817" t="s">
        <v>295</v>
      </c>
      <c r="I1817" s="9"/>
    </row>
    <row r="1818" spans="1:9" x14ac:dyDescent="0.25">
      <c r="A1818">
        <v>250680</v>
      </c>
      <c r="B1818">
        <v>22.08</v>
      </c>
      <c r="C1818">
        <v>50</v>
      </c>
      <c r="D1818" s="9">
        <v>43319</v>
      </c>
      <c r="E1818" t="s">
        <v>295</v>
      </c>
      <c r="I1818" s="9"/>
    </row>
    <row r="1819" spans="1:9" x14ac:dyDescent="0.25">
      <c r="A1819">
        <v>250680</v>
      </c>
      <c r="B1819">
        <v>22.08</v>
      </c>
      <c r="C1819">
        <v>50</v>
      </c>
      <c r="D1819" s="9">
        <v>43230</v>
      </c>
      <c r="E1819" t="s">
        <v>295</v>
      </c>
      <c r="I1819" s="9"/>
    </row>
    <row r="1820" spans="1:9" x14ac:dyDescent="0.25">
      <c r="A1820">
        <v>250680</v>
      </c>
      <c r="B1820">
        <v>25.87</v>
      </c>
      <c r="C1820">
        <v>100</v>
      </c>
      <c r="D1820" s="9">
        <v>43166</v>
      </c>
      <c r="E1820" t="s">
        <v>295</v>
      </c>
      <c r="I1820" s="9"/>
    </row>
    <row r="1821" spans="1:9" x14ac:dyDescent="0.25">
      <c r="A1821">
        <v>250680</v>
      </c>
      <c r="B1821">
        <v>25.87</v>
      </c>
      <c r="C1821">
        <v>60</v>
      </c>
      <c r="D1821" s="9">
        <v>43103</v>
      </c>
      <c r="E1821" t="s">
        <v>295</v>
      </c>
      <c r="I1821" s="9"/>
    </row>
    <row r="1822" spans="1:9" x14ac:dyDescent="0.25">
      <c r="A1822">
        <v>250680</v>
      </c>
      <c r="B1822">
        <v>23.52</v>
      </c>
      <c r="C1822">
        <v>60</v>
      </c>
      <c r="D1822" s="9">
        <v>43049</v>
      </c>
      <c r="E1822" t="s">
        <v>295</v>
      </c>
      <c r="I1822" s="9"/>
    </row>
    <row r="1823" spans="1:9" x14ac:dyDescent="0.25">
      <c r="A1823">
        <v>250680</v>
      </c>
      <c r="B1823">
        <v>25.87</v>
      </c>
      <c r="C1823">
        <v>25</v>
      </c>
      <c r="D1823" s="9">
        <v>43028</v>
      </c>
      <c r="E1823" t="s">
        <v>295</v>
      </c>
      <c r="I1823" s="9"/>
    </row>
    <row r="1824" spans="1:9" x14ac:dyDescent="0.25">
      <c r="A1824">
        <v>250680</v>
      </c>
      <c r="B1824">
        <v>23.52</v>
      </c>
      <c r="C1824">
        <v>60</v>
      </c>
      <c r="D1824" s="9">
        <v>42986</v>
      </c>
      <c r="E1824" t="s">
        <v>295</v>
      </c>
      <c r="I1824" s="9"/>
    </row>
    <row r="1825" spans="1:9" x14ac:dyDescent="0.25">
      <c r="A1825">
        <v>250680</v>
      </c>
      <c r="B1825">
        <v>23.52</v>
      </c>
      <c r="C1825">
        <v>60</v>
      </c>
      <c r="D1825" s="9">
        <v>42985</v>
      </c>
      <c r="E1825" t="s">
        <v>295</v>
      </c>
      <c r="I1825" s="9"/>
    </row>
    <row r="1826" spans="1:9" x14ac:dyDescent="0.25">
      <c r="A1826">
        <v>250680</v>
      </c>
      <c r="B1826">
        <v>23.52</v>
      </c>
      <c r="C1826">
        <v>30</v>
      </c>
      <c r="D1826" s="9">
        <v>42923</v>
      </c>
      <c r="E1826" t="s">
        <v>295</v>
      </c>
      <c r="I1826" s="9"/>
    </row>
    <row r="1827" spans="1:9" x14ac:dyDescent="0.25">
      <c r="A1827">
        <v>250680</v>
      </c>
      <c r="B1827">
        <v>24</v>
      </c>
      <c r="C1827">
        <v>50</v>
      </c>
      <c r="D1827" s="9">
        <v>42913</v>
      </c>
      <c r="E1827" t="s">
        <v>295</v>
      </c>
      <c r="I1827" s="9"/>
    </row>
    <row r="1828" spans="1:9" x14ac:dyDescent="0.25">
      <c r="A1828">
        <v>250680</v>
      </c>
      <c r="B1828">
        <v>24</v>
      </c>
      <c r="C1828">
        <v>50</v>
      </c>
      <c r="D1828" s="9">
        <v>42846</v>
      </c>
      <c r="E1828" t="s">
        <v>295</v>
      </c>
      <c r="I1828" s="9"/>
    </row>
    <row r="1829" spans="1:9" x14ac:dyDescent="0.25">
      <c r="A1829">
        <v>250680</v>
      </c>
      <c r="B1829">
        <v>24</v>
      </c>
      <c r="C1829">
        <v>15</v>
      </c>
      <c r="D1829" s="9">
        <v>42836</v>
      </c>
      <c r="E1829" t="s">
        <v>295</v>
      </c>
      <c r="I1829" s="9"/>
    </row>
    <row r="1830" spans="1:9" x14ac:dyDescent="0.25">
      <c r="A1830">
        <v>250680</v>
      </c>
      <c r="B1830">
        <v>24</v>
      </c>
      <c r="C1830">
        <v>15</v>
      </c>
      <c r="D1830" s="9">
        <v>42825</v>
      </c>
      <c r="E1830" t="s">
        <v>295</v>
      </c>
      <c r="I1830" s="9"/>
    </row>
    <row r="1831" spans="1:9" x14ac:dyDescent="0.25">
      <c r="A1831">
        <v>250680</v>
      </c>
      <c r="B1831">
        <v>23.52</v>
      </c>
      <c r="C1831">
        <v>25</v>
      </c>
      <c r="D1831" s="9">
        <v>42754</v>
      </c>
      <c r="E1831" t="s">
        <v>295</v>
      </c>
      <c r="I1831" s="9"/>
    </row>
    <row r="1832" spans="1:9" x14ac:dyDescent="0.25">
      <c r="A1832">
        <v>250680</v>
      </c>
      <c r="B1832">
        <v>23.52</v>
      </c>
      <c r="C1832">
        <v>25</v>
      </c>
      <c r="D1832" s="9">
        <v>42719</v>
      </c>
      <c r="E1832" t="s">
        <v>295</v>
      </c>
      <c r="I1832" s="9"/>
    </row>
    <row r="1833" spans="1:9" x14ac:dyDescent="0.25">
      <c r="A1833">
        <v>250680</v>
      </c>
      <c r="B1833">
        <v>23.52</v>
      </c>
      <c r="C1833">
        <v>25</v>
      </c>
      <c r="D1833" s="9">
        <v>42643</v>
      </c>
      <c r="E1833" t="s">
        <v>295</v>
      </c>
      <c r="I1833" s="9"/>
    </row>
    <row r="1834" spans="1:9" x14ac:dyDescent="0.25">
      <c r="A1834">
        <v>250680</v>
      </c>
      <c r="B1834">
        <v>23.52</v>
      </c>
      <c r="C1834">
        <v>30</v>
      </c>
      <c r="D1834" s="9">
        <v>42635</v>
      </c>
      <c r="E1834" t="s">
        <v>295</v>
      </c>
      <c r="I1834" s="9"/>
    </row>
    <row r="1835" spans="1:9" x14ac:dyDescent="0.25">
      <c r="A1835">
        <v>250680</v>
      </c>
      <c r="B1835">
        <v>26.35</v>
      </c>
      <c r="C1835">
        <v>20</v>
      </c>
      <c r="D1835" s="9">
        <v>42621</v>
      </c>
      <c r="E1835" t="s">
        <v>295</v>
      </c>
      <c r="I1835" s="9"/>
    </row>
    <row r="1836" spans="1:9" x14ac:dyDescent="0.25">
      <c r="A1836">
        <v>250680</v>
      </c>
      <c r="B1836">
        <v>26.35</v>
      </c>
      <c r="C1836">
        <v>30</v>
      </c>
      <c r="D1836" s="9">
        <v>42577</v>
      </c>
      <c r="E1836" t="s">
        <v>295</v>
      </c>
      <c r="I1836" s="9"/>
    </row>
    <row r="1837" spans="1:9" x14ac:dyDescent="0.25">
      <c r="A1837">
        <v>250680</v>
      </c>
      <c r="B1837">
        <v>23.52</v>
      </c>
      <c r="C1837">
        <v>20</v>
      </c>
      <c r="D1837" s="9">
        <v>42515</v>
      </c>
      <c r="E1837" t="s">
        <v>295</v>
      </c>
      <c r="I1837" s="9"/>
    </row>
    <row r="1838" spans="1:9" x14ac:dyDescent="0.25">
      <c r="A1838">
        <v>250680</v>
      </c>
      <c r="B1838">
        <v>23.52</v>
      </c>
      <c r="C1838">
        <v>20</v>
      </c>
      <c r="D1838" s="9">
        <v>42515</v>
      </c>
      <c r="E1838" t="s">
        <v>295</v>
      </c>
      <c r="I1838" s="9"/>
    </row>
    <row r="1839" spans="1:9" x14ac:dyDescent="0.25">
      <c r="A1839">
        <v>250680</v>
      </c>
      <c r="B1839">
        <v>23.52</v>
      </c>
      <c r="C1839">
        <v>20</v>
      </c>
      <c r="D1839" s="9">
        <v>42510</v>
      </c>
      <c r="E1839" t="s">
        <v>295</v>
      </c>
      <c r="I1839" s="9"/>
    </row>
    <row r="1840" spans="1:9" x14ac:dyDescent="0.25">
      <c r="A1840">
        <v>250680</v>
      </c>
      <c r="B1840">
        <v>26.35</v>
      </c>
      <c r="C1840">
        <v>55</v>
      </c>
      <c r="D1840" s="9">
        <v>42332</v>
      </c>
      <c r="E1840" t="s">
        <v>295</v>
      </c>
      <c r="I1840" s="9"/>
    </row>
    <row r="1841" spans="1:9" x14ac:dyDescent="0.25">
      <c r="A1841">
        <v>250680</v>
      </c>
      <c r="B1841">
        <v>23.52</v>
      </c>
      <c r="C1841">
        <v>50</v>
      </c>
      <c r="D1841" s="9">
        <v>42243</v>
      </c>
      <c r="E1841" t="s">
        <v>295</v>
      </c>
      <c r="I1841" s="9"/>
    </row>
    <row r="1842" spans="1:9" x14ac:dyDescent="0.25">
      <c r="A1842">
        <v>250680</v>
      </c>
      <c r="B1842">
        <v>24.48</v>
      </c>
      <c r="C1842">
        <v>50</v>
      </c>
      <c r="D1842" s="9">
        <v>42229</v>
      </c>
      <c r="E1842" t="s">
        <v>295</v>
      </c>
      <c r="I1842" s="9"/>
    </row>
    <row r="1843" spans="1:9" x14ac:dyDescent="0.25">
      <c r="A1843">
        <v>250680</v>
      </c>
      <c r="B1843">
        <v>24.48</v>
      </c>
      <c r="C1843">
        <v>140</v>
      </c>
      <c r="D1843" s="9">
        <v>42178</v>
      </c>
      <c r="E1843" t="s">
        <v>295</v>
      </c>
      <c r="I1843" s="9"/>
    </row>
    <row r="1844" spans="1:9" x14ac:dyDescent="0.25">
      <c r="A1844">
        <v>250680</v>
      </c>
      <c r="B1844">
        <v>24.48</v>
      </c>
      <c r="C1844">
        <v>140</v>
      </c>
      <c r="D1844" s="9">
        <v>42173</v>
      </c>
      <c r="E1844" t="s">
        <v>295</v>
      </c>
      <c r="I1844" s="9"/>
    </row>
    <row r="1845" spans="1:9" x14ac:dyDescent="0.25">
      <c r="A1845">
        <v>250680</v>
      </c>
      <c r="B1845">
        <v>25.44</v>
      </c>
      <c r="C1845">
        <v>30</v>
      </c>
      <c r="D1845" s="9">
        <v>42083</v>
      </c>
      <c r="E1845" t="s">
        <v>295</v>
      </c>
      <c r="I1845" s="9"/>
    </row>
    <row r="1846" spans="1:9" x14ac:dyDescent="0.25">
      <c r="A1846">
        <v>250680</v>
      </c>
      <c r="B1846">
        <v>26.83</v>
      </c>
      <c r="C1846">
        <v>25</v>
      </c>
      <c r="D1846" s="9">
        <v>42034</v>
      </c>
      <c r="E1846" t="s">
        <v>295</v>
      </c>
      <c r="I1846" s="9"/>
    </row>
    <row r="1847" spans="1:9" x14ac:dyDescent="0.25">
      <c r="A1847">
        <v>250680</v>
      </c>
      <c r="B1847">
        <v>23.04</v>
      </c>
      <c r="C1847">
        <v>50</v>
      </c>
      <c r="D1847" s="9">
        <v>41960</v>
      </c>
      <c r="E1847" t="s">
        <v>295</v>
      </c>
      <c r="I1847" s="9"/>
    </row>
    <row r="1848" spans="1:9" x14ac:dyDescent="0.25">
      <c r="A1848">
        <v>250680</v>
      </c>
      <c r="B1848">
        <v>23.04</v>
      </c>
      <c r="C1848">
        <v>50</v>
      </c>
      <c r="D1848" s="9">
        <v>41935</v>
      </c>
      <c r="E1848" t="s">
        <v>295</v>
      </c>
      <c r="I1848" s="9"/>
    </row>
    <row r="1849" spans="1:9" x14ac:dyDescent="0.25">
      <c r="A1849">
        <v>250680</v>
      </c>
      <c r="B1849">
        <v>23.95</v>
      </c>
      <c r="C1849">
        <v>40</v>
      </c>
      <c r="D1849" s="9">
        <v>41892</v>
      </c>
      <c r="E1849" t="s">
        <v>295</v>
      </c>
      <c r="I1849" s="9"/>
    </row>
    <row r="1850" spans="1:9" x14ac:dyDescent="0.25">
      <c r="A1850">
        <v>250680</v>
      </c>
      <c r="B1850">
        <v>23.04</v>
      </c>
      <c r="C1850">
        <v>25</v>
      </c>
      <c r="D1850" s="9">
        <v>41884</v>
      </c>
      <c r="E1850" t="s">
        <v>295</v>
      </c>
      <c r="I1850" s="9"/>
    </row>
    <row r="1851" spans="1:9" x14ac:dyDescent="0.25">
      <c r="A1851">
        <v>250680</v>
      </c>
      <c r="B1851">
        <v>23.04</v>
      </c>
      <c r="C1851">
        <v>25</v>
      </c>
      <c r="D1851" s="9">
        <v>41879</v>
      </c>
      <c r="E1851" t="s">
        <v>295</v>
      </c>
      <c r="I1851" s="9"/>
    </row>
    <row r="1852" spans="1:9" x14ac:dyDescent="0.25">
      <c r="A1852">
        <v>250680</v>
      </c>
      <c r="B1852">
        <v>23.04</v>
      </c>
      <c r="C1852">
        <v>40</v>
      </c>
      <c r="D1852" s="9">
        <v>41864</v>
      </c>
      <c r="E1852" t="s">
        <v>295</v>
      </c>
      <c r="I1852" s="9"/>
    </row>
    <row r="1853" spans="1:9" x14ac:dyDescent="0.25">
      <c r="A1853">
        <v>250680</v>
      </c>
      <c r="B1853">
        <v>23.04</v>
      </c>
      <c r="C1853">
        <v>40</v>
      </c>
      <c r="D1853" s="9">
        <v>41858</v>
      </c>
      <c r="E1853" t="s">
        <v>295</v>
      </c>
      <c r="I1853" s="9"/>
    </row>
    <row r="1854" spans="1:9" x14ac:dyDescent="0.25">
      <c r="A1854">
        <v>250680</v>
      </c>
      <c r="B1854">
        <v>23.04</v>
      </c>
      <c r="C1854">
        <v>40</v>
      </c>
      <c r="D1854" s="9">
        <v>41719</v>
      </c>
      <c r="E1854" t="s">
        <v>295</v>
      </c>
      <c r="I1854" s="9"/>
    </row>
    <row r="1855" spans="1:9" x14ac:dyDescent="0.25">
      <c r="A1855">
        <v>250680</v>
      </c>
      <c r="B1855">
        <v>23.04</v>
      </c>
      <c r="C1855">
        <v>30</v>
      </c>
      <c r="D1855" s="9">
        <v>41703</v>
      </c>
      <c r="E1855" t="s">
        <v>295</v>
      </c>
      <c r="I1855" s="9"/>
    </row>
    <row r="1856" spans="1:9" x14ac:dyDescent="0.25">
      <c r="A1856">
        <v>250680</v>
      </c>
      <c r="B1856">
        <v>24.48</v>
      </c>
      <c r="C1856">
        <v>30</v>
      </c>
      <c r="D1856" s="9">
        <v>41605</v>
      </c>
      <c r="E1856" t="s">
        <v>295</v>
      </c>
      <c r="I1856" s="9"/>
    </row>
    <row r="1857" spans="1:9" x14ac:dyDescent="0.25">
      <c r="A1857">
        <v>250680</v>
      </c>
      <c r="B1857">
        <v>24.48</v>
      </c>
      <c r="C1857">
        <v>60</v>
      </c>
      <c r="D1857" s="9">
        <v>41599</v>
      </c>
      <c r="E1857" t="s">
        <v>295</v>
      </c>
      <c r="I1857" s="9"/>
    </row>
    <row r="1858" spans="1:9" x14ac:dyDescent="0.25">
      <c r="A1858">
        <v>250680</v>
      </c>
      <c r="B1858">
        <v>24.48</v>
      </c>
      <c r="C1858">
        <v>30</v>
      </c>
      <c r="D1858" s="9">
        <v>41565</v>
      </c>
      <c r="E1858" t="s">
        <v>295</v>
      </c>
      <c r="I1858" s="9"/>
    </row>
    <row r="1859" spans="1:9" x14ac:dyDescent="0.25">
      <c r="A1859">
        <v>250700</v>
      </c>
      <c r="B1859">
        <v>5.34</v>
      </c>
      <c r="C1859">
        <v>400</v>
      </c>
      <c r="D1859" s="9">
        <v>43966</v>
      </c>
      <c r="E1859" t="s">
        <v>296</v>
      </c>
      <c r="I1859" s="9"/>
    </row>
    <row r="1860" spans="1:9" x14ac:dyDescent="0.25">
      <c r="A1860">
        <v>250700</v>
      </c>
      <c r="B1860">
        <v>29.4</v>
      </c>
      <c r="C1860">
        <v>180</v>
      </c>
      <c r="D1860" s="9">
        <v>43671</v>
      </c>
      <c r="E1860" t="s">
        <v>295</v>
      </c>
      <c r="I1860" s="9"/>
    </row>
    <row r="1861" spans="1:9" x14ac:dyDescent="0.25">
      <c r="A1861">
        <v>250700</v>
      </c>
      <c r="B1861">
        <v>6.18</v>
      </c>
      <c r="C1861">
        <v>400</v>
      </c>
      <c r="D1861" s="9">
        <v>43634</v>
      </c>
      <c r="E1861" t="s">
        <v>296</v>
      </c>
      <c r="I1861" s="9"/>
    </row>
    <row r="1862" spans="1:9" x14ac:dyDescent="0.25">
      <c r="A1862">
        <v>250700</v>
      </c>
      <c r="B1862">
        <v>29.4</v>
      </c>
      <c r="C1862">
        <v>80</v>
      </c>
      <c r="D1862" s="9">
        <v>43620</v>
      </c>
      <c r="E1862" t="s">
        <v>295</v>
      </c>
      <c r="I1862" s="9"/>
    </row>
    <row r="1863" spans="1:9" x14ac:dyDescent="0.25">
      <c r="A1863">
        <v>250700</v>
      </c>
      <c r="B1863">
        <v>6</v>
      </c>
      <c r="C1863">
        <v>250</v>
      </c>
      <c r="D1863" s="9">
        <v>43483</v>
      </c>
      <c r="E1863" t="s">
        <v>296</v>
      </c>
      <c r="I1863" s="9"/>
    </row>
    <row r="1864" spans="1:9" x14ac:dyDescent="0.25">
      <c r="A1864">
        <v>250700</v>
      </c>
      <c r="B1864">
        <v>28.2</v>
      </c>
      <c r="C1864">
        <v>88</v>
      </c>
      <c r="D1864" s="9">
        <v>43431</v>
      </c>
      <c r="E1864" t="s">
        <v>295</v>
      </c>
      <c r="I1864" s="9"/>
    </row>
    <row r="1865" spans="1:9" x14ac:dyDescent="0.25">
      <c r="A1865">
        <v>250700</v>
      </c>
      <c r="B1865">
        <v>31.14</v>
      </c>
      <c r="C1865">
        <v>80</v>
      </c>
      <c r="D1865" s="9">
        <v>43377</v>
      </c>
      <c r="E1865" t="s">
        <v>295</v>
      </c>
      <c r="I1865" s="9"/>
    </row>
    <row r="1866" spans="1:9" x14ac:dyDescent="0.25">
      <c r="A1866">
        <v>250700</v>
      </c>
      <c r="B1866">
        <v>27.6</v>
      </c>
      <c r="C1866">
        <v>80</v>
      </c>
      <c r="D1866" s="9">
        <v>43319</v>
      </c>
      <c r="E1866" t="s">
        <v>295</v>
      </c>
      <c r="I1866" s="9"/>
    </row>
    <row r="1867" spans="1:9" x14ac:dyDescent="0.25">
      <c r="A1867">
        <v>250700</v>
      </c>
      <c r="B1867">
        <v>27.6</v>
      </c>
      <c r="C1867">
        <v>40</v>
      </c>
      <c r="D1867" s="9">
        <v>43230</v>
      </c>
      <c r="E1867" t="s">
        <v>295</v>
      </c>
      <c r="I1867" s="9"/>
    </row>
    <row r="1868" spans="1:9" x14ac:dyDescent="0.25">
      <c r="A1868">
        <v>250700</v>
      </c>
      <c r="B1868">
        <v>32.340000000000003</v>
      </c>
      <c r="C1868">
        <v>80</v>
      </c>
      <c r="D1868" s="9">
        <v>43166</v>
      </c>
      <c r="E1868" t="s">
        <v>295</v>
      </c>
      <c r="I1868" s="9"/>
    </row>
    <row r="1869" spans="1:9" x14ac:dyDescent="0.25">
      <c r="A1869">
        <v>250700</v>
      </c>
      <c r="B1869">
        <v>32.340000000000003</v>
      </c>
      <c r="C1869">
        <v>90</v>
      </c>
      <c r="D1869" s="9">
        <v>43103</v>
      </c>
      <c r="E1869" t="s">
        <v>295</v>
      </c>
      <c r="I1869" s="9"/>
    </row>
    <row r="1870" spans="1:9" x14ac:dyDescent="0.25">
      <c r="A1870">
        <v>250700</v>
      </c>
      <c r="B1870">
        <v>32.340000000000003</v>
      </c>
      <c r="C1870">
        <v>20</v>
      </c>
      <c r="D1870" s="9">
        <v>43028</v>
      </c>
      <c r="E1870" t="s">
        <v>295</v>
      </c>
      <c r="I1870" s="9"/>
    </row>
    <row r="1871" spans="1:9" x14ac:dyDescent="0.25">
      <c r="A1871">
        <v>250700</v>
      </c>
      <c r="B1871">
        <v>29.4</v>
      </c>
      <c r="C1871">
        <v>80</v>
      </c>
      <c r="D1871" s="9">
        <v>43006</v>
      </c>
      <c r="E1871" t="s">
        <v>295</v>
      </c>
      <c r="I1871" s="9"/>
    </row>
    <row r="1872" spans="1:9" x14ac:dyDescent="0.25">
      <c r="A1872">
        <v>250700</v>
      </c>
      <c r="B1872">
        <v>29.4</v>
      </c>
      <c r="C1872">
        <v>56</v>
      </c>
      <c r="D1872" s="9">
        <v>42986</v>
      </c>
      <c r="E1872" t="s">
        <v>295</v>
      </c>
      <c r="I1872" s="9"/>
    </row>
    <row r="1873" spans="1:9" x14ac:dyDescent="0.25">
      <c r="A1873">
        <v>250700</v>
      </c>
      <c r="B1873">
        <v>29.4</v>
      </c>
      <c r="C1873">
        <v>56</v>
      </c>
      <c r="D1873" s="9">
        <v>42985</v>
      </c>
      <c r="E1873" t="s">
        <v>295</v>
      </c>
      <c r="I1873" s="9"/>
    </row>
    <row r="1874" spans="1:9" x14ac:dyDescent="0.25">
      <c r="A1874">
        <v>250700</v>
      </c>
      <c r="B1874">
        <v>29.4</v>
      </c>
      <c r="C1874">
        <v>40</v>
      </c>
      <c r="D1874" s="9">
        <v>42923</v>
      </c>
      <c r="E1874" t="s">
        <v>295</v>
      </c>
      <c r="I1874" s="9"/>
    </row>
    <row r="1875" spans="1:9" x14ac:dyDescent="0.25">
      <c r="A1875">
        <v>250700</v>
      </c>
      <c r="B1875">
        <v>30</v>
      </c>
      <c r="C1875">
        <v>40</v>
      </c>
      <c r="D1875" s="9">
        <v>42836</v>
      </c>
      <c r="E1875" t="s">
        <v>295</v>
      </c>
      <c r="I1875" s="9"/>
    </row>
    <row r="1876" spans="1:9" x14ac:dyDescent="0.25">
      <c r="A1876">
        <v>250700</v>
      </c>
      <c r="B1876">
        <v>30</v>
      </c>
      <c r="C1876">
        <v>40</v>
      </c>
      <c r="D1876" s="9">
        <v>42825</v>
      </c>
      <c r="E1876" t="s">
        <v>295</v>
      </c>
      <c r="I1876" s="9"/>
    </row>
    <row r="1877" spans="1:9" x14ac:dyDescent="0.25">
      <c r="A1877">
        <v>250700</v>
      </c>
      <c r="B1877">
        <v>34.14</v>
      </c>
      <c r="C1877">
        <v>130</v>
      </c>
      <c r="D1877" s="9">
        <v>42793</v>
      </c>
      <c r="E1877" t="s">
        <v>295</v>
      </c>
      <c r="I1877" s="9"/>
    </row>
    <row r="1878" spans="1:9" x14ac:dyDescent="0.25">
      <c r="A1878">
        <v>250700</v>
      </c>
      <c r="B1878">
        <v>29.4</v>
      </c>
      <c r="C1878">
        <v>40</v>
      </c>
      <c r="D1878" s="9">
        <v>42745</v>
      </c>
      <c r="E1878" t="s">
        <v>295</v>
      </c>
      <c r="I1878" s="9"/>
    </row>
    <row r="1879" spans="1:9" x14ac:dyDescent="0.25">
      <c r="A1879">
        <v>250700</v>
      </c>
      <c r="B1879">
        <v>29.4</v>
      </c>
      <c r="C1879">
        <v>20</v>
      </c>
      <c r="D1879" s="9">
        <v>42719</v>
      </c>
      <c r="E1879" t="s">
        <v>295</v>
      </c>
      <c r="I1879" s="9"/>
    </row>
    <row r="1880" spans="1:9" x14ac:dyDescent="0.25">
      <c r="A1880">
        <v>250700</v>
      </c>
      <c r="B1880">
        <v>29.4</v>
      </c>
      <c r="C1880">
        <v>100</v>
      </c>
      <c r="D1880" s="9">
        <v>42643</v>
      </c>
      <c r="E1880" t="s">
        <v>295</v>
      </c>
      <c r="I1880" s="9"/>
    </row>
    <row r="1881" spans="1:9" x14ac:dyDescent="0.25">
      <c r="A1881">
        <v>250700</v>
      </c>
      <c r="B1881">
        <v>29.4</v>
      </c>
      <c r="C1881">
        <v>20</v>
      </c>
      <c r="D1881" s="9">
        <v>42635</v>
      </c>
      <c r="E1881" t="s">
        <v>295</v>
      </c>
      <c r="I1881" s="9"/>
    </row>
    <row r="1882" spans="1:9" x14ac:dyDescent="0.25">
      <c r="A1882">
        <v>250700</v>
      </c>
      <c r="B1882">
        <v>29.4</v>
      </c>
      <c r="C1882">
        <v>40</v>
      </c>
      <c r="D1882" s="9">
        <v>42621</v>
      </c>
      <c r="E1882" t="s">
        <v>295</v>
      </c>
      <c r="I1882" s="9"/>
    </row>
    <row r="1883" spans="1:9" x14ac:dyDescent="0.25">
      <c r="A1883">
        <v>250700</v>
      </c>
      <c r="B1883">
        <v>29.4</v>
      </c>
      <c r="C1883">
        <v>24</v>
      </c>
      <c r="D1883" s="9">
        <v>42605</v>
      </c>
      <c r="E1883" t="s">
        <v>295</v>
      </c>
      <c r="I1883" s="9"/>
    </row>
    <row r="1884" spans="1:9" x14ac:dyDescent="0.25">
      <c r="A1884">
        <v>250700</v>
      </c>
      <c r="B1884">
        <v>29.4</v>
      </c>
      <c r="C1884">
        <v>35</v>
      </c>
      <c r="D1884" s="9">
        <v>42592</v>
      </c>
      <c r="E1884" t="s">
        <v>295</v>
      </c>
      <c r="I1884" s="9"/>
    </row>
    <row r="1885" spans="1:9" x14ac:dyDescent="0.25">
      <c r="A1885">
        <v>250700</v>
      </c>
      <c r="B1885">
        <v>32.94</v>
      </c>
      <c r="C1885">
        <v>35</v>
      </c>
      <c r="D1885" s="9">
        <v>42577</v>
      </c>
      <c r="E1885" t="s">
        <v>295</v>
      </c>
      <c r="I1885" s="9"/>
    </row>
    <row r="1886" spans="1:9" x14ac:dyDescent="0.25">
      <c r="A1886">
        <v>250700</v>
      </c>
      <c r="B1886">
        <v>29.4</v>
      </c>
      <c r="C1886">
        <v>32</v>
      </c>
      <c r="D1886" s="9">
        <v>42510</v>
      </c>
      <c r="E1886" t="s">
        <v>295</v>
      </c>
      <c r="I1886" s="9"/>
    </row>
    <row r="1887" spans="1:9" x14ac:dyDescent="0.25">
      <c r="A1887">
        <v>250700</v>
      </c>
      <c r="B1887">
        <v>34.74</v>
      </c>
      <c r="C1887">
        <v>30</v>
      </c>
      <c r="D1887" s="9">
        <v>42467</v>
      </c>
      <c r="E1887" t="s">
        <v>295</v>
      </c>
      <c r="I1887" s="9"/>
    </row>
    <row r="1888" spans="1:9" x14ac:dyDescent="0.25">
      <c r="A1888">
        <v>250700</v>
      </c>
      <c r="B1888">
        <v>32.94</v>
      </c>
      <c r="C1888">
        <v>105</v>
      </c>
      <c r="D1888" s="9">
        <v>42332</v>
      </c>
      <c r="E1888" t="s">
        <v>295</v>
      </c>
      <c r="I1888" s="9"/>
    </row>
    <row r="1889" spans="1:9" x14ac:dyDescent="0.25">
      <c r="A1889">
        <v>250700</v>
      </c>
      <c r="B1889">
        <v>32.94</v>
      </c>
      <c r="C1889">
        <v>130</v>
      </c>
      <c r="D1889" s="9">
        <v>42285</v>
      </c>
      <c r="E1889" t="s">
        <v>295</v>
      </c>
      <c r="I1889" s="9"/>
    </row>
    <row r="1890" spans="1:9" x14ac:dyDescent="0.25">
      <c r="A1890">
        <v>250700</v>
      </c>
      <c r="B1890">
        <v>29.4</v>
      </c>
      <c r="C1890">
        <v>40</v>
      </c>
      <c r="D1890" s="9">
        <v>42262</v>
      </c>
      <c r="E1890" t="s">
        <v>295</v>
      </c>
      <c r="I1890" s="9"/>
    </row>
    <row r="1891" spans="1:9" x14ac:dyDescent="0.25">
      <c r="A1891">
        <v>250700</v>
      </c>
      <c r="B1891">
        <v>30.6</v>
      </c>
      <c r="C1891">
        <v>40</v>
      </c>
      <c r="D1891" s="9">
        <v>42179</v>
      </c>
      <c r="E1891" t="s">
        <v>295</v>
      </c>
      <c r="I1891" s="9"/>
    </row>
    <row r="1892" spans="1:9" x14ac:dyDescent="0.25">
      <c r="A1892">
        <v>250700</v>
      </c>
      <c r="B1892">
        <v>30.6</v>
      </c>
      <c r="C1892">
        <v>40</v>
      </c>
      <c r="D1892" s="9">
        <v>42178</v>
      </c>
      <c r="E1892" t="s">
        <v>295</v>
      </c>
      <c r="I1892" s="9"/>
    </row>
    <row r="1893" spans="1:9" x14ac:dyDescent="0.25">
      <c r="A1893">
        <v>250700</v>
      </c>
      <c r="B1893">
        <v>30.6</v>
      </c>
      <c r="C1893">
        <v>40</v>
      </c>
      <c r="D1893" s="9">
        <v>42173</v>
      </c>
      <c r="E1893" t="s">
        <v>295</v>
      </c>
      <c r="I1893" s="9"/>
    </row>
    <row r="1894" spans="1:9" x14ac:dyDescent="0.25">
      <c r="A1894">
        <v>250700</v>
      </c>
      <c r="B1894">
        <v>32.94</v>
      </c>
      <c r="C1894">
        <v>100</v>
      </c>
      <c r="D1894" s="9">
        <v>42170</v>
      </c>
      <c r="E1894" t="s">
        <v>295</v>
      </c>
      <c r="I1894" s="9"/>
    </row>
    <row r="1895" spans="1:9" x14ac:dyDescent="0.25">
      <c r="A1895">
        <v>250700</v>
      </c>
      <c r="B1895">
        <v>31.8</v>
      </c>
      <c r="C1895">
        <v>40</v>
      </c>
      <c r="D1895" s="9">
        <v>42083</v>
      </c>
      <c r="E1895" t="s">
        <v>295</v>
      </c>
      <c r="I1895" s="9"/>
    </row>
    <row r="1896" spans="1:9" x14ac:dyDescent="0.25">
      <c r="A1896">
        <v>250700</v>
      </c>
      <c r="B1896">
        <v>33.54</v>
      </c>
      <c r="C1896">
        <v>60</v>
      </c>
      <c r="D1896" s="9">
        <v>42034</v>
      </c>
      <c r="E1896" t="s">
        <v>295</v>
      </c>
      <c r="I1896" s="9"/>
    </row>
    <row r="1897" spans="1:9" x14ac:dyDescent="0.25">
      <c r="A1897">
        <v>250700</v>
      </c>
      <c r="B1897">
        <v>28.8</v>
      </c>
      <c r="C1897">
        <v>48</v>
      </c>
      <c r="D1897" s="9">
        <v>41935</v>
      </c>
      <c r="E1897" t="s">
        <v>295</v>
      </c>
      <c r="I1897" s="9"/>
    </row>
    <row r="1898" spans="1:9" x14ac:dyDescent="0.25">
      <c r="A1898">
        <v>250700</v>
      </c>
      <c r="B1898">
        <v>28.8</v>
      </c>
      <c r="C1898">
        <v>48</v>
      </c>
      <c r="D1898" s="9">
        <v>41912</v>
      </c>
      <c r="E1898" t="s">
        <v>295</v>
      </c>
      <c r="I1898" s="9"/>
    </row>
    <row r="1899" spans="1:9" x14ac:dyDescent="0.25">
      <c r="A1899">
        <v>250700</v>
      </c>
      <c r="B1899">
        <v>28.8</v>
      </c>
      <c r="C1899">
        <v>24</v>
      </c>
      <c r="D1899" s="9">
        <v>41884</v>
      </c>
      <c r="E1899" t="s">
        <v>295</v>
      </c>
      <c r="I1899" s="9"/>
    </row>
    <row r="1900" spans="1:9" x14ac:dyDescent="0.25">
      <c r="A1900">
        <v>250700</v>
      </c>
      <c r="B1900">
        <v>28.8</v>
      </c>
      <c r="C1900">
        <v>24</v>
      </c>
      <c r="D1900" s="9">
        <v>41879</v>
      </c>
      <c r="E1900" t="s">
        <v>295</v>
      </c>
      <c r="I1900" s="9"/>
    </row>
    <row r="1901" spans="1:9" x14ac:dyDescent="0.25">
      <c r="A1901">
        <v>250700</v>
      </c>
      <c r="B1901">
        <v>28.8</v>
      </c>
      <c r="C1901">
        <v>25</v>
      </c>
      <c r="D1901" s="9">
        <v>41858</v>
      </c>
      <c r="E1901" t="s">
        <v>295</v>
      </c>
      <c r="I1901" s="9"/>
    </row>
    <row r="1902" spans="1:9" x14ac:dyDescent="0.25">
      <c r="A1902">
        <v>250700</v>
      </c>
      <c r="B1902">
        <v>29.4</v>
      </c>
      <c r="C1902">
        <v>24</v>
      </c>
      <c r="D1902" s="9">
        <v>41822</v>
      </c>
      <c r="E1902" t="s">
        <v>295</v>
      </c>
      <c r="I1902" s="9"/>
    </row>
    <row r="1903" spans="1:9" x14ac:dyDescent="0.25">
      <c r="A1903">
        <v>250700</v>
      </c>
      <c r="B1903">
        <v>29.4</v>
      </c>
      <c r="C1903">
        <v>24</v>
      </c>
      <c r="D1903" s="9">
        <v>41820</v>
      </c>
      <c r="E1903" t="s">
        <v>295</v>
      </c>
      <c r="I1903" s="9"/>
    </row>
    <row r="1904" spans="1:9" x14ac:dyDescent="0.25">
      <c r="A1904">
        <v>250700</v>
      </c>
      <c r="B1904">
        <v>28.8</v>
      </c>
      <c r="C1904">
        <v>40</v>
      </c>
      <c r="D1904" s="9">
        <v>41719</v>
      </c>
      <c r="E1904" t="s">
        <v>295</v>
      </c>
      <c r="I1904" s="9"/>
    </row>
    <row r="1905" spans="1:9" x14ac:dyDescent="0.25">
      <c r="A1905">
        <v>250700</v>
      </c>
      <c r="B1905">
        <v>28.8</v>
      </c>
      <c r="C1905">
        <v>40</v>
      </c>
      <c r="D1905" s="9">
        <v>41689</v>
      </c>
      <c r="E1905" t="s">
        <v>295</v>
      </c>
      <c r="I1905" s="9"/>
    </row>
    <row r="1906" spans="1:9" x14ac:dyDescent="0.25">
      <c r="A1906">
        <v>250700</v>
      </c>
      <c r="B1906">
        <v>28.8</v>
      </c>
      <c r="C1906">
        <v>35</v>
      </c>
      <c r="D1906" s="9">
        <v>41596</v>
      </c>
      <c r="E1906" t="s">
        <v>295</v>
      </c>
      <c r="I1906" s="9"/>
    </row>
    <row r="1907" spans="1:9" x14ac:dyDescent="0.25">
      <c r="A1907">
        <v>250700</v>
      </c>
      <c r="B1907">
        <v>30.6</v>
      </c>
      <c r="C1907">
        <v>40</v>
      </c>
      <c r="D1907" s="9">
        <v>41565</v>
      </c>
      <c r="E1907" t="s">
        <v>295</v>
      </c>
      <c r="I1907" s="9"/>
    </row>
    <row r="1908" spans="1:9" x14ac:dyDescent="0.25">
      <c r="A1908">
        <v>250760</v>
      </c>
      <c r="B1908">
        <v>7.73</v>
      </c>
      <c r="C1908">
        <v>70</v>
      </c>
      <c r="D1908" s="9">
        <v>44133</v>
      </c>
      <c r="E1908" t="s">
        <v>296</v>
      </c>
      <c r="I1908" s="9"/>
    </row>
    <row r="1909" spans="1:9" x14ac:dyDescent="0.25">
      <c r="A1909">
        <v>250760</v>
      </c>
      <c r="B1909">
        <v>6.41</v>
      </c>
      <c r="C1909">
        <v>60</v>
      </c>
      <c r="D1909" s="9">
        <v>43966</v>
      </c>
      <c r="E1909" t="s">
        <v>296</v>
      </c>
      <c r="I1909" s="9"/>
    </row>
    <row r="1910" spans="1:9" x14ac:dyDescent="0.25">
      <c r="A1910">
        <v>250760</v>
      </c>
      <c r="B1910">
        <v>7.2</v>
      </c>
      <c r="C1910">
        <v>140</v>
      </c>
      <c r="D1910" s="9">
        <v>43483</v>
      </c>
      <c r="E1910" t="s">
        <v>296</v>
      </c>
      <c r="I1910" s="9"/>
    </row>
    <row r="1911" spans="1:9" x14ac:dyDescent="0.25">
      <c r="A1911">
        <v>250760</v>
      </c>
      <c r="B1911">
        <v>33.840000000000003</v>
      </c>
      <c r="C1911">
        <v>9</v>
      </c>
      <c r="D1911" s="9">
        <v>43431</v>
      </c>
      <c r="E1911" t="s">
        <v>295</v>
      </c>
      <c r="I1911" s="9"/>
    </row>
    <row r="1912" spans="1:9" x14ac:dyDescent="0.25">
      <c r="A1912">
        <v>250760</v>
      </c>
      <c r="B1912">
        <v>37.369999999999997</v>
      </c>
      <c r="C1912">
        <v>30</v>
      </c>
      <c r="D1912" s="9">
        <v>43377</v>
      </c>
      <c r="E1912" t="s">
        <v>295</v>
      </c>
      <c r="I1912" s="9"/>
    </row>
    <row r="1913" spans="1:9" x14ac:dyDescent="0.25">
      <c r="A1913">
        <v>250760</v>
      </c>
      <c r="B1913">
        <v>33.119999999999997</v>
      </c>
      <c r="C1913">
        <v>15</v>
      </c>
      <c r="D1913" s="9">
        <v>43230</v>
      </c>
      <c r="E1913" t="s">
        <v>295</v>
      </c>
      <c r="I1913" s="9"/>
    </row>
    <row r="1914" spans="1:9" x14ac:dyDescent="0.25">
      <c r="A1914">
        <v>250760</v>
      </c>
      <c r="B1914">
        <v>35.28</v>
      </c>
      <c r="C1914">
        <v>30</v>
      </c>
      <c r="D1914" s="9">
        <v>43049</v>
      </c>
      <c r="E1914" t="s">
        <v>295</v>
      </c>
      <c r="I1914" s="9"/>
    </row>
    <row r="1915" spans="1:9" x14ac:dyDescent="0.25">
      <c r="A1915">
        <v>250760</v>
      </c>
      <c r="B1915">
        <v>38.81</v>
      </c>
      <c r="C1915">
        <v>80</v>
      </c>
      <c r="D1915" s="9">
        <v>43028</v>
      </c>
      <c r="E1915" t="s">
        <v>295</v>
      </c>
      <c r="I1915" s="9"/>
    </row>
    <row r="1916" spans="1:9" x14ac:dyDescent="0.25">
      <c r="A1916">
        <v>250760</v>
      </c>
      <c r="B1916">
        <v>36</v>
      </c>
      <c r="C1916">
        <v>40</v>
      </c>
      <c r="D1916" s="9">
        <v>42986</v>
      </c>
      <c r="E1916" t="s">
        <v>295</v>
      </c>
      <c r="I1916" s="9"/>
    </row>
    <row r="1917" spans="1:9" x14ac:dyDescent="0.25">
      <c r="A1917">
        <v>250760</v>
      </c>
      <c r="B1917">
        <v>36</v>
      </c>
      <c r="C1917">
        <v>40</v>
      </c>
      <c r="D1917" s="9">
        <v>42985</v>
      </c>
      <c r="E1917" t="s">
        <v>295</v>
      </c>
      <c r="I1917" s="9"/>
    </row>
    <row r="1918" spans="1:9" x14ac:dyDescent="0.25">
      <c r="A1918">
        <v>250760</v>
      </c>
      <c r="B1918">
        <v>35.28</v>
      </c>
      <c r="C1918">
        <v>30</v>
      </c>
      <c r="D1918" s="9">
        <v>42923</v>
      </c>
      <c r="E1918" t="s">
        <v>295</v>
      </c>
      <c r="I1918" s="9"/>
    </row>
    <row r="1919" spans="1:9" x14ac:dyDescent="0.25">
      <c r="A1919">
        <v>250760</v>
      </c>
      <c r="B1919">
        <v>36</v>
      </c>
      <c r="C1919">
        <v>15</v>
      </c>
      <c r="D1919" s="9">
        <v>42829</v>
      </c>
      <c r="E1919" t="s">
        <v>295</v>
      </c>
      <c r="I1919" s="9"/>
    </row>
    <row r="1920" spans="1:9" x14ac:dyDescent="0.25">
      <c r="A1920">
        <v>250760</v>
      </c>
      <c r="B1920">
        <v>40.97</v>
      </c>
      <c r="C1920">
        <v>10</v>
      </c>
      <c r="D1920" s="9">
        <v>42793</v>
      </c>
      <c r="E1920" t="s">
        <v>295</v>
      </c>
      <c r="I1920" s="9"/>
    </row>
    <row r="1921" spans="1:9" x14ac:dyDescent="0.25">
      <c r="A1921">
        <v>250760</v>
      </c>
      <c r="B1921">
        <v>35.28</v>
      </c>
      <c r="C1921">
        <v>15</v>
      </c>
      <c r="D1921" s="9">
        <v>42745</v>
      </c>
      <c r="E1921" t="s">
        <v>295</v>
      </c>
      <c r="I1921" s="9"/>
    </row>
    <row r="1922" spans="1:9" x14ac:dyDescent="0.25">
      <c r="A1922">
        <v>250760</v>
      </c>
      <c r="B1922">
        <v>35.28</v>
      </c>
      <c r="C1922">
        <v>15</v>
      </c>
      <c r="D1922" s="9">
        <v>42719</v>
      </c>
      <c r="E1922" t="s">
        <v>295</v>
      </c>
      <c r="I1922" s="9"/>
    </row>
    <row r="1923" spans="1:9" x14ac:dyDescent="0.25">
      <c r="A1923">
        <v>250760</v>
      </c>
      <c r="B1923">
        <v>35.28</v>
      </c>
      <c r="C1923">
        <v>6</v>
      </c>
      <c r="D1923" s="9">
        <v>42621</v>
      </c>
      <c r="E1923" t="s">
        <v>295</v>
      </c>
      <c r="I1923" s="9"/>
    </row>
    <row r="1924" spans="1:9" x14ac:dyDescent="0.25">
      <c r="A1924">
        <v>250760</v>
      </c>
      <c r="B1924">
        <v>35.28</v>
      </c>
      <c r="C1924">
        <v>30</v>
      </c>
      <c r="D1924" s="9">
        <v>42243</v>
      </c>
      <c r="E1924" t="s">
        <v>295</v>
      </c>
      <c r="I1924" s="9"/>
    </row>
    <row r="1925" spans="1:9" x14ac:dyDescent="0.25">
      <c r="A1925">
        <v>250760</v>
      </c>
      <c r="B1925">
        <v>36.72</v>
      </c>
      <c r="C1925">
        <v>30</v>
      </c>
      <c r="D1925" s="9">
        <v>42179</v>
      </c>
      <c r="E1925" t="s">
        <v>295</v>
      </c>
      <c r="I1925" s="9"/>
    </row>
    <row r="1926" spans="1:9" x14ac:dyDescent="0.25">
      <c r="A1926">
        <v>250760</v>
      </c>
      <c r="B1926">
        <v>36.72</v>
      </c>
      <c r="C1926">
        <v>30</v>
      </c>
      <c r="D1926" s="9">
        <v>42178</v>
      </c>
      <c r="E1926" t="s">
        <v>295</v>
      </c>
      <c r="I1926" s="9"/>
    </row>
    <row r="1927" spans="1:9" x14ac:dyDescent="0.25">
      <c r="A1927">
        <v>250760</v>
      </c>
      <c r="B1927">
        <v>36.72</v>
      </c>
      <c r="C1927">
        <v>30</v>
      </c>
      <c r="D1927" s="9">
        <v>42173</v>
      </c>
      <c r="E1927" t="s">
        <v>295</v>
      </c>
      <c r="I1927" s="9"/>
    </row>
    <row r="1928" spans="1:9" x14ac:dyDescent="0.25">
      <c r="A1928">
        <v>250760</v>
      </c>
      <c r="B1928">
        <v>39.53</v>
      </c>
      <c r="C1928">
        <v>24</v>
      </c>
      <c r="D1928" s="9">
        <v>42170</v>
      </c>
      <c r="E1928" t="s">
        <v>295</v>
      </c>
      <c r="I1928" s="9"/>
    </row>
    <row r="1929" spans="1:9" x14ac:dyDescent="0.25">
      <c r="A1929">
        <v>250760</v>
      </c>
      <c r="B1929">
        <v>37.44</v>
      </c>
      <c r="C1929">
        <v>30</v>
      </c>
      <c r="D1929" s="9">
        <v>42130</v>
      </c>
      <c r="E1929" t="s">
        <v>295</v>
      </c>
      <c r="I1929" s="9"/>
    </row>
    <row r="1930" spans="1:9" x14ac:dyDescent="0.25">
      <c r="A1930">
        <v>250760</v>
      </c>
      <c r="B1930">
        <v>34.56</v>
      </c>
      <c r="C1930">
        <v>30</v>
      </c>
      <c r="D1930" s="9">
        <v>41935</v>
      </c>
      <c r="E1930" t="s">
        <v>295</v>
      </c>
      <c r="I1930" s="9"/>
    </row>
    <row r="1931" spans="1:9" x14ac:dyDescent="0.25">
      <c r="A1931">
        <v>250760</v>
      </c>
      <c r="B1931">
        <v>34.56</v>
      </c>
      <c r="C1931">
        <v>30</v>
      </c>
      <c r="D1931" s="9">
        <v>41884</v>
      </c>
      <c r="E1931" t="s">
        <v>295</v>
      </c>
      <c r="I1931" s="9"/>
    </row>
    <row r="1932" spans="1:9" x14ac:dyDescent="0.25">
      <c r="A1932">
        <v>250760</v>
      </c>
      <c r="B1932">
        <v>34.56</v>
      </c>
      <c r="C1932">
        <v>30</v>
      </c>
      <c r="D1932" s="9">
        <v>41879</v>
      </c>
      <c r="E1932" t="s">
        <v>295</v>
      </c>
      <c r="I1932" s="9"/>
    </row>
    <row r="1933" spans="1:9" x14ac:dyDescent="0.25">
      <c r="A1933">
        <v>250800</v>
      </c>
      <c r="B1933">
        <v>8.59</v>
      </c>
      <c r="C1933">
        <v>80</v>
      </c>
      <c r="D1933" s="9">
        <v>44133</v>
      </c>
      <c r="E1933" t="s">
        <v>296</v>
      </c>
      <c r="I1933" s="9"/>
    </row>
    <row r="1934" spans="1:9" x14ac:dyDescent="0.25">
      <c r="A1934">
        <v>250800</v>
      </c>
      <c r="B1934">
        <v>7.12</v>
      </c>
      <c r="C1934">
        <v>140</v>
      </c>
      <c r="D1934" s="9">
        <v>43966</v>
      </c>
      <c r="E1934" t="s">
        <v>296</v>
      </c>
      <c r="I1934" s="9"/>
    </row>
    <row r="1935" spans="1:9" x14ac:dyDescent="0.25">
      <c r="A1935">
        <v>250800</v>
      </c>
      <c r="B1935">
        <v>41.52</v>
      </c>
      <c r="C1935">
        <v>50</v>
      </c>
      <c r="D1935" s="9">
        <v>43740</v>
      </c>
      <c r="E1935" t="s">
        <v>295</v>
      </c>
      <c r="I1935" s="9"/>
    </row>
    <row r="1936" spans="1:9" x14ac:dyDescent="0.25">
      <c r="A1936">
        <v>250800</v>
      </c>
      <c r="B1936">
        <v>8</v>
      </c>
      <c r="C1936">
        <v>200</v>
      </c>
      <c r="D1936" s="9">
        <v>43483</v>
      </c>
      <c r="E1936" t="s">
        <v>296</v>
      </c>
      <c r="I1936" s="9"/>
    </row>
    <row r="1937" spans="1:9" x14ac:dyDescent="0.25">
      <c r="A1937">
        <v>250800</v>
      </c>
      <c r="B1937">
        <v>37.6</v>
      </c>
      <c r="C1937">
        <v>9</v>
      </c>
      <c r="D1937" s="9">
        <v>43431</v>
      </c>
      <c r="E1937" t="s">
        <v>295</v>
      </c>
      <c r="I1937" s="9"/>
    </row>
    <row r="1938" spans="1:9" x14ac:dyDescent="0.25">
      <c r="A1938">
        <v>250800</v>
      </c>
      <c r="B1938">
        <v>41.52</v>
      </c>
      <c r="C1938">
        <v>45</v>
      </c>
      <c r="D1938" s="9">
        <v>43377</v>
      </c>
      <c r="E1938" t="s">
        <v>295</v>
      </c>
      <c r="I1938" s="9"/>
    </row>
    <row r="1939" spans="1:9" x14ac:dyDescent="0.25">
      <c r="A1939">
        <v>250800</v>
      </c>
      <c r="B1939">
        <v>36.799999999999997</v>
      </c>
      <c r="C1939">
        <v>30</v>
      </c>
      <c r="D1939" s="9">
        <v>43319</v>
      </c>
      <c r="E1939" t="s">
        <v>295</v>
      </c>
      <c r="I1939" s="9"/>
    </row>
    <row r="1940" spans="1:9" x14ac:dyDescent="0.25">
      <c r="A1940">
        <v>250800</v>
      </c>
      <c r="B1940">
        <v>36.799999999999997</v>
      </c>
      <c r="C1940">
        <v>15</v>
      </c>
      <c r="D1940" s="9">
        <v>43230</v>
      </c>
      <c r="E1940" t="s">
        <v>295</v>
      </c>
      <c r="I1940" s="9"/>
    </row>
    <row r="1941" spans="1:9" x14ac:dyDescent="0.25">
      <c r="A1941">
        <v>250800</v>
      </c>
      <c r="B1941">
        <v>43.12</v>
      </c>
      <c r="C1941">
        <v>50</v>
      </c>
      <c r="D1941" s="9">
        <v>43166</v>
      </c>
      <c r="E1941" t="s">
        <v>295</v>
      </c>
      <c r="I1941" s="9"/>
    </row>
    <row r="1942" spans="1:9" x14ac:dyDescent="0.25">
      <c r="A1942">
        <v>250800</v>
      </c>
      <c r="B1942">
        <v>39.200000000000003</v>
      </c>
      <c r="C1942">
        <v>60</v>
      </c>
      <c r="D1942" s="9">
        <v>43049</v>
      </c>
      <c r="E1942" t="s">
        <v>295</v>
      </c>
      <c r="I1942" s="9"/>
    </row>
    <row r="1943" spans="1:9" x14ac:dyDescent="0.25">
      <c r="A1943">
        <v>250800</v>
      </c>
      <c r="B1943">
        <v>43.12</v>
      </c>
      <c r="C1943">
        <v>35</v>
      </c>
      <c r="D1943" s="9">
        <v>43028</v>
      </c>
      <c r="E1943" t="s">
        <v>295</v>
      </c>
      <c r="I1943" s="9"/>
    </row>
    <row r="1944" spans="1:9" x14ac:dyDescent="0.25">
      <c r="A1944">
        <v>250800</v>
      </c>
      <c r="B1944">
        <v>39.200000000000003</v>
      </c>
      <c r="C1944">
        <v>42</v>
      </c>
      <c r="D1944" s="9">
        <v>43006</v>
      </c>
      <c r="E1944" t="s">
        <v>295</v>
      </c>
      <c r="I1944" s="9"/>
    </row>
    <row r="1945" spans="1:9" x14ac:dyDescent="0.25">
      <c r="A1945">
        <v>250800</v>
      </c>
      <c r="B1945">
        <v>39.200000000000003</v>
      </c>
      <c r="C1945">
        <v>21</v>
      </c>
      <c r="D1945" s="9">
        <v>42986</v>
      </c>
      <c r="E1945" t="s">
        <v>295</v>
      </c>
      <c r="I1945" s="9"/>
    </row>
    <row r="1946" spans="1:9" x14ac:dyDescent="0.25">
      <c r="A1946">
        <v>250800</v>
      </c>
      <c r="B1946">
        <v>39.200000000000003</v>
      </c>
      <c r="C1946">
        <v>21</v>
      </c>
      <c r="D1946" s="9">
        <v>42985</v>
      </c>
      <c r="E1946" t="s">
        <v>295</v>
      </c>
      <c r="I1946" s="9"/>
    </row>
    <row r="1947" spans="1:9" x14ac:dyDescent="0.25">
      <c r="A1947">
        <v>250800</v>
      </c>
      <c r="B1947">
        <v>39.200000000000003</v>
      </c>
      <c r="C1947">
        <v>21</v>
      </c>
      <c r="D1947" s="9">
        <v>42923</v>
      </c>
      <c r="E1947" t="s">
        <v>295</v>
      </c>
      <c r="I1947" s="9"/>
    </row>
    <row r="1948" spans="1:9" x14ac:dyDescent="0.25">
      <c r="A1948">
        <v>250800</v>
      </c>
      <c r="B1948">
        <v>40</v>
      </c>
      <c r="C1948">
        <v>42</v>
      </c>
      <c r="D1948" s="9">
        <v>42829</v>
      </c>
      <c r="E1948" t="s">
        <v>295</v>
      </c>
      <c r="I1948" s="9"/>
    </row>
    <row r="1949" spans="1:9" x14ac:dyDescent="0.25">
      <c r="A1949">
        <v>250800</v>
      </c>
      <c r="B1949">
        <v>45.52</v>
      </c>
      <c r="C1949">
        <v>25</v>
      </c>
      <c r="D1949" s="9">
        <v>42793</v>
      </c>
      <c r="E1949" t="s">
        <v>295</v>
      </c>
      <c r="I1949" s="9"/>
    </row>
    <row r="1950" spans="1:9" x14ac:dyDescent="0.25">
      <c r="A1950">
        <v>250800</v>
      </c>
      <c r="B1950">
        <v>39.200000000000003</v>
      </c>
      <c r="C1950">
        <v>20</v>
      </c>
      <c r="D1950" s="9">
        <v>42754</v>
      </c>
      <c r="E1950" t="s">
        <v>295</v>
      </c>
      <c r="I1950" s="9"/>
    </row>
    <row r="1951" spans="1:9" x14ac:dyDescent="0.25">
      <c r="A1951">
        <v>250800</v>
      </c>
      <c r="B1951">
        <v>39.200000000000003</v>
      </c>
      <c r="C1951">
        <v>21</v>
      </c>
      <c r="D1951" s="9">
        <v>42635</v>
      </c>
      <c r="E1951" t="s">
        <v>295</v>
      </c>
      <c r="I1951" s="9"/>
    </row>
    <row r="1952" spans="1:9" x14ac:dyDescent="0.25">
      <c r="A1952">
        <v>250800</v>
      </c>
      <c r="B1952">
        <v>39.200000000000003</v>
      </c>
      <c r="C1952">
        <v>15</v>
      </c>
      <c r="D1952" s="9">
        <v>42621</v>
      </c>
      <c r="E1952" t="s">
        <v>295</v>
      </c>
      <c r="I1952" s="9"/>
    </row>
    <row r="1953" spans="1:9" x14ac:dyDescent="0.25">
      <c r="A1953">
        <v>250800</v>
      </c>
      <c r="B1953">
        <v>39.200000000000003</v>
      </c>
      <c r="C1953">
        <v>30</v>
      </c>
      <c r="D1953" s="9">
        <v>42510</v>
      </c>
      <c r="E1953" t="s">
        <v>295</v>
      </c>
      <c r="I1953" s="9"/>
    </row>
    <row r="1954" spans="1:9" x14ac:dyDescent="0.25">
      <c r="A1954">
        <v>250800</v>
      </c>
      <c r="B1954">
        <v>39.200000000000003</v>
      </c>
      <c r="C1954">
        <v>21</v>
      </c>
      <c r="D1954" s="9">
        <v>42431</v>
      </c>
      <c r="E1954" t="s">
        <v>295</v>
      </c>
      <c r="I1954" s="9"/>
    </row>
    <row r="1955" spans="1:9" x14ac:dyDescent="0.25">
      <c r="A1955">
        <v>250800</v>
      </c>
      <c r="B1955">
        <v>43.92</v>
      </c>
      <c r="C1955">
        <v>50</v>
      </c>
      <c r="D1955" s="9">
        <v>42229</v>
      </c>
      <c r="E1955" t="s">
        <v>295</v>
      </c>
      <c r="I1955" s="9"/>
    </row>
    <row r="1956" spans="1:9" x14ac:dyDescent="0.25">
      <c r="A1956">
        <v>250800</v>
      </c>
      <c r="B1956">
        <v>40.799999999999997</v>
      </c>
      <c r="C1956">
        <v>21</v>
      </c>
      <c r="D1956" s="9">
        <v>42179</v>
      </c>
      <c r="E1956" t="s">
        <v>295</v>
      </c>
      <c r="I1956" s="9"/>
    </row>
    <row r="1957" spans="1:9" x14ac:dyDescent="0.25">
      <c r="A1957">
        <v>250800</v>
      </c>
      <c r="B1957">
        <v>40.799999999999997</v>
      </c>
      <c r="C1957">
        <v>21</v>
      </c>
      <c r="D1957" s="9">
        <v>42178</v>
      </c>
      <c r="E1957" t="s">
        <v>295</v>
      </c>
      <c r="I1957" s="9"/>
    </row>
    <row r="1958" spans="1:9" x14ac:dyDescent="0.25">
      <c r="A1958">
        <v>250800</v>
      </c>
      <c r="B1958">
        <v>40.799999999999997</v>
      </c>
      <c r="C1958">
        <v>21</v>
      </c>
      <c r="D1958" s="9">
        <v>42173</v>
      </c>
      <c r="E1958" t="s">
        <v>295</v>
      </c>
      <c r="I1958" s="9"/>
    </row>
    <row r="1959" spans="1:9" x14ac:dyDescent="0.25">
      <c r="A1959">
        <v>250800</v>
      </c>
      <c r="B1959">
        <v>43.92</v>
      </c>
      <c r="C1959">
        <v>20</v>
      </c>
      <c r="D1959" s="9">
        <v>42170</v>
      </c>
      <c r="E1959" t="s">
        <v>295</v>
      </c>
      <c r="I1959" s="9"/>
    </row>
    <row r="1960" spans="1:9" x14ac:dyDescent="0.25">
      <c r="A1960">
        <v>250800</v>
      </c>
      <c r="B1960">
        <v>42.4</v>
      </c>
      <c r="C1960">
        <v>15</v>
      </c>
      <c r="D1960" s="9">
        <v>42101</v>
      </c>
      <c r="E1960" t="s">
        <v>295</v>
      </c>
      <c r="I1960" s="9"/>
    </row>
    <row r="1961" spans="1:9" x14ac:dyDescent="0.25">
      <c r="A1961">
        <v>250800</v>
      </c>
      <c r="B1961">
        <v>44.72</v>
      </c>
      <c r="C1961">
        <v>15</v>
      </c>
      <c r="D1961" s="9">
        <v>42095</v>
      </c>
      <c r="E1961" t="s">
        <v>295</v>
      </c>
      <c r="I1961" s="9"/>
    </row>
    <row r="1962" spans="1:9" x14ac:dyDescent="0.25">
      <c r="A1962">
        <v>250800</v>
      </c>
      <c r="B1962">
        <v>44.72</v>
      </c>
      <c r="C1962">
        <v>25</v>
      </c>
      <c r="D1962" s="9">
        <v>42034</v>
      </c>
      <c r="E1962" t="s">
        <v>295</v>
      </c>
      <c r="I1962" s="9"/>
    </row>
    <row r="1963" spans="1:9" x14ac:dyDescent="0.25">
      <c r="A1963">
        <v>250800</v>
      </c>
      <c r="B1963">
        <v>41.2</v>
      </c>
      <c r="C1963">
        <v>35</v>
      </c>
      <c r="D1963" s="9">
        <v>41960</v>
      </c>
      <c r="E1963" t="s">
        <v>295</v>
      </c>
      <c r="I1963" s="9"/>
    </row>
    <row r="1964" spans="1:9" x14ac:dyDescent="0.25">
      <c r="A1964">
        <v>250800</v>
      </c>
      <c r="B1964">
        <v>38.4</v>
      </c>
      <c r="C1964">
        <v>24</v>
      </c>
      <c r="D1964" s="9">
        <v>41935</v>
      </c>
      <c r="E1964" t="s">
        <v>295</v>
      </c>
      <c r="I1964" s="9"/>
    </row>
    <row r="1965" spans="1:9" x14ac:dyDescent="0.25">
      <c r="A1965">
        <v>250800</v>
      </c>
      <c r="B1965">
        <v>38.4</v>
      </c>
      <c r="C1965">
        <v>24</v>
      </c>
      <c r="D1965" s="9">
        <v>41912</v>
      </c>
      <c r="E1965" t="s">
        <v>295</v>
      </c>
      <c r="I1965" s="9"/>
    </row>
    <row r="1966" spans="1:9" x14ac:dyDescent="0.25">
      <c r="A1966">
        <v>250800</v>
      </c>
      <c r="B1966">
        <v>39.92</v>
      </c>
      <c r="C1966">
        <v>25</v>
      </c>
      <c r="D1966" s="9">
        <v>41864</v>
      </c>
      <c r="E1966" t="s">
        <v>295</v>
      </c>
      <c r="I1966" s="9"/>
    </row>
    <row r="1967" spans="1:9" x14ac:dyDescent="0.25">
      <c r="A1967">
        <v>250800</v>
      </c>
      <c r="B1967">
        <v>39.92</v>
      </c>
      <c r="C1967">
        <v>25</v>
      </c>
      <c r="D1967" s="9">
        <v>41858</v>
      </c>
      <c r="E1967" t="s">
        <v>295</v>
      </c>
      <c r="I1967" s="9"/>
    </row>
    <row r="1968" spans="1:9" x14ac:dyDescent="0.25">
      <c r="A1968">
        <v>250800</v>
      </c>
      <c r="B1968">
        <v>39.92</v>
      </c>
      <c r="C1968">
        <v>25</v>
      </c>
      <c r="D1968" s="9">
        <v>41788</v>
      </c>
      <c r="E1968" t="s">
        <v>295</v>
      </c>
      <c r="I1968" s="9"/>
    </row>
    <row r="1969" spans="1:9" x14ac:dyDescent="0.25">
      <c r="A1969">
        <v>250800</v>
      </c>
      <c r="B1969">
        <v>38.4</v>
      </c>
      <c r="C1969">
        <v>15</v>
      </c>
      <c r="D1969" s="9">
        <v>41725</v>
      </c>
      <c r="E1969" t="s">
        <v>295</v>
      </c>
      <c r="I1969" s="9"/>
    </row>
    <row r="1970" spans="1:9" x14ac:dyDescent="0.25">
      <c r="A1970">
        <v>250800</v>
      </c>
      <c r="B1970">
        <v>40.799999999999997</v>
      </c>
      <c r="C1970">
        <v>30</v>
      </c>
      <c r="D1970" s="9">
        <v>41605</v>
      </c>
      <c r="E1970" t="s">
        <v>295</v>
      </c>
      <c r="I1970" s="9"/>
    </row>
    <row r="1971" spans="1:9" x14ac:dyDescent="0.25">
      <c r="A1971">
        <v>250800</v>
      </c>
      <c r="B1971">
        <v>40.799999999999997</v>
      </c>
      <c r="C1971">
        <v>36</v>
      </c>
      <c r="D1971" s="9">
        <v>41599</v>
      </c>
      <c r="E1971" t="s">
        <v>295</v>
      </c>
      <c r="I1971" s="9"/>
    </row>
    <row r="1972" spans="1:9" x14ac:dyDescent="0.25">
      <c r="A1972">
        <v>250820</v>
      </c>
      <c r="B1972">
        <v>10.31</v>
      </c>
      <c r="C1972">
        <v>70</v>
      </c>
      <c r="D1972" s="9">
        <v>44133</v>
      </c>
      <c r="E1972" t="s">
        <v>296</v>
      </c>
      <c r="I1972" s="9"/>
    </row>
    <row r="1973" spans="1:9" x14ac:dyDescent="0.25">
      <c r="A1973">
        <v>250820</v>
      </c>
      <c r="B1973">
        <v>8.5399999999999991</v>
      </c>
      <c r="C1973">
        <v>60</v>
      </c>
      <c r="D1973" s="9">
        <v>43966</v>
      </c>
      <c r="E1973" t="s">
        <v>296</v>
      </c>
      <c r="I1973" s="9"/>
    </row>
    <row r="1974" spans="1:9" x14ac:dyDescent="0.25">
      <c r="A1974">
        <v>250820</v>
      </c>
      <c r="B1974">
        <v>9.6</v>
      </c>
      <c r="C1974">
        <v>80</v>
      </c>
      <c r="D1974" s="9">
        <v>43483</v>
      </c>
      <c r="E1974" t="s">
        <v>296</v>
      </c>
      <c r="I1974" s="9"/>
    </row>
    <row r="1975" spans="1:9" x14ac:dyDescent="0.25">
      <c r="A1975">
        <v>250820</v>
      </c>
      <c r="B1975">
        <v>45.12</v>
      </c>
      <c r="C1975">
        <v>9</v>
      </c>
      <c r="D1975" s="9">
        <v>43431</v>
      </c>
      <c r="E1975" t="s">
        <v>295</v>
      </c>
      <c r="I1975" s="9"/>
    </row>
    <row r="1976" spans="1:9" x14ac:dyDescent="0.25">
      <c r="A1976">
        <v>250820</v>
      </c>
      <c r="B1976">
        <v>51.74</v>
      </c>
      <c r="C1976">
        <v>30</v>
      </c>
      <c r="D1976" s="9">
        <v>43166</v>
      </c>
      <c r="E1976" t="s">
        <v>295</v>
      </c>
      <c r="I1976" s="9"/>
    </row>
    <row r="1977" spans="1:9" x14ac:dyDescent="0.25">
      <c r="A1977">
        <v>250820</v>
      </c>
      <c r="B1977">
        <v>47.04</v>
      </c>
      <c r="C1977">
        <v>78</v>
      </c>
      <c r="D1977" s="9">
        <v>43049</v>
      </c>
      <c r="E1977" t="s">
        <v>295</v>
      </c>
      <c r="I1977" s="9"/>
    </row>
    <row r="1978" spans="1:9" x14ac:dyDescent="0.25">
      <c r="A1978">
        <v>250820</v>
      </c>
      <c r="B1978">
        <v>51.74</v>
      </c>
      <c r="C1978">
        <v>200</v>
      </c>
      <c r="D1978" s="9">
        <v>43028</v>
      </c>
      <c r="E1978" t="s">
        <v>295</v>
      </c>
      <c r="I1978" s="9"/>
    </row>
    <row r="1979" spans="1:9" x14ac:dyDescent="0.25">
      <c r="A1979">
        <v>250820</v>
      </c>
      <c r="B1979">
        <v>47.04</v>
      </c>
      <c r="C1979">
        <v>42</v>
      </c>
      <c r="D1979" s="9">
        <v>42986</v>
      </c>
      <c r="E1979" t="s">
        <v>295</v>
      </c>
      <c r="I1979" s="9"/>
    </row>
    <row r="1980" spans="1:9" x14ac:dyDescent="0.25">
      <c r="A1980">
        <v>250820</v>
      </c>
      <c r="B1980">
        <v>47.04</v>
      </c>
      <c r="C1980">
        <v>42</v>
      </c>
      <c r="D1980" s="9">
        <v>42985</v>
      </c>
      <c r="E1980" t="s">
        <v>295</v>
      </c>
      <c r="I1980" s="9"/>
    </row>
    <row r="1981" spans="1:9" x14ac:dyDescent="0.25">
      <c r="A1981">
        <v>250820</v>
      </c>
      <c r="B1981">
        <v>48</v>
      </c>
      <c r="C1981">
        <v>12</v>
      </c>
      <c r="D1981" s="9">
        <v>42836</v>
      </c>
      <c r="E1981" t="s">
        <v>295</v>
      </c>
      <c r="I1981" s="9"/>
    </row>
    <row r="1982" spans="1:9" x14ac:dyDescent="0.25">
      <c r="A1982">
        <v>250820</v>
      </c>
      <c r="B1982">
        <v>48</v>
      </c>
      <c r="C1982">
        <v>42</v>
      </c>
      <c r="D1982" s="9">
        <v>42829</v>
      </c>
      <c r="E1982" t="s">
        <v>295</v>
      </c>
      <c r="I1982" s="9"/>
    </row>
    <row r="1983" spans="1:9" x14ac:dyDescent="0.25">
      <c r="A1983">
        <v>250820</v>
      </c>
      <c r="B1983">
        <v>47.04</v>
      </c>
      <c r="C1983">
        <v>10</v>
      </c>
      <c r="D1983" s="9">
        <v>42745</v>
      </c>
      <c r="E1983" t="s">
        <v>295</v>
      </c>
      <c r="I1983" s="9"/>
    </row>
    <row r="1984" spans="1:9" x14ac:dyDescent="0.25">
      <c r="A1984">
        <v>250820</v>
      </c>
      <c r="B1984">
        <v>47.04</v>
      </c>
      <c r="C1984">
        <v>12</v>
      </c>
      <c r="D1984" s="9">
        <v>42643</v>
      </c>
      <c r="E1984" t="s">
        <v>295</v>
      </c>
      <c r="I1984" s="9"/>
    </row>
    <row r="1985" spans="1:9" x14ac:dyDescent="0.25">
      <c r="A1985">
        <v>250820</v>
      </c>
      <c r="B1985">
        <v>52.7</v>
      </c>
      <c r="C1985">
        <v>40</v>
      </c>
      <c r="D1985" s="9">
        <v>42285</v>
      </c>
      <c r="E1985" t="s">
        <v>295</v>
      </c>
      <c r="I1985" s="9"/>
    </row>
    <row r="1986" spans="1:9" x14ac:dyDescent="0.25">
      <c r="A1986">
        <v>250820</v>
      </c>
      <c r="B1986">
        <v>52.7</v>
      </c>
      <c r="C1986">
        <v>20</v>
      </c>
      <c r="D1986" s="9">
        <v>42188</v>
      </c>
      <c r="E1986" t="s">
        <v>295</v>
      </c>
      <c r="I1986" s="9"/>
    </row>
    <row r="1987" spans="1:9" x14ac:dyDescent="0.25">
      <c r="A1987">
        <v>250820</v>
      </c>
      <c r="B1987">
        <v>52.7</v>
      </c>
      <c r="C1987">
        <v>24</v>
      </c>
      <c r="D1987" s="9">
        <v>42170</v>
      </c>
      <c r="E1987" t="s">
        <v>295</v>
      </c>
      <c r="I1987" s="9"/>
    </row>
    <row r="1988" spans="1:9" x14ac:dyDescent="0.25">
      <c r="A1988">
        <v>250820</v>
      </c>
      <c r="B1988">
        <v>50.88</v>
      </c>
      <c r="C1988">
        <v>21</v>
      </c>
      <c r="D1988" s="9">
        <v>42083</v>
      </c>
      <c r="E1988" t="s">
        <v>295</v>
      </c>
      <c r="I1988" s="9"/>
    </row>
    <row r="1989" spans="1:9" x14ac:dyDescent="0.25">
      <c r="A1989">
        <v>250820</v>
      </c>
      <c r="B1989">
        <v>53.66</v>
      </c>
      <c r="C1989">
        <v>16</v>
      </c>
      <c r="D1989" s="9">
        <v>42034</v>
      </c>
      <c r="E1989" t="s">
        <v>295</v>
      </c>
      <c r="I1989" s="9"/>
    </row>
    <row r="1990" spans="1:9" x14ac:dyDescent="0.25">
      <c r="A1990">
        <v>250820</v>
      </c>
      <c r="B1990">
        <v>46.08</v>
      </c>
      <c r="C1990">
        <v>15</v>
      </c>
      <c r="D1990" s="9">
        <v>41935</v>
      </c>
      <c r="E1990" t="s">
        <v>295</v>
      </c>
      <c r="I1990" s="9"/>
    </row>
    <row r="1991" spans="1:9" x14ac:dyDescent="0.25">
      <c r="A1991">
        <v>250820</v>
      </c>
      <c r="B1991">
        <v>49.82</v>
      </c>
      <c r="C1991">
        <v>16</v>
      </c>
      <c r="D1991" s="9">
        <v>41918</v>
      </c>
      <c r="E1991" t="s">
        <v>295</v>
      </c>
      <c r="I1991" s="9"/>
    </row>
    <row r="1992" spans="1:9" x14ac:dyDescent="0.25">
      <c r="A1992">
        <v>250820</v>
      </c>
      <c r="B1992">
        <v>46.08</v>
      </c>
      <c r="C1992">
        <v>15</v>
      </c>
      <c r="D1992" s="9">
        <v>41912</v>
      </c>
      <c r="E1992" t="s">
        <v>295</v>
      </c>
      <c r="I1992" s="9"/>
    </row>
    <row r="1993" spans="1:9" x14ac:dyDescent="0.25">
      <c r="A1993">
        <v>250820</v>
      </c>
      <c r="B1993">
        <v>47.9</v>
      </c>
      <c r="C1993">
        <v>20</v>
      </c>
      <c r="D1993" s="9">
        <v>41892</v>
      </c>
      <c r="E1993" t="s">
        <v>295</v>
      </c>
      <c r="I1993" s="9"/>
    </row>
    <row r="1994" spans="1:9" x14ac:dyDescent="0.25">
      <c r="A1994">
        <v>250820</v>
      </c>
      <c r="B1994">
        <v>46.08</v>
      </c>
      <c r="C1994">
        <v>15</v>
      </c>
      <c r="D1994" s="9">
        <v>41884</v>
      </c>
      <c r="E1994" t="s">
        <v>295</v>
      </c>
      <c r="I1994" s="9"/>
    </row>
    <row r="1995" spans="1:9" x14ac:dyDescent="0.25">
      <c r="A1995">
        <v>250820</v>
      </c>
      <c r="B1995">
        <v>46.08</v>
      </c>
      <c r="C1995">
        <v>15</v>
      </c>
      <c r="D1995" s="9">
        <v>41879</v>
      </c>
      <c r="E1995" t="s">
        <v>295</v>
      </c>
      <c r="I1995" s="9"/>
    </row>
    <row r="1996" spans="1:9" x14ac:dyDescent="0.25">
      <c r="A1996">
        <v>250820</v>
      </c>
      <c r="B1996">
        <v>46.08</v>
      </c>
      <c r="C1996">
        <v>22</v>
      </c>
      <c r="D1996" s="9">
        <v>41719</v>
      </c>
      <c r="E1996" t="s">
        <v>295</v>
      </c>
      <c r="I1996" s="9"/>
    </row>
    <row r="1997" spans="1:9" x14ac:dyDescent="0.25">
      <c r="A1997">
        <v>250820</v>
      </c>
      <c r="B1997">
        <v>48.96</v>
      </c>
      <c r="C1997">
        <v>15</v>
      </c>
      <c r="D1997" s="9">
        <v>41605</v>
      </c>
      <c r="E1997" t="s">
        <v>295</v>
      </c>
      <c r="I1997" s="9"/>
    </row>
    <row r="1998" spans="1:9" x14ac:dyDescent="0.25">
      <c r="A1998">
        <v>250820</v>
      </c>
      <c r="B1998">
        <v>48.96</v>
      </c>
      <c r="C1998">
        <v>30</v>
      </c>
      <c r="D1998" s="9">
        <v>41565</v>
      </c>
      <c r="E1998" t="s">
        <v>295</v>
      </c>
      <c r="I1998" s="9"/>
    </row>
    <row r="1999" spans="1:9" x14ac:dyDescent="0.25">
      <c r="A1999">
        <v>250900</v>
      </c>
      <c r="B1999">
        <v>12.89</v>
      </c>
      <c r="C1999">
        <v>60</v>
      </c>
      <c r="D1999" s="9">
        <v>44133</v>
      </c>
      <c r="E1999" t="s">
        <v>296</v>
      </c>
      <c r="I1999" s="9"/>
    </row>
    <row r="2000" spans="1:9" x14ac:dyDescent="0.25">
      <c r="A2000">
        <v>250900</v>
      </c>
      <c r="B2000">
        <v>10.68</v>
      </c>
      <c r="C2000">
        <v>70</v>
      </c>
      <c r="D2000" s="9">
        <v>43966</v>
      </c>
      <c r="E2000" t="s">
        <v>296</v>
      </c>
      <c r="I2000" s="9"/>
    </row>
    <row r="2001" spans="1:9" x14ac:dyDescent="0.25">
      <c r="A2001">
        <v>250900</v>
      </c>
      <c r="B2001">
        <v>12.36</v>
      </c>
      <c r="C2001">
        <v>102</v>
      </c>
      <c r="D2001" s="9">
        <v>43634</v>
      </c>
      <c r="E2001" t="s">
        <v>296</v>
      </c>
      <c r="I2001" s="9"/>
    </row>
    <row r="2002" spans="1:9" x14ac:dyDescent="0.25">
      <c r="A2002">
        <v>250900</v>
      </c>
      <c r="B2002">
        <v>58.8</v>
      </c>
      <c r="C2002">
        <v>30</v>
      </c>
      <c r="D2002" s="9">
        <v>43620</v>
      </c>
      <c r="E2002" t="s">
        <v>295</v>
      </c>
      <c r="I2002" s="9"/>
    </row>
    <row r="2003" spans="1:9" x14ac:dyDescent="0.25">
      <c r="A2003">
        <v>250900</v>
      </c>
      <c r="B2003">
        <v>12</v>
      </c>
      <c r="C2003">
        <v>72</v>
      </c>
      <c r="D2003" s="9">
        <v>43483</v>
      </c>
      <c r="E2003" t="s">
        <v>296</v>
      </c>
      <c r="I2003" s="9"/>
    </row>
    <row r="2004" spans="1:9" x14ac:dyDescent="0.25">
      <c r="A2004">
        <v>250900</v>
      </c>
      <c r="B2004">
        <v>56.4</v>
      </c>
      <c r="C2004">
        <v>20</v>
      </c>
      <c r="D2004" s="9">
        <v>43431</v>
      </c>
      <c r="E2004" t="s">
        <v>295</v>
      </c>
      <c r="I2004" s="9"/>
    </row>
    <row r="2005" spans="1:9" x14ac:dyDescent="0.25">
      <c r="A2005">
        <v>250900</v>
      </c>
      <c r="B2005">
        <v>62.28</v>
      </c>
      <c r="C2005">
        <v>40</v>
      </c>
      <c r="D2005" s="9">
        <v>43377</v>
      </c>
      <c r="E2005" t="s">
        <v>295</v>
      </c>
      <c r="I2005" s="9"/>
    </row>
    <row r="2006" spans="1:9" x14ac:dyDescent="0.25">
      <c r="A2006">
        <v>250900</v>
      </c>
      <c r="B2006">
        <v>55.2</v>
      </c>
      <c r="C2006">
        <v>20</v>
      </c>
      <c r="D2006" s="9">
        <v>43319</v>
      </c>
      <c r="E2006" t="s">
        <v>295</v>
      </c>
      <c r="I2006" s="9"/>
    </row>
    <row r="2007" spans="1:9" x14ac:dyDescent="0.25">
      <c r="A2007">
        <v>250900</v>
      </c>
      <c r="B2007">
        <v>55.2</v>
      </c>
      <c r="C2007">
        <v>40</v>
      </c>
      <c r="D2007" s="9">
        <v>43230</v>
      </c>
      <c r="E2007" t="s">
        <v>295</v>
      </c>
      <c r="I2007" s="9"/>
    </row>
    <row r="2008" spans="1:9" x14ac:dyDescent="0.25">
      <c r="A2008">
        <v>250900</v>
      </c>
      <c r="B2008">
        <v>64.680000000000007</v>
      </c>
      <c r="C2008">
        <v>20</v>
      </c>
      <c r="D2008" s="9">
        <v>43166</v>
      </c>
      <c r="E2008" t="s">
        <v>295</v>
      </c>
      <c r="I2008" s="9"/>
    </row>
    <row r="2009" spans="1:9" x14ac:dyDescent="0.25">
      <c r="A2009">
        <v>250900</v>
      </c>
      <c r="B2009">
        <v>64.680000000000007</v>
      </c>
      <c r="C2009">
        <v>10</v>
      </c>
      <c r="D2009" s="9">
        <v>43103</v>
      </c>
      <c r="E2009" t="s">
        <v>295</v>
      </c>
      <c r="I2009" s="9"/>
    </row>
    <row r="2010" spans="1:9" x14ac:dyDescent="0.25">
      <c r="A2010">
        <v>250900</v>
      </c>
      <c r="B2010">
        <v>58.8</v>
      </c>
      <c r="C2010">
        <v>40</v>
      </c>
      <c r="D2010" s="9">
        <v>43049</v>
      </c>
      <c r="E2010" t="s">
        <v>295</v>
      </c>
      <c r="I2010" s="9"/>
    </row>
    <row r="2011" spans="1:9" x14ac:dyDescent="0.25">
      <c r="A2011">
        <v>250900</v>
      </c>
      <c r="B2011">
        <v>64.680000000000007</v>
      </c>
      <c r="C2011">
        <v>26</v>
      </c>
      <c r="D2011" s="9">
        <v>43028</v>
      </c>
      <c r="E2011" t="s">
        <v>295</v>
      </c>
      <c r="I2011" s="9"/>
    </row>
    <row r="2012" spans="1:9" x14ac:dyDescent="0.25">
      <c r="A2012">
        <v>250900</v>
      </c>
      <c r="B2012">
        <v>58.8</v>
      </c>
      <c r="C2012">
        <v>10</v>
      </c>
      <c r="D2012" s="9">
        <v>43006</v>
      </c>
      <c r="E2012" t="s">
        <v>295</v>
      </c>
      <c r="I2012" s="9"/>
    </row>
    <row r="2013" spans="1:9" x14ac:dyDescent="0.25">
      <c r="A2013">
        <v>250900</v>
      </c>
      <c r="B2013">
        <v>58.8</v>
      </c>
      <c r="C2013">
        <v>28</v>
      </c>
      <c r="D2013" s="9">
        <v>42986</v>
      </c>
      <c r="E2013" t="s">
        <v>295</v>
      </c>
      <c r="I2013" s="9"/>
    </row>
    <row r="2014" spans="1:9" x14ac:dyDescent="0.25">
      <c r="A2014">
        <v>250900</v>
      </c>
      <c r="B2014">
        <v>58.8</v>
      </c>
      <c r="C2014">
        <v>28</v>
      </c>
      <c r="D2014" s="9">
        <v>42985</v>
      </c>
      <c r="E2014" t="s">
        <v>295</v>
      </c>
      <c r="I2014" s="9"/>
    </row>
    <row r="2015" spans="1:9" x14ac:dyDescent="0.25">
      <c r="A2015">
        <v>250900</v>
      </c>
      <c r="B2015">
        <v>58.8</v>
      </c>
      <c r="C2015">
        <v>10</v>
      </c>
      <c r="D2015" s="9">
        <v>42923</v>
      </c>
      <c r="E2015" t="s">
        <v>295</v>
      </c>
      <c r="I2015" s="9"/>
    </row>
    <row r="2016" spans="1:9" x14ac:dyDescent="0.25">
      <c r="A2016">
        <v>250900</v>
      </c>
      <c r="B2016">
        <v>60</v>
      </c>
      <c r="C2016">
        <v>20</v>
      </c>
      <c r="D2016" s="9">
        <v>42913</v>
      </c>
      <c r="E2016" t="s">
        <v>295</v>
      </c>
      <c r="I2016" s="9"/>
    </row>
    <row r="2017" spans="1:9" x14ac:dyDescent="0.25">
      <c r="A2017">
        <v>250900</v>
      </c>
      <c r="B2017">
        <v>60</v>
      </c>
      <c r="C2017">
        <v>20</v>
      </c>
      <c r="D2017" s="9">
        <v>42846</v>
      </c>
      <c r="E2017" t="s">
        <v>295</v>
      </c>
      <c r="I2017" s="9"/>
    </row>
    <row r="2018" spans="1:9" x14ac:dyDescent="0.25">
      <c r="A2018">
        <v>250900</v>
      </c>
      <c r="B2018">
        <v>60</v>
      </c>
      <c r="C2018">
        <v>20</v>
      </c>
      <c r="D2018" s="9">
        <v>42829</v>
      </c>
      <c r="E2018" t="s">
        <v>295</v>
      </c>
      <c r="I2018" s="9"/>
    </row>
    <row r="2019" spans="1:9" x14ac:dyDescent="0.25">
      <c r="A2019">
        <v>250900</v>
      </c>
      <c r="B2019">
        <v>68.28</v>
      </c>
      <c r="C2019">
        <v>16</v>
      </c>
      <c r="D2019" s="9">
        <v>42793</v>
      </c>
      <c r="E2019" t="s">
        <v>295</v>
      </c>
      <c r="I2019" s="9"/>
    </row>
    <row r="2020" spans="1:9" x14ac:dyDescent="0.25">
      <c r="A2020">
        <v>250900</v>
      </c>
      <c r="B2020">
        <v>58.8</v>
      </c>
      <c r="C2020">
        <v>10</v>
      </c>
      <c r="D2020" s="9">
        <v>42754</v>
      </c>
      <c r="E2020" t="s">
        <v>295</v>
      </c>
      <c r="I2020" s="9"/>
    </row>
    <row r="2021" spans="1:9" x14ac:dyDescent="0.25">
      <c r="A2021">
        <v>250900</v>
      </c>
      <c r="B2021">
        <v>58.8</v>
      </c>
      <c r="C2021">
        <v>10</v>
      </c>
      <c r="D2021" s="9">
        <v>42719</v>
      </c>
      <c r="E2021" t="s">
        <v>295</v>
      </c>
      <c r="I2021" s="9"/>
    </row>
    <row r="2022" spans="1:9" x14ac:dyDescent="0.25">
      <c r="A2022">
        <v>250900</v>
      </c>
      <c r="B2022">
        <v>65.88</v>
      </c>
      <c r="C2022">
        <v>27</v>
      </c>
      <c r="D2022" s="9">
        <v>42577</v>
      </c>
      <c r="E2022" t="s">
        <v>295</v>
      </c>
      <c r="I2022" s="9"/>
    </row>
    <row r="2023" spans="1:9" x14ac:dyDescent="0.25">
      <c r="A2023">
        <v>250900</v>
      </c>
      <c r="B2023">
        <v>65.88</v>
      </c>
      <c r="C2023">
        <v>34</v>
      </c>
      <c r="D2023" s="9">
        <v>42467</v>
      </c>
      <c r="E2023" t="s">
        <v>295</v>
      </c>
      <c r="I2023" s="9"/>
    </row>
    <row r="2024" spans="1:9" x14ac:dyDescent="0.25">
      <c r="A2024">
        <v>250900</v>
      </c>
      <c r="B2024">
        <v>58.8</v>
      </c>
      <c r="C2024">
        <v>30</v>
      </c>
      <c r="D2024" s="9">
        <v>42431</v>
      </c>
      <c r="E2024" t="s">
        <v>295</v>
      </c>
      <c r="I2024" s="9"/>
    </row>
    <row r="2025" spans="1:9" x14ac:dyDescent="0.25">
      <c r="A2025">
        <v>250900</v>
      </c>
      <c r="B2025">
        <v>58.8</v>
      </c>
      <c r="C2025">
        <v>20</v>
      </c>
      <c r="D2025" s="9">
        <v>42243</v>
      </c>
      <c r="E2025" t="s">
        <v>295</v>
      </c>
      <c r="I2025" s="9"/>
    </row>
    <row r="2026" spans="1:9" x14ac:dyDescent="0.25">
      <c r="A2026">
        <v>250900</v>
      </c>
      <c r="B2026">
        <v>65.88</v>
      </c>
      <c r="C2026">
        <v>20</v>
      </c>
      <c r="D2026" s="9">
        <v>42229</v>
      </c>
      <c r="E2026" t="s">
        <v>295</v>
      </c>
      <c r="I2026" s="9"/>
    </row>
    <row r="2027" spans="1:9" x14ac:dyDescent="0.25">
      <c r="A2027">
        <v>250900</v>
      </c>
      <c r="B2027">
        <v>61.2</v>
      </c>
      <c r="C2027">
        <v>20</v>
      </c>
      <c r="D2027" s="9">
        <v>42179</v>
      </c>
      <c r="E2027" t="s">
        <v>295</v>
      </c>
      <c r="I2027" s="9"/>
    </row>
    <row r="2028" spans="1:9" x14ac:dyDescent="0.25">
      <c r="A2028">
        <v>250900</v>
      </c>
      <c r="B2028">
        <v>61.2</v>
      </c>
      <c r="C2028">
        <v>20</v>
      </c>
      <c r="D2028" s="9">
        <v>42178</v>
      </c>
      <c r="E2028" t="s">
        <v>295</v>
      </c>
      <c r="I2028" s="9"/>
    </row>
    <row r="2029" spans="1:9" x14ac:dyDescent="0.25">
      <c r="A2029">
        <v>250900</v>
      </c>
      <c r="B2029">
        <v>61.2</v>
      </c>
      <c r="C2029">
        <v>20</v>
      </c>
      <c r="D2029" s="9">
        <v>42173</v>
      </c>
      <c r="E2029" t="s">
        <v>295</v>
      </c>
      <c r="I2029" s="9"/>
    </row>
    <row r="2030" spans="1:9" x14ac:dyDescent="0.25">
      <c r="A2030">
        <v>250900</v>
      </c>
      <c r="B2030">
        <v>62.4</v>
      </c>
      <c r="C2030">
        <v>20</v>
      </c>
      <c r="D2030" s="9">
        <v>42170</v>
      </c>
      <c r="E2030" t="s">
        <v>295</v>
      </c>
      <c r="I2030" s="9"/>
    </row>
    <row r="2031" spans="1:9" x14ac:dyDescent="0.25">
      <c r="A2031">
        <v>250900</v>
      </c>
      <c r="B2031">
        <v>63.6</v>
      </c>
      <c r="C2031">
        <v>20</v>
      </c>
      <c r="D2031" s="9">
        <v>42083</v>
      </c>
      <c r="E2031" t="s">
        <v>295</v>
      </c>
      <c r="I2031" s="9"/>
    </row>
    <row r="2032" spans="1:9" x14ac:dyDescent="0.25">
      <c r="A2032">
        <v>250900</v>
      </c>
      <c r="B2032">
        <v>67.08</v>
      </c>
      <c r="C2032">
        <v>20</v>
      </c>
      <c r="D2032" s="9">
        <v>42034</v>
      </c>
      <c r="E2032" t="s">
        <v>295</v>
      </c>
      <c r="I2032" s="9"/>
    </row>
    <row r="2033" spans="1:9" x14ac:dyDescent="0.25">
      <c r="A2033">
        <v>250900</v>
      </c>
      <c r="B2033">
        <v>61.8</v>
      </c>
      <c r="C2033">
        <v>26</v>
      </c>
      <c r="D2033" s="9">
        <v>41960</v>
      </c>
      <c r="E2033" t="s">
        <v>295</v>
      </c>
      <c r="I2033" s="9"/>
    </row>
    <row r="2034" spans="1:9" x14ac:dyDescent="0.25">
      <c r="A2034">
        <v>250900</v>
      </c>
      <c r="B2034">
        <v>57.6</v>
      </c>
      <c r="C2034">
        <v>10</v>
      </c>
      <c r="D2034" s="9">
        <v>41935</v>
      </c>
      <c r="E2034" t="s">
        <v>295</v>
      </c>
      <c r="I2034" s="9"/>
    </row>
    <row r="2035" spans="1:9" x14ac:dyDescent="0.25">
      <c r="A2035">
        <v>250900</v>
      </c>
      <c r="B2035">
        <v>57.6</v>
      </c>
      <c r="C2035">
        <v>10</v>
      </c>
      <c r="D2035" s="9">
        <v>41912</v>
      </c>
      <c r="E2035" t="s">
        <v>295</v>
      </c>
      <c r="I2035" s="9"/>
    </row>
    <row r="2036" spans="1:9" x14ac:dyDescent="0.25">
      <c r="A2036">
        <v>250900</v>
      </c>
      <c r="B2036">
        <v>57.6</v>
      </c>
      <c r="C2036">
        <v>40</v>
      </c>
      <c r="D2036" s="9">
        <v>41689</v>
      </c>
      <c r="E2036" t="s">
        <v>295</v>
      </c>
      <c r="I2036" s="9"/>
    </row>
    <row r="2037" spans="1:9" x14ac:dyDescent="0.25">
      <c r="A2037">
        <v>250900</v>
      </c>
      <c r="B2037">
        <v>61.2</v>
      </c>
      <c r="C2037">
        <v>20</v>
      </c>
      <c r="D2037" s="9">
        <v>41599</v>
      </c>
      <c r="E2037" t="s">
        <v>295</v>
      </c>
      <c r="I2037" s="9"/>
    </row>
    <row r="2038" spans="1:9" x14ac:dyDescent="0.25">
      <c r="A2038">
        <v>250900</v>
      </c>
      <c r="B2038">
        <v>61.2</v>
      </c>
      <c r="C2038">
        <v>20</v>
      </c>
      <c r="D2038" s="9">
        <v>41565</v>
      </c>
      <c r="E2038" t="s">
        <v>295</v>
      </c>
      <c r="I2038" s="9"/>
    </row>
    <row r="2039" spans="1:9" x14ac:dyDescent="0.25">
      <c r="A2039">
        <v>250940</v>
      </c>
      <c r="B2039">
        <v>65.8</v>
      </c>
      <c r="C2039">
        <v>20</v>
      </c>
      <c r="D2039" s="9">
        <v>43791</v>
      </c>
      <c r="E2039" t="s">
        <v>295</v>
      </c>
      <c r="I2039" s="9"/>
    </row>
    <row r="2040" spans="1:9" x14ac:dyDescent="0.25">
      <c r="A2040">
        <v>250940</v>
      </c>
      <c r="B2040">
        <v>68.599999999999994</v>
      </c>
      <c r="C2040">
        <v>20</v>
      </c>
      <c r="D2040" s="9">
        <v>43696</v>
      </c>
      <c r="E2040" t="s">
        <v>295</v>
      </c>
      <c r="I2040" s="9"/>
    </row>
    <row r="2041" spans="1:9" x14ac:dyDescent="0.25">
      <c r="A2041">
        <v>250940</v>
      </c>
      <c r="B2041">
        <v>68.599999999999994</v>
      </c>
      <c r="C2041">
        <v>10</v>
      </c>
      <c r="D2041" s="9">
        <v>43671</v>
      </c>
      <c r="E2041" t="s">
        <v>295</v>
      </c>
      <c r="I2041" s="9"/>
    </row>
    <row r="2042" spans="1:9" x14ac:dyDescent="0.25">
      <c r="A2042">
        <v>250940</v>
      </c>
      <c r="B2042">
        <v>65.8</v>
      </c>
      <c r="C2042">
        <v>20</v>
      </c>
      <c r="D2042" s="9">
        <v>43431</v>
      </c>
      <c r="E2042" t="s">
        <v>295</v>
      </c>
      <c r="I2042" s="9"/>
    </row>
    <row r="2043" spans="1:9" x14ac:dyDescent="0.25">
      <c r="A2043">
        <v>250940</v>
      </c>
      <c r="B2043">
        <v>64.400000000000006</v>
      </c>
      <c r="C2043">
        <v>14</v>
      </c>
      <c r="D2043" s="9">
        <v>43319</v>
      </c>
      <c r="E2043" t="s">
        <v>295</v>
      </c>
      <c r="I2043" s="9"/>
    </row>
    <row r="2044" spans="1:9" x14ac:dyDescent="0.25">
      <c r="A2044">
        <v>250940</v>
      </c>
      <c r="B2044">
        <v>64.400000000000006</v>
      </c>
      <c r="C2044">
        <v>6</v>
      </c>
      <c r="D2044" s="9">
        <v>43230</v>
      </c>
      <c r="E2044" t="s">
        <v>295</v>
      </c>
      <c r="I2044" s="9"/>
    </row>
    <row r="2045" spans="1:9" x14ac:dyDescent="0.25">
      <c r="A2045">
        <v>250940</v>
      </c>
      <c r="B2045">
        <v>68.599999999999994</v>
      </c>
      <c r="C2045">
        <v>24</v>
      </c>
      <c r="D2045" s="9">
        <v>43049</v>
      </c>
      <c r="E2045" t="s">
        <v>295</v>
      </c>
      <c r="I2045" s="9"/>
    </row>
    <row r="2046" spans="1:9" x14ac:dyDescent="0.25">
      <c r="A2046">
        <v>250940</v>
      </c>
      <c r="B2046">
        <v>68.599999999999994</v>
      </c>
      <c r="C2046">
        <v>10</v>
      </c>
      <c r="D2046" s="9">
        <v>42923</v>
      </c>
      <c r="E2046" t="s">
        <v>295</v>
      </c>
      <c r="I2046" s="9"/>
    </row>
    <row r="2047" spans="1:9" x14ac:dyDescent="0.25">
      <c r="A2047">
        <v>250940</v>
      </c>
      <c r="B2047">
        <v>70</v>
      </c>
      <c r="C2047">
        <v>10</v>
      </c>
      <c r="D2047" s="9">
        <v>42829</v>
      </c>
      <c r="E2047" t="s">
        <v>295</v>
      </c>
      <c r="I2047" s="9"/>
    </row>
    <row r="2048" spans="1:9" x14ac:dyDescent="0.25">
      <c r="A2048">
        <v>250950</v>
      </c>
      <c r="B2048">
        <v>13.35</v>
      </c>
      <c r="C2048">
        <v>120</v>
      </c>
      <c r="D2048" s="9">
        <v>43966</v>
      </c>
      <c r="E2048" t="s">
        <v>296</v>
      </c>
      <c r="I2048" s="9"/>
    </row>
    <row r="2049" spans="1:9" x14ac:dyDescent="0.25">
      <c r="A2049">
        <v>250950</v>
      </c>
      <c r="B2049">
        <v>70.5</v>
      </c>
      <c r="C2049">
        <v>20</v>
      </c>
      <c r="D2049" s="9">
        <v>43791</v>
      </c>
      <c r="E2049" t="s">
        <v>295</v>
      </c>
      <c r="I2049" s="9"/>
    </row>
    <row r="2050" spans="1:9" x14ac:dyDescent="0.25">
      <c r="A2050">
        <v>250950</v>
      </c>
      <c r="B2050">
        <v>77.849999999999994</v>
      </c>
      <c r="C2050">
        <v>20</v>
      </c>
      <c r="D2050" s="9">
        <v>43740</v>
      </c>
      <c r="E2050" t="s">
        <v>295</v>
      </c>
      <c r="I2050" s="9"/>
    </row>
    <row r="2051" spans="1:9" x14ac:dyDescent="0.25">
      <c r="A2051">
        <v>250950</v>
      </c>
      <c r="B2051">
        <v>73.5</v>
      </c>
      <c r="C2051">
        <v>20</v>
      </c>
      <c r="D2051" s="9">
        <v>43696</v>
      </c>
      <c r="E2051" t="s">
        <v>295</v>
      </c>
      <c r="I2051" s="9"/>
    </row>
    <row r="2052" spans="1:9" x14ac:dyDescent="0.25">
      <c r="A2052">
        <v>250950</v>
      </c>
      <c r="B2052">
        <v>73.5</v>
      </c>
      <c r="C2052">
        <v>10</v>
      </c>
      <c r="D2052" s="9">
        <v>43671</v>
      </c>
      <c r="E2052" t="s">
        <v>295</v>
      </c>
      <c r="I2052" s="9"/>
    </row>
    <row r="2053" spans="1:9" x14ac:dyDescent="0.25">
      <c r="A2053">
        <v>250950</v>
      </c>
      <c r="B2053">
        <v>15</v>
      </c>
      <c r="C2053">
        <v>20</v>
      </c>
      <c r="D2053" s="9">
        <v>43483</v>
      </c>
      <c r="E2053" t="s">
        <v>296</v>
      </c>
      <c r="I2053" s="9"/>
    </row>
    <row r="2054" spans="1:9" x14ac:dyDescent="0.25">
      <c r="A2054">
        <v>250950</v>
      </c>
      <c r="B2054">
        <v>70.5</v>
      </c>
      <c r="C2054">
        <v>60</v>
      </c>
      <c r="D2054" s="9">
        <v>43431</v>
      </c>
      <c r="E2054" t="s">
        <v>295</v>
      </c>
      <c r="I2054" s="9"/>
    </row>
    <row r="2055" spans="1:9" x14ac:dyDescent="0.25">
      <c r="A2055">
        <v>250950</v>
      </c>
      <c r="B2055">
        <v>77.849999999999994</v>
      </c>
      <c r="C2055">
        <v>20</v>
      </c>
      <c r="D2055" s="9">
        <v>43377</v>
      </c>
      <c r="E2055" t="s">
        <v>295</v>
      </c>
      <c r="I2055" s="9"/>
    </row>
    <row r="2056" spans="1:9" x14ac:dyDescent="0.25">
      <c r="A2056">
        <v>250950</v>
      </c>
      <c r="B2056">
        <v>69</v>
      </c>
      <c r="C2056">
        <v>16</v>
      </c>
      <c r="D2056" s="9">
        <v>43319</v>
      </c>
      <c r="E2056" t="s">
        <v>295</v>
      </c>
      <c r="I2056" s="9"/>
    </row>
    <row r="2057" spans="1:9" x14ac:dyDescent="0.25">
      <c r="A2057">
        <v>250950</v>
      </c>
      <c r="B2057">
        <v>69</v>
      </c>
      <c r="C2057">
        <v>16</v>
      </c>
      <c r="D2057" s="9">
        <v>43230</v>
      </c>
      <c r="E2057" t="s">
        <v>295</v>
      </c>
      <c r="I2057" s="9"/>
    </row>
    <row r="2058" spans="1:9" x14ac:dyDescent="0.25">
      <c r="A2058">
        <v>250950</v>
      </c>
      <c r="B2058">
        <v>80.849999999999994</v>
      </c>
      <c r="C2058">
        <v>20</v>
      </c>
      <c r="D2058" s="9">
        <v>43166</v>
      </c>
      <c r="E2058" t="s">
        <v>295</v>
      </c>
      <c r="I2058" s="9"/>
    </row>
    <row r="2059" spans="1:9" x14ac:dyDescent="0.25">
      <c r="A2059">
        <v>250950</v>
      </c>
      <c r="B2059">
        <v>73.5</v>
      </c>
      <c r="C2059">
        <v>20</v>
      </c>
      <c r="D2059" s="9">
        <v>43049</v>
      </c>
      <c r="E2059" t="s">
        <v>295</v>
      </c>
      <c r="I2059" s="9"/>
    </row>
    <row r="2060" spans="1:9" x14ac:dyDescent="0.25">
      <c r="A2060">
        <v>250950</v>
      </c>
      <c r="B2060">
        <v>80.849999999999994</v>
      </c>
      <c r="C2060">
        <v>26</v>
      </c>
      <c r="D2060" s="9">
        <v>43028</v>
      </c>
      <c r="E2060" t="s">
        <v>295</v>
      </c>
      <c r="I2060" s="9"/>
    </row>
    <row r="2061" spans="1:9" x14ac:dyDescent="0.25">
      <c r="A2061">
        <v>250950</v>
      </c>
      <c r="B2061">
        <v>73.5</v>
      </c>
      <c r="C2061">
        <v>30</v>
      </c>
      <c r="D2061" s="9">
        <v>43006</v>
      </c>
      <c r="E2061" t="s">
        <v>295</v>
      </c>
      <c r="I2061" s="9"/>
    </row>
    <row r="2062" spans="1:9" x14ac:dyDescent="0.25">
      <c r="A2062">
        <v>250950</v>
      </c>
      <c r="B2062">
        <v>73.5</v>
      </c>
      <c r="C2062">
        <v>22</v>
      </c>
      <c r="D2062" s="9">
        <v>42986</v>
      </c>
      <c r="E2062" t="s">
        <v>295</v>
      </c>
      <c r="I2062" s="9"/>
    </row>
    <row r="2063" spans="1:9" x14ac:dyDescent="0.25">
      <c r="A2063">
        <v>250950</v>
      </c>
      <c r="B2063">
        <v>73.5</v>
      </c>
      <c r="C2063">
        <v>22</v>
      </c>
      <c r="D2063" s="9">
        <v>42985</v>
      </c>
      <c r="E2063" t="s">
        <v>295</v>
      </c>
      <c r="I2063" s="9"/>
    </row>
    <row r="2064" spans="1:9" x14ac:dyDescent="0.25">
      <c r="A2064">
        <v>250950</v>
      </c>
      <c r="B2064">
        <v>73.5</v>
      </c>
      <c r="C2064">
        <v>10</v>
      </c>
      <c r="D2064" s="9">
        <v>42923</v>
      </c>
      <c r="E2064" t="s">
        <v>295</v>
      </c>
      <c r="I2064" s="9"/>
    </row>
    <row r="2065" spans="1:9" x14ac:dyDescent="0.25">
      <c r="A2065">
        <v>250950</v>
      </c>
      <c r="B2065">
        <v>75</v>
      </c>
      <c r="C2065">
        <v>8</v>
      </c>
      <c r="D2065" s="9">
        <v>42913</v>
      </c>
      <c r="E2065" t="s">
        <v>295</v>
      </c>
      <c r="I2065" s="9"/>
    </row>
    <row r="2066" spans="1:9" x14ac:dyDescent="0.25">
      <c r="A2066">
        <v>250950</v>
      </c>
      <c r="B2066">
        <v>75</v>
      </c>
      <c r="C2066">
        <v>8</v>
      </c>
      <c r="D2066" s="9">
        <v>42836</v>
      </c>
      <c r="E2066" t="s">
        <v>295</v>
      </c>
      <c r="I2066" s="9"/>
    </row>
    <row r="2067" spans="1:9" x14ac:dyDescent="0.25">
      <c r="A2067">
        <v>250950</v>
      </c>
      <c r="B2067">
        <v>75</v>
      </c>
      <c r="C2067">
        <v>10</v>
      </c>
      <c r="D2067" s="9">
        <v>42829</v>
      </c>
      <c r="E2067" t="s">
        <v>295</v>
      </c>
      <c r="I2067" s="9"/>
    </row>
    <row r="2068" spans="1:9" x14ac:dyDescent="0.25">
      <c r="A2068">
        <v>250950</v>
      </c>
      <c r="B2068">
        <v>75</v>
      </c>
      <c r="C2068">
        <v>2</v>
      </c>
      <c r="D2068" s="9">
        <v>42825</v>
      </c>
      <c r="E2068" t="s">
        <v>295</v>
      </c>
      <c r="I2068" s="9"/>
    </row>
    <row r="2069" spans="1:9" x14ac:dyDescent="0.25">
      <c r="A2069">
        <v>250950</v>
      </c>
      <c r="B2069">
        <v>85.35</v>
      </c>
      <c r="C2069">
        <v>6</v>
      </c>
      <c r="D2069" s="9">
        <v>42793</v>
      </c>
      <c r="E2069" t="s">
        <v>295</v>
      </c>
      <c r="I2069" s="9"/>
    </row>
    <row r="2070" spans="1:9" x14ac:dyDescent="0.25">
      <c r="A2070">
        <v>250950</v>
      </c>
      <c r="B2070">
        <v>73.5</v>
      </c>
      <c r="C2070">
        <v>10</v>
      </c>
      <c r="D2070" s="9">
        <v>42719</v>
      </c>
      <c r="E2070" t="s">
        <v>295</v>
      </c>
      <c r="I2070" s="9"/>
    </row>
    <row r="2071" spans="1:9" x14ac:dyDescent="0.25">
      <c r="A2071">
        <v>250950</v>
      </c>
      <c r="B2071">
        <v>73.5</v>
      </c>
      <c r="C2071">
        <v>10</v>
      </c>
      <c r="D2071" s="9">
        <v>42643</v>
      </c>
      <c r="E2071" t="s">
        <v>295</v>
      </c>
      <c r="I2071" s="9"/>
    </row>
    <row r="2072" spans="1:9" x14ac:dyDescent="0.25">
      <c r="A2072">
        <v>250950</v>
      </c>
      <c r="B2072">
        <v>73.5</v>
      </c>
      <c r="C2072">
        <v>10</v>
      </c>
      <c r="D2072" s="9">
        <v>42621</v>
      </c>
      <c r="E2072" t="s">
        <v>295</v>
      </c>
      <c r="I2072" s="9"/>
    </row>
    <row r="2073" spans="1:9" x14ac:dyDescent="0.25">
      <c r="A2073">
        <v>250950</v>
      </c>
      <c r="B2073">
        <v>73.5</v>
      </c>
      <c r="C2073">
        <v>10</v>
      </c>
      <c r="D2073" s="9">
        <v>42515</v>
      </c>
      <c r="E2073" t="s">
        <v>295</v>
      </c>
      <c r="I2073" s="9"/>
    </row>
    <row r="2074" spans="1:9" x14ac:dyDescent="0.25">
      <c r="A2074">
        <v>250950</v>
      </c>
      <c r="B2074">
        <v>73.5</v>
      </c>
      <c r="C2074">
        <v>10</v>
      </c>
      <c r="D2074" s="9">
        <v>42515</v>
      </c>
      <c r="E2074" t="s">
        <v>295</v>
      </c>
      <c r="I2074" s="9"/>
    </row>
    <row r="2075" spans="1:9" x14ac:dyDescent="0.25">
      <c r="A2075">
        <v>250950</v>
      </c>
      <c r="B2075">
        <v>73.5</v>
      </c>
      <c r="C2075">
        <v>10</v>
      </c>
      <c r="D2075" s="9">
        <v>42510</v>
      </c>
      <c r="E2075" t="s">
        <v>295</v>
      </c>
      <c r="I2075" s="9"/>
    </row>
    <row r="2076" spans="1:9" x14ac:dyDescent="0.25">
      <c r="A2076">
        <v>250950</v>
      </c>
      <c r="B2076">
        <v>82.35</v>
      </c>
      <c r="C2076">
        <v>12</v>
      </c>
      <c r="D2076" s="9">
        <v>42467</v>
      </c>
      <c r="E2076" t="s">
        <v>295</v>
      </c>
      <c r="I2076" s="9"/>
    </row>
    <row r="2077" spans="1:9" x14ac:dyDescent="0.25">
      <c r="A2077">
        <v>250950</v>
      </c>
      <c r="B2077">
        <v>73.5</v>
      </c>
      <c r="C2077">
        <v>10</v>
      </c>
      <c r="D2077" s="9">
        <v>42431</v>
      </c>
      <c r="E2077" t="s">
        <v>295</v>
      </c>
      <c r="I2077" s="9"/>
    </row>
    <row r="2078" spans="1:9" x14ac:dyDescent="0.25">
      <c r="A2078">
        <v>250950</v>
      </c>
      <c r="B2078">
        <v>73.5</v>
      </c>
      <c r="C2078">
        <v>10</v>
      </c>
      <c r="D2078" s="9">
        <v>42268</v>
      </c>
      <c r="E2078" t="s">
        <v>295</v>
      </c>
      <c r="I2078" s="9"/>
    </row>
    <row r="2079" spans="1:9" x14ac:dyDescent="0.25">
      <c r="A2079">
        <v>250950</v>
      </c>
      <c r="B2079">
        <v>73.5</v>
      </c>
      <c r="C2079">
        <v>10</v>
      </c>
      <c r="D2079" s="9">
        <v>42262</v>
      </c>
      <c r="E2079" t="s">
        <v>295</v>
      </c>
      <c r="I2079" s="9"/>
    </row>
    <row r="2080" spans="1:9" x14ac:dyDescent="0.25">
      <c r="A2080">
        <v>250950</v>
      </c>
      <c r="B2080">
        <v>76.5</v>
      </c>
      <c r="C2080">
        <v>10</v>
      </c>
      <c r="D2080" s="9">
        <v>42179</v>
      </c>
      <c r="E2080" t="s">
        <v>295</v>
      </c>
      <c r="I2080" s="9"/>
    </row>
    <row r="2081" spans="1:9" x14ac:dyDescent="0.25">
      <c r="A2081">
        <v>250950</v>
      </c>
      <c r="B2081">
        <v>76.5</v>
      </c>
      <c r="C2081">
        <v>10</v>
      </c>
      <c r="D2081" s="9">
        <v>42178</v>
      </c>
      <c r="E2081" t="s">
        <v>295</v>
      </c>
      <c r="I2081" s="9"/>
    </row>
    <row r="2082" spans="1:9" x14ac:dyDescent="0.25">
      <c r="A2082">
        <v>250950</v>
      </c>
      <c r="B2082">
        <v>76.5</v>
      </c>
      <c r="C2082">
        <v>10</v>
      </c>
      <c r="D2082" s="9">
        <v>42173</v>
      </c>
      <c r="E2082" t="s">
        <v>295</v>
      </c>
      <c r="I2082" s="9"/>
    </row>
    <row r="2083" spans="1:9" x14ac:dyDescent="0.25">
      <c r="A2083">
        <v>250950</v>
      </c>
      <c r="B2083">
        <v>82.35</v>
      </c>
      <c r="C2083">
        <v>20</v>
      </c>
      <c r="D2083" s="9">
        <v>42170</v>
      </c>
      <c r="E2083" t="s">
        <v>295</v>
      </c>
      <c r="I2083" s="9"/>
    </row>
    <row r="2084" spans="1:9" x14ac:dyDescent="0.25">
      <c r="A2084">
        <v>250950</v>
      </c>
      <c r="B2084">
        <v>78</v>
      </c>
      <c r="C2084">
        <v>10</v>
      </c>
      <c r="D2084" s="9">
        <v>42130</v>
      </c>
      <c r="E2084" t="s">
        <v>295</v>
      </c>
      <c r="I2084" s="9"/>
    </row>
    <row r="2085" spans="1:9" x14ac:dyDescent="0.25">
      <c r="A2085">
        <v>250950</v>
      </c>
      <c r="B2085">
        <v>79.5</v>
      </c>
      <c r="C2085">
        <v>4</v>
      </c>
      <c r="D2085" s="9">
        <v>42101</v>
      </c>
      <c r="E2085" t="s">
        <v>295</v>
      </c>
      <c r="I2085" s="9"/>
    </row>
    <row r="2086" spans="1:9" x14ac:dyDescent="0.25">
      <c r="A2086">
        <v>250950</v>
      </c>
      <c r="B2086">
        <v>77.25</v>
      </c>
      <c r="C2086">
        <v>4</v>
      </c>
      <c r="D2086" s="9">
        <v>42095</v>
      </c>
      <c r="E2086" t="s">
        <v>295</v>
      </c>
      <c r="I2086" s="9"/>
    </row>
    <row r="2087" spans="1:9" x14ac:dyDescent="0.25">
      <c r="A2087">
        <v>250950</v>
      </c>
      <c r="B2087">
        <v>77.25</v>
      </c>
      <c r="C2087">
        <v>12</v>
      </c>
      <c r="D2087" s="9">
        <v>41960</v>
      </c>
      <c r="E2087" t="s">
        <v>295</v>
      </c>
      <c r="I2087" s="9"/>
    </row>
    <row r="2088" spans="1:9" x14ac:dyDescent="0.25">
      <c r="A2088">
        <v>250950</v>
      </c>
      <c r="B2088">
        <v>72</v>
      </c>
      <c r="C2088">
        <v>10</v>
      </c>
      <c r="D2088" s="9">
        <v>41935</v>
      </c>
      <c r="E2088" t="s">
        <v>295</v>
      </c>
      <c r="I2088" s="9"/>
    </row>
    <row r="2089" spans="1:9" x14ac:dyDescent="0.25">
      <c r="A2089">
        <v>250950</v>
      </c>
      <c r="B2089">
        <v>73.5</v>
      </c>
      <c r="C2089">
        <v>10</v>
      </c>
      <c r="D2089" s="9">
        <v>41822</v>
      </c>
      <c r="E2089" t="s">
        <v>295</v>
      </c>
      <c r="I2089" s="9"/>
    </row>
    <row r="2090" spans="1:9" x14ac:dyDescent="0.25">
      <c r="A2090">
        <v>250950</v>
      </c>
      <c r="B2090">
        <v>72</v>
      </c>
      <c r="C2090">
        <v>10</v>
      </c>
      <c r="D2090" s="9">
        <v>41822</v>
      </c>
      <c r="E2090" t="s">
        <v>295</v>
      </c>
      <c r="I2090" s="9"/>
    </row>
    <row r="2091" spans="1:9" x14ac:dyDescent="0.25">
      <c r="A2091">
        <v>250950</v>
      </c>
      <c r="B2091">
        <v>73.5</v>
      </c>
      <c r="C2091">
        <v>10</v>
      </c>
      <c r="D2091" s="9">
        <v>41820</v>
      </c>
      <c r="E2091" t="s">
        <v>295</v>
      </c>
      <c r="I2091" s="9"/>
    </row>
    <row r="2092" spans="1:9" x14ac:dyDescent="0.25">
      <c r="A2092">
        <v>250950</v>
      </c>
      <c r="B2092">
        <v>72</v>
      </c>
      <c r="C2092">
        <v>16</v>
      </c>
      <c r="D2092" s="9">
        <v>41689</v>
      </c>
      <c r="E2092" t="s">
        <v>295</v>
      </c>
      <c r="I2092" s="9"/>
    </row>
    <row r="2093" spans="1:9" x14ac:dyDescent="0.25">
      <c r="A2093">
        <v>250950</v>
      </c>
      <c r="B2093">
        <v>72</v>
      </c>
      <c r="C2093">
        <v>10</v>
      </c>
      <c r="D2093" s="9">
        <v>41596</v>
      </c>
      <c r="E2093" t="s">
        <v>295</v>
      </c>
      <c r="I2093" s="9"/>
    </row>
    <row r="2094" spans="1:9" x14ac:dyDescent="0.25">
      <c r="A2094">
        <v>250960</v>
      </c>
      <c r="B2094">
        <v>112.8</v>
      </c>
      <c r="C2094">
        <v>5</v>
      </c>
      <c r="D2094" s="9">
        <v>43791</v>
      </c>
      <c r="E2094" t="s">
        <v>295</v>
      </c>
      <c r="I2094" s="9"/>
    </row>
    <row r="2095" spans="1:9" x14ac:dyDescent="0.25">
      <c r="A2095">
        <v>250960</v>
      </c>
      <c r="B2095">
        <v>131.76</v>
      </c>
      <c r="C2095">
        <v>4</v>
      </c>
      <c r="D2095" s="9">
        <v>43740</v>
      </c>
      <c r="E2095" t="s">
        <v>295</v>
      </c>
      <c r="I2095" s="9"/>
    </row>
    <row r="2096" spans="1:9" x14ac:dyDescent="0.25">
      <c r="A2096">
        <v>250960</v>
      </c>
      <c r="B2096">
        <v>117.6</v>
      </c>
      <c r="C2096">
        <v>4</v>
      </c>
      <c r="D2096" s="9">
        <v>43696</v>
      </c>
      <c r="E2096" t="s">
        <v>295</v>
      </c>
      <c r="I2096" s="9"/>
    </row>
    <row r="2097" spans="1:9" x14ac:dyDescent="0.25">
      <c r="A2097">
        <v>250960</v>
      </c>
      <c r="B2097">
        <v>117.6</v>
      </c>
      <c r="C2097">
        <v>4</v>
      </c>
      <c r="D2097" s="9">
        <v>43671</v>
      </c>
      <c r="E2097" t="s">
        <v>295</v>
      </c>
      <c r="I2097" s="9"/>
    </row>
    <row r="2098" spans="1:9" x14ac:dyDescent="0.25">
      <c r="A2098">
        <v>250960</v>
      </c>
      <c r="B2098">
        <v>117.6</v>
      </c>
      <c r="C2098">
        <v>4</v>
      </c>
      <c r="D2098" s="9">
        <v>43620</v>
      </c>
      <c r="E2098" t="s">
        <v>295</v>
      </c>
      <c r="I2098" s="9"/>
    </row>
    <row r="2099" spans="1:9" x14ac:dyDescent="0.25">
      <c r="A2099">
        <v>250960</v>
      </c>
      <c r="B2099">
        <v>124.56</v>
      </c>
      <c r="C2099">
        <v>4</v>
      </c>
      <c r="D2099" s="9">
        <v>43377</v>
      </c>
      <c r="E2099" t="s">
        <v>295</v>
      </c>
      <c r="I2099" s="9"/>
    </row>
    <row r="2100" spans="1:9" x14ac:dyDescent="0.25">
      <c r="A2100">
        <v>250960</v>
      </c>
      <c r="B2100">
        <v>110.4</v>
      </c>
      <c r="C2100">
        <v>2</v>
      </c>
      <c r="D2100" s="9">
        <v>43319</v>
      </c>
      <c r="E2100" t="s">
        <v>295</v>
      </c>
      <c r="I2100" s="9"/>
    </row>
    <row r="2101" spans="1:9" x14ac:dyDescent="0.25">
      <c r="A2101">
        <v>250960</v>
      </c>
      <c r="B2101">
        <v>110.4</v>
      </c>
      <c r="C2101">
        <v>5</v>
      </c>
      <c r="D2101" s="9">
        <v>43230</v>
      </c>
      <c r="E2101" t="s">
        <v>295</v>
      </c>
      <c r="I2101" s="9"/>
    </row>
    <row r="2102" spans="1:9" x14ac:dyDescent="0.25">
      <c r="A2102">
        <v>250960</v>
      </c>
      <c r="B2102">
        <v>117.6</v>
      </c>
      <c r="C2102">
        <v>10</v>
      </c>
      <c r="D2102" s="9">
        <v>43049</v>
      </c>
      <c r="E2102" t="s">
        <v>295</v>
      </c>
      <c r="I2102" s="9"/>
    </row>
    <row r="2103" spans="1:9" x14ac:dyDescent="0.25">
      <c r="A2103">
        <v>250960</v>
      </c>
      <c r="B2103">
        <v>129.36000000000001</v>
      </c>
      <c r="C2103">
        <v>5</v>
      </c>
      <c r="D2103" s="9">
        <v>43028</v>
      </c>
      <c r="E2103" t="s">
        <v>295</v>
      </c>
      <c r="I2103" s="9"/>
    </row>
    <row r="2104" spans="1:9" x14ac:dyDescent="0.25">
      <c r="A2104">
        <v>250980</v>
      </c>
      <c r="B2104">
        <v>26.7</v>
      </c>
      <c r="C2104">
        <v>70</v>
      </c>
      <c r="D2104" s="9">
        <v>43966</v>
      </c>
      <c r="E2104" t="s">
        <v>296</v>
      </c>
      <c r="I2104" s="9"/>
    </row>
    <row r="2105" spans="1:9" x14ac:dyDescent="0.25">
      <c r="A2105">
        <v>250980</v>
      </c>
      <c r="B2105">
        <v>141</v>
      </c>
      <c r="C2105">
        <v>40</v>
      </c>
      <c r="D2105" s="9">
        <v>43791</v>
      </c>
      <c r="E2105" t="s">
        <v>295</v>
      </c>
      <c r="I2105" s="9"/>
    </row>
    <row r="2106" spans="1:9" x14ac:dyDescent="0.25">
      <c r="A2106">
        <v>250980</v>
      </c>
      <c r="B2106">
        <v>164.7</v>
      </c>
      <c r="C2106">
        <v>20</v>
      </c>
      <c r="D2106" s="9">
        <v>43740</v>
      </c>
      <c r="E2106" t="s">
        <v>295</v>
      </c>
      <c r="I2106" s="9"/>
    </row>
    <row r="2107" spans="1:9" x14ac:dyDescent="0.25">
      <c r="A2107">
        <v>250980</v>
      </c>
      <c r="B2107">
        <v>147</v>
      </c>
      <c r="C2107">
        <v>10</v>
      </c>
      <c r="D2107" s="9">
        <v>43696</v>
      </c>
      <c r="E2107" t="s">
        <v>295</v>
      </c>
      <c r="I2107" s="9"/>
    </row>
    <row r="2108" spans="1:9" x14ac:dyDescent="0.25">
      <c r="A2108">
        <v>250980</v>
      </c>
      <c r="B2108">
        <v>147</v>
      </c>
      <c r="C2108">
        <v>4</v>
      </c>
      <c r="D2108" s="9">
        <v>43671</v>
      </c>
      <c r="E2108" t="s">
        <v>295</v>
      </c>
      <c r="I2108" s="9"/>
    </row>
    <row r="2109" spans="1:9" x14ac:dyDescent="0.25">
      <c r="A2109">
        <v>250980</v>
      </c>
      <c r="B2109">
        <v>147</v>
      </c>
      <c r="C2109">
        <v>3</v>
      </c>
      <c r="D2109" s="9">
        <v>43620</v>
      </c>
      <c r="E2109" t="s">
        <v>295</v>
      </c>
      <c r="I2109" s="9"/>
    </row>
    <row r="2110" spans="1:9" x14ac:dyDescent="0.25">
      <c r="A2110">
        <v>250980</v>
      </c>
      <c r="B2110">
        <v>141</v>
      </c>
      <c r="C2110">
        <v>20</v>
      </c>
      <c r="D2110" s="9">
        <v>43546</v>
      </c>
      <c r="E2110" t="s">
        <v>295</v>
      </c>
      <c r="I2110" s="9"/>
    </row>
    <row r="2111" spans="1:9" x14ac:dyDescent="0.25">
      <c r="A2111">
        <v>250980</v>
      </c>
      <c r="B2111">
        <v>141</v>
      </c>
      <c r="C2111">
        <v>10</v>
      </c>
      <c r="D2111" s="9">
        <v>43431</v>
      </c>
      <c r="E2111" t="s">
        <v>295</v>
      </c>
      <c r="I2111" s="9"/>
    </row>
    <row r="2112" spans="1:9" x14ac:dyDescent="0.25">
      <c r="A2112">
        <v>250980</v>
      </c>
      <c r="B2112">
        <v>155.69999999999999</v>
      </c>
      <c r="C2112">
        <v>15</v>
      </c>
      <c r="D2112" s="9">
        <v>43377</v>
      </c>
      <c r="E2112" t="s">
        <v>295</v>
      </c>
      <c r="I2112" s="9"/>
    </row>
    <row r="2113" spans="1:9" x14ac:dyDescent="0.25">
      <c r="A2113">
        <v>250980</v>
      </c>
      <c r="B2113">
        <v>138</v>
      </c>
      <c r="C2113">
        <v>14</v>
      </c>
      <c r="D2113" s="9">
        <v>43319</v>
      </c>
      <c r="E2113" t="s">
        <v>295</v>
      </c>
      <c r="I2113" s="9"/>
    </row>
    <row r="2114" spans="1:9" x14ac:dyDescent="0.25">
      <c r="A2114">
        <v>250980</v>
      </c>
      <c r="B2114">
        <v>138</v>
      </c>
      <c r="C2114">
        <v>20</v>
      </c>
      <c r="D2114" s="9">
        <v>43230</v>
      </c>
      <c r="E2114" t="s">
        <v>295</v>
      </c>
      <c r="I2114" s="9"/>
    </row>
    <row r="2115" spans="1:9" x14ac:dyDescent="0.25">
      <c r="A2115">
        <v>250980</v>
      </c>
      <c r="B2115">
        <v>161.69999999999999</v>
      </c>
      <c r="C2115">
        <v>15</v>
      </c>
      <c r="D2115" s="9">
        <v>43103</v>
      </c>
      <c r="E2115" t="s">
        <v>295</v>
      </c>
      <c r="I2115" s="9"/>
    </row>
    <row r="2116" spans="1:9" x14ac:dyDescent="0.25">
      <c r="A2116">
        <v>250980</v>
      </c>
      <c r="B2116">
        <v>147</v>
      </c>
      <c r="C2116">
        <v>15</v>
      </c>
      <c r="D2116" s="9">
        <v>43049</v>
      </c>
      <c r="E2116" t="s">
        <v>295</v>
      </c>
      <c r="I2116" s="9"/>
    </row>
    <row r="2117" spans="1:9" x14ac:dyDescent="0.25">
      <c r="A2117">
        <v>250980</v>
      </c>
      <c r="B2117">
        <v>147</v>
      </c>
      <c r="C2117">
        <v>3</v>
      </c>
      <c r="D2117" s="9">
        <v>43006</v>
      </c>
      <c r="E2117" t="s">
        <v>295</v>
      </c>
      <c r="I2117" s="9"/>
    </row>
    <row r="2118" spans="1:9" x14ac:dyDescent="0.25">
      <c r="A2118">
        <v>250980</v>
      </c>
      <c r="B2118">
        <v>147</v>
      </c>
      <c r="C2118">
        <v>4</v>
      </c>
      <c r="D2118" s="9">
        <v>42923</v>
      </c>
      <c r="E2118" t="s">
        <v>295</v>
      </c>
      <c r="I2118" s="9"/>
    </row>
    <row r="2119" spans="1:9" x14ac:dyDescent="0.25">
      <c r="A2119">
        <v>250980</v>
      </c>
      <c r="B2119">
        <v>150</v>
      </c>
      <c r="C2119">
        <v>10</v>
      </c>
      <c r="D2119" s="9">
        <v>42913</v>
      </c>
      <c r="E2119" t="s">
        <v>295</v>
      </c>
      <c r="I2119" s="9"/>
    </row>
    <row r="2120" spans="1:9" x14ac:dyDescent="0.25">
      <c r="A2120">
        <v>250980</v>
      </c>
      <c r="B2120">
        <v>150</v>
      </c>
      <c r="C2120">
        <v>15</v>
      </c>
      <c r="D2120" s="9">
        <v>42846</v>
      </c>
      <c r="E2120" t="s">
        <v>295</v>
      </c>
      <c r="I2120" s="9"/>
    </row>
    <row r="2121" spans="1:9" x14ac:dyDescent="0.25">
      <c r="A2121">
        <v>250980</v>
      </c>
      <c r="B2121">
        <v>150</v>
      </c>
      <c r="C2121">
        <v>3</v>
      </c>
      <c r="D2121" s="9">
        <v>42836</v>
      </c>
      <c r="E2121" t="s">
        <v>295</v>
      </c>
      <c r="I2121" s="9"/>
    </row>
    <row r="2122" spans="1:9" x14ac:dyDescent="0.25">
      <c r="A2122">
        <v>250980</v>
      </c>
      <c r="B2122">
        <v>150</v>
      </c>
      <c r="C2122">
        <v>8</v>
      </c>
      <c r="D2122" s="9">
        <v>42829</v>
      </c>
      <c r="E2122" t="s">
        <v>295</v>
      </c>
      <c r="I2122" s="9"/>
    </row>
    <row r="2123" spans="1:9" x14ac:dyDescent="0.25">
      <c r="A2123">
        <v>250980</v>
      </c>
      <c r="B2123">
        <v>170.7</v>
      </c>
      <c r="C2123">
        <v>5</v>
      </c>
      <c r="D2123" s="9">
        <v>42793</v>
      </c>
      <c r="E2123" t="s">
        <v>295</v>
      </c>
      <c r="I2123" s="9"/>
    </row>
    <row r="2124" spans="1:9" x14ac:dyDescent="0.25">
      <c r="A2124">
        <v>250980</v>
      </c>
      <c r="B2124">
        <v>147</v>
      </c>
      <c r="C2124">
        <v>2</v>
      </c>
      <c r="D2124" s="9">
        <v>42745</v>
      </c>
      <c r="E2124" t="s">
        <v>295</v>
      </c>
      <c r="I2124" s="9"/>
    </row>
    <row r="2125" spans="1:9" x14ac:dyDescent="0.25">
      <c r="A2125">
        <v>250980</v>
      </c>
      <c r="B2125">
        <v>147</v>
      </c>
      <c r="C2125">
        <v>5</v>
      </c>
      <c r="D2125" s="9">
        <v>42719</v>
      </c>
      <c r="E2125" t="s">
        <v>295</v>
      </c>
      <c r="I2125" s="9"/>
    </row>
    <row r="2126" spans="1:9" x14ac:dyDescent="0.25">
      <c r="A2126">
        <v>250980</v>
      </c>
      <c r="B2126">
        <v>147</v>
      </c>
      <c r="C2126">
        <v>6</v>
      </c>
      <c r="D2126" s="9">
        <v>42643</v>
      </c>
      <c r="E2126" t="s">
        <v>295</v>
      </c>
      <c r="I2126" s="9"/>
    </row>
    <row r="2127" spans="1:9" x14ac:dyDescent="0.25">
      <c r="A2127">
        <v>250980</v>
      </c>
      <c r="B2127">
        <v>147</v>
      </c>
      <c r="C2127">
        <v>6</v>
      </c>
      <c r="D2127" s="9">
        <v>42635</v>
      </c>
      <c r="E2127" t="s">
        <v>295</v>
      </c>
      <c r="I2127" s="9"/>
    </row>
    <row r="2128" spans="1:9" x14ac:dyDescent="0.25">
      <c r="A2128">
        <v>250980</v>
      </c>
      <c r="B2128">
        <v>164.7</v>
      </c>
      <c r="C2128">
        <v>6</v>
      </c>
      <c r="D2128" s="9">
        <v>42621</v>
      </c>
      <c r="E2128" t="s">
        <v>295</v>
      </c>
      <c r="I2128" s="9"/>
    </row>
    <row r="2129" spans="1:9" x14ac:dyDescent="0.25">
      <c r="A2129">
        <v>250980</v>
      </c>
      <c r="B2129">
        <v>147</v>
      </c>
      <c r="C2129">
        <v>8</v>
      </c>
      <c r="D2129" s="9">
        <v>42515</v>
      </c>
      <c r="E2129" t="s">
        <v>295</v>
      </c>
      <c r="I2129" s="9"/>
    </row>
    <row r="2130" spans="1:9" x14ac:dyDescent="0.25">
      <c r="A2130">
        <v>250980</v>
      </c>
      <c r="B2130">
        <v>147</v>
      </c>
      <c r="C2130">
        <v>8</v>
      </c>
      <c r="D2130" s="9">
        <v>42515</v>
      </c>
      <c r="E2130" t="s">
        <v>295</v>
      </c>
      <c r="I2130" s="9"/>
    </row>
    <row r="2131" spans="1:9" x14ac:dyDescent="0.25">
      <c r="A2131">
        <v>250980</v>
      </c>
      <c r="B2131">
        <v>147</v>
      </c>
      <c r="C2131">
        <v>8</v>
      </c>
      <c r="D2131" s="9">
        <v>42510</v>
      </c>
      <c r="E2131" t="s">
        <v>295</v>
      </c>
      <c r="I2131" s="9"/>
    </row>
    <row r="2132" spans="1:9" x14ac:dyDescent="0.25">
      <c r="A2132">
        <v>250980</v>
      </c>
      <c r="B2132">
        <v>147</v>
      </c>
      <c r="C2132">
        <v>10</v>
      </c>
      <c r="D2132" s="9">
        <v>42431</v>
      </c>
      <c r="E2132" t="s">
        <v>295</v>
      </c>
      <c r="I2132" s="9"/>
    </row>
    <row r="2133" spans="1:9" x14ac:dyDescent="0.25">
      <c r="A2133">
        <v>250980</v>
      </c>
      <c r="B2133">
        <v>147</v>
      </c>
      <c r="C2133">
        <v>5</v>
      </c>
      <c r="D2133" s="9">
        <v>42339</v>
      </c>
      <c r="E2133" t="s">
        <v>295</v>
      </c>
      <c r="I2133" s="9"/>
    </row>
    <row r="2134" spans="1:9" x14ac:dyDescent="0.25">
      <c r="A2134">
        <v>250980</v>
      </c>
      <c r="B2134">
        <v>164.7</v>
      </c>
      <c r="C2134">
        <v>6</v>
      </c>
      <c r="D2134" s="9">
        <v>42332</v>
      </c>
      <c r="E2134" t="s">
        <v>295</v>
      </c>
      <c r="I2134" s="9"/>
    </row>
    <row r="2135" spans="1:9" x14ac:dyDescent="0.25">
      <c r="A2135">
        <v>250980</v>
      </c>
      <c r="B2135">
        <v>153.01</v>
      </c>
      <c r="C2135">
        <v>2</v>
      </c>
      <c r="D2135" s="9">
        <v>42188</v>
      </c>
      <c r="E2135" t="s">
        <v>295</v>
      </c>
      <c r="I2135" s="9"/>
    </row>
    <row r="2136" spans="1:9" x14ac:dyDescent="0.25">
      <c r="A2136">
        <v>250980</v>
      </c>
      <c r="B2136">
        <v>153.01</v>
      </c>
      <c r="C2136">
        <v>6</v>
      </c>
      <c r="D2136" s="9">
        <v>42179</v>
      </c>
      <c r="E2136" t="s">
        <v>295</v>
      </c>
      <c r="I2136" s="9"/>
    </row>
    <row r="2137" spans="1:9" x14ac:dyDescent="0.25">
      <c r="A2137">
        <v>250980</v>
      </c>
      <c r="B2137">
        <v>153.01</v>
      </c>
      <c r="C2137">
        <v>6</v>
      </c>
      <c r="D2137" s="9">
        <v>42178</v>
      </c>
      <c r="E2137" t="s">
        <v>295</v>
      </c>
      <c r="I2137" s="9"/>
    </row>
    <row r="2138" spans="1:9" x14ac:dyDescent="0.25">
      <c r="A2138">
        <v>250980</v>
      </c>
      <c r="B2138">
        <v>153.01</v>
      </c>
      <c r="C2138">
        <v>6</v>
      </c>
      <c r="D2138" s="9">
        <v>42173</v>
      </c>
      <c r="E2138" t="s">
        <v>295</v>
      </c>
      <c r="I2138" s="9"/>
    </row>
    <row r="2139" spans="1:9" x14ac:dyDescent="0.25">
      <c r="A2139">
        <v>250980</v>
      </c>
      <c r="B2139">
        <v>164.7</v>
      </c>
      <c r="C2139">
        <v>6</v>
      </c>
      <c r="D2139" s="9">
        <v>42170</v>
      </c>
      <c r="E2139" t="s">
        <v>295</v>
      </c>
      <c r="I2139" s="9"/>
    </row>
    <row r="2140" spans="1:9" x14ac:dyDescent="0.25">
      <c r="A2140">
        <v>250980</v>
      </c>
      <c r="B2140">
        <v>155.99</v>
      </c>
      <c r="C2140">
        <v>3</v>
      </c>
      <c r="D2140" s="9">
        <v>42130</v>
      </c>
      <c r="E2140" t="s">
        <v>295</v>
      </c>
      <c r="I2140" s="9"/>
    </row>
    <row r="2141" spans="1:9" x14ac:dyDescent="0.25">
      <c r="A2141">
        <v>250980</v>
      </c>
      <c r="B2141">
        <v>158.99</v>
      </c>
      <c r="C2141">
        <v>25</v>
      </c>
      <c r="D2141" s="9">
        <v>42083</v>
      </c>
      <c r="E2141" t="s">
        <v>295</v>
      </c>
      <c r="I2141" s="9"/>
    </row>
    <row r="2142" spans="1:9" x14ac:dyDescent="0.25">
      <c r="A2142">
        <v>250980</v>
      </c>
      <c r="B2142">
        <v>167.7</v>
      </c>
      <c r="C2142">
        <v>3</v>
      </c>
      <c r="D2142" s="9">
        <v>42034</v>
      </c>
      <c r="E2142" t="s">
        <v>295</v>
      </c>
      <c r="I2142" s="9"/>
    </row>
    <row r="2143" spans="1:9" x14ac:dyDescent="0.25">
      <c r="A2143">
        <v>250980</v>
      </c>
      <c r="B2143">
        <v>149.69999999999999</v>
      </c>
      <c r="C2143">
        <v>15</v>
      </c>
      <c r="D2143" s="9">
        <v>41892</v>
      </c>
      <c r="E2143" t="s">
        <v>295</v>
      </c>
      <c r="I2143" s="9"/>
    </row>
    <row r="2144" spans="1:9" x14ac:dyDescent="0.25">
      <c r="A2144">
        <v>250980</v>
      </c>
      <c r="B2144">
        <v>144</v>
      </c>
      <c r="C2144">
        <v>5</v>
      </c>
      <c r="D2144" s="9">
        <v>41864</v>
      </c>
      <c r="E2144" t="s">
        <v>295</v>
      </c>
      <c r="I2144" s="9"/>
    </row>
    <row r="2145" spans="1:9" x14ac:dyDescent="0.25">
      <c r="A2145">
        <v>250980</v>
      </c>
      <c r="B2145">
        <v>144</v>
      </c>
      <c r="C2145">
        <v>5</v>
      </c>
      <c r="D2145" s="9">
        <v>41858</v>
      </c>
      <c r="E2145" t="s">
        <v>295</v>
      </c>
      <c r="I2145" s="9"/>
    </row>
    <row r="2146" spans="1:9" x14ac:dyDescent="0.25">
      <c r="A2146">
        <v>250980</v>
      </c>
      <c r="B2146">
        <v>144</v>
      </c>
      <c r="C2146">
        <v>5</v>
      </c>
      <c r="D2146" s="9">
        <v>41822</v>
      </c>
      <c r="E2146" t="s">
        <v>295</v>
      </c>
      <c r="I2146" s="9"/>
    </row>
    <row r="2147" spans="1:9" x14ac:dyDescent="0.25">
      <c r="A2147">
        <v>250980</v>
      </c>
      <c r="B2147">
        <v>144</v>
      </c>
      <c r="C2147">
        <v>5</v>
      </c>
      <c r="D2147" s="9">
        <v>41689</v>
      </c>
      <c r="E2147" t="s">
        <v>295</v>
      </c>
      <c r="I2147" s="9"/>
    </row>
    <row r="2148" spans="1:9" x14ac:dyDescent="0.25">
      <c r="A2148">
        <v>250980</v>
      </c>
      <c r="B2148">
        <v>144</v>
      </c>
      <c r="C2148">
        <v>6</v>
      </c>
      <c r="D2148" s="9">
        <v>41565</v>
      </c>
      <c r="E2148" t="s">
        <v>295</v>
      </c>
      <c r="I2148" s="9"/>
    </row>
    <row r="2149" spans="1:9" x14ac:dyDescent="0.25">
      <c r="A2149">
        <v>250990</v>
      </c>
      <c r="B2149">
        <v>35.6</v>
      </c>
      <c r="C2149">
        <v>30</v>
      </c>
      <c r="D2149" s="9">
        <v>43966</v>
      </c>
      <c r="E2149" t="s">
        <v>296</v>
      </c>
      <c r="I2149" s="9"/>
    </row>
    <row r="2150" spans="1:9" x14ac:dyDescent="0.25">
      <c r="A2150">
        <v>250990</v>
      </c>
      <c r="B2150">
        <v>219.6</v>
      </c>
      <c r="C2150">
        <v>16</v>
      </c>
      <c r="D2150" s="9">
        <v>43740</v>
      </c>
      <c r="E2150" t="s">
        <v>295</v>
      </c>
      <c r="I2150" s="9"/>
    </row>
    <row r="2151" spans="1:9" x14ac:dyDescent="0.25">
      <c r="A2151">
        <v>250990</v>
      </c>
      <c r="B2151">
        <v>207.6</v>
      </c>
      <c r="C2151">
        <v>10</v>
      </c>
      <c r="D2151" s="9">
        <v>43377</v>
      </c>
      <c r="E2151" t="s">
        <v>295</v>
      </c>
      <c r="I2151" s="9"/>
    </row>
    <row r="2152" spans="1:9" x14ac:dyDescent="0.25">
      <c r="A2152">
        <v>250990</v>
      </c>
      <c r="B2152">
        <v>215.6</v>
      </c>
      <c r="C2152">
        <v>2</v>
      </c>
      <c r="D2152" s="9">
        <v>43166</v>
      </c>
      <c r="E2152" t="s">
        <v>295</v>
      </c>
      <c r="I2152" s="9"/>
    </row>
    <row r="2153" spans="1:9" x14ac:dyDescent="0.25">
      <c r="A2153">
        <v>252340</v>
      </c>
      <c r="B2153">
        <v>3.01</v>
      </c>
      <c r="C2153">
        <v>100</v>
      </c>
      <c r="D2153" s="9">
        <v>44133</v>
      </c>
      <c r="E2153" t="s">
        <v>296</v>
      </c>
      <c r="I2153" s="9"/>
    </row>
    <row r="2154" spans="1:9" x14ac:dyDescent="0.25">
      <c r="A2154">
        <v>252340</v>
      </c>
      <c r="B2154">
        <v>3.05</v>
      </c>
      <c r="C2154">
        <v>320</v>
      </c>
      <c r="D2154" s="9">
        <v>43483</v>
      </c>
      <c r="E2154" t="s">
        <v>296</v>
      </c>
      <c r="I2154" s="9"/>
    </row>
    <row r="2155" spans="1:9" x14ac:dyDescent="0.25">
      <c r="A2155">
        <v>252460</v>
      </c>
      <c r="B2155">
        <v>6.1</v>
      </c>
      <c r="C2155">
        <v>480</v>
      </c>
      <c r="D2155" s="9">
        <v>43483</v>
      </c>
      <c r="E2155" t="s">
        <v>296</v>
      </c>
      <c r="I2155" s="9"/>
    </row>
    <row r="2156" spans="1:9" x14ac:dyDescent="0.25">
      <c r="A2156">
        <v>252580</v>
      </c>
      <c r="B2156">
        <v>10.16</v>
      </c>
      <c r="C2156">
        <v>350</v>
      </c>
      <c r="D2156" s="9">
        <v>43483</v>
      </c>
      <c r="E2156" t="s">
        <v>296</v>
      </c>
      <c r="I2156" s="9"/>
    </row>
    <row r="2157" spans="1:9" x14ac:dyDescent="0.25">
      <c r="A2157">
        <v>252700</v>
      </c>
      <c r="B2157">
        <v>15.07</v>
      </c>
      <c r="C2157">
        <v>20</v>
      </c>
      <c r="D2157" s="9">
        <v>44133</v>
      </c>
      <c r="E2157" t="s">
        <v>296</v>
      </c>
      <c r="I2157" s="9"/>
    </row>
    <row r="2158" spans="1:9" x14ac:dyDescent="0.25">
      <c r="A2158">
        <v>252700</v>
      </c>
      <c r="B2158">
        <v>15.24</v>
      </c>
      <c r="C2158">
        <v>60</v>
      </c>
      <c r="D2158" s="9">
        <v>43483</v>
      </c>
      <c r="E2158" t="s">
        <v>296</v>
      </c>
      <c r="I2158" s="9"/>
    </row>
    <row r="2159" spans="1:9" x14ac:dyDescent="0.25">
      <c r="A2159">
        <v>252820</v>
      </c>
      <c r="B2159">
        <v>24.38</v>
      </c>
      <c r="C2159">
        <v>20</v>
      </c>
      <c r="D2159" s="9">
        <v>43483</v>
      </c>
      <c r="E2159" t="s">
        <v>296</v>
      </c>
      <c r="I2159" s="9"/>
    </row>
    <row r="2160" spans="1:9" x14ac:dyDescent="0.25">
      <c r="A2160">
        <v>253340</v>
      </c>
      <c r="B2160">
        <v>15.48</v>
      </c>
      <c r="C2160">
        <v>10</v>
      </c>
      <c r="D2160" s="9">
        <v>42846</v>
      </c>
      <c r="E2160" t="s">
        <v>295</v>
      </c>
      <c r="I2160" s="9"/>
    </row>
    <row r="2161" spans="1:9" x14ac:dyDescent="0.25">
      <c r="A2161">
        <v>253340</v>
      </c>
      <c r="B2161">
        <v>13.2</v>
      </c>
      <c r="C2161">
        <v>30</v>
      </c>
      <c r="D2161" s="9">
        <v>41746</v>
      </c>
      <c r="E2161" t="s">
        <v>295</v>
      </c>
      <c r="I2161" s="9"/>
    </row>
    <row r="2162" spans="1:9" x14ac:dyDescent="0.25">
      <c r="A2162">
        <v>253340</v>
      </c>
      <c r="B2162">
        <v>13.2</v>
      </c>
      <c r="C2162">
        <v>30</v>
      </c>
      <c r="D2162" s="9">
        <v>41744</v>
      </c>
      <c r="E2162" t="s">
        <v>295</v>
      </c>
      <c r="I2162" s="9"/>
    </row>
    <row r="2163" spans="1:9" x14ac:dyDescent="0.25">
      <c r="A2163">
        <v>253350</v>
      </c>
      <c r="B2163">
        <v>16.5</v>
      </c>
      <c r="C2163">
        <v>24</v>
      </c>
      <c r="D2163" s="9">
        <v>41746</v>
      </c>
      <c r="E2163" t="s">
        <v>295</v>
      </c>
      <c r="I2163" s="9"/>
    </row>
    <row r="2164" spans="1:9" x14ac:dyDescent="0.25">
      <c r="A2164">
        <v>253350</v>
      </c>
      <c r="B2164">
        <v>16.5</v>
      </c>
      <c r="C2164">
        <v>24</v>
      </c>
      <c r="D2164" s="9">
        <v>41744</v>
      </c>
      <c r="E2164" t="s">
        <v>295</v>
      </c>
      <c r="I2164" s="9"/>
    </row>
    <row r="2165" spans="1:9" x14ac:dyDescent="0.25">
      <c r="A2165">
        <v>253350</v>
      </c>
      <c r="B2165">
        <v>16.5</v>
      </c>
      <c r="C2165">
        <v>8</v>
      </c>
      <c r="D2165" s="9">
        <v>41606</v>
      </c>
      <c r="E2165" t="s">
        <v>295</v>
      </c>
      <c r="I2165" s="9"/>
    </row>
    <row r="2166" spans="1:9" x14ac:dyDescent="0.25">
      <c r="A2166">
        <v>253450</v>
      </c>
      <c r="B2166">
        <v>22.92</v>
      </c>
      <c r="C2166">
        <v>6</v>
      </c>
      <c r="D2166" s="9">
        <v>42445</v>
      </c>
      <c r="E2166" t="s">
        <v>295</v>
      </c>
      <c r="I2166" s="9"/>
    </row>
    <row r="2167" spans="1:9" x14ac:dyDescent="0.25">
      <c r="A2167">
        <v>253460</v>
      </c>
      <c r="B2167">
        <v>30.96</v>
      </c>
      <c r="C2167">
        <v>15</v>
      </c>
      <c r="D2167" s="9">
        <v>42846</v>
      </c>
      <c r="E2167" t="s">
        <v>295</v>
      </c>
      <c r="I2167" s="9"/>
    </row>
    <row r="2168" spans="1:9" x14ac:dyDescent="0.25">
      <c r="A2168">
        <v>253460</v>
      </c>
      <c r="B2168">
        <v>31.68</v>
      </c>
      <c r="C2168">
        <v>5</v>
      </c>
      <c r="D2168" s="9">
        <v>42083</v>
      </c>
      <c r="E2168" t="s">
        <v>295</v>
      </c>
      <c r="I2168" s="9"/>
    </row>
    <row r="2169" spans="1:9" x14ac:dyDescent="0.25">
      <c r="A2169">
        <v>253460</v>
      </c>
      <c r="B2169">
        <v>26.57</v>
      </c>
      <c r="C2169">
        <v>5</v>
      </c>
      <c r="D2169" s="9">
        <v>41960</v>
      </c>
      <c r="E2169" t="s">
        <v>295</v>
      </c>
      <c r="I2169" s="9"/>
    </row>
    <row r="2170" spans="1:9" x14ac:dyDescent="0.25">
      <c r="A2170">
        <v>253460</v>
      </c>
      <c r="B2170">
        <v>26.57</v>
      </c>
      <c r="C2170">
        <v>5</v>
      </c>
      <c r="D2170" s="9">
        <v>41725</v>
      </c>
      <c r="E2170" t="s">
        <v>295</v>
      </c>
      <c r="I2170" s="9"/>
    </row>
    <row r="2171" spans="1:9" x14ac:dyDescent="0.25">
      <c r="A2171">
        <v>253680</v>
      </c>
      <c r="B2171">
        <v>63.36</v>
      </c>
      <c r="C2171">
        <v>6</v>
      </c>
      <c r="D2171" s="9">
        <v>42846</v>
      </c>
      <c r="E2171" t="s">
        <v>295</v>
      </c>
      <c r="I2171" s="9"/>
    </row>
    <row r="2172" spans="1:9" x14ac:dyDescent="0.25">
      <c r="A2172">
        <v>253700</v>
      </c>
      <c r="B2172">
        <v>68.77</v>
      </c>
      <c r="C2172">
        <v>30</v>
      </c>
      <c r="D2172" s="9">
        <v>42550</v>
      </c>
      <c r="E2172" t="s">
        <v>295</v>
      </c>
      <c r="I2172" s="9"/>
    </row>
    <row r="2173" spans="1:9" x14ac:dyDescent="0.25">
      <c r="A2173">
        <v>253700</v>
      </c>
      <c r="B2173">
        <v>68.77</v>
      </c>
      <c r="C2173">
        <v>30</v>
      </c>
      <c r="D2173" s="9">
        <v>42425</v>
      </c>
      <c r="E2173" t="s">
        <v>295</v>
      </c>
      <c r="I2173" s="9"/>
    </row>
    <row r="2174" spans="1:9" x14ac:dyDescent="0.25">
      <c r="A2174">
        <v>253710</v>
      </c>
      <c r="B2174">
        <v>110.83</v>
      </c>
      <c r="C2174">
        <v>10</v>
      </c>
      <c r="D2174" s="9">
        <v>42585</v>
      </c>
      <c r="E2174" t="s">
        <v>295</v>
      </c>
      <c r="I2174" s="9"/>
    </row>
    <row r="2175" spans="1:9" x14ac:dyDescent="0.25">
      <c r="A2175">
        <v>253760</v>
      </c>
      <c r="B2175">
        <v>82.43</v>
      </c>
      <c r="C2175">
        <v>4</v>
      </c>
      <c r="D2175" s="9">
        <v>42846</v>
      </c>
      <c r="E2175" t="s">
        <v>295</v>
      </c>
      <c r="I2175" s="9"/>
    </row>
    <row r="2176" spans="1:9" x14ac:dyDescent="0.25">
      <c r="A2176">
        <v>253760</v>
      </c>
      <c r="B2176">
        <v>79.2</v>
      </c>
      <c r="C2176">
        <v>10</v>
      </c>
      <c r="D2176" s="9">
        <v>41746</v>
      </c>
      <c r="E2176" t="s">
        <v>295</v>
      </c>
      <c r="I2176" s="9"/>
    </row>
    <row r="2177" spans="1:9" x14ac:dyDescent="0.25">
      <c r="A2177">
        <v>253760</v>
      </c>
      <c r="B2177">
        <v>79.2</v>
      </c>
      <c r="C2177">
        <v>10</v>
      </c>
      <c r="D2177" s="9">
        <v>41744</v>
      </c>
      <c r="E2177" t="s">
        <v>295</v>
      </c>
      <c r="I2177" s="9"/>
    </row>
    <row r="2178" spans="1:9" x14ac:dyDescent="0.25">
      <c r="A2178">
        <v>253800</v>
      </c>
      <c r="B2178">
        <v>105.6</v>
      </c>
      <c r="C2178">
        <v>10</v>
      </c>
      <c r="D2178" s="9">
        <v>42846</v>
      </c>
      <c r="E2178" t="s">
        <v>295</v>
      </c>
      <c r="I2178" s="9"/>
    </row>
    <row r="2179" spans="1:9" x14ac:dyDescent="0.25">
      <c r="A2179">
        <v>253800</v>
      </c>
      <c r="B2179">
        <v>88</v>
      </c>
      <c r="C2179">
        <v>10</v>
      </c>
      <c r="D2179" s="9">
        <v>41746</v>
      </c>
      <c r="E2179" t="s">
        <v>295</v>
      </c>
      <c r="I2179" s="9"/>
    </row>
    <row r="2180" spans="1:9" x14ac:dyDescent="0.25">
      <c r="A2180">
        <v>253800</v>
      </c>
      <c r="B2180">
        <v>88</v>
      </c>
      <c r="C2180">
        <v>10</v>
      </c>
      <c r="D2180" s="9">
        <v>41744</v>
      </c>
      <c r="E2180" t="s">
        <v>295</v>
      </c>
      <c r="I2180" s="9"/>
    </row>
    <row r="2181" spans="1:9" x14ac:dyDescent="0.25">
      <c r="A2181">
        <v>253820</v>
      </c>
      <c r="B2181">
        <v>105.61</v>
      </c>
      <c r="C2181">
        <v>10</v>
      </c>
      <c r="D2181" s="9">
        <v>41746</v>
      </c>
      <c r="E2181" t="s">
        <v>295</v>
      </c>
      <c r="I2181" s="9"/>
    </row>
    <row r="2182" spans="1:9" x14ac:dyDescent="0.25">
      <c r="A2182">
        <v>253820</v>
      </c>
      <c r="B2182">
        <v>105.61</v>
      </c>
      <c r="C2182">
        <v>10</v>
      </c>
      <c r="D2182" s="9">
        <v>41744</v>
      </c>
      <c r="E2182" t="s">
        <v>295</v>
      </c>
      <c r="I2182" s="9"/>
    </row>
    <row r="2183" spans="1:9" x14ac:dyDescent="0.25">
      <c r="A2183">
        <v>253900</v>
      </c>
      <c r="B2183">
        <v>137.51</v>
      </c>
      <c r="C2183">
        <v>85</v>
      </c>
      <c r="D2183" s="9">
        <v>42754</v>
      </c>
      <c r="E2183" t="s">
        <v>295</v>
      </c>
      <c r="I2183" s="9"/>
    </row>
    <row r="2184" spans="1:9" x14ac:dyDescent="0.25">
      <c r="A2184">
        <v>253900</v>
      </c>
      <c r="B2184">
        <v>137.51</v>
      </c>
      <c r="C2184">
        <v>70</v>
      </c>
      <c r="D2184" s="9">
        <v>42671</v>
      </c>
      <c r="E2184" t="s">
        <v>295</v>
      </c>
      <c r="I2184" s="9"/>
    </row>
    <row r="2185" spans="1:9" x14ac:dyDescent="0.25">
      <c r="A2185">
        <v>253900</v>
      </c>
      <c r="B2185">
        <v>137.51</v>
      </c>
      <c r="C2185">
        <v>60</v>
      </c>
      <c r="D2185" s="9">
        <v>42550</v>
      </c>
      <c r="E2185" t="s">
        <v>295</v>
      </c>
      <c r="I2185" s="9"/>
    </row>
    <row r="2186" spans="1:9" x14ac:dyDescent="0.25">
      <c r="A2186">
        <v>253900</v>
      </c>
      <c r="B2186">
        <v>137.51</v>
      </c>
      <c r="C2186">
        <v>60</v>
      </c>
      <c r="D2186" s="9">
        <v>42425</v>
      </c>
      <c r="E2186" t="s">
        <v>295</v>
      </c>
      <c r="I2186" s="9"/>
    </row>
    <row r="2187" spans="1:9" x14ac:dyDescent="0.25">
      <c r="A2187">
        <v>253900</v>
      </c>
      <c r="B2187">
        <v>137.51</v>
      </c>
      <c r="C2187">
        <v>50</v>
      </c>
      <c r="D2187" s="9">
        <v>42314</v>
      </c>
      <c r="E2187" t="s">
        <v>295</v>
      </c>
      <c r="I2187" s="9"/>
    </row>
    <row r="2188" spans="1:9" x14ac:dyDescent="0.25">
      <c r="A2188">
        <v>253900</v>
      </c>
      <c r="B2188">
        <v>137.51</v>
      </c>
      <c r="C2188">
        <v>50</v>
      </c>
      <c r="D2188" s="9">
        <v>42201</v>
      </c>
      <c r="E2188" t="s">
        <v>295</v>
      </c>
      <c r="I2188" s="9"/>
    </row>
    <row r="2189" spans="1:9" x14ac:dyDescent="0.25">
      <c r="A2189">
        <v>253900</v>
      </c>
      <c r="B2189">
        <v>135.6</v>
      </c>
      <c r="C2189">
        <v>30</v>
      </c>
      <c r="D2189" s="9">
        <v>42095</v>
      </c>
      <c r="E2189" t="s">
        <v>295</v>
      </c>
      <c r="I2189" s="9"/>
    </row>
    <row r="2190" spans="1:9" x14ac:dyDescent="0.25">
      <c r="A2190">
        <v>253900</v>
      </c>
      <c r="B2190">
        <v>135.6</v>
      </c>
      <c r="C2190">
        <v>55</v>
      </c>
      <c r="D2190" s="9">
        <v>41820</v>
      </c>
      <c r="E2190" t="s">
        <v>295</v>
      </c>
      <c r="I2190" s="9"/>
    </row>
    <row r="2191" spans="1:9" x14ac:dyDescent="0.25">
      <c r="A2191">
        <v>253900</v>
      </c>
      <c r="B2191">
        <v>132.01</v>
      </c>
      <c r="C2191">
        <v>45</v>
      </c>
      <c r="D2191" s="9">
        <v>41744</v>
      </c>
      <c r="E2191" t="s">
        <v>295</v>
      </c>
      <c r="I2191" s="9"/>
    </row>
    <row r="2192" spans="1:9" x14ac:dyDescent="0.25">
      <c r="A2192">
        <v>253950</v>
      </c>
      <c r="B2192">
        <v>193.5</v>
      </c>
      <c r="C2192">
        <v>1</v>
      </c>
      <c r="D2192" s="9">
        <v>42733</v>
      </c>
      <c r="E2192" t="s">
        <v>295</v>
      </c>
      <c r="I2192" s="9"/>
    </row>
    <row r="2193" spans="1:9" x14ac:dyDescent="0.25">
      <c r="A2193">
        <v>253950</v>
      </c>
      <c r="B2193">
        <v>165.01</v>
      </c>
      <c r="C2193">
        <v>3</v>
      </c>
      <c r="D2193" s="9">
        <v>41746</v>
      </c>
      <c r="E2193" t="s">
        <v>295</v>
      </c>
      <c r="I2193" s="9"/>
    </row>
    <row r="2194" spans="1:9" x14ac:dyDescent="0.25">
      <c r="A2194">
        <v>253950</v>
      </c>
      <c r="B2194">
        <v>165.01</v>
      </c>
      <c r="C2194">
        <v>3</v>
      </c>
      <c r="D2194" s="9">
        <v>41744</v>
      </c>
      <c r="E2194" t="s">
        <v>295</v>
      </c>
      <c r="I2194" s="9"/>
    </row>
    <row r="2195" spans="1:9" x14ac:dyDescent="0.25">
      <c r="A2195">
        <v>253960</v>
      </c>
      <c r="B2195">
        <v>232.2</v>
      </c>
      <c r="C2195">
        <v>4</v>
      </c>
      <c r="D2195" s="9">
        <v>42733</v>
      </c>
      <c r="E2195" t="s">
        <v>295</v>
      </c>
      <c r="I2195" s="9"/>
    </row>
    <row r="2196" spans="1:9" x14ac:dyDescent="0.25">
      <c r="A2196">
        <v>253980</v>
      </c>
      <c r="B2196">
        <v>387</v>
      </c>
      <c r="C2196">
        <v>5</v>
      </c>
      <c r="D2196" s="9">
        <v>42733</v>
      </c>
      <c r="E2196" t="s">
        <v>295</v>
      </c>
      <c r="I2196" s="9"/>
    </row>
    <row r="2197" spans="1:9" x14ac:dyDescent="0.25">
      <c r="A2197">
        <v>253980</v>
      </c>
      <c r="B2197">
        <v>330.02</v>
      </c>
      <c r="C2197">
        <v>3</v>
      </c>
      <c r="D2197" s="9">
        <v>41746</v>
      </c>
      <c r="E2197" t="s">
        <v>295</v>
      </c>
      <c r="I2197" s="9"/>
    </row>
    <row r="2198" spans="1:9" x14ac:dyDescent="0.25">
      <c r="A2198">
        <v>253980</v>
      </c>
      <c r="B2198">
        <v>330.02</v>
      </c>
      <c r="C2198">
        <v>3</v>
      </c>
      <c r="D2198" s="9">
        <v>41744</v>
      </c>
      <c r="E2198" t="s">
        <v>295</v>
      </c>
      <c r="I2198" s="9"/>
    </row>
    <row r="2199" spans="1:9" x14ac:dyDescent="0.25">
      <c r="A2199">
        <v>256060</v>
      </c>
      <c r="B2199">
        <v>1.38</v>
      </c>
      <c r="C2199">
        <v>510</v>
      </c>
      <c r="D2199" s="9">
        <v>44113</v>
      </c>
      <c r="E2199" t="s">
        <v>295</v>
      </c>
      <c r="I2199" s="9"/>
    </row>
    <row r="2200" spans="1:9" x14ac:dyDescent="0.25">
      <c r="A2200">
        <v>256060</v>
      </c>
      <c r="B2200">
        <v>3.45</v>
      </c>
      <c r="C2200">
        <v>200</v>
      </c>
      <c r="D2200" s="9">
        <v>43907</v>
      </c>
      <c r="E2200" t="s">
        <v>295</v>
      </c>
      <c r="I2200" s="9"/>
    </row>
    <row r="2201" spans="1:9" x14ac:dyDescent="0.25">
      <c r="A2201">
        <v>256121</v>
      </c>
      <c r="B2201">
        <v>3.9</v>
      </c>
      <c r="C2201">
        <v>300</v>
      </c>
      <c r="D2201" s="9">
        <v>43544</v>
      </c>
      <c r="E2201" t="s">
        <v>295</v>
      </c>
      <c r="I2201" s="9"/>
    </row>
    <row r="2202" spans="1:9" x14ac:dyDescent="0.25">
      <c r="A2202">
        <v>262000</v>
      </c>
      <c r="B2202">
        <v>1.69</v>
      </c>
      <c r="C2202">
        <v>3000</v>
      </c>
      <c r="D2202" s="9">
        <v>44071</v>
      </c>
      <c r="E2202" t="s">
        <v>296</v>
      </c>
      <c r="I2202" s="9"/>
    </row>
    <row r="2203" spans="1:9" x14ac:dyDescent="0.25">
      <c r="A2203">
        <v>262000</v>
      </c>
      <c r="B2203">
        <v>1.69</v>
      </c>
      <c r="C2203">
        <v>1600</v>
      </c>
      <c r="D2203" s="9">
        <v>44005</v>
      </c>
      <c r="E2203" t="s">
        <v>296</v>
      </c>
      <c r="I2203" s="9"/>
    </row>
    <row r="2204" spans="1:9" x14ac:dyDescent="0.25">
      <c r="A2204">
        <v>262000</v>
      </c>
      <c r="B2204">
        <v>1.69</v>
      </c>
      <c r="C2204">
        <v>1200</v>
      </c>
      <c r="D2204" s="9">
        <v>43717</v>
      </c>
      <c r="E2204" t="s">
        <v>296</v>
      </c>
      <c r="I2204" s="9"/>
    </row>
    <row r="2205" spans="1:9" x14ac:dyDescent="0.25">
      <c r="A2205">
        <v>262000</v>
      </c>
      <c r="B2205">
        <v>1.69</v>
      </c>
      <c r="C2205">
        <v>3000</v>
      </c>
      <c r="D2205" s="9">
        <v>43578</v>
      </c>
      <c r="E2205" t="s">
        <v>296</v>
      </c>
      <c r="I2205" s="9"/>
    </row>
    <row r="2206" spans="1:9" x14ac:dyDescent="0.25">
      <c r="A2206">
        <v>262000</v>
      </c>
      <c r="B2206">
        <v>1.69</v>
      </c>
      <c r="C2206">
        <v>2800</v>
      </c>
      <c r="D2206" s="9">
        <v>43486</v>
      </c>
      <c r="E2206" t="s">
        <v>296</v>
      </c>
      <c r="I2206" s="9"/>
    </row>
    <row r="2207" spans="1:9" x14ac:dyDescent="0.25">
      <c r="A2207">
        <v>262000</v>
      </c>
      <c r="B2207">
        <v>1.69</v>
      </c>
      <c r="C2207">
        <v>2120</v>
      </c>
      <c r="D2207" s="9">
        <v>43350</v>
      </c>
      <c r="E2207" t="s">
        <v>296</v>
      </c>
      <c r="I2207" s="9"/>
    </row>
    <row r="2208" spans="1:9" x14ac:dyDescent="0.25">
      <c r="A2208">
        <v>262000</v>
      </c>
      <c r="B2208">
        <v>1.69</v>
      </c>
      <c r="C2208">
        <v>2080</v>
      </c>
      <c r="D2208" s="9">
        <v>43270</v>
      </c>
      <c r="E2208" t="s">
        <v>296</v>
      </c>
      <c r="I2208" s="9"/>
    </row>
    <row r="2209" spans="1:9" x14ac:dyDescent="0.25">
      <c r="A2209">
        <v>262000</v>
      </c>
      <c r="B2209">
        <v>5.64</v>
      </c>
      <c r="C2209">
        <v>2400</v>
      </c>
      <c r="D2209" s="9">
        <v>43234</v>
      </c>
      <c r="E2209" t="s">
        <v>295</v>
      </c>
      <c r="I2209" s="9"/>
    </row>
    <row r="2210" spans="1:9" x14ac:dyDescent="0.25">
      <c r="A2210">
        <v>262000</v>
      </c>
      <c r="B2210">
        <v>1.61</v>
      </c>
      <c r="C2210">
        <v>2400</v>
      </c>
      <c r="D2210" s="9">
        <v>43049</v>
      </c>
      <c r="E2210" t="s">
        <v>296</v>
      </c>
      <c r="I2210" s="9"/>
    </row>
    <row r="2211" spans="1:9" x14ac:dyDescent="0.25">
      <c r="A2211">
        <v>262000</v>
      </c>
      <c r="B2211">
        <v>1.61</v>
      </c>
      <c r="C2211">
        <v>2720</v>
      </c>
      <c r="D2211" s="9">
        <v>42892</v>
      </c>
      <c r="E2211" t="s">
        <v>296</v>
      </c>
      <c r="I2211" s="9"/>
    </row>
    <row r="2212" spans="1:9" x14ac:dyDescent="0.25">
      <c r="A2212">
        <v>262000</v>
      </c>
      <c r="B2212">
        <v>1.61</v>
      </c>
      <c r="C2212">
        <v>960</v>
      </c>
      <c r="D2212" s="9">
        <v>42844</v>
      </c>
      <c r="E2212" t="s">
        <v>296</v>
      </c>
      <c r="I2212" s="9"/>
    </row>
    <row r="2213" spans="1:9" x14ac:dyDescent="0.25">
      <c r="A2213">
        <v>262000</v>
      </c>
      <c r="B2213">
        <v>1.46</v>
      </c>
      <c r="C2213">
        <v>5520</v>
      </c>
      <c r="D2213" s="9">
        <v>42472</v>
      </c>
      <c r="E2213" t="s">
        <v>296</v>
      </c>
      <c r="I2213" s="9"/>
    </row>
    <row r="2214" spans="1:9" x14ac:dyDescent="0.25">
      <c r="A2214">
        <v>262000</v>
      </c>
      <c r="B2214">
        <v>7.68</v>
      </c>
      <c r="C2214">
        <v>300</v>
      </c>
      <c r="D2214" s="9">
        <v>42396</v>
      </c>
      <c r="E2214" t="s">
        <v>295</v>
      </c>
      <c r="I2214" s="9"/>
    </row>
    <row r="2215" spans="1:9" x14ac:dyDescent="0.25">
      <c r="A2215">
        <v>262000</v>
      </c>
      <c r="B2215">
        <v>1.61</v>
      </c>
      <c r="C2215">
        <v>4000</v>
      </c>
      <c r="D2215" s="9">
        <v>42367</v>
      </c>
      <c r="E2215" t="s">
        <v>296</v>
      </c>
      <c r="I2215" s="9"/>
    </row>
    <row r="2216" spans="1:9" x14ac:dyDescent="0.25">
      <c r="A2216">
        <v>262000</v>
      </c>
      <c r="B2216">
        <v>7.68</v>
      </c>
      <c r="C2216">
        <v>600</v>
      </c>
      <c r="D2216" s="9">
        <v>42346</v>
      </c>
      <c r="E2216" t="s">
        <v>295</v>
      </c>
      <c r="I2216" s="9"/>
    </row>
    <row r="2217" spans="1:9" x14ac:dyDescent="0.25">
      <c r="A2217">
        <v>262000</v>
      </c>
      <c r="B2217">
        <v>1.61</v>
      </c>
      <c r="C2217">
        <v>2200</v>
      </c>
      <c r="D2217" s="9">
        <v>42136</v>
      </c>
      <c r="E2217" t="s">
        <v>296</v>
      </c>
      <c r="I2217" s="9"/>
    </row>
    <row r="2218" spans="1:9" x14ac:dyDescent="0.25">
      <c r="A2218">
        <v>262000</v>
      </c>
      <c r="B2218">
        <v>1.61</v>
      </c>
      <c r="C2218">
        <v>2000</v>
      </c>
      <c r="D2218" s="9">
        <v>41943</v>
      </c>
      <c r="E2218" t="s">
        <v>296</v>
      </c>
      <c r="I2218" s="9"/>
    </row>
    <row r="2219" spans="1:9" x14ac:dyDescent="0.25">
      <c r="A2219">
        <v>262000</v>
      </c>
      <c r="B2219">
        <v>1.61</v>
      </c>
      <c r="C2219">
        <v>2800</v>
      </c>
      <c r="D2219" s="9">
        <v>41744</v>
      </c>
      <c r="E2219" t="s">
        <v>296</v>
      </c>
      <c r="I2219" s="9"/>
    </row>
    <row r="2220" spans="1:9" x14ac:dyDescent="0.25">
      <c r="A2220">
        <v>262000</v>
      </c>
      <c r="B2220">
        <v>8.27</v>
      </c>
      <c r="C2220">
        <v>150</v>
      </c>
      <c r="D2220" s="9">
        <v>41625</v>
      </c>
      <c r="E2220" t="s">
        <v>295</v>
      </c>
      <c r="I2220" s="9"/>
    </row>
    <row r="2221" spans="1:9" x14ac:dyDescent="0.25">
      <c r="A2221">
        <v>262000</v>
      </c>
      <c r="B2221">
        <v>8.27</v>
      </c>
      <c r="C2221">
        <v>100</v>
      </c>
      <c r="D2221" s="9">
        <v>41617</v>
      </c>
      <c r="E2221" t="s">
        <v>295</v>
      </c>
      <c r="I2221" s="9"/>
    </row>
    <row r="2222" spans="1:9" x14ac:dyDescent="0.25">
      <c r="A2222">
        <v>262000</v>
      </c>
      <c r="B2222">
        <v>8.27</v>
      </c>
      <c r="C2222">
        <v>160</v>
      </c>
      <c r="D2222" s="9">
        <v>41605</v>
      </c>
      <c r="E2222" t="s">
        <v>295</v>
      </c>
      <c r="I2222" s="9"/>
    </row>
    <row r="2223" spans="1:9" x14ac:dyDescent="0.25">
      <c r="A2223">
        <v>262000</v>
      </c>
      <c r="B2223">
        <v>8.27</v>
      </c>
      <c r="C2223">
        <v>120</v>
      </c>
      <c r="D2223" s="9">
        <v>41603</v>
      </c>
      <c r="E2223" t="s">
        <v>295</v>
      </c>
      <c r="I2223" s="9"/>
    </row>
    <row r="2224" spans="1:9" x14ac:dyDescent="0.25">
      <c r="A2224">
        <v>262000</v>
      </c>
      <c r="B2224">
        <v>1.82</v>
      </c>
      <c r="C2224">
        <v>3200</v>
      </c>
      <c r="D2224" s="9">
        <v>41479</v>
      </c>
      <c r="E2224" t="s">
        <v>296</v>
      </c>
      <c r="I2224" s="9"/>
    </row>
    <row r="2225" spans="1:9" x14ac:dyDescent="0.25">
      <c r="A2225">
        <v>262002</v>
      </c>
      <c r="B2225">
        <v>3.95</v>
      </c>
      <c r="C2225">
        <v>300</v>
      </c>
      <c r="D2225" s="9">
        <v>44071</v>
      </c>
      <c r="E2225" t="s">
        <v>296</v>
      </c>
      <c r="I2225" s="9"/>
    </row>
    <row r="2226" spans="1:9" x14ac:dyDescent="0.25">
      <c r="A2226">
        <v>262002</v>
      </c>
      <c r="B2226">
        <v>3.95</v>
      </c>
      <c r="C2226">
        <v>390</v>
      </c>
      <c r="D2226" s="9">
        <v>44005</v>
      </c>
      <c r="E2226" t="s">
        <v>296</v>
      </c>
      <c r="I2226" s="9"/>
    </row>
    <row r="2227" spans="1:9" x14ac:dyDescent="0.25">
      <c r="A2227">
        <v>262002</v>
      </c>
      <c r="B2227">
        <v>3.95</v>
      </c>
      <c r="C2227">
        <v>300</v>
      </c>
      <c r="D2227" s="9">
        <v>43717</v>
      </c>
      <c r="E2227" t="s">
        <v>296</v>
      </c>
      <c r="I2227" s="9"/>
    </row>
    <row r="2228" spans="1:9" x14ac:dyDescent="0.25">
      <c r="A2228">
        <v>262002</v>
      </c>
      <c r="B2228">
        <v>3.95</v>
      </c>
      <c r="C2228">
        <v>600</v>
      </c>
      <c r="D2228" s="9">
        <v>43578</v>
      </c>
      <c r="E2228" t="s">
        <v>296</v>
      </c>
      <c r="I2228" s="9"/>
    </row>
    <row r="2229" spans="1:9" x14ac:dyDescent="0.25">
      <c r="A2229">
        <v>300000</v>
      </c>
      <c r="B2229">
        <v>0.45</v>
      </c>
      <c r="C2229">
        <v>1152</v>
      </c>
      <c r="D2229" s="9">
        <v>44091</v>
      </c>
      <c r="E2229" t="s">
        <v>296</v>
      </c>
      <c r="I2229" s="9"/>
    </row>
    <row r="2230" spans="1:9" x14ac:dyDescent="0.25">
      <c r="A2230">
        <v>300000</v>
      </c>
      <c r="B2230">
        <v>0.45</v>
      </c>
      <c r="C2230">
        <v>1152</v>
      </c>
      <c r="D2230" s="9">
        <v>43972</v>
      </c>
      <c r="E2230" t="s">
        <v>296</v>
      </c>
      <c r="I2230" s="9"/>
    </row>
    <row r="2231" spans="1:9" x14ac:dyDescent="0.25">
      <c r="A2231">
        <v>300000</v>
      </c>
      <c r="B2231">
        <v>0.376</v>
      </c>
      <c r="C2231">
        <v>2304</v>
      </c>
      <c r="D2231" s="9">
        <v>43608</v>
      </c>
      <c r="E2231" t="s">
        <v>296</v>
      </c>
      <c r="I2231" s="9"/>
    </row>
    <row r="2232" spans="1:9" x14ac:dyDescent="0.25">
      <c r="A2232">
        <v>300000</v>
      </c>
      <c r="B2232">
        <v>0.35299999999999998</v>
      </c>
      <c r="C2232">
        <v>1536</v>
      </c>
      <c r="D2232" s="9">
        <v>43340</v>
      </c>
      <c r="E2232" t="s">
        <v>296</v>
      </c>
      <c r="I2232" s="9"/>
    </row>
    <row r="2233" spans="1:9" x14ac:dyDescent="0.25">
      <c r="A2233">
        <v>300000</v>
      </c>
      <c r="B2233">
        <v>0.35299999999999998</v>
      </c>
      <c r="C2233">
        <v>1536</v>
      </c>
      <c r="D2233" s="9">
        <v>42976</v>
      </c>
      <c r="E2233" t="s">
        <v>296</v>
      </c>
      <c r="I2233" s="9"/>
    </row>
    <row r="2234" spans="1:9" x14ac:dyDescent="0.25">
      <c r="A2234">
        <v>300000</v>
      </c>
      <c r="B2234">
        <v>0.33700000000000002</v>
      </c>
      <c r="C2234">
        <v>1536</v>
      </c>
      <c r="D2234" s="9">
        <v>42860</v>
      </c>
      <c r="E2234" t="s">
        <v>296</v>
      </c>
      <c r="I2234" s="9"/>
    </row>
    <row r="2235" spans="1:9" x14ac:dyDescent="0.25">
      <c r="A2235">
        <v>300000</v>
      </c>
      <c r="B2235">
        <v>0.48099999999999998</v>
      </c>
      <c r="C2235">
        <v>1536</v>
      </c>
      <c r="D2235" s="9">
        <v>42676</v>
      </c>
      <c r="E2235" t="s">
        <v>297</v>
      </c>
      <c r="I2235" s="9"/>
    </row>
    <row r="2236" spans="1:9" x14ac:dyDescent="0.25">
      <c r="A2236">
        <v>300000</v>
      </c>
      <c r="B2236">
        <v>2.11</v>
      </c>
      <c r="C2236">
        <v>1536</v>
      </c>
      <c r="D2236" s="9">
        <v>42520</v>
      </c>
      <c r="E2236" t="s">
        <v>295</v>
      </c>
      <c r="I2236" s="9"/>
    </row>
    <row r="2237" spans="1:9" x14ac:dyDescent="0.25">
      <c r="A2237">
        <v>300000</v>
      </c>
      <c r="B2237">
        <v>0.48099999999999998</v>
      </c>
      <c r="C2237">
        <v>1536</v>
      </c>
      <c r="D2237" s="9">
        <v>42520</v>
      </c>
      <c r="E2237" t="s">
        <v>297</v>
      </c>
      <c r="I2237" s="9"/>
    </row>
    <row r="2238" spans="1:9" x14ac:dyDescent="0.25">
      <c r="A2238">
        <v>300000</v>
      </c>
      <c r="B2238">
        <v>0.48099999999999998</v>
      </c>
      <c r="C2238">
        <v>1920</v>
      </c>
      <c r="D2238" s="9">
        <v>42186</v>
      </c>
      <c r="E2238" t="s">
        <v>297</v>
      </c>
      <c r="I2238" s="9"/>
    </row>
    <row r="2239" spans="1:9" x14ac:dyDescent="0.25">
      <c r="A2239">
        <v>300000</v>
      </c>
      <c r="B2239">
        <v>0.46</v>
      </c>
      <c r="C2239">
        <v>2112</v>
      </c>
      <c r="D2239" s="9">
        <v>41765</v>
      </c>
      <c r="E2239" t="s">
        <v>296</v>
      </c>
      <c r="I2239" s="9"/>
    </row>
    <row r="2240" spans="1:9" x14ac:dyDescent="0.25">
      <c r="A2240">
        <v>300000</v>
      </c>
      <c r="B2240">
        <v>0.51200000000000001</v>
      </c>
      <c r="C2240">
        <v>1920</v>
      </c>
      <c r="D2240" s="9">
        <v>41744</v>
      </c>
      <c r="E2240" t="s">
        <v>296</v>
      </c>
      <c r="I2240" s="9"/>
    </row>
    <row r="2241" spans="1:9" x14ac:dyDescent="0.25">
      <c r="A2241">
        <v>300000</v>
      </c>
      <c r="B2241">
        <v>0.51200000000000001</v>
      </c>
      <c r="C2241">
        <v>1920</v>
      </c>
      <c r="D2241" s="9">
        <v>41535</v>
      </c>
      <c r="E2241" t="s">
        <v>296</v>
      </c>
      <c r="I2241" s="9"/>
    </row>
    <row r="2242" spans="1:9" x14ac:dyDescent="0.25">
      <c r="A2242">
        <v>300000</v>
      </c>
      <c r="B2242">
        <v>0.51200000000000001</v>
      </c>
      <c r="C2242">
        <v>1536</v>
      </c>
      <c r="D2242" s="9">
        <v>41295</v>
      </c>
      <c r="E2242" t="s">
        <v>296</v>
      </c>
      <c r="I2242" s="9"/>
    </row>
    <row r="2243" spans="1:9" x14ac:dyDescent="0.25">
      <c r="A2243">
        <v>300013</v>
      </c>
      <c r="B2243">
        <v>0.32</v>
      </c>
      <c r="C2243">
        <v>1344</v>
      </c>
      <c r="D2243" s="9">
        <v>44091</v>
      </c>
      <c r="E2243" t="s">
        <v>296</v>
      </c>
      <c r="I2243" s="9"/>
    </row>
    <row r="2244" spans="1:9" x14ac:dyDescent="0.25">
      <c r="A2244">
        <v>300013</v>
      </c>
      <c r="B2244">
        <v>0.32</v>
      </c>
      <c r="C2244">
        <v>1344</v>
      </c>
      <c r="D2244" s="9">
        <v>43972</v>
      </c>
      <c r="E2244" t="s">
        <v>296</v>
      </c>
      <c r="I2244" s="9"/>
    </row>
    <row r="2245" spans="1:9" x14ac:dyDescent="0.25">
      <c r="A2245">
        <v>300013</v>
      </c>
      <c r="B2245">
        <v>0.22500000000000001</v>
      </c>
      <c r="C2245">
        <v>2480</v>
      </c>
      <c r="D2245" s="9">
        <v>43340</v>
      </c>
      <c r="E2245" t="s">
        <v>296</v>
      </c>
      <c r="I2245" s="9"/>
    </row>
    <row r="2246" spans="1:9" x14ac:dyDescent="0.25">
      <c r="A2246">
        <v>300013</v>
      </c>
      <c r="B2246">
        <v>0.22500000000000001</v>
      </c>
      <c r="C2246">
        <v>2480</v>
      </c>
      <c r="D2246" s="9">
        <v>42860</v>
      </c>
      <c r="E2246" t="s">
        <v>296</v>
      </c>
      <c r="I2246" s="9"/>
    </row>
    <row r="2247" spans="1:9" x14ac:dyDescent="0.25">
      <c r="A2247">
        <v>300013</v>
      </c>
      <c r="B2247">
        <v>0.23499999999999999</v>
      </c>
      <c r="C2247">
        <v>2480</v>
      </c>
      <c r="D2247" s="9">
        <v>42285</v>
      </c>
      <c r="E2247" t="s">
        <v>297</v>
      </c>
      <c r="I2247" s="9"/>
    </row>
    <row r="2248" spans="1:9" x14ac:dyDescent="0.25">
      <c r="A2248">
        <v>300013</v>
      </c>
      <c r="B2248">
        <v>0.23499999999999999</v>
      </c>
      <c r="C2248">
        <v>2500</v>
      </c>
      <c r="D2248" s="9">
        <v>42186</v>
      </c>
      <c r="E2248" t="s">
        <v>297</v>
      </c>
      <c r="I2248" s="9"/>
    </row>
    <row r="2249" spans="1:9" x14ac:dyDescent="0.25">
      <c r="A2249">
        <v>300013</v>
      </c>
      <c r="B2249">
        <v>0.25</v>
      </c>
      <c r="C2249">
        <v>2500</v>
      </c>
      <c r="D2249" s="9">
        <v>41535</v>
      </c>
      <c r="E2249" t="s">
        <v>296</v>
      </c>
      <c r="I2249" s="9"/>
    </row>
    <row r="2250" spans="1:9" x14ac:dyDescent="0.25">
      <c r="A2250">
        <v>300070</v>
      </c>
      <c r="B2250">
        <v>1.02</v>
      </c>
      <c r="C2250">
        <v>576</v>
      </c>
      <c r="D2250" s="9">
        <v>44113</v>
      </c>
      <c r="E2250" t="s">
        <v>296</v>
      </c>
      <c r="I2250" s="9"/>
    </row>
    <row r="2251" spans="1:9" x14ac:dyDescent="0.25">
      <c r="A2251">
        <v>300070</v>
      </c>
      <c r="B2251">
        <v>1.0509999999999999</v>
      </c>
      <c r="C2251">
        <v>576</v>
      </c>
      <c r="D2251" s="9">
        <v>43608</v>
      </c>
      <c r="E2251" t="s">
        <v>296</v>
      </c>
      <c r="I2251" s="9"/>
    </row>
    <row r="2252" spans="1:9" x14ac:dyDescent="0.25">
      <c r="A2252">
        <v>300070</v>
      </c>
      <c r="B2252">
        <v>3.66</v>
      </c>
      <c r="C2252">
        <v>576</v>
      </c>
      <c r="D2252" s="9">
        <v>43298</v>
      </c>
      <c r="E2252" t="s">
        <v>295</v>
      </c>
      <c r="I2252" s="9"/>
    </row>
    <row r="2253" spans="1:9" x14ac:dyDescent="0.25">
      <c r="A2253">
        <v>300070</v>
      </c>
      <c r="B2253">
        <v>0.95</v>
      </c>
      <c r="C2253">
        <v>576</v>
      </c>
      <c r="D2253" s="9">
        <v>43264</v>
      </c>
      <c r="E2253" t="s">
        <v>296</v>
      </c>
      <c r="I2253" s="9"/>
    </row>
    <row r="2254" spans="1:9" x14ac:dyDescent="0.25">
      <c r="A2254">
        <v>300070</v>
      </c>
      <c r="B2254">
        <v>0.91</v>
      </c>
      <c r="C2254">
        <v>576</v>
      </c>
      <c r="D2254" s="9">
        <v>42912</v>
      </c>
      <c r="E2254" t="s">
        <v>296</v>
      </c>
      <c r="I2254" s="9"/>
    </row>
    <row r="2255" spans="1:9" x14ac:dyDescent="0.25">
      <c r="A2255">
        <v>300070</v>
      </c>
      <c r="B2255">
        <v>1.0509999999999999</v>
      </c>
      <c r="C2255">
        <v>1008</v>
      </c>
      <c r="D2255" s="9">
        <v>41821</v>
      </c>
      <c r="E2255" t="s">
        <v>296</v>
      </c>
      <c r="I2255" s="9"/>
    </row>
    <row r="2256" spans="1:9" x14ac:dyDescent="0.25">
      <c r="A2256">
        <v>300070</v>
      </c>
      <c r="B2256">
        <v>3.23</v>
      </c>
      <c r="C2256">
        <v>1008</v>
      </c>
      <c r="D2256" s="9">
        <v>41821</v>
      </c>
      <c r="E2256" t="s">
        <v>295</v>
      </c>
      <c r="I2256" s="9"/>
    </row>
    <row r="2257" spans="1:9" x14ac:dyDescent="0.25">
      <c r="A2257">
        <v>300070</v>
      </c>
      <c r="B2257">
        <v>0.85</v>
      </c>
      <c r="C2257">
        <v>1008</v>
      </c>
      <c r="D2257" s="9">
        <v>41765</v>
      </c>
      <c r="E2257" t="s">
        <v>296</v>
      </c>
      <c r="I2257" s="9"/>
    </row>
    <row r="2258" spans="1:9" x14ac:dyDescent="0.25">
      <c r="A2258">
        <v>300070</v>
      </c>
      <c r="B2258">
        <v>1.02</v>
      </c>
      <c r="C2258">
        <v>1008</v>
      </c>
      <c r="D2258" s="9">
        <v>41418</v>
      </c>
      <c r="E2258" t="s">
        <v>296</v>
      </c>
      <c r="I2258" s="9"/>
    </row>
    <row r="2259" spans="1:9" x14ac:dyDescent="0.25">
      <c r="A2259">
        <v>300070</v>
      </c>
      <c r="B2259">
        <v>1.02</v>
      </c>
      <c r="C2259">
        <v>1008</v>
      </c>
      <c r="D2259" s="9">
        <v>41295</v>
      </c>
      <c r="E2259" t="s">
        <v>296</v>
      </c>
      <c r="I2259" s="9"/>
    </row>
    <row r="2260" spans="1:9" x14ac:dyDescent="0.25">
      <c r="A2260">
        <v>300072</v>
      </c>
      <c r="B2260">
        <v>1.02</v>
      </c>
      <c r="C2260">
        <v>320</v>
      </c>
      <c r="D2260" s="9">
        <v>44005</v>
      </c>
      <c r="E2260" t="s">
        <v>296</v>
      </c>
      <c r="I2260" s="9"/>
    </row>
    <row r="2261" spans="1:9" x14ac:dyDescent="0.25">
      <c r="A2261">
        <v>300090</v>
      </c>
      <c r="B2261">
        <v>1.08</v>
      </c>
      <c r="C2261">
        <v>480</v>
      </c>
      <c r="D2261" s="9">
        <v>43972</v>
      </c>
      <c r="E2261" t="s">
        <v>296</v>
      </c>
      <c r="I2261" s="9"/>
    </row>
    <row r="2262" spans="1:9" x14ac:dyDescent="0.25">
      <c r="A2262">
        <v>300090</v>
      </c>
      <c r="B2262">
        <v>1</v>
      </c>
      <c r="C2262">
        <v>780</v>
      </c>
      <c r="D2262" s="9">
        <v>43608</v>
      </c>
      <c r="E2262" t="s">
        <v>296</v>
      </c>
      <c r="I2262" s="9"/>
    </row>
    <row r="2263" spans="1:9" x14ac:dyDescent="0.25">
      <c r="A2263">
        <v>300090</v>
      </c>
      <c r="B2263">
        <v>1</v>
      </c>
      <c r="C2263">
        <v>780</v>
      </c>
      <c r="D2263" s="9">
        <v>43244</v>
      </c>
      <c r="E2263" t="s">
        <v>296</v>
      </c>
      <c r="I2263" s="9"/>
    </row>
    <row r="2264" spans="1:9" x14ac:dyDescent="0.25">
      <c r="A2264">
        <v>300090</v>
      </c>
      <c r="B2264">
        <v>1</v>
      </c>
      <c r="C2264">
        <v>780</v>
      </c>
      <c r="D2264" s="9">
        <v>42860</v>
      </c>
      <c r="E2264" t="s">
        <v>296</v>
      </c>
      <c r="I2264" s="9"/>
    </row>
    <row r="2265" spans="1:9" x14ac:dyDescent="0.25">
      <c r="A2265">
        <v>300090</v>
      </c>
      <c r="B2265">
        <v>1</v>
      </c>
      <c r="C2265">
        <v>576</v>
      </c>
      <c r="D2265" s="9">
        <v>42510</v>
      </c>
      <c r="E2265" t="s">
        <v>296</v>
      </c>
      <c r="I2265" s="9"/>
    </row>
    <row r="2266" spans="1:9" x14ac:dyDescent="0.25">
      <c r="A2266">
        <v>300090</v>
      </c>
      <c r="B2266">
        <v>1.02</v>
      </c>
      <c r="C2266">
        <v>576</v>
      </c>
      <c r="D2266" s="9">
        <v>42207</v>
      </c>
      <c r="E2266" t="s">
        <v>296</v>
      </c>
      <c r="I2266" s="9"/>
    </row>
    <row r="2267" spans="1:9" x14ac:dyDescent="0.25">
      <c r="A2267">
        <v>300090</v>
      </c>
      <c r="B2267">
        <v>1.405</v>
      </c>
      <c r="C2267">
        <v>768</v>
      </c>
      <c r="D2267" s="9">
        <v>41418</v>
      </c>
      <c r="E2267" t="s">
        <v>296</v>
      </c>
      <c r="I2267" s="9"/>
    </row>
    <row r="2268" spans="1:9" x14ac:dyDescent="0.25">
      <c r="A2268">
        <v>300090</v>
      </c>
      <c r="B2268">
        <v>1.405</v>
      </c>
      <c r="C2268">
        <v>960</v>
      </c>
      <c r="D2268" s="9">
        <v>41295</v>
      </c>
      <c r="E2268" t="s">
        <v>296</v>
      </c>
      <c r="I2268" s="9"/>
    </row>
    <row r="2269" spans="1:9" x14ac:dyDescent="0.25">
      <c r="A2269">
        <v>300092</v>
      </c>
      <c r="B2269">
        <v>1.4</v>
      </c>
      <c r="C2269">
        <v>300</v>
      </c>
      <c r="D2269" s="9">
        <v>44005</v>
      </c>
      <c r="E2269" t="s">
        <v>296</v>
      </c>
      <c r="I2269" s="9"/>
    </row>
    <row r="2270" spans="1:9" x14ac:dyDescent="0.25">
      <c r="A2270">
        <v>300110</v>
      </c>
      <c r="B2270">
        <v>1.45</v>
      </c>
      <c r="C2270">
        <v>504</v>
      </c>
      <c r="D2270" s="9">
        <v>44113</v>
      </c>
      <c r="E2270" t="s">
        <v>296</v>
      </c>
      <c r="I2270" s="9"/>
    </row>
    <row r="2271" spans="1:9" x14ac:dyDescent="0.25">
      <c r="A2271">
        <v>300110</v>
      </c>
      <c r="B2271">
        <v>1.4</v>
      </c>
      <c r="C2271">
        <v>504</v>
      </c>
      <c r="D2271" s="9">
        <v>43972</v>
      </c>
      <c r="E2271" t="s">
        <v>296</v>
      </c>
      <c r="I2271" s="9"/>
    </row>
    <row r="2272" spans="1:9" x14ac:dyDescent="0.25">
      <c r="A2272">
        <v>300110</v>
      </c>
      <c r="B2272">
        <v>1.32</v>
      </c>
      <c r="C2272">
        <v>600</v>
      </c>
      <c r="D2272" s="9">
        <v>43608</v>
      </c>
      <c r="E2272" t="s">
        <v>296</v>
      </c>
      <c r="I2272" s="9"/>
    </row>
    <row r="2273" spans="1:9" x14ac:dyDescent="0.25">
      <c r="A2273">
        <v>300110</v>
      </c>
      <c r="B2273">
        <v>1.32</v>
      </c>
      <c r="C2273">
        <v>600</v>
      </c>
      <c r="D2273" s="9">
        <v>43244</v>
      </c>
      <c r="E2273" t="s">
        <v>296</v>
      </c>
      <c r="I2273" s="9"/>
    </row>
    <row r="2274" spans="1:9" x14ac:dyDescent="0.25">
      <c r="A2274">
        <v>300110</v>
      </c>
      <c r="B2274">
        <v>1.32</v>
      </c>
      <c r="C2274">
        <v>576</v>
      </c>
      <c r="D2274" s="9">
        <v>42860</v>
      </c>
      <c r="E2274" t="s">
        <v>296</v>
      </c>
      <c r="I2274" s="9"/>
    </row>
    <row r="2275" spans="1:9" x14ac:dyDescent="0.25">
      <c r="A2275">
        <v>300110</v>
      </c>
      <c r="B2275">
        <v>1.35</v>
      </c>
      <c r="C2275">
        <v>432</v>
      </c>
      <c r="D2275" s="9">
        <v>42510</v>
      </c>
      <c r="E2275" t="s">
        <v>296</v>
      </c>
      <c r="I2275" s="9"/>
    </row>
    <row r="2276" spans="1:9" x14ac:dyDescent="0.25">
      <c r="A2276">
        <v>300110</v>
      </c>
      <c r="B2276">
        <v>1.39</v>
      </c>
      <c r="C2276">
        <v>432</v>
      </c>
      <c r="D2276" s="9">
        <v>42383</v>
      </c>
      <c r="E2276" t="s">
        <v>296</v>
      </c>
      <c r="I2276" s="9"/>
    </row>
    <row r="2277" spans="1:9" x14ac:dyDescent="0.25">
      <c r="A2277">
        <v>300110</v>
      </c>
      <c r="B2277">
        <v>1.39</v>
      </c>
      <c r="C2277">
        <v>432</v>
      </c>
      <c r="D2277" s="9">
        <v>42207</v>
      </c>
      <c r="E2277" t="s">
        <v>296</v>
      </c>
      <c r="I2277" s="9"/>
    </row>
    <row r="2278" spans="1:9" x14ac:dyDescent="0.25">
      <c r="A2278">
        <v>300110</v>
      </c>
      <c r="B2278">
        <v>1.9</v>
      </c>
      <c r="C2278">
        <v>576</v>
      </c>
      <c r="D2278" s="9">
        <v>41821</v>
      </c>
      <c r="E2278" t="s">
        <v>296</v>
      </c>
      <c r="I2278" s="9"/>
    </row>
    <row r="2279" spans="1:9" x14ac:dyDescent="0.25">
      <c r="A2279">
        <v>300110</v>
      </c>
      <c r="B2279">
        <v>5.83</v>
      </c>
      <c r="C2279">
        <v>576</v>
      </c>
      <c r="D2279" s="9">
        <v>41821</v>
      </c>
      <c r="E2279" t="s">
        <v>295</v>
      </c>
      <c r="I2279" s="9"/>
    </row>
    <row r="2280" spans="1:9" x14ac:dyDescent="0.25">
      <c r="A2280">
        <v>300110</v>
      </c>
      <c r="B2280">
        <v>1.9</v>
      </c>
      <c r="C2280">
        <v>576</v>
      </c>
      <c r="D2280" s="9">
        <v>41744</v>
      </c>
      <c r="E2280" t="s">
        <v>296</v>
      </c>
      <c r="I2280" s="9"/>
    </row>
    <row r="2281" spans="1:9" x14ac:dyDescent="0.25">
      <c r="A2281">
        <v>300110</v>
      </c>
      <c r="B2281">
        <v>1.9</v>
      </c>
      <c r="C2281">
        <v>792</v>
      </c>
      <c r="D2281" s="9">
        <v>41418</v>
      </c>
      <c r="E2281" t="s">
        <v>296</v>
      </c>
      <c r="I2281" s="9"/>
    </row>
    <row r="2282" spans="1:9" x14ac:dyDescent="0.25">
      <c r="A2282">
        <v>300110</v>
      </c>
      <c r="B2282">
        <v>1.9</v>
      </c>
      <c r="C2282">
        <v>1080</v>
      </c>
      <c r="D2282" s="9">
        <v>41295</v>
      </c>
      <c r="E2282" t="s">
        <v>296</v>
      </c>
      <c r="I2282" s="9"/>
    </row>
    <row r="2283" spans="1:9" x14ac:dyDescent="0.25">
      <c r="A2283">
        <v>300112</v>
      </c>
      <c r="B2283">
        <v>1.86</v>
      </c>
      <c r="C2283">
        <v>240</v>
      </c>
      <c r="D2283" s="9">
        <v>44005</v>
      </c>
      <c r="E2283" t="s">
        <v>296</v>
      </c>
      <c r="I2283" s="9"/>
    </row>
    <row r="2284" spans="1:9" x14ac:dyDescent="0.25">
      <c r="A2284">
        <v>300130</v>
      </c>
      <c r="B2284">
        <v>1.92</v>
      </c>
      <c r="C2284">
        <v>432</v>
      </c>
      <c r="D2284" s="9">
        <v>44113</v>
      </c>
      <c r="E2284" t="s">
        <v>296</v>
      </c>
      <c r="I2284" s="9"/>
    </row>
    <row r="2285" spans="1:9" x14ac:dyDescent="0.25">
      <c r="A2285">
        <v>300130</v>
      </c>
      <c r="B2285">
        <v>1.85</v>
      </c>
      <c r="C2285">
        <v>432</v>
      </c>
      <c r="D2285" s="9">
        <v>43972</v>
      </c>
      <c r="E2285" t="s">
        <v>296</v>
      </c>
      <c r="I2285" s="9"/>
    </row>
    <row r="2286" spans="1:9" x14ac:dyDescent="0.25">
      <c r="A2286">
        <v>300130</v>
      </c>
      <c r="B2286">
        <v>1.75</v>
      </c>
      <c r="C2286">
        <v>432</v>
      </c>
      <c r="D2286" s="9">
        <v>43608</v>
      </c>
      <c r="E2286" t="s">
        <v>296</v>
      </c>
      <c r="I2286" s="9"/>
    </row>
    <row r="2287" spans="1:9" x14ac:dyDescent="0.25">
      <c r="A2287">
        <v>300130</v>
      </c>
      <c r="B2287">
        <v>1.75</v>
      </c>
      <c r="C2287">
        <v>432</v>
      </c>
      <c r="D2287" s="9">
        <v>43244</v>
      </c>
      <c r="E2287" t="s">
        <v>296</v>
      </c>
      <c r="I2287" s="9"/>
    </row>
    <row r="2288" spans="1:9" x14ac:dyDescent="0.25">
      <c r="A2288">
        <v>300130</v>
      </c>
      <c r="B2288">
        <v>1.75</v>
      </c>
      <c r="C2288">
        <v>432</v>
      </c>
      <c r="D2288" s="9">
        <v>42860</v>
      </c>
      <c r="E2288" t="s">
        <v>296</v>
      </c>
      <c r="I2288" s="9"/>
    </row>
    <row r="2289" spans="1:9" x14ac:dyDescent="0.25">
      <c r="A2289">
        <v>300130</v>
      </c>
      <c r="B2289">
        <v>1.81</v>
      </c>
      <c r="C2289">
        <v>384</v>
      </c>
      <c r="D2289" s="9">
        <v>42510</v>
      </c>
      <c r="E2289" t="s">
        <v>296</v>
      </c>
      <c r="I2289" s="9"/>
    </row>
    <row r="2290" spans="1:9" x14ac:dyDescent="0.25">
      <c r="A2290">
        <v>300130</v>
      </c>
      <c r="B2290">
        <v>1.86</v>
      </c>
      <c r="C2290">
        <v>384</v>
      </c>
      <c r="D2290" s="9">
        <v>42207</v>
      </c>
      <c r="E2290" t="s">
        <v>296</v>
      </c>
      <c r="I2290" s="9"/>
    </row>
    <row r="2291" spans="1:9" x14ac:dyDescent="0.25">
      <c r="A2291">
        <v>300130</v>
      </c>
      <c r="B2291">
        <v>7.14</v>
      </c>
      <c r="C2291">
        <v>480</v>
      </c>
      <c r="D2291" s="9">
        <v>41821</v>
      </c>
      <c r="E2291" t="s">
        <v>295</v>
      </c>
      <c r="I2291" s="9"/>
    </row>
    <row r="2292" spans="1:9" x14ac:dyDescent="0.25">
      <c r="A2292">
        <v>300130</v>
      </c>
      <c r="B2292">
        <v>2.3250000000000002</v>
      </c>
      <c r="C2292">
        <v>480</v>
      </c>
      <c r="D2292" s="9">
        <v>41821</v>
      </c>
      <c r="E2292" t="s">
        <v>296</v>
      </c>
      <c r="I2292" s="9"/>
    </row>
    <row r="2293" spans="1:9" x14ac:dyDescent="0.25">
      <c r="A2293">
        <v>300130</v>
      </c>
      <c r="B2293">
        <v>2.3250000000000002</v>
      </c>
      <c r="C2293">
        <v>576</v>
      </c>
      <c r="D2293" s="9">
        <v>41744</v>
      </c>
      <c r="E2293" t="s">
        <v>296</v>
      </c>
      <c r="I2293" s="9"/>
    </row>
    <row r="2294" spans="1:9" x14ac:dyDescent="0.25">
      <c r="A2294">
        <v>300130</v>
      </c>
      <c r="B2294">
        <v>2.3250000000000002</v>
      </c>
      <c r="C2294">
        <v>480</v>
      </c>
      <c r="D2294" s="9">
        <v>41418</v>
      </c>
      <c r="E2294" t="s">
        <v>296</v>
      </c>
      <c r="I2294" s="9"/>
    </row>
    <row r="2295" spans="1:9" x14ac:dyDescent="0.25">
      <c r="A2295">
        <v>300130</v>
      </c>
      <c r="B2295">
        <v>2.3250000000000002</v>
      </c>
      <c r="C2295">
        <v>768</v>
      </c>
      <c r="D2295" s="9">
        <v>41295</v>
      </c>
      <c r="E2295" t="s">
        <v>296</v>
      </c>
      <c r="I2295" s="9"/>
    </row>
    <row r="2296" spans="1:9" x14ac:dyDescent="0.25">
      <c r="A2296">
        <v>300132</v>
      </c>
      <c r="B2296">
        <v>2.67</v>
      </c>
      <c r="C2296">
        <v>144</v>
      </c>
      <c r="D2296" s="9">
        <v>44005</v>
      </c>
      <c r="E2296" t="s">
        <v>296</v>
      </c>
      <c r="I2296" s="9"/>
    </row>
    <row r="2297" spans="1:9" x14ac:dyDescent="0.25">
      <c r="A2297">
        <v>300380</v>
      </c>
      <c r="B2297">
        <v>1.33</v>
      </c>
      <c r="C2297">
        <v>576</v>
      </c>
      <c r="D2297" s="9">
        <v>44131</v>
      </c>
      <c r="E2297" t="s">
        <v>296</v>
      </c>
      <c r="I2297" s="9"/>
    </row>
    <row r="2298" spans="1:9" x14ac:dyDescent="0.25">
      <c r="A2298">
        <v>300380</v>
      </c>
      <c r="B2298">
        <v>1.33</v>
      </c>
      <c r="C2298">
        <v>576</v>
      </c>
      <c r="D2298" s="9">
        <v>43972</v>
      </c>
      <c r="E2298" t="s">
        <v>296</v>
      </c>
      <c r="I2298" s="9"/>
    </row>
    <row r="2299" spans="1:9" x14ac:dyDescent="0.25">
      <c r="A2299">
        <v>300380</v>
      </c>
      <c r="B2299">
        <v>1.33</v>
      </c>
      <c r="C2299">
        <v>576</v>
      </c>
      <c r="D2299" s="9">
        <v>43686</v>
      </c>
      <c r="E2299" t="s">
        <v>296</v>
      </c>
      <c r="I2299" s="9"/>
    </row>
    <row r="2300" spans="1:9" x14ac:dyDescent="0.25">
      <c r="A2300">
        <v>300380</v>
      </c>
      <c r="B2300">
        <v>5.19</v>
      </c>
      <c r="C2300">
        <v>576</v>
      </c>
      <c r="D2300" s="9">
        <v>43298</v>
      </c>
      <c r="E2300" t="s">
        <v>295</v>
      </c>
      <c r="I2300" s="9"/>
    </row>
    <row r="2301" spans="1:9" x14ac:dyDescent="0.25">
      <c r="A2301">
        <v>300380</v>
      </c>
      <c r="B2301">
        <v>1.33</v>
      </c>
      <c r="C2301">
        <v>576</v>
      </c>
      <c r="D2301" s="9">
        <v>43264</v>
      </c>
      <c r="E2301" t="s">
        <v>296</v>
      </c>
      <c r="I2301" s="9"/>
    </row>
    <row r="2302" spans="1:9" x14ac:dyDescent="0.25">
      <c r="A2302">
        <v>300380</v>
      </c>
      <c r="B2302">
        <v>1.26</v>
      </c>
      <c r="C2302">
        <v>576</v>
      </c>
      <c r="D2302" s="9">
        <v>43063</v>
      </c>
      <c r="E2302" t="s">
        <v>296</v>
      </c>
      <c r="I2302" s="9"/>
    </row>
    <row r="2303" spans="1:9" x14ac:dyDescent="0.25">
      <c r="A2303">
        <v>300380</v>
      </c>
      <c r="B2303">
        <v>1.2</v>
      </c>
      <c r="C2303">
        <v>672</v>
      </c>
      <c r="D2303" s="9">
        <v>42912</v>
      </c>
      <c r="E2303" t="s">
        <v>296</v>
      </c>
      <c r="I2303" s="9"/>
    </row>
    <row r="2304" spans="1:9" x14ac:dyDescent="0.25">
      <c r="A2304">
        <v>300380</v>
      </c>
      <c r="B2304">
        <v>1.1499999999999999</v>
      </c>
      <c r="C2304">
        <v>672</v>
      </c>
      <c r="D2304" s="9">
        <v>42617</v>
      </c>
      <c r="E2304" t="s">
        <v>296</v>
      </c>
      <c r="I2304" s="9"/>
    </row>
    <row r="2305" spans="1:9" x14ac:dyDescent="0.25">
      <c r="A2305">
        <v>300380</v>
      </c>
      <c r="B2305">
        <v>1.1499999999999999</v>
      </c>
      <c r="C2305">
        <v>672</v>
      </c>
      <c r="D2305" s="9">
        <v>42321</v>
      </c>
      <c r="E2305" t="s">
        <v>296</v>
      </c>
      <c r="I2305" s="9"/>
    </row>
    <row r="2306" spans="1:9" x14ac:dyDescent="0.25">
      <c r="A2306">
        <v>300380</v>
      </c>
      <c r="B2306">
        <v>1.52</v>
      </c>
      <c r="C2306">
        <v>768</v>
      </c>
      <c r="D2306" s="9">
        <v>42040</v>
      </c>
      <c r="E2306" t="s">
        <v>296</v>
      </c>
      <c r="I2306" s="9"/>
    </row>
    <row r="2307" spans="1:9" x14ac:dyDescent="0.25">
      <c r="A2307">
        <v>300380</v>
      </c>
      <c r="B2307">
        <v>1.18</v>
      </c>
      <c r="C2307">
        <v>1008</v>
      </c>
      <c r="D2307" s="9">
        <v>41558</v>
      </c>
      <c r="E2307" t="s">
        <v>296</v>
      </c>
      <c r="I2307" s="9"/>
    </row>
    <row r="2308" spans="1:9" x14ac:dyDescent="0.25">
      <c r="A2308">
        <v>300380</v>
      </c>
      <c r="B2308">
        <v>2.1150000000000002</v>
      </c>
      <c r="C2308">
        <v>576</v>
      </c>
      <c r="D2308" s="9">
        <v>41362</v>
      </c>
      <c r="E2308" t="s">
        <v>296</v>
      </c>
      <c r="I2308" s="9"/>
    </row>
    <row r="2309" spans="1:9" x14ac:dyDescent="0.25">
      <c r="A2309">
        <v>300400</v>
      </c>
      <c r="B2309">
        <v>1.85</v>
      </c>
      <c r="C2309">
        <v>432</v>
      </c>
      <c r="D2309" s="9">
        <v>44062</v>
      </c>
      <c r="E2309" t="s">
        <v>296</v>
      </c>
      <c r="I2309" s="9"/>
    </row>
    <row r="2310" spans="1:9" x14ac:dyDescent="0.25">
      <c r="A2310">
        <v>300400</v>
      </c>
      <c r="B2310">
        <v>1.85</v>
      </c>
      <c r="C2310">
        <v>432</v>
      </c>
      <c r="D2310" s="9">
        <v>43972</v>
      </c>
      <c r="E2310" t="s">
        <v>296</v>
      </c>
      <c r="I2310" s="9"/>
    </row>
    <row r="2311" spans="1:9" x14ac:dyDescent="0.25">
      <c r="A2311">
        <v>300400</v>
      </c>
      <c r="B2311">
        <v>1.85</v>
      </c>
      <c r="C2311">
        <v>432</v>
      </c>
      <c r="D2311" s="9">
        <v>43686</v>
      </c>
      <c r="E2311" t="s">
        <v>296</v>
      </c>
      <c r="I2311" s="9"/>
    </row>
    <row r="2312" spans="1:9" x14ac:dyDescent="0.25">
      <c r="A2312">
        <v>300400</v>
      </c>
      <c r="B2312">
        <v>1.85</v>
      </c>
      <c r="C2312">
        <v>432</v>
      </c>
      <c r="D2312" s="9">
        <v>43483</v>
      </c>
      <c r="E2312" t="s">
        <v>296</v>
      </c>
      <c r="I2312" s="9"/>
    </row>
    <row r="2313" spans="1:9" x14ac:dyDescent="0.25">
      <c r="A2313">
        <v>300400</v>
      </c>
      <c r="B2313">
        <v>7.2</v>
      </c>
      <c r="C2313">
        <v>432</v>
      </c>
      <c r="D2313" s="9">
        <v>43298</v>
      </c>
      <c r="E2313" t="s">
        <v>295</v>
      </c>
      <c r="I2313" s="9"/>
    </row>
    <row r="2314" spans="1:9" x14ac:dyDescent="0.25">
      <c r="A2314">
        <v>300400</v>
      </c>
      <c r="B2314">
        <v>1.85</v>
      </c>
      <c r="C2314">
        <v>432</v>
      </c>
      <c r="D2314" s="9">
        <v>43264</v>
      </c>
      <c r="E2314" t="s">
        <v>296</v>
      </c>
      <c r="I2314" s="9"/>
    </row>
    <row r="2315" spans="1:9" x14ac:dyDescent="0.25">
      <c r="A2315">
        <v>300400</v>
      </c>
      <c r="B2315">
        <v>1.8</v>
      </c>
      <c r="C2315">
        <v>432</v>
      </c>
      <c r="D2315" s="9">
        <v>43063</v>
      </c>
      <c r="E2315" t="s">
        <v>296</v>
      </c>
      <c r="I2315" s="9"/>
    </row>
    <row r="2316" spans="1:9" x14ac:dyDescent="0.25">
      <c r="A2316">
        <v>300400</v>
      </c>
      <c r="B2316">
        <v>1.7</v>
      </c>
      <c r="C2316">
        <v>432</v>
      </c>
      <c r="D2316" s="9">
        <v>42912</v>
      </c>
      <c r="E2316" t="s">
        <v>296</v>
      </c>
      <c r="I2316" s="9"/>
    </row>
    <row r="2317" spans="1:9" x14ac:dyDescent="0.25">
      <c r="A2317">
        <v>300400</v>
      </c>
      <c r="B2317">
        <v>1.6</v>
      </c>
      <c r="C2317">
        <v>432</v>
      </c>
      <c r="D2317" s="9">
        <v>42617</v>
      </c>
      <c r="E2317" t="s">
        <v>296</v>
      </c>
      <c r="I2317" s="9"/>
    </row>
    <row r="2318" spans="1:9" x14ac:dyDescent="0.25">
      <c r="A2318">
        <v>300400</v>
      </c>
      <c r="B2318">
        <v>1.6</v>
      </c>
      <c r="C2318">
        <v>432</v>
      </c>
      <c r="D2318" s="9">
        <v>42321</v>
      </c>
      <c r="E2318" t="s">
        <v>296</v>
      </c>
      <c r="I2318" s="9"/>
    </row>
    <row r="2319" spans="1:9" x14ac:dyDescent="0.25">
      <c r="A2319">
        <v>300400</v>
      </c>
      <c r="B2319">
        <v>1.849</v>
      </c>
      <c r="C2319">
        <v>576</v>
      </c>
      <c r="D2319" s="9">
        <v>42040</v>
      </c>
      <c r="E2319" t="s">
        <v>296</v>
      </c>
      <c r="I2319" s="9"/>
    </row>
    <row r="2320" spans="1:9" x14ac:dyDescent="0.25">
      <c r="A2320">
        <v>300400</v>
      </c>
      <c r="B2320">
        <v>1.849</v>
      </c>
      <c r="C2320">
        <v>576</v>
      </c>
      <c r="D2320" s="9">
        <v>41744</v>
      </c>
      <c r="E2320" t="s">
        <v>296</v>
      </c>
      <c r="I2320" s="9"/>
    </row>
    <row r="2321" spans="1:9" x14ac:dyDescent="0.25">
      <c r="A2321">
        <v>300400</v>
      </c>
      <c r="B2321">
        <v>1.8129999999999999</v>
      </c>
      <c r="C2321">
        <v>576</v>
      </c>
      <c r="D2321" s="9">
        <v>41418</v>
      </c>
      <c r="E2321" t="s">
        <v>296</v>
      </c>
      <c r="I2321" s="9"/>
    </row>
    <row r="2322" spans="1:9" x14ac:dyDescent="0.25">
      <c r="A2322">
        <v>300400</v>
      </c>
      <c r="B2322">
        <v>1.8129999999999999</v>
      </c>
      <c r="C2322">
        <v>648</v>
      </c>
      <c r="D2322" s="9">
        <v>41295</v>
      </c>
      <c r="E2322" t="s">
        <v>296</v>
      </c>
      <c r="I2322" s="9"/>
    </row>
    <row r="2323" spans="1:9" x14ac:dyDescent="0.25">
      <c r="A2323">
        <v>300420</v>
      </c>
      <c r="B2323">
        <v>2.35</v>
      </c>
      <c r="C2323">
        <v>288</v>
      </c>
      <c r="D2323" s="9">
        <v>44062</v>
      </c>
      <c r="E2323" t="s">
        <v>296</v>
      </c>
      <c r="I2323" s="9"/>
    </row>
    <row r="2324" spans="1:9" x14ac:dyDescent="0.25">
      <c r="A2324">
        <v>300420</v>
      </c>
      <c r="B2324">
        <v>2.35</v>
      </c>
      <c r="C2324">
        <v>288</v>
      </c>
      <c r="D2324" s="9">
        <v>43972</v>
      </c>
      <c r="E2324" t="s">
        <v>296</v>
      </c>
      <c r="I2324" s="9"/>
    </row>
    <row r="2325" spans="1:9" x14ac:dyDescent="0.25">
      <c r="A2325">
        <v>300420</v>
      </c>
      <c r="B2325">
        <v>2.35</v>
      </c>
      <c r="C2325">
        <v>288</v>
      </c>
      <c r="D2325" s="9">
        <v>43686</v>
      </c>
      <c r="E2325" t="s">
        <v>296</v>
      </c>
      <c r="I2325" s="9"/>
    </row>
    <row r="2326" spans="1:9" x14ac:dyDescent="0.25">
      <c r="A2326">
        <v>300420</v>
      </c>
      <c r="B2326">
        <v>2.35</v>
      </c>
      <c r="C2326">
        <v>288</v>
      </c>
      <c r="D2326" s="9">
        <v>43483</v>
      </c>
      <c r="E2326" t="s">
        <v>296</v>
      </c>
      <c r="I2326" s="9"/>
    </row>
    <row r="2327" spans="1:9" x14ac:dyDescent="0.25">
      <c r="A2327">
        <v>300420</v>
      </c>
      <c r="B2327">
        <v>9.2200000000000006</v>
      </c>
      <c r="C2327">
        <v>288</v>
      </c>
      <c r="D2327" s="9">
        <v>43298</v>
      </c>
      <c r="E2327" t="s">
        <v>295</v>
      </c>
      <c r="I2327" s="9"/>
    </row>
    <row r="2328" spans="1:9" x14ac:dyDescent="0.25">
      <c r="A2328">
        <v>300420</v>
      </c>
      <c r="B2328">
        <v>2.35</v>
      </c>
      <c r="C2328">
        <v>288</v>
      </c>
      <c r="D2328" s="9">
        <v>43264</v>
      </c>
      <c r="E2328" t="s">
        <v>296</v>
      </c>
      <c r="I2328" s="9"/>
    </row>
    <row r="2329" spans="1:9" x14ac:dyDescent="0.25">
      <c r="A2329">
        <v>300420</v>
      </c>
      <c r="B2329">
        <v>2.35</v>
      </c>
      <c r="C2329">
        <v>288</v>
      </c>
      <c r="D2329" s="9">
        <v>43063</v>
      </c>
      <c r="E2329" t="s">
        <v>296</v>
      </c>
      <c r="I2329" s="9"/>
    </row>
    <row r="2330" spans="1:9" x14ac:dyDescent="0.25">
      <c r="A2330">
        <v>300420</v>
      </c>
      <c r="B2330">
        <v>2.25</v>
      </c>
      <c r="C2330">
        <v>288</v>
      </c>
      <c r="D2330" s="9">
        <v>42912</v>
      </c>
      <c r="E2330" t="s">
        <v>296</v>
      </c>
      <c r="I2330" s="9"/>
    </row>
    <row r="2331" spans="1:9" x14ac:dyDescent="0.25">
      <c r="A2331">
        <v>300420</v>
      </c>
      <c r="B2331">
        <v>2.17</v>
      </c>
      <c r="C2331">
        <v>288</v>
      </c>
      <c r="D2331" s="9">
        <v>42617</v>
      </c>
      <c r="E2331" t="s">
        <v>296</v>
      </c>
      <c r="I2331" s="9"/>
    </row>
    <row r="2332" spans="1:9" x14ac:dyDescent="0.25">
      <c r="A2332">
        <v>300420</v>
      </c>
      <c r="B2332">
        <v>2.17</v>
      </c>
      <c r="C2332">
        <v>288</v>
      </c>
      <c r="D2332" s="9">
        <v>42321</v>
      </c>
      <c r="E2332" t="s">
        <v>296</v>
      </c>
      <c r="I2332" s="9"/>
    </row>
    <row r="2333" spans="1:9" x14ac:dyDescent="0.25">
      <c r="A2333">
        <v>300420</v>
      </c>
      <c r="B2333">
        <v>2.3250000000000002</v>
      </c>
      <c r="C2333">
        <v>384</v>
      </c>
      <c r="D2333" s="9">
        <v>42040</v>
      </c>
      <c r="E2333" t="s">
        <v>296</v>
      </c>
      <c r="I2333" s="9"/>
    </row>
    <row r="2334" spans="1:9" x14ac:dyDescent="0.25">
      <c r="A2334">
        <v>300420</v>
      </c>
      <c r="B2334">
        <v>2.3250000000000002</v>
      </c>
      <c r="C2334">
        <v>528</v>
      </c>
      <c r="D2334" s="9">
        <v>41744</v>
      </c>
      <c r="E2334" t="s">
        <v>296</v>
      </c>
      <c r="I2334" s="9"/>
    </row>
    <row r="2335" spans="1:9" x14ac:dyDescent="0.25">
      <c r="A2335">
        <v>300420</v>
      </c>
      <c r="B2335">
        <v>2.3250000000000002</v>
      </c>
      <c r="C2335">
        <v>624</v>
      </c>
      <c r="D2335" s="9">
        <v>41418</v>
      </c>
      <c r="E2335" t="s">
        <v>296</v>
      </c>
      <c r="I2335" s="9"/>
    </row>
    <row r="2336" spans="1:9" x14ac:dyDescent="0.25">
      <c r="A2336">
        <v>300420</v>
      </c>
      <c r="B2336">
        <v>2.3250000000000002</v>
      </c>
      <c r="C2336">
        <v>624</v>
      </c>
      <c r="D2336" s="9">
        <v>41295</v>
      </c>
      <c r="E2336" t="s">
        <v>296</v>
      </c>
      <c r="I2336" s="9"/>
    </row>
    <row r="2337" spans="1:9" x14ac:dyDescent="0.25">
      <c r="A2337">
        <v>300710</v>
      </c>
      <c r="B2337">
        <v>2.1</v>
      </c>
      <c r="C2337">
        <v>360</v>
      </c>
      <c r="D2337" s="9">
        <v>44062</v>
      </c>
      <c r="E2337" t="s">
        <v>296</v>
      </c>
      <c r="I2337" s="9"/>
    </row>
    <row r="2338" spans="1:9" x14ac:dyDescent="0.25">
      <c r="A2338">
        <v>300710</v>
      </c>
      <c r="B2338">
        <v>2.1</v>
      </c>
      <c r="C2338">
        <v>420</v>
      </c>
      <c r="D2338" s="9">
        <v>43648</v>
      </c>
      <c r="E2338" t="s">
        <v>296</v>
      </c>
      <c r="I2338" s="9"/>
    </row>
    <row r="2339" spans="1:9" x14ac:dyDescent="0.25">
      <c r="A2339">
        <v>300710</v>
      </c>
      <c r="B2339">
        <v>2.1</v>
      </c>
      <c r="C2339">
        <v>420</v>
      </c>
      <c r="D2339" s="9">
        <v>43438</v>
      </c>
      <c r="E2339" t="s">
        <v>296</v>
      </c>
      <c r="I2339" s="9"/>
    </row>
    <row r="2340" spans="1:9" x14ac:dyDescent="0.25">
      <c r="A2340">
        <v>300710</v>
      </c>
      <c r="B2340">
        <v>8.08</v>
      </c>
      <c r="C2340">
        <v>360</v>
      </c>
      <c r="D2340" s="9">
        <v>43298</v>
      </c>
      <c r="E2340" t="s">
        <v>295</v>
      </c>
      <c r="I2340" s="9"/>
    </row>
    <row r="2341" spans="1:9" x14ac:dyDescent="0.25">
      <c r="A2341">
        <v>300710</v>
      </c>
      <c r="B2341">
        <v>2.1</v>
      </c>
      <c r="C2341">
        <v>360</v>
      </c>
      <c r="D2341" s="9">
        <v>43264</v>
      </c>
      <c r="E2341" t="s">
        <v>296</v>
      </c>
      <c r="I2341" s="9"/>
    </row>
    <row r="2342" spans="1:9" x14ac:dyDescent="0.25">
      <c r="A2342">
        <v>300710</v>
      </c>
      <c r="B2342">
        <v>2</v>
      </c>
      <c r="C2342">
        <v>480</v>
      </c>
      <c r="D2342" s="9">
        <v>42853</v>
      </c>
      <c r="E2342" t="s">
        <v>296</v>
      </c>
      <c r="I2342" s="9"/>
    </row>
    <row r="2343" spans="1:9" x14ac:dyDescent="0.25">
      <c r="A2343">
        <v>300710</v>
      </c>
      <c r="B2343">
        <v>1.96</v>
      </c>
      <c r="C2343">
        <v>120</v>
      </c>
      <c r="D2343" s="9">
        <v>42617</v>
      </c>
      <c r="E2343" t="s">
        <v>296</v>
      </c>
      <c r="I2343" s="9"/>
    </row>
    <row r="2344" spans="1:9" x14ac:dyDescent="0.25">
      <c r="A2344">
        <v>300712</v>
      </c>
      <c r="B2344">
        <v>3.25</v>
      </c>
      <c r="C2344">
        <v>252</v>
      </c>
      <c r="D2344" s="9">
        <v>44131</v>
      </c>
      <c r="E2344" t="s">
        <v>296</v>
      </c>
      <c r="I2344" s="9"/>
    </row>
    <row r="2345" spans="1:9" x14ac:dyDescent="0.25">
      <c r="A2345">
        <v>300712</v>
      </c>
      <c r="B2345">
        <v>3.25</v>
      </c>
      <c r="C2345">
        <v>252</v>
      </c>
      <c r="D2345" s="9">
        <v>43972</v>
      </c>
      <c r="E2345" t="s">
        <v>296</v>
      </c>
      <c r="I2345" s="9"/>
    </row>
    <row r="2346" spans="1:9" x14ac:dyDescent="0.25">
      <c r="A2346">
        <v>300712</v>
      </c>
      <c r="B2346">
        <v>3.25</v>
      </c>
      <c r="C2346">
        <v>324</v>
      </c>
      <c r="D2346" s="9">
        <v>43648</v>
      </c>
      <c r="E2346" t="s">
        <v>296</v>
      </c>
      <c r="I2346" s="9"/>
    </row>
    <row r="2347" spans="1:9" x14ac:dyDescent="0.25">
      <c r="A2347">
        <v>300712</v>
      </c>
      <c r="B2347">
        <v>12.67</v>
      </c>
      <c r="C2347">
        <v>288</v>
      </c>
      <c r="D2347" s="9">
        <v>43298</v>
      </c>
      <c r="E2347" t="s">
        <v>295</v>
      </c>
      <c r="I2347" s="9"/>
    </row>
    <row r="2348" spans="1:9" x14ac:dyDescent="0.25">
      <c r="A2348">
        <v>300712</v>
      </c>
      <c r="B2348">
        <v>3.25</v>
      </c>
      <c r="C2348">
        <v>288</v>
      </c>
      <c r="D2348" s="9">
        <v>43264</v>
      </c>
      <c r="E2348" t="s">
        <v>296</v>
      </c>
      <c r="I2348" s="9"/>
    </row>
    <row r="2349" spans="1:9" x14ac:dyDescent="0.25">
      <c r="A2349">
        <v>300712</v>
      </c>
      <c r="B2349">
        <v>3.1</v>
      </c>
      <c r="C2349">
        <v>360</v>
      </c>
      <c r="D2349" s="9">
        <v>42853</v>
      </c>
      <c r="E2349" t="s">
        <v>296</v>
      </c>
      <c r="I2349" s="9"/>
    </row>
    <row r="2350" spans="1:9" x14ac:dyDescent="0.25">
      <c r="A2350">
        <v>300712</v>
      </c>
      <c r="B2350">
        <v>3.05</v>
      </c>
      <c r="C2350">
        <v>72</v>
      </c>
      <c r="D2350" s="9">
        <v>42617</v>
      </c>
      <c r="E2350" t="s">
        <v>296</v>
      </c>
      <c r="I2350" s="9"/>
    </row>
    <row r="2351" spans="1:9" x14ac:dyDescent="0.25">
      <c r="A2351">
        <v>310060</v>
      </c>
      <c r="B2351">
        <v>0.9</v>
      </c>
      <c r="C2351">
        <v>360</v>
      </c>
      <c r="D2351" s="9">
        <v>44071</v>
      </c>
      <c r="E2351" t="s">
        <v>296</v>
      </c>
      <c r="I2351" s="9"/>
    </row>
    <row r="2352" spans="1:9" x14ac:dyDescent="0.25">
      <c r="A2352">
        <v>310060</v>
      </c>
      <c r="B2352">
        <v>0.9</v>
      </c>
      <c r="C2352">
        <v>180</v>
      </c>
      <c r="D2352" s="9">
        <v>44005</v>
      </c>
      <c r="E2352" t="s">
        <v>296</v>
      </c>
      <c r="I2352" s="9"/>
    </row>
    <row r="2353" spans="1:9" x14ac:dyDescent="0.25">
      <c r="A2353">
        <v>310060</v>
      </c>
      <c r="B2353">
        <v>0.9</v>
      </c>
      <c r="C2353">
        <v>480</v>
      </c>
      <c r="D2353" s="9">
        <v>43717</v>
      </c>
      <c r="E2353" t="s">
        <v>296</v>
      </c>
      <c r="I2353" s="9"/>
    </row>
    <row r="2354" spans="1:9" x14ac:dyDescent="0.25">
      <c r="A2354">
        <v>310060</v>
      </c>
      <c r="B2354">
        <v>0.9</v>
      </c>
      <c r="C2354">
        <v>480</v>
      </c>
      <c r="D2354" s="9">
        <v>43486</v>
      </c>
      <c r="E2354" t="s">
        <v>296</v>
      </c>
      <c r="I2354" s="9"/>
    </row>
    <row r="2355" spans="1:9" x14ac:dyDescent="0.25">
      <c r="A2355">
        <v>310060</v>
      </c>
      <c r="B2355">
        <v>0.9</v>
      </c>
      <c r="C2355">
        <v>480</v>
      </c>
      <c r="D2355" s="9">
        <v>43049</v>
      </c>
      <c r="E2355" t="s">
        <v>296</v>
      </c>
      <c r="I2355" s="9"/>
    </row>
    <row r="2356" spans="1:9" x14ac:dyDescent="0.25">
      <c r="A2356">
        <v>310060</v>
      </c>
      <c r="B2356">
        <v>0.9</v>
      </c>
      <c r="C2356">
        <v>420</v>
      </c>
      <c r="D2356" s="9">
        <v>42892</v>
      </c>
      <c r="E2356" t="s">
        <v>296</v>
      </c>
      <c r="I2356" s="9"/>
    </row>
    <row r="2357" spans="1:9" x14ac:dyDescent="0.25">
      <c r="A2357">
        <v>310060</v>
      </c>
      <c r="B2357">
        <v>0.9</v>
      </c>
      <c r="C2357">
        <v>360</v>
      </c>
      <c r="D2357" s="9">
        <v>42634</v>
      </c>
      <c r="E2357" t="s">
        <v>296</v>
      </c>
      <c r="I2357" s="9"/>
    </row>
    <row r="2358" spans="1:9" x14ac:dyDescent="0.25">
      <c r="A2358">
        <v>310060</v>
      </c>
      <c r="B2358">
        <v>0.9</v>
      </c>
      <c r="C2358">
        <v>600</v>
      </c>
      <c r="D2358" s="9">
        <v>41943</v>
      </c>
      <c r="E2358" t="s">
        <v>296</v>
      </c>
      <c r="I2358" s="9"/>
    </row>
    <row r="2359" spans="1:9" x14ac:dyDescent="0.25">
      <c r="A2359">
        <v>310060</v>
      </c>
      <c r="B2359">
        <v>0.9</v>
      </c>
      <c r="C2359">
        <v>600</v>
      </c>
      <c r="D2359" s="9">
        <v>41744</v>
      </c>
      <c r="E2359" t="s">
        <v>296</v>
      </c>
      <c r="I2359" s="9"/>
    </row>
    <row r="2360" spans="1:9" x14ac:dyDescent="0.25">
      <c r="A2360">
        <v>310080</v>
      </c>
      <c r="B2360">
        <v>1.47</v>
      </c>
      <c r="C2360">
        <v>240</v>
      </c>
      <c r="D2360" s="9">
        <v>44071</v>
      </c>
      <c r="E2360" t="s">
        <v>296</v>
      </c>
      <c r="I2360" s="9"/>
    </row>
    <row r="2361" spans="1:9" x14ac:dyDescent="0.25">
      <c r="A2361">
        <v>310080</v>
      </c>
      <c r="B2361">
        <v>1.47</v>
      </c>
      <c r="C2361">
        <v>160</v>
      </c>
      <c r="D2361" s="9">
        <v>44005</v>
      </c>
      <c r="E2361" t="s">
        <v>296</v>
      </c>
      <c r="I2361" s="9"/>
    </row>
    <row r="2362" spans="1:9" x14ac:dyDescent="0.25">
      <c r="A2362">
        <v>310080</v>
      </c>
      <c r="B2362">
        <v>1.47</v>
      </c>
      <c r="C2362">
        <v>200</v>
      </c>
      <c r="D2362" s="9">
        <v>43717</v>
      </c>
      <c r="E2362" t="s">
        <v>296</v>
      </c>
      <c r="I2362" s="9"/>
    </row>
    <row r="2363" spans="1:9" x14ac:dyDescent="0.25">
      <c r="A2363">
        <v>310080</v>
      </c>
      <c r="B2363">
        <v>1.47</v>
      </c>
      <c r="C2363">
        <v>160</v>
      </c>
      <c r="D2363" s="9">
        <v>43578</v>
      </c>
      <c r="E2363" t="s">
        <v>296</v>
      </c>
      <c r="I2363" s="9"/>
    </row>
    <row r="2364" spans="1:9" x14ac:dyDescent="0.25">
      <c r="A2364">
        <v>310080</v>
      </c>
      <c r="B2364">
        <v>1.47</v>
      </c>
      <c r="C2364">
        <v>120</v>
      </c>
      <c r="D2364" s="9">
        <v>43350</v>
      </c>
      <c r="E2364" t="s">
        <v>296</v>
      </c>
      <c r="I2364" s="9"/>
    </row>
    <row r="2365" spans="1:9" x14ac:dyDescent="0.25">
      <c r="A2365">
        <v>310080</v>
      </c>
      <c r="B2365">
        <v>1.47</v>
      </c>
      <c r="C2365">
        <v>160</v>
      </c>
      <c r="D2365" s="9">
        <v>43270</v>
      </c>
      <c r="E2365" t="s">
        <v>296</v>
      </c>
      <c r="I2365" s="9"/>
    </row>
    <row r="2366" spans="1:9" x14ac:dyDescent="0.25">
      <c r="A2366">
        <v>310080</v>
      </c>
      <c r="B2366">
        <v>5</v>
      </c>
      <c r="C2366">
        <v>280</v>
      </c>
      <c r="D2366" s="9">
        <v>43234</v>
      </c>
      <c r="E2366" t="s">
        <v>295</v>
      </c>
      <c r="I2366" s="9"/>
    </row>
    <row r="2367" spans="1:9" x14ac:dyDescent="0.25">
      <c r="A2367">
        <v>310080</v>
      </c>
      <c r="B2367">
        <v>1.4</v>
      </c>
      <c r="C2367">
        <v>280</v>
      </c>
      <c r="D2367" s="9">
        <v>43049</v>
      </c>
      <c r="E2367" t="s">
        <v>296</v>
      </c>
      <c r="I2367" s="9"/>
    </row>
    <row r="2368" spans="1:9" x14ac:dyDescent="0.25">
      <c r="A2368">
        <v>310080</v>
      </c>
      <c r="B2368">
        <v>1.4</v>
      </c>
      <c r="C2368">
        <v>640</v>
      </c>
      <c r="D2368" s="9">
        <v>42844</v>
      </c>
      <c r="E2368" t="s">
        <v>296</v>
      </c>
      <c r="I2368" s="9"/>
    </row>
    <row r="2369" spans="1:9" x14ac:dyDescent="0.25">
      <c r="A2369">
        <v>310080</v>
      </c>
      <c r="B2369">
        <v>1.4</v>
      </c>
      <c r="C2369">
        <v>720</v>
      </c>
      <c r="D2369" s="9">
        <v>42136</v>
      </c>
      <c r="E2369" t="s">
        <v>296</v>
      </c>
      <c r="I2369" s="9"/>
    </row>
    <row r="2370" spans="1:9" x14ac:dyDescent="0.25">
      <c r="A2370">
        <v>310080</v>
      </c>
      <c r="B2370">
        <v>1.4</v>
      </c>
      <c r="C2370">
        <v>600</v>
      </c>
      <c r="D2370" s="9">
        <v>41943</v>
      </c>
      <c r="E2370" t="s">
        <v>296</v>
      </c>
      <c r="I2370" s="9"/>
    </row>
    <row r="2371" spans="1:9" x14ac:dyDescent="0.25">
      <c r="A2371">
        <v>310080</v>
      </c>
      <c r="B2371">
        <v>1.4</v>
      </c>
      <c r="C2371">
        <v>720</v>
      </c>
      <c r="D2371" s="9">
        <v>41744</v>
      </c>
      <c r="E2371" t="s">
        <v>296</v>
      </c>
      <c r="I2371" s="9"/>
    </row>
    <row r="2372" spans="1:9" x14ac:dyDescent="0.25">
      <c r="A2372">
        <v>310080</v>
      </c>
      <c r="B2372">
        <v>1.4</v>
      </c>
      <c r="C2372">
        <v>480</v>
      </c>
      <c r="D2372" s="9">
        <v>41479</v>
      </c>
      <c r="E2372" t="s">
        <v>296</v>
      </c>
      <c r="I2372" s="9"/>
    </row>
    <row r="2373" spans="1:9" x14ac:dyDescent="0.25">
      <c r="A2373">
        <v>310190</v>
      </c>
      <c r="B2373">
        <v>3.41</v>
      </c>
      <c r="C2373">
        <v>140</v>
      </c>
      <c r="D2373" s="9">
        <v>44071</v>
      </c>
      <c r="E2373" t="s">
        <v>296</v>
      </c>
      <c r="I2373" s="9"/>
    </row>
    <row r="2374" spans="1:9" x14ac:dyDescent="0.25">
      <c r="A2374">
        <v>310190</v>
      </c>
      <c r="B2374">
        <v>3.41</v>
      </c>
      <c r="C2374">
        <v>120</v>
      </c>
      <c r="D2374" s="9">
        <v>44005</v>
      </c>
      <c r="E2374" t="s">
        <v>296</v>
      </c>
      <c r="I2374" s="9"/>
    </row>
    <row r="2375" spans="1:9" x14ac:dyDescent="0.25">
      <c r="A2375">
        <v>310190</v>
      </c>
      <c r="B2375">
        <v>3.41</v>
      </c>
      <c r="C2375">
        <v>180</v>
      </c>
      <c r="D2375" s="9">
        <v>43717</v>
      </c>
      <c r="E2375" t="s">
        <v>296</v>
      </c>
      <c r="I2375" s="9"/>
    </row>
    <row r="2376" spans="1:9" x14ac:dyDescent="0.25">
      <c r="A2376">
        <v>310190</v>
      </c>
      <c r="B2376">
        <v>3.41</v>
      </c>
      <c r="C2376">
        <v>240</v>
      </c>
      <c r="D2376" s="9">
        <v>43486</v>
      </c>
      <c r="E2376" t="s">
        <v>296</v>
      </c>
      <c r="I2376" s="9"/>
    </row>
    <row r="2377" spans="1:9" x14ac:dyDescent="0.25">
      <c r="A2377">
        <v>310190</v>
      </c>
      <c r="B2377">
        <v>3.41</v>
      </c>
      <c r="C2377">
        <v>110</v>
      </c>
      <c r="D2377" s="9">
        <v>43350</v>
      </c>
      <c r="E2377" t="s">
        <v>296</v>
      </c>
      <c r="I2377" s="9"/>
    </row>
    <row r="2378" spans="1:9" x14ac:dyDescent="0.25">
      <c r="A2378">
        <v>310190</v>
      </c>
      <c r="B2378">
        <v>3.41</v>
      </c>
      <c r="C2378">
        <v>110</v>
      </c>
      <c r="D2378" s="9">
        <v>43270</v>
      </c>
      <c r="E2378" t="s">
        <v>296</v>
      </c>
      <c r="I2378" s="9"/>
    </row>
    <row r="2379" spans="1:9" x14ac:dyDescent="0.25">
      <c r="A2379">
        <v>310190</v>
      </c>
      <c r="B2379">
        <v>11.6</v>
      </c>
      <c r="C2379">
        <v>220</v>
      </c>
      <c r="D2379" s="9">
        <v>43234</v>
      </c>
      <c r="E2379" t="s">
        <v>295</v>
      </c>
      <c r="I2379" s="9"/>
    </row>
    <row r="2380" spans="1:9" x14ac:dyDescent="0.25">
      <c r="A2380">
        <v>310190</v>
      </c>
      <c r="B2380">
        <v>3.25</v>
      </c>
      <c r="C2380">
        <v>220</v>
      </c>
      <c r="D2380" s="9">
        <v>43049</v>
      </c>
      <c r="E2380" t="s">
        <v>296</v>
      </c>
      <c r="I2380" s="9"/>
    </row>
    <row r="2381" spans="1:9" x14ac:dyDescent="0.25">
      <c r="A2381">
        <v>310190</v>
      </c>
      <c r="B2381">
        <v>3.25</v>
      </c>
      <c r="C2381">
        <v>250</v>
      </c>
      <c r="D2381" s="9">
        <v>42892</v>
      </c>
      <c r="E2381" t="s">
        <v>296</v>
      </c>
      <c r="I2381" s="9"/>
    </row>
    <row r="2382" spans="1:9" x14ac:dyDescent="0.25">
      <c r="A2382">
        <v>310190</v>
      </c>
      <c r="B2382">
        <v>3.25</v>
      </c>
      <c r="C2382">
        <v>220</v>
      </c>
      <c r="D2382" s="9">
        <v>42844</v>
      </c>
      <c r="E2382" t="s">
        <v>296</v>
      </c>
      <c r="I2382" s="9"/>
    </row>
    <row r="2383" spans="1:9" x14ac:dyDescent="0.25">
      <c r="A2383">
        <v>310190</v>
      </c>
      <c r="B2383">
        <v>3.25</v>
      </c>
      <c r="C2383">
        <v>200</v>
      </c>
      <c r="D2383" s="9">
        <v>42634</v>
      </c>
      <c r="E2383" t="s">
        <v>296</v>
      </c>
      <c r="I2383" s="9"/>
    </row>
    <row r="2384" spans="1:9" x14ac:dyDescent="0.25">
      <c r="A2384">
        <v>310190</v>
      </c>
      <c r="B2384">
        <v>3.25</v>
      </c>
      <c r="C2384">
        <v>200</v>
      </c>
      <c r="D2384" s="9">
        <v>42472</v>
      </c>
      <c r="E2384" t="s">
        <v>296</v>
      </c>
      <c r="I2384" s="9"/>
    </row>
    <row r="2385" spans="1:9" x14ac:dyDescent="0.25">
      <c r="A2385">
        <v>310190</v>
      </c>
      <c r="B2385">
        <v>3.57</v>
      </c>
      <c r="C2385">
        <v>300</v>
      </c>
      <c r="D2385" s="9">
        <v>41943</v>
      </c>
      <c r="E2385" t="s">
        <v>296</v>
      </c>
      <c r="I2385" s="9"/>
    </row>
    <row r="2386" spans="1:9" x14ac:dyDescent="0.25">
      <c r="A2386">
        <v>310190</v>
      </c>
      <c r="B2386">
        <v>3.57</v>
      </c>
      <c r="C2386">
        <v>400</v>
      </c>
      <c r="D2386" s="9">
        <v>41744</v>
      </c>
      <c r="E2386" t="s">
        <v>296</v>
      </c>
      <c r="I2386" s="9"/>
    </row>
    <row r="2387" spans="1:9" x14ac:dyDescent="0.25">
      <c r="A2387">
        <v>310190</v>
      </c>
      <c r="B2387">
        <v>3.57</v>
      </c>
      <c r="C2387">
        <v>600</v>
      </c>
      <c r="D2387" s="9">
        <v>41479</v>
      </c>
      <c r="E2387" t="s">
        <v>296</v>
      </c>
      <c r="I2387" s="9"/>
    </row>
    <row r="2388" spans="1:9" x14ac:dyDescent="0.25">
      <c r="A2388">
        <v>310221</v>
      </c>
      <c r="B2388">
        <v>9.14</v>
      </c>
      <c r="C2388">
        <v>165</v>
      </c>
      <c r="D2388" s="9">
        <v>44005</v>
      </c>
      <c r="E2388" t="s">
        <v>296</v>
      </c>
      <c r="I2388" s="9"/>
    </row>
    <row r="2389" spans="1:9" x14ac:dyDescent="0.25">
      <c r="A2389">
        <v>310221</v>
      </c>
      <c r="B2389">
        <v>9.14</v>
      </c>
      <c r="C2389">
        <v>180</v>
      </c>
      <c r="D2389" s="9">
        <v>43717</v>
      </c>
      <c r="E2389" t="s">
        <v>296</v>
      </c>
      <c r="I2389" s="9"/>
    </row>
    <row r="2390" spans="1:9" x14ac:dyDescent="0.25">
      <c r="A2390">
        <v>310221</v>
      </c>
      <c r="B2390">
        <v>9.14</v>
      </c>
      <c r="C2390">
        <v>120</v>
      </c>
      <c r="D2390" s="9">
        <v>43578</v>
      </c>
      <c r="E2390" t="s">
        <v>296</v>
      </c>
      <c r="I2390" s="9"/>
    </row>
    <row r="2391" spans="1:9" x14ac:dyDescent="0.25">
      <c r="A2391">
        <v>310221</v>
      </c>
      <c r="B2391">
        <v>9.14</v>
      </c>
      <c r="C2391">
        <v>90</v>
      </c>
      <c r="D2391" s="9">
        <v>43350</v>
      </c>
      <c r="E2391" t="s">
        <v>296</v>
      </c>
      <c r="I2391" s="9"/>
    </row>
    <row r="2392" spans="1:9" x14ac:dyDescent="0.25">
      <c r="A2392">
        <v>310221</v>
      </c>
      <c r="B2392">
        <v>9.14</v>
      </c>
      <c r="C2392">
        <v>90</v>
      </c>
      <c r="D2392" s="9">
        <v>43270</v>
      </c>
      <c r="E2392" t="s">
        <v>296</v>
      </c>
      <c r="I2392" s="9"/>
    </row>
    <row r="2393" spans="1:9" x14ac:dyDescent="0.25">
      <c r="A2393">
        <v>310221</v>
      </c>
      <c r="B2393">
        <v>8.6999999999999993</v>
      </c>
      <c r="C2393">
        <v>180</v>
      </c>
      <c r="D2393" s="9">
        <v>42892</v>
      </c>
      <c r="E2393" t="s">
        <v>296</v>
      </c>
      <c r="I2393" s="9"/>
    </row>
    <row r="2394" spans="1:9" x14ac:dyDescent="0.25">
      <c r="A2394">
        <v>310221</v>
      </c>
      <c r="B2394">
        <v>8.6999999999999993</v>
      </c>
      <c r="C2394">
        <v>150</v>
      </c>
      <c r="D2394" s="9">
        <v>42844</v>
      </c>
      <c r="E2394" t="s">
        <v>296</v>
      </c>
      <c r="I2394" s="9"/>
    </row>
    <row r="2395" spans="1:9" x14ac:dyDescent="0.25">
      <c r="A2395">
        <v>310221</v>
      </c>
      <c r="B2395">
        <v>8.6999999999999993</v>
      </c>
      <c r="C2395">
        <v>105</v>
      </c>
      <c r="D2395" s="9">
        <v>42472</v>
      </c>
      <c r="E2395" t="s">
        <v>296</v>
      </c>
      <c r="I2395" s="9"/>
    </row>
    <row r="2396" spans="1:9" x14ac:dyDescent="0.25">
      <c r="A2396">
        <v>310221</v>
      </c>
      <c r="B2396">
        <v>9.65</v>
      </c>
      <c r="C2396">
        <v>60</v>
      </c>
      <c r="D2396" s="9">
        <v>42367</v>
      </c>
      <c r="E2396" t="s">
        <v>296</v>
      </c>
      <c r="I2396" s="9"/>
    </row>
    <row r="2397" spans="1:9" x14ac:dyDescent="0.25">
      <c r="A2397">
        <v>310221</v>
      </c>
      <c r="B2397">
        <v>9.65</v>
      </c>
      <c r="C2397">
        <v>90</v>
      </c>
      <c r="D2397" s="9">
        <v>41943</v>
      </c>
      <c r="E2397" t="s">
        <v>296</v>
      </c>
      <c r="I2397" s="9"/>
    </row>
    <row r="2398" spans="1:9" x14ac:dyDescent="0.25">
      <c r="A2398">
        <v>310221</v>
      </c>
      <c r="B2398">
        <v>9.65</v>
      </c>
      <c r="C2398">
        <v>120</v>
      </c>
      <c r="D2398" s="9">
        <v>41479</v>
      </c>
      <c r="E2398" t="s">
        <v>296</v>
      </c>
      <c r="I2398" s="9"/>
    </row>
    <row r="2399" spans="1:9" x14ac:dyDescent="0.25">
      <c r="A2399">
        <v>310222</v>
      </c>
      <c r="B2399">
        <v>0.5</v>
      </c>
      <c r="C2399">
        <v>400</v>
      </c>
      <c r="D2399" s="9">
        <v>44005</v>
      </c>
      <c r="E2399" t="s">
        <v>296</v>
      </c>
      <c r="I2399" s="9"/>
    </row>
    <row r="2400" spans="1:9" x14ac:dyDescent="0.25">
      <c r="A2400">
        <v>310222</v>
      </c>
      <c r="B2400">
        <v>0.5</v>
      </c>
      <c r="C2400">
        <v>250</v>
      </c>
      <c r="D2400" s="9">
        <v>43578</v>
      </c>
      <c r="E2400" t="s">
        <v>296</v>
      </c>
      <c r="I2400" s="9"/>
    </row>
    <row r="2401" spans="1:9" x14ac:dyDescent="0.25">
      <c r="A2401">
        <v>310222</v>
      </c>
      <c r="B2401">
        <v>1.74</v>
      </c>
      <c r="C2401">
        <v>250</v>
      </c>
      <c r="D2401" s="9">
        <v>43234</v>
      </c>
      <c r="E2401" t="s">
        <v>295</v>
      </c>
      <c r="I2401" s="9"/>
    </row>
    <row r="2402" spans="1:9" x14ac:dyDescent="0.25">
      <c r="A2402">
        <v>310222</v>
      </c>
      <c r="B2402">
        <v>0.5</v>
      </c>
      <c r="C2402">
        <v>250</v>
      </c>
      <c r="D2402" s="9">
        <v>43049</v>
      </c>
      <c r="E2402" t="s">
        <v>296</v>
      </c>
      <c r="I2402" s="9"/>
    </row>
    <row r="2403" spans="1:9" x14ac:dyDescent="0.25">
      <c r="A2403">
        <v>311180</v>
      </c>
      <c r="B2403">
        <v>3.11</v>
      </c>
      <c r="C2403">
        <v>200</v>
      </c>
      <c r="D2403" s="9">
        <v>44071</v>
      </c>
      <c r="E2403" t="s">
        <v>296</v>
      </c>
      <c r="I2403" s="9"/>
    </row>
    <row r="2404" spans="1:9" x14ac:dyDescent="0.25">
      <c r="A2404">
        <v>311180</v>
      </c>
      <c r="B2404">
        <v>3.11</v>
      </c>
      <c r="C2404">
        <v>240</v>
      </c>
      <c r="D2404" s="9">
        <v>44005</v>
      </c>
      <c r="E2404" t="s">
        <v>296</v>
      </c>
      <c r="I2404" s="9"/>
    </row>
    <row r="2405" spans="1:9" x14ac:dyDescent="0.25">
      <c r="A2405">
        <v>311180</v>
      </c>
      <c r="B2405">
        <v>3.11</v>
      </c>
      <c r="C2405">
        <v>240</v>
      </c>
      <c r="D2405" s="9">
        <v>43717</v>
      </c>
      <c r="E2405" t="s">
        <v>296</v>
      </c>
      <c r="I2405" s="9"/>
    </row>
    <row r="2406" spans="1:9" x14ac:dyDescent="0.25">
      <c r="A2406">
        <v>311180</v>
      </c>
      <c r="B2406">
        <v>3.11</v>
      </c>
      <c r="C2406">
        <v>120</v>
      </c>
      <c r="D2406" s="9">
        <v>43578</v>
      </c>
      <c r="E2406" t="s">
        <v>296</v>
      </c>
      <c r="I2406" s="9"/>
    </row>
    <row r="2407" spans="1:9" x14ac:dyDescent="0.25">
      <c r="A2407">
        <v>311180</v>
      </c>
      <c r="B2407">
        <v>3.11</v>
      </c>
      <c r="C2407">
        <v>120</v>
      </c>
      <c r="D2407" s="9">
        <v>43350</v>
      </c>
      <c r="E2407" t="s">
        <v>296</v>
      </c>
      <c r="I2407" s="9"/>
    </row>
    <row r="2408" spans="1:9" x14ac:dyDescent="0.25">
      <c r="A2408">
        <v>311180</v>
      </c>
      <c r="B2408">
        <v>3.11</v>
      </c>
      <c r="C2408">
        <v>120</v>
      </c>
      <c r="D2408" s="9">
        <v>43270</v>
      </c>
      <c r="E2408" t="s">
        <v>296</v>
      </c>
      <c r="I2408" s="9"/>
    </row>
    <row r="2409" spans="1:9" x14ac:dyDescent="0.25">
      <c r="A2409">
        <v>311180</v>
      </c>
      <c r="B2409">
        <v>2.96</v>
      </c>
      <c r="C2409">
        <v>240</v>
      </c>
      <c r="D2409" s="9">
        <v>42892</v>
      </c>
      <c r="E2409" t="s">
        <v>296</v>
      </c>
      <c r="I2409" s="9"/>
    </row>
    <row r="2410" spans="1:9" x14ac:dyDescent="0.25">
      <c r="A2410">
        <v>311180</v>
      </c>
      <c r="B2410">
        <v>2.96</v>
      </c>
      <c r="C2410">
        <v>200</v>
      </c>
      <c r="D2410" s="9">
        <v>42634</v>
      </c>
      <c r="E2410" t="s">
        <v>296</v>
      </c>
      <c r="I2410" s="9"/>
    </row>
    <row r="2411" spans="1:9" x14ac:dyDescent="0.25">
      <c r="A2411">
        <v>311180</v>
      </c>
      <c r="B2411">
        <v>2.96</v>
      </c>
      <c r="C2411">
        <v>200</v>
      </c>
      <c r="D2411" s="9">
        <v>42472</v>
      </c>
      <c r="E2411" t="s">
        <v>296</v>
      </c>
      <c r="I2411" s="9"/>
    </row>
    <row r="2412" spans="1:9" x14ac:dyDescent="0.25">
      <c r="A2412">
        <v>311180</v>
      </c>
      <c r="B2412">
        <v>3.25</v>
      </c>
      <c r="C2412">
        <v>160</v>
      </c>
      <c r="D2412" s="9">
        <v>41943</v>
      </c>
      <c r="E2412" t="s">
        <v>296</v>
      </c>
      <c r="I2412" s="9"/>
    </row>
    <row r="2413" spans="1:9" x14ac:dyDescent="0.25">
      <c r="A2413">
        <v>311180</v>
      </c>
      <c r="B2413">
        <v>3.25</v>
      </c>
      <c r="C2413">
        <v>280</v>
      </c>
      <c r="D2413" s="9">
        <v>41744</v>
      </c>
      <c r="E2413" t="s">
        <v>296</v>
      </c>
      <c r="I2413" s="9"/>
    </row>
    <row r="2414" spans="1:9" x14ac:dyDescent="0.25">
      <c r="A2414">
        <v>311180</v>
      </c>
      <c r="B2414">
        <v>3.25</v>
      </c>
      <c r="C2414">
        <v>300</v>
      </c>
      <c r="D2414" s="9">
        <v>41479</v>
      </c>
      <c r="E2414" t="s">
        <v>296</v>
      </c>
      <c r="I2414" s="9"/>
    </row>
    <row r="2415" spans="1:9" x14ac:dyDescent="0.25">
      <c r="A2415">
        <v>312060</v>
      </c>
      <c r="B2415">
        <v>1.21</v>
      </c>
      <c r="C2415">
        <v>320</v>
      </c>
      <c r="D2415" s="9">
        <v>44071</v>
      </c>
      <c r="E2415" t="s">
        <v>296</v>
      </c>
      <c r="I2415" s="9"/>
    </row>
    <row r="2416" spans="1:9" x14ac:dyDescent="0.25">
      <c r="A2416">
        <v>312060</v>
      </c>
      <c r="B2416">
        <v>1.21</v>
      </c>
      <c r="C2416">
        <v>320</v>
      </c>
      <c r="D2416" s="9">
        <v>44005</v>
      </c>
      <c r="E2416" t="s">
        <v>296</v>
      </c>
      <c r="I2416" s="9"/>
    </row>
    <row r="2417" spans="1:9" x14ac:dyDescent="0.25">
      <c r="A2417">
        <v>312060</v>
      </c>
      <c r="B2417">
        <v>1.21</v>
      </c>
      <c r="C2417">
        <v>384</v>
      </c>
      <c r="D2417" s="9">
        <v>43717</v>
      </c>
      <c r="E2417" t="s">
        <v>296</v>
      </c>
      <c r="I2417" s="9"/>
    </row>
    <row r="2418" spans="1:9" x14ac:dyDescent="0.25">
      <c r="A2418">
        <v>312060</v>
      </c>
      <c r="B2418">
        <v>1.21</v>
      </c>
      <c r="C2418">
        <v>256</v>
      </c>
      <c r="D2418" s="9">
        <v>43578</v>
      </c>
      <c r="E2418" t="s">
        <v>296</v>
      </c>
      <c r="I2418" s="9"/>
    </row>
    <row r="2419" spans="1:9" x14ac:dyDescent="0.25">
      <c r="A2419">
        <v>312060</v>
      </c>
      <c r="B2419">
        <v>1.21</v>
      </c>
      <c r="C2419">
        <v>256</v>
      </c>
      <c r="D2419" s="9">
        <v>43350</v>
      </c>
      <c r="E2419" t="s">
        <v>296</v>
      </c>
      <c r="I2419" s="9"/>
    </row>
    <row r="2420" spans="1:9" x14ac:dyDescent="0.25">
      <c r="A2420">
        <v>312060</v>
      </c>
      <c r="B2420">
        <v>1.21</v>
      </c>
      <c r="C2420">
        <v>256</v>
      </c>
      <c r="D2420" s="9">
        <v>43270</v>
      </c>
      <c r="E2420" t="s">
        <v>296</v>
      </c>
      <c r="I2420" s="9"/>
    </row>
    <row r="2421" spans="1:9" x14ac:dyDescent="0.25">
      <c r="A2421">
        <v>312060</v>
      </c>
      <c r="B2421">
        <v>4.0999999999999996</v>
      </c>
      <c r="C2421">
        <v>544</v>
      </c>
      <c r="D2421" s="9">
        <v>43234</v>
      </c>
      <c r="E2421" t="s">
        <v>295</v>
      </c>
      <c r="I2421" s="9"/>
    </row>
    <row r="2422" spans="1:9" x14ac:dyDescent="0.25">
      <c r="A2422">
        <v>312060</v>
      </c>
      <c r="B2422">
        <v>1.1499999999999999</v>
      </c>
      <c r="C2422">
        <v>544</v>
      </c>
      <c r="D2422" s="9">
        <v>43049</v>
      </c>
      <c r="E2422" t="s">
        <v>296</v>
      </c>
      <c r="I2422" s="9"/>
    </row>
    <row r="2423" spans="1:9" x14ac:dyDescent="0.25">
      <c r="A2423">
        <v>312060</v>
      </c>
      <c r="B2423">
        <v>1.1499999999999999</v>
      </c>
      <c r="C2423">
        <v>448</v>
      </c>
      <c r="D2423" s="9">
        <v>42892</v>
      </c>
      <c r="E2423" t="s">
        <v>296</v>
      </c>
      <c r="I2423" s="9"/>
    </row>
    <row r="2424" spans="1:9" x14ac:dyDescent="0.25">
      <c r="A2424">
        <v>312060</v>
      </c>
      <c r="B2424">
        <v>1.1499999999999999</v>
      </c>
      <c r="C2424">
        <v>352</v>
      </c>
      <c r="D2424" s="9">
        <v>42844</v>
      </c>
      <c r="E2424" t="s">
        <v>296</v>
      </c>
      <c r="I2424" s="9"/>
    </row>
    <row r="2425" spans="1:9" x14ac:dyDescent="0.25">
      <c r="A2425">
        <v>312060</v>
      </c>
      <c r="B2425">
        <v>1.1499999999999999</v>
      </c>
      <c r="C2425">
        <v>512</v>
      </c>
      <c r="D2425" s="9">
        <v>42634</v>
      </c>
      <c r="E2425" t="s">
        <v>296</v>
      </c>
      <c r="I2425" s="9"/>
    </row>
    <row r="2426" spans="1:9" x14ac:dyDescent="0.25">
      <c r="A2426">
        <v>312060</v>
      </c>
      <c r="B2426">
        <v>1.1499999999999999</v>
      </c>
      <c r="C2426">
        <v>512</v>
      </c>
      <c r="D2426" s="9">
        <v>42367</v>
      </c>
      <c r="E2426" t="s">
        <v>296</v>
      </c>
      <c r="I2426" s="9"/>
    </row>
    <row r="2427" spans="1:9" x14ac:dyDescent="0.25">
      <c r="A2427">
        <v>312060</v>
      </c>
      <c r="B2427">
        <v>1.1499999999999999</v>
      </c>
      <c r="C2427">
        <v>512</v>
      </c>
      <c r="D2427" s="9">
        <v>42136</v>
      </c>
      <c r="E2427" t="s">
        <v>296</v>
      </c>
      <c r="I2427" s="9"/>
    </row>
    <row r="2428" spans="1:9" x14ac:dyDescent="0.25">
      <c r="A2428">
        <v>312060</v>
      </c>
      <c r="B2428">
        <v>1.1499999999999999</v>
      </c>
      <c r="C2428">
        <v>448</v>
      </c>
      <c r="D2428" s="9">
        <v>41943</v>
      </c>
      <c r="E2428" t="s">
        <v>296</v>
      </c>
      <c r="I2428" s="9"/>
    </row>
    <row r="2429" spans="1:9" x14ac:dyDescent="0.25">
      <c r="A2429">
        <v>312060</v>
      </c>
      <c r="B2429">
        <v>1.1499999999999999</v>
      </c>
      <c r="C2429">
        <v>800</v>
      </c>
      <c r="D2429" s="9">
        <v>41744</v>
      </c>
      <c r="E2429" t="s">
        <v>296</v>
      </c>
      <c r="I2429" s="9"/>
    </row>
    <row r="2430" spans="1:9" x14ac:dyDescent="0.25">
      <c r="A2430">
        <v>312060</v>
      </c>
      <c r="B2430">
        <v>1.1499999999999999</v>
      </c>
      <c r="C2430">
        <v>352</v>
      </c>
      <c r="D2430" s="9">
        <v>41479</v>
      </c>
      <c r="E2430" t="s">
        <v>296</v>
      </c>
      <c r="I2430" s="9"/>
    </row>
    <row r="2431" spans="1:9" x14ac:dyDescent="0.25">
      <c r="A2431">
        <v>312180</v>
      </c>
      <c r="B2431">
        <v>1.6</v>
      </c>
      <c r="C2431">
        <v>576</v>
      </c>
      <c r="D2431" s="9">
        <v>44071</v>
      </c>
      <c r="E2431" t="s">
        <v>296</v>
      </c>
      <c r="I2431" s="9"/>
    </row>
    <row r="2432" spans="1:9" x14ac:dyDescent="0.25">
      <c r="A2432">
        <v>312180</v>
      </c>
      <c r="B2432">
        <v>1.6</v>
      </c>
      <c r="C2432">
        <v>432</v>
      </c>
      <c r="D2432" s="9">
        <v>44005</v>
      </c>
      <c r="E2432" t="s">
        <v>296</v>
      </c>
      <c r="I2432" s="9"/>
    </row>
    <row r="2433" spans="1:9" x14ac:dyDescent="0.25">
      <c r="A2433">
        <v>312180</v>
      </c>
      <c r="B2433">
        <v>1.6</v>
      </c>
      <c r="C2433">
        <v>576</v>
      </c>
      <c r="D2433" s="9">
        <v>43717</v>
      </c>
      <c r="E2433" t="s">
        <v>296</v>
      </c>
      <c r="I2433" s="9"/>
    </row>
    <row r="2434" spans="1:9" x14ac:dyDescent="0.25">
      <c r="A2434">
        <v>312180</v>
      </c>
      <c r="B2434">
        <v>1.6</v>
      </c>
      <c r="C2434">
        <v>612</v>
      </c>
      <c r="D2434" s="9">
        <v>43578</v>
      </c>
      <c r="E2434" t="s">
        <v>296</v>
      </c>
      <c r="I2434" s="9"/>
    </row>
    <row r="2435" spans="1:9" x14ac:dyDescent="0.25">
      <c r="A2435">
        <v>312180</v>
      </c>
      <c r="B2435">
        <v>1.6</v>
      </c>
      <c r="C2435">
        <v>432</v>
      </c>
      <c r="D2435" s="9">
        <v>43486</v>
      </c>
      <c r="E2435" t="s">
        <v>296</v>
      </c>
      <c r="I2435" s="9"/>
    </row>
    <row r="2436" spans="1:9" x14ac:dyDescent="0.25">
      <c r="A2436">
        <v>312180</v>
      </c>
      <c r="B2436">
        <v>1.6</v>
      </c>
      <c r="C2436">
        <v>288</v>
      </c>
      <c r="D2436" s="9">
        <v>43350</v>
      </c>
      <c r="E2436" t="s">
        <v>296</v>
      </c>
      <c r="I2436" s="9"/>
    </row>
    <row r="2437" spans="1:9" x14ac:dyDescent="0.25">
      <c r="A2437">
        <v>312180</v>
      </c>
      <c r="B2437">
        <v>1.6</v>
      </c>
      <c r="C2437">
        <v>324</v>
      </c>
      <c r="D2437" s="9">
        <v>43270</v>
      </c>
      <c r="E2437" t="s">
        <v>296</v>
      </c>
      <c r="I2437" s="9"/>
    </row>
    <row r="2438" spans="1:9" x14ac:dyDescent="0.25">
      <c r="A2438">
        <v>312180</v>
      </c>
      <c r="B2438">
        <v>5.43</v>
      </c>
      <c r="C2438">
        <v>612</v>
      </c>
      <c r="D2438" s="9">
        <v>43234</v>
      </c>
      <c r="E2438" t="s">
        <v>295</v>
      </c>
      <c r="I2438" s="9"/>
    </row>
    <row r="2439" spans="1:9" x14ac:dyDescent="0.25">
      <c r="A2439">
        <v>312180</v>
      </c>
      <c r="B2439">
        <v>1.52</v>
      </c>
      <c r="C2439">
        <v>612</v>
      </c>
      <c r="D2439" s="9">
        <v>43049</v>
      </c>
      <c r="E2439" t="s">
        <v>296</v>
      </c>
      <c r="I2439" s="9"/>
    </row>
    <row r="2440" spans="1:9" x14ac:dyDescent="0.25">
      <c r="A2440">
        <v>312180</v>
      </c>
      <c r="B2440">
        <v>1.52</v>
      </c>
      <c r="C2440">
        <v>504</v>
      </c>
      <c r="D2440" s="9">
        <v>42892</v>
      </c>
      <c r="E2440" t="s">
        <v>296</v>
      </c>
      <c r="I2440" s="9"/>
    </row>
    <row r="2441" spans="1:9" x14ac:dyDescent="0.25">
      <c r="A2441">
        <v>312180</v>
      </c>
      <c r="B2441">
        <v>1.52</v>
      </c>
      <c r="C2441">
        <v>396</v>
      </c>
      <c r="D2441" s="9">
        <v>42844</v>
      </c>
      <c r="E2441" t="s">
        <v>296</v>
      </c>
      <c r="I2441" s="9"/>
    </row>
    <row r="2442" spans="1:9" x14ac:dyDescent="0.25">
      <c r="A2442">
        <v>312180</v>
      </c>
      <c r="B2442">
        <v>1.52</v>
      </c>
      <c r="C2442">
        <v>576</v>
      </c>
      <c r="D2442" s="9">
        <v>42634</v>
      </c>
      <c r="E2442" t="s">
        <v>296</v>
      </c>
      <c r="I2442" s="9"/>
    </row>
    <row r="2443" spans="1:9" x14ac:dyDescent="0.25">
      <c r="A2443">
        <v>312180</v>
      </c>
      <c r="B2443">
        <v>1.52</v>
      </c>
      <c r="C2443">
        <v>576</v>
      </c>
      <c r="D2443" s="9">
        <v>42367</v>
      </c>
      <c r="E2443" t="s">
        <v>296</v>
      </c>
      <c r="I2443" s="9"/>
    </row>
    <row r="2444" spans="1:9" x14ac:dyDescent="0.25">
      <c r="A2444">
        <v>312180</v>
      </c>
      <c r="B2444">
        <v>1.52</v>
      </c>
      <c r="C2444">
        <v>432</v>
      </c>
      <c r="D2444" s="9">
        <v>42136</v>
      </c>
      <c r="E2444" t="s">
        <v>296</v>
      </c>
      <c r="I2444" s="9"/>
    </row>
    <row r="2445" spans="1:9" x14ac:dyDescent="0.25">
      <c r="A2445">
        <v>312180</v>
      </c>
      <c r="B2445">
        <v>1.52</v>
      </c>
      <c r="C2445">
        <v>720</v>
      </c>
      <c r="D2445" s="9">
        <v>41943</v>
      </c>
      <c r="E2445" t="s">
        <v>296</v>
      </c>
      <c r="I2445" s="9"/>
    </row>
    <row r="2446" spans="1:9" x14ac:dyDescent="0.25">
      <c r="A2446">
        <v>312180</v>
      </c>
      <c r="B2446">
        <v>1.52</v>
      </c>
      <c r="C2446">
        <v>612</v>
      </c>
      <c r="D2446" s="9">
        <v>41744</v>
      </c>
      <c r="E2446" t="s">
        <v>296</v>
      </c>
      <c r="I2446" s="9"/>
    </row>
    <row r="2447" spans="1:9" x14ac:dyDescent="0.25">
      <c r="A2447">
        <v>312180</v>
      </c>
      <c r="B2447">
        <v>1.52</v>
      </c>
      <c r="C2447">
        <v>288</v>
      </c>
      <c r="D2447" s="9">
        <v>41479</v>
      </c>
      <c r="E2447" t="s">
        <v>296</v>
      </c>
      <c r="I2447" s="9"/>
    </row>
    <row r="2448" spans="1:9" x14ac:dyDescent="0.25">
      <c r="A2448">
        <v>312181</v>
      </c>
      <c r="B2448">
        <v>2.92</v>
      </c>
      <c r="C2448">
        <v>160</v>
      </c>
      <c r="D2448" s="9">
        <v>44005</v>
      </c>
      <c r="E2448" t="s">
        <v>296</v>
      </c>
      <c r="I2448" s="9"/>
    </row>
    <row r="2449" spans="1:9" x14ac:dyDescent="0.25">
      <c r="A2449">
        <v>312181</v>
      </c>
      <c r="B2449">
        <v>2.92</v>
      </c>
      <c r="C2449">
        <v>140</v>
      </c>
      <c r="D2449" s="9">
        <v>43717</v>
      </c>
      <c r="E2449" t="s">
        <v>296</v>
      </c>
      <c r="I2449" s="9"/>
    </row>
    <row r="2450" spans="1:9" x14ac:dyDescent="0.25">
      <c r="A2450">
        <v>312181</v>
      </c>
      <c r="B2450">
        <v>2.92</v>
      </c>
      <c r="C2450">
        <v>120</v>
      </c>
      <c r="D2450" s="9">
        <v>43578</v>
      </c>
      <c r="E2450" t="s">
        <v>296</v>
      </c>
      <c r="I2450" s="9"/>
    </row>
    <row r="2451" spans="1:9" x14ac:dyDescent="0.25">
      <c r="A2451">
        <v>312181</v>
      </c>
      <c r="B2451">
        <v>2.92</v>
      </c>
      <c r="C2451">
        <v>120</v>
      </c>
      <c r="D2451" s="9">
        <v>43350</v>
      </c>
      <c r="E2451" t="s">
        <v>296</v>
      </c>
      <c r="I2451" s="9"/>
    </row>
    <row r="2452" spans="1:9" x14ac:dyDescent="0.25">
      <c r="A2452">
        <v>312181</v>
      </c>
      <c r="B2452">
        <v>2.92</v>
      </c>
      <c r="C2452">
        <v>120</v>
      </c>
      <c r="D2452" s="9">
        <v>43270</v>
      </c>
      <c r="E2452" t="s">
        <v>296</v>
      </c>
      <c r="I2452" s="9"/>
    </row>
    <row r="2453" spans="1:9" x14ac:dyDescent="0.25">
      <c r="A2453">
        <v>312181</v>
      </c>
      <c r="B2453">
        <v>2.78</v>
      </c>
      <c r="C2453">
        <v>240</v>
      </c>
      <c r="D2453" s="9">
        <v>42892</v>
      </c>
      <c r="E2453" t="s">
        <v>296</v>
      </c>
      <c r="I2453" s="9"/>
    </row>
    <row r="2454" spans="1:9" x14ac:dyDescent="0.25">
      <c r="A2454">
        <v>312181</v>
      </c>
      <c r="B2454">
        <v>2.78</v>
      </c>
      <c r="C2454">
        <v>200</v>
      </c>
      <c r="D2454" s="9">
        <v>42634</v>
      </c>
      <c r="E2454" t="s">
        <v>296</v>
      </c>
      <c r="I2454" s="9"/>
    </row>
    <row r="2455" spans="1:9" x14ac:dyDescent="0.25">
      <c r="A2455">
        <v>312181</v>
      </c>
      <c r="B2455">
        <v>2.78</v>
      </c>
      <c r="C2455">
        <v>200</v>
      </c>
      <c r="D2455" s="9">
        <v>42472</v>
      </c>
      <c r="E2455" t="s">
        <v>296</v>
      </c>
      <c r="I2455" s="9"/>
    </row>
    <row r="2456" spans="1:9" x14ac:dyDescent="0.25">
      <c r="A2456">
        <v>312181</v>
      </c>
      <c r="B2456">
        <v>3.06</v>
      </c>
      <c r="C2456">
        <v>320</v>
      </c>
      <c r="D2456" s="9">
        <v>41744</v>
      </c>
      <c r="E2456" t="s">
        <v>296</v>
      </c>
      <c r="I2456" s="9"/>
    </row>
    <row r="2457" spans="1:9" x14ac:dyDescent="0.25">
      <c r="A2457">
        <v>312181</v>
      </c>
      <c r="B2457">
        <v>3.06</v>
      </c>
      <c r="C2457">
        <v>440</v>
      </c>
      <c r="D2457" s="9">
        <v>41479</v>
      </c>
      <c r="E2457" t="s">
        <v>296</v>
      </c>
      <c r="I2457" s="9"/>
    </row>
    <row r="2458" spans="1:9" x14ac:dyDescent="0.25">
      <c r="A2458">
        <v>312220</v>
      </c>
      <c r="B2458">
        <v>2.42</v>
      </c>
      <c r="C2458">
        <v>180</v>
      </c>
      <c r="D2458" s="9">
        <v>44071</v>
      </c>
      <c r="E2458" t="s">
        <v>296</v>
      </c>
      <c r="I2458" s="9"/>
    </row>
    <row r="2459" spans="1:9" x14ac:dyDescent="0.25">
      <c r="A2459">
        <v>312220</v>
      </c>
      <c r="B2459">
        <v>2.42</v>
      </c>
      <c r="C2459">
        <v>240</v>
      </c>
      <c r="D2459" s="9">
        <v>44005</v>
      </c>
      <c r="E2459" t="s">
        <v>296</v>
      </c>
      <c r="I2459" s="9"/>
    </row>
    <row r="2460" spans="1:9" x14ac:dyDescent="0.25">
      <c r="A2460">
        <v>312220</v>
      </c>
      <c r="B2460">
        <v>2.42</v>
      </c>
      <c r="C2460">
        <v>320</v>
      </c>
      <c r="D2460" s="9">
        <v>43717</v>
      </c>
      <c r="E2460" t="s">
        <v>296</v>
      </c>
      <c r="I2460" s="9"/>
    </row>
    <row r="2461" spans="1:9" x14ac:dyDescent="0.25">
      <c r="A2461">
        <v>312220</v>
      </c>
      <c r="B2461">
        <v>2.42</v>
      </c>
      <c r="C2461">
        <v>220</v>
      </c>
      <c r="D2461" s="9">
        <v>43578</v>
      </c>
      <c r="E2461" t="s">
        <v>296</v>
      </c>
      <c r="I2461" s="9"/>
    </row>
    <row r="2462" spans="1:9" x14ac:dyDescent="0.25">
      <c r="A2462">
        <v>312220</v>
      </c>
      <c r="B2462">
        <v>2.42</v>
      </c>
      <c r="C2462">
        <v>500</v>
      </c>
      <c r="D2462" s="9">
        <v>43486</v>
      </c>
      <c r="E2462" t="s">
        <v>296</v>
      </c>
      <c r="I2462" s="9"/>
    </row>
    <row r="2463" spans="1:9" x14ac:dyDescent="0.25">
      <c r="A2463">
        <v>312220</v>
      </c>
      <c r="B2463">
        <v>2.42</v>
      </c>
      <c r="C2463">
        <v>180</v>
      </c>
      <c r="D2463" s="9">
        <v>43350</v>
      </c>
      <c r="E2463" t="s">
        <v>296</v>
      </c>
      <c r="I2463" s="9"/>
    </row>
    <row r="2464" spans="1:9" x14ac:dyDescent="0.25">
      <c r="A2464">
        <v>312220</v>
      </c>
      <c r="B2464">
        <v>2.42</v>
      </c>
      <c r="C2464">
        <v>160</v>
      </c>
      <c r="D2464" s="9">
        <v>43270</v>
      </c>
      <c r="E2464" t="s">
        <v>296</v>
      </c>
      <c r="I2464" s="9"/>
    </row>
    <row r="2465" spans="1:9" x14ac:dyDescent="0.25">
      <c r="A2465">
        <v>312220</v>
      </c>
      <c r="B2465">
        <v>8.1999999999999993</v>
      </c>
      <c r="C2465">
        <v>340</v>
      </c>
      <c r="D2465" s="9">
        <v>43234</v>
      </c>
      <c r="E2465" t="s">
        <v>295</v>
      </c>
      <c r="I2465" s="9"/>
    </row>
    <row r="2466" spans="1:9" x14ac:dyDescent="0.25">
      <c r="A2466">
        <v>312220</v>
      </c>
      <c r="B2466">
        <v>2.2999999999999998</v>
      </c>
      <c r="C2466">
        <v>340</v>
      </c>
      <c r="D2466" s="9">
        <v>43049</v>
      </c>
      <c r="E2466" t="s">
        <v>296</v>
      </c>
      <c r="I2466" s="9"/>
    </row>
    <row r="2467" spans="1:9" x14ac:dyDescent="0.25">
      <c r="A2467">
        <v>312220</v>
      </c>
      <c r="B2467">
        <v>2.2999999999999998</v>
      </c>
      <c r="C2467">
        <v>280</v>
      </c>
      <c r="D2467" s="9">
        <v>42844</v>
      </c>
      <c r="E2467" t="s">
        <v>296</v>
      </c>
      <c r="I2467" s="9"/>
    </row>
    <row r="2468" spans="1:9" x14ac:dyDescent="0.25">
      <c r="A2468">
        <v>312220</v>
      </c>
      <c r="B2468">
        <v>2.2999999999999998</v>
      </c>
      <c r="C2468">
        <v>240</v>
      </c>
      <c r="D2468" s="9">
        <v>42472</v>
      </c>
      <c r="E2468" t="s">
        <v>296</v>
      </c>
      <c r="I2468" s="9"/>
    </row>
    <row r="2469" spans="1:9" x14ac:dyDescent="0.25">
      <c r="A2469">
        <v>312220</v>
      </c>
      <c r="B2469">
        <v>2.76</v>
      </c>
      <c r="C2469">
        <v>240</v>
      </c>
      <c r="D2469" s="9">
        <v>41943</v>
      </c>
      <c r="E2469" t="s">
        <v>296</v>
      </c>
      <c r="I2469" s="9"/>
    </row>
    <row r="2470" spans="1:9" x14ac:dyDescent="0.25">
      <c r="A2470">
        <v>312220</v>
      </c>
      <c r="B2470">
        <v>2.76</v>
      </c>
      <c r="C2470">
        <v>400</v>
      </c>
      <c r="D2470" s="9">
        <v>41479</v>
      </c>
      <c r="E2470" t="s">
        <v>296</v>
      </c>
      <c r="I2470" s="9"/>
    </row>
    <row r="2471" spans="1:9" x14ac:dyDescent="0.25">
      <c r="A2471">
        <v>312230</v>
      </c>
      <c r="B2471">
        <v>4.5570000000000004</v>
      </c>
      <c r="C2471">
        <v>200</v>
      </c>
      <c r="D2471" s="9">
        <v>44071</v>
      </c>
      <c r="E2471" t="s">
        <v>296</v>
      </c>
      <c r="I2471" s="9"/>
    </row>
    <row r="2472" spans="1:9" x14ac:dyDescent="0.25">
      <c r="A2472">
        <v>312230</v>
      </c>
      <c r="B2472">
        <v>4.5570000000000004</v>
      </c>
      <c r="C2472">
        <v>160</v>
      </c>
      <c r="D2472" s="9">
        <v>44005</v>
      </c>
      <c r="E2472" t="s">
        <v>296</v>
      </c>
      <c r="I2472" s="9"/>
    </row>
    <row r="2473" spans="1:9" x14ac:dyDescent="0.25">
      <c r="A2473">
        <v>312230</v>
      </c>
      <c r="B2473">
        <v>4.5570000000000004</v>
      </c>
      <c r="C2473">
        <v>320</v>
      </c>
      <c r="D2473" s="9">
        <v>43578</v>
      </c>
      <c r="E2473" t="s">
        <v>296</v>
      </c>
      <c r="I2473" s="9"/>
    </row>
    <row r="2474" spans="1:9" x14ac:dyDescent="0.25">
      <c r="A2474">
        <v>312230</v>
      </c>
      <c r="B2474">
        <v>4.5570000000000004</v>
      </c>
      <c r="C2474">
        <v>300</v>
      </c>
      <c r="D2474" s="9">
        <v>43486</v>
      </c>
      <c r="E2474" t="s">
        <v>296</v>
      </c>
      <c r="I2474" s="9"/>
    </row>
    <row r="2475" spans="1:9" x14ac:dyDescent="0.25">
      <c r="A2475">
        <v>312230</v>
      </c>
      <c r="B2475">
        <v>4.5570000000000004</v>
      </c>
      <c r="C2475">
        <v>300</v>
      </c>
      <c r="D2475" s="9">
        <v>43350</v>
      </c>
      <c r="E2475" t="s">
        <v>296</v>
      </c>
      <c r="I2475" s="9"/>
    </row>
    <row r="2476" spans="1:9" x14ac:dyDescent="0.25">
      <c r="A2476">
        <v>312230</v>
      </c>
      <c r="B2476">
        <v>15.38</v>
      </c>
      <c r="C2476">
        <v>240</v>
      </c>
      <c r="D2476" s="9">
        <v>43234</v>
      </c>
      <c r="E2476" t="s">
        <v>295</v>
      </c>
      <c r="I2476" s="9"/>
    </row>
    <row r="2477" spans="1:9" x14ac:dyDescent="0.25">
      <c r="A2477">
        <v>312230</v>
      </c>
      <c r="B2477">
        <v>4.34</v>
      </c>
      <c r="C2477">
        <v>240</v>
      </c>
      <c r="D2477" s="9">
        <v>43049</v>
      </c>
      <c r="E2477" t="s">
        <v>296</v>
      </c>
      <c r="I2477" s="9"/>
    </row>
    <row r="2478" spans="1:9" x14ac:dyDescent="0.25">
      <c r="A2478">
        <v>312230</v>
      </c>
      <c r="B2478">
        <v>4.34</v>
      </c>
      <c r="C2478">
        <v>330</v>
      </c>
      <c r="D2478" s="9">
        <v>42892</v>
      </c>
      <c r="E2478" t="s">
        <v>296</v>
      </c>
      <c r="I2478" s="9"/>
    </row>
    <row r="2479" spans="1:9" x14ac:dyDescent="0.25">
      <c r="A2479">
        <v>312230</v>
      </c>
      <c r="B2479">
        <v>4.34</v>
      </c>
      <c r="C2479">
        <v>260</v>
      </c>
      <c r="D2479" s="9">
        <v>42844</v>
      </c>
      <c r="E2479" t="s">
        <v>296</v>
      </c>
      <c r="I2479" s="9"/>
    </row>
    <row r="2480" spans="1:9" x14ac:dyDescent="0.25">
      <c r="A2480">
        <v>312230</v>
      </c>
      <c r="B2480">
        <v>4.34</v>
      </c>
      <c r="C2480">
        <v>400</v>
      </c>
      <c r="D2480" s="9">
        <v>42634</v>
      </c>
      <c r="E2480" t="s">
        <v>296</v>
      </c>
      <c r="I2480" s="9"/>
    </row>
    <row r="2481" spans="1:9" x14ac:dyDescent="0.25">
      <c r="A2481">
        <v>312230</v>
      </c>
      <c r="B2481">
        <v>4.34</v>
      </c>
      <c r="C2481">
        <v>600</v>
      </c>
      <c r="D2481" s="9">
        <v>41943</v>
      </c>
      <c r="E2481" t="s">
        <v>296</v>
      </c>
      <c r="I2481" s="9"/>
    </row>
    <row r="2482" spans="1:9" x14ac:dyDescent="0.25">
      <c r="A2482">
        <v>312230</v>
      </c>
      <c r="B2482">
        <v>4.34</v>
      </c>
      <c r="C2482">
        <v>1000</v>
      </c>
      <c r="D2482" s="9">
        <v>41744</v>
      </c>
      <c r="E2482" t="s">
        <v>296</v>
      </c>
      <c r="I2482" s="9"/>
    </row>
    <row r="2483" spans="1:9" x14ac:dyDescent="0.25">
      <c r="A2483">
        <v>312230</v>
      </c>
      <c r="B2483">
        <v>4.5199999999999996</v>
      </c>
      <c r="C2483">
        <v>1000</v>
      </c>
      <c r="D2483" s="9">
        <v>41479</v>
      </c>
      <c r="E2483" t="s">
        <v>296</v>
      </c>
      <c r="I2483" s="9"/>
    </row>
    <row r="2484" spans="1:9" x14ac:dyDescent="0.25">
      <c r="A2484">
        <v>312250</v>
      </c>
      <c r="B2484">
        <v>22.54</v>
      </c>
      <c r="C2484">
        <v>20</v>
      </c>
      <c r="D2484" s="9">
        <v>44005</v>
      </c>
      <c r="E2484" t="s">
        <v>296</v>
      </c>
      <c r="I2484" s="9"/>
    </row>
    <row r="2485" spans="1:9" x14ac:dyDescent="0.25">
      <c r="A2485">
        <v>312250</v>
      </c>
      <c r="B2485">
        <v>22.54</v>
      </c>
      <c r="C2485">
        <v>48</v>
      </c>
      <c r="D2485" s="9">
        <v>43717</v>
      </c>
      <c r="E2485" t="s">
        <v>296</v>
      </c>
      <c r="I2485" s="9"/>
    </row>
    <row r="2486" spans="1:9" x14ac:dyDescent="0.25">
      <c r="A2486">
        <v>312250</v>
      </c>
      <c r="B2486">
        <v>22.54</v>
      </c>
      <c r="C2486">
        <v>48</v>
      </c>
      <c r="D2486" s="9">
        <v>43578</v>
      </c>
      <c r="E2486" t="s">
        <v>296</v>
      </c>
      <c r="I2486" s="9"/>
    </row>
    <row r="2487" spans="1:9" x14ac:dyDescent="0.25">
      <c r="A2487">
        <v>312250</v>
      </c>
      <c r="B2487">
        <v>22.54</v>
      </c>
      <c r="C2487">
        <v>48</v>
      </c>
      <c r="D2487" s="9">
        <v>43350</v>
      </c>
      <c r="E2487" t="s">
        <v>296</v>
      </c>
      <c r="I2487" s="9"/>
    </row>
    <row r="2488" spans="1:9" x14ac:dyDescent="0.25">
      <c r="A2488">
        <v>312250</v>
      </c>
      <c r="B2488">
        <v>21.5</v>
      </c>
      <c r="C2488">
        <v>48</v>
      </c>
      <c r="D2488" s="9">
        <v>43049</v>
      </c>
      <c r="E2488" t="s">
        <v>296</v>
      </c>
      <c r="I2488" s="9"/>
    </row>
    <row r="2489" spans="1:9" x14ac:dyDescent="0.25">
      <c r="A2489">
        <v>312250</v>
      </c>
      <c r="B2489">
        <v>21.5</v>
      </c>
      <c r="C2489">
        <v>88</v>
      </c>
      <c r="D2489" s="9">
        <v>42844</v>
      </c>
      <c r="E2489" t="s">
        <v>296</v>
      </c>
      <c r="I2489" s="9"/>
    </row>
    <row r="2490" spans="1:9" x14ac:dyDescent="0.25">
      <c r="A2490">
        <v>312250</v>
      </c>
      <c r="B2490">
        <v>21.5</v>
      </c>
      <c r="C2490">
        <v>60</v>
      </c>
      <c r="D2490" s="9">
        <v>42634</v>
      </c>
      <c r="E2490" t="s">
        <v>296</v>
      </c>
      <c r="I2490" s="9"/>
    </row>
    <row r="2491" spans="1:9" x14ac:dyDescent="0.25">
      <c r="A2491">
        <v>312250</v>
      </c>
      <c r="B2491">
        <v>21.5</v>
      </c>
      <c r="C2491">
        <v>80</v>
      </c>
      <c r="D2491" s="9">
        <v>42472</v>
      </c>
      <c r="E2491" t="s">
        <v>296</v>
      </c>
      <c r="I2491" s="9"/>
    </row>
    <row r="2492" spans="1:9" x14ac:dyDescent="0.25">
      <c r="A2492">
        <v>312250</v>
      </c>
      <c r="B2492">
        <v>24.19</v>
      </c>
      <c r="C2492">
        <v>56</v>
      </c>
      <c r="D2492" s="9">
        <v>42136</v>
      </c>
      <c r="E2492" t="s">
        <v>296</v>
      </c>
      <c r="I2492" s="9"/>
    </row>
    <row r="2493" spans="1:9" x14ac:dyDescent="0.25">
      <c r="A2493">
        <v>312250</v>
      </c>
      <c r="B2493">
        <v>24.19</v>
      </c>
      <c r="C2493">
        <v>48</v>
      </c>
      <c r="D2493" s="9">
        <v>41943</v>
      </c>
      <c r="E2493" t="s">
        <v>296</v>
      </c>
      <c r="I2493" s="9"/>
    </row>
    <row r="2494" spans="1:9" x14ac:dyDescent="0.25">
      <c r="A2494">
        <v>312250</v>
      </c>
      <c r="B2494">
        <v>24.19</v>
      </c>
      <c r="C2494">
        <v>48</v>
      </c>
      <c r="D2494" s="9">
        <v>41479</v>
      </c>
      <c r="E2494" t="s">
        <v>296</v>
      </c>
      <c r="I2494" s="9"/>
    </row>
    <row r="2495" spans="1:9" x14ac:dyDescent="0.25">
      <c r="A2495">
        <v>312257</v>
      </c>
      <c r="B2495">
        <v>11.66</v>
      </c>
      <c r="C2495">
        <v>80</v>
      </c>
      <c r="D2495" s="9">
        <v>44005</v>
      </c>
      <c r="E2495" t="s">
        <v>296</v>
      </c>
      <c r="I2495" s="9"/>
    </row>
    <row r="2496" spans="1:9" x14ac:dyDescent="0.25">
      <c r="A2496">
        <v>312257</v>
      </c>
      <c r="B2496">
        <v>11.66</v>
      </c>
      <c r="C2496">
        <v>70</v>
      </c>
      <c r="D2496" s="9">
        <v>43717</v>
      </c>
      <c r="E2496" t="s">
        <v>296</v>
      </c>
      <c r="I2496" s="9"/>
    </row>
    <row r="2497" spans="1:9" x14ac:dyDescent="0.25">
      <c r="A2497">
        <v>312257</v>
      </c>
      <c r="B2497">
        <v>11.66</v>
      </c>
      <c r="C2497">
        <v>60</v>
      </c>
      <c r="D2497" s="9">
        <v>43578</v>
      </c>
      <c r="E2497" t="s">
        <v>296</v>
      </c>
      <c r="I2497" s="9"/>
    </row>
    <row r="2498" spans="1:9" x14ac:dyDescent="0.25">
      <c r="A2498">
        <v>312257</v>
      </c>
      <c r="B2498">
        <v>11.66</v>
      </c>
      <c r="C2498">
        <v>60</v>
      </c>
      <c r="D2498" s="9">
        <v>43350</v>
      </c>
      <c r="E2498" t="s">
        <v>296</v>
      </c>
      <c r="I2498" s="9"/>
    </row>
    <row r="2499" spans="1:9" x14ac:dyDescent="0.25">
      <c r="A2499">
        <v>312257</v>
      </c>
      <c r="B2499">
        <v>11.66</v>
      </c>
      <c r="C2499">
        <v>60</v>
      </c>
      <c r="D2499" s="9">
        <v>43270</v>
      </c>
      <c r="E2499" t="s">
        <v>296</v>
      </c>
      <c r="I2499" s="9"/>
    </row>
    <row r="2500" spans="1:9" x14ac:dyDescent="0.25">
      <c r="A2500">
        <v>312257</v>
      </c>
      <c r="B2500">
        <v>39.42</v>
      </c>
      <c r="C2500">
        <v>120</v>
      </c>
      <c r="D2500" s="9">
        <v>43234</v>
      </c>
      <c r="E2500" t="s">
        <v>295</v>
      </c>
      <c r="I2500" s="9"/>
    </row>
    <row r="2501" spans="1:9" x14ac:dyDescent="0.25">
      <c r="A2501">
        <v>312257</v>
      </c>
      <c r="B2501">
        <v>11.1</v>
      </c>
      <c r="C2501">
        <v>120</v>
      </c>
      <c r="D2501" s="9">
        <v>43049</v>
      </c>
      <c r="E2501" t="s">
        <v>296</v>
      </c>
      <c r="I2501" s="9"/>
    </row>
    <row r="2502" spans="1:9" x14ac:dyDescent="0.25">
      <c r="A2502">
        <v>312257</v>
      </c>
      <c r="B2502">
        <v>11.1</v>
      </c>
      <c r="C2502">
        <v>170</v>
      </c>
      <c r="D2502" s="9">
        <v>42844</v>
      </c>
      <c r="E2502" t="s">
        <v>296</v>
      </c>
      <c r="I2502" s="9"/>
    </row>
    <row r="2503" spans="1:9" x14ac:dyDescent="0.25">
      <c r="A2503">
        <v>312257</v>
      </c>
      <c r="B2503">
        <v>11.1</v>
      </c>
      <c r="C2503">
        <v>60</v>
      </c>
      <c r="D2503" s="9">
        <v>42634</v>
      </c>
      <c r="E2503" t="s">
        <v>296</v>
      </c>
      <c r="I2503" s="9"/>
    </row>
    <row r="2504" spans="1:9" x14ac:dyDescent="0.25">
      <c r="A2504">
        <v>312257</v>
      </c>
      <c r="B2504">
        <v>11.1</v>
      </c>
      <c r="C2504">
        <v>150</v>
      </c>
      <c r="D2504" s="9">
        <v>42472</v>
      </c>
      <c r="E2504" t="s">
        <v>296</v>
      </c>
      <c r="I2504" s="9"/>
    </row>
    <row r="2505" spans="1:9" x14ac:dyDescent="0.25">
      <c r="A2505">
        <v>312257</v>
      </c>
      <c r="B2505">
        <v>12.21</v>
      </c>
      <c r="C2505">
        <v>90</v>
      </c>
      <c r="D2505" s="9">
        <v>42367</v>
      </c>
      <c r="E2505" t="s">
        <v>296</v>
      </c>
      <c r="I2505" s="9"/>
    </row>
    <row r="2506" spans="1:9" x14ac:dyDescent="0.25">
      <c r="A2506">
        <v>312257</v>
      </c>
      <c r="B2506">
        <v>12.21</v>
      </c>
      <c r="C2506">
        <v>60</v>
      </c>
      <c r="D2506" s="9">
        <v>42136</v>
      </c>
      <c r="E2506" t="s">
        <v>296</v>
      </c>
      <c r="I2506" s="9"/>
    </row>
    <row r="2507" spans="1:9" x14ac:dyDescent="0.25">
      <c r="A2507">
        <v>312257</v>
      </c>
      <c r="B2507">
        <v>12.21</v>
      </c>
      <c r="C2507">
        <v>60</v>
      </c>
      <c r="D2507" s="9">
        <v>41943</v>
      </c>
      <c r="E2507" t="s">
        <v>296</v>
      </c>
      <c r="I2507" s="9"/>
    </row>
    <row r="2508" spans="1:9" x14ac:dyDescent="0.25">
      <c r="A2508">
        <v>312257</v>
      </c>
      <c r="B2508">
        <v>12.21</v>
      </c>
      <c r="C2508">
        <v>70</v>
      </c>
      <c r="D2508" s="9">
        <v>41479</v>
      </c>
      <c r="E2508" t="s">
        <v>296</v>
      </c>
      <c r="I2508" s="9"/>
    </row>
    <row r="2509" spans="1:9" x14ac:dyDescent="0.25">
      <c r="A2509">
        <v>312258</v>
      </c>
      <c r="B2509">
        <v>0.62</v>
      </c>
      <c r="C2509">
        <v>400</v>
      </c>
      <c r="D2509" s="9">
        <v>44005</v>
      </c>
      <c r="E2509" t="s">
        <v>296</v>
      </c>
      <c r="I2509" s="9"/>
    </row>
    <row r="2510" spans="1:9" x14ac:dyDescent="0.25">
      <c r="A2510">
        <v>312258</v>
      </c>
      <c r="B2510">
        <v>2.16</v>
      </c>
      <c r="C2510">
        <v>250</v>
      </c>
      <c r="D2510" s="9">
        <v>43234</v>
      </c>
      <c r="E2510" t="s">
        <v>295</v>
      </c>
      <c r="I2510" s="9"/>
    </row>
    <row r="2511" spans="1:9" x14ac:dyDescent="0.25">
      <c r="A2511">
        <v>312258</v>
      </c>
      <c r="B2511">
        <v>0.62</v>
      </c>
      <c r="C2511">
        <v>250</v>
      </c>
      <c r="D2511" s="9">
        <v>43049</v>
      </c>
      <c r="E2511" t="s">
        <v>296</v>
      </c>
      <c r="I2511" s="9"/>
    </row>
    <row r="2512" spans="1:9" x14ac:dyDescent="0.25">
      <c r="A2512">
        <v>312260</v>
      </c>
      <c r="B2512">
        <v>16.149999999999999</v>
      </c>
      <c r="C2512">
        <v>48</v>
      </c>
      <c r="D2512" s="9">
        <v>44005</v>
      </c>
      <c r="E2512" t="s">
        <v>296</v>
      </c>
      <c r="I2512" s="9"/>
    </row>
    <row r="2513" spans="1:9" x14ac:dyDescent="0.25">
      <c r="A2513">
        <v>312260</v>
      </c>
      <c r="B2513">
        <v>16.149999999999999</v>
      </c>
      <c r="C2513">
        <v>32</v>
      </c>
      <c r="D2513" s="9">
        <v>43717</v>
      </c>
      <c r="E2513" t="s">
        <v>296</v>
      </c>
      <c r="I2513" s="9"/>
    </row>
    <row r="2514" spans="1:9" x14ac:dyDescent="0.25">
      <c r="A2514">
        <v>312260</v>
      </c>
      <c r="B2514">
        <v>16.149999999999999</v>
      </c>
      <c r="C2514">
        <v>28</v>
      </c>
      <c r="D2514" s="9">
        <v>43578</v>
      </c>
      <c r="E2514" t="s">
        <v>296</v>
      </c>
      <c r="I2514" s="9"/>
    </row>
    <row r="2515" spans="1:9" x14ac:dyDescent="0.25">
      <c r="A2515">
        <v>312260</v>
      </c>
      <c r="B2515">
        <v>16.149999999999999</v>
      </c>
      <c r="C2515">
        <v>24</v>
      </c>
      <c r="D2515" s="9">
        <v>43486</v>
      </c>
      <c r="E2515" t="s">
        <v>296</v>
      </c>
      <c r="I2515" s="9"/>
    </row>
    <row r="2516" spans="1:9" x14ac:dyDescent="0.25">
      <c r="A2516">
        <v>312260</v>
      </c>
      <c r="B2516">
        <v>16.149999999999999</v>
      </c>
      <c r="C2516">
        <v>56</v>
      </c>
      <c r="D2516" s="9">
        <v>42844</v>
      </c>
      <c r="E2516" t="s">
        <v>296</v>
      </c>
      <c r="I2516" s="9"/>
    </row>
    <row r="2517" spans="1:9" x14ac:dyDescent="0.25">
      <c r="A2517">
        <v>312260</v>
      </c>
      <c r="B2517">
        <v>16.149999999999999</v>
      </c>
      <c r="C2517">
        <v>48</v>
      </c>
      <c r="D2517" s="9">
        <v>42634</v>
      </c>
      <c r="E2517" t="s">
        <v>296</v>
      </c>
      <c r="I2517" s="9"/>
    </row>
    <row r="2518" spans="1:9" x14ac:dyDescent="0.25">
      <c r="A2518">
        <v>312260</v>
      </c>
      <c r="B2518">
        <v>16.149999999999999</v>
      </c>
      <c r="C2518">
        <v>48</v>
      </c>
      <c r="D2518" s="9">
        <v>42472</v>
      </c>
      <c r="E2518" t="s">
        <v>296</v>
      </c>
      <c r="I2518" s="9"/>
    </row>
    <row r="2519" spans="1:9" x14ac:dyDescent="0.25">
      <c r="A2519">
        <v>312260</v>
      </c>
      <c r="B2519">
        <v>18.079999999999998</v>
      </c>
      <c r="C2519">
        <v>48</v>
      </c>
      <c r="D2519" s="9">
        <v>42136</v>
      </c>
      <c r="E2519" t="s">
        <v>296</v>
      </c>
      <c r="I2519" s="9"/>
    </row>
    <row r="2520" spans="1:9" x14ac:dyDescent="0.25">
      <c r="A2520">
        <v>312260</v>
      </c>
      <c r="B2520">
        <v>18.079999999999998</v>
      </c>
      <c r="C2520">
        <v>36</v>
      </c>
      <c r="D2520" s="9">
        <v>41943</v>
      </c>
      <c r="E2520" t="s">
        <v>296</v>
      </c>
      <c r="I2520" s="9"/>
    </row>
    <row r="2521" spans="1:9" x14ac:dyDescent="0.25">
      <c r="A2521">
        <v>312261</v>
      </c>
      <c r="B2521">
        <v>0.78</v>
      </c>
      <c r="C2521">
        <v>400</v>
      </c>
      <c r="D2521" s="9">
        <v>44005</v>
      </c>
      <c r="E2521" t="s">
        <v>296</v>
      </c>
      <c r="I2521" s="9"/>
    </row>
    <row r="2522" spans="1:9" x14ac:dyDescent="0.25">
      <c r="A2522">
        <v>312261</v>
      </c>
      <c r="B2522">
        <v>2.74</v>
      </c>
      <c r="C2522">
        <v>500</v>
      </c>
      <c r="D2522" s="9">
        <v>43234</v>
      </c>
      <c r="E2522" t="s">
        <v>295</v>
      </c>
      <c r="I2522" s="9"/>
    </row>
    <row r="2523" spans="1:9" x14ac:dyDescent="0.25">
      <c r="A2523">
        <v>312261</v>
      </c>
      <c r="B2523">
        <v>0.78</v>
      </c>
      <c r="C2523">
        <v>500</v>
      </c>
      <c r="D2523" s="9">
        <v>43049</v>
      </c>
      <c r="E2523" t="s">
        <v>296</v>
      </c>
      <c r="I2523" s="9"/>
    </row>
    <row r="2524" spans="1:9" x14ac:dyDescent="0.25">
      <c r="A2524">
        <v>312261</v>
      </c>
      <c r="B2524">
        <v>0.78</v>
      </c>
      <c r="C2524">
        <v>200</v>
      </c>
      <c r="D2524" s="9">
        <v>42892</v>
      </c>
      <c r="E2524" t="s">
        <v>296</v>
      </c>
      <c r="I2524" s="9"/>
    </row>
    <row r="2525" spans="1:9" x14ac:dyDescent="0.25">
      <c r="A2525">
        <v>314020</v>
      </c>
      <c r="B2525">
        <v>1.66</v>
      </c>
      <c r="C2525">
        <v>18</v>
      </c>
      <c r="D2525" s="9">
        <v>44102</v>
      </c>
      <c r="E2525" t="s">
        <v>295</v>
      </c>
      <c r="I2525" s="9"/>
    </row>
    <row r="2526" spans="1:9" x14ac:dyDescent="0.25">
      <c r="A2526">
        <v>314020</v>
      </c>
      <c r="B2526">
        <v>0.28299999999999997</v>
      </c>
      <c r="C2526">
        <v>600</v>
      </c>
      <c r="D2526" s="9">
        <v>44071</v>
      </c>
      <c r="E2526" t="s">
        <v>296</v>
      </c>
      <c r="I2526" s="9"/>
    </row>
    <row r="2527" spans="1:9" x14ac:dyDescent="0.25">
      <c r="A2527">
        <v>314020</v>
      </c>
      <c r="B2527">
        <v>0.28299999999999997</v>
      </c>
      <c r="C2527">
        <v>1200</v>
      </c>
      <c r="D2527" s="9">
        <v>43486</v>
      </c>
      <c r="E2527" t="s">
        <v>296</v>
      </c>
      <c r="I2527" s="9"/>
    </row>
    <row r="2528" spans="1:9" x14ac:dyDescent="0.25">
      <c r="A2528">
        <v>314020</v>
      </c>
      <c r="B2528">
        <v>0.99</v>
      </c>
      <c r="C2528">
        <v>1200</v>
      </c>
      <c r="D2528" s="9">
        <v>43234</v>
      </c>
      <c r="E2528" t="s">
        <v>295</v>
      </c>
      <c r="I2528" s="9"/>
    </row>
    <row r="2529" spans="1:9" x14ac:dyDescent="0.25">
      <c r="A2529">
        <v>314020</v>
      </c>
      <c r="B2529">
        <v>0.28299999999999997</v>
      </c>
      <c r="C2529">
        <v>1200</v>
      </c>
      <c r="D2529" s="9">
        <v>43049</v>
      </c>
      <c r="E2529" t="s">
        <v>296</v>
      </c>
      <c r="I2529" s="9"/>
    </row>
    <row r="2530" spans="1:9" x14ac:dyDescent="0.25">
      <c r="A2530">
        <v>314020</v>
      </c>
      <c r="B2530">
        <v>0.28299999999999997</v>
      </c>
      <c r="C2530">
        <v>1440</v>
      </c>
      <c r="D2530" s="9">
        <v>42634</v>
      </c>
      <c r="E2530" t="s">
        <v>296</v>
      </c>
      <c r="I2530" s="9"/>
    </row>
    <row r="2531" spans="1:9" x14ac:dyDescent="0.25">
      <c r="A2531">
        <v>314020</v>
      </c>
      <c r="B2531">
        <v>0.28299999999999997</v>
      </c>
      <c r="C2531">
        <v>1440</v>
      </c>
      <c r="D2531" s="9">
        <v>42136</v>
      </c>
      <c r="E2531" t="s">
        <v>296</v>
      </c>
      <c r="I2531" s="9"/>
    </row>
    <row r="2532" spans="1:9" x14ac:dyDescent="0.25">
      <c r="A2532">
        <v>314020</v>
      </c>
      <c r="B2532">
        <v>0.3</v>
      </c>
      <c r="C2532">
        <v>1920</v>
      </c>
      <c r="D2532" s="9">
        <v>41744</v>
      </c>
      <c r="E2532" t="s">
        <v>296</v>
      </c>
      <c r="I2532" s="9"/>
    </row>
    <row r="2533" spans="1:9" x14ac:dyDescent="0.25">
      <c r="A2533">
        <v>314023</v>
      </c>
      <c r="B2533">
        <v>2</v>
      </c>
      <c r="C2533">
        <v>18</v>
      </c>
      <c r="D2533" s="9">
        <v>44102</v>
      </c>
      <c r="E2533" t="s">
        <v>295</v>
      </c>
      <c r="I2533" s="9"/>
    </row>
    <row r="2534" spans="1:9" x14ac:dyDescent="0.25">
      <c r="A2534">
        <v>314023</v>
      </c>
      <c r="B2534">
        <v>0.33800000000000002</v>
      </c>
      <c r="C2534">
        <v>600</v>
      </c>
      <c r="D2534" s="9">
        <v>44071</v>
      </c>
      <c r="E2534" t="s">
        <v>296</v>
      </c>
      <c r="I2534" s="9"/>
    </row>
    <row r="2535" spans="1:9" x14ac:dyDescent="0.25">
      <c r="A2535">
        <v>314023</v>
      </c>
      <c r="B2535">
        <v>0.33800000000000002</v>
      </c>
      <c r="C2535">
        <v>600</v>
      </c>
      <c r="D2535" s="9">
        <v>43717</v>
      </c>
      <c r="E2535" t="s">
        <v>296</v>
      </c>
      <c r="I2535" s="9"/>
    </row>
    <row r="2536" spans="1:9" x14ac:dyDescent="0.25">
      <c r="A2536">
        <v>314023</v>
      </c>
      <c r="B2536">
        <v>0.33800000000000002</v>
      </c>
      <c r="C2536">
        <v>1200</v>
      </c>
      <c r="D2536" s="9">
        <v>43350</v>
      </c>
      <c r="E2536" t="s">
        <v>296</v>
      </c>
      <c r="I2536" s="9"/>
    </row>
    <row r="2537" spans="1:9" x14ac:dyDescent="0.25">
      <c r="A2537">
        <v>314023</v>
      </c>
      <c r="B2537">
        <v>0.32</v>
      </c>
      <c r="C2537">
        <v>1320</v>
      </c>
      <c r="D2537" s="9">
        <v>42844</v>
      </c>
      <c r="E2537" t="s">
        <v>296</v>
      </c>
      <c r="I2537" s="9"/>
    </row>
    <row r="2538" spans="1:9" x14ac:dyDescent="0.25">
      <c r="A2538">
        <v>314023</v>
      </c>
      <c r="B2538">
        <v>0.32</v>
      </c>
      <c r="C2538">
        <v>1200</v>
      </c>
      <c r="D2538" s="9">
        <v>42472</v>
      </c>
      <c r="E2538" t="s">
        <v>296</v>
      </c>
      <c r="I2538" s="9"/>
    </row>
    <row r="2539" spans="1:9" x14ac:dyDescent="0.25">
      <c r="A2539">
        <v>314023</v>
      </c>
      <c r="B2539">
        <v>0.36299999999999999</v>
      </c>
      <c r="C2539">
        <v>1440</v>
      </c>
      <c r="D2539" s="9">
        <v>42136</v>
      </c>
      <c r="E2539" t="s">
        <v>296</v>
      </c>
      <c r="I2539" s="9"/>
    </row>
    <row r="2540" spans="1:9" x14ac:dyDescent="0.25">
      <c r="A2540">
        <v>314023</v>
      </c>
      <c r="B2540">
        <v>0.38</v>
      </c>
      <c r="C2540">
        <v>1920</v>
      </c>
      <c r="D2540" s="9">
        <v>41744</v>
      </c>
      <c r="E2540" t="s">
        <v>296</v>
      </c>
      <c r="I2540" s="9"/>
    </row>
    <row r="2541" spans="1:9" x14ac:dyDescent="0.25">
      <c r="A2541">
        <v>314027</v>
      </c>
      <c r="B2541">
        <v>0.55000000000000004</v>
      </c>
      <c r="C2541">
        <v>480</v>
      </c>
      <c r="D2541" s="9">
        <v>43578</v>
      </c>
      <c r="E2541" t="s">
        <v>296</v>
      </c>
      <c r="I2541" s="9"/>
    </row>
    <row r="2542" spans="1:9" x14ac:dyDescent="0.25">
      <c r="A2542">
        <v>314027</v>
      </c>
      <c r="B2542">
        <v>0.55000000000000004</v>
      </c>
      <c r="C2542">
        <v>1200</v>
      </c>
      <c r="D2542" s="9">
        <v>42844</v>
      </c>
      <c r="E2542" t="s">
        <v>296</v>
      </c>
      <c r="I2542" s="9"/>
    </row>
    <row r="2543" spans="1:9" x14ac:dyDescent="0.25">
      <c r="A2543">
        <v>314027</v>
      </c>
      <c r="B2543">
        <v>0.51300000000000001</v>
      </c>
      <c r="C2543">
        <v>960</v>
      </c>
      <c r="D2543" s="9">
        <v>42136</v>
      </c>
      <c r="E2543" t="s">
        <v>296</v>
      </c>
      <c r="I2543" s="9"/>
    </row>
    <row r="2544" spans="1:9" x14ac:dyDescent="0.25">
      <c r="A2544">
        <v>314027</v>
      </c>
      <c r="B2544">
        <v>0.53</v>
      </c>
      <c r="C2544">
        <v>1200</v>
      </c>
      <c r="D2544" s="9">
        <v>41744</v>
      </c>
      <c r="E2544" t="s">
        <v>296</v>
      </c>
      <c r="I2544" s="9"/>
    </row>
    <row r="2545" spans="1:9" x14ac:dyDescent="0.25">
      <c r="A2545">
        <v>314029</v>
      </c>
      <c r="B2545">
        <v>0.68</v>
      </c>
      <c r="C2545">
        <v>360</v>
      </c>
      <c r="D2545" s="9">
        <v>44005</v>
      </c>
      <c r="E2545" t="s">
        <v>296</v>
      </c>
      <c r="I2545" s="9"/>
    </row>
    <row r="2546" spans="1:9" x14ac:dyDescent="0.25">
      <c r="A2546">
        <v>314029</v>
      </c>
      <c r="B2546">
        <v>0.68</v>
      </c>
      <c r="C2546">
        <v>960</v>
      </c>
      <c r="D2546" s="9">
        <v>42892</v>
      </c>
      <c r="E2546" t="s">
        <v>296</v>
      </c>
      <c r="I2546" s="9"/>
    </row>
    <row r="2547" spans="1:9" x14ac:dyDescent="0.25">
      <c r="A2547">
        <v>314029</v>
      </c>
      <c r="B2547">
        <v>0.66300000000000003</v>
      </c>
      <c r="C2547">
        <v>960</v>
      </c>
      <c r="D2547" s="9">
        <v>42136</v>
      </c>
      <c r="E2547" t="s">
        <v>296</v>
      </c>
      <c r="I2547" s="9"/>
    </row>
    <row r="2548" spans="1:9" x14ac:dyDescent="0.25">
      <c r="A2548">
        <v>314060</v>
      </c>
      <c r="B2548">
        <v>3.61</v>
      </c>
      <c r="C2548">
        <v>240</v>
      </c>
      <c r="D2548" s="9">
        <v>43717</v>
      </c>
      <c r="E2548" t="s">
        <v>296</v>
      </c>
      <c r="I2548" s="9"/>
    </row>
    <row r="2549" spans="1:9" x14ac:dyDescent="0.25">
      <c r="A2549">
        <v>314060</v>
      </c>
      <c r="B2549">
        <v>3.61</v>
      </c>
      <c r="C2549">
        <v>120</v>
      </c>
      <c r="D2549" s="9">
        <v>43578</v>
      </c>
      <c r="E2549" t="s">
        <v>296</v>
      </c>
      <c r="I2549" s="9"/>
    </row>
    <row r="2550" spans="1:9" x14ac:dyDescent="0.25">
      <c r="A2550">
        <v>314400</v>
      </c>
      <c r="B2550">
        <v>5.6</v>
      </c>
      <c r="C2550">
        <v>90</v>
      </c>
      <c r="D2550" s="9">
        <v>42617</v>
      </c>
      <c r="E2550" t="s">
        <v>296</v>
      </c>
      <c r="I2550" s="9"/>
    </row>
    <row r="2551" spans="1:9" x14ac:dyDescent="0.25">
      <c r="A2551">
        <v>314400</v>
      </c>
      <c r="B2551">
        <v>5.6</v>
      </c>
      <c r="C2551">
        <v>60</v>
      </c>
      <c r="D2551" s="9">
        <v>42585</v>
      </c>
      <c r="E2551" t="s">
        <v>296</v>
      </c>
      <c r="I2551" s="9"/>
    </row>
    <row r="2552" spans="1:9" x14ac:dyDescent="0.25">
      <c r="A2552">
        <v>314400</v>
      </c>
      <c r="B2552">
        <v>5.85</v>
      </c>
      <c r="C2552">
        <v>120</v>
      </c>
      <c r="D2552" s="9">
        <v>42031</v>
      </c>
      <c r="E2552" t="s">
        <v>296</v>
      </c>
      <c r="I2552" s="9"/>
    </row>
    <row r="2553" spans="1:9" x14ac:dyDescent="0.25">
      <c r="A2553">
        <v>314400</v>
      </c>
      <c r="B2553">
        <v>6.85</v>
      </c>
      <c r="C2553">
        <v>20</v>
      </c>
      <c r="D2553" s="9">
        <v>41877</v>
      </c>
      <c r="E2553" t="s">
        <v>296</v>
      </c>
      <c r="I2553" s="9"/>
    </row>
    <row r="2554" spans="1:9" x14ac:dyDescent="0.25">
      <c r="A2554">
        <v>314410</v>
      </c>
      <c r="B2554">
        <v>1.375</v>
      </c>
      <c r="C2554">
        <v>400</v>
      </c>
      <c r="D2554" s="9">
        <v>41865</v>
      </c>
      <c r="E2554" t="s">
        <v>296</v>
      </c>
      <c r="I2554" s="9"/>
    </row>
    <row r="2555" spans="1:9" x14ac:dyDescent="0.25">
      <c r="A2555">
        <v>314410</v>
      </c>
      <c r="B2555">
        <v>1.375</v>
      </c>
      <c r="C2555">
        <v>360</v>
      </c>
      <c r="D2555" s="9">
        <v>41295</v>
      </c>
      <c r="E2555" t="s">
        <v>296</v>
      </c>
      <c r="I2555" s="9"/>
    </row>
    <row r="2556" spans="1:9" x14ac:dyDescent="0.25">
      <c r="A2556">
        <v>314413</v>
      </c>
      <c r="B2556">
        <v>1.742</v>
      </c>
      <c r="C2556">
        <v>360</v>
      </c>
      <c r="D2556" s="9">
        <v>41295</v>
      </c>
      <c r="E2556" t="s">
        <v>296</v>
      </c>
      <c r="I2556" s="9"/>
    </row>
    <row r="2557" spans="1:9" x14ac:dyDescent="0.25">
      <c r="A2557">
        <v>320080</v>
      </c>
      <c r="B2557">
        <v>0.3</v>
      </c>
      <c r="C2557">
        <v>1920</v>
      </c>
      <c r="D2557" s="9">
        <v>44097</v>
      </c>
      <c r="E2557" t="s">
        <v>296</v>
      </c>
      <c r="I2557" s="9"/>
    </row>
    <row r="2558" spans="1:9" x14ac:dyDescent="0.25">
      <c r="A2558">
        <v>320080</v>
      </c>
      <c r="B2558">
        <v>0.3</v>
      </c>
      <c r="C2558">
        <v>2400</v>
      </c>
      <c r="D2558" s="9">
        <v>43991</v>
      </c>
      <c r="E2558" t="s">
        <v>296</v>
      </c>
      <c r="I2558" s="9"/>
    </row>
    <row r="2559" spans="1:9" x14ac:dyDescent="0.25">
      <c r="A2559">
        <v>320080</v>
      </c>
      <c r="B2559">
        <v>0.3</v>
      </c>
      <c r="C2559">
        <v>2400</v>
      </c>
      <c r="D2559" s="9">
        <v>43769</v>
      </c>
      <c r="E2559" t="s">
        <v>296</v>
      </c>
      <c r="I2559" s="9"/>
    </row>
    <row r="2560" spans="1:9" x14ac:dyDescent="0.25">
      <c r="A2560">
        <v>320080</v>
      </c>
      <c r="B2560">
        <v>0.3</v>
      </c>
      <c r="C2560">
        <v>2400</v>
      </c>
      <c r="D2560" s="9">
        <v>43598</v>
      </c>
      <c r="E2560" t="s">
        <v>296</v>
      </c>
      <c r="I2560" s="9"/>
    </row>
    <row r="2561" spans="1:9" x14ac:dyDescent="0.25">
      <c r="A2561">
        <v>320080</v>
      </c>
      <c r="B2561">
        <v>1.1100000000000001</v>
      </c>
      <c r="C2561">
        <v>2640</v>
      </c>
      <c r="D2561" s="9">
        <v>43123</v>
      </c>
      <c r="E2561" t="s">
        <v>295</v>
      </c>
      <c r="I2561" s="9"/>
    </row>
    <row r="2562" spans="1:9" x14ac:dyDescent="0.25">
      <c r="A2562">
        <v>320080</v>
      </c>
      <c r="B2562">
        <v>0.29499999999999998</v>
      </c>
      <c r="C2562">
        <v>4800</v>
      </c>
      <c r="D2562" s="9">
        <v>43067</v>
      </c>
      <c r="E2562" t="s">
        <v>296</v>
      </c>
      <c r="I2562" s="9"/>
    </row>
    <row r="2563" spans="1:9" x14ac:dyDescent="0.25">
      <c r="A2563">
        <v>320080</v>
      </c>
      <c r="B2563">
        <v>0.28999999999999998</v>
      </c>
      <c r="C2563">
        <v>3600</v>
      </c>
      <c r="D2563" s="9">
        <v>42859</v>
      </c>
      <c r="E2563" t="s">
        <v>296</v>
      </c>
      <c r="I2563" s="9"/>
    </row>
    <row r="2564" spans="1:9" x14ac:dyDescent="0.25">
      <c r="A2564">
        <v>320080</v>
      </c>
      <c r="B2564">
        <v>0.31</v>
      </c>
      <c r="C2564">
        <v>6000</v>
      </c>
      <c r="D2564" s="9">
        <v>42380</v>
      </c>
      <c r="E2564" t="s">
        <v>296</v>
      </c>
      <c r="I2564" s="9"/>
    </row>
    <row r="2565" spans="1:9" x14ac:dyDescent="0.25">
      <c r="A2565">
        <v>320080</v>
      </c>
      <c r="B2565">
        <v>0.31</v>
      </c>
      <c r="C2565">
        <v>4800</v>
      </c>
      <c r="D2565" s="9">
        <v>42144</v>
      </c>
      <c r="E2565" t="s">
        <v>296</v>
      </c>
      <c r="I2565" s="9"/>
    </row>
    <row r="2566" spans="1:9" x14ac:dyDescent="0.25">
      <c r="A2566">
        <v>320080</v>
      </c>
      <c r="B2566">
        <v>1.1299999999999999</v>
      </c>
      <c r="C2566">
        <v>4800</v>
      </c>
      <c r="D2566" s="9">
        <v>42011</v>
      </c>
      <c r="E2566" t="s">
        <v>295</v>
      </c>
      <c r="I2566" s="9"/>
    </row>
    <row r="2567" spans="1:9" x14ac:dyDescent="0.25">
      <c r="A2567">
        <v>320080</v>
      </c>
      <c r="B2567">
        <v>0.32</v>
      </c>
      <c r="C2567">
        <v>4800</v>
      </c>
      <c r="D2567" s="9">
        <v>41961</v>
      </c>
      <c r="E2567" t="s">
        <v>296</v>
      </c>
      <c r="I2567" s="9"/>
    </row>
    <row r="2568" spans="1:9" x14ac:dyDescent="0.25">
      <c r="A2568">
        <v>320080</v>
      </c>
      <c r="B2568">
        <v>0.32</v>
      </c>
      <c r="C2568">
        <v>1080</v>
      </c>
      <c r="D2568" s="9">
        <v>41947</v>
      </c>
      <c r="E2568" t="s">
        <v>296</v>
      </c>
      <c r="I2568" s="9"/>
    </row>
    <row r="2569" spans="1:9" x14ac:dyDescent="0.25">
      <c r="A2569">
        <v>320080</v>
      </c>
      <c r="B2569">
        <v>0.32800000000000001</v>
      </c>
      <c r="C2569">
        <v>3120</v>
      </c>
      <c r="D2569" s="9">
        <v>41747</v>
      </c>
      <c r="E2569" t="s">
        <v>296</v>
      </c>
      <c r="I2569" s="9"/>
    </row>
    <row r="2570" spans="1:9" x14ac:dyDescent="0.25">
      <c r="A2570">
        <v>320080</v>
      </c>
      <c r="B2570">
        <v>0.32800000000000001</v>
      </c>
      <c r="C2570">
        <v>2400</v>
      </c>
      <c r="D2570" s="9">
        <v>41746</v>
      </c>
      <c r="E2570" t="s">
        <v>296</v>
      </c>
      <c r="I2570" s="9"/>
    </row>
    <row r="2571" spans="1:9" x14ac:dyDescent="0.25">
      <c r="A2571">
        <v>320080</v>
      </c>
      <c r="B2571">
        <v>0.32800000000000001</v>
      </c>
      <c r="C2571">
        <v>3600</v>
      </c>
      <c r="D2571" s="9">
        <v>41647</v>
      </c>
      <c r="E2571" t="s">
        <v>296</v>
      </c>
      <c r="I2571" s="9"/>
    </row>
    <row r="2572" spans="1:9" x14ac:dyDescent="0.25">
      <c r="A2572">
        <v>320080</v>
      </c>
      <c r="B2572">
        <v>1.2</v>
      </c>
      <c r="C2572">
        <v>600</v>
      </c>
      <c r="D2572" s="9">
        <v>41625</v>
      </c>
      <c r="E2572" t="s">
        <v>295</v>
      </c>
      <c r="I2572" s="9"/>
    </row>
    <row r="2573" spans="1:9" x14ac:dyDescent="0.25">
      <c r="A2573">
        <v>320080</v>
      </c>
      <c r="B2573">
        <v>1.2</v>
      </c>
      <c r="C2573">
        <v>600</v>
      </c>
      <c r="D2573" s="9">
        <v>41625</v>
      </c>
      <c r="E2573" t="s">
        <v>295</v>
      </c>
      <c r="I2573" s="9"/>
    </row>
    <row r="2574" spans="1:9" x14ac:dyDescent="0.25">
      <c r="A2574">
        <v>320080</v>
      </c>
      <c r="B2574">
        <v>0.32</v>
      </c>
      <c r="C2574">
        <v>2880</v>
      </c>
      <c r="D2574" s="9">
        <v>41571</v>
      </c>
      <c r="E2574" t="s">
        <v>296</v>
      </c>
      <c r="I2574" s="9"/>
    </row>
    <row r="2575" spans="1:9" x14ac:dyDescent="0.25">
      <c r="A2575">
        <v>320080</v>
      </c>
      <c r="B2575">
        <v>0.32</v>
      </c>
      <c r="C2575">
        <v>3840</v>
      </c>
      <c r="D2575" s="9">
        <v>41375</v>
      </c>
      <c r="E2575" t="s">
        <v>296</v>
      </c>
      <c r="I2575" s="9"/>
    </row>
    <row r="2576" spans="1:9" x14ac:dyDescent="0.25">
      <c r="A2576">
        <v>320080</v>
      </c>
      <c r="B2576">
        <v>0.32</v>
      </c>
      <c r="C2576">
        <v>2880</v>
      </c>
      <c r="D2576" s="9">
        <v>41330</v>
      </c>
      <c r="E2576" t="s">
        <v>296</v>
      </c>
      <c r="I2576" s="9"/>
    </row>
    <row r="2577" spans="1:9" x14ac:dyDescent="0.25">
      <c r="A2577">
        <v>320080</v>
      </c>
      <c r="B2577">
        <v>0.32800000000000001</v>
      </c>
      <c r="C2577">
        <v>3600</v>
      </c>
      <c r="D2577" s="9">
        <v>41288</v>
      </c>
      <c r="E2577" t="s">
        <v>296</v>
      </c>
      <c r="I2577" s="9"/>
    </row>
    <row r="2578" spans="1:9" x14ac:dyDescent="0.25">
      <c r="A2578">
        <v>320250</v>
      </c>
      <c r="B2578">
        <v>0.81899999999999995</v>
      </c>
      <c r="C2578">
        <v>960</v>
      </c>
      <c r="D2578" s="9">
        <v>41418</v>
      </c>
      <c r="E2578" t="s">
        <v>296</v>
      </c>
      <c r="I2578" s="9"/>
    </row>
    <row r="2579" spans="1:9" x14ac:dyDescent="0.25">
      <c r="A2579">
        <v>321090</v>
      </c>
      <c r="B2579">
        <v>0.84</v>
      </c>
      <c r="C2579">
        <v>2160</v>
      </c>
      <c r="D2579" s="9">
        <v>44140</v>
      </c>
      <c r="E2579" t="s">
        <v>296</v>
      </c>
      <c r="I2579" s="9"/>
    </row>
    <row r="2580" spans="1:9" x14ac:dyDescent="0.25">
      <c r="A2580">
        <v>321090</v>
      </c>
      <c r="B2580">
        <v>0.84</v>
      </c>
      <c r="C2580">
        <v>600</v>
      </c>
      <c r="D2580" s="9">
        <v>44060</v>
      </c>
      <c r="E2580" t="s">
        <v>296</v>
      </c>
      <c r="I2580" s="9"/>
    </row>
    <row r="2581" spans="1:9" x14ac:dyDescent="0.25">
      <c r="A2581">
        <v>321090</v>
      </c>
      <c r="B2581">
        <v>0.84</v>
      </c>
      <c r="C2581">
        <v>600</v>
      </c>
      <c r="D2581" s="9">
        <v>43991</v>
      </c>
      <c r="E2581" t="s">
        <v>296</v>
      </c>
      <c r="I2581" s="9"/>
    </row>
    <row r="2582" spans="1:9" x14ac:dyDescent="0.25">
      <c r="A2582">
        <v>321090</v>
      </c>
      <c r="B2582">
        <v>0.84</v>
      </c>
      <c r="C2582">
        <v>600</v>
      </c>
      <c r="D2582" s="9">
        <v>43959</v>
      </c>
      <c r="E2582" t="s">
        <v>296</v>
      </c>
      <c r="I2582" s="9"/>
    </row>
    <row r="2583" spans="1:9" x14ac:dyDescent="0.25">
      <c r="A2583">
        <v>321090</v>
      </c>
      <c r="B2583">
        <v>0.8</v>
      </c>
      <c r="C2583">
        <v>2400</v>
      </c>
      <c r="D2583" s="9">
        <v>43837</v>
      </c>
      <c r="E2583" t="s">
        <v>296</v>
      </c>
      <c r="I2583" s="9"/>
    </row>
    <row r="2584" spans="1:9" x14ac:dyDescent="0.25">
      <c r="A2584">
        <v>321090</v>
      </c>
      <c r="B2584">
        <v>0.84</v>
      </c>
      <c r="C2584">
        <v>1200</v>
      </c>
      <c r="D2584" s="9">
        <v>43769</v>
      </c>
      <c r="E2584" t="s">
        <v>296</v>
      </c>
      <c r="I2584" s="9"/>
    </row>
    <row r="2585" spans="1:9" x14ac:dyDescent="0.25">
      <c r="A2585">
        <v>321090</v>
      </c>
      <c r="B2585">
        <v>0.84</v>
      </c>
      <c r="C2585">
        <v>1200</v>
      </c>
      <c r="D2585" s="9">
        <v>43684</v>
      </c>
      <c r="E2585" t="s">
        <v>296</v>
      </c>
      <c r="I2585" s="9"/>
    </row>
    <row r="2586" spans="1:9" x14ac:dyDescent="0.25">
      <c r="A2586">
        <v>321090</v>
      </c>
      <c r="B2586">
        <v>0.84</v>
      </c>
      <c r="C2586">
        <v>2400</v>
      </c>
      <c r="D2586" s="9">
        <v>43409</v>
      </c>
      <c r="E2586" t="s">
        <v>296</v>
      </c>
      <c r="I2586" s="9"/>
    </row>
    <row r="2587" spans="1:9" x14ac:dyDescent="0.25">
      <c r="A2587">
        <v>321090</v>
      </c>
      <c r="B2587">
        <v>3.53</v>
      </c>
      <c r="C2587">
        <v>2100</v>
      </c>
      <c r="D2587" s="9">
        <v>43285</v>
      </c>
      <c r="E2587" t="s">
        <v>295</v>
      </c>
      <c r="I2587" s="9"/>
    </row>
    <row r="2588" spans="1:9" x14ac:dyDescent="0.25">
      <c r="A2588">
        <v>321090</v>
      </c>
      <c r="B2588">
        <v>3.03</v>
      </c>
      <c r="C2588">
        <v>2400</v>
      </c>
      <c r="D2588" s="9">
        <v>43123</v>
      </c>
      <c r="E2588" t="s">
        <v>295</v>
      </c>
      <c r="I2588" s="9"/>
    </row>
    <row r="2589" spans="1:9" x14ac:dyDescent="0.25">
      <c r="A2589">
        <v>321090</v>
      </c>
      <c r="B2589">
        <v>0.82</v>
      </c>
      <c r="C2589">
        <v>2400</v>
      </c>
      <c r="D2589" s="9">
        <v>43067</v>
      </c>
      <c r="E2589" t="s">
        <v>296</v>
      </c>
      <c r="I2589" s="9"/>
    </row>
    <row r="2590" spans="1:9" x14ac:dyDescent="0.25">
      <c r="A2590">
        <v>321090</v>
      </c>
      <c r="B2590">
        <v>0.82</v>
      </c>
      <c r="C2590">
        <v>1800</v>
      </c>
      <c r="D2590" s="9">
        <v>42859</v>
      </c>
      <c r="E2590" t="s">
        <v>296</v>
      </c>
      <c r="I2590" s="9"/>
    </row>
    <row r="2591" spans="1:9" x14ac:dyDescent="0.25">
      <c r="A2591">
        <v>321090</v>
      </c>
      <c r="B2591">
        <v>1.03</v>
      </c>
      <c r="C2591">
        <v>1800</v>
      </c>
      <c r="D2591" s="9">
        <v>42719</v>
      </c>
      <c r="E2591" t="s">
        <v>296</v>
      </c>
      <c r="I2591" s="9"/>
    </row>
    <row r="2592" spans="1:9" x14ac:dyDescent="0.25">
      <c r="A2592">
        <v>321090</v>
      </c>
      <c r="B2592">
        <v>1.03</v>
      </c>
      <c r="C2592">
        <v>1800</v>
      </c>
      <c r="D2592" s="9">
        <v>42660</v>
      </c>
      <c r="E2592" t="s">
        <v>296</v>
      </c>
      <c r="I2592" s="9"/>
    </row>
    <row r="2593" spans="1:9" x14ac:dyDescent="0.25">
      <c r="A2593">
        <v>321090</v>
      </c>
      <c r="B2593">
        <v>1.03</v>
      </c>
      <c r="C2593">
        <v>1080</v>
      </c>
      <c r="D2593" s="9">
        <v>42660</v>
      </c>
      <c r="E2593" t="s">
        <v>296</v>
      </c>
      <c r="I2593" s="9"/>
    </row>
    <row r="2594" spans="1:9" x14ac:dyDescent="0.25">
      <c r="A2594">
        <v>321090</v>
      </c>
      <c r="B2594">
        <v>1.03</v>
      </c>
      <c r="C2594">
        <v>1800</v>
      </c>
      <c r="D2594" s="9">
        <v>42530</v>
      </c>
      <c r="E2594" t="s">
        <v>296</v>
      </c>
      <c r="I2594" s="9"/>
    </row>
    <row r="2595" spans="1:9" x14ac:dyDescent="0.25">
      <c r="A2595">
        <v>321090</v>
      </c>
      <c r="B2595">
        <v>1.056</v>
      </c>
      <c r="C2595">
        <v>1800</v>
      </c>
      <c r="D2595" s="9">
        <v>42401</v>
      </c>
      <c r="E2595" t="s">
        <v>297</v>
      </c>
      <c r="I2595" s="9"/>
    </row>
    <row r="2596" spans="1:9" x14ac:dyDescent="0.25">
      <c r="A2596">
        <v>321090</v>
      </c>
      <c r="B2596">
        <v>1.056</v>
      </c>
      <c r="C2596">
        <v>1440</v>
      </c>
      <c r="D2596" s="9">
        <v>42186</v>
      </c>
      <c r="E2596" t="s">
        <v>297</v>
      </c>
      <c r="I2596" s="9"/>
    </row>
    <row r="2597" spans="1:9" x14ac:dyDescent="0.25">
      <c r="A2597">
        <v>321090</v>
      </c>
      <c r="B2597">
        <v>1.149</v>
      </c>
      <c r="C2597">
        <v>1440</v>
      </c>
      <c r="D2597" s="9">
        <v>42040</v>
      </c>
      <c r="E2597" t="s">
        <v>296</v>
      </c>
      <c r="I2597" s="9"/>
    </row>
    <row r="2598" spans="1:9" x14ac:dyDescent="0.25">
      <c r="A2598">
        <v>321090</v>
      </c>
      <c r="B2598">
        <v>1.149</v>
      </c>
      <c r="C2598">
        <v>1800</v>
      </c>
      <c r="D2598" s="9">
        <v>41865</v>
      </c>
      <c r="E2598" t="s">
        <v>296</v>
      </c>
      <c r="I2598" s="9"/>
    </row>
    <row r="2599" spans="1:9" x14ac:dyDescent="0.25">
      <c r="A2599">
        <v>321090</v>
      </c>
      <c r="B2599">
        <v>1.1259999999999999</v>
      </c>
      <c r="C2599">
        <v>1800</v>
      </c>
      <c r="D2599" s="9">
        <v>41682</v>
      </c>
      <c r="E2599" t="s">
        <v>296</v>
      </c>
      <c r="I2599" s="9"/>
    </row>
    <row r="2600" spans="1:9" x14ac:dyDescent="0.25">
      <c r="A2600">
        <v>321090</v>
      </c>
      <c r="B2600">
        <v>1.1259999999999999</v>
      </c>
      <c r="C2600">
        <v>2016</v>
      </c>
      <c r="D2600" s="9">
        <v>41535</v>
      </c>
      <c r="E2600" t="s">
        <v>296</v>
      </c>
      <c r="I2600" s="9"/>
    </row>
    <row r="2601" spans="1:9" x14ac:dyDescent="0.25">
      <c r="A2601">
        <v>321090</v>
      </c>
      <c r="B2601">
        <v>1.1259999999999999</v>
      </c>
      <c r="C2601">
        <v>1728</v>
      </c>
      <c r="D2601" s="9">
        <v>41418</v>
      </c>
      <c r="E2601" t="s">
        <v>296</v>
      </c>
      <c r="I2601" s="9"/>
    </row>
    <row r="2602" spans="1:9" x14ac:dyDescent="0.25">
      <c r="A2602">
        <v>321091</v>
      </c>
      <c r="B2602">
        <v>0.8</v>
      </c>
      <c r="C2602">
        <v>840</v>
      </c>
      <c r="D2602" s="9">
        <v>44140</v>
      </c>
      <c r="E2602" t="s">
        <v>296</v>
      </c>
      <c r="I2602" s="9"/>
    </row>
    <row r="2603" spans="1:9" x14ac:dyDescent="0.25">
      <c r="A2603">
        <v>321091</v>
      </c>
      <c r="B2603">
        <v>0.8</v>
      </c>
      <c r="C2603">
        <v>600</v>
      </c>
      <c r="D2603" s="9">
        <v>44060</v>
      </c>
      <c r="E2603" t="s">
        <v>296</v>
      </c>
      <c r="I2603" s="9"/>
    </row>
    <row r="2604" spans="1:9" x14ac:dyDescent="0.25">
      <c r="A2604">
        <v>321091</v>
      </c>
      <c r="B2604">
        <v>0.8</v>
      </c>
      <c r="C2604">
        <v>1200</v>
      </c>
      <c r="D2604" s="9">
        <v>43409</v>
      </c>
      <c r="E2604" t="s">
        <v>296</v>
      </c>
      <c r="I2604" s="9"/>
    </row>
    <row r="2605" spans="1:9" x14ac:dyDescent="0.25">
      <c r="A2605">
        <v>321091</v>
      </c>
      <c r="B2605">
        <v>3.76</v>
      </c>
      <c r="C2605">
        <v>720</v>
      </c>
      <c r="D2605" s="9">
        <v>43285</v>
      </c>
      <c r="E2605" t="s">
        <v>295</v>
      </c>
      <c r="I2605" s="9"/>
    </row>
    <row r="2606" spans="1:9" x14ac:dyDescent="0.25">
      <c r="A2606">
        <v>321091</v>
      </c>
      <c r="B2606">
        <v>3.76</v>
      </c>
      <c r="C2606">
        <v>660</v>
      </c>
      <c r="D2606" s="9">
        <v>43285</v>
      </c>
      <c r="E2606" t="s">
        <v>295</v>
      </c>
      <c r="I2606" s="9"/>
    </row>
    <row r="2607" spans="1:9" x14ac:dyDescent="0.25">
      <c r="A2607">
        <v>321091</v>
      </c>
      <c r="B2607">
        <v>0.92</v>
      </c>
      <c r="C2607">
        <v>720</v>
      </c>
      <c r="D2607" s="9">
        <v>43234</v>
      </c>
      <c r="E2607" t="s">
        <v>296</v>
      </c>
      <c r="I2607" s="9"/>
    </row>
    <row r="2608" spans="1:9" x14ac:dyDescent="0.25">
      <c r="A2608">
        <v>321091</v>
      </c>
      <c r="B2608">
        <v>0.8</v>
      </c>
      <c r="C2608">
        <v>660</v>
      </c>
      <c r="D2608" s="9">
        <v>43234</v>
      </c>
      <c r="E2608" t="s">
        <v>296</v>
      </c>
      <c r="I2608" s="9"/>
    </row>
    <row r="2609" spans="1:9" x14ac:dyDescent="0.25">
      <c r="A2609">
        <v>321091</v>
      </c>
      <c r="B2609">
        <v>0.92</v>
      </c>
      <c r="C2609">
        <v>1080</v>
      </c>
      <c r="D2609" s="9">
        <v>42781</v>
      </c>
      <c r="E2609" t="s">
        <v>296</v>
      </c>
      <c r="I2609" s="9"/>
    </row>
    <row r="2610" spans="1:9" x14ac:dyDescent="0.25">
      <c r="A2610">
        <v>321091</v>
      </c>
      <c r="B2610">
        <v>1</v>
      </c>
      <c r="C2610">
        <v>1200</v>
      </c>
      <c r="D2610" s="9">
        <v>42144</v>
      </c>
      <c r="E2610" t="s">
        <v>296</v>
      </c>
      <c r="I2610" s="9"/>
    </row>
    <row r="2611" spans="1:9" x14ac:dyDescent="0.25">
      <c r="A2611">
        <v>321091</v>
      </c>
      <c r="B2611">
        <v>1</v>
      </c>
      <c r="C2611">
        <v>960</v>
      </c>
      <c r="D2611" s="9">
        <v>41947</v>
      </c>
      <c r="E2611" t="s">
        <v>296</v>
      </c>
      <c r="I2611" s="9"/>
    </row>
    <row r="2612" spans="1:9" x14ac:dyDescent="0.25">
      <c r="A2612">
        <v>321091</v>
      </c>
      <c r="B2612">
        <v>1</v>
      </c>
      <c r="C2612">
        <v>1200</v>
      </c>
      <c r="D2612" s="9">
        <v>41571</v>
      </c>
      <c r="E2612" t="s">
        <v>296</v>
      </c>
      <c r="I2612" s="9"/>
    </row>
    <row r="2613" spans="1:9" x14ac:dyDescent="0.25">
      <c r="A2613">
        <v>321092</v>
      </c>
      <c r="B2613">
        <v>0.68</v>
      </c>
      <c r="C2613">
        <v>1440</v>
      </c>
      <c r="D2613" s="9">
        <v>44083</v>
      </c>
      <c r="E2613" t="s">
        <v>296</v>
      </c>
      <c r="I2613" s="9"/>
    </row>
    <row r="2614" spans="1:9" x14ac:dyDescent="0.25">
      <c r="A2614">
        <v>321092</v>
      </c>
      <c r="B2614">
        <v>0.68</v>
      </c>
      <c r="C2614">
        <v>1440</v>
      </c>
      <c r="D2614" s="9">
        <v>43837</v>
      </c>
      <c r="E2614" t="s">
        <v>296</v>
      </c>
      <c r="I2614" s="9"/>
    </row>
    <row r="2615" spans="1:9" x14ac:dyDescent="0.25">
      <c r="A2615">
        <v>321092</v>
      </c>
      <c r="B2615">
        <v>2.74</v>
      </c>
      <c r="C2615">
        <v>1872</v>
      </c>
      <c r="D2615" s="9">
        <v>43285</v>
      </c>
      <c r="E2615" t="s">
        <v>295</v>
      </c>
      <c r="I2615" s="9"/>
    </row>
    <row r="2616" spans="1:9" x14ac:dyDescent="0.25">
      <c r="A2616">
        <v>321092</v>
      </c>
      <c r="B2616">
        <v>0.66</v>
      </c>
      <c r="C2616">
        <v>1872</v>
      </c>
      <c r="D2616" s="9">
        <v>43234</v>
      </c>
      <c r="E2616" t="s">
        <v>296</v>
      </c>
      <c r="I2616" s="9"/>
    </row>
    <row r="2617" spans="1:9" x14ac:dyDescent="0.25">
      <c r="A2617">
        <v>321092</v>
      </c>
      <c r="B2617">
        <v>0.64</v>
      </c>
      <c r="C2617">
        <v>1440</v>
      </c>
      <c r="D2617" s="9">
        <v>42859</v>
      </c>
      <c r="E2617" t="s">
        <v>296</v>
      </c>
      <c r="I2617" s="9"/>
    </row>
    <row r="2618" spans="1:9" x14ac:dyDescent="0.25">
      <c r="A2618">
        <v>321092</v>
      </c>
      <c r="B2618">
        <v>0.64</v>
      </c>
      <c r="C2618">
        <v>2160</v>
      </c>
      <c r="D2618" s="9">
        <v>42781</v>
      </c>
      <c r="E2618" t="s">
        <v>296</v>
      </c>
      <c r="I2618" s="9"/>
    </row>
    <row r="2619" spans="1:9" x14ac:dyDescent="0.25">
      <c r="A2619">
        <v>321092</v>
      </c>
      <c r="B2619">
        <v>0.67500000000000004</v>
      </c>
      <c r="C2619">
        <v>1152</v>
      </c>
      <c r="D2619" s="9">
        <v>42494</v>
      </c>
      <c r="E2619" t="s">
        <v>296</v>
      </c>
      <c r="I2619" s="9"/>
    </row>
    <row r="2620" spans="1:9" x14ac:dyDescent="0.25">
      <c r="A2620">
        <v>321092</v>
      </c>
      <c r="B2620">
        <v>0.78</v>
      </c>
      <c r="C2620">
        <v>1800</v>
      </c>
      <c r="D2620" s="9">
        <v>42325</v>
      </c>
      <c r="E2620" t="s">
        <v>296</v>
      </c>
      <c r="I2620" s="9"/>
    </row>
    <row r="2621" spans="1:9" x14ac:dyDescent="0.25">
      <c r="A2621">
        <v>321092</v>
      </c>
      <c r="B2621">
        <v>0.88</v>
      </c>
      <c r="C2621">
        <v>1800</v>
      </c>
      <c r="D2621" s="9">
        <v>42186</v>
      </c>
      <c r="E2621" t="s">
        <v>297</v>
      </c>
      <c r="I2621" s="9"/>
    </row>
    <row r="2622" spans="1:9" x14ac:dyDescent="0.25">
      <c r="A2622">
        <v>321092</v>
      </c>
      <c r="B2622">
        <v>4.05</v>
      </c>
      <c r="C2622">
        <v>1</v>
      </c>
      <c r="D2622" s="9">
        <v>41884</v>
      </c>
      <c r="E2622" t="s">
        <v>295</v>
      </c>
      <c r="I2622" s="9"/>
    </row>
    <row r="2623" spans="1:9" x14ac:dyDescent="0.25">
      <c r="A2623">
        <v>321092</v>
      </c>
      <c r="B2623">
        <v>0.93600000000000005</v>
      </c>
      <c r="C2623">
        <v>1800</v>
      </c>
      <c r="D2623" s="9">
        <v>41865</v>
      </c>
      <c r="E2623" t="s">
        <v>296</v>
      </c>
      <c r="I2623" s="9"/>
    </row>
    <row r="2624" spans="1:9" x14ac:dyDescent="0.25">
      <c r="A2624">
        <v>321092</v>
      </c>
      <c r="B2624">
        <v>0.91800000000000004</v>
      </c>
      <c r="C2624">
        <v>1800</v>
      </c>
      <c r="D2624" s="9">
        <v>41821</v>
      </c>
      <c r="E2624" t="s">
        <v>296</v>
      </c>
      <c r="I2624" s="9"/>
    </row>
    <row r="2625" spans="1:9" x14ac:dyDescent="0.25">
      <c r="A2625">
        <v>321092</v>
      </c>
      <c r="B2625">
        <v>2.82</v>
      </c>
      <c r="C2625">
        <v>1800</v>
      </c>
      <c r="D2625" s="9">
        <v>41821</v>
      </c>
      <c r="E2625" t="s">
        <v>295</v>
      </c>
      <c r="I2625" s="9"/>
    </row>
    <row r="2626" spans="1:9" x14ac:dyDescent="0.25">
      <c r="A2626">
        <v>321092</v>
      </c>
      <c r="B2626">
        <v>0.78</v>
      </c>
      <c r="C2626">
        <v>1800</v>
      </c>
      <c r="D2626" s="9">
        <v>41571</v>
      </c>
      <c r="E2626" t="s">
        <v>296</v>
      </c>
      <c r="I2626" s="9"/>
    </row>
    <row r="2627" spans="1:9" x14ac:dyDescent="0.25">
      <c r="A2627">
        <v>321092</v>
      </c>
      <c r="B2627">
        <v>0.78</v>
      </c>
      <c r="C2627">
        <v>1800</v>
      </c>
      <c r="D2627" s="9">
        <v>41375</v>
      </c>
      <c r="E2627" t="s">
        <v>296</v>
      </c>
      <c r="I2627" s="9"/>
    </row>
    <row r="2628" spans="1:9" x14ac:dyDescent="0.25">
      <c r="A2628">
        <v>321092</v>
      </c>
      <c r="B2628">
        <v>0.78</v>
      </c>
      <c r="C2628">
        <v>1200</v>
      </c>
      <c r="D2628" s="9">
        <v>41330</v>
      </c>
      <c r="E2628" t="s">
        <v>296</v>
      </c>
      <c r="I2628" s="9"/>
    </row>
    <row r="2629" spans="1:9" x14ac:dyDescent="0.25">
      <c r="A2629">
        <v>321092</v>
      </c>
      <c r="B2629">
        <v>0.78</v>
      </c>
      <c r="C2629">
        <v>1980</v>
      </c>
      <c r="D2629" s="9">
        <v>41288</v>
      </c>
      <c r="E2629" t="s">
        <v>296</v>
      </c>
      <c r="I2629" s="9"/>
    </row>
    <row r="2630" spans="1:9" x14ac:dyDescent="0.25">
      <c r="A2630">
        <v>321170</v>
      </c>
      <c r="B2630">
        <v>0.56999999999999995</v>
      </c>
      <c r="C2630">
        <v>720</v>
      </c>
      <c r="D2630" s="9">
        <v>43991</v>
      </c>
      <c r="E2630" t="s">
        <v>296</v>
      </c>
      <c r="I2630" s="9"/>
    </row>
    <row r="2631" spans="1:9" x14ac:dyDescent="0.25">
      <c r="A2631">
        <v>321170</v>
      </c>
      <c r="B2631">
        <v>0.6</v>
      </c>
      <c r="C2631">
        <v>1200</v>
      </c>
      <c r="D2631" s="9">
        <v>43959</v>
      </c>
      <c r="E2631" t="s">
        <v>296</v>
      </c>
      <c r="I2631" s="9"/>
    </row>
    <row r="2632" spans="1:9" x14ac:dyDescent="0.25">
      <c r="A2632">
        <v>321170</v>
      </c>
      <c r="B2632">
        <v>0.56000000000000005</v>
      </c>
      <c r="C2632">
        <v>960</v>
      </c>
      <c r="D2632" s="9">
        <v>42859</v>
      </c>
      <c r="E2632" t="s">
        <v>296</v>
      </c>
      <c r="I2632" s="9"/>
    </row>
    <row r="2633" spans="1:9" x14ac:dyDescent="0.25">
      <c r="A2633">
        <v>321170</v>
      </c>
      <c r="B2633">
        <v>0.58099999999999996</v>
      </c>
      <c r="C2633">
        <v>1020</v>
      </c>
      <c r="D2633" s="9">
        <v>42859</v>
      </c>
      <c r="E2633" t="s">
        <v>296</v>
      </c>
      <c r="I2633" s="9"/>
    </row>
    <row r="2634" spans="1:9" x14ac:dyDescent="0.25">
      <c r="A2634">
        <v>321170</v>
      </c>
      <c r="B2634">
        <v>0.57999999999999996</v>
      </c>
      <c r="C2634">
        <v>840</v>
      </c>
      <c r="D2634" s="9">
        <v>41837</v>
      </c>
      <c r="E2634" t="s">
        <v>296</v>
      </c>
      <c r="I2634" s="9"/>
    </row>
    <row r="2635" spans="1:9" x14ac:dyDescent="0.25">
      <c r="A2635">
        <v>321170</v>
      </c>
      <c r="B2635">
        <v>0.57999999999999996</v>
      </c>
      <c r="C2635">
        <v>780</v>
      </c>
      <c r="D2635" s="9">
        <v>41837</v>
      </c>
      <c r="E2635" t="s">
        <v>296</v>
      </c>
      <c r="I2635" s="9"/>
    </row>
    <row r="2636" spans="1:9" x14ac:dyDescent="0.25">
      <c r="A2636">
        <v>321190</v>
      </c>
      <c r="B2636">
        <v>0.85</v>
      </c>
      <c r="C2636">
        <v>1440</v>
      </c>
      <c r="D2636" s="9">
        <v>44140</v>
      </c>
      <c r="E2636" t="s">
        <v>296</v>
      </c>
      <c r="I2636" s="9"/>
    </row>
    <row r="2637" spans="1:9" x14ac:dyDescent="0.25">
      <c r="A2637">
        <v>321190</v>
      </c>
      <c r="B2637">
        <v>0.85</v>
      </c>
      <c r="C2637">
        <v>1200</v>
      </c>
      <c r="D2637" s="9">
        <v>44060</v>
      </c>
      <c r="E2637" t="s">
        <v>296</v>
      </c>
      <c r="I2637" s="9"/>
    </row>
    <row r="2638" spans="1:9" x14ac:dyDescent="0.25">
      <c r="A2638">
        <v>321190</v>
      </c>
      <c r="B2638">
        <v>0.85</v>
      </c>
      <c r="C2638">
        <v>1200</v>
      </c>
      <c r="D2638" s="9">
        <v>43991</v>
      </c>
      <c r="E2638" t="s">
        <v>296</v>
      </c>
      <c r="I2638" s="9"/>
    </row>
    <row r="2639" spans="1:9" x14ac:dyDescent="0.25">
      <c r="A2639">
        <v>321190</v>
      </c>
      <c r="B2639">
        <v>0.85</v>
      </c>
      <c r="C2639">
        <v>1440</v>
      </c>
      <c r="D2639" s="9">
        <v>43769</v>
      </c>
      <c r="E2639" t="s">
        <v>296</v>
      </c>
      <c r="I2639" s="9"/>
    </row>
    <row r="2640" spans="1:9" x14ac:dyDescent="0.25">
      <c r="A2640">
        <v>321190</v>
      </c>
      <c r="B2640">
        <v>0.85</v>
      </c>
      <c r="C2640">
        <v>1800</v>
      </c>
      <c r="D2640" s="9">
        <v>43409</v>
      </c>
      <c r="E2640" t="s">
        <v>296</v>
      </c>
      <c r="I2640" s="9"/>
    </row>
    <row r="2641" spans="1:9" x14ac:dyDescent="0.25">
      <c r="A2641">
        <v>321190</v>
      </c>
      <c r="B2641">
        <v>5.12</v>
      </c>
      <c r="C2641">
        <v>12</v>
      </c>
      <c r="D2641" s="9">
        <v>43265</v>
      </c>
      <c r="E2641" t="s">
        <v>295</v>
      </c>
      <c r="I2641" s="9"/>
    </row>
    <row r="2642" spans="1:9" x14ac:dyDescent="0.25">
      <c r="A2642">
        <v>321190</v>
      </c>
      <c r="B2642">
        <v>0.9</v>
      </c>
      <c r="C2642">
        <v>2100</v>
      </c>
      <c r="D2642" s="9">
        <v>43234</v>
      </c>
      <c r="E2642" t="s">
        <v>296</v>
      </c>
      <c r="I2642" s="9"/>
    </row>
    <row r="2643" spans="1:9" x14ac:dyDescent="0.25">
      <c r="A2643">
        <v>321190</v>
      </c>
      <c r="B2643">
        <v>3.17</v>
      </c>
      <c r="C2643">
        <v>1320</v>
      </c>
      <c r="D2643" s="9">
        <v>43123</v>
      </c>
      <c r="E2643" t="s">
        <v>295</v>
      </c>
      <c r="I2643" s="9"/>
    </row>
    <row r="2644" spans="1:9" x14ac:dyDescent="0.25">
      <c r="A2644">
        <v>321190</v>
      </c>
      <c r="B2644">
        <v>0.86</v>
      </c>
      <c r="C2644">
        <v>2400</v>
      </c>
      <c r="D2644" s="9">
        <v>43067</v>
      </c>
      <c r="E2644" t="s">
        <v>296</v>
      </c>
      <c r="I2644" s="9"/>
    </row>
    <row r="2645" spans="1:9" x14ac:dyDescent="0.25">
      <c r="A2645">
        <v>321190</v>
      </c>
      <c r="B2645">
        <v>1</v>
      </c>
      <c r="C2645">
        <v>1260</v>
      </c>
      <c r="D2645" s="9">
        <v>42976</v>
      </c>
      <c r="E2645" t="s">
        <v>296</v>
      </c>
      <c r="I2645" s="9"/>
    </row>
    <row r="2646" spans="1:9" x14ac:dyDescent="0.25">
      <c r="A2646">
        <v>321190</v>
      </c>
      <c r="B2646">
        <v>0.51800000000000002</v>
      </c>
      <c r="C2646">
        <v>1260</v>
      </c>
      <c r="D2646" s="9">
        <v>42859</v>
      </c>
      <c r="E2646" t="s">
        <v>296</v>
      </c>
      <c r="I2646" s="9"/>
    </row>
    <row r="2647" spans="1:9" x14ac:dyDescent="0.25">
      <c r="A2647">
        <v>321190</v>
      </c>
      <c r="B2647">
        <v>0.99</v>
      </c>
      <c r="C2647">
        <v>1800</v>
      </c>
      <c r="D2647" s="9">
        <v>42815</v>
      </c>
      <c r="E2647" t="s">
        <v>296</v>
      </c>
      <c r="I2647" s="9"/>
    </row>
    <row r="2648" spans="1:9" x14ac:dyDescent="0.25">
      <c r="A2648">
        <v>321190</v>
      </c>
      <c r="B2648">
        <v>1.0029999999999999</v>
      </c>
      <c r="C2648">
        <v>1200</v>
      </c>
      <c r="D2648" s="9">
        <v>42508</v>
      </c>
      <c r="E2648" t="s">
        <v>296</v>
      </c>
      <c r="I2648" s="9"/>
    </row>
    <row r="2649" spans="1:9" x14ac:dyDescent="0.25">
      <c r="A2649">
        <v>321190</v>
      </c>
      <c r="B2649">
        <v>3.91</v>
      </c>
      <c r="C2649">
        <v>1200</v>
      </c>
      <c r="D2649" s="9">
        <v>42508</v>
      </c>
      <c r="E2649" t="s">
        <v>295</v>
      </c>
      <c r="I2649" s="9"/>
    </row>
    <row r="2650" spans="1:9" x14ac:dyDescent="0.25">
      <c r="A2650">
        <v>321190</v>
      </c>
      <c r="B2650">
        <v>1.1299999999999999</v>
      </c>
      <c r="C2650">
        <v>1200</v>
      </c>
      <c r="D2650" s="9">
        <v>42270</v>
      </c>
      <c r="E2650" t="s">
        <v>296</v>
      </c>
      <c r="I2650" s="9"/>
    </row>
    <row r="2651" spans="1:9" x14ac:dyDescent="0.25">
      <c r="A2651">
        <v>321190</v>
      </c>
      <c r="B2651">
        <v>0.95</v>
      </c>
      <c r="C2651">
        <v>1200</v>
      </c>
      <c r="D2651" s="9">
        <v>42207</v>
      </c>
      <c r="E2651" t="s">
        <v>296</v>
      </c>
      <c r="I2651" s="9"/>
    </row>
    <row r="2652" spans="1:9" x14ac:dyDescent="0.25">
      <c r="A2652">
        <v>321190</v>
      </c>
      <c r="B2652">
        <v>1.1599999999999999</v>
      </c>
      <c r="C2652">
        <v>1200</v>
      </c>
      <c r="D2652" s="9">
        <v>42144</v>
      </c>
      <c r="E2652" t="s">
        <v>296</v>
      </c>
      <c r="I2652" s="9"/>
    </row>
    <row r="2653" spans="1:9" x14ac:dyDescent="0.25">
      <c r="A2653">
        <v>321190</v>
      </c>
      <c r="B2653">
        <v>1.17</v>
      </c>
      <c r="C2653">
        <v>1200</v>
      </c>
      <c r="D2653" s="9">
        <v>41947</v>
      </c>
      <c r="E2653" t="s">
        <v>296</v>
      </c>
      <c r="I2653" s="9"/>
    </row>
    <row r="2654" spans="1:9" x14ac:dyDescent="0.25">
      <c r="A2654">
        <v>321190</v>
      </c>
      <c r="B2654">
        <v>1.17</v>
      </c>
      <c r="C2654">
        <v>1200</v>
      </c>
      <c r="D2654" s="9">
        <v>41747</v>
      </c>
      <c r="E2654" t="s">
        <v>296</v>
      </c>
      <c r="I2654" s="9"/>
    </row>
    <row r="2655" spans="1:9" x14ac:dyDescent="0.25">
      <c r="A2655">
        <v>321190</v>
      </c>
      <c r="B2655">
        <v>1.17</v>
      </c>
      <c r="C2655">
        <v>1800</v>
      </c>
      <c r="D2655" s="9">
        <v>41746</v>
      </c>
      <c r="E2655" t="s">
        <v>296</v>
      </c>
      <c r="I2655" s="9"/>
    </row>
    <row r="2656" spans="1:9" x14ac:dyDescent="0.25">
      <c r="A2656">
        <v>321190</v>
      </c>
      <c r="B2656">
        <v>1.17</v>
      </c>
      <c r="C2656">
        <v>1800</v>
      </c>
      <c r="D2656" s="9">
        <v>41571</v>
      </c>
      <c r="E2656" t="s">
        <v>296</v>
      </c>
      <c r="I2656" s="9"/>
    </row>
    <row r="2657" spans="1:9" x14ac:dyDescent="0.25">
      <c r="A2657">
        <v>321190</v>
      </c>
      <c r="B2657">
        <v>1.1759999999999999</v>
      </c>
      <c r="C2657">
        <v>1440</v>
      </c>
      <c r="D2657" s="9">
        <v>41375</v>
      </c>
      <c r="E2657" t="s">
        <v>296</v>
      </c>
      <c r="I2657" s="9"/>
    </row>
    <row r="2658" spans="1:9" x14ac:dyDescent="0.25">
      <c r="A2658">
        <v>321190</v>
      </c>
      <c r="B2658">
        <v>1.17</v>
      </c>
      <c r="C2658">
        <v>1200</v>
      </c>
      <c r="D2658" s="9">
        <v>41330</v>
      </c>
      <c r="E2658" t="s">
        <v>296</v>
      </c>
      <c r="I2658" s="9"/>
    </row>
    <row r="2659" spans="1:9" x14ac:dyDescent="0.25">
      <c r="A2659">
        <v>321190</v>
      </c>
      <c r="B2659">
        <v>1.1759999999999999</v>
      </c>
      <c r="C2659">
        <v>2160</v>
      </c>
      <c r="D2659" s="9">
        <v>41288</v>
      </c>
      <c r="E2659" t="s">
        <v>296</v>
      </c>
      <c r="I2659" s="9"/>
    </row>
    <row r="2660" spans="1:9" x14ac:dyDescent="0.25">
      <c r="A2660">
        <v>321191</v>
      </c>
      <c r="B2660">
        <v>0.82</v>
      </c>
      <c r="C2660">
        <v>1200</v>
      </c>
      <c r="D2660" s="9">
        <v>43991</v>
      </c>
      <c r="E2660" t="s">
        <v>296</v>
      </c>
      <c r="I2660" s="9"/>
    </row>
    <row r="2661" spans="1:9" x14ac:dyDescent="0.25">
      <c r="A2661">
        <v>321191</v>
      </c>
      <c r="B2661">
        <v>0.82</v>
      </c>
      <c r="C2661">
        <v>1200</v>
      </c>
      <c r="D2661" s="9">
        <v>43837</v>
      </c>
      <c r="E2661" t="s">
        <v>296</v>
      </c>
      <c r="I2661" s="9"/>
    </row>
    <row r="2662" spans="1:9" x14ac:dyDescent="0.25">
      <c r="A2662">
        <v>321191</v>
      </c>
      <c r="B2662">
        <v>0.84</v>
      </c>
      <c r="C2662">
        <v>1200</v>
      </c>
      <c r="D2662" s="9">
        <v>43598</v>
      </c>
      <c r="E2662" t="s">
        <v>296</v>
      </c>
      <c r="I2662" s="9"/>
    </row>
    <row r="2663" spans="1:9" x14ac:dyDescent="0.25">
      <c r="A2663">
        <v>321191</v>
      </c>
      <c r="B2663">
        <v>3.25</v>
      </c>
      <c r="C2663">
        <v>1500</v>
      </c>
      <c r="D2663" s="9">
        <v>43285</v>
      </c>
      <c r="E2663" t="s">
        <v>295</v>
      </c>
      <c r="I2663" s="9"/>
    </row>
    <row r="2664" spans="1:9" x14ac:dyDescent="0.25">
      <c r="A2664">
        <v>321191</v>
      </c>
      <c r="B2664">
        <v>0.84</v>
      </c>
      <c r="C2664">
        <v>1500</v>
      </c>
      <c r="D2664" s="9">
        <v>43234</v>
      </c>
      <c r="E2664" t="s">
        <v>296</v>
      </c>
      <c r="I2664" s="9"/>
    </row>
    <row r="2665" spans="1:9" x14ac:dyDescent="0.25">
      <c r="A2665">
        <v>321191</v>
      </c>
      <c r="B2665">
        <v>0.92</v>
      </c>
      <c r="C2665">
        <v>1200</v>
      </c>
      <c r="D2665" s="9">
        <v>42859</v>
      </c>
      <c r="E2665" t="s">
        <v>296</v>
      </c>
      <c r="I2665" s="9"/>
    </row>
    <row r="2666" spans="1:9" x14ac:dyDescent="0.25">
      <c r="A2666">
        <v>321191</v>
      </c>
      <c r="B2666">
        <v>0.92</v>
      </c>
      <c r="C2666">
        <v>1860</v>
      </c>
      <c r="D2666" s="9">
        <v>42781</v>
      </c>
      <c r="E2666" t="s">
        <v>296</v>
      </c>
      <c r="I2666" s="9"/>
    </row>
    <row r="2667" spans="1:9" x14ac:dyDescent="0.25">
      <c r="A2667">
        <v>321191</v>
      </c>
      <c r="B2667">
        <v>0.98</v>
      </c>
      <c r="C2667">
        <v>1200</v>
      </c>
      <c r="D2667" s="9">
        <v>42325</v>
      </c>
      <c r="E2667" t="s">
        <v>296</v>
      </c>
      <c r="I2667" s="9"/>
    </row>
    <row r="2668" spans="1:9" x14ac:dyDescent="0.25">
      <c r="A2668">
        <v>321191</v>
      </c>
      <c r="B2668">
        <v>1</v>
      </c>
      <c r="C2668">
        <v>1200</v>
      </c>
      <c r="D2668" s="9">
        <v>41571</v>
      </c>
      <c r="E2668" t="s">
        <v>296</v>
      </c>
      <c r="I2668" s="9"/>
    </row>
    <row r="2669" spans="1:9" x14ac:dyDescent="0.25">
      <c r="A2669">
        <v>321192</v>
      </c>
      <c r="B2669">
        <v>0.63</v>
      </c>
      <c r="C2669">
        <v>1440</v>
      </c>
      <c r="D2669" s="9">
        <v>44068</v>
      </c>
      <c r="E2669" t="s">
        <v>296</v>
      </c>
      <c r="I2669" s="9"/>
    </row>
    <row r="2670" spans="1:9" x14ac:dyDescent="0.25">
      <c r="A2670">
        <v>321192</v>
      </c>
      <c r="B2670">
        <v>0.63</v>
      </c>
      <c r="C2670">
        <v>1440</v>
      </c>
      <c r="D2670" s="9">
        <v>43837</v>
      </c>
      <c r="E2670" t="s">
        <v>296</v>
      </c>
      <c r="I2670" s="9"/>
    </row>
    <row r="2671" spans="1:9" x14ac:dyDescent="0.25">
      <c r="A2671">
        <v>321192</v>
      </c>
      <c r="B2671">
        <v>0.64</v>
      </c>
      <c r="C2671">
        <v>1200</v>
      </c>
      <c r="D2671" s="9">
        <v>43598</v>
      </c>
      <c r="E2671" t="s">
        <v>296</v>
      </c>
      <c r="I2671" s="9"/>
    </row>
    <row r="2672" spans="1:9" x14ac:dyDescent="0.25">
      <c r="A2672">
        <v>321192</v>
      </c>
      <c r="B2672">
        <v>0.67500000000000004</v>
      </c>
      <c r="C2672">
        <v>1440</v>
      </c>
      <c r="D2672" s="9">
        <v>43409</v>
      </c>
      <c r="E2672" t="s">
        <v>296</v>
      </c>
      <c r="I2672" s="9"/>
    </row>
    <row r="2673" spans="1:9" x14ac:dyDescent="0.25">
      <c r="A2673">
        <v>321192</v>
      </c>
      <c r="B2673">
        <v>0.67500000000000004</v>
      </c>
      <c r="C2673">
        <v>2304</v>
      </c>
      <c r="D2673" s="9">
        <v>42859</v>
      </c>
      <c r="E2673" t="s">
        <v>296</v>
      </c>
      <c r="I2673" s="9"/>
    </row>
    <row r="2674" spans="1:9" x14ac:dyDescent="0.25">
      <c r="A2674">
        <v>321192</v>
      </c>
      <c r="B2674">
        <v>0.64</v>
      </c>
      <c r="C2674">
        <v>1152</v>
      </c>
      <c r="D2674" s="9">
        <v>42781</v>
      </c>
      <c r="E2674" t="s">
        <v>296</v>
      </c>
      <c r="I2674" s="9"/>
    </row>
    <row r="2675" spans="1:9" x14ac:dyDescent="0.25">
      <c r="A2675">
        <v>321192</v>
      </c>
      <c r="B2675">
        <v>0.72</v>
      </c>
      <c r="C2675">
        <v>1296</v>
      </c>
      <c r="D2675" s="9">
        <v>42494</v>
      </c>
      <c r="E2675" t="s">
        <v>296</v>
      </c>
      <c r="I2675" s="9"/>
    </row>
    <row r="2676" spans="1:9" x14ac:dyDescent="0.25">
      <c r="A2676">
        <v>321192</v>
      </c>
      <c r="B2676">
        <v>0.8</v>
      </c>
      <c r="C2676">
        <v>1296</v>
      </c>
      <c r="D2676" s="9">
        <v>42325</v>
      </c>
      <c r="E2676" t="s">
        <v>296</v>
      </c>
      <c r="I2676" s="9"/>
    </row>
    <row r="2677" spans="1:9" x14ac:dyDescent="0.25">
      <c r="A2677">
        <v>321192</v>
      </c>
      <c r="B2677">
        <v>0.8</v>
      </c>
      <c r="C2677">
        <v>1200</v>
      </c>
      <c r="D2677" s="9">
        <v>42144</v>
      </c>
      <c r="E2677" t="s">
        <v>296</v>
      </c>
      <c r="I2677" s="9"/>
    </row>
    <row r="2678" spans="1:9" x14ac:dyDescent="0.25">
      <c r="A2678">
        <v>321192</v>
      </c>
      <c r="B2678">
        <v>0.79</v>
      </c>
      <c r="C2678">
        <v>1440</v>
      </c>
      <c r="D2678" s="9">
        <v>41947</v>
      </c>
      <c r="E2678" t="s">
        <v>296</v>
      </c>
      <c r="I2678" s="9"/>
    </row>
    <row r="2679" spans="1:9" x14ac:dyDescent="0.25">
      <c r="A2679">
        <v>321192</v>
      </c>
      <c r="B2679">
        <v>0.79</v>
      </c>
      <c r="C2679">
        <v>1440</v>
      </c>
      <c r="D2679" s="9">
        <v>41746</v>
      </c>
      <c r="E2679" t="s">
        <v>296</v>
      </c>
      <c r="I2679" s="9"/>
    </row>
    <row r="2680" spans="1:9" x14ac:dyDescent="0.25">
      <c r="A2680">
        <v>321192</v>
      </c>
      <c r="B2680">
        <v>0.78</v>
      </c>
      <c r="C2680">
        <v>1080</v>
      </c>
      <c r="D2680" s="9">
        <v>41571</v>
      </c>
      <c r="E2680" t="s">
        <v>296</v>
      </c>
      <c r="I2680" s="9"/>
    </row>
    <row r="2681" spans="1:9" x14ac:dyDescent="0.25">
      <c r="A2681">
        <v>321192</v>
      </c>
      <c r="B2681">
        <v>0.97799999999999998</v>
      </c>
      <c r="C2681">
        <v>864</v>
      </c>
      <c r="D2681" s="9">
        <v>41295</v>
      </c>
      <c r="E2681" t="s">
        <v>296</v>
      </c>
      <c r="I2681" s="9"/>
    </row>
    <row r="2682" spans="1:9" x14ac:dyDescent="0.25">
      <c r="A2682">
        <v>321192</v>
      </c>
      <c r="B2682">
        <v>0.78</v>
      </c>
      <c r="C2682">
        <v>1080</v>
      </c>
      <c r="D2682" s="9">
        <v>41288</v>
      </c>
      <c r="E2682" t="s">
        <v>296</v>
      </c>
      <c r="I2682" s="9"/>
    </row>
    <row r="2683" spans="1:9" x14ac:dyDescent="0.25">
      <c r="A2683">
        <v>321201</v>
      </c>
      <c r="B2683">
        <v>1.02</v>
      </c>
      <c r="C2683">
        <v>672</v>
      </c>
      <c r="D2683" s="9">
        <v>43959</v>
      </c>
      <c r="E2683" t="s">
        <v>296</v>
      </c>
      <c r="I2683" s="9"/>
    </row>
    <row r="2684" spans="1:9" x14ac:dyDescent="0.25">
      <c r="A2684">
        <v>321201</v>
      </c>
      <c r="B2684">
        <v>1.02</v>
      </c>
      <c r="C2684">
        <v>960</v>
      </c>
      <c r="D2684" s="9">
        <v>43959</v>
      </c>
      <c r="E2684" t="s">
        <v>296</v>
      </c>
      <c r="I2684" s="9"/>
    </row>
    <row r="2685" spans="1:9" x14ac:dyDescent="0.25">
      <c r="A2685">
        <v>321201</v>
      </c>
      <c r="B2685">
        <v>1.02</v>
      </c>
      <c r="C2685">
        <v>1200</v>
      </c>
      <c r="D2685" s="9">
        <v>43684</v>
      </c>
      <c r="E2685" t="s">
        <v>296</v>
      </c>
      <c r="I2685" s="9"/>
    </row>
    <row r="2686" spans="1:9" x14ac:dyDescent="0.25">
      <c r="A2686">
        <v>321201</v>
      </c>
      <c r="B2686">
        <v>1.02</v>
      </c>
      <c r="C2686">
        <v>1008</v>
      </c>
      <c r="D2686" s="9">
        <v>43381</v>
      </c>
      <c r="E2686" t="s">
        <v>296</v>
      </c>
      <c r="I2686" s="9"/>
    </row>
    <row r="2687" spans="1:9" x14ac:dyDescent="0.25">
      <c r="A2687">
        <v>321201</v>
      </c>
      <c r="B2687">
        <v>0.98</v>
      </c>
      <c r="C2687">
        <v>1008</v>
      </c>
      <c r="D2687" s="9">
        <v>43039</v>
      </c>
      <c r="E2687" t="s">
        <v>296</v>
      </c>
      <c r="I2687" s="9"/>
    </row>
    <row r="2688" spans="1:9" x14ac:dyDescent="0.25">
      <c r="A2688">
        <v>321201</v>
      </c>
      <c r="B2688">
        <v>0.94</v>
      </c>
      <c r="C2688">
        <v>2520</v>
      </c>
      <c r="D2688" s="9">
        <v>42139</v>
      </c>
      <c r="E2688" t="s">
        <v>296</v>
      </c>
      <c r="I2688" s="9"/>
    </row>
    <row r="2689" spans="1:9" x14ac:dyDescent="0.25">
      <c r="A2689">
        <v>321201</v>
      </c>
      <c r="B2689">
        <v>1.02</v>
      </c>
      <c r="C2689">
        <v>1200</v>
      </c>
      <c r="D2689" s="9">
        <v>41718</v>
      </c>
      <c r="E2689" t="s">
        <v>296</v>
      </c>
      <c r="I2689" s="9"/>
    </row>
    <row r="2690" spans="1:9" x14ac:dyDescent="0.25">
      <c r="A2690">
        <v>321201</v>
      </c>
      <c r="B2690">
        <v>1.04</v>
      </c>
      <c r="C2690">
        <v>1200</v>
      </c>
      <c r="D2690" s="9">
        <v>41366</v>
      </c>
      <c r="E2690" t="s">
        <v>296</v>
      </c>
      <c r="I2690" s="9"/>
    </row>
    <row r="2691" spans="1:9" x14ac:dyDescent="0.25">
      <c r="A2691">
        <v>322218</v>
      </c>
      <c r="B2691">
        <v>4.03</v>
      </c>
      <c r="C2691">
        <v>120</v>
      </c>
      <c r="D2691" s="9">
        <v>41730</v>
      </c>
      <c r="E2691" t="s">
        <v>296</v>
      </c>
      <c r="I2691" s="9"/>
    </row>
    <row r="2692" spans="1:9" x14ac:dyDescent="0.25">
      <c r="A2692">
        <v>322218</v>
      </c>
      <c r="B2692">
        <v>4.03</v>
      </c>
      <c r="C2692">
        <v>60</v>
      </c>
      <c r="D2692" s="9">
        <v>41544</v>
      </c>
      <c r="E2692" t="s">
        <v>296</v>
      </c>
      <c r="I2692" s="9"/>
    </row>
    <row r="2693" spans="1:9" x14ac:dyDescent="0.25">
      <c r="A2693">
        <v>322218</v>
      </c>
      <c r="B2693">
        <v>4.03</v>
      </c>
      <c r="C2693">
        <v>240</v>
      </c>
      <c r="D2693" s="9">
        <v>41331</v>
      </c>
      <c r="E2693" t="s">
        <v>296</v>
      </c>
      <c r="I2693" s="9"/>
    </row>
    <row r="2694" spans="1:9" x14ac:dyDescent="0.25">
      <c r="A2694">
        <v>322219</v>
      </c>
      <c r="B2694">
        <v>3.38</v>
      </c>
      <c r="C2694">
        <v>300</v>
      </c>
      <c r="D2694" s="9">
        <v>44040</v>
      </c>
      <c r="E2694" t="s">
        <v>296</v>
      </c>
      <c r="I2694" s="9"/>
    </row>
    <row r="2695" spans="1:9" x14ac:dyDescent="0.25">
      <c r="A2695">
        <v>322219</v>
      </c>
      <c r="B2695">
        <v>3.38</v>
      </c>
      <c r="C2695">
        <v>400</v>
      </c>
      <c r="D2695" s="9">
        <v>43972</v>
      </c>
      <c r="E2695" t="s">
        <v>296</v>
      </c>
      <c r="I2695" s="9"/>
    </row>
    <row r="2696" spans="1:9" x14ac:dyDescent="0.25">
      <c r="A2696">
        <v>322219</v>
      </c>
      <c r="B2696">
        <v>3.38</v>
      </c>
      <c r="C2696">
        <v>500</v>
      </c>
      <c r="D2696" s="9">
        <v>43686</v>
      </c>
      <c r="E2696" t="s">
        <v>296</v>
      </c>
      <c r="I2696" s="9"/>
    </row>
    <row r="2697" spans="1:9" x14ac:dyDescent="0.25">
      <c r="A2697">
        <v>322219</v>
      </c>
      <c r="B2697">
        <v>3.38</v>
      </c>
      <c r="C2697">
        <v>300</v>
      </c>
      <c r="D2697" s="9">
        <v>43483</v>
      </c>
      <c r="E2697" t="s">
        <v>296</v>
      </c>
      <c r="I2697" s="9"/>
    </row>
    <row r="2698" spans="1:9" x14ac:dyDescent="0.25">
      <c r="A2698">
        <v>322219</v>
      </c>
      <c r="B2698">
        <v>3.38</v>
      </c>
      <c r="C2698">
        <v>300</v>
      </c>
      <c r="D2698" s="9">
        <v>43305</v>
      </c>
      <c r="E2698" t="s">
        <v>296</v>
      </c>
      <c r="I2698" s="9"/>
    </row>
    <row r="2699" spans="1:9" x14ac:dyDescent="0.25">
      <c r="A2699">
        <v>322219</v>
      </c>
      <c r="B2699">
        <v>11.76</v>
      </c>
      <c r="C2699">
        <v>300</v>
      </c>
      <c r="D2699" s="9">
        <v>43230</v>
      </c>
      <c r="E2699" t="s">
        <v>295</v>
      </c>
      <c r="I2699" s="9"/>
    </row>
    <row r="2700" spans="1:9" x14ac:dyDescent="0.25">
      <c r="A2700">
        <v>322219</v>
      </c>
      <c r="B2700">
        <v>3.3</v>
      </c>
      <c r="C2700">
        <v>300</v>
      </c>
      <c r="D2700" s="9">
        <v>43199</v>
      </c>
      <c r="E2700" t="s">
        <v>296</v>
      </c>
      <c r="I2700" s="9"/>
    </row>
    <row r="2701" spans="1:9" x14ac:dyDescent="0.25">
      <c r="A2701">
        <v>322219</v>
      </c>
      <c r="B2701">
        <v>3.07</v>
      </c>
      <c r="C2701">
        <v>300</v>
      </c>
      <c r="D2701" s="9">
        <v>42972</v>
      </c>
      <c r="E2701" t="s">
        <v>296</v>
      </c>
      <c r="I2701" s="9"/>
    </row>
    <row r="2702" spans="1:9" x14ac:dyDescent="0.25">
      <c r="A2702">
        <v>322219</v>
      </c>
      <c r="B2702">
        <v>3.07</v>
      </c>
      <c r="C2702">
        <v>300</v>
      </c>
      <c r="D2702" s="9">
        <v>42719</v>
      </c>
      <c r="E2702" t="s">
        <v>296</v>
      </c>
      <c r="I2702" s="9"/>
    </row>
    <row r="2703" spans="1:9" x14ac:dyDescent="0.25">
      <c r="A2703">
        <v>322219</v>
      </c>
      <c r="B2703">
        <v>3.07</v>
      </c>
      <c r="C2703">
        <v>200</v>
      </c>
      <c r="D2703" s="9">
        <v>42530</v>
      </c>
      <c r="E2703" t="s">
        <v>296</v>
      </c>
      <c r="I2703" s="9"/>
    </row>
    <row r="2704" spans="1:9" x14ac:dyDescent="0.25">
      <c r="A2704">
        <v>322219</v>
      </c>
      <c r="B2704">
        <v>3.07</v>
      </c>
      <c r="C2704">
        <v>300</v>
      </c>
      <c r="D2704" s="9">
        <v>42116</v>
      </c>
      <c r="E2704" t="s">
        <v>296</v>
      </c>
      <c r="I2704" s="9"/>
    </row>
    <row r="2705" spans="1:9" x14ac:dyDescent="0.25">
      <c r="A2705">
        <v>322270</v>
      </c>
      <c r="B2705">
        <v>0.33</v>
      </c>
      <c r="C2705">
        <v>2400</v>
      </c>
      <c r="D2705" s="9">
        <v>43837</v>
      </c>
      <c r="E2705" t="s">
        <v>296</v>
      </c>
      <c r="I2705" s="9"/>
    </row>
    <row r="2706" spans="1:9" x14ac:dyDescent="0.25">
      <c r="A2706">
        <v>322270</v>
      </c>
      <c r="B2706">
        <v>0.33</v>
      </c>
      <c r="C2706">
        <v>2400</v>
      </c>
      <c r="D2706" s="9">
        <v>43409</v>
      </c>
      <c r="E2706" t="s">
        <v>296</v>
      </c>
      <c r="I2706" s="9"/>
    </row>
    <row r="2707" spans="1:9" x14ac:dyDescent="0.25">
      <c r="A2707">
        <v>322270</v>
      </c>
      <c r="B2707">
        <v>0.34</v>
      </c>
      <c r="C2707">
        <v>2400</v>
      </c>
      <c r="D2707" s="9">
        <v>43131</v>
      </c>
      <c r="E2707" t="s">
        <v>296</v>
      </c>
      <c r="I2707" s="9"/>
    </row>
    <row r="2708" spans="1:9" x14ac:dyDescent="0.25">
      <c r="A2708">
        <v>322270</v>
      </c>
      <c r="B2708">
        <v>0.34</v>
      </c>
      <c r="C2708">
        <v>2400</v>
      </c>
      <c r="D2708" s="9">
        <v>42325</v>
      </c>
      <c r="E2708" t="s">
        <v>296</v>
      </c>
      <c r="I2708" s="9"/>
    </row>
    <row r="2709" spans="1:9" x14ac:dyDescent="0.25">
      <c r="A2709">
        <v>322270</v>
      </c>
      <c r="B2709">
        <v>0.34</v>
      </c>
      <c r="C2709">
        <v>2160</v>
      </c>
      <c r="D2709" s="9">
        <v>42144</v>
      </c>
      <c r="E2709" t="s">
        <v>296</v>
      </c>
      <c r="I2709" s="9"/>
    </row>
    <row r="2710" spans="1:9" x14ac:dyDescent="0.25">
      <c r="A2710">
        <v>322270</v>
      </c>
      <c r="B2710">
        <v>0.35</v>
      </c>
      <c r="C2710">
        <v>2520</v>
      </c>
      <c r="D2710" s="9">
        <v>41837</v>
      </c>
      <c r="E2710" t="s">
        <v>296</v>
      </c>
      <c r="I2710" s="9"/>
    </row>
    <row r="2711" spans="1:9" x14ac:dyDescent="0.25">
      <c r="A2711">
        <v>322270</v>
      </c>
      <c r="B2711">
        <v>0.35</v>
      </c>
      <c r="C2711">
        <v>2160</v>
      </c>
      <c r="D2711" s="9">
        <v>41571</v>
      </c>
      <c r="E2711" t="s">
        <v>296</v>
      </c>
      <c r="I2711" s="9"/>
    </row>
    <row r="2712" spans="1:9" x14ac:dyDescent="0.25">
      <c r="A2712">
        <v>322270</v>
      </c>
      <c r="B2712">
        <v>0.35</v>
      </c>
      <c r="C2712">
        <v>2400</v>
      </c>
      <c r="D2712" s="9">
        <v>41288</v>
      </c>
      <c r="E2712" t="s">
        <v>296</v>
      </c>
      <c r="I2712" s="9"/>
    </row>
    <row r="2713" spans="1:9" x14ac:dyDescent="0.25">
      <c r="A2713">
        <v>330140</v>
      </c>
      <c r="B2713">
        <v>0.94</v>
      </c>
      <c r="C2713">
        <v>960</v>
      </c>
      <c r="D2713" s="9">
        <v>44035</v>
      </c>
      <c r="E2713" t="s">
        <v>296</v>
      </c>
      <c r="I2713" s="9"/>
    </row>
    <row r="2714" spans="1:9" x14ac:dyDescent="0.25">
      <c r="A2714">
        <v>330140</v>
      </c>
      <c r="B2714">
        <v>0.94</v>
      </c>
      <c r="C2714">
        <v>960</v>
      </c>
      <c r="D2714" s="9">
        <v>43686</v>
      </c>
      <c r="E2714" t="s">
        <v>296</v>
      </c>
      <c r="I2714" s="9"/>
    </row>
    <row r="2715" spans="1:9" x14ac:dyDescent="0.25">
      <c r="A2715">
        <v>330140</v>
      </c>
      <c r="B2715">
        <v>0.64300000000000002</v>
      </c>
      <c r="C2715">
        <v>960</v>
      </c>
      <c r="D2715" s="9">
        <v>42607</v>
      </c>
      <c r="E2715" t="s">
        <v>297</v>
      </c>
      <c r="I2715" s="9"/>
    </row>
    <row r="2716" spans="1:9" x14ac:dyDescent="0.25">
      <c r="A2716">
        <v>330140</v>
      </c>
      <c r="B2716">
        <v>0.67700000000000005</v>
      </c>
      <c r="C2716">
        <v>1200</v>
      </c>
      <c r="D2716" s="9">
        <v>42233</v>
      </c>
      <c r="E2716" t="s">
        <v>296</v>
      </c>
      <c r="I2716" s="9"/>
    </row>
    <row r="2717" spans="1:9" x14ac:dyDescent="0.25">
      <c r="A2717">
        <v>330140</v>
      </c>
      <c r="B2717">
        <v>0.67700000000000005</v>
      </c>
      <c r="C2717">
        <v>1440</v>
      </c>
      <c r="D2717" s="9">
        <v>41535</v>
      </c>
      <c r="E2717" t="s">
        <v>296</v>
      </c>
      <c r="I2717" s="9"/>
    </row>
    <row r="2718" spans="1:9" x14ac:dyDescent="0.25">
      <c r="A2718">
        <v>330140</v>
      </c>
      <c r="B2718">
        <v>0.67700000000000005</v>
      </c>
      <c r="C2718">
        <v>1440</v>
      </c>
      <c r="D2718" s="9">
        <v>41295</v>
      </c>
      <c r="E2718" t="s">
        <v>296</v>
      </c>
      <c r="I2718" s="9"/>
    </row>
    <row r="2719" spans="1:9" x14ac:dyDescent="0.25">
      <c r="A2719">
        <v>330151</v>
      </c>
      <c r="B2719">
        <v>3.25</v>
      </c>
      <c r="C2719">
        <v>144</v>
      </c>
      <c r="D2719" s="9">
        <v>42472</v>
      </c>
      <c r="E2719" t="s">
        <v>296</v>
      </c>
      <c r="I2719" s="9"/>
    </row>
    <row r="2720" spans="1:9" x14ac:dyDescent="0.25">
      <c r="A2720">
        <v>330151</v>
      </c>
      <c r="B2720">
        <v>3.25</v>
      </c>
      <c r="C2720">
        <v>144</v>
      </c>
      <c r="D2720" s="9">
        <v>42237</v>
      </c>
      <c r="E2720" t="s">
        <v>296</v>
      </c>
      <c r="I2720" s="9"/>
    </row>
    <row r="2721" spans="1:9" x14ac:dyDescent="0.25">
      <c r="A2721">
        <v>330161</v>
      </c>
      <c r="B2721">
        <v>5.7</v>
      </c>
      <c r="C2721">
        <v>144</v>
      </c>
      <c r="D2721" s="9">
        <v>42472</v>
      </c>
      <c r="E2721" t="s">
        <v>296</v>
      </c>
      <c r="I2721" s="9"/>
    </row>
    <row r="2722" spans="1:9" x14ac:dyDescent="0.25">
      <c r="A2722">
        <v>330161</v>
      </c>
      <c r="B2722">
        <v>5.7</v>
      </c>
      <c r="C2722">
        <v>144</v>
      </c>
      <c r="D2722" s="9">
        <v>42237</v>
      </c>
      <c r="E2722" t="s">
        <v>296</v>
      </c>
      <c r="I2722" s="9"/>
    </row>
    <row r="2723" spans="1:9" x14ac:dyDescent="0.25">
      <c r="A2723">
        <v>330162</v>
      </c>
      <c r="B2723">
        <v>6.85</v>
      </c>
      <c r="C2723">
        <v>72</v>
      </c>
      <c r="D2723" s="9">
        <v>42472</v>
      </c>
      <c r="E2723" t="s">
        <v>296</v>
      </c>
      <c r="I2723" s="9"/>
    </row>
    <row r="2724" spans="1:9" x14ac:dyDescent="0.25">
      <c r="A2724">
        <v>330162</v>
      </c>
      <c r="B2724">
        <v>6.85</v>
      </c>
      <c r="C2724">
        <v>72</v>
      </c>
      <c r="D2724" s="9">
        <v>42237</v>
      </c>
      <c r="E2724" t="s">
        <v>296</v>
      </c>
      <c r="I2724" s="9"/>
    </row>
    <row r="2725" spans="1:9" x14ac:dyDescent="0.25">
      <c r="A2725">
        <v>330380</v>
      </c>
      <c r="B2725">
        <v>0.81699999999999995</v>
      </c>
      <c r="C2725">
        <v>720</v>
      </c>
      <c r="D2725" s="9">
        <v>41535</v>
      </c>
      <c r="E2725" t="s">
        <v>296</v>
      </c>
      <c r="I2725" s="9"/>
    </row>
    <row r="2726" spans="1:9" x14ac:dyDescent="0.25">
      <c r="A2726">
        <v>330401</v>
      </c>
      <c r="B2726">
        <v>6.6</v>
      </c>
      <c r="C2726">
        <v>120</v>
      </c>
      <c r="D2726" s="9">
        <v>42472</v>
      </c>
      <c r="E2726" t="s">
        <v>296</v>
      </c>
      <c r="I2726" s="9"/>
    </row>
    <row r="2727" spans="1:9" x14ac:dyDescent="0.25">
      <c r="A2727">
        <v>330401</v>
      </c>
      <c r="B2727">
        <v>6.6</v>
      </c>
      <c r="C2727">
        <v>160</v>
      </c>
      <c r="D2727" s="9">
        <v>42237</v>
      </c>
      <c r="E2727" t="s">
        <v>296</v>
      </c>
      <c r="I2727" s="9"/>
    </row>
    <row r="2728" spans="1:9" x14ac:dyDescent="0.25">
      <c r="A2728">
        <v>330401</v>
      </c>
      <c r="B2728">
        <v>6.6</v>
      </c>
      <c r="C2728">
        <v>160</v>
      </c>
      <c r="D2728" s="9">
        <v>41730</v>
      </c>
      <c r="E2728" t="s">
        <v>296</v>
      </c>
      <c r="I2728" s="9"/>
    </row>
    <row r="2729" spans="1:9" x14ac:dyDescent="0.25">
      <c r="A2729">
        <v>330402</v>
      </c>
      <c r="B2729">
        <v>8.0500000000000007</v>
      </c>
      <c r="C2729">
        <v>80</v>
      </c>
      <c r="D2729" s="9">
        <v>42472</v>
      </c>
      <c r="E2729" t="s">
        <v>296</v>
      </c>
      <c r="I2729" s="9"/>
    </row>
    <row r="2730" spans="1:9" x14ac:dyDescent="0.25">
      <c r="A2730">
        <v>330500</v>
      </c>
      <c r="B2730">
        <v>1.02</v>
      </c>
      <c r="C2730">
        <v>972</v>
      </c>
      <c r="D2730" s="9">
        <v>44043</v>
      </c>
      <c r="E2730" t="s">
        <v>296</v>
      </c>
      <c r="I2730" s="9"/>
    </row>
    <row r="2731" spans="1:9" x14ac:dyDescent="0.25">
      <c r="A2731">
        <v>330500</v>
      </c>
      <c r="B2731">
        <v>1.02</v>
      </c>
      <c r="C2731">
        <v>972</v>
      </c>
      <c r="D2731" s="9">
        <v>43438</v>
      </c>
      <c r="E2731" t="s">
        <v>296</v>
      </c>
      <c r="I2731" s="9"/>
    </row>
    <row r="2732" spans="1:9" x14ac:dyDescent="0.25">
      <c r="A2732">
        <v>330500</v>
      </c>
      <c r="B2732">
        <v>0.92900000000000005</v>
      </c>
      <c r="C2732">
        <v>840</v>
      </c>
      <c r="D2732" s="9">
        <v>43063</v>
      </c>
      <c r="E2732" t="s">
        <v>297</v>
      </c>
      <c r="I2732" s="9"/>
    </row>
    <row r="2733" spans="1:9" x14ac:dyDescent="0.25">
      <c r="A2733">
        <v>330500</v>
      </c>
      <c r="B2733">
        <v>1.01</v>
      </c>
      <c r="C2733">
        <v>972</v>
      </c>
      <c r="D2733" s="9">
        <v>43063</v>
      </c>
      <c r="E2733" t="s">
        <v>296</v>
      </c>
      <c r="I2733" s="9"/>
    </row>
    <row r="2734" spans="1:9" x14ac:dyDescent="0.25">
      <c r="A2734">
        <v>330500</v>
      </c>
      <c r="B2734">
        <v>0.96</v>
      </c>
      <c r="C2734">
        <v>972</v>
      </c>
      <c r="D2734" s="9">
        <v>42912</v>
      </c>
      <c r="E2734" t="s">
        <v>296</v>
      </c>
      <c r="I2734" s="9"/>
    </row>
    <row r="2735" spans="1:9" x14ac:dyDescent="0.25">
      <c r="A2735">
        <v>330500</v>
      </c>
      <c r="B2735">
        <v>0.92900000000000005</v>
      </c>
      <c r="C2735">
        <v>840</v>
      </c>
      <c r="D2735" s="9">
        <v>42607</v>
      </c>
      <c r="E2735" t="s">
        <v>297</v>
      </c>
      <c r="I2735" s="9"/>
    </row>
    <row r="2736" spans="1:9" x14ac:dyDescent="0.25">
      <c r="A2736">
        <v>330500</v>
      </c>
      <c r="B2736">
        <v>1.0209999999999999</v>
      </c>
      <c r="C2736">
        <v>1200</v>
      </c>
      <c r="D2736" s="9">
        <v>41865</v>
      </c>
      <c r="E2736" t="s">
        <v>296</v>
      </c>
      <c r="I2736" s="9"/>
    </row>
    <row r="2737" spans="1:9" x14ac:dyDescent="0.25">
      <c r="A2737">
        <v>330500</v>
      </c>
      <c r="B2737">
        <v>1.0209999999999999</v>
      </c>
      <c r="C2737">
        <v>1200</v>
      </c>
      <c r="D2737" s="9">
        <v>41786</v>
      </c>
      <c r="E2737" t="s">
        <v>296</v>
      </c>
      <c r="I2737" s="9"/>
    </row>
    <row r="2738" spans="1:9" x14ac:dyDescent="0.25">
      <c r="A2738">
        <v>330500</v>
      </c>
      <c r="B2738">
        <v>1.0209999999999999</v>
      </c>
      <c r="C2738">
        <v>960</v>
      </c>
      <c r="D2738" s="9">
        <v>41535</v>
      </c>
      <c r="E2738" t="s">
        <v>296</v>
      </c>
      <c r="I2738" s="9"/>
    </row>
    <row r="2739" spans="1:9" x14ac:dyDescent="0.25">
      <c r="A2739">
        <v>330500</v>
      </c>
      <c r="B2739">
        <v>1.0209999999999999</v>
      </c>
      <c r="C2739">
        <v>960</v>
      </c>
      <c r="D2739" s="9">
        <v>41295</v>
      </c>
      <c r="E2739" t="s">
        <v>296</v>
      </c>
      <c r="I2739" s="9"/>
    </row>
    <row r="2740" spans="1:9" x14ac:dyDescent="0.25">
      <c r="A2740">
        <v>330510</v>
      </c>
      <c r="B2740">
        <v>5.1840000000000002</v>
      </c>
      <c r="C2740">
        <v>336</v>
      </c>
      <c r="D2740" s="9">
        <v>41744</v>
      </c>
      <c r="E2740" t="s">
        <v>296</v>
      </c>
      <c r="I2740" s="9"/>
    </row>
    <row r="2741" spans="1:9" x14ac:dyDescent="0.25">
      <c r="A2741">
        <v>330510</v>
      </c>
      <c r="B2741">
        <v>5.1840000000000002</v>
      </c>
      <c r="C2741">
        <v>432</v>
      </c>
      <c r="D2741" s="9">
        <v>41456</v>
      </c>
      <c r="E2741" t="s">
        <v>296</v>
      </c>
      <c r="I2741" s="9"/>
    </row>
    <row r="2742" spans="1:9" x14ac:dyDescent="0.25">
      <c r="A2742">
        <v>330510</v>
      </c>
      <c r="B2742">
        <v>5.1840000000000002</v>
      </c>
      <c r="C2742">
        <v>432</v>
      </c>
      <c r="D2742" s="9">
        <v>41295</v>
      </c>
      <c r="E2742" t="s">
        <v>296</v>
      </c>
      <c r="I2742" s="9"/>
    </row>
    <row r="2743" spans="1:9" x14ac:dyDescent="0.25">
      <c r="A2743">
        <v>330511</v>
      </c>
      <c r="B2743">
        <v>4.8499999999999996</v>
      </c>
      <c r="C2743">
        <v>240</v>
      </c>
      <c r="D2743" s="9">
        <v>42237</v>
      </c>
      <c r="E2743" t="s">
        <v>296</v>
      </c>
      <c r="I2743" s="9"/>
    </row>
    <row r="2744" spans="1:9" x14ac:dyDescent="0.25">
      <c r="A2744">
        <v>330521</v>
      </c>
      <c r="B2744">
        <v>8.75</v>
      </c>
      <c r="C2744">
        <v>160</v>
      </c>
      <c r="D2744" s="9">
        <v>42472</v>
      </c>
      <c r="E2744" t="s">
        <v>296</v>
      </c>
      <c r="I2744" s="9"/>
    </row>
    <row r="2745" spans="1:9" x14ac:dyDescent="0.25">
      <c r="A2745">
        <v>330521</v>
      </c>
      <c r="B2745">
        <v>8.75</v>
      </c>
      <c r="C2745">
        <v>160</v>
      </c>
      <c r="D2745" s="9">
        <v>42237</v>
      </c>
      <c r="E2745" t="s">
        <v>296</v>
      </c>
      <c r="I2745" s="9"/>
    </row>
    <row r="2746" spans="1:9" x14ac:dyDescent="0.25">
      <c r="A2746">
        <v>330521</v>
      </c>
      <c r="B2746">
        <v>8.75</v>
      </c>
      <c r="C2746">
        <v>240</v>
      </c>
      <c r="D2746" s="9">
        <v>41730</v>
      </c>
      <c r="E2746" t="s">
        <v>296</v>
      </c>
      <c r="I2746" s="9"/>
    </row>
    <row r="2747" spans="1:9" x14ac:dyDescent="0.25">
      <c r="A2747">
        <v>330521</v>
      </c>
      <c r="B2747">
        <v>8.75</v>
      </c>
      <c r="C2747">
        <v>100</v>
      </c>
      <c r="D2747" s="9">
        <v>41544</v>
      </c>
      <c r="E2747" t="s">
        <v>296</v>
      </c>
      <c r="I2747" s="9"/>
    </row>
    <row r="2748" spans="1:9" x14ac:dyDescent="0.25">
      <c r="A2748">
        <v>330521</v>
      </c>
      <c r="B2748">
        <v>8.75</v>
      </c>
      <c r="C2748">
        <v>360</v>
      </c>
      <c r="D2748" s="9">
        <v>41331</v>
      </c>
      <c r="E2748" t="s">
        <v>296</v>
      </c>
      <c r="I2748" s="9"/>
    </row>
    <row r="2749" spans="1:9" x14ac:dyDescent="0.25">
      <c r="A2749">
        <v>330522</v>
      </c>
      <c r="B2749">
        <v>10.9</v>
      </c>
      <c r="C2749">
        <v>100</v>
      </c>
      <c r="D2749" s="9">
        <v>42472</v>
      </c>
      <c r="E2749" t="s">
        <v>296</v>
      </c>
      <c r="I2749" s="9"/>
    </row>
    <row r="2750" spans="1:9" x14ac:dyDescent="0.25">
      <c r="A2750">
        <v>330522</v>
      </c>
      <c r="B2750">
        <v>10.9</v>
      </c>
      <c r="C2750">
        <v>120</v>
      </c>
      <c r="D2750" s="9">
        <v>42237</v>
      </c>
      <c r="E2750" t="s">
        <v>296</v>
      </c>
      <c r="I2750" s="9"/>
    </row>
    <row r="2751" spans="1:9" x14ac:dyDescent="0.25">
      <c r="A2751">
        <v>330522</v>
      </c>
      <c r="B2751">
        <v>10.9</v>
      </c>
      <c r="C2751">
        <v>160</v>
      </c>
      <c r="D2751" s="9">
        <v>41730</v>
      </c>
      <c r="E2751" t="s">
        <v>296</v>
      </c>
      <c r="I2751" s="9"/>
    </row>
    <row r="2752" spans="1:9" x14ac:dyDescent="0.25">
      <c r="A2752">
        <v>330526</v>
      </c>
      <c r="B2752">
        <v>7.15</v>
      </c>
      <c r="C2752">
        <v>100</v>
      </c>
      <c r="D2752" s="9">
        <v>43972</v>
      </c>
      <c r="E2752" t="s">
        <v>296</v>
      </c>
      <c r="I2752" s="9"/>
    </row>
    <row r="2753" spans="1:9" x14ac:dyDescent="0.25">
      <c r="A2753">
        <v>330526</v>
      </c>
      <c r="B2753">
        <v>7.15</v>
      </c>
      <c r="C2753">
        <v>100</v>
      </c>
      <c r="D2753" s="9">
        <v>43483</v>
      </c>
      <c r="E2753" t="s">
        <v>296</v>
      </c>
      <c r="I2753" s="9"/>
    </row>
    <row r="2754" spans="1:9" x14ac:dyDescent="0.25">
      <c r="A2754">
        <v>330526</v>
      </c>
      <c r="B2754">
        <v>24.82</v>
      </c>
      <c r="C2754">
        <v>80</v>
      </c>
      <c r="D2754" s="9">
        <v>43230</v>
      </c>
      <c r="E2754" t="s">
        <v>295</v>
      </c>
      <c r="I2754" s="9"/>
    </row>
    <row r="2755" spans="1:9" x14ac:dyDescent="0.25">
      <c r="A2755">
        <v>330526</v>
      </c>
      <c r="B2755">
        <v>7.15</v>
      </c>
      <c r="C2755">
        <v>80</v>
      </c>
      <c r="D2755" s="9">
        <v>43199</v>
      </c>
      <c r="E2755" t="s">
        <v>296</v>
      </c>
      <c r="I2755" s="9"/>
    </row>
    <row r="2756" spans="1:9" x14ac:dyDescent="0.25">
      <c r="A2756">
        <v>330526</v>
      </c>
      <c r="B2756">
        <v>6.85</v>
      </c>
      <c r="C2756">
        <v>80</v>
      </c>
      <c r="D2756" s="9">
        <v>42321</v>
      </c>
      <c r="E2756" t="s">
        <v>296</v>
      </c>
      <c r="I2756" s="9"/>
    </row>
    <row r="2757" spans="1:9" x14ac:dyDescent="0.25">
      <c r="A2757">
        <v>330526</v>
      </c>
      <c r="B2757">
        <v>6.85</v>
      </c>
      <c r="C2757">
        <v>10</v>
      </c>
      <c r="D2757" s="9">
        <v>42116</v>
      </c>
      <c r="E2757" t="s">
        <v>296</v>
      </c>
      <c r="I2757" s="9"/>
    </row>
    <row r="2758" spans="1:9" x14ac:dyDescent="0.25">
      <c r="A2758">
        <v>331048</v>
      </c>
      <c r="B2758">
        <v>2.5</v>
      </c>
      <c r="C2758">
        <v>300</v>
      </c>
      <c r="D2758" s="9">
        <v>43648</v>
      </c>
      <c r="E2758" t="s">
        <v>296</v>
      </c>
      <c r="I2758" s="9"/>
    </row>
    <row r="2759" spans="1:9" x14ac:dyDescent="0.25">
      <c r="A2759">
        <v>331048</v>
      </c>
      <c r="B2759">
        <v>9.52</v>
      </c>
      <c r="C2759">
        <v>300</v>
      </c>
      <c r="D2759" s="9">
        <v>43298</v>
      </c>
      <c r="E2759" t="s">
        <v>295</v>
      </c>
      <c r="I2759" s="9"/>
    </row>
    <row r="2760" spans="1:9" x14ac:dyDescent="0.25">
      <c r="A2760">
        <v>331048</v>
      </c>
      <c r="B2760">
        <v>2.5</v>
      </c>
      <c r="C2760">
        <v>300</v>
      </c>
      <c r="D2760" s="9">
        <v>43264</v>
      </c>
      <c r="E2760" t="s">
        <v>296</v>
      </c>
      <c r="I2760" s="9"/>
    </row>
    <row r="2761" spans="1:9" x14ac:dyDescent="0.25">
      <c r="A2761">
        <v>331048</v>
      </c>
      <c r="B2761">
        <v>2.2999999999999998</v>
      </c>
      <c r="C2761">
        <v>100</v>
      </c>
      <c r="D2761" s="9">
        <v>42912</v>
      </c>
      <c r="E2761" t="s">
        <v>296</v>
      </c>
      <c r="I2761" s="9"/>
    </row>
    <row r="2762" spans="1:9" x14ac:dyDescent="0.25">
      <c r="A2762">
        <v>333250</v>
      </c>
      <c r="B2762">
        <v>1.95</v>
      </c>
      <c r="C2762">
        <v>120</v>
      </c>
      <c r="D2762" s="9">
        <v>41544</v>
      </c>
      <c r="E2762" t="s">
        <v>296</v>
      </c>
      <c r="I2762" s="9"/>
    </row>
    <row r="2763" spans="1:9" x14ac:dyDescent="0.25">
      <c r="A2763">
        <v>333250</v>
      </c>
      <c r="B2763">
        <v>1.95</v>
      </c>
      <c r="C2763">
        <v>240</v>
      </c>
      <c r="D2763" s="9">
        <v>41331</v>
      </c>
      <c r="E2763" t="s">
        <v>296</v>
      </c>
      <c r="I2763" s="9"/>
    </row>
    <row r="2764" spans="1:9" x14ac:dyDescent="0.25">
      <c r="A2764">
        <v>333251</v>
      </c>
      <c r="B2764">
        <v>1.3</v>
      </c>
      <c r="C2764">
        <v>360</v>
      </c>
      <c r="D2764" s="9">
        <v>44035</v>
      </c>
      <c r="E2764" t="s">
        <v>296</v>
      </c>
      <c r="I2764" s="9"/>
    </row>
    <row r="2765" spans="1:9" x14ac:dyDescent="0.25">
      <c r="A2765">
        <v>333251</v>
      </c>
      <c r="B2765">
        <v>1.3</v>
      </c>
      <c r="C2765">
        <v>360</v>
      </c>
      <c r="D2765" s="9">
        <v>43803</v>
      </c>
      <c r="E2765" t="s">
        <v>296</v>
      </c>
      <c r="I2765" s="9"/>
    </row>
    <row r="2766" spans="1:9" x14ac:dyDescent="0.25">
      <c r="A2766">
        <v>333251</v>
      </c>
      <c r="B2766">
        <v>1.3</v>
      </c>
      <c r="C2766">
        <v>300</v>
      </c>
      <c r="D2766" s="9">
        <v>43686</v>
      </c>
      <c r="E2766" t="s">
        <v>296</v>
      </c>
      <c r="I2766" s="9"/>
    </row>
    <row r="2767" spans="1:9" x14ac:dyDescent="0.25">
      <c r="A2767">
        <v>333251</v>
      </c>
      <c r="B2767">
        <v>1.3</v>
      </c>
      <c r="C2767">
        <v>300</v>
      </c>
      <c r="D2767" s="9">
        <v>43063</v>
      </c>
      <c r="E2767" t="s">
        <v>296</v>
      </c>
      <c r="I2767" s="9"/>
    </row>
    <row r="2768" spans="1:9" x14ac:dyDescent="0.25">
      <c r="A2768">
        <v>333251</v>
      </c>
      <c r="B2768">
        <v>1.25</v>
      </c>
      <c r="C2768">
        <v>300</v>
      </c>
      <c r="D2768" s="9">
        <v>42853</v>
      </c>
      <c r="E2768" t="s">
        <v>296</v>
      </c>
      <c r="I2768" s="9"/>
    </row>
    <row r="2769" spans="1:9" x14ac:dyDescent="0.25">
      <c r="A2769">
        <v>333251</v>
      </c>
      <c r="B2769">
        <v>1.21</v>
      </c>
      <c r="C2769">
        <v>300</v>
      </c>
      <c r="D2769" s="9">
        <v>42510</v>
      </c>
      <c r="E2769" t="s">
        <v>296</v>
      </c>
      <c r="I2769" s="9"/>
    </row>
    <row r="2770" spans="1:9" x14ac:dyDescent="0.25">
      <c r="A2770">
        <v>333251</v>
      </c>
      <c r="B2770">
        <v>1.25</v>
      </c>
      <c r="C2770">
        <v>300</v>
      </c>
      <c r="D2770" s="9">
        <v>42116</v>
      </c>
      <c r="E2770" t="s">
        <v>296</v>
      </c>
      <c r="I2770" s="9"/>
    </row>
    <row r="2771" spans="1:9" x14ac:dyDescent="0.25">
      <c r="A2771">
        <v>340004</v>
      </c>
      <c r="B2771">
        <v>13.56</v>
      </c>
      <c r="C2771">
        <v>160</v>
      </c>
      <c r="D2771" s="9">
        <v>43298</v>
      </c>
      <c r="E2771" t="s">
        <v>295</v>
      </c>
      <c r="I2771" s="9"/>
    </row>
    <row r="2772" spans="1:9" x14ac:dyDescent="0.25">
      <c r="A2772">
        <v>340004</v>
      </c>
      <c r="B2772">
        <v>3.6</v>
      </c>
      <c r="C2772">
        <v>160</v>
      </c>
      <c r="D2772" s="9">
        <v>43264</v>
      </c>
      <c r="E2772" t="s">
        <v>296</v>
      </c>
      <c r="I2772" s="9"/>
    </row>
    <row r="2773" spans="1:9" x14ac:dyDescent="0.25">
      <c r="A2773">
        <v>340004</v>
      </c>
      <c r="B2773">
        <v>4.25</v>
      </c>
      <c r="C2773">
        <v>15</v>
      </c>
      <c r="D2773" s="9">
        <v>42472</v>
      </c>
      <c r="E2773" t="s">
        <v>296</v>
      </c>
      <c r="I2773" s="9"/>
    </row>
    <row r="2774" spans="1:9" x14ac:dyDescent="0.25">
      <c r="A2774">
        <v>340006</v>
      </c>
      <c r="B2774">
        <v>3.25</v>
      </c>
      <c r="C2774">
        <v>200</v>
      </c>
      <c r="D2774" s="9">
        <v>44102</v>
      </c>
      <c r="E2774" t="s">
        <v>296</v>
      </c>
      <c r="I2774" s="9"/>
    </row>
    <row r="2775" spans="1:9" x14ac:dyDescent="0.25">
      <c r="A2775">
        <v>340008</v>
      </c>
      <c r="B2775">
        <v>2.66</v>
      </c>
      <c r="C2775">
        <v>200</v>
      </c>
      <c r="D2775" s="9">
        <v>44102</v>
      </c>
      <c r="E2775" t="s">
        <v>296</v>
      </c>
      <c r="I2775" s="9"/>
    </row>
    <row r="2776" spans="1:9" x14ac:dyDescent="0.25">
      <c r="A2776">
        <v>340019</v>
      </c>
      <c r="B2776">
        <v>7.96</v>
      </c>
      <c r="C2776">
        <v>200</v>
      </c>
      <c r="D2776" s="9">
        <v>44102</v>
      </c>
      <c r="E2776" t="s">
        <v>296</v>
      </c>
      <c r="I2776" s="9"/>
    </row>
    <row r="2777" spans="1:9" x14ac:dyDescent="0.25">
      <c r="A2777">
        <v>340019</v>
      </c>
      <c r="B2777">
        <v>9.5500000000000007</v>
      </c>
      <c r="C2777">
        <v>60</v>
      </c>
      <c r="D2777" s="9">
        <v>43686</v>
      </c>
      <c r="E2777" t="s">
        <v>296</v>
      </c>
      <c r="I2777" s="9"/>
    </row>
    <row r="2778" spans="1:9" x14ac:dyDescent="0.25">
      <c r="A2778">
        <v>340020</v>
      </c>
      <c r="B2778">
        <v>9.68</v>
      </c>
      <c r="C2778">
        <v>100</v>
      </c>
      <c r="D2778" s="9">
        <v>44102</v>
      </c>
      <c r="E2778" t="s">
        <v>296</v>
      </c>
      <c r="I2778" s="9"/>
    </row>
    <row r="2779" spans="1:9" x14ac:dyDescent="0.25">
      <c r="A2779">
        <v>340030</v>
      </c>
      <c r="B2779">
        <v>20</v>
      </c>
      <c r="C2779">
        <v>36</v>
      </c>
      <c r="D2779" s="9">
        <v>44102</v>
      </c>
      <c r="E2779" t="s">
        <v>296</v>
      </c>
      <c r="I2779" s="9"/>
    </row>
    <row r="2780" spans="1:9" x14ac:dyDescent="0.25">
      <c r="A2780">
        <v>340030</v>
      </c>
      <c r="B2780">
        <v>20</v>
      </c>
      <c r="C2780">
        <v>30</v>
      </c>
      <c r="D2780" s="9">
        <v>43686</v>
      </c>
      <c r="E2780" t="s">
        <v>296</v>
      </c>
      <c r="I2780" s="9"/>
    </row>
    <row r="2781" spans="1:9" x14ac:dyDescent="0.25">
      <c r="A2781">
        <v>340034</v>
      </c>
      <c r="B2781">
        <v>5.75</v>
      </c>
      <c r="C2781">
        <v>100</v>
      </c>
      <c r="D2781" s="9">
        <v>44102</v>
      </c>
      <c r="E2781" t="s">
        <v>296</v>
      </c>
      <c r="I2781" s="9"/>
    </row>
    <row r="2782" spans="1:9" x14ac:dyDescent="0.25">
      <c r="A2782">
        <v>340042</v>
      </c>
      <c r="B2782">
        <v>3.48</v>
      </c>
      <c r="C2782">
        <v>780</v>
      </c>
      <c r="D2782" s="9">
        <v>43132</v>
      </c>
      <c r="E2782" t="s">
        <v>295</v>
      </c>
      <c r="I2782" s="9"/>
    </row>
    <row r="2783" spans="1:9" x14ac:dyDescent="0.25">
      <c r="A2783">
        <v>340042</v>
      </c>
      <c r="B2783">
        <v>1</v>
      </c>
      <c r="C2783">
        <v>1500</v>
      </c>
      <c r="D2783" s="9">
        <v>43132</v>
      </c>
      <c r="E2783" t="s">
        <v>296</v>
      </c>
      <c r="I2783" s="9"/>
    </row>
    <row r="2784" spans="1:9" x14ac:dyDescent="0.25">
      <c r="A2784">
        <v>340042</v>
      </c>
      <c r="B2784">
        <v>1.107</v>
      </c>
      <c r="C2784">
        <v>600</v>
      </c>
      <c r="D2784" s="9">
        <v>42676</v>
      </c>
      <c r="E2784" t="s">
        <v>297</v>
      </c>
      <c r="I2784" s="9"/>
    </row>
    <row r="2785" spans="1:9" x14ac:dyDescent="0.25">
      <c r="A2785">
        <v>340042</v>
      </c>
      <c r="B2785">
        <v>1.1080000000000001</v>
      </c>
      <c r="C2785">
        <v>600</v>
      </c>
      <c r="D2785" s="9">
        <v>42401</v>
      </c>
      <c r="E2785" t="s">
        <v>297</v>
      </c>
      <c r="I2785" s="9"/>
    </row>
    <row r="2786" spans="1:9" x14ac:dyDescent="0.25">
      <c r="A2786">
        <v>340042</v>
      </c>
      <c r="B2786">
        <v>6.18</v>
      </c>
      <c r="C2786">
        <v>3</v>
      </c>
      <c r="D2786" s="9">
        <v>42094</v>
      </c>
      <c r="E2786" t="s">
        <v>295</v>
      </c>
      <c r="I2786" s="9"/>
    </row>
    <row r="2787" spans="1:9" x14ac:dyDescent="0.25">
      <c r="A2787">
        <v>340042</v>
      </c>
      <c r="B2787">
        <v>1.1659999999999999</v>
      </c>
      <c r="C2787">
        <v>840</v>
      </c>
      <c r="D2787" s="9">
        <v>41786</v>
      </c>
      <c r="E2787" t="s">
        <v>296</v>
      </c>
      <c r="I2787" s="9"/>
    </row>
    <row r="2788" spans="1:9" x14ac:dyDescent="0.25">
      <c r="A2788">
        <v>340042</v>
      </c>
      <c r="B2788">
        <v>1.1659999999999999</v>
      </c>
      <c r="C2788">
        <v>960</v>
      </c>
      <c r="D2788" s="9">
        <v>41456</v>
      </c>
      <c r="E2788" t="s">
        <v>296</v>
      </c>
      <c r="I2788" s="9"/>
    </row>
    <row r="2789" spans="1:9" x14ac:dyDescent="0.25">
      <c r="A2789">
        <v>340051</v>
      </c>
      <c r="B2789">
        <v>1.77</v>
      </c>
      <c r="C2789">
        <v>100</v>
      </c>
      <c r="D2789" s="9">
        <v>44102</v>
      </c>
      <c r="E2789" t="s">
        <v>296</v>
      </c>
      <c r="I2789" s="9"/>
    </row>
    <row r="2790" spans="1:9" x14ac:dyDescent="0.25">
      <c r="A2790">
        <v>340052</v>
      </c>
      <c r="B2790">
        <v>5.08</v>
      </c>
      <c r="C2790">
        <v>100</v>
      </c>
      <c r="D2790" s="9">
        <v>44102</v>
      </c>
      <c r="E2790" t="s">
        <v>296</v>
      </c>
      <c r="I2790" s="9"/>
    </row>
    <row r="2791" spans="1:9" x14ac:dyDescent="0.25">
      <c r="A2791">
        <v>340102</v>
      </c>
      <c r="B2791">
        <v>5.55</v>
      </c>
      <c r="C2791">
        <v>160</v>
      </c>
      <c r="D2791" s="9">
        <v>42237</v>
      </c>
      <c r="E2791" t="s">
        <v>296</v>
      </c>
      <c r="I2791" s="9"/>
    </row>
    <row r="2792" spans="1:9" x14ac:dyDescent="0.25">
      <c r="A2792">
        <v>340102</v>
      </c>
      <c r="B2792">
        <v>5.55</v>
      </c>
      <c r="C2792">
        <v>480</v>
      </c>
      <c r="D2792" s="9">
        <v>41544</v>
      </c>
      <c r="E2792" t="s">
        <v>296</v>
      </c>
      <c r="I2792" s="9"/>
    </row>
    <row r="2793" spans="1:9" x14ac:dyDescent="0.25">
      <c r="A2793">
        <v>340114</v>
      </c>
      <c r="B2793">
        <v>3.3</v>
      </c>
      <c r="C2793">
        <v>320</v>
      </c>
      <c r="D2793" s="9">
        <v>41544</v>
      </c>
      <c r="E2793" t="s">
        <v>296</v>
      </c>
      <c r="I2793" s="9"/>
    </row>
    <row r="2794" spans="1:9" x14ac:dyDescent="0.25">
      <c r="A2794">
        <v>340140</v>
      </c>
      <c r="B2794">
        <v>28.8</v>
      </c>
      <c r="C2794">
        <v>40</v>
      </c>
      <c r="D2794" s="9">
        <v>43627</v>
      </c>
      <c r="E2794" t="s">
        <v>296</v>
      </c>
      <c r="I2794" s="9"/>
    </row>
    <row r="2795" spans="1:9" x14ac:dyDescent="0.25">
      <c r="A2795">
        <v>340140</v>
      </c>
      <c r="B2795">
        <v>30.3</v>
      </c>
      <c r="C2795">
        <v>40</v>
      </c>
      <c r="D2795" s="9">
        <v>43409</v>
      </c>
      <c r="E2795" t="s">
        <v>296</v>
      </c>
      <c r="I2795" s="9"/>
    </row>
    <row r="2796" spans="1:9" x14ac:dyDescent="0.25">
      <c r="A2796">
        <v>340140</v>
      </c>
      <c r="B2796">
        <v>30.3</v>
      </c>
      <c r="C2796">
        <v>40</v>
      </c>
      <c r="D2796" s="9">
        <v>43228</v>
      </c>
      <c r="E2796" t="s">
        <v>296</v>
      </c>
      <c r="I2796" s="9"/>
    </row>
    <row r="2797" spans="1:9" x14ac:dyDescent="0.25">
      <c r="A2797">
        <v>340140</v>
      </c>
      <c r="B2797">
        <v>104.81</v>
      </c>
      <c r="C2797">
        <v>48</v>
      </c>
      <c r="D2797" s="9">
        <v>43123</v>
      </c>
      <c r="E2797" t="s">
        <v>295</v>
      </c>
      <c r="I2797" s="9"/>
    </row>
    <row r="2798" spans="1:9" x14ac:dyDescent="0.25">
      <c r="A2798">
        <v>340140</v>
      </c>
      <c r="B2798">
        <v>28</v>
      </c>
      <c r="C2798">
        <v>48</v>
      </c>
      <c r="D2798" s="9">
        <v>43067</v>
      </c>
      <c r="E2798" t="s">
        <v>296</v>
      </c>
      <c r="I2798" s="9"/>
    </row>
    <row r="2799" spans="1:9" x14ac:dyDescent="0.25">
      <c r="A2799">
        <v>340140</v>
      </c>
      <c r="B2799">
        <v>25.5</v>
      </c>
      <c r="C2799">
        <v>48</v>
      </c>
      <c r="D2799" s="9">
        <v>42585</v>
      </c>
      <c r="E2799" t="s">
        <v>296</v>
      </c>
      <c r="I2799" s="9"/>
    </row>
    <row r="2800" spans="1:9" x14ac:dyDescent="0.25">
      <c r="A2800">
        <v>340140</v>
      </c>
      <c r="B2800">
        <v>27.2</v>
      </c>
      <c r="C2800">
        <v>50</v>
      </c>
      <c r="D2800" s="9">
        <v>42585</v>
      </c>
      <c r="E2800" t="s">
        <v>296</v>
      </c>
      <c r="I2800" s="9"/>
    </row>
    <row r="2801" spans="1:9" x14ac:dyDescent="0.25">
      <c r="A2801">
        <v>340140</v>
      </c>
      <c r="B2801">
        <v>28.8</v>
      </c>
      <c r="C2801">
        <v>60</v>
      </c>
      <c r="D2801" s="9">
        <v>42325</v>
      </c>
      <c r="E2801" t="s">
        <v>296</v>
      </c>
      <c r="I2801" s="9"/>
    </row>
    <row r="2802" spans="1:9" x14ac:dyDescent="0.25">
      <c r="A2802">
        <v>340140</v>
      </c>
      <c r="B2802">
        <v>27.5</v>
      </c>
      <c r="C2802">
        <v>64</v>
      </c>
      <c r="D2802" s="9">
        <v>42191</v>
      </c>
      <c r="E2802" t="s">
        <v>296</v>
      </c>
      <c r="I2802" s="9"/>
    </row>
    <row r="2803" spans="1:9" x14ac:dyDescent="0.25">
      <c r="A2803">
        <v>340140</v>
      </c>
      <c r="B2803">
        <v>97.05</v>
      </c>
      <c r="C2803">
        <v>60</v>
      </c>
      <c r="D2803" s="9">
        <v>42011</v>
      </c>
      <c r="E2803" t="s">
        <v>295</v>
      </c>
      <c r="I2803" s="9"/>
    </row>
    <row r="2804" spans="1:9" x14ac:dyDescent="0.25">
      <c r="A2804">
        <v>340140</v>
      </c>
      <c r="B2804">
        <v>27.5</v>
      </c>
      <c r="C2804">
        <v>60</v>
      </c>
      <c r="D2804" s="9">
        <v>41961</v>
      </c>
      <c r="E2804" t="s">
        <v>296</v>
      </c>
      <c r="I2804" s="9"/>
    </row>
    <row r="2805" spans="1:9" x14ac:dyDescent="0.25">
      <c r="A2805">
        <v>340140</v>
      </c>
      <c r="B2805">
        <v>27.5</v>
      </c>
      <c r="C2805">
        <v>64</v>
      </c>
      <c r="D2805" s="9">
        <v>41647</v>
      </c>
      <c r="E2805" t="s">
        <v>296</v>
      </c>
      <c r="I2805" s="9"/>
    </row>
    <row r="2806" spans="1:9" x14ac:dyDescent="0.25">
      <c r="A2806">
        <v>340140</v>
      </c>
      <c r="B2806">
        <v>27</v>
      </c>
      <c r="C2806">
        <v>64</v>
      </c>
      <c r="D2806" s="9">
        <v>41484</v>
      </c>
      <c r="E2806" t="s">
        <v>296</v>
      </c>
      <c r="I2806" s="9"/>
    </row>
    <row r="2807" spans="1:9" x14ac:dyDescent="0.25">
      <c r="A2807">
        <v>340140</v>
      </c>
      <c r="B2807">
        <v>27.2</v>
      </c>
      <c r="C2807">
        <v>96</v>
      </c>
      <c r="D2807" s="9">
        <v>41288</v>
      </c>
      <c r="E2807" t="s">
        <v>296</v>
      </c>
      <c r="I2807" s="9"/>
    </row>
    <row r="2808" spans="1:9" x14ac:dyDescent="0.25">
      <c r="A2808">
        <v>340142</v>
      </c>
      <c r="B2808">
        <v>28.8</v>
      </c>
      <c r="C2808">
        <v>40</v>
      </c>
      <c r="D2808" s="9">
        <v>43955</v>
      </c>
      <c r="E2808" t="s">
        <v>296</v>
      </c>
      <c r="I2808" s="9"/>
    </row>
    <row r="2809" spans="1:9" x14ac:dyDescent="0.25">
      <c r="A2809">
        <v>340142</v>
      </c>
      <c r="B2809">
        <v>28.8</v>
      </c>
      <c r="C2809">
        <v>36</v>
      </c>
      <c r="D2809" s="9">
        <v>43955</v>
      </c>
      <c r="E2809" t="s">
        <v>296</v>
      </c>
      <c r="I2809" s="9"/>
    </row>
    <row r="2810" spans="1:9" x14ac:dyDescent="0.25">
      <c r="A2810">
        <v>340142</v>
      </c>
      <c r="B2810">
        <v>28.8</v>
      </c>
      <c r="C2810">
        <v>40</v>
      </c>
      <c r="D2810" s="9">
        <v>43627</v>
      </c>
      <c r="E2810" t="s">
        <v>296</v>
      </c>
      <c r="I2810" s="9"/>
    </row>
    <row r="2811" spans="1:9" x14ac:dyDescent="0.25">
      <c r="A2811">
        <v>340142</v>
      </c>
      <c r="B2811">
        <v>28.8</v>
      </c>
      <c r="C2811">
        <v>24</v>
      </c>
      <c r="D2811" s="9">
        <v>43409</v>
      </c>
      <c r="E2811" t="s">
        <v>296</v>
      </c>
      <c r="I2811" s="9"/>
    </row>
    <row r="2812" spans="1:9" x14ac:dyDescent="0.25">
      <c r="A2812">
        <v>340142</v>
      </c>
      <c r="B2812">
        <v>30.3</v>
      </c>
      <c r="C2812">
        <v>30</v>
      </c>
      <c r="D2812" s="9">
        <v>43228</v>
      </c>
      <c r="E2812" t="s">
        <v>296</v>
      </c>
      <c r="I2812" s="9"/>
    </row>
    <row r="2813" spans="1:9" x14ac:dyDescent="0.25">
      <c r="A2813">
        <v>340142</v>
      </c>
      <c r="B2813">
        <v>104.38</v>
      </c>
      <c r="C2813">
        <v>30</v>
      </c>
      <c r="D2813" s="9">
        <v>43123</v>
      </c>
      <c r="E2813" t="s">
        <v>295</v>
      </c>
      <c r="I2813" s="9"/>
    </row>
    <row r="2814" spans="1:9" x14ac:dyDescent="0.25">
      <c r="A2814">
        <v>340142</v>
      </c>
      <c r="B2814">
        <v>28</v>
      </c>
      <c r="C2814">
        <v>48</v>
      </c>
      <c r="D2814" s="9">
        <v>43067</v>
      </c>
      <c r="E2814" t="s">
        <v>296</v>
      </c>
      <c r="I2814" s="9"/>
    </row>
    <row r="2815" spans="1:9" x14ac:dyDescent="0.25">
      <c r="A2815">
        <v>340142</v>
      </c>
      <c r="B2815">
        <v>25.5</v>
      </c>
      <c r="C2815">
        <v>36</v>
      </c>
      <c r="D2815" s="9">
        <v>42585</v>
      </c>
      <c r="E2815" t="s">
        <v>296</v>
      </c>
      <c r="I2815" s="9"/>
    </row>
    <row r="2816" spans="1:9" x14ac:dyDescent="0.25">
      <c r="A2816">
        <v>340142</v>
      </c>
      <c r="B2816">
        <v>25.85</v>
      </c>
      <c r="C2816">
        <v>40</v>
      </c>
      <c r="D2816" s="9">
        <v>42494</v>
      </c>
      <c r="E2816" t="s">
        <v>296</v>
      </c>
      <c r="I2816" s="9"/>
    </row>
    <row r="2817" spans="1:9" x14ac:dyDescent="0.25">
      <c r="A2817">
        <v>340142</v>
      </c>
      <c r="B2817">
        <v>27.5</v>
      </c>
      <c r="C2817">
        <v>32</v>
      </c>
      <c r="D2817" s="9">
        <v>42380</v>
      </c>
      <c r="E2817" t="s">
        <v>296</v>
      </c>
      <c r="I2817" s="9"/>
    </row>
    <row r="2818" spans="1:9" x14ac:dyDescent="0.25">
      <c r="A2818">
        <v>340142</v>
      </c>
      <c r="B2818">
        <v>27.5</v>
      </c>
      <c r="C2818">
        <v>32</v>
      </c>
      <c r="D2818" s="9">
        <v>42191</v>
      </c>
      <c r="E2818" t="s">
        <v>296</v>
      </c>
      <c r="I2818" s="9"/>
    </row>
    <row r="2819" spans="1:9" x14ac:dyDescent="0.25">
      <c r="A2819">
        <v>340142</v>
      </c>
      <c r="B2819">
        <v>27.2</v>
      </c>
      <c r="C2819">
        <v>48</v>
      </c>
      <c r="D2819" s="9">
        <v>41288</v>
      </c>
      <c r="E2819" t="s">
        <v>296</v>
      </c>
      <c r="I2819" s="9"/>
    </row>
    <row r="2820" spans="1:9" x14ac:dyDescent="0.25">
      <c r="A2820">
        <v>340170</v>
      </c>
      <c r="B2820">
        <v>1.45</v>
      </c>
      <c r="C2820">
        <v>432</v>
      </c>
      <c r="D2820" s="9">
        <v>44062</v>
      </c>
      <c r="E2820" t="s">
        <v>296</v>
      </c>
      <c r="I2820" s="9"/>
    </row>
    <row r="2821" spans="1:9" x14ac:dyDescent="0.25">
      <c r="A2821">
        <v>340170</v>
      </c>
      <c r="B2821">
        <v>1.45</v>
      </c>
      <c r="C2821">
        <v>600</v>
      </c>
      <c r="D2821" s="9">
        <v>43803</v>
      </c>
      <c r="E2821" t="s">
        <v>296</v>
      </c>
      <c r="I2821" s="9"/>
    </row>
    <row r="2822" spans="1:9" x14ac:dyDescent="0.25">
      <c r="A2822">
        <v>340170</v>
      </c>
      <c r="B2822">
        <v>1.45</v>
      </c>
      <c r="C2822">
        <v>600</v>
      </c>
      <c r="D2822" s="9">
        <v>43483</v>
      </c>
      <c r="E2822" t="s">
        <v>296</v>
      </c>
      <c r="I2822" s="9"/>
    </row>
    <row r="2823" spans="1:9" x14ac:dyDescent="0.25">
      <c r="A2823">
        <v>340170</v>
      </c>
      <c r="B2823">
        <v>1.33</v>
      </c>
      <c r="C2823">
        <v>600</v>
      </c>
      <c r="D2823" s="9">
        <v>43063</v>
      </c>
      <c r="E2823" t="s">
        <v>296</v>
      </c>
      <c r="I2823" s="9"/>
    </row>
    <row r="2824" spans="1:9" x14ac:dyDescent="0.25">
      <c r="A2824">
        <v>340170</v>
      </c>
      <c r="B2824">
        <v>1.22</v>
      </c>
      <c r="C2824">
        <v>624</v>
      </c>
      <c r="D2824" s="9">
        <v>42753</v>
      </c>
      <c r="E2824" t="s">
        <v>296</v>
      </c>
      <c r="I2824" s="9"/>
    </row>
    <row r="2825" spans="1:9" x14ac:dyDescent="0.25">
      <c r="A2825">
        <v>340170</v>
      </c>
      <c r="B2825">
        <v>1.663</v>
      </c>
      <c r="C2825">
        <v>600</v>
      </c>
      <c r="D2825" s="9">
        <v>42753</v>
      </c>
      <c r="E2825" t="s">
        <v>297</v>
      </c>
      <c r="I2825" s="9"/>
    </row>
    <row r="2826" spans="1:9" x14ac:dyDescent="0.25">
      <c r="A2826">
        <v>340170</v>
      </c>
      <c r="B2826">
        <v>1.663</v>
      </c>
      <c r="C2826">
        <v>600</v>
      </c>
      <c r="D2826" s="9">
        <v>42520</v>
      </c>
      <c r="E2826" t="s">
        <v>297</v>
      </c>
      <c r="I2826" s="9"/>
    </row>
    <row r="2827" spans="1:9" x14ac:dyDescent="0.25">
      <c r="A2827">
        <v>340170</v>
      </c>
      <c r="B2827">
        <v>7.3</v>
      </c>
      <c r="C2827">
        <v>600</v>
      </c>
      <c r="D2827" s="9">
        <v>42520</v>
      </c>
      <c r="E2827" t="s">
        <v>295</v>
      </c>
      <c r="I2827" s="9"/>
    </row>
    <row r="2828" spans="1:9" x14ac:dyDescent="0.25">
      <c r="A2828">
        <v>340170</v>
      </c>
      <c r="B2828">
        <v>1.827</v>
      </c>
      <c r="C2828">
        <v>720</v>
      </c>
      <c r="D2828" s="9">
        <v>42012</v>
      </c>
      <c r="E2828" t="s">
        <v>296</v>
      </c>
      <c r="I2828" s="9"/>
    </row>
    <row r="2829" spans="1:9" x14ac:dyDescent="0.25">
      <c r="A2829">
        <v>340170</v>
      </c>
      <c r="B2829">
        <v>8.1199999999999992</v>
      </c>
      <c r="C2829">
        <v>1</v>
      </c>
      <c r="D2829" s="9">
        <v>41884</v>
      </c>
      <c r="E2829" t="s">
        <v>295</v>
      </c>
      <c r="I2829" s="9"/>
    </row>
    <row r="2830" spans="1:9" x14ac:dyDescent="0.25">
      <c r="A2830">
        <v>340170</v>
      </c>
      <c r="B2830">
        <v>5.61</v>
      </c>
      <c r="C2830">
        <v>720</v>
      </c>
      <c r="D2830" s="9">
        <v>41821</v>
      </c>
      <c r="E2830" t="s">
        <v>295</v>
      </c>
      <c r="I2830" s="9"/>
    </row>
    <row r="2831" spans="1:9" x14ac:dyDescent="0.25">
      <c r="A2831">
        <v>340170</v>
      </c>
      <c r="B2831">
        <v>1.827</v>
      </c>
      <c r="C2831">
        <v>720</v>
      </c>
      <c r="D2831" s="9">
        <v>41821</v>
      </c>
      <c r="E2831" t="s">
        <v>296</v>
      </c>
      <c r="I2831" s="9"/>
    </row>
    <row r="2832" spans="1:9" x14ac:dyDescent="0.25">
      <c r="A2832">
        <v>340170</v>
      </c>
      <c r="B2832">
        <v>1.827</v>
      </c>
      <c r="C2832">
        <v>480</v>
      </c>
      <c r="D2832" s="9">
        <v>41786</v>
      </c>
      <c r="E2832" t="s">
        <v>296</v>
      </c>
      <c r="I2832" s="9"/>
    </row>
    <row r="2833" spans="1:9" x14ac:dyDescent="0.25">
      <c r="A2833">
        <v>340170</v>
      </c>
      <c r="B2833">
        <v>1.827</v>
      </c>
      <c r="C2833">
        <v>528</v>
      </c>
      <c r="D2833" s="9">
        <v>41535</v>
      </c>
      <c r="E2833" t="s">
        <v>296</v>
      </c>
      <c r="I2833" s="9"/>
    </row>
    <row r="2834" spans="1:9" x14ac:dyDescent="0.25">
      <c r="A2834">
        <v>340170</v>
      </c>
      <c r="B2834">
        <v>1.827</v>
      </c>
      <c r="C2834">
        <v>576</v>
      </c>
      <c r="D2834" s="9">
        <v>41309</v>
      </c>
      <c r="E2834" t="s">
        <v>296</v>
      </c>
      <c r="I2834" s="9"/>
    </row>
    <row r="2835" spans="1:9" x14ac:dyDescent="0.25">
      <c r="A2835">
        <v>340175</v>
      </c>
      <c r="B2835">
        <v>1.66</v>
      </c>
      <c r="C2835">
        <v>640</v>
      </c>
      <c r="D2835" s="9">
        <v>43052</v>
      </c>
      <c r="E2835" t="s">
        <v>296</v>
      </c>
      <c r="I2835" s="9"/>
    </row>
    <row r="2836" spans="1:9" x14ac:dyDescent="0.25">
      <c r="A2836">
        <v>340175</v>
      </c>
      <c r="B2836">
        <v>1.53</v>
      </c>
      <c r="C2836">
        <v>640</v>
      </c>
      <c r="D2836" s="9">
        <v>42864</v>
      </c>
      <c r="E2836" t="s">
        <v>296</v>
      </c>
      <c r="I2836" s="9"/>
    </row>
    <row r="2837" spans="1:9" x14ac:dyDescent="0.25">
      <c r="A2837">
        <v>340175</v>
      </c>
      <c r="B2837">
        <v>1.45</v>
      </c>
      <c r="C2837">
        <v>640</v>
      </c>
      <c r="D2837" s="9">
        <v>42748</v>
      </c>
      <c r="E2837" t="s">
        <v>296</v>
      </c>
      <c r="I2837" s="9"/>
    </row>
    <row r="2838" spans="1:9" x14ac:dyDescent="0.25">
      <c r="A2838">
        <v>340175</v>
      </c>
      <c r="B2838">
        <v>1.42</v>
      </c>
      <c r="C2838">
        <v>960</v>
      </c>
      <c r="D2838" s="9">
        <v>42586</v>
      </c>
      <c r="E2838" t="s">
        <v>296</v>
      </c>
      <c r="I2838" s="9"/>
    </row>
    <row r="2839" spans="1:9" x14ac:dyDescent="0.25">
      <c r="A2839">
        <v>340175</v>
      </c>
      <c r="B2839">
        <v>1.47</v>
      </c>
      <c r="C2839">
        <v>600</v>
      </c>
      <c r="D2839" s="9">
        <v>42325</v>
      </c>
      <c r="E2839" t="s">
        <v>296</v>
      </c>
      <c r="I2839" s="9"/>
    </row>
    <row r="2840" spans="1:9" x14ac:dyDescent="0.25">
      <c r="A2840">
        <v>340175</v>
      </c>
      <c r="B2840">
        <v>1.47</v>
      </c>
      <c r="C2840">
        <v>1000</v>
      </c>
      <c r="D2840" s="9">
        <v>41934</v>
      </c>
      <c r="E2840" t="s">
        <v>296</v>
      </c>
      <c r="I2840" s="9"/>
    </row>
    <row r="2841" spans="1:9" x14ac:dyDescent="0.25">
      <c r="A2841">
        <v>340181</v>
      </c>
      <c r="B2841">
        <v>5</v>
      </c>
      <c r="C2841">
        <v>540</v>
      </c>
      <c r="D2841" s="9">
        <v>44095</v>
      </c>
      <c r="E2841" t="s">
        <v>296</v>
      </c>
      <c r="I2841" s="9"/>
    </row>
    <row r="2842" spans="1:9" x14ac:dyDescent="0.25">
      <c r="A2842">
        <v>340181</v>
      </c>
      <c r="B2842">
        <v>5.8</v>
      </c>
      <c r="C2842">
        <v>252</v>
      </c>
      <c r="D2842" s="9">
        <v>42719</v>
      </c>
      <c r="E2842" t="s">
        <v>296</v>
      </c>
      <c r="I2842" s="9"/>
    </row>
    <row r="2843" spans="1:9" x14ac:dyDescent="0.25">
      <c r="A2843">
        <v>340181</v>
      </c>
      <c r="B2843">
        <v>5.8</v>
      </c>
      <c r="C2843">
        <v>180</v>
      </c>
      <c r="D2843" s="9">
        <v>42698</v>
      </c>
      <c r="E2843" t="s">
        <v>296</v>
      </c>
      <c r="I2843" s="9"/>
    </row>
    <row r="2844" spans="1:9" x14ac:dyDescent="0.25">
      <c r="A2844">
        <v>340181</v>
      </c>
      <c r="B2844">
        <v>5.8</v>
      </c>
      <c r="C2844">
        <v>396</v>
      </c>
      <c r="D2844" s="9">
        <v>42660</v>
      </c>
      <c r="E2844" t="s">
        <v>296</v>
      </c>
      <c r="I2844" s="9"/>
    </row>
    <row r="2845" spans="1:9" x14ac:dyDescent="0.25">
      <c r="A2845">
        <v>340181</v>
      </c>
      <c r="B2845">
        <v>5.8</v>
      </c>
      <c r="C2845">
        <v>198</v>
      </c>
      <c r="D2845" s="9">
        <v>42510</v>
      </c>
      <c r="E2845" t="s">
        <v>296</v>
      </c>
      <c r="I2845" s="9"/>
    </row>
    <row r="2846" spans="1:9" x14ac:dyDescent="0.25">
      <c r="A2846">
        <v>340182</v>
      </c>
      <c r="B2846">
        <v>5.8239999999999998</v>
      </c>
      <c r="C2846">
        <v>150</v>
      </c>
      <c r="D2846" s="9">
        <v>42285</v>
      </c>
      <c r="E2846" t="s">
        <v>297</v>
      </c>
      <c r="I2846" s="9"/>
    </row>
    <row r="2847" spans="1:9" x14ac:dyDescent="0.25">
      <c r="A2847">
        <v>340182</v>
      </c>
      <c r="B2847">
        <v>21.3</v>
      </c>
      <c r="C2847">
        <v>150</v>
      </c>
      <c r="D2847" s="9">
        <v>41957</v>
      </c>
      <c r="E2847" t="s">
        <v>295</v>
      </c>
      <c r="I2847" s="9"/>
    </row>
    <row r="2848" spans="1:9" x14ac:dyDescent="0.25">
      <c r="A2848">
        <v>340182</v>
      </c>
      <c r="B2848">
        <v>6.4</v>
      </c>
      <c r="C2848">
        <v>150</v>
      </c>
      <c r="D2848" s="9">
        <v>41912</v>
      </c>
      <c r="E2848" t="s">
        <v>296</v>
      </c>
      <c r="I2848" s="9"/>
    </row>
    <row r="2849" spans="1:9" x14ac:dyDescent="0.25">
      <c r="A2849">
        <v>340190</v>
      </c>
      <c r="B2849">
        <v>7.1879999999999997</v>
      </c>
      <c r="C2849">
        <v>600</v>
      </c>
      <c r="D2849" s="9">
        <v>44095</v>
      </c>
      <c r="E2849" t="s">
        <v>296</v>
      </c>
      <c r="I2849" s="9"/>
    </row>
    <row r="2850" spans="1:9" x14ac:dyDescent="0.25">
      <c r="A2850">
        <v>340190</v>
      </c>
      <c r="B2850">
        <v>13.5</v>
      </c>
      <c r="C2850">
        <v>200</v>
      </c>
      <c r="D2850" s="9">
        <v>44060</v>
      </c>
      <c r="E2850" t="s">
        <v>296</v>
      </c>
      <c r="I2850" s="9"/>
    </row>
    <row r="2851" spans="1:9" x14ac:dyDescent="0.25">
      <c r="A2851">
        <v>340190</v>
      </c>
      <c r="B2851">
        <v>8.25</v>
      </c>
      <c r="C2851">
        <v>200</v>
      </c>
      <c r="D2851" s="9">
        <v>43132</v>
      </c>
      <c r="E2851" t="s">
        <v>296</v>
      </c>
      <c r="I2851" s="9"/>
    </row>
    <row r="2852" spans="1:9" x14ac:dyDescent="0.25">
      <c r="A2852">
        <v>340190</v>
      </c>
      <c r="B2852">
        <v>29.13</v>
      </c>
      <c r="C2852">
        <v>200</v>
      </c>
      <c r="D2852" s="9">
        <v>43132</v>
      </c>
      <c r="E2852" t="s">
        <v>295</v>
      </c>
      <c r="I2852" s="9"/>
    </row>
    <row r="2853" spans="1:9" x14ac:dyDescent="0.25">
      <c r="A2853">
        <v>340190</v>
      </c>
      <c r="B2853">
        <v>10.26</v>
      </c>
      <c r="C2853">
        <v>200</v>
      </c>
      <c r="D2853" s="9">
        <v>42676</v>
      </c>
      <c r="E2853" t="s">
        <v>297</v>
      </c>
      <c r="I2853" s="9"/>
    </row>
    <row r="2854" spans="1:9" x14ac:dyDescent="0.25">
      <c r="A2854">
        <v>340190</v>
      </c>
      <c r="B2854">
        <v>35.94</v>
      </c>
      <c r="C2854">
        <v>260</v>
      </c>
      <c r="D2854" s="9">
        <v>41957</v>
      </c>
      <c r="E2854" t="s">
        <v>295</v>
      </c>
      <c r="I2854" s="9"/>
    </row>
    <row r="2855" spans="1:9" x14ac:dyDescent="0.25">
      <c r="A2855">
        <v>340190</v>
      </c>
      <c r="B2855">
        <v>35.94</v>
      </c>
      <c r="C2855">
        <v>200</v>
      </c>
      <c r="D2855" s="9">
        <v>41957</v>
      </c>
      <c r="E2855" t="s">
        <v>295</v>
      </c>
      <c r="I2855" s="9"/>
    </row>
    <row r="2856" spans="1:9" x14ac:dyDescent="0.25">
      <c r="A2856">
        <v>340190</v>
      </c>
      <c r="B2856">
        <v>10.8</v>
      </c>
      <c r="C2856">
        <v>260</v>
      </c>
      <c r="D2856" s="9">
        <v>41912</v>
      </c>
      <c r="E2856" t="s">
        <v>296</v>
      </c>
      <c r="I2856" s="9"/>
    </row>
    <row r="2857" spans="1:9" x14ac:dyDescent="0.25">
      <c r="A2857">
        <v>340190</v>
      </c>
      <c r="B2857">
        <v>10.8</v>
      </c>
      <c r="C2857">
        <v>200</v>
      </c>
      <c r="D2857" s="9">
        <v>41912</v>
      </c>
      <c r="E2857" t="s">
        <v>296</v>
      </c>
      <c r="I2857" s="9"/>
    </row>
    <row r="2858" spans="1:9" x14ac:dyDescent="0.25">
      <c r="A2858">
        <v>340190</v>
      </c>
      <c r="B2858">
        <v>52.76</v>
      </c>
      <c r="C2858">
        <v>1</v>
      </c>
      <c r="D2858" s="9">
        <v>41884</v>
      </c>
      <c r="E2858" t="s">
        <v>295</v>
      </c>
      <c r="I2858" s="9"/>
    </row>
    <row r="2859" spans="1:9" x14ac:dyDescent="0.25">
      <c r="A2859">
        <v>340190</v>
      </c>
      <c r="B2859">
        <v>33.83</v>
      </c>
      <c r="C2859">
        <v>200</v>
      </c>
      <c r="D2859" s="9">
        <v>41821</v>
      </c>
      <c r="E2859" t="s">
        <v>295</v>
      </c>
      <c r="I2859" s="9"/>
    </row>
    <row r="2860" spans="1:9" x14ac:dyDescent="0.25">
      <c r="A2860">
        <v>340190</v>
      </c>
      <c r="B2860">
        <v>11.016</v>
      </c>
      <c r="C2860">
        <v>200</v>
      </c>
      <c r="D2860" s="9">
        <v>41821</v>
      </c>
      <c r="E2860" t="s">
        <v>296</v>
      </c>
      <c r="I2860" s="9"/>
    </row>
    <row r="2861" spans="1:9" x14ac:dyDescent="0.25">
      <c r="A2861">
        <v>340190</v>
      </c>
      <c r="B2861">
        <v>10.8</v>
      </c>
      <c r="C2861">
        <v>200</v>
      </c>
      <c r="D2861" s="9">
        <v>41682</v>
      </c>
      <c r="E2861" t="s">
        <v>296</v>
      </c>
      <c r="I2861" s="9"/>
    </row>
    <row r="2862" spans="1:9" x14ac:dyDescent="0.25">
      <c r="A2862">
        <v>340190</v>
      </c>
      <c r="B2862">
        <v>10.8</v>
      </c>
      <c r="C2862">
        <v>300</v>
      </c>
      <c r="D2862" s="9">
        <v>41535</v>
      </c>
      <c r="E2862" t="s">
        <v>296</v>
      </c>
      <c r="I2862" s="9"/>
    </row>
    <row r="2863" spans="1:9" x14ac:dyDescent="0.25">
      <c r="A2863">
        <v>340190</v>
      </c>
      <c r="B2863">
        <v>10.8</v>
      </c>
      <c r="C2863">
        <v>240</v>
      </c>
      <c r="D2863" s="9">
        <v>41309</v>
      </c>
      <c r="E2863" t="s">
        <v>296</v>
      </c>
      <c r="I2863" s="9"/>
    </row>
    <row r="2864" spans="1:9" x14ac:dyDescent="0.25">
      <c r="A2864">
        <v>340194</v>
      </c>
      <c r="B2864">
        <v>7.5780000000000003</v>
      </c>
      <c r="C2864">
        <v>400</v>
      </c>
      <c r="D2864" s="9">
        <v>44095</v>
      </c>
      <c r="E2864" t="s">
        <v>296</v>
      </c>
      <c r="I2864" s="9"/>
    </row>
    <row r="2865" spans="1:9" x14ac:dyDescent="0.25">
      <c r="A2865">
        <v>340194</v>
      </c>
      <c r="B2865">
        <v>9</v>
      </c>
      <c r="C2865">
        <v>150</v>
      </c>
      <c r="D2865" s="9">
        <v>44043</v>
      </c>
      <c r="E2865" t="s">
        <v>296</v>
      </c>
      <c r="I2865" s="9"/>
    </row>
    <row r="2866" spans="1:9" x14ac:dyDescent="0.25">
      <c r="A2866">
        <v>340194</v>
      </c>
      <c r="B2866">
        <v>9</v>
      </c>
      <c r="C2866">
        <v>100</v>
      </c>
      <c r="D2866" s="9">
        <v>43803</v>
      </c>
      <c r="E2866" t="s">
        <v>296</v>
      </c>
      <c r="I2866" s="9"/>
    </row>
    <row r="2867" spans="1:9" x14ac:dyDescent="0.25">
      <c r="A2867">
        <v>340194</v>
      </c>
      <c r="B2867">
        <v>25.3</v>
      </c>
      <c r="C2867">
        <v>100</v>
      </c>
      <c r="D2867" s="9">
        <v>43132</v>
      </c>
      <c r="E2867" t="s">
        <v>295</v>
      </c>
      <c r="I2867" s="9"/>
    </row>
    <row r="2868" spans="1:9" x14ac:dyDescent="0.25">
      <c r="A2868">
        <v>340194</v>
      </c>
      <c r="B2868">
        <v>7.1520000000000001</v>
      </c>
      <c r="C2868">
        <v>100</v>
      </c>
      <c r="D2868" s="9">
        <v>43132</v>
      </c>
      <c r="E2868" t="s">
        <v>296</v>
      </c>
      <c r="I2868" s="9"/>
    </row>
    <row r="2869" spans="1:9" x14ac:dyDescent="0.25">
      <c r="A2869">
        <v>340194</v>
      </c>
      <c r="B2869">
        <v>7.7350000000000003</v>
      </c>
      <c r="C2869">
        <v>100</v>
      </c>
      <c r="D2869" s="9">
        <v>42676</v>
      </c>
      <c r="E2869" t="s">
        <v>297</v>
      </c>
      <c r="I2869" s="9"/>
    </row>
    <row r="2870" spans="1:9" x14ac:dyDescent="0.25">
      <c r="A2870">
        <v>340194</v>
      </c>
      <c r="B2870">
        <v>7.7350000000000003</v>
      </c>
      <c r="C2870">
        <v>50</v>
      </c>
      <c r="D2870" s="9">
        <v>42285</v>
      </c>
      <c r="E2870" t="s">
        <v>297</v>
      </c>
      <c r="I2870" s="9"/>
    </row>
    <row r="2871" spans="1:9" x14ac:dyDescent="0.25">
      <c r="A2871">
        <v>340194</v>
      </c>
      <c r="B2871">
        <v>28.28</v>
      </c>
      <c r="C2871">
        <v>50</v>
      </c>
      <c r="D2871" s="9">
        <v>41957</v>
      </c>
      <c r="E2871" t="s">
        <v>295</v>
      </c>
      <c r="I2871" s="9"/>
    </row>
    <row r="2872" spans="1:9" x14ac:dyDescent="0.25">
      <c r="A2872">
        <v>340194</v>
      </c>
      <c r="B2872">
        <v>8.5</v>
      </c>
      <c r="C2872">
        <v>50</v>
      </c>
      <c r="D2872" s="9">
        <v>41912</v>
      </c>
      <c r="E2872" t="s">
        <v>296</v>
      </c>
      <c r="I2872" s="9"/>
    </row>
    <row r="2873" spans="1:9" x14ac:dyDescent="0.25">
      <c r="A2873">
        <v>340200</v>
      </c>
      <c r="B2873">
        <v>18.38</v>
      </c>
      <c r="C2873">
        <v>50</v>
      </c>
      <c r="D2873" s="9">
        <v>42472</v>
      </c>
      <c r="E2873" t="s">
        <v>296</v>
      </c>
      <c r="I2873" s="9"/>
    </row>
    <row r="2874" spans="1:9" x14ac:dyDescent="0.25">
      <c r="A2874">
        <v>340200</v>
      </c>
      <c r="B2874">
        <v>18.38</v>
      </c>
      <c r="C2874">
        <v>100</v>
      </c>
      <c r="D2874" s="9">
        <v>41730</v>
      </c>
      <c r="E2874" t="s">
        <v>296</v>
      </c>
      <c r="I2874" s="9"/>
    </row>
    <row r="2875" spans="1:9" x14ac:dyDescent="0.25">
      <c r="A2875">
        <v>340211</v>
      </c>
      <c r="B2875">
        <v>28.5</v>
      </c>
      <c r="C2875">
        <v>40</v>
      </c>
      <c r="D2875" s="9">
        <v>44111</v>
      </c>
      <c r="E2875" t="s">
        <v>296</v>
      </c>
      <c r="I2875" s="9"/>
    </row>
    <row r="2876" spans="1:9" x14ac:dyDescent="0.25">
      <c r="A2876">
        <v>340211</v>
      </c>
      <c r="B2876">
        <v>28.5</v>
      </c>
      <c r="C2876">
        <v>40</v>
      </c>
      <c r="D2876" s="9">
        <v>44060</v>
      </c>
      <c r="E2876" t="s">
        <v>296</v>
      </c>
      <c r="I2876" s="9"/>
    </row>
    <row r="2877" spans="1:9" x14ac:dyDescent="0.25">
      <c r="A2877">
        <v>340211</v>
      </c>
      <c r="B2877">
        <v>28.5</v>
      </c>
      <c r="C2877">
        <v>40</v>
      </c>
      <c r="D2877" s="9">
        <v>43627</v>
      </c>
      <c r="E2877" t="s">
        <v>296</v>
      </c>
      <c r="I2877" s="9"/>
    </row>
    <row r="2878" spans="1:9" x14ac:dyDescent="0.25">
      <c r="A2878">
        <v>340211</v>
      </c>
      <c r="B2878">
        <v>28.5</v>
      </c>
      <c r="C2878">
        <v>72</v>
      </c>
      <c r="D2878" s="9">
        <v>43228</v>
      </c>
      <c r="E2878" t="s">
        <v>296</v>
      </c>
      <c r="I2878" s="9"/>
    </row>
    <row r="2879" spans="1:9" x14ac:dyDescent="0.25">
      <c r="A2879">
        <v>340211</v>
      </c>
      <c r="B2879">
        <v>101.9</v>
      </c>
      <c r="C2879">
        <v>20</v>
      </c>
      <c r="D2879" s="9">
        <v>43123</v>
      </c>
      <c r="E2879" t="s">
        <v>295</v>
      </c>
      <c r="I2879" s="9"/>
    </row>
    <row r="2880" spans="1:9" x14ac:dyDescent="0.25">
      <c r="A2880">
        <v>340211</v>
      </c>
      <c r="B2880">
        <v>27.3</v>
      </c>
      <c r="C2880">
        <v>40</v>
      </c>
      <c r="D2880" s="9">
        <v>43067</v>
      </c>
      <c r="E2880" t="s">
        <v>296</v>
      </c>
      <c r="I2880" s="9"/>
    </row>
    <row r="2881" spans="1:9" x14ac:dyDescent="0.25">
      <c r="A2881">
        <v>340211</v>
      </c>
      <c r="B2881">
        <v>26.5</v>
      </c>
      <c r="C2881">
        <v>30</v>
      </c>
      <c r="D2881" s="9">
        <v>42585</v>
      </c>
      <c r="E2881" t="s">
        <v>296</v>
      </c>
      <c r="I2881" s="9"/>
    </row>
    <row r="2882" spans="1:9" x14ac:dyDescent="0.25">
      <c r="A2882">
        <v>340211</v>
      </c>
      <c r="B2882">
        <v>31.65</v>
      </c>
      <c r="C2882">
        <v>60</v>
      </c>
      <c r="D2882" s="9">
        <v>42325</v>
      </c>
      <c r="E2882" t="s">
        <v>296</v>
      </c>
      <c r="I2882" s="9"/>
    </row>
    <row r="2883" spans="1:9" x14ac:dyDescent="0.25">
      <c r="A2883">
        <v>340211</v>
      </c>
      <c r="B2883">
        <v>29</v>
      </c>
      <c r="C2883">
        <v>60</v>
      </c>
      <c r="D2883" s="9">
        <v>41947</v>
      </c>
      <c r="E2883" t="s">
        <v>296</v>
      </c>
      <c r="I2883" s="9"/>
    </row>
    <row r="2884" spans="1:9" x14ac:dyDescent="0.25">
      <c r="A2884">
        <v>340211</v>
      </c>
      <c r="B2884">
        <v>28.98</v>
      </c>
      <c r="C2884">
        <v>40</v>
      </c>
      <c r="D2884" s="9">
        <v>41947</v>
      </c>
      <c r="E2884" t="s">
        <v>296</v>
      </c>
      <c r="I2884" s="9"/>
    </row>
    <row r="2885" spans="1:9" x14ac:dyDescent="0.25">
      <c r="A2885">
        <v>340211</v>
      </c>
      <c r="B2885">
        <v>28.98</v>
      </c>
      <c r="C2885">
        <v>40</v>
      </c>
      <c r="D2885" s="9">
        <v>41747</v>
      </c>
      <c r="E2885" t="s">
        <v>296</v>
      </c>
      <c r="I2885" s="9"/>
    </row>
    <row r="2886" spans="1:9" x14ac:dyDescent="0.25">
      <c r="A2886">
        <v>340211</v>
      </c>
      <c r="B2886">
        <v>28.98</v>
      </c>
      <c r="C2886">
        <v>60</v>
      </c>
      <c r="D2886" s="9">
        <v>41484</v>
      </c>
      <c r="E2886" t="s">
        <v>296</v>
      </c>
      <c r="I2886" s="9"/>
    </row>
    <row r="2887" spans="1:9" x14ac:dyDescent="0.25">
      <c r="A2887">
        <v>340211</v>
      </c>
      <c r="B2887">
        <v>29</v>
      </c>
      <c r="C2887">
        <v>60</v>
      </c>
      <c r="D2887" s="9">
        <v>41288</v>
      </c>
      <c r="E2887" t="s">
        <v>296</v>
      </c>
      <c r="I2887" s="9"/>
    </row>
    <row r="2888" spans="1:9" x14ac:dyDescent="0.25">
      <c r="A2888">
        <v>340212</v>
      </c>
      <c r="B2888">
        <v>33</v>
      </c>
      <c r="C2888">
        <v>40</v>
      </c>
      <c r="D2888" s="9">
        <v>44060</v>
      </c>
      <c r="E2888" t="s">
        <v>296</v>
      </c>
      <c r="I2888" s="9"/>
    </row>
    <row r="2889" spans="1:9" x14ac:dyDescent="0.25">
      <c r="A2889">
        <v>340212</v>
      </c>
      <c r="B2889">
        <v>33</v>
      </c>
      <c r="C2889">
        <v>40</v>
      </c>
      <c r="D2889" s="9">
        <v>43955</v>
      </c>
      <c r="E2889" t="s">
        <v>296</v>
      </c>
      <c r="I2889" s="9"/>
    </row>
    <row r="2890" spans="1:9" x14ac:dyDescent="0.25">
      <c r="A2890">
        <v>340212</v>
      </c>
      <c r="B2890">
        <v>33</v>
      </c>
      <c r="C2890">
        <v>40</v>
      </c>
      <c r="D2890" s="9">
        <v>43627</v>
      </c>
      <c r="E2890" t="s">
        <v>296</v>
      </c>
      <c r="I2890" s="9"/>
    </row>
    <row r="2891" spans="1:9" x14ac:dyDescent="0.25">
      <c r="A2891">
        <v>340212</v>
      </c>
      <c r="B2891">
        <v>103.58</v>
      </c>
      <c r="C2891">
        <v>30</v>
      </c>
      <c r="D2891" s="9">
        <v>43474</v>
      </c>
      <c r="E2891" t="s">
        <v>295</v>
      </c>
      <c r="I2891" s="9"/>
    </row>
    <row r="2892" spans="1:9" x14ac:dyDescent="0.25">
      <c r="A2892">
        <v>340212</v>
      </c>
      <c r="B2892">
        <v>33</v>
      </c>
      <c r="C2892">
        <v>30</v>
      </c>
      <c r="D2892" s="9">
        <v>43409</v>
      </c>
      <c r="E2892" t="s">
        <v>296</v>
      </c>
      <c r="I2892" s="9"/>
    </row>
    <row r="2893" spans="1:9" x14ac:dyDescent="0.25">
      <c r="A2893">
        <v>340212</v>
      </c>
      <c r="B2893">
        <v>33.5</v>
      </c>
      <c r="C2893">
        <v>30</v>
      </c>
      <c r="D2893" s="9">
        <v>43228</v>
      </c>
      <c r="E2893" t="s">
        <v>296</v>
      </c>
      <c r="I2893" s="9"/>
    </row>
    <row r="2894" spans="1:9" x14ac:dyDescent="0.25">
      <c r="A2894">
        <v>340212</v>
      </c>
      <c r="B2894">
        <v>101.9</v>
      </c>
      <c r="C2894">
        <v>30</v>
      </c>
      <c r="D2894" s="9">
        <v>43123</v>
      </c>
      <c r="E2894" t="s">
        <v>295</v>
      </c>
      <c r="I2894" s="9"/>
    </row>
    <row r="2895" spans="1:9" x14ac:dyDescent="0.25">
      <c r="A2895">
        <v>340212</v>
      </c>
      <c r="B2895">
        <v>27.3</v>
      </c>
      <c r="C2895">
        <v>30</v>
      </c>
      <c r="D2895" s="9">
        <v>43067</v>
      </c>
      <c r="E2895" t="s">
        <v>296</v>
      </c>
      <c r="I2895" s="9"/>
    </row>
    <row r="2896" spans="1:9" x14ac:dyDescent="0.25">
      <c r="A2896">
        <v>340212</v>
      </c>
      <c r="B2896">
        <v>26.5</v>
      </c>
      <c r="C2896">
        <v>30</v>
      </c>
      <c r="D2896" s="9">
        <v>42585</v>
      </c>
      <c r="E2896" t="s">
        <v>296</v>
      </c>
      <c r="I2896" s="9"/>
    </row>
    <row r="2897" spans="1:9" x14ac:dyDescent="0.25">
      <c r="A2897">
        <v>340212</v>
      </c>
      <c r="B2897">
        <v>26.79</v>
      </c>
      <c r="C2897">
        <v>30</v>
      </c>
      <c r="D2897" s="9">
        <v>42494</v>
      </c>
      <c r="E2897" t="s">
        <v>296</v>
      </c>
      <c r="I2897" s="9"/>
    </row>
    <row r="2898" spans="1:9" x14ac:dyDescent="0.25">
      <c r="A2898">
        <v>340212</v>
      </c>
      <c r="B2898">
        <v>28.95</v>
      </c>
      <c r="C2898">
        <v>30</v>
      </c>
      <c r="D2898" s="9">
        <v>42380</v>
      </c>
      <c r="E2898" t="s">
        <v>296</v>
      </c>
      <c r="I2898" s="9"/>
    </row>
    <row r="2899" spans="1:9" x14ac:dyDescent="0.25">
      <c r="A2899">
        <v>340212</v>
      </c>
      <c r="B2899">
        <v>28.95</v>
      </c>
      <c r="C2899">
        <v>32</v>
      </c>
      <c r="D2899" s="9">
        <v>42191</v>
      </c>
      <c r="E2899" t="s">
        <v>296</v>
      </c>
      <c r="I2899" s="9"/>
    </row>
    <row r="2900" spans="1:9" x14ac:dyDescent="0.25">
      <c r="A2900">
        <v>340240</v>
      </c>
      <c r="B2900">
        <v>8.0500000000000007</v>
      </c>
      <c r="C2900">
        <v>125</v>
      </c>
      <c r="D2900" s="9">
        <v>43648</v>
      </c>
      <c r="E2900" t="s">
        <v>296</v>
      </c>
      <c r="I2900" s="9"/>
    </row>
    <row r="2901" spans="1:9" x14ac:dyDescent="0.25">
      <c r="A2901">
        <v>340240</v>
      </c>
      <c r="B2901">
        <v>7.3</v>
      </c>
      <c r="C2901">
        <v>220</v>
      </c>
      <c r="D2901" s="9">
        <v>43063</v>
      </c>
      <c r="E2901" t="s">
        <v>296</v>
      </c>
      <c r="I2901" s="9"/>
    </row>
    <row r="2902" spans="1:9" x14ac:dyDescent="0.25">
      <c r="A2902">
        <v>340240</v>
      </c>
      <c r="B2902">
        <v>7.3</v>
      </c>
      <c r="C2902">
        <v>100</v>
      </c>
      <c r="D2902" s="9">
        <v>42753</v>
      </c>
      <c r="E2902" t="s">
        <v>296</v>
      </c>
      <c r="I2902" s="9"/>
    </row>
    <row r="2903" spans="1:9" x14ac:dyDescent="0.25">
      <c r="A2903">
        <v>340240</v>
      </c>
      <c r="B2903">
        <v>7.4</v>
      </c>
      <c r="C2903">
        <v>100</v>
      </c>
      <c r="D2903" s="9">
        <v>42617</v>
      </c>
      <c r="E2903" t="s">
        <v>296</v>
      </c>
      <c r="I2903" s="9"/>
    </row>
    <row r="2904" spans="1:9" x14ac:dyDescent="0.25">
      <c r="A2904">
        <v>340240</v>
      </c>
      <c r="B2904">
        <v>8.8629999999999995</v>
      </c>
      <c r="C2904">
        <v>100</v>
      </c>
      <c r="D2904" s="9">
        <v>42233</v>
      </c>
      <c r="E2904" t="s">
        <v>297</v>
      </c>
      <c r="I2904" s="9"/>
    </row>
    <row r="2905" spans="1:9" x14ac:dyDescent="0.25">
      <c r="A2905">
        <v>340240</v>
      </c>
      <c r="B2905">
        <v>42.9</v>
      </c>
      <c r="C2905">
        <v>1</v>
      </c>
      <c r="D2905" s="9">
        <v>41884</v>
      </c>
      <c r="E2905" t="s">
        <v>295</v>
      </c>
      <c r="I2905" s="9"/>
    </row>
    <row r="2906" spans="1:9" x14ac:dyDescent="0.25">
      <c r="A2906">
        <v>340240</v>
      </c>
      <c r="B2906">
        <v>29.6</v>
      </c>
      <c r="C2906">
        <v>100</v>
      </c>
      <c r="D2906" s="9">
        <v>41821</v>
      </c>
      <c r="E2906" t="s">
        <v>295</v>
      </c>
      <c r="I2906" s="9"/>
    </row>
    <row r="2907" spans="1:9" x14ac:dyDescent="0.25">
      <c r="A2907">
        <v>340240</v>
      </c>
      <c r="B2907">
        <v>9.641</v>
      </c>
      <c r="C2907">
        <v>100</v>
      </c>
      <c r="D2907" s="9">
        <v>41821</v>
      </c>
      <c r="E2907" t="s">
        <v>296</v>
      </c>
      <c r="I2907" s="9"/>
    </row>
    <row r="2908" spans="1:9" x14ac:dyDescent="0.25">
      <c r="A2908">
        <v>340240</v>
      </c>
      <c r="B2908">
        <v>9.641</v>
      </c>
      <c r="C2908">
        <v>100</v>
      </c>
      <c r="D2908" s="9">
        <v>41786</v>
      </c>
      <c r="E2908" t="s">
        <v>296</v>
      </c>
      <c r="I2908" s="9"/>
    </row>
    <row r="2909" spans="1:9" x14ac:dyDescent="0.25">
      <c r="A2909">
        <v>340240</v>
      </c>
      <c r="B2909">
        <v>9.641</v>
      </c>
      <c r="C2909">
        <v>120</v>
      </c>
      <c r="D2909" s="9">
        <v>41309</v>
      </c>
      <c r="E2909" t="s">
        <v>296</v>
      </c>
      <c r="I2909" s="9"/>
    </row>
    <row r="2910" spans="1:9" x14ac:dyDescent="0.25">
      <c r="A2910">
        <v>340262</v>
      </c>
      <c r="B2910">
        <v>12.813000000000001</v>
      </c>
      <c r="C2910">
        <v>300</v>
      </c>
      <c r="D2910" s="9">
        <v>44095</v>
      </c>
      <c r="E2910" t="s">
        <v>296</v>
      </c>
      <c r="I2910" s="9"/>
    </row>
    <row r="2911" spans="1:9" x14ac:dyDescent="0.25">
      <c r="A2911">
        <v>340262</v>
      </c>
      <c r="B2911">
        <v>14.65</v>
      </c>
      <c r="C2911">
        <v>100</v>
      </c>
      <c r="D2911" s="9">
        <v>43132</v>
      </c>
      <c r="E2911" t="s">
        <v>296</v>
      </c>
      <c r="I2911" s="9"/>
    </row>
    <row r="2912" spans="1:9" x14ac:dyDescent="0.25">
      <c r="A2912">
        <v>340262</v>
      </c>
      <c r="B2912">
        <v>52.45</v>
      </c>
      <c r="C2912">
        <v>100</v>
      </c>
      <c r="D2912" s="9">
        <v>43132</v>
      </c>
      <c r="E2912" t="s">
        <v>295</v>
      </c>
      <c r="I2912" s="9"/>
    </row>
    <row r="2913" spans="1:9" x14ac:dyDescent="0.25">
      <c r="A2913">
        <v>340262</v>
      </c>
      <c r="B2913">
        <v>15.5</v>
      </c>
      <c r="C2913">
        <v>160</v>
      </c>
      <c r="D2913" s="9">
        <v>43132</v>
      </c>
      <c r="E2913" t="s">
        <v>297</v>
      </c>
      <c r="I2913" s="9"/>
    </row>
    <row r="2914" spans="1:9" x14ac:dyDescent="0.25">
      <c r="A2914">
        <v>340262</v>
      </c>
      <c r="B2914">
        <v>15.5</v>
      </c>
      <c r="C2914">
        <v>100</v>
      </c>
      <c r="D2914" s="9">
        <v>42676</v>
      </c>
      <c r="E2914" t="s">
        <v>297</v>
      </c>
      <c r="I2914" s="9"/>
    </row>
    <row r="2915" spans="1:9" x14ac:dyDescent="0.25">
      <c r="A2915">
        <v>340262</v>
      </c>
      <c r="B2915">
        <v>14.65</v>
      </c>
      <c r="C2915">
        <v>100</v>
      </c>
      <c r="D2915" s="9">
        <v>42520</v>
      </c>
      <c r="E2915" t="s">
        <v>297</v>
      </c>
      <c r="I2915" s="9"/>
    </row>
    <row r="2916" spans="1:9" x14ac:dyDescent="0.25">
      <c r="A2916">
        <v>340262</v>
      </c>
      <c r="B2916">
        <v>64.31</v>
      </c>
      <c r="C2916">
        <v>100</v>
      </c>
      <c r="D2916" s="9">
        <v>42520</v>
      </c>
      <c r="E2916" t="s">
        <v>295</v>
      </c>
      <c r="I2916" s="9"/>
    </row>
    <row r="2917" spans="1:9" x14ac:dyDescent="0.25">
      <c r="A2917">
        <v>340262</v>
      </c>
      <c r="B2917">
        <v>15.007999999999999</v>
      </c>
      <c r="C2917">
        <v>120</v>
      </c>
      <c r="D2917" s="9">
        <v>42401</v>
      </c>
      <c r="E2917" t="s">
        <v>297</v>
      </c>
      <c r="I2917" s="9"/>
    </row>
    <row r="2918" spans="1:9" x14ac:dyDescent="0.25">
      <c r="A2918">
        <v>340262</v>
      </c>
      <c r="B2918">
        <v>15.007999999999999</v>
      </c>
      <c r="C2918">
        <v>120</v>
      </c>
      <c r="D2918" s="9">
        <v>42233</v>
      </c>
      <c r="E2918" t="s">
        <v>297</v>
      </c>
      <c r="I2918" s="9"/>
    </row>
    <row r="2919" spans="1:9" x14ac:dyDescent="0.25">
      <c r="A2919">
        <v>340262</v>
      </c>
      <c r="B2919">
        <v>16.326000000000001</v>
      </c>
      <c r="C2919">
        <v>80</v>
      </c>
      <c r="D2919" s="9">
        <v>42040</v>
      </c>
      <c r="E2919" t="s">
        <v>296</v>
      </c>
      <c r="I2919" s="9"/>
    </row>
    <row r="2920" spans="1:9" x14ac:dyDescent="0.25">
      <c r="A2920">
        <v>340262</v>
      </c>
      <c r="B2920">
        <v>66.180000000000007</v>
      </c>
      <c r="C2920">
        <v>1</v>
      </c>
      <c r="D2920" s="9">
        <v>41884</v>
      </c>
      <c r="E2920" t="s">
        <v>295</v>
      </c>
      <c r="I2920" s="9"/>
    </row>
    <row r="2921" spans="1:9" x14ac:dyDescent="0.25">
      <c r="A2921">
        <v>340262</v>
      </c>
      <c r="B2921">
        <v>50.13</v>
      </c>
      <c r="C2921">
        <v>128</v>
      </c>
      <c r="D2921" s="9">
        <v>41821</v>
      </c>
      <c r="E2921" t="s">
        <v>295</v>
      </c>
      <c r="I2921" s="9"/>
    </row>
    <row r="2922" spans="1:9" x14ac:dyDescent="0.25">
      <c r="A2922">
        <v>340262</v>
      </c>
      <c r="B2922">
        <v>16.326000000000001</v>
      </c>
      <c r="C2922">
        <v>128</v>
      </c>
      <c r="D2922" s="9">
        <v>41821</v>
      </c>
      <c r="E2922" t="s">
        <v>296</v>
      </c>
      <c r="I2922" s="9"/>
    </row>
    <row r="2923" spans="1:9" x14ac:dyDescent="0.25">
      <c r="A2923">
        <v>340262</v>
      </c>
      <c r="B2923">
        <v>15.85</v>
      </c>
      <c r="C2923">
        <v>130</v>
      </c>
      <c r="D2923" s="9">
        <v>41617</v>
      </c>
      <c r="E2923" t="s">
        <v>296</v>
      </c>
      <c r="I2923" s="9"/>
    </row>
    <row r="2924" spans="1:9" x14ac:dyDescent="0.25">
      <c r="A2924">
        <v>340262</v>
      </c>
      <c r="B2924">
        <v>15.85</v>
      </c>
      <c r="C2924">
        <v>200</v>
      </c>
      <c r="D2924" s="9">
        <v>41295</v>
      </c>
      <c r="E2924" t="s">
        <v>296</v>
      </c>
      <c r="I2924" s="9"/>
    </row>
    <row r="2925" spans="1:9" x14ac:dyDescent="0.25">
      <c r="A2925">
        <v>340270</v>
      </c>
      <c r="B2925">
        <v>5</v>
      </c>
      <c r="C2925">
        <v>320</v>
      </c>
      <c r="D2925" s="9">
        <v>44095</v>
      </c>
      <c r="E2925" t="s">
        <v>296</v>
      </c>
      <c r="I2925" s="9"/>
    </row>
    <row r="2926" spans="1:9" x14ac:dyDescent="0.25">
      <c r="A2926">
        <v>340270</v>
      </c>
      <c r="B2926">
        <v>9</v>
      </c>
      <c r="C2926">
        <v>300</v>
      </c>
      <c r="D2926" s="9">
        <v>42472</v>
      </c>
      <c r="E2926" t="s">
        <v>296</v>
      </c>
      <c r="I2926" s="9"/>
    </row>
    <row r="2927" spans="1:9" x14ac:dyDescent="0.25">
      <c r="A2927">
        <v>340270</v>
      </c>
      <c r="B2927">
        <v>9</v>
      </c>
      <c r="C2927">
        <v>144</v>
      </c>
      <c r="D2927" s="9">
        <v>42237</v>
      </c>
      <c r="E2927" t="s">
        <v>296</v>
      </c>
      <c r="I2927" s="9"/>
    </row>
    <row r="2928" spans="1:9" x14ac:dyDescent="0.25">
      <c r="A2928">
        <v>340270</v>
      </c>
      <c r="B2928">
        <v>9</v>
      </c>
      <c r="C2928">
        <v>300</v>
      </c>
      <c r="D2928" s="9">
        <v>41730</v>
      </c>
      <c r="E2928" t="s">
        <v>296</v>
      </c>
      <c r="I2928" s="9"/>
    </row>
    <row r="2929" spans="1:9" x14ac:dyDescent="0.25">
      <c r="A2929">
        <v>340270</v>
      </c>
      <c r="B2929">
        <v>9</v>
      </c>
      <c r="C2929">
        <v>384</v>
      </c>
      <c r="D2929" s="9">
        <v>41544</v>
      </c>
      <c r="E2929" t="s">
        <v>296</v>
      </c>
      <c r="I2929" s="9"/>
    </row>
    <row r="2930" spans="1:9" x14ac:dyDescent="0.25">
      <c r="A2930">
        <v>340270</v>
      </c>
      <c r="B2930">
        <v>9</v>
      </c>
      <c r="C2930">
        <v>336</v>
      </c>
      <c r="D2930" s="9">
        <v>41331</v>
      </c>
      <c r="E2930" t="s">
        <v>296</v>
      </c>
      <c r="I2930" s="9"/>
    </row>
    <row r="2931" spans="1:9" x14ac:dyDescent="0.25">
      <c r="A2931">
        <v>340272</v>
      </c>
      <c r="B2931">
        <v>12.3</v>
      </c>
      <c r="C2931">
        <v>320</v>
      </c>
      <c r="D2931" s="9">
        <v>43132</v>
      </c>
      <c r="E2931" t="s">
        <v>295</v>
      </c>
      <c r="I2931" s="9"/>
    </row>
    <row r="2932" spans="1:9" x14ac:dyDescent="0.25">
      <c r="A2932">
        <v>340272</v>
      </c>
      <c r="B2932">
        <v>3.52</v>
      </c>
      <c r="C2932">
        <v>320</v>
      </c>
      <c r="D2932" s="9">
        <v>43132</v>
      </c>
      <c r="E2932" t="s">
        <v>296</v>
      </c>
      <c r="I2932" s="9"/>
    </row>
    <row r="2933" spans="1:9" x14ac:dyDescent="0.25">
      <c r="A2933">
        <v>340272</v>
      </c>
      <c r="B2933">
        <v>4.4020000000000001</v>
      </c>
      <c r="C2933">
        <v>320</v>
      </c>
      <c r="D2933" s="9">
        <v>42676</v>
      </c>
      <c r="E2933" t="s">
        <v>297</v>
      </c>
      <c r="I2933" s="9"/>
    </row>
    <row r="2934" spans="1:9" x14ac:dyDescent="0.25">
      <c r="A2934">
        <v>340272</v>
      </c>
      <c r="B2934">
        <v>4.8369999999999997</v>
      </c>
      <c r="C2934">
        <v>320</v>
      </c>
      <c r="D2934" s="9">
        <v>42129</v>
      </c>
      <c r="E2934" t="s">
        <v>296</v>
      </c>
      <c r="I2934" s="9"/>
    </row>
    <row r="2935" spans="1:9" x14ac:dyDescent="0.25">
      <c r="A2935">
        <v>340272</v>
      </c>
      <c r="B2935">
        <v>16.100000000000001</v>
      </c>
      <c r="C2935">
        <v>320</v>
      </c>
      <c r="D2935" s="9">
        <v>41957</v>
      </c>
      <c r="E2935" t="s">
        <v>295</v>
      </c>
      <c r="I2935" s="9"/>
    </row>
    <row r="2936" spans="1:9" x14ac:dyDescent="0.25">
      <c r="A2936">
        <v>340272</v>
      </c>
      <c r="B2936">
        <v>4.8369999999999997</v>
      </c>
      <c r="C2936">
        <v>320</v>
      </c>
      <c r="D2936" s="9">
        <v>41912</v>
      </c>
      <c r="E2936" t="s">
        <v>296</v>
      </c>
      <c r="I2936" s="9"/>
    </row>
    <row r="2937" spans="1:9" x14ac:dyDescent="0.25">
      <c r="A2937">
        <v>340282</v>
      </c>
      <c r="B2937">
        <v>5.05</v>
      </c>
      <c r="C2937">
        <v>200</v>
      </c>
      <c r="D2937" s="9">
        <v>41813</v>
      </c>
      <c r="E2937" t="s">
        <v>296</v>
      </c>
      <c r="I2937" s="9"/>
    </row>
    <row r="2938" spans="1:9" x14ac:dyDescent="0.25">
      <c r="A2938">
        <v>340290</v>
      </c>
      <c r="B2938">
        <v>5.766</v>
      </c>
      <c r="C2938">
        <v>200</v>
      </c>
      <c r="D2938" s="9">
        <v>44095</v>
      </c>
      <c r="E2938" t="s">
        <v>296</v>
      </c>
      <c r="I2938" s="9"/>
    </row>
    <row r="2939" spans="1:9" x14ac:dyDescent="0.25">
      <c r="A2939">
        <v>340290</v>
      </c>
      <c r="B2939">
        <v>6.31</v>
      </c>
      <c r="C2939">
        <v>160</v>
      </c>
      <c r="D2939" s="9">
        <v>43132</v>
      </c>
      <c r="E2939" t="s">
        <v>296</v>
      </c>
      <c r="I2939" s="9"/>
    </row>
    <row r="2940" spans="1:9" x14ac:dyDescent="0.25">
      <c r="A2940">
        <v>340290</v>
      </c>
      <c r="B2940">
        <v>22.03</v>
      </c>
      <c r="C2940">
        <v>160</v>
      </c>
      <c r="D2940" s="9">
        <v>43132</v>
      </c>
      <c r="E2940" t="s">
        <v>295</v>
      </c>
      <c r="I2940" s="9"/>
    </row>
    <row r="2941" spans="1:9" x14ac:dyDescent="0.25">
      <c r="A2941">
        <v>340290</v>
      </c>
      <c r="B2941">
        <v>7.35</v>
      </c>
      <c r="C2941">
        <v>160</v>
      </c>
      <c r="D2941" s="9">
        <v>42676</v>
      </c>
      <c r="E2941" t="s">
        <v>296</v>
      </c>
      <c r="I2941" s="9"/>
    </row>
    <row r="2942" spans="1:9" x14ac:dyDescent="0.25">
      <c r="A2942">
        <v>340290</v>
      </c>
      <c r="B2942">
        <v>7.35</v>
      </c>
      <c r="C2942">
        <v>210</v>
      </c>
      <c r="D2942" s="9">
        <v>41617</v>
      </c>
      <c r="E2942" t="s">
        <v>296</v>
      </c>
      <c r="I2942" s="9"/>
    </row>
    <row r="2943" spans="1:9" x14ac:dyDescent="0.25">
      <c r="A2943">
        <v>340290</v>
      </c>
      <c r="B2943">
        <v>7.35</v>
      </c>
      <c r="C2943">
        <v>280</v>
      </c>
      <c r="D2943" s="9">
        <v>41295</v>
      </c>
      <c r="E2943" t="s">
        <v>296</v>
      </c>
      <c r="I2943" s="9"/>
    </row>
    <row r="2944" spans="1:9" x14ac:dyDescent="0.25">
      <c r="A2944">
        <v>340400</v>
      </c>
      <c r="B2944">
        <v>2.73</v>
      </c>
      <c r="C2944">
        <v>300</v>
      </c>
      <c r="D2944" s="9">
        <v>44141</v>
      </c>
      <c r="E2944" t="s">
        <v>296</v>
      </c>
      <c r="I2944" s="9"/>
    </row>
    <row r="2945" spans="1:9" x14ac:dyDescent="0.25">
      <c r="A2945">
        <v>340400</v>
      </c>
      <c r="B2945">
        <v>2.73</v>
      </c>
      <c r="C2945">
        <v>300</v>
      </c>
      <c r="D2945" s="9">
        <v>44043</v>
      </c>
      <c r="E2945" t="s">
        <v>296</v>
      </c>
      <c r="I2945" s="9"/>
    </row>
    <row r="2946" spans="1:9" x14ac:dyDescent="0.25">
      <c r="A2946">
        <v>340400</v>
      </c>
      <c r="B2946">
        <v>2.73</v>
      </c>
      <c r="C2946">
        <v>300</v>
      </c>
      <c r="D2946" s="9">
        <v>43803</v>
      </c>
      <c r="E2946" t="s">
        <v>296</v>
      </c>
      <c r="I2946" s="9"/>
    </row>
    <row r="2947" spans="1:9" x14ac:dyDescent="0.25">
      <c r="A2947">
        <v>340400</v>
      </c>
      <c r="B2947">
        <v>2.73</v>
      </c>
      <c r="C2947">
        <v>320</v>
      </c>
      <c r="D2947" s="9">
        <v>43483</v>
      </c>
      <c r="E2947" t="s">
        <v>296</v>
      </c>
      <c r="I2947" s="9"/>
    </row>
    <row r="2948" spans="1:9" x14ac:dyDescent="0.25">
      <c r="A2948">
        <v>340400</v>
      </c>
      <c r="B2948">
        <v>2.73</v>
      </c>
      <c r="C2948">
        <v>360</v>
      </c>
      <c r="D2948" s="9">
        <v>43305</v>
      </c>
      <c r="E2948" t="s">
        <v>296</v>
      </c>
      <c r="I2948" s="9"/>
    </row>
    <row r="2949" spans="1:9" x14ac:dyDescent="0.25">
      <c r="A2949">
        <v>340400</v>
      </c>
      <c r="B2949">
        <v>2.0499999999999998</v>
      </c>
      <c r="C2949">
        <v>300</v>
      </c>
      <c r="D2949" s="9">
        <v>42719</v>
      </c>
      <c r="E2949" t="s">
        <v>296</v>
      </c>
      <c r="I2949" s="9"/>
    </row>
    <row r="2950" spans="1:9" x14ac:dyDescent="0.25">
      <c r="A2950">
        <v>340400</v>
      </c>
      <c r="B2950">
        <v>2.0499999999999998</v>
      </c>
      <c r="C2950">
        <v>720</v>
      </c>
      <c r="D2950" s="9">
        <v>42698</v>
      </c>
      <c r="E2950" t="s">
        <v>296</v>
      </c>
      <c r="I2950" s="9"/>
    </row>
    <row r="2951" spans="1:9" x14ac:dyDescent="0.25">
      <c r="A2951">
        <v>340400</v>
      </c>
      <c r="B2951">
        <v>2.0499999999999998</v>
      </c>
      <c r="C2951">
        <v>300</v>
      </c>
      <c r="D2951" s="9">
        <v>42660</v>
      </c>
      <c r="E2951" t="s">
        <v>296</v>
      </c>
      <c r="I2951" s="9"/>
    </row>
    <row r="2952" spans="1:9" x14ac:dyDescent="0.25">
      <c r="A2952">
        <v>340400</v>
      </c>
      <c r="B2952">
        <v>2.0499999999999998</v>
      </c>
      <c r="C2952">
        <v>240</v>
      </c>
      <c r="D2952" s="9">
        <v>42510</v>
      </c>
      <c r="E2952" t="s">
        <v>296</v>
      </c>
      <c r="I2952" s="9"/>
    </row>
    <row r="2953" spans="1:9" x14ac:dyDescent="0.25">
      <c r="A2953">
        <v>340400</v>
      </c>
      <c r="B2953">
        <v>3.09</v>
      </c>
      <c r="C2953">
        <v>240</v>
      </c>
      <c r="D2953" s="9">
        <v>42233</v>
      </c>
      <c r="E2953" t="s">
        <v>297</v>
      </c>
      <c r="I2953" s="9"/>
    </row>
    <row r="2954" spans="1:9" x14ac:dyDescent="0.25">
      <c r="A2954">
        <v>340400</v>
      </c>
      <c r="B2954">
        <v>3.3959999999999999</v>
      </c>
      <c r="C2954">
        <v>280</v>
      </c>
      <c r="D2954" s="9">
        <v>42012</v>
      </c>
      <c r="E2954" t="s">
        <v>296</v>
      </c>
      <c r="I2954" s="9"/>
    </row>
    <row r="2955" spans="1:9" x14ac:dyDescent="0.25">
      <c r="A2955">
        <v>340400</v>
      </c>
      <c r="B2955">
        <v>3.3959999999999999</v>
      </c>
      <c r="C2955">
        <v>280</v>
      </c>
      <c r="D2955" s="9">
        <v>41786</v>
      </c>
      <c r="E2955" t="s">
        <v>296</v>
      </c>
      <c r="I2955" s="9"/>
    </row>
    <row r="2956" spans="1:9" x14ac:dyDescent="0.25">
      <c r="A2956">
        <v>340400</v>
      </c>
      <c r="B2956">
        <v>3.3959999999999999</v>
      </c>
      <c r="C2956">
        <v>280</v>
      </c>
      <c r="D2956" s="9">
        <v>41535</v>
      </c>
      <c r="E2956" t="s">
        <v>296</v>
      </c>
      <c r="I2956" s="9"/>
    </row>
    <row r="2957" spans="1:9" x14ac:dyDescent="0.25">
      <c r="A2957">
        <v>340400</v>
      </c>
      <c r="B2957">
        <v>3.3959999999999999</v>
      </c>
      <c r="C2957">
        <v>280</v>
      </c>
      <c r="D2957" s="9">
        <v>41309</v>
      </c>
      <c r="E2957" t="s">
        <v>296</v>
      </c>
      <c r="I2957" s="9"/>
    </row>
    <row r="2958" spans="1:9" x14ac:dyDescent="0.25">
      <c r="A2958">
        <v>340460</v>
      </c>
      <c r="B2958">
        <v>5.9</v>
      </c>
      <c r="C2958">
        <v>200</v>
      </c>
      <c r="D2958" s="9">
        <v>43686</v>
      </c>
      <c r="E2958" t="s">
        <v>296</v>
      </c>
      <c r="I2958" s="9"/>
    </row>
    <row r="2959" spans="1:9" x14ac:dyDescent="0.25">
      <c r="A2959">
        <v>340460</v>
      </c>
      <c r="B2959">
        <v>7.93</v>
      </c>
      <c r="C2959">
        <v>192</v>
      </c>
      <c r="D2959" s="9">
        <v>43244</v>
      </c>
      <c r="E2959" t="s">
        <v>296</v>
      </c>
      <c r="I2959" s="9"/>
    </row>
    <row r="2960" spans="1:9" x14ac:dyDescent="0.25">
      <c r="A2960">
        <v>340460</v>
      </c>
      <c r="B2960">
        <v>7.93</v>
      </c>
      <c r="C2960">
        <v>192</v>
      </c>
      <c r="D2960" s="9">
        <v>42976</v>
      </c>
      <c r="E2960" t="s">
        <v>296</v>
      </c>
      <c r="I2960" s="9"/>
    </row>
    <row r="2961" spans="1:9" x14ac:dyDescent="0.25">
      <c r="A2961">
        <v>340460</v>
      </c>
      <c r="B2961">
        <v>8.66</v>
      </c>
      <c r="C2961">
        <v>240</v>
      </c>
      <c r="D2961" s="9">
        <v>42676</v>
      </c>
      <c r="E2961" t="s">
        <v>297</v>
      </c>
      <c r="I2961" s="9"/>
    </row>
    <row r="2962" spans="1:9" x14ac:dyDescent="0.25">
      <c r="A2962">
        <v>340460</v>
      </c>
      <c r="B2962">
        <v>8.66</v>
      </c>
      <c r="C2962">
        <v>120</v>
      </c>
      <c r="D2962" s="9">
        <v>42401</v>
      </c>
      <c r="E2962" t="s">
        <v>297</v>
      </c>
      <c r="I2962" s="9"/>
    </row>
    <row r="2963" spans="1:9" x14ac:dyDescent="0.25">
      <c r="A2963">
        <v>340460</v>
      </c>
      <c r="B2963">
        <v>9.1159999999999997</v>
      </c>
      <c r="C2963">
        <v>144</v>
      </c>
      <c r="D2963" s="9">
        <v>42040</v>
      </c>
      <c r="E2963" t="s">
        <v>296</v>
      </c>
      <c r="I2963" s="9"/>
    </row>
    <row r="2964" spans="1:9" x14ac:dyDescent="0.25">
      <c r="A2964">
        <v>340460</v>
      </c>
      <c r="B2964">
        <v>9.1159999999999997</v>
      </c>
      <c r="C2964">
        <v>144</v>
      </c>
      <c r="D2964" s="9">
        <v>41744</v>
      </c>
      <c r="E2964" t="s">
        <v>296</v>
      </c>
      <c r="I2964" s="9"/>
    </row>
    <row r="2965" spans="1:9" x14ac:dyDescent="0.25">
      <c r="A2965">
        <v>340460</v>
      </c>
      <c r="B2965">
        <v>8.85</v>
      </c>
      <c r="C2965">
        <v>96</v>
      </c>
      <c r="D2965" s="9">
        <v>41456</v>
      </c>
      <c r="E2965" t="s">
        <v>296</v>
      </c>
      <c r="I2965" s="9"/>
    </row>
    <row r="2966" spans="1:9" x14ac:dyDescent="0.25">
      <c r="A2966">
        <v>340460</v>
      </c>
      <c r="B2966">
        <v>8.85</v>
      </c>
      <c r="C2966">
        <v>72</v>
      </c>
      <c r="D2966" s="9">
        <v>41309</v>
      </c>
      <c r="E2966" t="s">
        <v>296</v>
      </c>
      <c r="I2966" s="9"/>
    </row>
    <row r="2967" spans="1:9" x14ac:dyDescent="0.25">
      <c r="A2967">
        <v>340461</v>
      </c>
      <c r="B2967">
        <v>6.5</v>
      </c>
      <c r="C2967">
        <v>210</v>
      </c>
      <c r="D2967" s="9">
        <v>43600</v>
      </c>
      <c r="E2967" t="s">
        <v>296</v>
      </c>
      <c r="I2967" s="9"/>
    </row>
    <row r="2968" spans="1:9" x14ac:dyDescent="0.25">
      <c r="A2968">
        <v>340480</v>
      </c>
      <c r="B2968">
        <v>30.5</v>
      </c>
      <c r="C2968">
        <v>48</v>
      </c>
      <c r="D2968" s="9">
        <v>42472</v>
      </c>
      <c r="E2968" t="s">
        <v>296</v>
      </c>
      <c r="I2968" s="9"/>
    </row>
    <row r="2969" spans="1:9" x14ac:dyDescent="0.25">
      <c r="A2969">
        <v>340482</v>
      </c>
      <c r="B2969">
        <v>14.6</v>
      </c>
      <c r="C2969">
        <v>100</v>
      </c>
      <c r="D2969" s="9">
        <v>42472</v>
      </c>
      <c r="E2969" t="s">
        <v>296</v>
      </c>
      <c r="I2969" s="9"/>
    </row>
    <row r="2970" spans="1:9" x14ac:dyDescent="0.25">
      <c r="A2970">
        <v>340482</v>
      </c>
      <c r="B2970">
        <v>14.6</v>
      </c>
      <c r="C2970">
        <v>100</v>
      </c>
      <c r="D2970" s="9">
        <v>42237</v>
      </c>
      <c r="E2970" t="s">
        <v>296</v>
      </c>
      <c r="I2970" s="9"/>
    </row>
    <row r="2971" spans="1:9" x14ac:dyDescent="0.25">
      <c r="A2971">
        <v>340482</v>
      </c>
      <c r="B2971">
        <v>14.6</v>
      </c>
      <c r="C2971">
        <v>160</v>
      </c>
      <c r="D2971" s="9">
        <v>41730</v>
      </c>
      <c r="E2971" t="s">
        <v>296</v>
      </c>
      <c r="I2971" s="9"/>
    </row>
    <row r="2972" spans="1:9" x14ac:dyDescent="0.25">
      <c r="A2972">
        <v>340482</v>
      </c>
      <c r="B2972">
        <v>14.6</v>
      </c>
      <c r="C2972">
        <v>200</v>
      </c>
      <c r="D2972" s="9">
        <v>41331</v>
      </c>
      <c r="E2972" t="s">
        <v>296</v>
      </c>
      <c r="I2972" s="9"/>
    </row>
    <row r="2973" spans="1:9" x14ac:dyDescent="0.25">
      <c r="A2973">
        <v>340499</v>
      </c>
      <c r="B2973">
        <v>2.78</v>
      </c>
      <c r="C2973">
        <v>160</v>
      </c>
      <c r="D2973" s="9">
        <v>43686</v>
      </c>
      <c r="E2973" t="s">
        <v>296</v>
      </c>
      <c r="I2973" s="9"/>
    </row>
    <row r="2974" spans="1:9" x14ac:dyDescent="0.25">
      <c r="A2974">
        <v>340821</v>
      </c>
      <c r="B2974">
        <v>45.15</v>
      </c>
      <c r="C2974">
        <v>100</v>
      </c>
      <c r="D2974" s="9">
        <v>41730</v>
      </c>
      <c r="E2974" t="s">
        <v>296</v>
      </c>
      <c r="I2974" s="9"/>
    </row>
    <row r="2975" spans="1:9" x14ac:dyDescent="0.25">
      <c r="A2975">
        <v>340930</v>
      </c>
      <c r="B2975">
        <v>33.119999999999997</v>
      </c>
      <c r="C2975">
        <v>102</v>
      </c>
      <c r="D2975" s="9">
        <v>41730</v>
      </c>
      <c r="E2975" t="s">
        <v>296</v>
      </c>
      <c r="I2975" s="9"/>
    </row>
    <row r="2976" spans="1:9" x14ac:dyDescent="0.25">
      <c r="A2976">
        <v>340932</v>
      </c>
      <c r="B2976">
        <v>18.594000000000001</v>
      </c>
      <c r="C2976">
        <v>200</v>
      </c>
      <c r="D2976" s="9">
        <v>44095</v>
      </c>
      <c r="E2976" t="s">
        <v>296</v>
      </c>
      <c r="I2976" s="9"/>
    </row>
    <row r="2977" spans="1:9" x14ac:dyDescent="0.25">
      <c r="A2977">
        <v>340932</v>
      </c>
      <c r="B2977">
        <v>75</v>
      </c>
      <c r="C2977">
        <v>96</v>
      </c>
      <c r="D2977" s="9">
        <v>43598</v>
      </c>
      <c r="E2977" t="s">
        <v>295</v>
      </c>
      <c r="I2977" s="9"/>
    </row>
    <row r="2978" spans="1:9" x14ac:dyDescent="0.25">
      <c r="A2978">
        <v>340932</v>
      </c>
      <c r="B2978">
        <v>101.63</v>
      </c>
      <c r="C2978">
        <v>51</v>
      </c>
      <c r="D2978" s="9">
        <v>43391</v>
      </c>
      <c r="E2978" t="s">
        <v>295</v>
      </c>
      <c r="I2978" s="9"/>
    </row>
    <row r="2979" spans="1:9" x14ac:dyDescent="0.25">
      <c r="A2979">
        <v>340932</v>
      </c>
      <c r="B2979">
        <v>102.36</v>
      </c>
      <c r="C2979">
        <v>1</v>
      </c>
      <c r="D2979" s="9">
        <v>43391</v>
      </c>
      <c r="E2979" t="s">
        <v>295</v>
      </c>
      <c r="I2979" s="9"/>
    </row>
    <row r="2980" spans="1:9" x14ac:dyDescent="0.25">
      <c r="A2980">
        <v>340932</v>
      </c>
      <c r="B2980">
        <v>78.05</v>
      </c>
      <c r="C2980">
        <v>300</v>
      </c>
      <c r="D2980" s="9">
        <v>43326</v>
      </c>
      <c r="E2980" t="s">
        <v>295</v>
      </c>
      <c r="I2980" s="9"/>
    </row>
    <row r="2981" spans="1:9" x14ac:dyDescent="0.25">
      <c r="A2981">
        <v>340932</v>
      </c>
      <c r="B2981">
        <v>78</v>
      </c>
      <c r="C2981">
        <v>200</v>
      </c>
      <c r="D2981" s="9">
        <v>43272</v>
      </c>
      <c r="E2981" t="s">
        <v>295</v>
      </c>
      <c r="I2981" s="9"/>
    </row>
    <row r="2982" spans="1:9" x14ac:dyDescent="0.25">
      <c r="A2982">
        <v>340932</v>
      </c>
      <c r="B2982">
        <v>69.11</v>
      </c>
      <c r="C2982">
        <v>100</v>
      </c>
      <c r="D2982" s="9">
        <v>43210</v>
      </c>
      <c r="E2982" t="s">
        <v>295</v>
      </c>
      <c r="I2982" s="9"/>
    </row>
    <row r="2983" spans="1:9" x14ac:dyDescent="0.25">
      <c r="A2983">
        <v>340932</v>
      </c>
      <c r="B2983">
        <v>84</v>
      </c>
      <c r="C2983">
        <v>500</v>
      </c>
      <c r="D2983" s="9">
        <v>43157</v>
      </c>
      <c r="E2983" t="s">
        <v>295</v>
      </c>
      <c r="I2983" s="9"/>
    </row>
    <row r="2984" spans="1:9" x14ac:dyDescent="0.25">
      <c r="A2984">
        <v>340932</v>
      </c>
      <c r="B2984">
        <v>69.11</v>
      </c>
      <c r="C2984">
        <v>40</v>
      </c>
      <c r="D2984" s="9">
        <v>43151</v>
      </c>
      <c r="E2984" t="s">
        <v>295</v>
      </c>
      <c r="I2984" s="9"/>
    </row>
    <row r="2985" spans="1:9" x14ac:dyDescent="0.25">
      <c r="A2985">
        <v>340932</v>
      </c>
      <c r="B2985">
        <v>69.11</v>
      </c>
      <c r="C2985">
        <v>4</v>
      </c>
      <c r="D2985" s="9">
        <v>43119</v>
      </c>
      <c r="E2985" t="s">
        <v>295</v>
      </c>
      <c r="I2985" s="9"/>
    </row>
    <row r="2986" spans="1:9" x14ac:dyDescent="0.25">
      <c r="A2986">
        <v>340932</v>
      </c>
      <c r="B2986">
        <v>69.11</v>
      </c>
      <c r="C2986">
        <v>200</v>
      </c>
      <c r="D2986" s="9">
        <v>43117</v>
      </c>
      <c r="E2986" t="s">
        <v>295</v>
      </c>
      <c r="I2986" s="9"/>
    </row>
    <row r="2987" spans="1:9" x14ac:dyDescent="0.25">
      <c r="A2987">
        <v>340932</v>
      </c>
      <c r="B2987">
        <v>16.600000000000001</v>
      </c>
      <c r="C2987">
        <v>500</v>
      </c>
      <c r="D2987" s="9">
        <v>42976</v>
      </c>
      <c r="E2987" t="s">
        <v>296</v>
      </c>
      <c r="I2987" s="9"/>
    </row>
    <row r="2988" spans="1:9" x14ac:dyDescent="0.25">
      <c r="A2988">
        <v>340932</v>
      </c>
      <c r="B2988">
        <v>16.5</v>
      </c>
      <c r="C2988">
        <v>192</v>
      </c>
      <c r="D2988" s="9">
        <v>42748</v>
      </c>
      <c r="E2988" t="s">
        <v>296</v>
      </c>
      <c r="I2988" s="9"/>
    </row>
    <row r="2989" spans="1:9" x14ac:dyDescent="0.25">
      <c r="A2989">
        <v>340932</v>
      </c>
      <c r="B2989">
        <v>78.849999999999994</v>
      </c>
      <c r="C2989">
        <v>102</v>
      </c>
      <c r="D2989" s="9">
        <v>42747</v>
      </c>
      <c r="E2989" t="s">
        <v>295</v>
      </c>
      <c r="I2989" s="9"/>
    </row>
    <row r="2990" spans="1:9" x14ac:dyDescent="0.25">
      <c r="A2990">
        <v>340932</v>
      </c>
      <c r="B2990">
        <v>16.5</v>
      </c>
      <c r="C2990">
        <v>148</v>
      </c>
      <c r="D2990" s="9">
        <v>42586</v>
      </c>
      <c r="E2990" t="s">
        <v>296</v>
      </c>
      <c r="I2990" s="9"/>
    </row>
    <row r="2991" spans="1:9" x14ac:dyDescent="0.25">
      <c r="A2991">
        <v>340932</v>
      </c>
      <c r="B2991">
        <v>23.5</v>
      </c>
      <c r="C2991">
        <v>80</v>
      </c>
      <c r="D2991" s="9">
        <v>42510</v>
      </c>
      <c r="E2991" t="s">
        <v>296</v>
      </c>
      <c r="I2991" s="9"/>
    </row>
    <row r="2992" spans="1:9" x14ac:dyDescent="0.25">
      <c r="A2992">
        <v>340932</v>
      </c>
      <c r="B2992">
        <v>79.989999999999995</v>
      </c>
      <c r="C2992">
        <v>100</v>
      </c>
      <c r="D2992" s="9">
        <v>42452</v>
      </c>
      <c r="E2992" t="s">
        <v>295</v>
      </c>
      <c r="I2992" s="9"/>
    </row>
    <row r="2993" spans="1:9" x14ac:dyDescent="0.25">
      <c r="A2993">
        <v>340932</v>
      </c>
      <c r="B2993">
        <v>83.99</v>
      </c>
      <c r="C2993">
        <v>4</v>
      </c>
      <c r="D2993" s="9">
        <v>42445</v>
      </c>
      <c r="E2993" t="s">
        <v>295</v>
      </c>
      <c r="I2993" s="9"/>
    </row>
    <row r="2994" spans="1:9" x14ac:dyDescent="0.25">
      <c r="A2994">
        <v>340932</v>
      </c>
      <c r="B2994">
        <v>26.39</v>
      </c>
      <c r="C2994">
        <v>64</v>
      </c>
      <c r="D2994" s="9">
        <v>42186</v>
      </c>
      <c r="E2994" t="s">
        <v>297</v>
      </c>
      <c r="I2994" s="9"/>
    </row>
    <row r="2995" spans="1:9" x14ac:dyDescent="0.25">
      <c r="A2995">
        <v>340932</v>
      </c>
      <c r="B2995">
        <v>29</v>
      </c>
      <c r="C2995">
        <v>64</v>
      </c>
      <c r="D2995" s="9">
        <v>42040</v>
      </c>
      <c r="E2995" t="s">
        <v>296</v>
      </c>
      <c r="I2995" s="9"/>
    </row>
    <row r="2996" spans="1:9" x14ac:dyDescent="0.25">
      <c r="A2996">
        <v>340932</v>
      </c>
      <c r="B2996">
        <v>29</v>
      </c>
      <c r="C2996">
        <v>64</v>
      </c>
      <c r="D2996" s="9">
        <v>42040</v>
      </c>
      <c r="E2996" t="s">
        <v>296</v>
      </c>
      <c r="I2996" s="9"/>
    </row>
    <row r="2997" spans="1:9" x14ac:dyDescent="0.25">
      <c r="A2997">
        <v>340932</v>
      </c>
      <c r="B2997">
        <v>29</v>
      </c>
      <c r="C2997">
        <v>160</v>
      </c>
      <c r="D2997" s="9">
        <v>41744</v>
      </c>
      <c r="E2997" t="s">
        <v>296</v>
      </c>
      <c r="I2997" s="9"/>
    </row>
    <row r="2998" spans="1:9" x14ac:dyDescent="0.25">
      <c r="A2998">
        <v>340932</v>
      </c>
      <c r="B2998">
        <v>33</v>
      </c>
      <c r="C2998">
        <v>200</v>
      </c>
      <c r="D2998" s="9">
        <v>41295</v>
      </c>
      <c r="E2998" t="s">
        <v>296</v>
      </c>
      <c r="I2998" s="9"/>
    </row>
    <row r="2999" spans="1:9" x14ac:dyDescent="0.25">
      <c r="A2999">
        <v>341081</v>
      </c>
      <c r="B2999">
        <v>39.9</v>
      </c>
      <c r="C2999">
        <v>78</v>
      </c>
      <c r="D2999" s="9">
        <v>42237</v>
      </c>
      <c r="E2999" t="s">
        <v>296</v>
      </c>
      <c r="I2999" s="9"/>
    </row>
    <row r="3000" spans="1:9" x14ac:dyDescent="0.25">
      <c r="A3000">
        <v>341081</v>
      </c>
      <c r="B3000">
        <v>39.9</v>
      </c>
      <c r="C3000">
        <v>102</v>
      </c>
      <c r="D3000" s="9">
        <v>41544</v>
      </c>
      <c r="E3000" t="s">
        <v>296</v>
      </c>
      <c r="I3000" s="9"/>
    </row>
    <row r="3001" spans="1:9" x14ac:dyDescent="0.25">
      <c r="A3001">
        <v>341082</v>
      </c>
      <c r="B3001">
        <v>75.61</v>
      </c>
      <c r="C3001">
        <v>80</v>
      </c>
      <c r="D3001" s="9">
        <v>44103</v>
      </c>
      <c r="E3001" t="s">
        <v>295</v>
      </c>
      <c r="I3001" s="9"/>
    </row>
    <row r="3002" spans="1:9" x14ac:dyDescent="0.25">
      <c r="A3002">
        <v>341082</v>
      </c>
      <c r="B3002">
        <v>18.905999999999999</v>
      </c>
      <c r="C3002">
        <v>320</v>
      </c>
      <c r="D3002" s="9">
        <v>44095</v>
      </c>
      <c r="E3002" t="s">
        <v>296</v>
      </c>
      <c r="I3002" s="9"/>
    </row>
    <row r="3003" spans="1:9" x14ac:dyDescent="0.25">
      <c r="A3003">
        <v>341082</v>
      </c>
      <c r="B3003">
        <v>75.599999999999994</v>
      </c>
      <c r="C3003">
        <v>100</v>
      </c>
      <c r="D3003" s="9">
        <v>44075</v>
      </c>
      <c r="E3003" t="s">
        <v>295</v>
      </c>
      <c r="I3003" s="9"/>
    </row>
    <row r="3004" spans="1:9" x14ac:dyDescent="0.25">
      <c r="A3004">
        <v>341082</v>
      </c>
      <c r="B3004">
        <v>78.83</v>
      </c>
      <c r="C3004">
        <v>100</v>
      </c>
      <c r="D3004" s="9">
        <v>43913</v>
      </c>
      <c r="E3004" t="s">
        <v>295</v>
      </c>
      <c r="I3004" s="9"/>
    </row>
    <row r="3005" spans="1:9" x14ac:dyDescent="0.25">
      <c r="A3005">
        <v>341082</v>
      </c>
      <c r="B3005">
        <v>73.17</v>
      </c>
      <c r="C3005">
        <v>200</v>
      </c>
      <c r="D3005" s="9">
        <v>43818</v>
      </c>
      <c r="E3005" t="s">
        <v>295</v>
      </c>
      <c r="I3005" s="9"/>
    </row>
    <row r="3006" spans="1:9" x14ac:dyDescent="0.25">
      <c r="A3006">
        <v>341082</v>
      </c>
      <c r="B3006">
        <v>73.17</v>
      </c>
      <c r="C3006">
        <v>200</v>
      </c>
      <c r="D3006" s="9">
        <v>43738</v>
      </c>
      <c r="E3006" t="s">
        <v>295</v>
      </c>
      <c r="I3006" s="9"/>
    </row>
    <row r="3007" spans="1:9" x14ac:dyDescent="0.25">
      <c r="A3007">
        <v>341082</v>
      </c>
      <c r="B3007">
        <v>73.17</v>
      </c>
      <c r="C3007">
        <v>300</v>
      </c>
      <c r="D3007" s="9">
        <v>43608</v>
      </c>
      <c r="E3007" t="s">
        <v>295</v>
      </c>
      <c r="I3007" s="9"/>
    </row>
    <row r="3008" spans="1:9" x14ac:dyDescent="0.25">
      <c r="A3008">
        <v>341082</v>
      </c>
      <c r="B3008">
        <v>73.17</v>
      </c>
      <c r="C3008">
        <v>300</v>
      </c>
      <c r="D3008" s="9">
        <v>43593</v>
      </c>
      <c r="E3008" t="s">
        <v>295</v>
      </c>
      <c r="I3008" s="9"/>
    </row>
    <row r="3009" spans="1:9" x14ac:dyDescent="0.25">
      <c r="A3009">
        <v>341082</v>
      </c>
      <c r="B3009">
        <v>73.17</v>
      </c>
      <c r="C3009">
        <v>300</v>
      </c>
      <c r="D3009" s="9">
        <v>43565</v>
      </c>
      <c r="E3009" t="s">
        <v>295</v>
      </c>
      <c r="I3009" s="9"/>
    </row>
    <row r="3010" spans="1:9" x14ac:dyDescent="0.25">
      <c r="A3010">
        <v>341082</v>
      </c>
      <c r="B3010">
        <v>73.17</v>
      </c>
      <c r="C3010">
        <v>320</v>
      </c>
      <c r="D3010" s="9">
        <v>43545</v>
      </c>
      <c r="E3010" t="s">
        <v>295</v>
      </c>
      <c r="I3010" s="9"/>
    </row>
    <row r="3011" spans="1:9" x14ac:dyDescent="0.25">
      <c r="A3011">
        <v>341082</v>
      </c>
      <c r="B3011">
        <v>73.17</v>
      </c>
      <c r="C3011">
        <v>300</v>
      </c>
      <c r="D3011" s="9">
        <v>43529</v>
      </c>
      <c r="E3011" t="s">
        <v>295</v>
      </c>
      <c r="I3011" s="9"/>
    </row>
    <row r="3012" spans="1:9" x14ac:dyDescent="0.25">
      <c r="A3012">
        <v>341082</v>
      </c>
      <c r="B3012">
        <v>73.17</v>
      </c>
      <c r="C3012">
        <v>522</v>
      </c>
      <c r="D3012" s="9">
        <v>43515</v>
      </c>
      <c r="E3012" t="s">
        <v>295</v>
      </c>
      <c r="I3012" s="9"/>
    </row>
    <row r="3013" spans="1:9" x14ac:dyDescent="0.25">
      <c r="A3013">
        <v>341082</v>
      </c>
      <c r="B3013">
        <v>73.17</v>
      </c>
      <c r="C3013">
        <v>300</v>
      </c>
      <c r="D3013" s="9">
        <v>43473</v>
      </c>
      <c r="E3013" t="s">
        <v>295</v>
      </c>
      <c r="I3013" s="9"/>
    </row>
    <row r="3014" spans="1:9" x14ac:dyDescent="0.25">
      <c r="A3014">
        <v>341082</v>
      </c>
      <c r="B3014">
        <v>73.17</v>
      </c>
      <c r="C3014">
        <v>300</v>
      </c>
      <c r="D3014" s="9">
        <v>43437</v>
      </c>
      <c r="E3014" t="s">
        <v>295</v>
      </c>
      <c r="I3014" s="9"/>
    </row>
    <row r="3015" spans="1:9" x14ac:dyDescent="0.25">
      <c r="A3015">
        <v>341082</v>
      </c>
      <c r="B3015">
        <v>73.17</v>
      </c>
      <c r="C3015">
        <v>300</v>
      </c>
      <c r="D3015" s="9">
        <v>43412</v>
      </c>
      <c r="E3015" t="s">
        <v>295</v>
      </c>
      <c r="I3015" s="9"/>
    </row>
    <row r="3016" spans="1:9" x14ac:dyDescent="0.25">
      <c r="A3016">
        <v>341082</v>
      </c>
      <c r="B3016">
        <v>73.17</v>
      </c>
      <c r="C3016">
        <v>300</v>
      </c>
      <c r="D3016" s="9">
        <v>43391</v>
      </c>
      <c r="E3016" t="s">
        <v>295</v>
      </c>
      <c r="I3016" s="9"/>
    </row>
    <row r="3017" spans="1:9" x14ac:dyDescent="0.25">
      <c r="A3017">
        <v>341082</v>
      </c>
      <c r="B3017">
        <v>73.17</v>
      </c>
      <c r="C3017">
        <v>252</v>
      </c>
      <c r="D3017" s="9">
        <v>43353</v>
      </c>
      <c r="E3017" t="s">
        <v>295</v>
      </c>
      <c r="I3017" s="9"/>
    </row>
    <row r="3018" spans="1:9" x14ac:dyDescent="0.25">
      <c r="A3018">
        <v>341082</v>
      </c>
      <c r="B3018">
        <v>83</v>
      </c>
      <c r="C3018">
        <v>148</v>
      </c>
      <c r="D3018" s="9">
        <v>43272</v>
      </c>
      <c r="E3018" t="s">
        <v>295</v>
      </c>
      <c r="I3018" s="9"/>
    </row>
    <row r="3019" spans="1:9" x14ac:dyDescent="0.25">
      <c r="A3019">
        <v>341082</v>
      </c>
      <c r="B3019">
        <v>18.3</v>
      </c>
      <c r="C3019">
        <v>200</v>
      </c>
      <c r="D3019" s="9">
        <v>42976</v>
      </c>
      <c r="E3019" t="s">
        <v>296</v>
      </c>
      <c r="I3019" s="9"/>
    </row>
    <row r="3020" spans="1:9" x14ac:dyDescent="0.25">
      <c r="A3020">
        <v>341082</v>
      </c>
      <c r="B3020">
        <v>18.2</v>
      </c>
      <c r="C3020">
        <v>100</v>
      </c>
      <c r="D3020" s="9">
        <v>42586</v>
      </c>
      <c r="E3020" t="s">
        <v>296</v>
      </c>
      <c r="I3020" s="9"/>
    </row>
    <row r="3021" spans="1:9" x14ac:dyDescent="0.25">
      <c r="A3021">
        <v>341212</v>
      </c>
      <c r="B3021">
        <v>31</v>
      </c>
      <c r="C3021">
        <v>99</v>
      </c>
      <c r="D3021" s="9">
        <v>42237</v>
      </c>
      <c r="E3021" t="s">
        <v>296</v>
      </c>
      <c r="I3021" s="9"/>
    </row>
    <row r="3022" spans="1:9" x14ac:dyDescent="0.25">
      <c r="A3022">
        <v>341212</v>
      </c>
      <c r="B3022">
        <v>31</v>
      </c>
      <c r="C3022">
        <v>120</v>
      </c>
      <c r="D3022" s="9">
        <v>41730</v>
      </c>
      <c r="E3022" t="s">
        <v>296</v>
      </c>
      <c r="I3022" s="9"/>
    </row>
    <row r="3023" spans="1:9" x14ac:dyDescent="0.25">
      <c r="A3023">
        <v>341212</v>
      </c>
      <c r="B3023">
        <v>31</v>
      </c>
      <c r="C3023">
        <v>102</v>
      </c>
      <c r="D3023" s="9">
        <v>41544</v>
      </c>
      <c r="E3023" t="s">
        <v>296</v>
      </c>
      <c r="I3023" s="9"/>
    </row>
    <row r="3024" spans="1:9" x14ac:dyDescent="0.25">
      <c r="A3024">
        <v>341212</v>
      </c>
      <c r="B3024">
        <v>31</v>
      </c>
      <c r="C3024">
        <v>102</v>
      </c>
      <c r="D3024" s="9">
        <v>41331</v>
      </c>
      <c r="E3024" t="s">
        <v>296</v>
      </c>
      <c r="I3024" s="9"/>
    </row>
    <row r="3025" spans="1:9" x14ac:dyDescent="0.25">
      <c r="A3025">
        <v>341504</v>
      </c>
      <c r="B3025">
        <v>51.338999999999999</v>
      </c>
      <c r="C3025">
        <v>100</v>
      </c>
      <c r="D3025" s="9">
        <v>42676</v>
      </c>
      <c r="E3025" t="s">
        <v>297</v>
      </c>
      <c r="I3025" s="9"/>
    </row>
    <row r="3026" spans="1:9" x14ac:dyDescent="0.25">
      <c r="A3026">
        <v>341504</v>
      </c>
      <c r="B3026">
        <v>51.338999999999999</v>
      </c>
      <c r="C3026">
        <v>40</v>
      </c>
      <c r="D3026" s="9">
        <v>42285</v>
      </c>
      <c r="E3026" t="s">
        <v>297</v>
      </c>
      <c r="I3026" s="9"/>
    </row>
    <row r="3027" spans="1:9" x14ac:dyDescent="0.25">
      <c r="A3027">
        <v>341504</v>
      </c>
      <c r="B3027">
        <v>56.417000000000002</v>
      </c>
      <c r="C3027">
        <v>40</v>
      </c>
      <c r="D3027" s="9">
        <v>41682</v>
      </c>
      <c r="E3027" t="s">
        <v>296</v>
      </c>
      <c r="I3027" s="9"/>
    </row>
    <row r="3028" spans="1:9" x14ac:dyDescent="0.25">
      <c r="A3028">
        <v>341552</v>
      </c>
      <c r="B3028">
        <v>76.22</v>
      </c>
      <c r="C3028">
        <v>50</v>
      </c>
      <c r="D3028" s="9">
        <v>42472</v>
      </c>
      <c r="E3028" t="s">
        <v>296</v>
      </c>
      <c r="I3028" s="9"/>
    </row>
    <row r="3029" spans="1:9" x14ac:dyDescent="0.25">
      <c r="A3029">
        <v>341552</v>
      </c>
      <c r="B3029">
        <v>76.22</v>
      </c>
      <c r="C3029">
        <v>100</v>
      </c>
      <c r="D3029" s="9">
        <v>41730</v>
      </c>
      <c r="E3029" t="s">
        <v>296</v>
      </c>
      <c r="I3029" s="9"/>
    </row>
    <row r="3030" spans="1:9" x14ac:dyDescent="0.25">
      <c r="A3030">
        <v>341710</v>
      </c>
      <c r="B3030">
        <v>37.36</v>
      </c>
      <c r="C3030">
        <v>200</v>
      </c>
      <c r="D3030" s="9">
        <v>44095</v>
      </c>
      <c r="E3030" t="s">
        <v>296</v>
      </c>
      <c r="I3030" s="9"/>
    </row>
    <row r="3031" spans="1:9" x14ac:dyDescent="0.25">
      <c r="A3031">
        <v>341710</v>
      </c>
      <c r="B3031">
        <v>48</v>
      </c>
      <c r="C3031">
        <v>50</v>
      </c>
      <c r="D3031" s="9">
        <v>42472</v>
      </c>
      <c r="E3031" t="s">
        <v>296</v>
      </c>
      <c r="I3031" s="9"/>
    </row>
    <row r="3032" spans="1:9" x14ac:dyDescent="0.25">
      <c r="A3032">
        <v>350007</v>
      </c>
      <c r="B3032">
        <v>9.24</v>
      </c>
      <c r="C3032">
        <v>50</v>
      </c>
      <c r="D3032" s="9">
        <v>44102</v>
      </c>
      <c r="E3032" t="s">
        <v>296</v>
      </c>
      <c r="I3032" s="9"/>
    </row>
    <row r="3033" spans="1:9" x14ac:dyDescent="0.25">
      <c r="A3033">
        <v>350007</v>
      </c>
      <c r="B3033">
        <v>9.24</v>
      </c>
      <c r="C3033">
        <v>60</v>
      </c>
      <c r="D3033" s="9">
        <v>43686</v>
      </c>
      <c r="E3033" t="s">
        <v>296</v>
      </c>
      <c r="I3033" s="9"/>
    </row>
    <row r="3034" spans="1:9" x14ac:dyDescent="0.25">
      <c r="A3034">
        <v>350008</v>
      </c>
      <c r="B3034">
        <v>1.79</v>
      </c>
      <c r="C3034">
        <v>100</v>
      </c>
      <c r="D3034" s="9">
        <v>44102</v>
      </c>
      <c r="E3034" t="s">
        <v>296</v>
      </c>
      <c r="I3034" s="9"/>
    </row>
    <row r="3035" spans="1:9" x14ac:dyDescent="0.25">
      <c r="A3035">
        <v>350012</v>
      </c>
      <c r="B3035">
        <v>5.13</v>
      </c>
      <c r="C3035">
        <v>240</v>
      </c>
      <c r="D3035" s="9">
        <v>44140</v>
      </c>
      <c r="E3035" t="s">
        <v>296</v>
      </c>
      <c r="I3035" s="9"/>
    </row>
    <row r="3036" spans="1:9" x14ac:dyDescent="0.25">
      <c r="A3036">
        <v>350012</v>
      </c>
      <c r="B3036">
        <v>5</v>
      </c>
      <c r="C3036">
        <v>240</v>
      </c>
      <c r="D3036" s="9">
        <v>44117</v>
      </c>
      <c r="E3036" t="s">
        <v>296</v>
      </c>
      <c r="I3036" s="9"/>
    </row>
    <row r="3037" spans="1:9" x14ac:dyDescent="0.25">
      <c r="A3037">
        <v>350012</v>
      </c>
      <c r="B3037">
        <v>5</v>
      </c>
      <c r="C3037">
        <v>240</v>
      </c>
      <c r="D3037" s="9">
        <v>43991</v>
      </c>
      <c r="E3037" t="s">
        <v>296</v>
      </c>
      <c r="I3037" s="9"/>
    </row>
    <row r="3038" spans="1:9" x14ac:dyDescent="0.25">
      <c r="A3038">
        <v>350012</v>
      </c>
      <c r="B3038">
        <v>5</v>
      </c>
      <c r="C3038">
        <v>180</v>
      </c>
      <c r="D3038" s="9">
        <v>43592</v>
      </c>
      <c r="E3038" t="s">
        <v>296</v>
      </c>
      <c r="I3038" s="9"/>
    </row>
    <row r="3039" spans="1:9" x14ac:dyDescent="0.25">
      <c r="A3039">
        <v>350012</v>
      </c>
      <c r="B3039">
        <v>19.52</v>
      </c>
      <c r="C3039">
        <v>120</v>
      </c>
      <c r="D3039" s="9">
        <v>43263</v>
      </c>
      <c r="E3039" t="s">
        <v>295</v>
      </c>
      <c r="I3039" s="9"/>
    </row>
    <row r="3040" spans="1:9" x14ac:dyDescent="0.25">
      <c r="A3040">
        <v>350012</v>
      </c>
      <c r="B3040">
        <v>5</v>
      </c>
      <c r="C3040">
        <v>240</v>
      </c>
      <c r="D3040" s="9">
        <v>43228</v>
      </c>
      <c r="E3040" t="s">
        <v>296</v>
      </c>
      <c r="I3040" s="9"/>
    </row>
    <row r="3041" spans="1:9" x14ac:dyDescent="0.25">
      <c r="A3041">
        <v>350018</v>
      </c>
      <c r="B3041">
        <v>18.7</v>
      </c>
      <c r="C3041">
        <v>60</v>
      </c>
      <c r="D3041" s="9">
        <v>43264</v>
      </c>
      <c r="E3041" t="s">
        <v>295</v>
      </c>
      <c r="I3041" s="9"/>
    </row>
    <row r="3042" spans="1:9" x14ac:dyDescent="0.25">
      <c r="A3042">
        <v>350018</v>
      </c>
      <c r="B3042">
        <v>18.7</v>
      </c>
      <c r="C3042">
        <v>10</v>
      </c>
      <c r="D3042" s="9">
        <v>43187</v>
      </c>
      <c r="E3042" t="s">
        <v>295</v>
      </c>
      <c r="I3042" s="9"/>
    </row>
    <row r="3043" spans="1:9" x14ac:dyDescent="0.25">
      <c r="A3043">
        <v>350019</v>
      </c>
      <c r="B3043">
        <v>6.35</v>
      </c>
      <c r="C3043">
        <v>200</v>
      </c>
      <c r="D3043" s="9">
        <v>44083</v>
      </c>
      <c r="E3043" t="s">
        <v>296</v>
      </c>
      <c r="I3043" s="9"/>
    </row>
    <row r="3044" spans="1:9" x14ac:dyDescent="0.25">
      <c r="A3044">
        <v>350019</v>
      </c>
      <c r="B3044">
        <v>6.2</v>
      </c>
      <c r="C3044">
        <v>200</v>
      </c>
      <c r="D3044" s="9">
        <v>43839</v>
      </c>
      <c r="E3044" t="s">
        <v>296</v>
      </c>
      <c r="I3044" s="9"/>
    </row>
    <row r="3045" spans="1:9" x14ac:dyDescent="0.25">
      <c r="A3045">
        <v>350019</v>
      </c>
      <c r="B3045">
        <v>6.2</v>
      </c>
      <c r="C3045">
        <v>600</v>
      </c>
      <c r="D3045" s="9">
        <v>43381</v>
      </c>
      <c r="E3045" t="s">
        <v>296</v>
      </c>
      <c r="I3045" s="9"/>
    </row>
    <row r="3046" spans="1:9" x14ac:dyDescent="0.25">
      <c r="A3046">
        <v>350019</v>
      </c>
      <c r="B3046">
        <v>21.98</v>
      </c>
      <c r="C3046">
        <v>200</v>
      </c>
      <c r="D3046" s="9">
        <v>43230</v>
      </c>
      <c r="E3046" t="s">
        <v>295</v>
      </c>
      <c r="I3046" s="9"/>
    </row>
    <row r="3047" spans="1:9" x14ac:dyDescent="0.25">
      <c r="A3047">
        <v>350019</v>
      </c>
      <c r="B3047">
        <v>6.1</v>
      </c>
      <c r="C3047">
        <v>400</v>
      </c>
      <c r="D3047" s="9">
        <v>43199</v>
      </c>
      <c r="E3047" t="s">
        <v>296</v>
      </c>
      <c r="I3047" s="9"/>
    </row>
    <row r="3048" spans="1:9" x14ac:dyDescent="0.25">
      <c r="A3048">
        <v>350019</v>
      </c>
      <c r="B3048">
        <v>20.329999999999998</v>
      </c>
      <c r="C3048">
        <v>204</v>
      </c>
      <c r="D3048" s="9">
        <v>43196</v>
      </c>
      <c r="E3048" t="s">
        <v>295</v>
      </c>
      <c r="I3048" s="9"/>
    </row>
    <row r="3049" spans="1:9" x14ac:dyDescent="0.25">
      <c r="A3049">
        <v>350019</v>
      </c>
      <c r="B3049">
        <v>20.329999999999998</v>
      </c>
      <c r="C3049">
        <v>30</v>
      </c>
      <c r="D3049" s="9">
        <v>43187</v>
      </c>
      <c r="E3049" t="s">
        <v>295</v>
      </c>
      <c r="I3049" s="9"/>
    </row>
    <row r="3050" spans="1:9" x14ac:dyDescent="0.25">
      <c r="A3050">
        <v>350019</v>
      </c>
      <c r="B3050">
        <v>37.549999999999997</v>
      </c>
      <c r="C3050">
        <v>139</v>
      </c>
      <c r="D3050" s="9">
        <v>43124</v>
      </c>
      <c r="E3050" t="s">
        <v>295</v>
      </c>
      <c r="I3050" s="9"/>
    </row>
    <row r="3051" spans="1:9" x14ac:dyDescent="0.25">
      <c r="A3051">
        <v>350019</v>
      </c>
      <c r="B3051">
        <v>38.32</v>
      </c>
      <c r="C3051">
        <v>1</v>
      </c>
      <c r="D3051" s="9">
        <v>43124</v>
      </c>
      <c r="E3051" t="s">
        <v>295</v>
      </c>
      <c r="I3051" s="9"/>
    </row>
    <row r="3052" spans="1:9" x14ac:dyDescent="0.25">
      <c r="A3052">
        <v>350020</v>
      </c>
      <c r="B3052">
        <v>5.75</v>
      </c>
      <c r="C3052">
        <v>500</v>
      </c>
      <c r="D3052" s="9">
        <v>43648</v>
      </c>
      <c r="E3052" t="s">
        <v>296</v>
      </c>
      <c r="I3052" s="9"/>
    </row>
    <row r="3053" spans="1:9" x14ac:dyDescent="0.25">
      <c r="A3053">
        <v>350020</v>
      </c>
      <c r="B3053">
        <v>5.75</v>
      </c>
      <c r="C3053">
        <v>500</v>
      </c>
      <c r="D3053" s="9">
        <v>43381</v>
      </c>
      <c r="E3053" t="s">
        <v>296</v>
      </c>
      <c r="I3053" s="9"/>
    </row>
    <row r="3054" spans="1:9" x14ac:dyDescent="0.25">
      <c r="A3054">
        <v>350020</v>
      </c>
      <c r="B3054">
        <v>19.96</v>
      </c>
      <c r="C3054">
        <v>400</v>
      </c>
      <c r="D3054" s="9">
        <v>43230</v>
      </c>
      <c r="E3054" t="s">
        <v>295</v>
      </c>
      <c r="I3054" s="9"/>
    </row>
    <row r="3055" spans="1:9" x14ac:dyDescent="0.25">
      <c r="A3055">
        <v>350020</v>
      </c>
      <c r="B3055">
        <v>5.55</v>
      </c>
      <c r="C3055">
        <v>400</v>
      </c>
      <c r="D3055" s="9">
        <v>43199</v>
      </c>
      <c r="E3055" t="s">
        <v>296</v>
      </c>
      <c r="I3055" s="9"/>
    </row>
    <row r="3056" spans="1:9" x14ac:dyDescent="0.25">
      <c r="A3056">
        <v>350020</v>
      </c>
      <c r="B3056">
        <v>19.489999999999998</v>
      </c>
      <c r="C3056">
        <v>230</v>
      </c>
      <c r="D3056" s="9">
        <v>43090</v>
      </c>
      <c r="E3056" t="s">
        <v>295</v>
      </c>
      <c r="I3056" s="9"/>
    </row>
    <row r="3057" spans="1:9" x14ac:dyDescent="0.25">
      <c r="A3057">
        <v>350020</v>
      </c>
      <c r="B3057">
        <v>5.09</v>
      </c>
      <c r="C3057">
        <v>450</v>
      </c>
      <c r="D3057" s="9">
        <v>43052</v>
      </c>
      <c r="E3057" t="s">
        <v>296</v>
      </c>
      <c r="I3057" s="9"/>
    </row>
    <row r="3058" spans="1:9" x14ac:dyDescent="0.25">
      <c r="A3058">
        <v>350020</v>
      </c>
      <c r="B3058">
        <v>4.88</v>
      </c>
      <c r="C3058">
        <v>500</v>
      </c>
      <c r="D3058" s="9">
        <v>42864</v>
      </c>
      <c r="E3058" t="s">
        <v>296</v>
      </c>
      <c r="I3058" s="9"/>
    </row>
    <row r="3059" spans="1:9" x14ac:dyDescent="0.25">
      <c r="A3059">
        <v>350020</v>
      </c>
      <c r="B3059">
        <v>4.3</v>
      </c>
      <c r="C3059">
        <v>100</v>
      </c>
      <c r="D3059" s="9">
        <v>42655</v>
      </c>
      <c r="E3059" t="s">
        <v>296</v>
      </c>
      <c r="I3059" s="9"/>
    </row>
    <row r="3060" spans="1:9" x14ac:dyDescent="0.25">
      <c r="A3060">
        <v>350020</v>
      </c>
      <c r="B3060">
        <v>4.3</v>
      </c>
      <c r="C3060">
        <v>100</v>
      </c>
      <c r="D3060" s="9">
        <v>42655</v>
      </c>
      <c r="E3060" t="s">
        <v>296</v>
      </c>
      <c r="I3060" s="9"/>
    </row>
    <row r="3061" spans="1:9" x14ac:dyDescent="0.25">
      <c r="A3061">
        <v>350020</v>
      </c>
      <c r="B3061">
        <v>20.73</v>
      </c>
      <c r="C3061">
        <v>5</v>
      </c>
      <c r="D3061" s="9">
        <v>42541</v>
      </c>
      <c r="E3061" t="s">
        <v>295</v>
      </c>
      <c r="I3061" s="9"/>
    </row>
    <row r="3062" spans="1:9" x14ac:dyDescent="0.25">
      <c r="A3062">
        <v>350021</v>
      </c>
      <c r="B3062">
        <v>8.7899999999999991</v>
      </c>
      <c r="C3062">
        <v>400</v>
      </c>
      <c r="D3062" s="9">
        <v>43592</v>
      </c>
      <c r="E3062" t="s">
        <v>296</v>
      </c>
      <c r="I3062" s="9"/>
    </row>
    <row r="3063" spans="1:9" x14ac:dyDescent="0.25">
      <c r="A3063">
        <v>350021</v>
      </c>
      <c r="B3063">
        <v>33.86</v>
      </c>
      <c r="C3063">
        <v>200</v>
      </c>
      <c r="D3063" s="9">
        <v>43263</v>
      </c>
      <c r="E3063" t="s">
        <v>295</v>
      </c>
      <c r="I3063" s="9"/>
    </row>
    <row r="3064" spans="1:9" x14ac:dyDescent="0.25">
      <c r="A3064">
        <v>350021</v>
      </c>
      <c r="B3064">
        <v>8.85</v>
      </c>
      <c r="C3064">
        <v>400</v>
      </c>
      <c r="D3064" s="9">
        <v>43228</v>
      </c>
      <c r="E3064" t="s">
        <v>296</v>
      </c>
      <c r="I3064" s="9"/>
    </row>
    <row r="3065" spans="1:9" x14ac:dyDescent="0.25">
      <c r="A3065">
        <v>350021</v>
      </c>
      <c r="B3065">
        <v>8.2100000000000009</v>
      </c>
      <c r="C3065">
        <v>300</v>
      </c>
      <c r="D3065" s="9">
        <v>43131</v>
      </c>
      <c r="E3065" t="s">
        <v>296</v>
      </c>
      <c r="I3065" s="9"/>
    </row>
    <row r="3066" spans="1:9" x14ac:dyDescent="0.25">
      <c r="A3066">
        <v>350021</v>
      </c>
      <c r="B3066">
        <v>38.450000000000003</v>
      </c>
      <c r="C3066">
        <v>140</v>
      </c>
      <c r="D3066" s="9">
        <v>43122</v>
      </c>
      <c r="E3066" t="s">
        <v>295</v>
      </c>
      <c r="I3066" s="9"/>
    </row>
    <row r="3067" spans="1:9" x14ac:dyDescent="0.25">
      <c r="A3067">
        <v>350021</v>
      </c>
      <c r="B3067">
        <v>38.450000000000003</v>
      </c>
      <c r="C3067">
        <v>200</v>
      </c>
      <c r="D3067" s="9">
        <v>43090</v>
      </c>
      <c r="E3067" t="s">
        <v>295</v>
      </c>
      <c r="I3067" s="9"/>
    </row>
    <row r="3068" spans="1:9" x14ac:dyDescent="0.25">
      <c r="A3068">
        <v>350021</v>
      </c>
      <c r="B3068">
        <v>38.450000000000003</v>
      </c>
      <c r="C3068">
        <v>50</v>
      </c>
      <c r="D3068" s="9">
        <v>43055</v>
      </c>
      <c r="E3068" t="s">
        <v>295</v>
      </c>
      <c r="I3068" s="9"/>
    </row>
    <row r="3069" spans="1:9" x14ac:dyDescent="0.25">
      <c r="A3069">
        <v>350021</v>
      </c>
      <c r="B3069">
        <v>8.2100000000000009</v>
      </c>
      <c r="C3069">
        <v>200</v>
      </c>
      <c r="D3069" s="9">
        <v>43052</v>
      </c>
      <c r="E3069" t="s">
        <v>296</v>
      </c>
      <c r="I3069" s="9"/>
    </row>
    <row r="3070" spans="1:9" x14ac:dyDescent="0.25">
      <c r="A3070">
        <v>350021</v>
      </c>
      <c r="B3070">
        <v>37.549999999999997</v>
      </c>
      <c r="C3070">
        <v>80</v>
      </c>
      <c r="D3070" s="9">
        <v>43012</v>
      </c>
      <c r="E3070" t="s">
        <v>295</v>
      </c>
      <c r="I3070" s="9"/>
    </row>
    <row r="3071" spans="1:9" x14ac:dyDescent="0.25">
      <c r="A3071">
        <v>350021</v>
      </c>
      <c r="B3071">
        <v>7.9</v>
      </c>
      <c r="C3071">
        <v>250</v>
      </c>
      <c r="D3071" s="9">
        <v>42864</v>
      </c>
      <c r="E3071" t="s">
        <v>296</v>
      </c>
      <c r="I3071" s="9"/>
    </row>
    <row r="3072" spans="1:9" x14ac:dyDescent="0.25">
      <c r="A3072">
        <v>350021</v>
      </c>
      <c r="B3072">
        <v>42.27</v>
      </c>
      <c r="C3072">
        <v>100</v>
      </c>
      <c r="D3072" s="9">
        <v>42747</v>
      </c>
      <c r="E3072" t="s">
        <v>295</v>
      </c>
      <c r="I3072" s="9"/>
    </row>
    <row r="3073" spans="1:9" x14ac:dyDescent="0.25">
      <c r="A3073">
        <v>350021</v>
      </c>
      <c r="B3073">
        <v>8.1999999999999993</v>
      </c>
      <c r="C3073">
        <v>100</v>
      </c>
      <c r="D3073" s="9">
        <v>42586</v>
      </c>
      <c r="E3073" t="s">
        <v>296</v>
      </c>
      <c r="I3073" s="9"/>
    </row>
    <row r="3074" spans="1:9" x14ac:dyDescent="0.25">
      <c r="A3074">
        <v>350021</v>
      </c>
      <c r="B3074">
        <v>43.89</v>
      </c>
      <c r="C3074">
        <v>10</v>
      </c>
      <c r="D3074" s="9">
        <v>42541</v>
      </c>
      <c r="E3074" t="s">
        <v>295</v>
      </c>
      <c r="I3074" s="9"/>
    </row>
    <row r="3075" spans="1:9" x14ac:dyDescent="0.25">
      <c r="A3075">
        <v>350021</v>
      </c>
      <c r="B3075">
        <v>10</v>
      </c>
      <c r="C3075">
        <v>40</v>
      </c>
      <c r="D3075" s="9">
        <v>42325</v>
      </c>
      <c r="E3075" t="s">
        <v>296</v>
      </c>
      <c r="I3075" s="9"/>
    </row>
    <row r="3076" spans="1:9" x14ac:dyDescent="0.25">
      <c r="A3076">
        <v>350022</v>
      </c>
      <c r="B3076">
        <v>62.47</v>
      </c>
      <c r="C3076">
        <v>50</v>
      </c>
      <c r="D3076" s="9">
        <v>43483</v>
      </c>
      <c r="E3076" t="s">
        <v>296</v>
      </c>
      <c r="I3076" s="9"/>
    </row>
    <row r="3077" spans="1:9" x14ac:dyDescent="0.25">
      <c r="A3077">
        <v>350022</v>
      </c>
      <c r="B3077">
        <v>212.87</v>
      </c>
      <c r="C3077">
        <v>50</v>
      </c>
      <c r="D3077" s="9">
        <v>43138</v>
      </c>
      <c r="E3077" t="s">
        <v>295</v>
      </c>
      <c r="I3077" s="9"/>
    </row>
    <row r="3078" spans="1:9" x14ac:dyDescent="0.25">
      <c r="A3078">
        <v>350022</v>
      </c>
      <c r="B3078">
        <v>59.5</v>
      </c>
      <c r="C3078">
        <v>50</v>
      </c>
      <c r="D3078" s="9">
        <v>43111</v>
      </c>
      <c r="E3078" t="s">
        <v>296</v>
      </c>
      <c r="I3078" s="9"/>
    </row>
    <row r="3079" spans="1:9" x14ac:dyDescent="0.25">
      <c r="A3079">
        <v>350022</v>
      </c>
      <c r="B3079">
        <v>56</v>
      </c>
      <c r="C3079">
        <v>50</v>
      </c>
      <c r="D3079" s="9">
        <v>42885</v>
      </c>
      <c r="E3079" t="s">
        <v>296</v>
      </c>
      <c r="I3079" s="9"/>
    </row>
    <row r="3080" spans="1:9" x14ac:dyDescent="0.25">
      <c r="A3080">
        <v>350024</v>
      </c>
      <c r="B3080">
        <v>19</v>
      </c>
      <c r="C3080">
        <v>65</v>
      </c>
      <c r="D3080" s="9">
        <v>43600</v>
      </c>
      <c r="E3080" t="s">
        <v>296</v>
      </c>
      <c r="I3080" s="9"/>
    </row>
    <row r="3081" spans="1:9" x14ac:dyDescent="0.25">
      <c r="A3081">
        <v>350024</v>
      </c>
      <c r="B3081">
        <v>70.510000000000005</v>
      </c>
      <c r="C3081">
        <v>56</v>
      </c>
      <c r="D3081" s="9">
        <v>43298</v>
      </c>
      <c r="E3081" t="s">
        <v>295</v>
      </c>
      <c r="I3081" s="9"/>
    </row>
    <row r="3082" spans="1:9" x14ac:dyDescent="0.25">
      <c r="A3082">
        <v>350024</v>
      </c>
      <c r="B3082">
        <v>18</v>
      </c>
      <c r="C3082">
        <v>56</v>
      </c>
      <c r="D3082" s="9">
        <v>43264</v>
      </c>
      <c r="E3082" t="s">
        <v>296</v>
      </c>
      <c r="I3082" s="9"/>
    </row>
    <row r="3083" spans="1:9" x14ac:dyDescent="0.25">
      <c r="A3083">
        <v>350024</v>
      </c>
      <c r="B3083">
        <v>17.18</v>
      </c>
      <c r="C3083">
        <v>56</v>
      </c>
      <c r="D3083" s="9">
        <v>43063</v>
      </c>
      <c r="E3083" t="s">
        <v>296</v>
      </c>
      <c r="I3083" s="9"/>
    </row>
    <row r="3084" spans="1:9" x14ac:dyDescent="0.25">
      <c r="A3084">
        <v>350024</v>
      </c>
      <c r="B3084">
        <v>16.350000000000001</v>
      </c>
      <c r="C3084">
        <v>52</v>
      </c>
      <c r="D3084" s="9">
        <v>42885</v>
      </c>
      <c r="E3084" t="s">
        <v>296</v>
      </c>
      <c r="I3084" s="9"/>
    </row>
    <row r="3085" spans="1:9" x14ac:dyDescent="0.25">
      <c r="A3085">
        <v>350028</v>
      </c>
      <c r="B3085">
        <v>3.52</v>
      </c>
      <c r="C3085">
        <v>160</v>
      </c>
      <c r="D3085" s="9">
        <v>44102</v>
      </c>
      <c r="E3085" t="s">
        <v>296</v>
      </c>
      <c r="I3085" s="9"/>
    </row>
    <row r="3086" spans="1:9" x14ac:dyDescent="0.25">
      <c r="A3086">
        <v>350029</v>
      </c>
      <c r="B3086">
        <v>23.2</v>
      </c>
      <c r="C3086">
        <v>50</v>
      </c>
      <c r="D3086" s="9">
        <v>44131</v>
      </c>
      <c r="E3086" t="s">
        <v>296</v>
      </c>
      <c r="I3086" s="9"/>
    </row>
    <row r="3087" spans="1:9" x14ac:dyDescent="0.25">
      <c r="A3087">
        <v>350029</v>
      </c>
      <c r="B3087">
        <v>23.2</v>
      </c>
      <c r="C3087">
        <v>50</v>
      </c>
      <c r="D3087" s="9">
        <v>43972</v>
      </c>
      <c r="E3087" t="s">
        <v>296</v>
      </c>
      <c r="I3087" s="9"/>
    </row>
    <row r="3088" spans="1:9" x14ac:dyDescent="0.25">
      <c r="A3088">
        <v>350029</v>
      </c>
      <c r="B3088">
        <v>23.2</v>
      </c>
      <c r="C3088">
        <v>50</v>
      </c>
      <c r="D3088" s="9">
        <v>43648</v>
      </c>
      <c r="E3088" t="s">
        <v>296</v>
      </c>
      <c r="I3088" s="9"/>
    </row>
    <row r="3089" spans="1:9" x14ac:dyDescent="0.25">
      <c r="A3089">
        <v>350029</v>
      </c>
      <c r="B3089">
        <v>23.2</v>
      </c>
      <c r="C3089">
        <v>50</v>
      </c>
      <c r="D3089" s="9">
        <v>43381</v>
      </c>
      <c r="E3089" t="s">
        <v>296</v>
      </c>
      <c r="I3089" s="9"/>
    </row>
    <row r="3090" spans="1:9" x14ac:dyDescent="0.25">
      <c r="A3090">
        <v>350029</v>
      </c>
      <c r="B3090">
        <v>22.8</v>
      </c>
      <c r="C3090">
        <v>50</v>
      </c>
      <c r="D3090" s="9">
        <v>43063</v>
      </c>
      <c r="E3090" t="s">
        <v>296</v>
      </c>
      <c r="I3090" s="9"/>
    </row>
    <row r="3091" spans="1:9" x14ac:dyDescent="0.25">
      <c r="A3091">
        <v>350029</v>
      </c>
      <c r="B3091">
        <v>20</v>
      </c>
      <c r="C3091">
        <v>50</v>
      </c>
      <c r="D3091" s="9">
        <v>42885</v>
      </c>
      <c r="E3091" t="s">
        <v>296</v>
      </c>
      <c r="I3091" s="9"/>
    </row>
    <row r="3092" spans="1:9" x14ac:dyDescent="0.25">
      <c r="A3092">
        <v>350031</v>
      </c>
      <c r="B3092">
        <v>67.2</v>
      </c>
      <c r="C3092">
        <v>1</v>
      </c>
      <c r="D3092" s="9">
        <v>44119</v>
      </c>
      <c r="E3092" t="s">
        <v>295</v>
      </c>
      <c r="I3092" s="9"/>
    </row>
    <row r="3093" spans="1:9" x14ac:dyDescent="0.25">
      <c r="A3093">
        <v>350031</v>
      </c>
      <c r="B3093">
        <v>12.45</v>
      </c>
      <c r="C3093">
        <v>54</v>
      </c>
      <c r="D3093" s="9">
        <v>44043</v>
      </c>
      <c r="E3093" t="s">
        <v>296</v>
      </c>
      <c r="I3093" s="9"/>
    </row>
    <row r="3094" spans="1:9" x14ac:dyDescent="0.25">
      <c r="A3094">
        <v>350031</v>
      </c>
      <c r="B3094">
        <v>12.8</v>
      </c>
      <c r="C3094">
        <v>54</v>
      </c>
      <c r="D3094" s="9">
        <v>43111</v>
      </c>
      <c r="E3094" t="s">
        <v>296</v>
      </c>
      <c r="I3094" s="9"/>
    </row>
    <row r="3095" spans="1:9" x14ac:dyDescent="0.25">
      <c r="A3095">
        <v>350031</v>
      </c>
      <c r="B3095">
        <v>12.2</v>
      </c>
      <c r="C3095">
        <v>54</v>
      </c>
      <c r="D3095" s="9">
        <v>42885</v>
      </c>
      <c r="E3095" t="s">
        <v>296</v>
      </c>
      <c r="I3095" s="9"/>
    </row>
    <row r="3096" spans="1:9" x14ac:dyDescent="0.25">
      <c r="A3096">
        <v>350034</v>
      </c>
      <c r="B3096">
        <v>35.5</v>
      </c>
      <c r="C3096">
        <v>52</v>
      </c>
      <c r="D3096" s="9">
        <v>43648</v>
      </c>
      <c r="E3096" t="s">
        <v>296</v>
      </c>
      <c r="I3096" s="9"/>
    </row>
    <row r="3097" spans="1:9" x14ac:dyDescent="0.25">
      <c r="A3097">
        <v>350034</v>
      </c>
      <c r="B3097">
        <v>119.96</v>
      </c>
      <c r="C3097">
        <v>52</v>
      </c>
      <c r="D3097" s="9">
        <v>43138</v>
      </c>
      <c r="E3097" t="s">
        <v>295</v>
      </c>
      <c r="I3097" s="9"/>
    </row>
    <row r="3098" spans="1:9" x14ac:dyDescent="0.25">
      <c r="A3098">
        <v>350034</v>
      </c>
      <c r="B3098">
        <v>34.5</v>
      </c>
      <c r="C3098">
        <v>52</v>
      </c>
      <c r="D3098" s="9">
        <v>43111</v>
      </c>
      <c r="E3098" t="s">
        <v>296</v>
      </c>
      <c r="I3098" s="9"/>
    </row>
    <row r="3099" spans="1:9" x14ac:dyDescent="0.25">
      <c r="A3099">
        <v>350034</v>
      </c>
      <c r="B3099">
        <v>32.450000000000003</v>
      </c>
      <c r="C3099">
        <v>52</v>
      </c>
      <c r="D3099" s="9">
        <v>42885</v>
      </c>
      <c r="E3099" t="s">
        <v>296</v>
      </c>
      <c r="I3099" s="9"/>
    </row>
    <row r="3100" spans="1:9" x14ac:dyDescent="0.25">
      <c r="A3100">
        <v>350035</v>
      </c>
      <c r="B3100">
        <v>4.4000000000000004</v>
      </c>
      <c r="C3100">
        <v>240</v>
      </c>
      <c r="D3100" s="9">
        <v>43648</v>
      </c>
      <c r="E3100" t="s">
        <v>296</v>
      </c>
      <c r="I3100" s="9"/>
    </row>
    <row r="3101" spans="1:9" x14ac:dyDescent="0.25">
      <c r="A3101">
        <v>350035</v>
      </c>
      <c r="B3101">
        <v>4.4000000000000004</v>
      </c>
      <c r="C3101">
        <v>240</v>
      </c>
      <c r="D3101" s="9">
        <v>43483</v>
      </c>
      <c r="E3101" t="s">
        <v>296</v>
      </c>
      <c r="I3101" s="9"/>
    </row>
    <row r="3102" spans="1:9" x14ac:dyDescent="0.25">
      <c r="A3102">
        <v>350035</v>
      </c>
      <c r="B3102">
        <v>16.72</v>
      </c>
      <c r="C3102">
        <v>240</v>
      </c>
      <c r="D3102" s="9">
        <v>43298</v>
      </c>
      <c r="E3102" t="s">
        <v>295</v>
      </c>
      <c r="I3102" s="9"/>
    </row>
    <row r="3103" spans="1:9" x14ac:dyDescent="0.25">
      <c r="A3103">
        <v>350035</v>
      </c>
      <c r="B3103">
        <v>4.4000000000000004</v>
      </c>
      <c r="C3103">
        <v>240</v>
      </c>
      <c r="D3103" s="9">
        <v>43264</v>
      </c>
      <c r="E3103" t="s">
        <v>296</v>
      </c>
      <c r="I3103" s="9"/>
    </row>
    <row r="3104" spans="1:9" x14ac:dyDescent="0.25">
      <c r="A3104">
        <v>350039</v>
      </c>
      <c r="B3104">
        <v>25.85</v>
      </c>
      <c r="C3104">
        <v>52</v>
      </c>
      <c r="D3104" s="9">
        <v>43648</v>
      </c>
      <c r="E3104" t="s">
        <v>296</v>
      </c>
      <c r="I3104" s="9"/>
    </row>
    <row r="3105" spans="1:9" x14ac:dyDescent="0.25">
      <c r="A3105">
        <v>350039</v>
      </c>
      <c r="B3105">
        <v>25.85</v>
      </c>
      <c r="C3105">
        <v>52</v>
      </c>
      <c r="D3105" s="9">
        <v>43483</v>
      </c>
      <c r="E3105" t="s">
        <v>296</v>
      </c>
      <c r="I3105" s="9"/>
    </row>
    <row r="3106" spans="1:9" x14ac:dyDescent="0.25">
      <c r="A3106">
        <v>350039</v>
      </c>
      <c r="B3106">
        <v>25.85</v>
      </c>
      <c r="C3106">
        <v>52</v>
      </c>
      <c r="D3106" s="9">
        <v>43111</v>
      </c>
      <c r="E3106" t="s">
        <v>296</v>
      </c>
      <c r="I3106" s="9"/>
    </row>
    <row r="3107" spans="1:9" x14ac:dyDescent="0.25">
      <c r="A3107">
        <v>350039</v>
      </c>
      <c r="B3107">
        <v>24.85</v>
      </c>
      <c r="C3107">
        <v>52</v>
      </c>
      <c r="D3107" s="9">
        <v>42885</v>
      </c>
      <c r="E3107" t="s">
        <v>296</v>
      </c>
      <c r="I3107" s="9"/>
    </row>
    <row r="3108" spans="1:9" x14ac:dyDescent="0.25">
      <c r="A3108">
        <v>350044</v>
      </c>
      <c r="B3108">
        <v>9.4</v>
      </c>
      <c r="C3108">
        <v>50</v>
      </c>
      <c r="D3108" s="9">
        <v>43972</v>
      </c>
      <c r="E3108" t="s">
        <v>296</v>
      </c>
      <c r="I3108" s="9"/>
    </row>
    <row r="3109" spans="1:9" x14ac:dyDescent="0.25">
      <c r="A3109">
        <v>350044</v>
      </c>
      <c r="B3109">
        <v>9.4</v>
      </c>
      <c r="C3109">
        <v>50</v>
      </c>
      <c r="D3109" s="9">
        <v>43381</v>
      </c>
      <c r="E3109" t="s">
        <v>296</v>
      </c>
      <c r="I3109" s="9"/>
    </row>
    <row r="3110" spans="1:9" x14ac:dyDescent="0.25">
      <c r="A3110">
        <v>350044</v>
      </c>
      <c r="B3110">
        <v>8.99</v>
      </c>
      <c r="C3110">
        <v>50</v>
      </c>
      <c r="D3110" s="9">
        <v>43063</v>
      </c>
      <c r="E3110" t="s">
        <v>296</v>
      </c>
      <c r="I3110" s="9"/>
    </row>
    <row r="3111" spans="1:9" x14ac:dyDescent="0.25">
      <c r="A3111">
        <v>350044</v>
      </c>
      <c r="B3111">
        <v>8.8000000000000007</v>
      </c>
      <c r="C3111">
        <v>50</v>
      </c>
      <c r="D3111" s="9">
        <v>42885</v>
      </c>
      <c r="E3111" t="s">
        <v>296</v>
      </c>
      <c r="I3111" s="9"/>
    </row>
    <row r="3112" spans="1:9" x14ac:dyDescent="0.25">
      <c r="A3112">
        <v>350046</v>
      </c>
      <c r="B3112">
        <v>12.52</v>
      </c>
      <c r="C3112">
        <v>40</v>
      </c>
      <c r="D3112" s="9">
        <v>44102</v>
      </c>
      <c r="E3112" t="s">
        <v>296</v>
      </c>
      <c r="I3112" s="9"/>
    </row>
    <row r="3113" spans="1:9" x14ac:dyDescent="0.25">
      <c r="A3113">
        <v>350047</v>
      </c>
      <c r="B3113">
        <v>14</v>
      </c>
      <c r="C3113">
        <v>50</v>
      </c>
      <c r="D3113" s="9">
        <v>43648</v>
      </c>
      <c r="E3113" t="s">
        <v>296</v>
      </c>
      <c r="I3113" s="9"/>
    </row>
    <row r="3114" spans="1:9" x14ac:dyDescent="0.25">
      <c r="A3114">
        <v>350047</v>
      </c>
      <c r="B3114">
        <v>13.6</v>
      </c>
      <c r="C3114">
        <v>50</v>
      </c>
      <c r="D3114" s="9">
        <v>43381</v>
      </c>
      <c r="E3114" t="s">
        <v>296</v>
      </c>
      <c r="I3114" s="9"/>
    </row>
    <row r="3115" spans="1:9" x14ac:dyDescent="0.25">
      <c r="A3115">
        <v>350047</v>
      </c>
      <c r="B3115">
        <v>45.66</v>
      </c>
      <c r="C3115">
        <v>50</v>
      </c>
      <c r="D3115" s="9">
        <v>43138</v>
      </c>
      <c r="E3115" t="s">
        <v>295</v>
      </c>
      <c r="I3115" s="9"/>
    </row>
    <row r="3116" spans="1:9" x14ac:dyDescent="0.25">
      <c r="A3116">
        <v>350047</v>
      </c>
      <c r="B3116">
        <v>13.2</v>
      </c>
      <c r="C3116">
        <v>50</v>
      </c>
      <c r="D3116" s="9">
        <v>43111</v>
      </c>
      <c r="E3116" t="s">
        <v>296</v>
      </c>
      <c r="I3116" s="9"/>
    </row>
    <row r="3117" spans="1:9" x14ac:dyDescent="0.25">
      <c r="A3117">
        <v>350047</v>
      </c>
      <c r="B3117">
        <v>12.2</v>
      </c>
      <c r="C3117">
        <v>50</v>
      </c>
      <c r="D3117" s="9">
        <v>42885</v>
      </c>
      <c r="E3117" t="s">
        <v>296</v>
      </c>
      <c r="I3117" s="9"/>
    </row>
    <row r="3118" spans="1:9" x14ac:dyDescent="0.25">
      <c r="A3118">
        <v>350050</v>
      </c>
      <c r="B3118">
        <v>8.9499999999999993</v>
      </c>
      <c r="C3118">
        <v>120</v>
      </c>
      <c r="D3118" s="9">
        <v>44043</v>
      </c>
      <c r="E3118" t="s">
        <v>296</v>
      </c>
      <c r="I3118" s="9"/>
    </row>
    <row r="3119" spans="1:9" x14ac:dyDescent="0.25">
      <c r="A3119">
        <v>350050</v>
      </c>
      <c r="B3119">
        <v>33.96</v>
      </c>
      <c r="C3119">
        <v>120</v>
      </c>
      <c r="D3119" s="9">
        <v>43298</v>
      </c>
      <c r="E3119" t="s">
        <v>295</v>
      </c>
      <c r="I3119" s="9"/>
    </row>
    <row r="3120" spans="1:9" x14ac:dyDescent="0.25">
      <c r="A3120">
        <v>350050</v>
      </c>
      <c r="B3120">
        <v>8.9499999999999993</v>
      </c>
      <c r="C3120">
        <v>120</v>
      </c>
      <c r="D3120" s="9">
        <v>43264</v>
      </c>
      <c r="E3120" t="s">
        <v>296</v>
      </c>
      <c r="I3120" s="9"/>
    </row>
    <row r="3121" spans="1:9" x14ac:dyDescent="0.25">
      <c r="A3121">
        <v>350055</v>
      </c>
      <c r="B3121">
        <v>7.8</v>
      </c>
      <c r="C3121">
        <v>120</v>
      </c>
      <c r="D3121" s="9">
        <v>44062</v>
      </c>
      <c r="E3121" t="s">
        <v>296</v>
      </c>
      <c r="I3121" s="9"/>
    </row>
    <row r="3122" spans="1:9" x14ac:dyDescent="0.25">
      <c r="A3122">
        <v>350055</v>
      </c>
      <c r="B3122">
        <v>7.8</v>
      </c>
      <c r="C3122">
        <v>120</v>
      </c>
      <c r="D3122" s="9">
        <v>43972</v>
      </c>
      <c r="E3122" t="s">
        <v>296</v>
      </c>
      <c r="I3122" s="9"/>
    </row>
    <row r="3123" spans="1:9" x14ac:dyDescent="0.25">
      <c r="A3123">
        <v>350055</v>
      </c>
      <c r="B3123">
        <v>29.99</v>
      </c>
      <c r="C3123">
        <v>200</v>
      </c>
      <c r="D3123" s="9">
        <v>43298</v>
      </c>
      <c r="E3123" t="s">
        <v>295</v>
      </c>
      <c r="I3123" s="9"/>
    </row>
    <row r="3124" spans="1:9" x14ac:dyDescent="0.25">
      <c r="A3124">
        <v>350055</v>
      </c>
      <c r="B3124">
        <v>7.8</v>
      </c>
      <c r="C3124">
        <v>200</v>
      </c>
      <c r="D3124" s="9">
        <v>43264</v>
      </c>
      <c r="E3124" t="s">
        <v>296</v>
      </c>
      <c r="I3124" s="9"/>
    </row>
    <row r="3125" spans="1:9" x14ac:dyDescent="0.25">
      <c r="A3125">
        <v>350060</v>
      </c>
      <c r="B3125">
        <v>9.48</v>
      </c>
      <c r="C3125">
        <v>120</v>
      </c>
      <c r="D3125" s="9">
        <v>43305</v>
      </c>
      <c r="E3125" t="s">
        <v>296</v>
      </c>
      <c r="I3125" s="9"/>
    </row>
    <row r="3126" spans="1:9" x14ac:dyDescent="0.25">
      <c r="A3126">
        <v>350061</v>
      </c>
      <c r="B3126">
        <v>23.82</v>
      </c>
      <c r="C3126">
        <v>200</v>
      </c>
      <c r="D3126" s="9">
        <v>43298</v>
      </c>
      <c r="E3126" t="s">
        <v>295</v>
      </c>
      <c r="I3126" s="9"/>
    </row>
    <row r="3127" spans="1:9" x14ac:dyDescent="0.25">
      <c r="A3127">
        <v>350061</v>
      </c>
      <c r="B3127">
        <v>6.32</v>
      </c>
      <c r="C3127">
        <v>200</v>
      </c>
      <c r="D3127" s="9">
        <v>43264</v>
      </c>
      <c r="E3127" t="s">
        <v>296</v>
      </c>
      <c r="I3127" s="9"/>
    </row>
    <row r="3128" spans="1:9" x14ac:dyDescent="0.25">
      <c r="A3128">
        <v>350065</v>
      </c>
      <c r="B3128">
        <v>3.75</v>
      </c>
      <c r="C3128">
        <v>240</v>
      </c>
      <c r="D3128" s="9">
        <v>44043</v>
      </c>
      <c r="E3128" t="s">
        <v>296</v>
      </c>
      <c r="I3128" s="9"/>
    </row>
    <row r="3129" spans="1:9" x14ac:dyDescent="0.25">
      <c r="A3129">
        <v>350065</v>
      </c>
      <c r="B3129">
        <v>3.75</v>
      </c>
      <c r="C3129">
        <v>288</v>
      </c>
      <c r="D3129" s="9">
        <v>43381</v>
      </c>
      <c r="E3129" t="s">
        <v>296</v>
      </c>
      <c r="I3129" s="9"/>
    </row>
    <row r="3130" spans="1:9" x14ac:dyDescent="0.25">
      <c r="A3130">
        <v>350066</v>
      </c>
      <c r="B3130">
        <v>1.88</v>
      </c>
      <c r="C3130">
        <v>480</v>
      </c>
      <c r="D3130" s="9">
        <v>43305</v>
      </c>
      <c r="E3130" t="s">
        <v>296</v>
      </c>
      <c r="I3130" s="9"/>
    </row>
    <row r="3131" spans="1:9" x14ac:dyDescent="0.25">
      <c r="A3131">
        <v>350067</v>
      </c>
      <c r="B3131">
        <v>8.1999999999999993</v>
      </c>
      <c r="C3131">
        <v>150</v>
      </c>
      <c r="D3131" s="9">
        <v>44028</v>
      </c>
      <c r="E3131" t="s">
        <v>296</v>
      </c>
      <c r="I3131" s="9"/>
    </row>
    <row r="3132" spans="1:9" x14ac:dyDescent="0.25">
      <c r="A3132">
        <v>350067</v>
      </c>
      <c r="B3132">
        <v>7.8</v>
      </c>
      <c r="C3132">
        <v>200</v>
      </c>
      <c r="D3132" s="9">
        <v>43381</v>
      </c>
      <c r="E3132" t="s">
        <v>296</v>
      </c>
      <c r="I3132" s="9"/>
    </row>
    <row r="3133" spans="1:9" x14ac:dyDescent="0.25">
      <c r="A3133">
        <v>350088</v>
      </c>
      <c r="B3133">
        <v>15.45</v>
      </c>
      <c r="C3133">
        <v>50</v>
      </c>
      <c r="D3133" s="9">
        <v>43483</v>
      </c>
      <c r="E3133" t="s">
        <v>296</v>
      </c>
      <c r="I3133" s="9"/>
    </row>
    <row r="3134" spans="1:9" x14ac:dyDescent="0.25">
      <c r="A3134">
        <v>350088</v>
      </c>
      <c r="B3134">
        <v>16.5</v>
      </c>
      <c r="C3134">
        <v>200</v>
      </c>
      <c r="D3134" s="9">
        <v>42586</v>
      </c>
      <c r="E3134" t="s">
        <v>296</v>
      </c>
      <c r="I3134" s="9"/>
    </row>
    <row r="3135" spans="1:9" x14ac:dyDescent="0.25">
      <c r="A3135">
        <v>350131</v>
      </c>
      <c r="B3135">
        <v>20</v>
      </c>
      <c r="C3135">
        <v>100</v>
      </c>
      <c r="D3135" s="9">
        <v>44117</v>
      </c>
      <c r="E3135" t="s">
        <v>296</v>
      </c>
      <c r="I3135" s="9"/>
    </row>
    <row r="3136" spans="1:9" x14ac:dyDescent="0.25">
      <c r="A3136">
        <v>350131</v>
      </c>
      <c r="B3136">
        <v>21.8</v>
      </c>
      <c r="C3136">
        <v>100</v>
      </c>
      <c r="D3136" s="9">
        <v>43592</v>
      </c>
      <c r="E3136" t="s">
        <v>296</v>
      </c>
      <c r="I3136" s="9"/>
    </row>
    <row r="3137" spans="1:9" x14ac:dyDescent="0.25">
      <c r="A3137">
        <v>350131</v>
      </c>
      <c r="B3137">
        <v>82.17</v>
      </c>
      <c r="C3137">
        <v>80</v>
      </c>
      <c r="D3137" s="9">
        <v>43285</v>
      </c>
      <c r="E3137" t="s">
        <v>295</v>
      </c>
      <c r="I3137" s="9"/>
    </row>
    <row r="3138" spans="1:9" x14ac:dyDescent="0.25">
      <c r="A3138">
        <v>350131</v>
      </c>
      <c r="B3138">
        <v>21.5</v>
      </c>
      <c r="C3138">
        <v>80</v>
      </c>
      <c r="D3138" s="9">
        <v>43234</v>
      </c>
      <c r="E3138" t="s">
        <v>296</v>
      </c>
      <c r="I3138" s="9"/>
    </row>
    <row r="3139" spans="1:9" x14ac:dyDescent="0.25">
      <c r="A3139">
        <v>350131</v>
      </c>
      <c r="B3139">
        <v>20.5</v>
      </c>
      <c r="C3139">
        <v>40</v>
      </c>
      <c r="D3139" s="9">
        <v>43105</v>
      </c>
      <c r="E3139" t="s">
        <v>296</v>
      </c>
      <c r="I3139" s="9"/>
    </row>
    <row r="3140" spans="1:9" x14ac:dyDescent="0.25">
      <c r="A3140">
        <v>350131</v>
      </c>
      <c r="B3140">
        <v>21.15</v>
      </c>
      <c r="C3140">
        <v>100</v>
      </c>
      <c r="D3140" s="9">
        <v>42748</v>
      </c>
      <c r="E3140" t="s">
        <v>296</v>
      </c>
      <c r="I3140" s="9"/>
    </row>
    <row r="3141" spans="1:9" x14ac:dyDescent="0.25">
      <c r="A3141">
        <v>350131</v>
      </c>
      <c r="B3141">
        <v>22</v>
      </c>
      <c r="C3141">
        <v>10</v>
      </c>
      <c r="D3141" s="9">
        <v>42586</v>
      </c>
      <c r="E3141" t="s">
        <v>296</v>
      </c>
      <c r="I3141" s="9"/>
    </row>
    <row r="3142" spans="1:9" x14ac:dyDescent="0.25">
      <c r="A3142">
        <v>350140</v>
      </c>
      <c r="B3142">
        <v>2.5499999999999998</v>
      </c>
      <c r="C3142">
        <v>300</v>
      </c>
      <c r="D3142" s="9">
        <v>43305</v>
      </c>
      <c r="E3142" t="s">
        <v>296</v>
      </c>
      <c r="I3142" s="9"/>
    </row>
    <row r="3143" spans="1:9" x14ac:dyDescent="0.25">
      <c r="A3143">
        <v>350141</v>
      </c>
      <c r="B3143">
        <v>3.56</v>
      </c>
      <c r="C3143">
        <v>150</v>
      </c>
      <c r="D3143" s="9">
        <v>44102</v>
      </c>
      <c r="E3143" t="s">
        <v>296</v>
      </c>
      <c r="I3143" s="9"/>
    </row>
    <row r="3144" spans="1:9" x14ac:dyDescent="0.25">
      <c r="A3144">
        <v>350143</v>
      </c>
      <c r="B3144">
        <v>2.65</v>
      </c>
      <c r="C3144">
        <v>320</v>
      </c>
      <c r="D3144" s="9">
        <v>43803</v>
      </c>
      <c r="E3144" t="s">
        <v>296</v>
      </c>
      <c r="I3144" s="9"/>
    </row>
    <row r="3145" spans="1:9" x14ac:dyDescent="0.25">
      <c r="A3145">
        <v>350143</v>
      </c>
      <c r="B3145">
        <v>10.119999999999999</v>
      </c>
      <c r="C3145">
        <v>320</v>
      </c>
      <c r="D3145" s="9">
        <v>43298</v>
      </c>
      <c r="E3145" t="s">
        <v>295</v>
      </c>
      <c r="I3145" s="9"/>
    </row>
    <row r="3146" spans="1:9" x14ac:dyDescent="0.25">
      <c r="A3146">
        <v>350143</v>
      </c>
      <c r="B3146">
        <v>2.65</v>
      </c>
      <c r="C3146">
        <v>320</v>
      </c>
      <c r="D3146" s="9">
        <v>43264</v>
      </c>
      <c r="E3146" t="s">
        <v>296</v>
      </c>
      <c r="I3146" s="9"/>
    </row>
    <row r="3147" spans="1:9" x14ac:dyDescent="0.25">
      <c r="A3147">
        <v>350143</v>
      </c>
      <c r="B3147">
        <v>2.5499999999999998</v>
      </c>
      <c r="C3147">
        <v>320</v>
      </c>
      <c r="D3147" s="9">
        <v>43063</v>
      </c>
      <c r="E3147" t="s">
        <v>296</v>
      </c>
      <c r="I3147" s="9"/>
    </row>
    <row r="3148" spans="1:9" x14ac:dyDescent="0.25">
      <c r="A3148">
        <v>350143</v>
      </c>
      <c r="B3148">
        <v>2.4500000000000002</v>
      </c>
      <c r="C3148">
        <v>320</v>
      </c>
      <c r="D3148" s="9">
        <v>42885</v>
      </c>
      <c r="E3148" t="s">
        <v>296</v>
      </c>
      <c r="I3148" s="9"/>
    </row>
    <row r="3149" spans="1:9" x14ac:dyDescent="0.25">
      <c r="A3149">
        <v>350300</v>
      </c>
      <c r="B3149">
        <v>9.9499999999999993</v>
      </c>
      <c r="C3149">
        <v>120</v>
      </c>
      <c r="D3149" s="9">
        <v>44113</v>
      </c>
      <c r="E3149" t="s">
        <v>296</v>
      </c>
      <c r="I3149" s="9"/>
    </row>
    <row r="3150" spans="1:9" x14ac:dyDescent="0.25">
      <c r="A3150">
        <v>350300</v>
      </c>
      <c r="B3150">
        <v>9.9499999999999993</v>
      </c>
      <c r="C3150">
        <v>120</v>
      </c>
      <c r="D3150" s="9">
        <v>43839</v>
      </c>
      <c r="E3150" t="s">
        <v>296</v>
      </c>
      <c r="I3150" s="9"/>
    </row>
    <row r="3151" spans="1:9" x14ac:dyDescent="0.25">
      <c r="A3151">
        <v>350300</v>
      </c>
      <c r="B3151">
        <v>9.9499999999999993</v>
      </c>
      <c r="C3151">
        <v>120</v>
      </c>
      <c r="D3151" s="9">
        <v>43686</v>
      </c>
      <c r="E3151" t="s">
        <v>296</v>
      </c>
      <c r="I3151" s="9"/>
    </row>
    <row r="3152" spans="1:9" x14ac:dyDescent="0.25">
      <c r="A3152">
        <v>350300</v>
      </c>
      <c r="B3152">
        <v>9.9499999999999993</v>
      </c>
      <c r="C3152">
        <v>120</v>
      </c>
      <c r="D3152" s="9">
        <v>43600</v>
      </c>
      <c r="E3152" t="s">
        <v>296</v>
      </c>
      <c r="I3152" s="9"/>
    </row>
    <row r="3153" spans="1:9" x14ac:dyDescent="0.25">
      <c r="A3153">
        <v>350300</v>
      </c>
      <c r="B3153">
        <v>9.9499999999999993</v>
      </c>
      <c r="C3153">
        <v>120</v>
      </c>
      <c r="D3153" s="9">
        <v>43438</v>
      </c>
      <c r="E3153" t="s">
        <v>296</v>
      </c>
      <c r="I3153" s="9"/>
    </row>
    <row r="3154" spans="1:9" x14ac:dyDescent="0.25">
      <c r="A3154">
        <v>350300</v>
      </c>
      <c r="B3154">
        <v>37.950000000000003</v>
      </c>
      <c r="C3154">
        <v>130</v>
      </c>
      <c r="D3154" s="9">
        <v>43298</v>
      </c>
      <c r="E3154" t="s">
        <v>295</v>
      </c>
      <c r="I3154" s="9"/>
    </row>
    <row r="3155" spans="1:9" x14ac:dyDescent="0.25">
      <c r="A3155">
        <v>350300</v>
      </c>
      <c r="B3155">
        <v>9.9499999999999993</v>
      </c>
      <c r="C3155">
        <v>130</v>
      </c>
      <c r="D3155" s="9">
        <v>43264</v>
      </c>
      <c r="E3155" t="s">
        <v>296</v>
      </c>
      <c r="I3155" s="9"/>
    </row>
    <row r="3156" spans="1:9" x14ac:dyDescent="0.25">
      <c r="A3156">
        <v>350300</v>
      </c>
      <c r="B3156">
        <v>9.35</v>
      </c>
      <c r="C3156">
        <v>100</v>
      </c>
      <c r="D3156" s="9">
        <v>43111</v>
      </c>
      <c r="E3156" t="s">
        <v>296</v>
      </c>
      <c r="I3156" s="9"/>
    </row>
    <row r="3157" spans="1:9" x14ac:dyDescent="0.25">
      <c r="A3157">
        <v>350300</v>
      </c>
      <c r="B3157">
        <v>9.0500000000000007</v>
      </c>
      <c r="C3157">
        <v>200</v>
      </c>
      <c r="D3157" s="9">
        <v>42912</v>
      </c>
      <c r="E3157" t="s">
        <v>296</v>
      </c>
      <c r="I3157" s="9"/>
    </row>
    <row r="3158" spans="1:9" x14ac:dyDescent="0.25">
      <c r="A3158">
        <v>350300</v>
      </c>
      <c r="B3158">
        <v>8.6</v>
      </c>
      <c r="C3158">
        <v>40</v>
      </c>
      <c r="D3158" s="9">
        <v>42781</v>
      </c>
      <c r="E3158" t="s">
        <v>296</v>
      </c>
      <c r="I3158" s="9"/>
    </row>
    <row r="3159" spans="1:9" x14ac:dyDescent="0.25">
      <c r="A3159">
        <v>350420</v>
      </c>
      <c r="B3159">
        <v>7.01</v>
      </c>
      <c r="C3159">
        <v>100</v>
      </c>
      <c r="D3159" s="9">
        <v>44102</v>
      </c>
      <c r="E3159" t="s">
        <v>296</v>
      </c>
      <c r="I3159" s="9"/>
    </row>
    <row r="3160" spans="1:9" x14ac:dyDescent="0.25">
      <c r="A3160">
        <v>350421</v>
      </c>
      <c r="B3160">
        <v>7.28</v>
      </c>
      <c r="C3160">
        <v>300</v>
      </c>
      <c r="D3160" s="9">
        <v>43686</v>
      </c>
      <c r="E3160" t="s">
        <v>296</v>
      </c>
      <c r="I3160" s="9"/>
    </row>
    <row r="3161" spans="1:9" x14ac:dyDescent="0.25">
      <c r="A3161">
        <v>350435</v>
      </c>
      <c r="B3161">
        <v>102.47</v>
      </c>
      <c r="C3161">
        <v>1</v>
      </c>
      <c r="D3161" s="9">
        <v>44119</v>
      </c>
      <c r="E3161" t="s">
        <v>295</v>
      </c>
      <c r="I3161" s="9"/>
    </row>
    <row r="3162" spans="1:9" x14ac:dyDescent="0.25">
      <c r="A3162">
        <v>350435</v>
      </c>
      <c r="B3162">
        <v>19.7</v>
      </c>
      <c r="C3162">
        <v>30</v>
      </c>
      <c r="D3162" s="9">
        <v>43686</v>
      </c>
      <c r="E3162" t="s">
        <v>296</v>
      </c>
      <c r="I3162" s="9"/>
    </row>
    <row r="3163" spans="1:9" x14ac:dyDescent="0.25">
      <c r="A3163">
        <v>350441</v>
      </c>
      <c r="B3163">
        <v>11.63</v>
      </c>
      <c r="C3163">
        <v>40</v>
      </c>
      <c r="D3163" s="9">
        <v>44102</v>
      </c>
      <c r="E3163" t="s">
        <v>296</v>
      </c>
      <c r="I3163" s="9"/>
    </row>
    <row r="3164" spans="1:9" x14ac:dyDescent="0.25">
      <c r="A3164">
        <v>350475</v>
      </c>
      <c r="B3164">
        <v>6.82</v>
      </c>
      <c r="C3164">
        <v>160</v>
      </c>
      <c r="D3164" s="9">
        <v>44102</v>
      </c>
      <c r="E3164" t="s">
        <v>296</v>
      </c>
      <c r="I3164" s="9"/>
    </row>
    <row r="3165" spans="1:9" x14ac:dyDescent="0.25">
      <c r="A3165">
        <v>350475</v>
      </c>
      <c r="B3165">
        <v>6.82</v>
      </c>
      <c r="C3165">
        <v>60</v>
      </c>
      <c r="D3165" s="9">
        <v>43686</v>
      </c>
      <c r="E3165" t="s">
        <v>296</v>
      </c>
      <c r="I3165" s="9"/>
    </row>
    <row r="3166" spans="1:9" x14ac:dyDescent="0.25">
      <c r="A3166">
        <v>350476</v>
      </c>
      <c r="B3166">
        <v>3.27</v>
      </c>
      <c r="C3166">
        <v>200</v>
      </c>
      <c r="D3166" s="9">
        <v>44102</v>
      </c>
      <c r="E3166" t="s">
        <v>296</v>
      </c>
      <c r="I3166" s="9"/>
    </row>
    <row r="3167" spans="1:9" x14ac:dyDescent="0.25">
      <c r="A3167">
        <v>350479</v>
      </c>
      <c r="B3167">
        <v>3.27</v>
      </c>
      <c r="C3167">
        <v>120</v>
      </c>
      <c r="D3167" s="9">
        <v>44102</v>
      </c>
      <c r="E3167" t="s">
        <v>296</v>
      </c>
      <c r="I3167" s="9"/>
    </row>
    <row r="3168" spans="1:9" x14ac:dyDescent="0.25">
      <c r="A3168">
        <v>350500</v>
      </c>
      <c r="B3168">
        <v>16.190000000000001</v>
      </c>
      <c r="C3168">
        <v>40</v>
      </c>
      <c r="D3168" s="9">
        <v>44102</v>
      </c>
      <c r="E3168" t="s">
        <v>296</v>
      </c>
      <c r="I3168" s="9"/>
    </row>
    <row r="3169" spans="1:9" x14ac:dyDescent="0.25">
      <c r="A3169">
        <v>350510</v>
      </c>
      <c r="B3169">
        <v>26.67</v>
      </c>
      <c r="C3169">
        <v>30</v>
      </c>
      <c r="D3169" s="9">
        <v>43686</v>
      </c>
      <c r="E3169" t="s">
        <v>296</v>
      </c>
      <c r="I3169" s="9"/>
    </row>
    <row r="3170" spans="1:9" x14ac:dyDescent="0.25">
      <c r="A3170">
        <v>350511</v>
      </c>
      <c r="B3170">
        <v>23.83</v>
      </c>
      <c r="C3170">
        <v>40</v>
      </c>
      <c r="D3170" s="9">
        <v>44102</v>
      </c>
      <c r="E3170" t="s">
        <v>296</v>
      </c>
      <c r="I3170" s="9"/>
    </row>
    <row r="3171" spans="1:9" x14ac:dyDescent="0.25">
      <c r="A3171">
        <v>350515</v>
      </c>
      <c r="B3171">
        <v>60.34</v>
      </c>
      <c r="C3171">
        <v>4</v>
      </c>
      <c r="D3171" s="9">
        <v>43986</v>
      </c>
      <c r="E3171" t="s">
        <v>297</v>
      </c>
      <c r="I3171" s="9"/>
    </row>
    <row r="3172" spans="1:9" x14ac:dyDescent="0.25">
      <c r="A3172">
        <v>350515</v>
      </c>
      <c r="B3172">
        <v>53.79</v>
      </c>
      <c r="C3172">
        <v>30</v>
      </c>
      <c r="D3172" s="9">
        <v>43686</v>
      </c>
      <c r="E3172" t="s">
        <v>296</v>
      </c>
      <c r="I3172" s="9"/>
    </row>
    <row r="3173" spans="1:9" x14ac:dyDescent="0.25">
      <c r="A3173">
        <v>350517</v>
      </c>
      <c r="B3173">
        <v>12.42</v>
      </c>
      <c r="C3173">
        <v>30</v>
      </c>
      <c r="D3173" s="9">
        <v>43686</v>
      </c>
      <c r="E3173" t="s">
        <v>296</v>
      </c>
      <c r="I3173" s="9"/>
    </row>
    <row r="3174" spans="1:9" x14ac:dyDescent="0.25">
      <c r="A3174">
        <v>350520</v>
      </c>
      <c r="B3174">
        <v>14.39</v>
      </c>
      <c r="C3174">
        <v>30</v>
      </c>
      <c r="D3174" s="9">
        <v>43686</v>
      </c>
      <c r="E3174" t="s">
        <v>296</v>
      </c>
      <c r="I3174" s="9"/>
    </row>
    <row r="3175" spans="1:9" x14ac:dyDescent="0.25">
      <c r="A3175">
        <v>350521</v>
      </c>
      <c r="B3175">
        <v>11.93</v>
      </c>
      <c r="C3175">
        <v>40</v>
      </c>
      <c r="D3175" s="9">
        <v>44102</v>
      </c>
      <c r="E3175" t="s">
        <v>296</v>
      </c>
      <c r="I3175" s="9"/>
    </row>
    <row r="3176" spans="1:9" x14ac:dyDescent="0.25">
      <c r="A3176">
        <v>350522</v>
      </c>
      <c r="B3176">
        <v>12.36</v>
      </c>
      <c r="C3176">
        <v>40</v>
      </c>
      <c r="D3176" s="9">
        <v>44102</v>
      </c>
      <c r="E3176" t="s">
        <v>296</v>
      </c>
      <c r="I3176" s="9"/>
    </row>
    <row r="3177" spans="1:9" x14ac:dyDescent="0.25">
      <c r="A3177">
        <v>350523</v>
      </c>
      <c r="B3177">
        <v>2.12</v>
      </c>
      <c r="C3177">
        <v>30</v>
      </c>
      <c r="D3177" s="9">
        <v>44102</v>
      </c>
      <c r="E3177" t="s">
        <v>296</v>
      </c>
      <c r="I3177" s="9"/>
    </row>
    <row r="3178" spans="1:9" x14ac:dyDescent="0.25">
      <c r="A3178">
        <v>350523</v>
      </c>
      <c r="B3178">
        <v>2.12</v>
      </c>
      <c r="C3178">
        <v>30</v>
      </c>
      <c r="D3178" s="9">
        <v>43686</v>
      </c>
      <c r="E3178" t="s">
        <v>296</v>
      </c>
      <c r="I3178" s="9"/>
    </row>
    <row r="3179" spans="1:9" x14ac:dyDescent="0.25">
      <c r="A3179">
        <v>350534</v>
      </c>
      <c r="B3179">
        <v>25.72</v>
      </c>
      <c r="C3179">
        <v>32</v>
      </c>
      <c r="D3179" s="9">
        <v>43686</v>
      </c>
      <c r="E3179" t="s">
        <v>296</v>
      </c>
      <c r="I3179" s="9"/>
    </row>
    <row r="3180" spans="1:9" x14ac:dyDescent="0.25">
      <c r="A3180">
        <v>350535</v>
      </c>
      <c r="B3180">
        <v>3.5</v>
      </c>
      <c r="C3180">
        <v>200</v>
      </c>
      <c r="D3180" s="9">
        <v>44102</v>
      </c>
      <c r="E3180" t="s">
        <v>296</v>
      </c>
      <c r="I3180" s="9"/>
    </row>
    <row r="3181" spans="1:9" x14ac:dyDescent="0.25">
      <c r="A3181">
        <v>350535</v>
      </c>
      <c r="B3181">
        <v>3.5</v>
      </c>
      <c r="C3181">
        <v>120</v>
      </c>
      <c r="D3181" s="9">
        <v>43686</v>
      </c>
      <c r="E3181" t="s">
        <v>296</v>
      </c>
      <c r="I3181" s="9"/>
    </row>
    <row r="3182" spans="1:9" x14ac:dyDescent="0.25">
      <c r="A3182">
        <v>350539</v>
      </c>
      <c r="B3182">
        <v>22.68</v>
      </c>
      <c r="C3182">
        <v>32</v>
      </c>
      <c r="D3182" s="9">
        <v>43686</v>
      </c>
      <c r="E3182" t="s">
        <v>296</v>
      </c>
      <c r="I3182" s="9"/>
    </row>
    <row r="3183" spans="1:9" x14ac:dyDescent="0.25">
      <c r="A3183">
        <v>350540</v>
      </c>
      <c r="B3183">
        <v>25.45</v>
      </c>
      <c r="C3183">
        <v>32</v>
      </c>
      <c r="D3183" s="9">
        <v>44102</v>
      </c>
      <c r="E3183" t="s">
        <v>296</v>
      </c>
      <c r="I3183" s="9"/>
    </row>
    <row r="3184" spans="1:9" x14ac:dyDescent="0.25">
      <c r="A3184">
        <v>350540</v>
      </c>
      <c r="B3184">
        <v>25.45</v>
      </c>
      <c r="C3184">
        <v>32</v>
      </c>
      <c r="D3184" s="9">
        <v>43686</v>
      </c>
      <c r="E3184" t="s">
        <v>296</v>
      </c>
      <c r="I3184" s="9"/>
    </row>
    <row r="3185" spans="1:9" x14ac:dyDescent="0.25">
      <c r="A3185">
        <v>350541</v>
      </c>
      <c r="B3185">
        <v>6.72</v>
      </c>
      <c r="C3185">
        <v>40</v>
      </c>
      <c r="D3185" s="9">
        <v>44102</v>
      </c>
      <c r="E3185" t="s">
        <v>296</v>
      </c>
      <c r="I3185" s="9"/>
    </row>
    <row r="3186" spans="1:9" x14ac:dyDescent="0.25">
      <c r="A3186">
        <v>350550</v>
      </c>
      <c r="B3186">
        <v>46.97</v>
      </c>
      <c r="C3186">
        <v>32</v>
      </c>
      <c r="D3186" s="9">
        <v>43686</v>
      </c>
      <c r="E3186" t="s">
        <v>296</v>
      </c>
      <c r="I3186" s="9"/>
    </row>
    <row r="3187" spans="1:9" x14ac:dyDescent="0.25">
      <c r="A3187">
        <v>350560</v>
      </c>
      <c r="B3187">
        <v>43.93</v>
      </c>
      <c r="C3187">
        <v>30</v>
      </c>
      <c r="D3187" s="9">
        <v>43686</v>
      </c>
      <c r="E3187" t="s">
        <v>296</v>
      </c>
      <c r="I3187" s="9"/>
    </row>
    <row r="3188" spans="1:9" x14ac:dyDescent="0.25">
      <c r="A3188">
        <v>350570</v>
      </c>
      <c r="B3188">
        <v>8.15</v>
      </c>
      <c r="C3188">
        <v>60</v>
      </c>
      <c r="D3188" s="9">
        <v>43686</v>
      </c>
      <c r="E3188" t="s">
        <v>296</v>
      </c>
      <c r="I3188" s="9"/>
    </row>
    <row r="3189" spans="1:9" x14ac:dyDescent="0.25">
      <c r="A3189">
        <v>350575</v>
      </c>
      <c r="B3189">
        <v>1</v>
      </c>
      <c r="C3189">
        <v>300</v>
      </c>
      <c r="D3189" s="9">
        <v>44102</v>
      </c>
      <c r="E3189" t="s">
        <v>296</v>
      </c>
      <c r="I3189" s="9"/>
    </row>
    <row r="3190" spans="1:9" x14ac:dyDescent="0.25">
      <c r="A3190">
        <v>350580</v>
      </c>
      <c r="B3190">
        <v>1.73</v>
      </c>
      <c r="C3190">
        <v>300</v>
      </c>
      <c r="D3190" s="9">
        <v>44102</v>
      </c>
      <c r="E3190" t="s">
        <v>296</v>
      </c>
      <c r="I3190" s="9"/>
    </row>
    <row r="3191" spans="1:9" x14ac:dyDescent="0.25">
      <c r="A3191">
        <v>350605</v>
      </c>
      <c r="B3191">
        <v>3.65</v>
      </c>
      <c r="C3191">
        <v>216</v>
      </c>
      <c r="D3191" s="9">
        <v>43686</v>
      </c>
      <c r="E3191" t="s">
        <v>296</v>
      </c>
      <c r="I3191" s="9"/>
    </row>
    <row r="3192" spans="1:9" x14ac:dyDescent="0.25">
      <c r="A3192">
        <v>350624</v>
      </c>
      <c r="B3192">
        <v>15.2</v>
      </c>
      <c r="C3192">
        <v>30</v>
      </c>
      <c r="D3192" s="9">
        <v>43686</v>
      </c>
      <c r="E3192" t="s">
        <v>296</v>
      </c>
      <c r="I3192" s="9"/>
    </row>
    <row r="3193" spans="1:9" x14ac:dyDescent="0.25">
      <c r="A3193">
        <v>350627</v>
      </c>
      <c r="B3193">
        <v>62.5</v>
      </c>
      <c r="C3193">
        <v>30</v>
      </c>
      <c r="D3193" s="9">
        <v>43686</v>
      </c>
      <c r="E3193" t="s">
        <v>296</v>
      </c>
      <c r="I3193" s="9"/>
    </row>
    <row r="3194" spans="1:9" x14ac:dyDescent="0.25">
      <c r="A3194">
        <v>350655</v>
      </c>
      <c r="B3194">
        <v>7.2</v>
      </c>
      <c r="C3194">
        <v>30</v>
      </c>
      <c r="D3194" s="9">
        <v>43686</v>
      </c>
      <c r="E3194" t="s">
        <v>296</v>
      </c>
      <c r="I3194" s="9"/>
    </row>
    <row r="3195" spans="1:9" x14ac:dyDescent="0.25">
      <c r="A3195">
        <v>350661</v>
      </c>
      <c r="B3195">
        <v>4.1500000000000004</v>
      </c>
      <c r="C3195">
        <v>30</v>
      </c>
      <c r="D3195" s="9">
        <v>43686</v>
      </c>
      <c r="E3195" t="s">
        <v>296</v>
      </c>
      <c r="I3195" s="9"/>
    </row>
    <row r="3196" spans="1:9" x14ac:dyDescent="0.25">
      <c r="A3196">
        <v>350672</v>
      </c>
      <c r="B3196">
        <v>48.3</v>
      </c>
      <c r="C3196">
        <v>80</v>
      </c>
      <c r="D3196" s="9">
        <v>43686</v>
      </c>
      <c r="E3196" t="s">
        <v>296</v>
      </c>
      <c r="I3196" s="9"/>
    </row>
    <row r="3197" spans="1:9" x14ac:dyDescent="0.25">
      <c r="A3197">
        <v>350766</v>
      </c>
      <c r="B3197">
        <v>1.68</v>
      </c>
      <c r="C3197">
        <v>200</v>
      </c>
      <c r="D3197" s="9">
        <v>44102</v>
      </c>
      <c r="E3197" t="s">
        <v>296</v>
      </c>
      <c r="I3197" s="9"/>
    </row>
    <row r="3198" spans="1:9" x14ac:dyDescent="0.25">
      <c r="A3198">
        <v>350766</v>
      </c>
      <c r="B3198">
        <v>1.53</v>
      </c>
      <c r="C3198">
        <v>240</v>
      </c>
      <c r="D3198" s="9">
        <v>43686</v>
      </c>
      <c r="E3198" t="s">
        <v>296</v>
      </c>
      <c r="I3198" s="9"/>
    </row>
    <row r="3199" spans="1:9" x14ac:dyDescent="0.25">
      <c r="A3199">
        <v>350800</v>
      </c>
      <c r="B3199">
        <v>7.09</v>
      </c>
      <c r="C3199">
        <v>100</v>
      </c>
      <c r="D3199" s="9">
        <v>44102</v>
      </c>
      <c r="E3199" t="s">
        <v>296</v>
      </c>
      <c r="I3199" s="9"/>
    </row>
    <row r="3200" spans="1:9" x14ac:dyDescent="0.25">
      <c r="A3200">
        <v>350804</v>
      </c>
      <c r="B3200">
        <v>10.92</v>
      </c>
      <c r="C3200">
        <v>30</v>
      </c>
      <c r="D3200" s="9">
        <v>44102</v>
      </c>
      <c r="E3200" t="s">
        <v>296</v>
      </c>
      <c r="I3200" s="9"/>
    </row>
    <row r="3201" spans="1:9" x14ac:dyDescent="0.25">
      <c r="A3201">
        <v>350804</v>
      </c>
      <c r="B3201">
        <v>10.92</v>
      </c>
      <c r="C3201">
        <v>30</v>
      </c>
      <c r="D3201" s="9">
        <v>43686</v>
      </c>
      <c r="E3201" t="s">
        <v>296</v>
      </c>
      <c r="I3201" s="9"/>
    </row>
    <row r="3202" spans="1:9" x14ac:dyDescent="0.25">
      <c r="A3202">
        <v>350805</v>
      </c>
      <c r="B3202">
        <v>1.59</v>
      </c>
      <c r="C3202">
        <v>300</v>
      </c>
      <c r="D3202" s="9">
        <v>44102</v>
      </c>
      <c r="E3202" t="s">
        <v>296</v>
      </c>
      <c r="I3202" s="9"/>
    </row>
    <row r="3203" spans="1:9" x14ac:dyDescent="0.25">
      <c r="A3203">
        <v>350806</v>
      </c>
      <c r="B3203">
        <v>3.53</v>
      </c>
      <c r="C3203">
        <v>100</v>
      </c>
      <c r="D3203" s="9">
        <v>43686</v>
      </c>
      <c r="E3203" t="s">
        <v>296</v>
      </c>
      <c r="I3203" s="9"/>
    </row>
    <row r="3204" spans="1:9" x14ac:dyDescent="0.25">
      <c r="A3204">
        <v>350808</v>
      </c>
      <c r="B3204">
        <v>11.93</v>
      </c>
      <c r="C3204">
        <v>40</v>
      </c>
      <c r="D3204" s="9">
        <v>44102</v>
      </c>
      <c r="E3204" t="s">
        <v>296</v>
      </c>
      <c r="I3204" s="9"/>
    </row>
    <row r="3205" spans="1:9" x14ac:dyDescent="0.25">
      <c r="A3205">
        <v>350808</v>
      </c>
      <c r="B3205">
        <v>11.93</v>
      </c>
      <c r="C3205">
        <v>30</v>
      </c>
      <c r="D3205" s="9">
        <v>43686</v>
      </c>
      <c r="E3205" t="s">
        <v>296</v>
      </c>
      <c r="I3205" s="9"/>
    </row>
    <row r="3206" spans="1:9" x14ac:dyDescent="0.25">
      <c r="A3206">
        <v>350823</v>
      </c>
      <c r="B3206">
        <v>4.99</v>
      </c>
      <c r="C3206">
        <v>200</v>
      </c>
      <c r="D3206" s="9">
        <v>44098</v>
      </c>
      <c r="E3206" t="s">
        <v>296</v>
      </c>
      <c r="I3206" s="9"/>
    </row>
    <row r="3207" spans="1:9" x14ac:dyDescent="0.25">
      <c r="A3207">
        <v>350823</v>
      </c>
      <c r="B3207">
        <v>4.99</v>
      </c>
      <c r="C3207">
        <v>200</v>
      </c>
      <c r="D3207" s="9">
        <v>43972</v>
      </c>
      <c r="E3207" t="s">
        <v>296</v>
      </c>
      <c r="I3207" s="9"/>
    </row>
    <row r="3208" spans="1:9" x14ac:dyDescent="0.25">
      <c r="A3208">
        <v>350823</v>
      </c>
      <c r="B3208">
        <v>5.25</v>
      </c>
      <c r="C3208">
        <v>60</v>
      </c>
      <c r="D3208" s="9">
        <v>43686</v>
      </c>
      <c r="E3208" t="s">
        <v>296</v>
      </c>
      <c r="I3208" s="9"/>
    </row>
    <row r="3209" spans="1:9" x14ac:dyDescent="0.25">
      <c r="A3209">
        <v>350830</v>
      </c>
      <c r="B3209">
        <v>7.69</v>
      </c>
      <c r="C3209">
        <v>30</v>
      </c>
      <c r="D3209" s="9">
        <v>44102</v>
      </c>
      <c r="E3209" t="s">
        <v>296</v>
      </c>
      <c r="I3209" s="9"/>
    </row>
    <row r="3210" spans="1:9" x14ac:dyDescent="0.25">
      <c r="A3210">
        <v>350830</v>
      </c>
      <c r="B3210">
        <v>7.69</v>
      </c>
      <c r="C3210">
        <v>30</v>
      </c>
      <c r="D3210" s="9">
        <v>43686</v>
      </c>
      <c r="E3210" t="s">
        <v>296</v>
      </c>
      <c r="I3210" s="9"/>
    </row>
    <row r="3211" spans="1:9" x14ac:dyDescent="0.25">
      <c r="A3211">
        <v>350840</v>
      </c>
      <c r="B3211">
        <v>13.85</v>
      </c>
      <c r="C3211">
        <v>60</v>
      </c>
      <c r="D3211" s="9">
        <v>44102</v>
      </c>
      <c r="E3211" t="s">
        <v>296</v>
      </c>
      <c r="I3211" s="9"/>
    </row>
    <row r="3212" spans="1:9" x14ac:dyDescent="0.25">
      <c r="A3212">
        <v>350840</v>
      </c>
      <c r="B3212">
        <v>13.85</v>
      </c>
      <c r="C3212">
        <v>30</v>
      </c>
      <c r="D3212" s="9">
        <v>43686</v>
      </c>
      <c r="E3212" t="s">
        <v>296</v>
      </c>
      <c r="I3212" s="9"/>
    </row>
    <row r="3213" spans="1:9" x14ac:dyDescent="0.25">
      <c r="A3213">
        <v>350841</v>
      </c>
      <c r="B3213">
        <v>14.59</v>
      </c>
      <c r="C3213">
        <v>40</v>
      </c>
      <c r="D3213" s="9">
        <v>44102</v>
      </c>
      <c r="E3213" t="s">
        <v>296</v>
      </c>
      <c r="I3213" s="9"/>
    </row>
    <row r="3214" spans="1:9" x14ac:dyDescent="0.25">
      <c r="A3214">
        <v>350842</v>
      </c>
      <c r="B3214">
        <v>15.46</v>
      </c>
      <c r="C3214">
        <v>40</v>
      </c>
      <c r="D3214" s="9">
        <v>44102</v>
      </c>
      <c r="E3214" t="s">
        <v>296</v>
      </c>
      <c r="I3214" s="9"/>
    </row>
    <row r="3215" spans="1:9" x14ac:dyDescent="0.25">
      <c r="A3215">
        <v>350846</v>
      </c>
      <c r="B3215">
        <v>7.39</v>
      </c>
      <c r="C3215">
        <v>60</v>
      </c>
      <c r="D3215" s="9">
        <v>44102</v>
      </c>
      <c r="E3215" t="s">
        <v>296</v>
      </c>
      <c r="I3215" s="9"/>
    </row>
    <row r="3216" spans="1:9" x14ac:dyDescent="0.25">
      <c r="A3216">
        <v>350846</v>
      </c>
      <c r="B3216">
        <v>7.39</v>
      </c>
      <c r="C3216">
        <v>30</v>
      </c>
      <c r="D3216" s="9">
        <v>43686</v>
      </c>
      <c r="E3216" t="s">
        <v>296</v>
      </c>
      <c r="I3216" s="9"/>
    </row>
    <row r="3217" spans="1:9" x14ac:dyDescent="0.25">
      <c r="A3217">
        <v>350850</v>
      </c>
      <c r="B3217">
        <v>1.24</v>
      </c>
      <c r="C3217">
        <v>300</v>
      </c>
      <c r="D3217" s="9">
        <v>44102</v>
      </c>
      <c r="E3217" t="s">
        <v>296</v>
      </c>
      <c r="I3217" s="9"/>
    </row>
    <row r="3218" spans="1:9" x14ac:dyDescent="0.25">
      <c r="A3218">
        <v>350855</v>
      </c>
      <c r="B3218">
        <v>6.2</v>
      </c>
      <c r="C3218">
        <v>100</v>
      </c>
      <c r="D3218" s="9">
        <v>44102</v>
      </c>
      <c r="E3218" t="s">
        <v>296</v>
      </c>
      <c r="I3218" s="9"/>
    </row>
    <row r="3219" spans="1:9" x14ac:dyDescent="0.25">
      <c r="A3219">
        <v>350860</v>
      </c>
      <c r="B3219">
        <v>5.18</v>
      </c>
      <c r="C3219">
        <v>100</v>
      </c>
      <c r="D3219" s="9">
        <v>44102</v>
      </c>
      <c r="E3219" t="s">
        <v>296</v>
      </c>
      <c r="I3219" s="9"/>
    </row>
    <row r="3220" spans="1:9" x14ac:dyDescent="0.25">
      <c r="A3220">
        <v>350861</v>
      </c>
      <c r="B3220">
        <v>16.29</v>
      </c>
      <c r="C3220">
        <v>30</v>
      </c>
      <c r="D3220" s="9">
        <v>44102</v>
      </c>
      <c r="E3220" t="s">
        <v>296</v>
      </c>
      <c r="I3220" s="9"/>
    </row>
    <row r="3221" spans="1:9" x14ac:dyDescent="0.25">
      <c r="A3221">
        <v>350900</v>
      </c>
      <c r="B3221">
        <v>1.35</v>
      </c>
      <c r="C3221">
        <v>150</v>
      </c>
      <c r="D3221" s="9">
        <v>44102</v>
      </c>
      <c r="E3221" t="s">
        <v>296</v>
      </c>
      <c r="I3221" s="9"/>
    </row>
    <row r="3222" spans="1:9" x14ac:dyDescent="0.25">
      <c r="A3222">
        <v>350900</v>
      </c>
      <c r="B3222">
        <v>1.35</v>
      </c>
      <c r="C3222">
        <v>150</v>
      </c>
      <c r="D3222" s="9">
        <v>43686</v>
      </c>
      <c r="E3222" t="s">
        <v>296</v>
      </c>
      <c r="I3222" s="9"/>
    </row>
    <row r="3223" spans="1:9" x14ac:dyDescent="0.25">
      <c r="A3223">
        <v>350910</v>
      </c>
      <c r="B3223">
        <v>1.56</v>
      </c>
      <c r="C3223">
        <v>144</v>
      </c>
      <c r="D3223" s="9">
        <v>43686</v>
      </c>
      <c r="E3223" t="s">
        <v>296</v>
      </c>
      <c r="I3223" s="9"/>
    </row>
    <row r="3224" spans="1:9" x14ac:dyDescent="0.25">
      <c r="A3224">
        <v>350911</v>
      </c>
      <c r="B3224">
        <v>17.559999999999999</v>
      </c>
      <c r="C3224">
        <v>40</v>
      </c>
      <c r="D3224" s="9">
        <v>44102</v>
      </c>
      <c r="E3224" t="s">
        <v>296</v>
      </c>
      <c r="I3224" s="9"/>
    </row>
    <row r="3225" spans="1:9" x14ac:dyDescent="0.25">
      <c r="A3225">
        <v>350959</v>
      </c>
      <c r="B3225">
        <v>2.38</v>
      </c>
      <c r="C3225">
        <v>100</v>
      </c>
      <c r="D3225" s="9">
        <v>44102</v>
      </c>
      <c r="E3225" t="s">
        <v>296</v>
      </c>
      <c r="I3225" s="9"/>
    </row>
    <row r="3226" spans="1:9" x14ac:dyDescent="0.25">
      <c r="A3226">
        <v>350959</v>
      </c>
      <c r="B3226">
        <v>2.38</v>
      </c>
      <c r="C3226">
        <v>100</v>
      </c>
      <c r="D3226" s="9">
        <v>43686</v>
      </c>
      <c r="E3226" t="s">
        <v>296</v>
      </c>
      <c r="I3226" s="9"/>
    </row>
    <row r="3227" spans="1:9" x14ac:dyDescent="0.25">
      <c r="A3227">
        <v>400111</v>
      </c>
      <c r="B3227">
        <v>1.46</v>
      </c>
      <c r="C3227">
        <v>400</v>
      </c>
      <c r="D3227" s="9">
        <v>44102</v>
      </c>
      <c r="E3227" t="s">
        <v>296</v>
      </c>
      <c r="I3227" s="9"/>
    </row>
    <row r="3228" spans="1:9" x14ac:dyDescent="0.25">
      <c r="A3228">
        <v>400120</v>
      </c>
      <c r="B3228">
        <v>0.46</v>
      </c>
      <c r="C3228">
        <v>800</v>
      </c>
      <c r="D3228" s="9">
        <v>44060</v>
      </c>
      <c r="E3228" t="s">
        <v>296</v>
      </c>
      <c r="I3228" s="9"/>
    </row>
    <row r="3229" spans="1:9" x14ac:dyDescent="0.25">
      <c r="A3229">
        <v>400120</v>
      </c>
      <c r="B3229">
        <v>0.46</v>
      </c>
      <c r="C3229">
        <v>1600</v>
      </c>
      <c r="D3229" s="9">
        <v>43250</v>
      </c>
      <c r="E3229" t="s">
        <v>296</v>
      </c>
      <c r="I3229" s="9"/>
    </row>
    <row r="3230" spans="1:9" x14ac:dyDescent="0.25">
      <c r="A3230">
        <v>400120</v>
      </c>
      <c r="B3230">
        <v>0.44</v>
      </c>
      <c r="C3230">
        <v>1600</v>
      </c>
      <c r="D3230" s="9">
        <v>42905</v>
      </c>
      <c r="E3230" t="s">
        <v>296</v>
      </c>
      <c r="I3230" s="9"/>
    </row>
    <row r="3231" spans="1:9" x14ac:dyDescent="0.25">
      <c r="A3231">
        <v>400120</v>
      </c>
      <c r="B3231">
        <v>0.41699999999999998</v>
      </c>
      <c r="C3231">
        <v>1600</v>
      </c>
      <c r="D3231" s="9">
        <v>42482</v>
      </c>
      <c r="E3231" t="s">
        <v>296</v>
      </c>
      <c r="I3231" s="9"/>
    </row>
    <row r="3232" spans="1:9" x14ac:dyDescent="0.25">
      <c r="A3232">
        <v>400120</v>
      </c>
      <c r="B3232">
        <v>0.41699999999999998</v>
      </c>
      <c r="C3232">
        <v>1600</v>
      </c>
      <c r="D3232" s="9">
        <v>41718</v>
      </c>
      <c r="E3232" t="s">
        <v>296</v>
      </c>
      <c r="I3232" s="9"/>
    </row>
    <row r="3233" spans="1:9" x14ac:dyDescent="0.25">
      <c r="A3233">
        <v>400120</v>
      </c>
      <c r="B3233">
        <v>0.41699999999999998</v>
      </c>
      <c r="C3233">
        <v>1600</v>
      </c>
      <c r="D3233" s="9">
        <v>41484</v>
      </c>
      <c r="E3233" t="s">
        <v>296</v>
      </c>
      <c r="I3233" s="9"/>
    </row>
    <row r="3234" spans="1:9" x14ac:dyDescent="0.25">
      <c r="A3234">
        <v>400130</v>
      </c>
      <c r="B3234">
        <v>0.755</v>
      </c>
      <c r="C3234">
        <v>600</v>
      </c>
      <c r="D3234" s="9">
        <v>44060</v>
      </c>
      <c r="E3234" t="s">
        <v>296</v>
      </c>
      <c r="I3234" s="9"/>
    </row>
    <row r="3235" spans="1:9" x14ac:dyDescent="0.25">
      <c r="A3235">
        <v>400130</v>
      </c>
      <c r="B3235">
        <v>0.755</v>
      </c>
      <c r="C3235">
        <v>800</v>
      </c>
      <c r="D3235" s="9">
        <v>43627</v>
      </c>
      <c r="E3235" t="s">
        <v>296</v>
      </c>
      <c r="I3235" s="9"/>
    </row>
    <row r="3236" spans="1:9" x14ac:dyDescent="0.25">
      <c r="A3236">
        <v>400130</v>
      </c>
      <c r="B3236">
        <v>0.755</v>
      </c>
      <c r="C3236">
        <v>800</v>
      </c>
      <c r="D3236" s="9">
        <v>43105</v>
      </c>
      <c r="E3236" t="s">
        <v>296</v>
      </c>
      <c r="I3236" s="9"/>
    </row>
    <row r="3237" spans="1:9" x14ac:dyDescent="0.25">
      <c r="A3237">
        <v>400130</v>
      </c>
      <c r="B3237">
        <v>0.755</v>
      </c>
      <c r="C3237">
        <v>800</v>
      </c>
      <c r="D3237" s="9">
        <v>42573</v>
      </c>
      <c r="E3237" t="s">
        <v>296</v>
      </c>
      <c r="I3237" s="9"/>
    </row>
    <row r="3238" spans="1:9" x14ac:dyDescent="0.25">
      <c r="A3238">
        <v>400130</v>
      </c>
      <c r="B3238">
        <v>0.80300000000000005</v>
      </c>
      <c r="C3238">
        <v>800</v>
      </c>
      <c r="D3238" s="9">
        <v>42299</v>
      </c>
      <c r="E3238" t="s">
        <v>296</v>
      </c>
      <c r="I3238" s="9"/>
    </row>
    <row r="3239" spans="1:9" x14ac:dyDescent="0.25">
      <c r="A3239">
        <v>400130</v>
      </c>
      <c r="B3239">
        <v>0.80300000000000005</v>
      </c>
      <c r="C3239">
        <v>1200</v>
      </c>
      <c r="D3239" s="9">
        <v>41647</v>
      </c>
      <c r="E3239" t="s">
        <v>296</v>
      </c>
      <c r="I3239" s="9"/>
    </row>
    <row r="3240" spans="1:9" x14ac:dyDescent="0.25">
      <c r="A3240">
        <v>401130</v>
      </c>
      <c r="B3240">
        <v>0.55000000000000004</v>
      </c>
      <c r="C3240">
        <v>1200</v>
      </c>
      <c r="D3240" s="9">
        <v>42031</v>
      </c>
      <c r="E3240" t="s">
        <v>296</v>
      </c>
      <c r="I3240" s="9"/>
    </row>
    <row r="3241" spans="1:9" x14ac:dyDescent="0.25">
      <c r="A3241">
        <v>401130</v>
      </c>
      <c r="B3241">
        <v>0.54</v>
      </c>
      <c r="C3241">
        <v>1600</v>
      </c>
      <c r="D3241" s="9">
        <v>41484</v>
      </c>
      <c r="E3241" t="s">
        <v>296</v>
      </c>
      <c r="I3241" s="9"/>
    </row>
    <row r="3242" spans="1:9" x14ac:dyDescent="0.25">
      <c r="A3242">
        <v>401140</v>
      </c>
      <c r="B3242">
        <v>1.28</v>
      </c>
      <c r="C3242">
        <v>600</v>
      </c>
      <c r="D3242" s="9">
        <v>44060</v>
      </c>
      <c r="E3242" t="s">
        <v>296</v>
      </c>
      <c r="I3242" s="9"/>
    </row>
    <row r="3243" spans="1:9" x14ac:dyDescent="0.25">
      <c r="A3243">
        <v>401140</v>
      </c>
      <c r="B3243">
        <v>1.28</v>
      </c>
      <c r="C3243">
        <v>600</v>
      </c>
      <c r="D3243" s="9">
        <v>43627</v>
      </c>
      <c r="E3243" t="s">
        <v>296</v>
      </c>
      <c r="I3243" s="9"/>
    </row>
    <row r="3244" spans="1:9" x14ac:dyDescent="0.25">
      <c r="A3244">
        <v>401140</v>
      </c>
      <c r="B3244">
        <v>1.28</v>
      </c>
      <c r="C3244">
        <v>600</v>
      </c>
      <c r="D3244" s="9">
        <v>43250</v>
      </c>
      <c r="E3244" t="s">
        <v>296</v>
      </c>
      <c r="I3244" s="9"/>
    </row>
    <row r="3245" spans="1:9" x14ac:dyDescent="0.25">
      <c r="A3245">
        <v>401140</v>
      </c>
      <c r="B3245">
        <v>1.25</v>
      </c>
      <c r="C3245">
        <v>600</v>
      </c>
      <c r="D3245" s="9">
        <v>43105</v>
      </c>
      <c r="E3245" t="s">
        <v>296</v>
      </c>
      <c r="I3245" s="9"/>
    </row>
    <row r="3246" spans="1:9" x14ac:dyDescent="0.25">
      <c r="A3246">
        <v>401140</v>
      </c>
      <c r="B3246">
        <v>1.25</v>
      </c>
      <c r="C3246">
        <v>600</v>
      </c>
      <c r="D3246" s="9">
        <v>42905</v>
      </c>
      <c r="E3246" t="s">
        <v>296</v>
      </c>
      <c r="I3246" s="9"/>
    </row>
    <row r="3247" spans="1:9" x14ac:dyDescent="0.25">
      <c r="A3247">
        <v>401140</v>
      </c>
      <c r="B3247">
        <v>1.18</v>
      </c>
      <c r="C3247">
        <v>800</v>
      </c>
      <c r="D3247" s="9">
        <v>42585</v>
      </c>
      <c r="E3247" t="s">
        <v>296</v>
      </c>
      <c r="I3247" s="9"/>
    </row>
    <row r="3248" spans="1:9" x14ac:dyDescent="0.25">
      <c r="A3248">
        <v>401140</v>
      </c>
      <c r="B3248">
        <v>1.204</v>
      </c>
      <c r="C3248">
        <v>1200</v>
      </c>
      <c r="D3248" s="9">
        <v>41647</v>
      </c>
      <c r="E3248" t="s">
        <v>296</v>
      </c>
      <c r="I3248" s="9"/>
    </row>
    <row r="3249" spans="1:9" x14ac:dyDescent="0.25">
      <c r="A3249">
        <v>401140</v>
      </c>
      <c r="B3249">
        <v>1.1499999999999999</v>
      </c>
      <c r="C3249">
        <v>1200</v>
      </c>
      <c r="D3249" s="9">
        <v>41592</v>
      </c>
      <c r="E3249" t="s">
        <v>296</v>
      </c>
      <c r="I3249" s="9"/>
    </row>
    <row r="3250" spans="1:9" x14ac:dyDescent="0.25">
      <c r="A3250">
        <v>401145</v>
      </c>
      <c r="B3250">
        <v>0.89</v>
      </c>
      <c r="C3250">
        <v>960</v>
      </c>
      <c r="D3250" s="9">
        <v>44028</v>
      </c>
      <c r="E3250" t="s">
        <v>296</v>
      </c>
      <c r="I3250" s="9"/>
    </row>
    <row r="3251" spans="1:9" x14ac:dyDescent="0.25">
      <c r="A3251">
        <v>401145</v>
      </c>
      <c r="B3251">
        <v>0.89</v>
      </c>
      <c r="C3251">
        <v>1040</v>
      </c>
      <c r="D3251" s="9">
        <v>43839</v>
      </c>
      <c r="E3251" t="s">
        <v>296</v>
      </c>
      <c r="I3251" s="9"/>
    </row>
    <row r="3252" spans="1:9" x14ac:dyDescent="0.25">
      <c r="A3252">
        <v>401145</v>
      </c>
      <c r="B3252">
        <v>0.88</v>
      </c>
      <c r="C3252">
        <v>800</v>
      </c>
      <c r="D3252" s="9">
        <v>43483</v>
      </c>
      <c r="E3252" t="s">
        <v>296</v>
      </c>
      <c r="I3252" s="9"/>
    </row>
    <row r="3253" spans="1:9" x14ac:dyDescent="0.25">
      <c r="A3253">
        <v>401145</v>
      </c>
      <c r="B3253">
        <v>0.82</v>
      </c>
      <c r="C3253">
        <v>1000</v>
      </c>
      <c r="D3253" s="9">
        <v>43052</v>
      </c>
      <c r="E3253" t="s">
        <v>296</v>
      </c>
      <c r="I3253" s="9"/>
    </row>
    <row r="3254" spans="1:9" x14ac:dyDescent="0.25">
      <c r="A3254">
        <v>401145</v>
      </c>
      <c r="B3254">
        <v>0.77</v>
      </c>
      <c r="C3254">
        <v>1000</v>
      </c>
      <c r="D3254" s="9">
        <v>42912</v>
      </c>
      <c r="E3254" t="s">
        <v>296</v>
      </c>
      <c r="I3254" s="9"/>
    </row>
    <row r="3255" spans="1:9" x14ac:dyDescent="0.25">
      <c r="A3255">
        <v>401145</v>
      </c>
      <c r="B3255">
        <v>0.77</v>
      </c>
      <c r="C3255">
        <v>1200</v>
      </c>
      <c r="D3255" s="9">
        <v>42586</v>
      </c>
      <c r="E3255" t="s">
        <v>296</v>
      </c>
      <c r="I3255" s="9"/>
    </row>
    <row r="3256" spans="1:9" x14ac:dyDescent="0.25">
      <c r="A3256">
        <v>401145</v>
      </c>
      <c r="B3256">
        <v>0.88</v>
      </c>
      <c r="C3256">
        <v>600</v>
      </c>
      <c r="D3256" s="9">
        <v>42325</v>
      </c>
      <c r="E3256" t="s">
        <v>296</v>
      </c>
      <c r="I3256" s="9"/>
    </row>
    <row r="3257" spans="1:9" x14ac:dyDescent="0.25">
      <c r="A3257">
        <v>401145</v>
      </c>
      <c r="B3257">
        <v>0.88</v>
      </c>
      <c r="C3257">
        <v>1200</v>
      </c>
      <c r="D3257" s="9">
        <v>41934</v>
      </c>
      <c r="E3257" t="s">
        <v>296</v>
      </c>
      <c r="I3257" s="9"/>
    </row>
    <row r="3258" spans="1:9" x14ac:dyDescent="0.25">
      <c r="A3258">
        <v>401190</v>
      </c>
      <c r="B3258">
        <v>1.31</v>
      </c>
      <c r="C3258">
        <v>640</v>
      </c>
      <c r="D3258" s="9">
        <v>43955</v>
      </c>
      <c r="E3258" t="s">
        <v>296</v>
      </c>
      <c r="I3258" s="9"/>
    </row>
    <row r="3259" spans="1:9" x14ac:dyDescent="0.25">
      <c r="A3259">
        <v>401190</v>
      </c>
      <c r="B3259">
        <v>1.31</v>
      </c>
      <c r="C3259">
        <v>640</v>
      </c>
      <c r="D3259" s="9">
        <v>43250</v>
      </c>
      <c r="E3259" t="s">
        <v>296</v>
      </c>
      <c r="I3259" s="9"/>
    </row>
    <row r="3260" spans="1:9" x14ac:dyDescent="0.25">
      <c r="A3260">
        <v>401190</v>
      </c>
      <c r="B3260">
        <v>1.105</v>
      </c>
      <c r="C3260">
        <v>640</v>
      </c>
      <c r="D3260" s="9">
        <v>42573</v>
      </c>
      <c r="E3260" t="s">
        <v>296</v>
      </c>
      <c r="I3260" s="9"/>
    </row>
    <row r="3261" spans="1:9" x14ac:dyDescent="0.25">
      <c r="A3261">
        <v>401190</v>
      </c>
      <c r="B3261">
        <v>1.1850000000000001</v>
      </c>
      <c r="C3261">
        <v>640</v>
      </c>
      <c r="D3261" s="9">
        <v>42482</v>
      </c>
      <c r="E3261" t="s">
        <v>296</v>
      </c>
      <c r="I3261" s="9"/>
    </row>
    <row r="3262" spans="1:9" x14ac:dyDescent="0.25">
      <c r="A3262">
        <v>401190</v>
      </c>
      <c r="B3262">
        <v>1.1850000000000001</v>
      </c>
      <c r="C3262">
        <v>640</v>
      </c>
      <c r="D3262" s="9">
        <v>42031</v>
      </c>
      <c r="E3262" t="s">
        <v>296</v>
      </c>
      <c r="I3262" s="9"/>
    </row>
    <row r="3263" spans="1:9" x14ac:dyDescent="0.25">
      <c r="A3263">
        <v>401190</v>
      </c>
      <c r="B3263">
        <v>1.1850000000000001</v>
      </c>
      <c r="C3263">
        <v>640</v>
      </c>
      <c r="D3263" s="9">
        <v>41947</v>
      </c>
      <c r="E3263" t="s">
        <v>296</v>
      </c>
      <c r="I3263" s="9"/>
    </row>
    <row r="3264" spans="1:9" x14ac:dyDescent="0.25">
      <c r="A3264">
        <v>401190</v>
      </c>
      <c r="B3264">
        <v>1.1850000000000001</v>
      </c>
      <c r="C3264">
        <v>480</v>
      </c>
      <c r="D3264" s="9">
        <v>41484</v>
      </c>
      <c r="E3264" t="s">
        <v>296</v>
      </c>
      <c r="I3264" s="9"/>
    </row>
    <row r="3265" spans="1:9" x14ac:dyDescent="0.25">
      <c r="A3265">
        <v>401200</v>
      </c>
      <c r="B3265">
        <v>2.1429999999999998</v>
      </c>
      <c r="C3265">
        <v>400</v>
      </c>
      <c r="D3265" s="9">
        <v>44140</v>
      </c>
      <c r="E3265" t="s">
        <v>296</v>
      </c>
      <c r="I3265" s="9"/>
    </row>
    <row r="3266" spans="1:9" x14ac:dyDescent="0.25">
      <c r="A3266">
        <v>401200</v>
      </c>
      <c r="B3266">
        <v>2.5299999999999998</v>
      </c>
      <c r="C3266">
        <v>600</v>
      </c>
      <c r="D3266" s="9">
        <v>42905</v>
      </c>
      <c r="E3266" t="s">
        <v>296</v>
      </c>
      <c r="I3266" s="9"/>
    </row>
    <row r="3267" spans="1:9" x14ac:dyDescent="0.25">
      <c r="A3267">
        <v>401200</v>
      </c>
      <c r="B3267">
        <v>2.37</v>
      </c>
      <c r="C3267">
        <v>320</v>
      </c>
      <c r="D3267" s="9">
        <v>42299</v>
      </c>
      <c r="E3267" t="s">
        <v>296</v>
      </c>
      <c r="I3267" s="9"/>
    </row>
    <row r="3268" spans="1:9" x14ac:dyDescent="0.25">
      <c r="A3268">
        <v>401200</v>
      </c>
      <c r="B3268">
        <v>2.37</v>
      </c>
      <c r="C3268">
        <v>400</v>
      </c>
      <c r="D3268" s="9">
        <v>41647</v>
      </c>
      <c r="E3268" t="s">
        <v>296</v>
      </c>
      <c r="I3268" s="9"/>
    </row>
    <row r="3269" spans="1:9" x14ac:dyDescent="0.25">
      <c r="A3269">
        <v>401200</v>
      </c>
      <c r="B3269">
        <v>2.4</v>
      </c>
      <c r="C3269">
        <v>400</v>
      </c>
      <c r="D3269" s="9">
        <v>41484</v>
      </c>
      <c r="E3269" t="s">
        <v>296</v>
      </c>
      <c r="I3269" s="9"/>
    </row>
    <row r="3270" spans="1:9" x14ac:dyDescent="0.25">
      <c r="A3270">
        <v>402190</v>
      </c>
      <c r="B3270">
        <v>2.8250000000000002</v>
      </c>
      <c r="C3270">
        <v>920</v>
      </c>
      <c r="D3270" s="9">
        <v>44070</v>
      </c>
      <c r="E3270" t="s">
        <v>296</v>
      </c>
      <c r="I3270" s="9"/>
    </row>
    <row r="3271" spans="1:9" x14ac:dyDescent="0.25">
      <c r="A3271">
        <v>402190</v>
      </c>
      <c r="B3271">
        <v>3.35</v>
      </c>
      <c r="C3271">
        <v>400</v>
      </c>
      <c r="D3271" s="9">
        <v>43955</v>
      </c>
      <c r="E3271" t="s">
        <v>296</v>
      </c>
      <c r="I3271" s="9"/>
    </row>
    <row r="3272" spans="1:9" x14ac:dyDescent="0.25">
      <c r="A3272">
        <v>402190</v>
      </c>
      <c r="B3272">
        <v>3.35</v>
      </c>
      <c r="C3272">
        <v>320</v>
      </c>
      <c r="D3272" s="9">
        <v>43955</v>
      </c>
      <c r="E3272" t="s">
        <v>296</v>
      </c>
      <c r="I3272" s="9"/>
    </row>
    <row r="3273" spans="1:9" x14ac:dyDescent="0.25">
      <c r="A3273">
        <v>402190</v>
      </c>
      <c r="B3273">
        <v>3.35</v>
      </c>
      <c r="C3273">
        <v>560</v>
      </c>
      <c r="D3273" s="9">
        <v>43627</v>
      </c>
      <c r="E3273" t="s">
        <v>296</v>
      </c>
      <c r="I3273" s="9"/>
    </row>
    <row r="3274" spans="1:9" x14ac:dyDescent="0.25">
      <c r="A3274">
        <v>402190</v>
      </c>
      <c r="B3274">
        <v>3.35</v>
      </c>
      <c r="C3274">
        <v>560</v>
      </c>
      <c r="D3274" s="9">
        <v>43409</v>
      </c>
      <c r="E3274" t="s">
        <v>296</v>
      </c>
      <c r="I3274" s="9"/>
    </row>
    <row r="3275" spans="1:9" x14ac:dyDescent="0.25">
      <c r="A3275">
        <v>402190</v>
      </c>
      <c r="B3275">
        <v>3.42</v>
      </c>
      <c r="C3275">
        <v>560</v>
      </c>
      <c r="D3275" s="9">
        <v>43105</v>
      </c>
      <c r="E3275" t="s">
        <v>296</v>
      </c>
      <c r="I3275" s="9"/>
    </row>
    <row r="3276" spans="1:9" x14ac:dyDescent="0.25">
      <c r="A3276">
        <v>402190</v>
      </c>
      <c r="B3276">
        <v>2.98</v>
      </c>
      <c r="C3276">
        <v>640</v>
      </c>
      <c r="D3276" s="9">
        <v>42905</v>
      </c>
      <c r="E3276" t="s">
        <v>296</v>
      </c>
      <c r="I3276" s="9"/>
    </row>
    <row r="3277" spans="1:9" x14ac:dyDescent="0.25">
      <c r="A3277">
        <v>402190</v>
      </c>
      <c r="B3277">
        <v>2.79</v>
      </c>
      <c r="C3277">
        <v>640</v>
      </c>
      <c r="D3277" s="9">
        <v>42781</v>
      </c>
      <c r="E3277" t="s">
        <v>296</v>
      </c>
      <c r="I3277" s="9"/>
    </row>
    <row r="3278" spans="1:9" x14ac:dyDescent="0.25">
      <c r="A3278">
        <v>402190</v>
      </c>
      <c r="B3278">
        <v>2.88</v>
      </c>
      <c r="C3278">
        <v>320</v>
      </c>
      <c r="D3278" s="9">
        <v>42573</v>
      </c>
      <c r="E3278" t="s">
        <v>296</v>
      </c>
      <c r="I3278" s="9"/>
    </row>
    <row r="3279" spans="1:9" x14ac:dyDescent="0.25">
      <c r="A3279">
        <v>402190</v>
      </c>
      <c r="B3279">
        <v>3.05</v>
      </c>
      <c r="C3279">
        <v>320</v>
      </c>
      <c r="D3279" s="9">
        <v>42380</v>
      </c>
      <c r="E3279" t="s">
        <v>296</v>
      </c>
      <c r="I3279" s="9"/>
    </row>
    <row r="3280" spans="1:9" x14ac:dyDescent="0.25">
      <c r="A3280">
        <v>402190</v>
      </c>
      <c r="B3280">
        <v>3.05</v>
      </c>
      <c r="C3280">
        <v>240</v>
      </c>
      <c r="D3280" s="9">
        <v>42270</v>
      </c>
      <c r="E3280" t="s">
        <v>296</v>
      </c>
      <c r="I3280" s="9"/>
    </row>
    <row r="3281" spans="1:9" x14ac:dyDescent="0.25">
      <c r="A3281">
        <v>402190</v>
      </c>
      <c r="B3281">
        <v>3.05</v>
      </c>
      <c r="C3281">
        <v>240</v>
      </c>
      <c r="D3281" s="9">
        <v>42191</v>
      </c>
      <c r="E3281" t="s">
        <v>296</v>
      </c>
      <c r="I3281" s="9"/>
    </row>
    <row r="3282" spans="1:9" x14ac:dyDescent="0.25">
      <c r="A3282">
        <v>402190</v>
      </c>
      <c r="B3282">
        <v>3.06</v>
      </c>
      <c r="C3282">
        <v>400</v>
      </c>
      <c r="D3282" s="9">
        <v>41947</v>
      </c>
      <c r="E3282" t="s">
        <v>296</v>
      </c>
      <c r="I3282" s="9"/>
    </row>
    <row r="3283" spans="1:9" x14ac:dyDescent="0.25">
      <c r="A3283">
        <v>402190</v>
      </c>
      <c r="B3283">
        <v>3.06</v>
      </c>
      <c r="C3283">
        <v>400</v>
      </c>
      <c r="D3283" s="9">
        <v>41647</v>
      </c>
      <c r="E3283" t="s">
        <v>296</v>
      </c>
      <c r="I3283" s="9"/>
    </row>
    <row r="3284" spans="1:9" x14ac:dyDescent="0.25">
      <c r="A3284">
        <v>402190</v>
      </c>
      <c r="B3284">
        <v>2.915</v>
      </c>
      <c r="C3284">
        <v>640</v>
      </c>
      <c r="D3284" s="9">
        <v>41417</v>
      </c>
      <c r="E3284" t="s">
        <v>296</v>
      </c>
      <c r="I3284" s="9"/>
    </row>
    <row r="3285" spans="1:9" x14ac:dyDescent="0.25">
      <c r="A3285">
        <v>402270</v>
      </c>
      <c r="B3285">
        <v>21.428999999999998</v>
      </c>
      <c r="C3285">
        <v>45</v>
      </c>
      <c r="D3285" s="9">
        <v>44095</v>
      </c>
      <c r="E3285" t="s">
        <v>296</v>
      </c>
      <c r="I3285" s="9"/>
    </row>
    <row r="3286" spans="1:9" x14ac:dyDescent="0.25">
      <c r="A3286">
        <v>402270</v>
      </c>
      <c r="B3286">
        <v>22</v>
      </c>
      <c r="C3286">
        <v>100</v>
      </c>
      <c r="D3286" s="9">
        <v>43955</v>
      </c>
      <c r="E3286" t="s">
        <v>296</v>
      </c>
      <c r="I3286" s="9"/>
    </row>
    <row r="3287" spans="1:9" x14ac:dyDescent="0.25">
      <c r="A3287">
        <v>402270</v>
      </c>
      <c r="B3287">
        <v>22</v>
      </c>
      <c r="C3287">
        <v>150</v>
      </c>
      <c r="D3287" s="9">
        <v>43684</v>
      </c>
      <c r="E3287" t="s">
        <v>296</v>
      </c>
      <c r="I3287" s="9"/>
    </row>
    <row r="3288" spans="1:9" x14ac:dyDescent="0.25">
      <c r="A3288">
        <v>402270</v>
      </c>
      <c r="B3288">
        <v>18.8</v>
      </c>
      <c r="C3288">
        <v>150</v>
      </c>
      <c r="D3288" s="9">
        <v>42655</v>
      </c>
      <c r="E3288" t="s">
        <v>296</v>
      </c>
      <c r="I3288" s="9"/>
    </row>
    <row r="3289" spans="1:9" x14ac:dyDescent="0.25">
      <c r="A3289">
        <v>402270</v>
      </c>
      <c r="B3289">
        <v>18.8</v>
      </c>
      <c r="C3289">
        <v>150</v>
      </c>
      <c r="D3289" s="9">
        <v>42655</v>
      </c>
      <c r="E3289" t="s">
        <v>296</v>
      </c>
      <c r="I3289" s="9"/>
    </row>
    <row r="3290" spans="1:9" x14ac:dyDescent="0.25">
      <c r="A3290">
        <v>402270</v>
      </c>
      <c r="B3290">
        <v>18.8</v>
      </c>
      <c r="C3290">
        <v>150</v>
      </c>
      <c r="D3290" s="9">
        <v>42325</v>
      </c>
      <c r="E3290" t="s">
        <v>296</v>
      </c>
      <c r="I3290" s="9"/>
    </row>
    <row r="3291" spans="1:9" x14ac:dyDescent="0.25">
      <c r="A3291">
        <v>402270</v>
      </c>
      <c r="B3291">
        <v>83</v>
      </c>
      <c r="C3291">
        <v>100</v>
      </c>
      <c r="D3291" s="9">
        <v>42167</v>
      </c>
      <c r="E3291" t="s">
        <v>295</v>
      </c>
      <c r="I3291" s="9"/>
    </row>
    <row r="3292" spans="1:9" x14ac:dyDescent="0.25">
      <c r="A3292">
        <v>402270</v>
      </c>
      <c r="B3292">
        <v>18.8</v>
      </c>
      <c r="C3292">
        <v>60</v>
      </c>
      <c r="D3292" s="9">
        <v>41934</v>
      </c>
      <c r="E3292" t="s">
        <v>296</v>
      </c>
      <c r="I3292" s="9"/>
    </row>
    <row r="3293" spans="1:9" x14ac:dyDescent="0.25">
      <c r="A3293">
        <v>403005</v>
      </c>
      <c r="B3293">
        <v>0.96</v>
      </c>
      <c r="C3293">
        <v>300</v>
      </c>
      <c r="D3293" s="9">
        <v>43865</v>
      </c>
      <c r="E3293" t="s">
        <v>296</v>
      </c>
      <c r="I3293" s="9"/>
    </row>
    <row r="3294" spans="1:9" x14ac:dyDescent="0.25">
      <c r="A3294">
        <v>403005</v>
      </c>
      <c r="B3294">
        <v>0.96</v>
      </c>
      <c r="C3294">
        <v>500</v>
      </c>
      <c r="D3294" s="9">
        <v>43381</v>
      </c>
      <c r="E3294" t="s">
        <v>296</v>
      </c>
      <c r="I3294" s="9"/>
    </row>
    <row r="3295" spans="1:9" x14ac:dyDescent="0.25">
      <c r="A3295">
        <v>403013</v>
      </c>
      <c r="B3295">
        <v>1.873</v>
      </c>
      <c r="C3295">
        <v>300</v>
      </c>
      <c r="D3295" s="9">
        <v>44070</v>
      </c>
      <c r="E3295" t="s">
        <v>296</v>
      </c>
      <c r="I3295" s="9"/>
    </row>
    <row r="3296" spans="1:9" x14ac:dyDescent="0.25">
      <c r="A3296">
        <v>403013</v>
      </c>
      <c r="B3296">
        <v>2.4500000000000002</v>
      </c>
      <c r="C3296">
        <v>300</v>
      </c>
      <c r="D3296" s="9">
        <v>43972</v>
      </c>
      <c r="E3296" t="s">
        <v>296</v>
      </c>
      <c r="I3296" s="9"/>
    </row>
    <row r="3297" spans="1:9" x14ac:dyDescent="0.25">
      <c r="A3297">
        <v>403013</v>
      </c>
      <c r="B3297">
        <v>2.4500000000000002</v>
      </c>
      <c r="C3297">
        <v>300</v>
      </c>
      <c r="D3297" s="9">
        <v>43381</v>
      </c>
      <c r="E3297" t="s">
        <v>296</v>
      </c>
      <c r="I3297" s="9"/>
    </row>
    <row r="3298" spans="1:9" x14ac:dyDescent="0.25">
      <c r="A3298">
        <v>410090</v>
      </c>
      <c r="B3298">
        <v>0.7</v>
      </c>
      <c r="C3298">
        <v>600</v>
      </c>
      <c r="D3298" s="9">
        <v>43955</v>
      </c>
      <c r="E3298" t="s">
        <v>296</v>
      </c>
      <c r="I3298" s="9"/>
    </row>
    <row r="3299" spans="1:9" x14ac:dyDescent="0.25">
      <c r="A3299">
        <v>410090</v>
      </c>
      <c r="B3299">
        <v>0.7</v>
      </c>
      <c r="C3299">
        <v>600</v>
      </c>
      <c r="D3299" s="9">
        <v>43837</v>
      </c>
      <c r="E3299" t="s">
        <v>296</v>
      </c>
      <c r="I3299" s="9"/>
    </row>
    <row r="3300" spans="1:9" x14ac:dyDescent="0.25">
      <c r="A3300">
        <v>410090</v>
      </c>
      <c r="B3300">
        <v>0.7</v>
      </c>
      <c r="C3300">
        <v>1200</v>
      </c>
      <c r="D3300" s="9">
        <v>43250</v>
      </c>
      <c r="E3300" t="s">
        <v>296</v>
      </c>
      <c r="I3300" s="9"/>
    </row>
    <row r="3301" spans="1:9" x14ac:dyDescent="0.25">
      <c r="A3301">
        <v>410090</v>
      </c>
      <c r="B3301">
        <v>0.61499999999999999</v>
      </c>
      <c r="C3301">
        <v>1200</v>
      </c>
      <c r="D3301" s="9">
        <v>43105</v>
      </c>
      <c r="E3301" t="s">
        <v>296</v>
      </c>
      <c r="I3301" s="9"/>
    </row>
    <row r="3302" spans="1:9" x14ac:dyDescent="0.25">
      <c r="A3302">
        <v>410090</v>
      </c>
      <c r="B3302">
        <v>0.61499999999999999</v>
      </c>
      <c r="C3302">
        <v>1200</v>
      </c>
      <c r="D3302" s="9">
        <v>42573</v>
      </c>
      <c r="E3302" t="s">
        <v>296</v>
      </c>
      <c r="I3302" s="9"/>
    </row>
    <row r="3303" spans="1:9" x14ac:dyDescent="0.25">
      <c r="A3303">
        <v>410090</v>
      </c>
      <c r="B3303">
        <v>0.63</v>
      </c>
      <c r="C3303">
        <v>1200</v>
      </c>
      <c r="D3303" s="9">
        <v>42270</v>
      </c>
      <c r="E3303" t="s">
        <v>296</v>
      </c>
      <c r="I3303" s="9"/>
    </row>
    <row r="3304" spans="1:9" x14ac:dyDescent="0.25">
      <c r="A3304">
        <v>410090</v>
      </c>
      <c r="B3304">
        <v>0.63</v>
      </c>
      <c r="C3304">
        <v>1600</v>
      </c>
      <c r="D3304" s="9">
        <v>41837</v>
      </c>
      <c r="E3304" t="s">
        <v>296</v>
      </c>
      <c r="I3304" s="9"/>
    </row>
    <row r="3305" spans="1:9" x14ac:dyDescent="0.25">
      <c r="A3305">
        <v>410090</v>
      </c>
      <c r="B3305">
        <v>0.60499999999999998</v>
      </c>
      <c r="C3305">
        <v>1200</v>
      </c>
      <c r="D3305" s="9">
        <v>41618</v>
      </c>
      <c r="E3305" t="s">
        <v>296</v>
      </c>
      <c r="I3305" s="9"/>
    </row>
    <row r="3306" spans="1:9" x14ac:dyDescent="0.25">
      <c r="A3306">
        <v>410091</v>
      </c>
      <c r="B3306">
        <v>1.19</v>
      </c>
      <c r="C3306">
        <v>320</v>
      </c>
      <c r="D3306" s="9">
        <v>44070</v>
      </c>
      <c r="E3306" t="s">
        <v>296</v>
      </c>
      <c r="I3306" s="9"/>
    </row>
    <row r="3307" spans="1:9" x14ac:dyDescent="0.25">
      <c r="A3307">
        <v>410230</v>
      </c>
      <c r="B3307">
        <v>0.89</v>
      </c>
      <c r="C3307">
        <v>576</v>
      </c>
      <c r="D3307" s="9">
        <v>42585</v>
      </c>
      <c r="E3307" t="s">
        <v>296</v>
      </c>
      <c r="I3307" s="9"/>
    </row>
    <row r="3308" spans="1:9" x14ac:dyDescent="0.25">
      <c r="A3308">
        <v>410230</v>
      </c>
      <c r="B3308">
        <v>1.01</v>
      </c>
      <c r="C3308">
        <v>960</v>
      </c>
      <c r="D3308" s="9">
        <v>41765</v>
      </c>
      <c r="E3308" t="s">
        <v>296</v>
      </c>
      <c r="I3308" s="9"/>
    </row>
    <row r="3309" spans="1:9" x14ac:dyDescent="0.25">
      <c r="A3309">
        <v>410320</v>
      </c>
      <c r="B3309">
        <v>7.6980000000000004</v>
      </c>
      <c r="C3309">
        <v>120</v>
      </c>
      <c r="D3309" s="9">
        <v>44070</v>
      </c>
      <c r="E3309" t="s">
        <v>296</v>
      </c>
      <c r="I3309" s="9"/>
    </row>
    <row r="3310" spans="1:9" x14ac:dyDescent="0.25">
      <c r="A3310">
        <v>410320</v>
      </c>
      <c r="B3310">
        <v>9.75</v>
      </c>
      <c r="C3310">
        <v>104</v>
      </c>
      <c r="D3310" s="9">
        <v>43648</v>
      </c>
      <c r="E3310" t="s">
        <v>296</v>
      </c>
      <c r="I3310" s="9"/>
    </row>
    <row r="3311" spans="1:9" x14ac:dyDescent="0.25">
      <c r="A3311">
        <v>410320</v>
      </c>
      <c r="B3311">
        <v>7.65</v>
      </c>
      <c r="C3311">
        <v>100</v>
      </c>
      <c r="D3311" s="9">
        <v>43250</v>
      </c>
      <c r="E3311" t="s">
        <v>296</v>
      </c>
      <c r="I3311" s="9"/>
    </row>
    <row r="3312" spans="1:9" x14ac:dyDescent="0.25">
      <c r="A3312">
        <v>410320</v>
      </c>
      <c r="B3312">
        <v>5.85</v>
      </c>
      <c r="C3312">
        <v>250</v>
      </c>
      <c r="D3312" s="9">
        <v>42586</v>
      </c>
      <c r="E3312" t="s">
        <v>296</v>
      </c>
      <c r="I3312" s="9"/>
    </row>
    <row r="3313" spans="1:9" x14ac:dyDescent="0.25">
      <c r="A3313">
        <v>410320</v>
      </c>
      <c r="B3313">
        <v>7.75</v>
      </c>
      <c r="C3313">
        <v>160</v>
      </c>
      <c r="D3313" s="9">
        <v>41417</v>
      </c>
      <c r="E3313" t="s">
        <v>296</v>
      </c>
      <c r="I3313" s="9"/>
    </row>
    <row r="3314" spans="1:9" x14ac:dyDescent="0.25">
      <c r="A3314">
        <v>410330</v>
      </c>
      <c r="B3314">
        <v>0.85599999999999998</v>
      </c>
      <c r="C3314">
        <v>720</v>
      </c>
      <c r="D3314" s="9">
        <v>42607</v>
      </c>
      <c r="E3314" t="s">
        <v>297</v>
      </c>
      <c r="I3314" s="9"/>
    </row>
    <row r="3315" spans="1:9" x14ac:dyDescent="0.25">
      <c r="A3315">
        <v>410330</v>
      </c>
      <c r="B3315">
        <v>0.90100000000000002</v>
      </c>
      <c r="C3315">
        <v>840</v>
      </c>
      <c r="D3315" s="9">
        <v>41617</v>
      </c>
      <c r="E3315" t="s">
        <v>296</v>
      </c>
      <c r="I3315" s="9"/>
    </row>
    <row r="3316" spans="1:9" x14ac:dyDescent="0.25">
      <c r="A3316">
        <v>410340</v>
      </c>
      <c r="B3316">
        <v>1.397</v>
      </c>
      <c r="C3316">
        <v>240</v>
      </c>
      <c r="D3316" s="9">
        <v>44140</v>
      </c>
      <c r="E3316" t="s">
        <v>296</v>
      </c>
      <c r="I3316" s="9"/>
    </row>
    <row r="3317" spans="1:9" x14ac:dyDescent="0.25">
      <c r="A3317">
        <v>410340</v>
      </c>
      <c r="B3317">
        <v>1.4750000000000001</v>
      </c>
      <c r="C3317">
        <v>280</v>
      </c>
      <c r="D3317" s="9">
        <v>44117</v>
      </c>
      <c r="E3317" t="s">
        <v>296</v>
      </c>
      <c r="I3317" s="9"/>
    </row>
    <row r="3318" spans="1:9" x14ac:dyDescent="0.25">
      <c r="A3318">
        <v>410340</v>
      </c>
      <c r="B3318">
        <v>1.4750000000000001</v>
      </c>
      <c r="C3318">
        <v>480</v>
      </c>
      <c r="D3318" s="9">
        <v>43837</v>
      </c>
      <c r="E3318" t="s">
        <v>296</v>
      </c>
      <c r="I3318" s="9"/>
    </row>
    <row r="3319" spans="1:9" x14ac:dyDescent="0.25">
      <c r="A3319">
        <v>410340</v>
      </c>
      <c r="B3319">
        <v>1.4750000000000001</v>
      </c>
      <c r="C3319">
        <v>212</v>
      </c>
      <c r="D3319" s="9">
        <v>43244</v>
      </c>
      <c r="E3319" t="s">
        <v>296</v>
      </c>
      <c r="I3319" s="9"/>
    </row>
    <row r="3320" spans="1:9" x14ac:dyDescent="0.25">
      <c r="A3320">
        <v>410340</v>
      </c>
      <c r="B3320">
        <v>1.464</v>
      </c>
      <c r="C3320">
        <v>480</v>
      </c>
      <c r="D3320" s="9">
        <v>42607</v>
      </c>
      <c r="E3320" t="s">
        <v>297</v>
      </c>
      <c r="I3320" s="9"/>
    </row>
    <row r="3321" spans="1:9" x14ac:dyDescent="0.25">
      <c r="A3321">
        <v>410340</v>
      </c>
      <c r="B3321">
        <v>5.29</v>
      </c>
      <c r="C3321">
        <v>960</v>
      </c>
      <c r="D3321" s="9">
        <v>41957</v>
      </c>
      <c r="E3321" t="s">
        <v>295</v>
      </c>
      <c r="I3321" s="9"/>
    </row>
    <row r="3322" spans="1:9" x14ac:dyDescent="0.25">
      <c r="A3322">
        <v>410340</v>
      </c>
      <c r="B3322">
        <v>1.591</v>
      </c>
      <c r="C3322">
        <v>960</v>
      </c>
      <c r="D3322" s="9">
        <v>41912</v>
      </c>
      <c r="E3322" t="s">
        <v>296</v>
      </c>
      <c r="I3322" s="9"/>
    </row>
    <row r="3323" spans="1:9" x14ac:dyDescent="0.25">
      <c r="A3323">
        <v>410340</v>
      </c>
      <c r="B3323">
        <v>1.5149999999999999</v>
      </c>
      <c r="C3323">
        <v>960</v>
      </c>
      <c r="D3323" s="9">
        <v>41617</v>
      </c>
      <c r="E3323" t="s">
        <v>296</v>
      </c>
      <c r="I3323" s="9"/>
    </row>
    <row r="3324" spans="1:9" x14ac:dyDescent="0.25">
      <c r="A3324">
        <v>410409</v>
      </c>
      <c r="B3324">
        <v>6.88</v>
      </c>
      <c r="C3324">
        <v>240</v>
      </c>
      <c r="D3324" s="9">
        <v>44043</v>
      </c>
      <c r="E3324" t="s">
        <v>296</v>
      </c>
      <c r="I3324" s="9"/>
    </row>
    <row r="3325" spans="1:9" x14ac:dyDescent="0.25">
      <c r="A3325">
        <v>410409</v>
      </c>
      <c r="B3325">
        <v>6.88</v>
      </c>
      <c r="C3325">
        <v>240</v>
      </c>
      <c r="D3325" s="9">
        <v>43381</v>
      </c>
      <c r="E3325" t="s">
        <v>296</v>
      </c>
      <c r="I3325" s="9"/>
    </row>
    <row r="3326" spans="1:9" x14ac:dyDescent="0.25">
      <c r="A3326">
        <v>410409</v>
      </c>
      <c r="B3326">
        <v>22.59</v>
      </c>
      <c r="C3326">
        <v>200</v>
      </c>
      <c r="D3326" s="9">
        <v>43230</v>
      </c>
      <c r="E3326" t="s">
        <v>295</v>
      </c>
      <c r="I3326" s="9"/>
    </row>
    <row r="3327" spans="1:9" x14ac:dyDescent="0.25">
      <c r="A3327">
        <v>410409</v>
      </c>
      <c r="B3327">
        <v>6.55</v>
      </c>
      <c r="C3327">
        <v>200</v>
      </c>
      <c r="D3327" s="9">
        <v>43199</v>
      </c>
      <c r="E3327" t="s">
        <v>296</v>
      </c>
      <c r="I3327" s="9"/>
    </row>
    <row r="3328" spans="1:9" x14ac:dyDescent="0.25">
      <c r="A3328">
        <v>410520</v>
      </c>
      <c r="B3328">
        <v>5.75</v>
      </c>
      <c r="C3328">
        <v>288</v>
      </c>
      <c r="D3328" s="9">
        <v>44091</v>
      </c>
      <c r="E3328" t="s">
        <v>296</v>
      </c>
      <c r="I3328" s="9"/>
    </row>
    <row r="3329" spans="1:9" x14ac:dyDescent="0.25">
      <c r="A3329">
        <v>410520</v>
      </c>
      <c r="B3329">
        <v>5.75</v>
      </c>
      <c r="C3329">
        <v>240</v>
      </c>
      <c r="D3329" s="9">
        <v>44043</v>
      </c>
      <c r="E3329" t="s">
        <v>296</v>
      </c>
      <c r="I3329" s="9"/>
    </row>
    <row r="3330" spans="1:9" x14ac:dyDescent="0.25">
      <c r="A3330">
        <v>410520</v>
      </c>
      <c r="B3330">
        <v>5.75</v>
      </c>
      <c r="C3330">
        <v>240</v>
      </c>
      <c r="D3330" s="9">
        <v>43803</v>
      </c>
      <c r="E3330" t="s">
        <v>296</v>
      </c>
      <c r="I3330" s="9"/>
    </row>
    <row r="3331" spans="1:9" x14ac:dyDescent="0.25">
      <c r="A3331">
        <v>410520</v>
      </c>
      <c r="B3331">
        <v>5.56</v>
      </c>
      <c r="C3331">
        <v>240</v>
      </c>
      <c r="D3331" s="9">
        <v>43483</v>
      </c>
      <c r="E3331" t="s">
        <v>296</v>
      </c>
      <c r="I3331" s="9"/>
    </row>
    <row r="3332" spans="1:9" x14ac:dyDescent="0.25">
      <c r="A3332">
        <v>410520</v>
      </c>
      <c r="B3332">
        <v>5.56</v>
      </c>
      <c r="C3332">
        <v>240</v>
      </c>
      <c r="D3332" s="9">
        <v>43305</v>
      </c>
      <c r="E3332" t="s">
        <v>296</v>
      </c>
      <c r="I3332" s="9"/>
    </row>
    <row r="3333" spans="1:9" x14ac:dyDescent="0.25">
      <c r="A3333">
        <v>410520</v>
      </c>
      <c r="B3333">
        <v>19.28</v>
      </c>
      <c r="C3333">
        <v>120</v>
      </c>
      <c r="D3333" s="9">
        <v>43230</v>
      </c>
      <c r="E3333" t="s">
        <v>295</v>
      </c>
      <c r="I3333" s="9"/>
    </row>
    <row r="3334" spans="1:9" x14ac:dyDescent="0.25">
      <c r="A3334">
        <v>410520</v>
      </c>
      <c r="B3334">
        <v>5.4</v>
      </c>
      <c r="C3334">
        <v>240</v>
      </c>
      <c r="D3334" s="9">
        <v>43199</v>
      </c>
      <c r="E3334" t="s">
        <v>296</v>
      </c>
      <c r="I3334" s="9"/>
    </row>
    <row r="3335" spans="1:9" x14ac:dyDescent="0.25">
      <c r="A3335">
        <v>410520</v>
      </c>
      <c r="B3335">
        <v>26.01</v>
      </c>
      <c r="C3335">
        <v>48</v>
      </c>
      <c r="D3335" s="9">
        <v>43125</v>
      </c>
      <c r="E3335" t="s">
        <v>295</v>
      </c>
      <c r="I3335" s="9"/>
    </row>
    <row r="3336" spans="1:9" x14ac:dyDescent="0.25">
      <c r="A3336">
        <v>410520</v>
      </c>
      <c r="B3336">
        <v>5.4</v>
      </c>
      <c r="C3336">
        <v>240</v>
      </c>
      <c r="D3336" s="9">
        <v>42912</v>
      </c>
      <c r="E3336" t="s">
        <v>296</v>
      </c>
      <c r="I3336" s="9"/>
    </row>
    <row r="3337" spans="1:9" x14ac:dyDescent="0.25">
      <c r="A3337">
        <v>410520</v>
      </c>
      <c r="B3337">
        <v>5.05</v>
      </c>
      <c r="C3337">
        <v>240</v>
      </c>
      <c r="D3337" s="9">
        <v>42510</v>
      </c>
      <c r="E3337" t="s">
        <v>296</v>
      </c>
      <c r="I3337" s="9"/>
    </row>
    <row r="3338" spans="1:9" x14ac:dyDescent="0.25">
      <c r="A3338">
        <v>410520</v>
      </c>
      <c r="B3338">
        <v>5.2</v>
      </c>
      <c r="C3338">
        <v>240</v>
      </c>
      <c r="D3338" s="9">
        <v>42383</v>
      </c>
      <c r="E3338" t="s">
        <v>296</v>
      </c>
      <c r="I3338" s="9"/>
    </row>
    <row r="3339" spans="1:9" x14ac:dyDescent="0.25">
      <c r="A3339">
        <v>410520</v>
      </c>
      <c r="B3339">
        <v>5.2329999999999997</v>
      </c>
      <c r="C3339">
        <v>240</v>
      </c>
      <c r="D3339" s="9">
        <v>42233</v>
      </c>
      <c r="E3339" t="s">
        <v>297</v>
      </c>
      <c r="I3339" s="9"/>
    </row>
    <row r="3340" spans="1:9" x14ac:dyDescent="0.25">
      <c r="A3340">
        <v>410520</v>
      </c>
      <c r="B3340">
        <v>5.75</v>
      </c>
      <c r="C3340">
        <v>240</v>
      </c>
      <c r="D3340" s="9">
        <v>42129</v>
      </c>
      <c r="E3340" t="s">
        <v>296</v>
      </c>
      <c r="I3340" s="9"/>
    </row>
    <row r="3341" spans="1:9" x14ac:dyDescent="0.25">
      <c r="A3341">
        <v>410520</v>
      </c>
      <c r="B3341">
        <v>27.55</v>
      </c>
      <c r="C3341">
        <v>1</v>
      </c>
      <c r="D3341" s="9">
        <v>41884</v>
      </c>
      <c r="E3341" t="s">
        <v>295</v>
      </c>
      <c r="I3341" s="9"/>
    </row>
    <row r="3342" spans="1:9" x14ac:dyDescent="0.25">
      <c r="A3342">
        <v>410520</v>
      </c>
      <c r="B3342">
        <v>17.66</v>
      </c>
      <c r="C3342">
        <v>240</v>
      </c>
      <c r="D3342" s="9">
        <v>41821</v>
      </c>
      <c r="E3342" t="s">
        <v>295</v>
      </c>
      <c r="I3342" s="9"/>
    </row>
    <row r="3343" spans="1:9" x14ac:dyDescent="0.25">
      <c r="A3343">
        <v>410520</v>
      </c>
      <c r="B3343">
        <v>5.75</v>
      </c>
      <c r="C3343">
        <v>240</v>
      </c>
      <c r="D3343" s="9">
        <v>41821</v>
      </c>
      <c r="E3343" t="s">
        <v>296</v>
      </c>
      <c r="I3343" s="9"/>
    </row>
    <row r="3344" spans="1:9" x14ac:dyDescent="0.25">
      <c r="A3344">
        <v>410520</v>
      </c>
      <c r="B3344">
        <v>5.75</v>
      </c>
      <c r="C3344">
        <v>204</v>
      </c>
      <c r="D3344" s="9">
        <v>41744</v>
      </c>
      <c r="E3344" t="s">
        <v>296</v>
      </c>
      <c r="I3344" s="9"/>
    </row>
    <row r="3345" spans="1:9" x14ac:dyDescent="0.25">
      <c r="A3345">
        <v>410520</v>
      </c>
      <c r="B3345">
        <v>7.5</v>
      </c>
      <c r="C3345">
        <v>192</v>
      </c>
      <c r="D3345" s="9">
        <v>41484</v>
      </c>
      <c r="E3345" t="s">
        <v>296</v>
      </c>
      <c r="I3345" s="9"/>
    </row>
    <row r="3346" spans="1:9" x14ac:dyDescent="0.25">
      <c r="A3346">
        <v>410520</v>
      </c>
      <c r="B3346">
        <v>7.5</v>
      </c>
      <c r="C3346">
        <v>192</v>
      </c>
      <c r="D3346" s="9">
        <v>41375</v>
      </c>
      <c r="E3346" t="s">
        <v>296</v>
      </c>
      <c r="I3346" s="9"/>
    </row>
    <row r="3347" spans="1:9" x14ac:dyDescent="0.25">
      <c r="A3347">
        <v>410520</v>
      </c>
      <c r="B3347">
        <v>7.5</v>
      </c>
      <c r="C3347">
        <v>192</v>
      </c>
      <c r="D3347" s="9">
        <v>41288</v>
      </c>
      <c r="E3347" t="s">
        <v>296</v>
      </c>
      <c r="I3347" s="9"/>
    </row>
    <row r="3348" spans="1:9" x14ac:dyDescent="0.25">
      <c r="A3348">
        <v>410525</v>
      </c>
      <c r="B3348">
        <v>2.7</v>
      </c>
      <c r="C3348">
        <v>300</v>
      </c>
      <c r="D3348" s="9">
        <v>44141</v>
      </c>
      <c r="E3348" t="s">
        <v>296</v>
      </c>
      <c r="I3348" s="9"/>
    </row>
    <row r="3349" spans="1:9" x14ac:dyDescent="0.25">
      <c r="A3349">
        <v>410525</v>
      </c>
      <c r="B3349">
        <v>2.6</v>
      </c>
      <c r="C3349">
        <v>300</v>
      </c>
      <c r="D3349" s="9">
        <v>43839</v>
      </c>
      <c r="E3349" t="s">
        <v>296</v>
      </c>
      <c r="I3349" s="9"/>
    </row>
    <row r="3350" spans="1:9" x14ac:dyDescent="0.25">
      <c r="A3350">
        <v>410525</v>
      </c>
      <c r="B3350">
        <v>2.6</v>
      </c>
      <c r="C3350">
        <v>300</v>
      </c>
      <c r="D3350" s="9">
        <v>43199</v>
      </c>
      <c r="E3350" t="s">
        <v>296</v>
      </c>
      <c r="I3350" s="9"/>
    </row>
    <row r="3351" spans="1:9" x14ac:dyDescent="0.25">
      <c r="A3351">
        <v>410525</v>
      </c>
      <c r="B3351">
        <v>2.65</v>
      </c>
      <c r="C3351">
        <v>270</v>
      </c>
      <c r="D3351" s="9">
        <v>42912</v>
      </c>
      <c r="E3351" t="s">
        <v>296</v>
      </c>
      <c r="I3351" s="9"/>
    </row>
    <row r="3352" spans="1:9" x14ac:dyDescent="0.25">
      <c r="A3352">
        <v>410525</v>
      </c>
      <c r="B3352">
        <v>2.48</v>
      </c>
      <c r="C3352">
        <v>270</v>
      </c>
      <c r="D3352" s="9">
        <v>42510</v>
      </c>
      <c r="E3352" t="s">
        <v>296</v>
      </c>
      <c r="I3352" s="9"/>
    </row>
    <row r="3353" spans="1:9" x14ac:dyDescent="0.25">
      <c r="A3353">
        <v>410526</v>
      </c>
      <c r="B3353">
        <v>1.98</v>
      </c>
      <c r="C3353">
        <v>400</v>
      </c>
      <c r="D3353" s="9">
        <v>44020</v>
      </c>
      <c r="E3353" t="s">
        <v>296</v>
      </c>
      <c r="I3353" s="9"/>
    </row>
    <row r="3354" spans="1:9" x14ac:dyDescent="0.25">
      <c r="A3354">
        <v>410526</v>
      </c>
      <c r="B3354">
        <v>1.98</v>
      </c>
      <c r="C3354">
        <v>400</v>
      </c>
      <c r="D3354" s="9">
        <v>43803</v>
      </c>
      <c r="E3354" t="s">
        <v>296</v>
      </c>
      <c r="I3354" s="9"/>
    </row>
    <row r="3355" spans="1:9" x14ac:dyDescent="0.25">
      <c r="A3355">
        <v>410526</v>
      </c>
      <c r="B3355">
        <v>1.96</v>
      </c>
      <c r="C3355">
        <v>400</v>
      </c>
      <c r="D3355" s="9">
        <v>43305</v>
      </c>
      <c r="E3355" t="s">
        <v>296</v>
      </c>
      <c r="I3355" s="9"/>
    </row>
    <row r="3356" spans="1:9" x14ac:dyDescent="0.25">
      <c r="A3356">
        <v>410526</v>
      </c>
      <c r="B3356">
        <v>6.78</v>
      </c>
      <c r="C3356">
        <v>300</v>
      </c>
      <c r="D3356" s="9">
        <v>43230</v>
      </c>
      <c r="E3356" t="s">
        <v>295</v>
      </c>
      <c r="I3356" s="9"/>
    </row>
    <row r="3357" spans="1:9" x14ac:dyDescent="0.25">
      <c r="A3357">
        <v>410526</v>
      </c>
      <c r="B3357">
        <v>1.91</v>
      </c>
      <c r="C3357">
        <v>300</v>
      </c>
      <c r="D3357" s="9">
        <v>43199</v>
      </c>
      <c r="E3357" t="s">
        <v>296</v>
      </c>
      <c r="I3357" s="9"/>
    </row>
    <row r="3358" spans="1:9" x14ac:dyDescent="0.25">
      <c r="A3358">
        <v>410526</v>
      </c>
      <c r="B3358">
        <v>1.85</v>
      </c>
      <c r="C3358">
        <v>300</v>
      </c>
      <c r="D3358" s="9">
        <v>42919</v>
      </c>
      <c r="E3358" t="s">
        <v>296</v>
      </c>
      <c r="I3358" s="9"/>
    </row>
    <row r="3359" spans="1:9" x14ac:dyDescent="0.25">
      <c r="A3359">
        <v>410526</v>
      </c>
      <c r="B3359">
        <v>1.86</v>
      </c>
      <c r="C3359">
        <v>400</v>
      </c>
      <c r="D3359" s="9">
        <v>42510</v>
      </c>
      <c r="E3359" t="s">
        <v>296</v>
      </c>
      <c r="I3359" s="9"/>
    </row>
    <row r="3360" spans="1:9" x14ac:dyDescent="0.25">
      <c r="A3360">
        <v>410526</v>
      </c>
      <c r="B3360">
        <v>2.02</v>
      </c>
      <c r="C3360">
        <v>400</v>
      </c>
      <c r="D3360" s="9">
        <v>41865</v>
      </c>
      <c r="E3360" t="s">
        <v>296</v>
      </c>
      <c r="I3360" s="9"/>
    </row>
    <row r="3361" spans="1:9" x14ac:dyDescent="0.25">
      <c r="A3361">
        <v>410527</v>
      </c>
      <c r="B3361">
        <v>0.92600000000000005</v>
      </c>
      <c r="C3361">
        <v>300</v>
      </c>
      <c r="D3361" s="9">
        <v>44140</v>
      </c>
      <c r="E3361" t="s">
        <v>296</v>
      </c>
      <c r="I3361" s="9"/>
    </row>
    <row r="3362" spans="1:9" x14ac:dyDescent="0.25">
      <c r="A3362">
        <v>410527</v>
      </c>
      <c r="B3362">
        <v>0.95</v>
      </c>
      <c r="C3362">
        <v>300</v>
      </c>
      <c r="D3362" s="9">
        <v>44043</v>
      </c>
      <c r="E3362" t="s">
        <v>296</v>
      </c>
      <c r="I3362" s="9"/>
    </row>
    <row r="3363" spans="1:9" x14ac:dyDescent="0.25">
      <c r="A3363">
        <v>410527</v>
      </c>
      <c r="B3363">
        <v>0.95</v>
      </c>
      <c r="C3363">
        <v>300</v>
      </c>
      <c r="D3363" s="9">
        <v>43803</v>
      </c>
      <c r="E3363" t="s">
        <v>296</v>
      </c>
      <c r="I3363" s="9"/>
    </row>
    <row r="3364" spans="1:9" x14ac:dyDescent="0.25">
      <c r="A3364">
        <v>410527</v>
      </c>
      <c r="B3364">
        <v>0.95</v>
      </c>
      <c r="C3364">
        <v>300</v>
      </c>
      <c r="D3364" s="9">
        <v>43648</v>
      </c>
      <c r="E3364" t="s">
        <v>296</v>
      </c>
      <c r="I3364" s="9"/>
    </row>
    <row r="3365" spans="1:9" x14ac:dyDescent="0.25">
      <c r="A3365">
        <v>410527</v>
      </c>
      <c r="B3365">
        <v>0.95</v>
      </c>
      <c r="C3365">
        <v>500</v>
      </c>
      <c r="D3365" s="9">
        <v>43305</v>
      </c>
      <c r="E3365" t="s">
        <v>296</v>
      </c>
      <c r="I3365" s="9"/>
    </row>
    <row r="3366" spans="1:9" x14ac:dyDescent="0.25">
      <c r="A3366">
        <v>410527</v>
      </c>
      <c r="B3366">
        <v>3.27</v>
      </c>
      <c r="C3366">
        <v>300</v>
      </c>
      <c r="D3366" s="9">
        <v>43230</v>
      </c>
      <c r="E3366" t="s">
        <v>295</v>
      </c>
      <c r="I3366" s="9"/>
    </row>
    <row r="3367" spans="1:9" x14ac:dyDescent="0.25">
      <c r="A3367">
        <v>410527</v>
      </c>
      <c r="B3367">
        <v>0.92</v>
      </c>
      <c r="C3367">
        <v>300</v>
      </c>
      <c r="D3367" s="9">
        <v>43199</v>
      </c>
      <c r="E3367" t="s">
        <v>296</v>
      </c>
      <c r="I3367" s="9"/>
    </row>
    <row r="3368" spans="1:9" x14ac:dyDescent="0.25">
      <c r="A3368">
        <v>410527</v>
      </c>
      <c r="B3368">
        <v>0.89</v>
      </c>
      <c r="C3368">
        <v>300</v>
      </c>
      <c r="D3368" s="9">
        <v>42912</v>
      </c>
      <c r="E3368" t="s">
        <v>296</v>
      </c>
      <c r="I3368" s="9"/>
    </row>
    <row r="3369" spans="1:9" x14ac:dyDescent="0.25">
      <c r="A3369">
        <v>410527</v>
      </c>
      <c r="B3369">
        <v>0.86</v>
      </c>
      <c r="C3369">
        <v>200</v>
      </c>
      <c r="D3369" s="9">
        <v>42719</v>
      </c>
      <c r="E3369" t="s">
        <v>296</v>
      </c>
      <c r="I3369" s="9"/>
    </row>
    <row r="3370" spans="1:9" x14ac:dyDescent="0.25">
      <c r="A3370">
        <v>410527</v>
      </c>
      <c r="B3370">
        <v>0.86</v>
      </c>
      <c r="C3370">
        <v>200</v>
      </c>
      <c r="D3370" s="9">
        <v>42698</v>
      </c>
      <c r="E3370" t="s">
        <v>296</v>
      </c>
      <c r="I3370" s="9"/>
    </row>
    <row r="3371" spans="1:9" x14ac:dyDescent="0.25">
      <c r="A3371">
        <v>410527</v>
      </c>
      <c r="B3371">
        <v>4.4000000000000004</v>
      </c>
      <c r="C3371">
        <v>200</v>
      </c>
      <c r="D3371" s="9">
        <v>42648</v>
      </c>
      <c r="E3371" t="s">
        <v>295</v>
      </c>
      <c r="I3371" s="9"/>
    </row>
    <row r="3372" spans="1:9" x14ac:dyDescent="0.25">
      <c r="A3372">
        <v>410527</v>
      </c>
      <c r="B3372">
        <v>0.86</v>
      </c>
      <c r="C3372">
        <v>200</v>
      </c>
      <c r="D3372" s="9">
        <v>42510</v>
      </c>
      <c r="E3372" t="s">
        <v>296</v>
      </c>
      <c r="I3372" s="9"/>
    </row>
    <row r="3373" spans="1:9" x14ac:dyDescent="0.25">
      <c r="A3373">
        <v>410527</v>
      </c>
      <c r="B3373">
        <v>0.88</v>
      </c>
      <c r="C3373">
        <v>200</v>
      </c>
      <c r="D3373" s="9">
        <v>42207</v>
      </c>
      <c r="E3373" t="s">
        <v>296</v>
      </c>
      <c r="I3373" s="9"/>
    </row>
    <row r="3374" spans="1:9" x14ac:dyDescent="0.25">
      <c r="A3374">
        <v>410527</v>
      </c>
      <c r="B3374">
        <v>1.1000000000000001</v>
      </c>
      <c r="C3374">
        <v>200</v>
      </c>
      <c r="D3374" s="9">
        <v>41865</v>
      </c>
      <c r="E3374" t="s">
        <v>296</v>
      </c>
      <c r="I3374" s="9"/>
    </row>
    <row r="3375" spans="1:9" x14ac:dyDescent="0.25">
      <c r="A3375">
        <v>410529</v>
      </c>
      <c r="B3375">
        <v>11.5</v>
      </c>
      <c r="C3375">
        <v>50</v>
      </c>
      <c r="D3375" s="9">
        <v>43998</v>
      </c>
      <c r="E3375" t="s">
        <v>295</v>
      </c>
      <c r="I3375" s="9"/>
    </row>
    <row r="3376" spans="1:9" x14ac:dyDescent="0.25">
      <c r="A3376">
        <v>410529</v>
      </c>
      <c r="B3376">
        <v>11.5</v>
      </c>
      <c r="C3376">
        <v>100</v>
      </c>
      <c r="D3376" s="9">
        <v>43243</v>
      </c>
      <c r="E3376" t="s">
        <v>295</v>
      </c>
      <c r="I3376" s="9"/>
    </row>
    <row r="3377" spans="1:9" x14ac:dyDescent="0.25">
      <c r="A3377">
        <v>410530</v>
      </c>
      <c r="B3377">
        <v>1.349</v>
      </c>
      <c r="C3377">
        <v>1200</v>
      </c>
      <c r="D3377" s="9">
        <v>44070</v>
      </c>
      <c r="E3377" t="s">
        <v>296</v>
      </c>
      <c r="I3377" s="9"/>
    </row>
    <row r="3378" spans="1:9" x14ac:dyDescent="0.25">
      <c r="A3378">
        <v>410530</v>
      </c>
      <c r="B3378">
        <v>7.57</v>
      </c>
      <c r="C3378">
        <v>120</v>
      </c>
      <c r="D3378" s="9">
        <v>44062</v>
      </c>
      <c r="E3378" t="s">
        <v>295</v>
      </c>
      <c r="I3378" s="9"/>
    </row>
    <row r="3379" spans="1:9" x14ac:dyDescent="0.25">
      <c r="A3379">
        <v>410530</v>
      </c>
      <c r="B3379">
        <v>1.81</v>
      </c>
      <c r="C3379">
        <v>800</v>
      </c>
      <c r="D3379" s="9">
        <v>44043</v>
      </c>
      <c r="E3379" t="s">
        <v>296</v>
      </c>
      <c r="I3379" s="9"/>
    </row>
    <row r="3380" spans="1:9" x14ac:dyDescent="0.25">
      <c r="A3380">
        <v>410530</v>
      </c>
      <c r="B3380">
        <v>1.81</v>
      </c>
      <c r="C3380">
        <v>600</v>
      </c>
      <c r="D3380" s="9">
        <v>43839</v>
      </c>
      <c r="E3380" t="s">
        <v>296</v>
      </c>
      <c r="I3380" s="9"/>
    </row>
    <row r="3381" spans="1:9" x14ac:dyDescent="0.25">
      <c r="A3381">
        <v>410530</v>
      </c>
      <c r="B3381">
        <v>1.81</v>
      </c>
      <c r="C3381">
        <v>600</v>
      </c>
      <c r="D3381" s="9">
        <v>43648</v>
      </c>
      <c r="E3381" t="s">
        <v>296</v>
      </c>
      <c r="I3381" s="9"/>
    </row>
    <row r="3382" spans="1:9" x14ac:dyDescent="0.25">
      <c r="A3382">
        <v>410530</v>
      </c>
      <c r="B3382">
        <v>7.57</v>
      </c>
      <c r="C3382">
        <v>40</v>
      </c>
      <c r="D3382" s="9">
        <v>43633</v>
      </c>
      <c r="E3382" t="s">
        <v>295</v>
      </c>
      <c r="I3382" s="9"/>
    </row>
    <row r="3383" spans="1:9" x14ac:dyDescent="0.25">
      <c r="A3383">
        <v>410530</v>
      </c>
      <c r="B3383">
        <v>7.57</v>
      </c>
      <c r="C3383">
        <v>300</v>
      </c>
      <c r="D3383" s="9">
        <v>43489</v>
      </c>
      <c r="E3383" t="s">
        <v>295</v>
      </c>
      <c r="I3383" s="9"/>
    </row>
    <row r="3384" spans="1:9" x14ac:dyDescent="0.25">
      <c r="A3384">
        <v>410530</v>
      </c>
      <c r="B3384">
        <v>6.94</v>
      </c>
      <c r="C3384">
        <v>300</v>
      </c>
      <c r="D3384" s="9">
        <v>43248</v>
      </c>
      <c r="E3384" t="s">
        <v>295</v>
      </c>
      <c r="I3384" s="9"/>
    </row>
    <row r="3385" spans="1:9" x14ac:dyDescent="0.25">
      <c r="A3385">
        <v>410530</v>
      </c>
      <c r="B3385">
        <v>1.22</v>
      </c>
      <c r="C3385">
        <v>600</v>
      </c>
      <c r="D3385" s="9">
        <v>43244</v>
      </c>
      <c r="E3385" t="s">
        <v>296</v>
      </c>
      <c r="I3385" s="9"/>
    </row>
    <row r="3386" spans="1:9" x14ac:dyDescent="0.25">
      <c r="A3386">
        <v>410530</v>
      </c>
      <c r="B3386">
        <v>6.94</v>
      </c>
      <c r="C3386">
        <v>60</v>
      </c>
      <c r="D3386" s="9">
        <v>43227</v>
      </c>
      <c r="E3386" t="s">
        <v>295</v>
      </c>
      <c r="I3386" s="9"/>
    </row>
    <row r="3387" spans="1:9" x14ac:dyDescent="0.25">
      <c r="A3387">
        <v>410530</v>
      </c>
      <c r="B3387">
        <v>6.94</v>
      </c>
      <c r="C3387">
        <v>30</v>
      </c>
      <c r="D3387" s="9">
        <v>43181</v>
      </c>
      <c r="E3387" t="s">
        <v>295</v>
      </c>
      <c r="I3387" s="9"/>
    </row>
    <row r="3388" spans="1:9" x14ac:dyDescent="0.25">
      <c r="A3388">
        <v>410530</v>
      </c>
      <c r="B3388">
        <v>6.94</v>
      </c>
      <c r="C3388">
        <v>30</v>
      </c>
      <c r="D3388" s="9">
        <v>43168</v>
      </c>
      <c r="E3388" t="s">
        <v>295</v>
      </c>
      <c r="I3388" s="9"/>
    </row>
    <row r="3389" spans="1:9" x14ac:dyDescent="0.25">
      <c r="A3389">
        <v>410530</v>
      </c>
      <c r="B3389">
        <v>6.94</v>
      </c>
      <c r="C3389">
        <v>30</v>
      </c>
      <c r="D3389" s="9">
        <v>43136</v>
      </c>
      <c r="E3389" t="s">
        <v>295</v>
      </c>
      <c r="I3389" s="9"/>
    </row>
    <row r="3390" spans="1:9" x14ac:dyDescent="0.25">
      <c r="A3390">
        <v>410530</v>
      </c>
      <c r="B3390">
        <v>7.57</v>
      </c>
      <c r="C3390">
        <v>30</v>
      </c>
      <c r="D3390" s="9">
        <v>43105</v>
      </c>
      <c r="E3390" t="s">
        <v>295</v>
      </c>
      <c r="I3390" s="9"/>
    </row>
    <row r="3391" spans="1:9" x14ac:dyDescent="0.25">
      <c r="A3391">
        <v>410530</v>
      </c>
      <c r="B3391">
        <v>8</v>
      </c>
      <c r="C3391">
        <v>24</v>
      </c>
      <c r="D3391" s="9">
        <v>43080</v>
      </c>
      <c r="E3391" t="s">
        <v>295</v>
      </c>
      <c r="I3391" s="9"/>
    </row>
    <row r="3392" spans="1:9" x14ac:dyDescent="0.25">
      <c r="A3392">
        <v>410530</v>
      </c>
      <c r="B3392">
        <v>1.2250000000000001</v>
      </c>
      <c r="C3392">
        <v>600</v>
      </c>
      <c r="D3392" s="9">
        <v>42607</v>
      </c>
      <c r="E3392" t="s">
        <v>297</v>
      </c>
      <c r="I3392" s="9"/>
    </row>
    <row r="3393" spans="1:9" x14ac:dyDescent="0.25">
      <c r="A3393">
        <v>410530</v>
      </c>
      <c r="B3393">
        <v>4.43</v>
      </c>
      <c r="C3393">
        <v>720</v>
      </c>
      <c r="D3393" s="9">
        <v>41957</v>
      </c>
      <c r="E3393" t="s">
        <v>295</v>
      </c>
      <c r="I3393" s="9"/>
    </row>
    <row r="3394" spans="1:9" x14ac:dyDescent="0.25">
      <c r="A3394">
        <v>410530</v>
      </c>
      <c r="B3394">
        <v>1.3320000000000001</v>
      </c>
      <c r="C3394">
        <v>720</v>
      </c>
      <c r="D3394" s="9">
        <v>41912</v>
      </c>
      <c r="E3394" t="s">
        <v>296</v>
      </c>
      <c r="I3394" s="9"/>
    </row>
    <row r="3395" spans="1:9" x14ac:dyDescent="0.25">
      <c r="A3395">
        <v>410530</v>
      </c>
      <c r="B3395">
        <v>1.2689999999999999</v>
      </c>
      <c r="C3395">
        <v>720</v>
      </c>
      <c r="D3395" s="9">
        <v>41744</v>
      </c>
      <c r="E3395" t="s">
        <v>296</v>
      </c>
      <c r="I3395" s="9"/>
    </row>
    <row r="3396" spans="1:9" x14ac:dyDescent="0.25">
      <c r="A3396">
        <v>410540</v>
      </c>
      <c r="B3396">
        <v>3.04</v>
      </c>
      <c r="C3396">
        <v>720</v>
      </c>
      <c r="D3396" s="9">
        <v>44117</v>
      </c>
      <c r="E3396" t="s">
        <v>296</v>
      </c>
      <c r="I3396" s="9"/>
    </row>
    <row r="3397" spans="1:9" x14ac:dyDescent="0.25">
      <c r="A3397">
        <v>410540</v>
      </c>
      <c r="B3397">
        <v>16.39</v>
      </c>
      <c r="C3397">
        <v>100</v>
      </c>
      <c r="D3397" s="9">
        <v>44099</v>
      </c>
      <c r="E3397" t="s">
        <v>295</v>
      </c>
      <c r="I3397" s="9"/>
    </row>
    <row r="3398" spans="1:9" x14ac:dyDescent="0.25">
      <c r="A3398">
        <v>410540</v>
      </c>
      <c r="B3398">
        <v>16.39</v>
      </c>
      <c r="C3398">
        <v>100</v>
      </c>
      <c r="D3398" s="9">
        <v>44083</v>
      </c>
      <c r="E3398" t="s">
        <v>295</v>
      </c>
      <c r="I3398" s="9"/>
    </row>
    <row r="3399" spans="1:9" x14ac:dyDescent="0.25">
      <c r="A3399">
        <v>410540</v>
      </c>
      <c r="B3399">
        <v>16.39</v>
      </c>
      <c r="C3399">
        <v>240</v>
      </c>
      <c r="D3399" s="9">
        <v>44062</v>
      </c>
      <c r="E3399" t="s">
        <v>295</v>
      </c>
      <c r="I3399" s="9"/>
    </row>
    <row r="3400" spans="1:9" x14ac:dyDescent="0.25">
      <c r="A3400">
        <v>410540</v>
      </c>
      <c r="B3400">
        <v>17.38</v>
      </c>
      <c r="C3400">
        <v>300</v>
      </c>
      <c r="D3400" s="9">
        <v>44000</v>
      </c>
      <c r="E3400" t="s">
        <v>295</v>
      </c>
      <c r="I3400" s="9"/>
    </row>
    <row r="3401" spans="1:9" x14ac:dyDescent="0.25">
      <c r="A3401">
        <v>410540</v>
      </c>
      <c r="B3401">
        <v>17.38</v>
      </c>
      <c r="C3401">
        <v>400</v>
      </c>
      <c r="D3401" s="9">
        <v>43979</v>
      </c>
      <c r="E3401" t="s">
        <v>295</v>
      </c>
      <c r="I3401" s="9"/>
    </row>
    <row r="3402" spans="1:9" x14ac:dyDescent="0.25">
      <c r="A3402">
        <v>410540</v>
      </c>
      <c r="B3402">
        <v>3.21</v>
      </c>
      <c r="C3402">
        <v>600</v>
      </c>
      <c r="D3402" s="9">
        <v>43972</v>
      </c>
      <c r="E3402" t="s">
        <v>296</v>
      </c>
      <c r="I3402" s="9"/>
    </row>
    <row r="3403" spans="1:9" x14ac:dyDescent="0.25">
      <c r="A3403">
        <v>410540</v>
      </c>
      <c r="B3403">
        <v>17.38</v>
      </c>
      <c r="C3403">
        <v>300</v>
      </c>
      <c r="D3403" s="9">
        <v>43957</v>
      </c>
      <c r="E3403" t="s">
        <v>295</v>
      </c>
      <c r="I3403" s="9"/>
    </row>
    <row r="3404" spans="1:9" x14ac:dyDescent="0.25">
      <c r="A3404">
        <v>410540</v>
      </c>
      <c r="B3404">
        <v>20.16</v>
      </c>
      <c r="C3404">
        <v>50</v>
      </c>
      <c r="D3404" s="9">
        <v>43915</v>
      </c>
      <c r="E3404" t="s">
        <v>295</v>
      </c>
      <c r="I3404" s="9"/>
    </row>
    <row r="3405" spans="1:9" x14ac:dyDescent="0.25">
      <c r="A3405">
        <v>410540</v>
      </c>
      <c r="B3405">
        <v>21.38</v>
      </c>
      <c r="C3405">
        <v>300</v>
      </c>
      <c r="D3405" s="9">
        <v>43915</v>
      </c>
      <c r="E3405" t="s">
        <v>295</v>
      </c>
      <c r="I3405" s="9"/>
    </row>
    <row r="3406" spans="1:9" x14ac:dyDescent="0.25">
      <c r="A3406">
        <v>410540</v>
      </c>
      <c r="B3406">
        <v>3.21</v>
      </c>
      <c r="C3406">
        <v>432</v>
      </c>
      <c r="D3406" s="9">
        <v>43839</v>
      </c>
      <c r="E3406" t="s">
        <v>296</v>
      </c>
      <c r="I3406" s="9"/>
    </row>
    <row r="3407" spans="1:9" x14ac:dyDescent="0.25">
      <c r="A3407">
        <v>410540</v>
      </c>
      <c r="B3407">
        <v>16.39</v>
      </c>
      <c r="C3407">
        <v>240</v>
      </c>
      <c r="D3407" s="9">
        <v>43797</v>
      </c>
      <c r="E3407" t="s">
        <v>295</v>
      </c>
      <c r="I3407" s="9"/>
    </row>
    <row r="3408" spans="1:9" x14ac:dyDescent="0.25">
      <c r="A3408">
        <v>410540</v>
      </c>
      <c r="B3408">
        <v>3.21</v>
      </c>
      <c r="C3408">
        <v>600</v>
      </c>
      <c r="D3408" s="9">
        <v>43648</v>
      </c>
      <c r="E3408" t="s">
        <v>296</v>
      </c>
      <c r="I3408" s="9"/>
    </row>
    <row r="3409" spans="1:9" x14ac:dyDescent="0.25">
      <c r="A3409">
        <v>410540</v>
      </c>
      <c r="B3409">
        <v>16.39</v>
      </c>
      <c r="C3409">
        <v>100</v>
      </c>
      <c r="D3409" s="9">
        <v>43648</v>
      </c>
      <c r="E3409" t="s">
        <v>295</v>
      </c>
      <c r="I3409" s="9"/>
    </row>
    <row r="3410" spans="1:9" x14ac:dyDescent="0.25">
      <c r="A3410">
        <v>410540</v>
      </c>
      <c r="B3410">
        <v>15.31</v>
      </c>
      <c r="C3410">
        <v>100</v>
      </c>
      <c r="D3410" s="9">
        <v>43633</v>
      </c>
      <c r="E3410" t="s">
        <v>295</v>
      </c>
      <c r="I3410" s="9"/>
    </row>
    <row r="3411" spans="1:9" x14ac:dyDescent="0.25">
      <c r="A3411">
        <v>410540</v>
      </c>
      <c r="B3411">
        <v>16.39</v>
      </c>
      <c r="C3411">
        <v>50</v>
      </c>
      <c r="D3411" s="9">
        <v>43601</v>
      </c>
      <c r="E3411" t="s">
        <v>295</v>
      </c>
      <c r="I3411" s="9"/>
    </row>
    <row r="3412" spans="1:9" x14ac:dyDescent="0.25">
      <c r="A3412">
        <v>410540</v>
      </c>
      <c r="B3412">
        <v>3.21</v>
      </c>
      <c r="C3412">
        <v>360</v>
      </c>
      <c r="D3412" s="9">
        <v>43483</v>
      </c>
      <c r="E3412" t="s">
        <v>296</v>
      </c>
      <c r="I3412" s="9"/>
    </row>
    <row r="3413" spans="1:9" x14ac:dyDescent="0.25">
      <c r="A3413">
        <v>410540</v>
      </c>
      <c r="B3413">
        <v>16.39</v>
      </c>
      <c r="C3413">
        <v>300</v>
      </c>
      <c r="D3413" s="9">
        <v>43482</v>
      </c>
      <c r="E3413" t="s">
        <v>295</v>
      </c>
      <c r="I3413" s="9"/>
    </row>
    <row r="3414" spans="1:9" x14ac:dyDescent="0.25">
      <c r="A3414">
        <v>410540</v>
      </c>
      <c r="B3414">
        <v>16.39</v>
      </c>
      <c r="C3414">
        <v>50</v>
      </c>
      <c r="D3414" s="9">
        <v>43391</v>
      </c>
      <c r="E3414" t="s">
        <v>295</v>
      </c>
      <c r="I3414" s="9"/>
    </row>
    <row r="3415" spans="1:9" x14ac:dyDescent="0.25">
      <c r="A3415">
        <v>410540</v>
      </c>
      <c r="B3415">
        <v>16.39</v>
      </c>
      <c r="C3415">
        <v>150</v>
      </c>
      <c r="D3415" s="9">
        <v>43334</v>
      </c>
      <c r="E3415" t="s">
        <v>295</v>
      </c>
      <c r="I3415" s="9"/>
    </row>
    <row r="3416" spans="1:9" x14ac:dyDescent="0.25">
      <c r="A3416">
        <v>410540</v>
      </c>
      <c r="B3416">
        <v>16.39</v>
      </c>
      <c r="C3416">
        <v>150</v>
      </c>
      <c r="D3416" s="9">
        <v>43328</v>
      </c>
      <c r="E3416" t="s">
        <v>295</v>
      </c>
      <c r="I3416" s="9"/>
    </row>
    <row r="3417" spans="1:9" x14ac:dyDescent="0.25">
      <c r="A3417">
        <v>410540</v>
      </c>
      <c r="B3417">
        <v>2.65</v>
      </c>
      <c r="C3417">
        <v>360</v>
      </c>
      <c r="D3417" s="9">
        <v>43244</v>
      </c>
      <c r="E3417" t="s">
        <v>296</v>
      </c>
      <c r="I3417" s="9"/>
    </row>
    <row r="3418" spans="1:9" x14ac:dyDescent="0.25">
      <c r="A3418">
        <v>410540</v>
      </c>
      <c r="B3418">
        <v>16.39</v>
      </c>
      <c r="C3418">
        <v>50</v>
      </c>
      <c r="D3418" s="9">
        <v>43229</v>
      </c>
      <c r="E3418" t="s">
        <v>295</v>
      </c>
      <c r="I3418" s="9"/>
    </row>
    <row r="3419" spans="1:9" x14ac:dyDescent="0.25">
      <c r="A3419">
        <v>410540</v>
      </c>
      <c r="B3419">
        <v>16.39</v>
      </c>
      <c r="C3419">
        <v>200</v>
      </c>
      <c r="D3419" s="9">
        <v>43208</v>
      </c>
      <c r="E3419" t="s">
        <v>295</v>
      </c>
      <c r="I3419" s="9"/>
    </row>
    <row r="3420" spans="1:9" x14ac:dyDescent="0.25">
      <c r="A3420">
        <v>410540</v>
      </c>
      <c r="B3420">
        <v>16.48</v>
      </c>
      <c r="C3420">
        <v>50</v>
      </c>
      <c r="D3420" s="9">
        <v>43199</v>
      </c>
      <c r="E3420" t="s">
        <v>295</v>
      </c>
      <c r="I3420" s="9"/>
    </row>
    <row r="3421" spans="1:9" x14ac:dyDescent="0.25">
      <c r="A3421">
        <v>410540</v>
      </c>
      <c r="B3421">
        <v>16.48</v>
      </c>
      <c r="C3421">
        <v>80</v>
      </c>
      <c r="D3421" s="9">
        <v>43181</v>
      </c>
      <c r="E3421" t="s">
        <v>295</v>
      </c>
      <c r="I3421" s="9"/>
    </row>
    <row r="3422" spans="1:9" x14ac:dyDescent="0.25">
      <c r="A3422">
        <v>410540</v>
      </c>
      <c r="B3422">
        <v>16.48</v>
      </c>
      <c r="C3422">
        <v>50</v>
      </c>
      <c r="D3422" s="9">
        <v>43168</v>
      </c>
      <c r="E3422" t="s">
        <v>295</v>
      </c>
      <c r="I3422" s="9"/>
    </row>
    <row r="3423" spans="1:9" x14ac:dyDescent="0.25">
      <c r="A3423">
        <v>410540</v>
      </c>
      <c r="B3423">
        <v>16.48</v>
      </c>
      <c r="C3423">
        <v>50</v>
      </c>
      <c r="D3423" s="9">
        <v>43151</v>
      </c>
      <c r="E3423" t="s">
        <v>295</v>
      </c>
      <c r="I3423" s="9"/>
    </row>
    <row r="3424" spans="1:9" x14ac:dyDescent="0.25">
      <c r="A3424">
        <v>410540</v>
      </c>
      <c r="B3424">
        <v>16.48</v>
      </c>
      <c r="C3424">
        <v>60</v>
      </c>
      <c r="D3424" s="9">
        <v>43136</v>
      </c>
      <c r="E3424" t="s">
        <v>295</v>
      </c>
      <c r="I3424" s="9"/>
    </row>
    <row r="3425" spans="1:9" x14ac:dyDescent="0.25">
      <c r="A3425">
        <v>410540</v>
      </c>
      <c r="B3425">
        <v>16.39</v>
      </c>
      <c r="C3425">
        <v>45</v>
      </c>
      <c r="D3425" s="9">
        <v>43118</v>
      </c>
      <c r="E3425" t="s">
        <v>295</v>
      </c>
      <c r="I3425" s="9"/>
    </row>
    <row r="3426" spans="1:9" x14ac:dyDescent="0.25">
      <c r="A3426">
        <v>410540</v>
      </c>
      <c r="B3426">
        <v>16.39</v>
      </c>
      <c r="C3426">
        <v>20</v>
      </c>
      <c r="D3426" s="9">
        <v>43105</v>
      </c>
      <c r="E3426" t="s">
        <v>295</v>
      </c>
      <c r="I3426" s="9"/>
    </row>
    <row r="3427" spans="1:9" x14ac:dyDescent="0.25">
      <c r="A3427">
        <v>410540</v>
      </c>
      <c r="B3427">
        <v>15.96</v>
      </c>
      <c r="C3427">
        <v>24</v>
      </c>
      <c r="D3427" s="9">
        <v>43080</v>
      </c>
      <c r="E3427" t="s">
        <v>295</v>
      </c>
      <c r="I3427" s="9"/>
    </row>
    <row r="3428" spans="1:9" x14ac:dyDescent="0.25">
      <c r="A3428">
        <v>410540</v>
      </c>
      <c r="B3428">
        <v>2.92</v>
      </c>
      <c r="C3428">
        <v>360</v>
      </c>
      <c r="D3428" s="9">
        <v>42972</v>
      </c>
      <c r="E3428" t="s">
        <v>296</v>
      </c>
      <c r="I3428" s="9"/>
    </row>
    <row r="3429" spans="1:9" x14ac:dyDescent="0.25">
      <c r="A3429">
        <v>410540</v>
      </c>
      <c r="B3429">
        <v>2.75</v>
      </c>
      <c r="C3429">
        <v>360</v>
      </c>
      <c r="D3429" s="9">
        <v>42719</v>
      </c>
      <c r="E3429" t="s">
        <v>296</v>
      </c>
      <c r="I3429" s="9"/>
    </row>
    <row r="3430" spans="1:9" x14ac:dyDescent="0.25">
      <c r="A3430">
        <v>410540</v>
      </c>
      <c r="B3430">
        <v>2.75</v>
      </c>
      <c r="C3430">
        <v>360</v>
      </c>
      <c r="D3430" s="9">
        <v>42660</v>
      </c>
      <c r="E3430" t="s">
        <v>296</v>
      </c>
      <c r="I3430" s="9"/>
    </row>
    <row r="3431" spans="1:9" x14ac:dyDescent="0.25">
      <c r="A3431">
        <v>410540</v>
      </c>
      <c r="B3431">
        <v>2.798</v>
      </c>
      <c r="C3431">
        <v>288</v>
      </c>
      <c r="D3431" s="9">
        <v>42401</v>
      </c>
      <c r="E3431" t="s">
        <v>297</v>
      </c>
      <c r="I3431" s="9"/>
    </row>
    <row r="3432" spans="1:9" x14ac:dyDescent="0.25">
      <c r="A3432">
        <v>410540</v>
      </c>
      <c r="B3432">
        <v>10.130000000000001</v>
      </c>
      <c r="C3432">
        <v>288</v>
      </c>
      <c r="D3432" s="9">
        <v>41957</v>
      </c>
      <c r="E3432" t="s">
        <v>295</v>
      </c>
      <c r="I3432" s="9"/>
    </row>
    <row r="3433" spans="1:9" x14ac:dyDescent="0.25">
      <c r="A3433">
        <v>410540</v>
      </c>
      <c r="B3433">
        <v>3.044</v>
      </c>
      <c r="C3433">
        <v>288</v>
      </c>
      <c r="D3433" s="9">
        <v>41912</v>
      </c>
      <c r="E3433" t="s">
        <v>296</v>
      </c>
      <c r="I3433" s="9"/>
    </row>
    <row r="3434" spans="1:9" x14ac:dyDescent="0.25">
      <c r="A3434">
        <v>410620</v>
      </c>
      <c r="B3434">
        <v>0.92600000000000005</v>
      </c>
      <c r="C3434">
        <v>350</v>
      </c>
      <c r="D3434" s="9">
        <v>44070</v>
      </c>
      <c r="E3434" t="s">
        <v>296</v>
      </c>
      <c r="I3434" s="9"/>
    </row>
    <row r="3435" spans="1:9" x14ac:dyDescent="0.25">
      <c r="A3435">
        <v>410620</v>
      </c>
      <c r="B3435">
        <v>1.47</v>
      </c>
      <c r="C3435">
        <v>384</v>
      </c>
      <c r="D3435" s="9">
        <v>43955</v>
      </c>
      <c r="E3435" t="s">
        <v>296</v>
      </c>
      <c r="I3435" s="9"/>
    </row>
    <row r="3436" spans="1:9" x14ac:dyDescent="0.25">
      <c r="A3436">
        <v>410620</v>
      </c>
      <c r="B3436">
        <v>1.47</v>
      </c>
      <c r="C3436">
        <v>384</v>
      </c>
      <c r="D3436" s="9">
        <v>43592</v>
      </c>
      <c r="E3436" t="s">
        <v>296</v>
      </c>
      <c r="I3436" s="9"/>
    </row>
    <row r="3437" spans="1:9" x14ac:dyDescent="0.25">
      <c r="A3437">
        <v>410620</v>
      </c>
      <c r="B3437">
        <v>1.47</v>
      </c>
      <c r="C3437">
        <v>384</v>
      </c>
      <c r="D3437" s="9">
        <v>43250</v>
      </c>
      <c r="E3437" t="s">
        <v>296</v>
      </c>
      <c r="I3437" s="9"/>
    </row>
    <row r="3438" spans="1:9" x14ac:dyDescent="0.25">
      <c r="A3438">
        <v>410620</v>
      </c>
      <c r="B3438">
        <v>1.42</v>
      </c>
      <c r="C3438">
        <v>384</v>
      </c>
      <c r="D3438" s="9">
        <v>42573</v>
      </c>
      <c r="E3438" t="s">
        <v>296</v>
      </c>
      <c r="I3438" s="9"/>
    </row>
    <row r="3439" spans="1:9" x14ac:dyDescent="0.25">
      <c r="A3439">
        <v>410620</v>
      </c>
      <c r="B3439">
        <v>1.47</v>
      </c>
      <c r="C3439">
        <v>576</v>
      </c>
      <c r="D3439" s="9">
        <v>42299</v>
      </c>
      <c r="E3439" t="s">
        <v>296</v>
      </c>
      <c r="I3439" s="9"/>
    </row>
    <row r="3440" spans="1:9" x14ac:dyDescent="0.25">
      <c r="A3440">
        <v>410620</v>
      </c>
      <c r="B3440">
        <v>1.47</v>
      </c>
      <c r="C3440">
        <v>576</v>
      </c>
      <c r="D3440" s="9">
        <v>42031</v>
      </c>
      <c r="E3440" t="s">
        <v>296</v>
      </c>
      <c r="I3440" s="9"/>
    </row>
    <row r="3441" spans="1:9" x14ac:dyDescent="0.25">
      <c r="A3441">
        <v>410620</v>
      </c>
      <c r="B3441">
        <v>1.47</v>
      </c>
      <c r="C3441">
        <v>768</v>
      </c>
      <c r="D3441" s="9">
        <v>41375</v>
      </c>
      <c r="E3441" t="s">
        <v>296</v>
      </c>
      <c r="I3441" s="9"/>
    </row>
    <row r="3442" spans="1:9" x14ac:dyDescent="0.25">
      <c r="A3442">
        <v>410631</v>
      </c>
      <c r="B3442">
        <v>0.53800000000000003</v>
      </c>
      <c r="C3442">
        <v>960</v>
      </c>
      <c r="D3442" s="9">
        <v>44083</v>
      </c>
      <c r="E3442" t="s">
        <v>296</v>
      </c>
      <c r="I3442" s="9"/>
    </row>
    <row r="3443" spans="1:9" x14ac:dyDescent="0.25">
      <c r="A3443">
        <v>410631</v>
      </c>
      <c r="B3443">
        <v>0.53800000000000003</v>
      </c>
      <c r="C3443">
        <v>960</v>
      </c>
      <c r="D3443" s="9">
        <v>43340</v>
      </c>
      <c r="E3443" t="s">
        <v>296</v>
      </c>
      <c r="I3443" s="9"/>
    </row>
    <row r="3444" spans="1:9" x14ac:dyDescent="0.25">
      <c r="A3444">
        <v>410631</v>
      </c>
      <c r="B3444">
        <v>0.53800000000000003</v>
      </c>
      <c r="C3444">
        <v>960</v>
      </c>
      <c r="D3444" s="9">
        <v>43340</v>
      </c>
      <c r="E3444" t="s">
        <v>296</v>
      </c>
      <c r="I3444" s="9"/>
    </row>
    <row r="3445" spans="1:9" x14ac:dyDescent="0.25">
      <c r="A3445">
        <v>410631</v>
      </c>
      <c r="B3445">
        <v>0.51300000000000001</v>
      </c>
      <c r="C3445">
        <v>960</v>
      </c>
      <c r="D3445" s="9">
        <v>42919</v>
      </c>
      <c r="E3445" t="s">
        <v>296</v>
      </c>
      <c r="I3445" s="9"/>
    </row>
    <row r="3446" spans="1:9" x14ac:dyDescent="0.25">
      <c r="A3446">
        <v>410631</v>
      </c>
      <c r="B3446">
        <v>0.6</v>
      </c>
      <c r="C3446">
        <v>960</v>
      </c>
      <c r="D3446" s="9">
        <v>42607</v>
      </c>
      <c r="E3446" t="s">
        <v>297</v>
      </c>
      <c r="I3446" s="9"/>
    </row>
    <row r="3447" spans="1:9" x14ac:dyDescent="0.25">
      <c r="A3447">
        <v>410631</v>
      </c>
      <c r="B3447">
        <v>0.66500000000000004</v>
      </c>
      <c r="C3447">
        <v>1152</v>
      </c>
      <c r="D3447" s="9">
        <v>41592</v>
      </c>
      <c r="E3447" t="s">
        <v>296</v>
      </c>
      <c r="I3447" s="9"/>
    </row>
    <row r="3448" spans="1:9" x14ac:dyDescent="0.25">
      <c r="A3448">
        <v>410632</v>
      </c>
      <c r="B3448">
        <v>0.78900000000000003</v>
      </c>
      <c r="C3448">
        <v>768</v>
      </c>
      <c r="D3448" s="9">
        <v>42270</v>
      </c>
      <c r="E3448" t="s">
        <v>296</v>
      </c>
      <c r="I3448" s="9"/>
    </row>
    <row r="3449" spans="1:9" x14ac:dyDescent="0.25">
      <c r="A3449">
        <v>410632</v>
      </c>
      <c r="B3449">
        <v>0.78900000000000003</v>
      </c>
      <c r="C3449">
        <v>1200</v>
      </c>
      <c r="D3449" s="9">
        <v>41647</v>
      </c>
      <c r="E3449" t="s">
        <v>296</v>
      </c>
      <c r="I3449" s="9"/>
    </row>
    <row r="3450" spans="1:9" x14ac:dyDescent="0.25">
      <c r="A3450">
        <v>410633</v>
      </c>
      <c r="B3450">
        <v>0.56599999999999995</v>
      </c>
      <c r="C3450">
        <v>768</v>
      </c>
      <c r="D3450" s="9">
        <v>44140</v>
      </c>
      <c r="E3450" t="s">
        <v>296</v>
      </c>
      <c r="I3450" s="9"/>
    </row>
    <row r="3451" spans="1:9" x14ac:dyDescent="0.25">
      <c r="A3451">
        <v>410633</v>
      </c>
      <c r="B3451">
        <v>0.75</v>
      </c>
      <c r="C3451">
        <v>960</v>
      </c>
      <c r="D3451" s="9">
        <v>43955</v>
      </c>
      <c r="E3451" t="s">
        <v>296</v>
      </c>
      <c r="I3451" s="9"/>
    </row>
    <row r="3452" spans="1:9" x14ac:dyDescent="0.25">
      <c r="A3452">
        <v>410633</v>
      </c>
      <c r="B3452">
        <v>0.75</v>
      </c>
      <c r="C3452">
        <v>960</v>
      </c>
      <c r="D3452" s="9">
        <v>43837</v>
      </c>
      <c r="E3452" t="s">
        <v>296</v>
      </c>
      <c r="I3452" s="9"/>
    </row>
    <row r="3453" spans="1:9" x14ac:dyDescent="0.25">
      <c r="A3453">
        <v>410633</v>
      </c>
      <c r="B3453">
        <v>0.56100000000000005</v>
      </c>
      <c r="C3453">
        <v>960</v>
      </c>
      <c r="D3453" s="9">
        <v>43340</v>
      </c>
      <c r="E3453" t="s">
        <v>296</v>
      </c>
      <c r="I3453" s="9"/>
    </row>
    <row r="3454" spans="1:9" x14ac:dyDescent="0.25">
      <c r="A3454">
        <v>410633</v>
      </c>
      <c r="B3454">
        <v>0.56100000000000005</v>
      </c>
      <c r="C3454">
        <v>1152</v>
      </c>
      <c r="D3454" s="9">
        <v>43340</v>
      </c>
      <c r="E3454" t="s">
        <v>296</v>
      </c>
      <c r="I3454" s="9"/>
    </row>
    <row r="3455" spans="1:9" x14ac:dyDescent="0.25">
      <c r="A3455">
        <v>410633</v>
      </c>
      <c r="B3455">
        <v>2.23</v>
      </c>
      <c r="C3455">
        <v>280</v>
      </c>
      <c r="D3455" s="9">
        <v>43139</v>
      </c>
      <c r="E3455" t="s">
        <v>295</v>
      </c>
      <c r="I3455" s="9"/>
    </row>
    <row r="3456" spans="1:9" x14ac:dyDescent="0.25">
      <c r="A3456">
        <v>410633</v>
      </c>
      <c r="B3456">
        <v>0.60099999999999998</v>
      </c>
      <c r="C3456">
        <v>1152</v>
      </c>
      <c r="D3456" s="9">
        <v>42753</v>
      </c>
      <c r="E3456" t="s">
        <v>297</v>
      </c>
      <c r="I3456" s="9"/>
    </row>
    <row r="3457" spans="1:9" x14ac:dyDescent="0.25">
      <c r="A3457">
        <v>410633</v>
      </c>
      <c r="B3457">
        <v>0.60099999999999998</v>
      </c>
      <c r="C3457">
        <v>1344</v>
      </c>
      <c r="D3457" s="9">
        <v>42607</v>
      </c>
      <c r="E3457" t="s">
        <v>297</v>
      </c>
      <c r="I3457" s="9"/>
    </row>
    <row r="3458" spans="1:9" x14ac:dyDescent="0.25">
      <c r="A3458">
        <v>410633</v>
      </c>
      <c r="B3458">
        <v>0.79300000000000004</v>
      </c>
      <c r="C3458">
        <v>960</v>
      </c>
      <c r="D3458" s="9">
        <v>42299</v>
      </c>
      <c r="E3458" t="s">
        <v>296</v>
      </c>
      <c r="I3458" s="9"/>
    </row>
    <row r="3459" spans="1:9" x14ac:dyDescent="0.25">
      <c r="A3459">
        <v>410633</v>
      </c>
      <c r="B3459">
        <v>0.63300000000000001</v>
      </c>
      <c r="C3459">
        <v>1248</v>
      </c>
      <c r="D3459" s="9">
        <v>42129</v>
      </c>
      <c r="E3459" t="s">
        <v>296</v>
      </c>
      <c r="I3459" s="9"/>
    </row>
    <row r="3460" spans="1:9" x14ac:dyDescent="0.25">
      <c r="A3460">
        <v>410633</v>
      </c>
      <c r="B3460">
        <v>0.66500000000000004</v>
      </c>
      <c r="C3460">
        <v>1872</v>
      </c>
      <c r="D3460" s="9">
        <v>41592</v>
      </c>
      <c r="E3460" t="s">
        <v>296</v>
      </c>
      <c r="I3460" s="9"/>
    </row>
    <row r="3461" spans="1:9" x14ac:dyDescent="0.25">
      <c r="A3461">
        <v>410634</v>
      </c>
      <c r="B3461">
        <v>0.79300000000000004</v>
      </c>
      <c r="C3461">
        <v>960</v>
      </c>
      <c r="D3461" s="9">
        <v>42139</v>
      </c>
      <c r="E3461" t="s">
        <v>296</v>
      </c>
      <c r="I3461" s="9"/>
    </row>
    <row r="3462" spans="1:9" x14ac:dyDescent="0.25">
      <c r="A3462">
        <v>410634</v>
      </c>
      <c r="B3462">
        <v>0.78900000000000003</v>
      </c>
      <c r="C3462">
        <v>1248</v>
      </c>
      <c r="D3462" s="9">
        <v>41747</v>
      </c>
      <c r="E3462" t="s">
        <v>296</v>
      </c>
      <c r="I3462" s="9"/>
    </row>
    <row r="3463" spans="1:9" x14ac:dyDescent="0.25">
      <c r="A3463">
        <v>410634</v>
      </c>
      <c r="B3463">
        <v>0.78900000000000003</v>
      </c>
      <c r="C3463">
        <v>1248</v>
      </c>
      <c r="D3463" s="9">
        <v>41647</v>
      </c>
      <c r="E3463" t="s">
        <v>296</v>
      </c>
      <c r="I3463" s="9"/>
    </row>
    <row r="3464" spans="1:9" x14ac:dyDescent="0.25">
      <c r="A3464">
        <v>410634</v>
      </c>
      <c r="B3464">
        <v>0.78900000000000003</v>
      </c>
      <c r="C3464">
        <v>1248</v>
      </c>
      <c r="D3464" s="9">
        <v>41375</v>
      </c>
      <c r="E3464" t="s">
        <v>296</v>
      </c>
      <c r="I3464" s="9"/>
    </row>
    <row r="3465" spans="1:9" x14ac:dyDescent="0.25">
      <c r="A3465">
        <v>410634</v>
      </c>
      <c r="B3465">
        <v>0.78900000000000003</v>
      </c>
      <c r="C3465">
        <v>1248</v>
      </c>
      <c r="D3465" s="9">
        <v>41288</v>
      </c>
      <c r="E3465" t="s">
        <v>296</v>
      </c>
      <c r="I3465" s="9"/>
    </row>
    <row r="3466" spans="1:9" x14ac:dyDescent="0.25">
      <c r="A3466">
        <v>410636</v>
      </c>
      <c r="B3466">
        <v>0.8</v>
      </c>
      <c r="C3466">
        <v>384</v>
      </c>
      <c r="D3466" s="9">
        <v>43837</v>
      </c>
      <c r="E3466" t="s">
        <v>296</v>
      </c>
      <c r="I3466" s="9"/>
    </row>
    <row r="3467" spans="1:9" x14ac:dyDescent="0.25">
      <c r="A3467">
        <v>410636</v>
      </c>
      <c r="B3467">
        <v>0.79</v>
      </c>
      <c r="C3467">
        <v>384</v>
      </c>
      <c r="D3467" s="9">
        <v>43592</v>
      </c>
      <c r="E3467" t="s">
        <v>296</v>
      </c>
      <c r="I3467" s="9"/>
    </row>
    <row r="3468" spans="1:9" x14ac:dyDescent="0.25">
      <c r="A3468">
        <v>410636</v>
      </c>
      <c r="B3468">
        <v>0.71</v>
      </c>
      <c r="C3468">
        <v>480</v>
      </c>
      <c r="D3468" s="9">
        <v>42573</v>
      </c>
      <c r="E3468" t="s">
        <v>296</v>
      </c>
      <c r="I3468" s="9"/>
    </row>
    <row r="3469" spans="1:9" x14ac:dyDescent="0.25">
      <c r="A3469">
        <v>410636</v>
      </c>
      <c r="B3469">
        <v>0.86</v>
      </c>
      <c r="C3469">
        <v>480</v>
      </c>
      <c r="D3469" s="9">
        <v>42270</v>
      </c>
      <c r="E3469" t="s">
        <v>296</v>
      </c>
      <c r="I3469" s="9"/>
    </row>
    <row r="3470" spans="1:9" x14ac:dyDescent="0.25">
      <c r="A3470">
        <v>410636</v>
      </c>
      <c r="B3470">
        <v>0.86</v>
      </c>
      <c r="C3470">
        <v>480</v>
      </c>
      <c r="D3470" s="9">
        <v>41747</v>
      </c>
      <c r="E3470" t="s">
        <v>296</v>
      </c>
      <c r="I3470" s="9"/>
    </row>
    <row r="3471" spans="1:9" x14ac:dyDescent="0.25">
      <c r="A3471">
        <v>410636</v>
      </c>
      <c r="B3471">
        <v>0.86</v>
      </c>
      <c r="C3471">
        <v>480</v>
      </c>
      <c r="D3471" s="9">
        <v>41618</v>
      </c>
      <c r="E3471" t="s">
        <v>296</v>
      </c>
      <c r="I3471" s="9"/>
    </row>
    <row r="3472" spans="1:9" x14ac:dyDescent="0.25">
      <c r="A3472">
        <v>410744</v>
      </c>
      <c r="B3472">
        <v>2.6</v>
      </c>
      <c r="C3472">
        <v>240</v>
      </c>
      <c r="D3472" s="9">
        <v>42864</v>
      </c>
      <c r="E3472" t="s">
        <v>296</v>
      </c>
      <c r="I3472" s="9"/>
    </row>
    <row r="3473" spans="1:9" x14ac:dyDescent="0.25">
      <c r="A3473">
        <v>410744</v>
      </c>
      <c r="B3473">
        <v>2.6</v>
      </c>
      <c r="C3473">
        <v>240</v>
      </c>
      <c r="D3473" s="9">
        <v>42655</v>
      </c>
      <c r="E3473" t="s">
        <v>296</v>
      </c>
      <c r="I3473" s="9"/>
    </row>
    <row r="3474" spans="1:9" x14ac:dyDescent="0.25">
      <c r="A3474">
        <v>410744</v>
      </c>
      <c r="B3474">
        <v>2.6</v>
      </c>
      <c r="C3474">
        <v>240</v>
      </c>
      <c r="D3474" s="9">
        <v>42655</v>
      </c>
      <c r="E3474" t="s">
        <v>296</v>
      </c>
      <c r="I3474" s="9"/>
    </row>
    <row r="3475" spans="1:9" x14ac:dyDescent="0.25">
      <c r="A3475">
        <v>410744</v>
      </c>
      <c r="B3475">
        <v>2.6</v>
      </c>
      <c r="C3475">
        <v>400</v>
      </c>
      <c r="D3475" s="9">
        <v>42325</v>
      </c>
      <c r="E3475" t="s">
        <v>296</v>
      </c>
      <c r="I3475" s="9"/>
    </row>
    <row r="3476" spans="1:9" x14ac:dyDescent="0.25">
      <c r="A3476">
        <v>410744</v>
      </c>
      <c r="B3476">
        <v>2.6</v>
      </c>
      <c r="C3476">
        <v>580</v>
      </c>
      <c r="D3476" s="9">
        <v>41934</v>
      </c>
      <c r="E3476" t="s">
        <v>296</v>
      </c>
      <c r="I3476" s="9"/>
    </row>
    <row r="3477" spans="1:9" x14ac:dyDescent="0.25">
      <c r="A3477">
        <v>410748</v>
      </c>
      <c r="B3477">
        <v>4.46</v>
      </c>
      <c r="C3477">
        <v>250</v>
      </c>
      <c r="D3477" s="9">
        <v>42586</v>
      </c>
      <c r="E3477" t="s">
        <v>296</v>
      </c>
      <c r="I3477" s="9"/>
    </row>
    <row r="3478" spans="1:9" x14ac:dyDescent="0.25">
      <c r="A3478">
        <v>410748</v>
      </c>
      <c r="B3478">
        <v>5.15</v>
      </c>
      <c r="C3478">
        <v>290</v>
      </c>
      <c r="D3478" s="9">
        <v>41934</v>
      </c>
      <c r="E3478" t="s">
        <v>296</v>
      </c>
      <c r="I3478" s="9"/>
    </row>
    <row r="3479" spans="1:9" x14ac:dyDescent="0.25">
      <c r="A3479">
        <v>410770</v>
      </c>
      <c r="B3479">
        <v>4.2</v>
      </c>
      <c r="C3479">
        <v>250</v>
      </c>
      <c r="D3479" s="9">
        <v>44117</v>
      </c>
      <c r="E3479" t="s">
        <v>296</v>
      </c>
      <c r="I3479" s="9"/>
    </row>
    <row r="3480" spans="1:9" x14ac:dyDescent="0.25">
      <c r="A3480">
        <v>410770</v>
      </c>
      <c r="B3480">
        <v>4.2</v>
      </c>
      <c r="C3480">
        <v>200</v>
      </c>
      <c r="D3480" s="9">
        <v>43819</v>
      </c>
      <c r="E3480" t="s">
        <v>296</v>
      </c>
      <c r="I3480" s="9"/>
    </row>
    <row r="3481" spans="1:9" x14ac:dyDescent="0.25">
      <c r="A3481">
        <v>410770</v>
      </c>
      <c r="B3481">
        <v>4.2</v>
      </c>
      <c r="C3481">
        <v>100</v>
      </c>
      <c r="D3481" s="9">
        <v>43684</v>
      </c>
      <c r="E3481" t="s">
        <v>296</v>
      </c>
      <c r="I3481" s="9"/>
    </row>
    <row r="3482" spans="1:9" x14ac:dyDescent="0.25">
      <c r="A3482">
        <v>410770</v>
      </c>
      <c r="B3482">
        <v>18.579999999999998</v>
      </c>
      <c r="C3482">
        <v>30</v>
      </c>
      <c r="D3482" s="9">
        <v>43552</v>
      </c>
      <c r="E3482" t="s">
        <v>295</v>
      </c>
      <c r="I3482" s="9"/>
    </row>
    <row r="3483" spans="1:9" x14ac:dyDescent="0.25">
      <c r="A3483">
        <v>410770</v>
      </c>
      <c r="B3483">
        <v>4.2</v>
      </c>
      <c r="C3483">
        <v>100</v>
      </c>
      <c r="D3483" s="9">
        <v>43381</v>
      </c>
      <c r="E3483" t="s">
        <v>296</v>
      </c>
      <c r="I3483" s="9"/>
    </row>
    <row r="3484" spans="1:9" x14ac:dyDescent="0.25">
      <c r="A3484">
        <v>410770</v>
      </c>
      <c r="B3484">
        <v>4.2</v>
      </c>
      <c r="C3484">
        <v>50</v>
      </c>
      <c r="D3484" s="9">
        <v>43131</v>
      </c>
      <c r="E3484" t="s">
        <v>296</v>
      </c>
      <c r="I3484" s="9"/>
    </row>
    <row r="3485" spans="1:9" x14ac:dyDescent="0.25">
      <c r="A3485">
        <v>410770</v>
      </c>
      <c r="B3485">
        <v>5.2</v>
      </c>
      <c r="C3485">
        <v>200</v>
      </c>
      <c r="D3485" s="9">
        <v>42325</v>
      </c>
      <c r="E3485" t="s">
        <v>296</v>
      </c>
      <c r="I3485" s="9"/>
    </row>
    <row r="3486" spans="1:9" x14ac:dyDescent="0.25">
      <c r="A3486">
        <v>410770</v>
      </c>
      <c r="B3486">
        <v>5.2</v>
      </c>
      <c r="C3486">
        <v>200</v>
      </c>
      <c r="D3486" s="9">
        <v>41934</v>
      </c>
      <c r="E3486" t="s">
        <v>296</v>
      </c>
      <c r="I3486" s="9"/>
    </row>
    <row r="3487" spans="1:9" x14ac:dyDescent="0.25">
      <c r="A3487">
        <v>410830</v>
      </c>
      <c r="B3487">
        <v>1.35</v>
      </c>
      <c r="C3487">
        <v>2160</v>
      </c>
      <c r="D3487" s="9">
        <v>44140</v>
      </c>
      <c r="E3487" t="s">
        <v>296</v>
      </c>
      <c r="I3487" s="9"/>
    </row>
    <row r="3488" spans="1:9" x14ac:dyDescent="0.25">
      <c r="A3488">
        <v>410830</v>
      </c>
      <c r="B3488">
        <v>1.28</v>
      </c>
      <c r="C3488">
        <v>1440</v>
      </c>
      <c r="D3488" s="9">
        <v>44039</v>
      </c>
      <c r="E3488" t="s">
        <v>296</v>
      </c>
      <c r="I3488" s="9"/>
    </row>
    <row r="3489" spans="1:9" x14ac:dyDescent="0.25">
      <c r="A3489">
        <v>410830</v>
      </c>
      <c r="B3489">
        <v>1.28</v>
      </c>
      <c r="C3489">
        <v>2040</v>
      </c>
      <c r="D3489" s="9">
        <v>43959</v>
      </c>
      <c r="E3489" t="s">
        <v>296</v>
      </c>
      <c r="I3489" s="9"/>
    </row>
    <row r="3490" spans="1:9" x14ac:dyDescent="0.25">
      <c r="A3490">
        <v>410830</v>
      </c>
      <c r="B3490">
        <v>1.28</v>
      </c>
      <c r="C3490">
        <v>1500</v>
      </c>
      <c r="D3490" s="9">
        <v>43769</v>
      </c>
      <c r="E3490" t="s">
        <v>296</v>
      </c>
      <c r="I3490" s="9"/>
    </row>
    <row r="3491" spans="1:9" x14ac:dyDescent="0.25">
      <c r="A3491">
        <v>410830</v>
      </c>
      <c r="B3491">
        <v>1.33</v>
      </c>
      <c r="C3491">
        <v>2400</v>
      </c>
      <c r="D3491" s="9">
        <v>43608</v>
      </c>
      <c r="E3491" t="s">
        <v>296</v>
      </c>
      <c r="I3491" s="9"/>
    </row>
    <row r="3492" spans="1:9" x14ac:dyDescent="0.25">
      <c r="A3492">
        <v>410830</v>
      </c>
      <c r="B3492">
        <v>1.26</v>
      </c>
      <c r="C3492">
        <v>1200</v>
      </c>
      <c r="D3492" s="9">
        <v>43340</v>
      </c>
      <c r="E3492" t="s">
        <v>296</v>
      </c>
      <c r="I3492" s="9"/>
    </row>
    <row r="3493" spans="1:9" x14ac:dyDescent="0.25">
      <c r="A3493">
        <v>410830</v>
      </c>
      <c r="B3493">
        <v>1.26</v>
      </c>
      <c r="C3493">
        <v>900</v>
      </c>
      <c r="D3493" s="9">
        <v>43340</v>
      </c>
      <c r="E3493" t="s">
        <v>296</v>
      </c>
      <c r="I3493" s="9"/>
    </row>
    <row r="3494" spans="1:9" x14ac:dyDescent="0.25">
      <c r="A3494">
        <v>410830</v>
      </c>
      <c r="B3494">
        <v>6.64</v>
      </c>
      <c r="C3494">
        <v>20</v>
      </c>
      <c r="D3494" s="9">
        <v>43265</v>
      </c>
      <c r="E3494" t="s">
        <v>295</v>
      </c>
      <c r="I3494" s="9"/>
    </row>
    <row r="3495" spans="1:9" x14ac:dyDescent="0.25">
      <c r="A3495">
        <v>410830</v>
      </c>
      <c r="B3495">
        <v>1.2</v>
      </c>
      <c r="C3495">
        <v>840</v>
      </c>
      <c r="D3495" s="9">
        <v>43132</v>
      </c>
      <c r="E3495" t="s">
        <v>296</v>
      </c>
      <c r="I3495" s="9"/>
    </row>
    <row r="3496" spans="1:9" x14ac:dyDescent="0.25">
      <c r="A3496">
        <v>410830</v>
      </c>
      <c r="B3496">
        <v>1.26</v>
      </c>
      <c r="C3496">
        <v>1000</v>
      </c>
      <c r="D3496" s="9">
        <v>43132</v>
      </c>
      <c r="E3496" t="s">
        <v>296</v>
      </c>
      <c r="I3496" s="9"/>
    </row>
    <row r="3497" spans="1:9" x14ac:dyDescent="0.25">
      <c r="A3497">
        <v>410830</v>
      </c>
      <c r="B3497">
        <v>4.51</v>
      </c>
      <c r="C3497">
        <v>1000</v>
      </c>
      <c r="D3497" s="9">
        <v>43132</v>
      </c>
      <c r="E3497" t="s">
        <v>295</v>
      </c>
      <c r="I3497" s="9"/>
    </row>
    <row r="3498" spans="1:9" x14ac:dyDescent="0.25">
      <c r="A3498">
        <v>410830</v>
      </c>
      <c r="B3498">
        <v>1.19</v>
      </c>
      <c r="C3498">
        <v>1500</v>
      </c>
      <c r="D3498" s="9">
        <v>42912</v>
      </c>
      <c r="E3498" t="s">
        <v>296</v>
      </c>
      <c r="I3498" s="9"/>
    </row>
    <row r="3499" spans="1:9" x14ac:dyDescent="0.25">
      <c r="A3499">
        <v>410830</v>
      </c>
      <c r="B3499">
        <v>1.2</v>
      </c>
      <c r="C3499">
        <v>1500</v>
      </c>
      <c r="D3499" s="9">
        <v>42860</v>
      </c>
      <c r="E3499" t="s">
        <v>296</v>
      </c>
      <c r="I3499" s="9"/>
    </row>
    <row r="3500" spans="1:9" x14ac:dyDescent="0.25">
      <c r="A3500">
        <v>410830</v>
      </c>
      <c r="B3500">
        <v>1.2</v>
      </c>
      <c r="C3500">
        <v>1560</v>
      </c>
      <c r="D3500" s="9">
        <v>42752</v>
      </c>
      <c r="E3500" t="s">
        <v>296</v>
      </c>
      <c r="I3500" s="9"/>
    </row>
    <row r="3501" spans="1:9" x14ac:dyDescent="0.25">
      <c r="A3501">
        <v>410830</v>
      </c>
      <c r="B3501">
        <v>1.21</v>
      </c>
      <c r="C3501">
        <v>1440</v>
      </c>
      <c r="D3501" s="9">
        <v>42655</v>
      </c>
      <c r="E3501" t="s">
        <v>296</v>
      </c>
      <c r="I3501" s="9"/>
    </row>
    <row r="3502" spans="1:9" x14ac:dyDescent="0.25">
      <c r="A3502">
        <v>410830</v>
      </c>
      <c r="B3502">
        <v>1.21</v>
      </c>
      <c r="C3502">
        <v>1440</v>
      </c>
      <c r="D3502" s="9">
        <v>42655</v>
      </c>
      <c r="E3502" t="s">
        <v>296</v>
      </c>
      <c r="I3502" s="9"/>
    </row>
    <row r="3503" spans="1:9" x14ac:dyDescent="0.25">
      <c r="A3503">
        <v>410830</v>
      </c>
      <c r="B3503">
        <v>1.4219999999999999</v>
      </c>
      <c r="C3503">
        <v>840</v>
      </c>
      <c r="D3503" s="9">
        <v>42607</v>
      </c>
      <c r="E3503" t="s">
        <v>297</v>
      </c>
      <c r="I3503" s="9"/>
    </row>
    <row r="3504" spans="1:9" x14ac:dyDescent="0.25">
      <c r="A3504">
        <v>410830</v>
      </c>
      <c r="B3504">
        <v>1.21</v>
      </c>
      <c r="C3504">
        <v>500</v>
      </c>
      <c r="D3504" s="9">
        <v>42586</v>
      </c>
      <c r="E3504" t="s">
        <v>296</v>
      </c>
      <c r="I3504" s="9"/>
    </row>
    <row r="3505" spans="1:9" x14ac:dyDescent="0.25">
      <c r="A3505">
        <v>410830</v>
      </c>
      <c r="B3505">
        <v>6.24</v>
      </c>
      <c r="C3505">
        <v>900</v>
      </c>
      <c r="D3505" s="9">
        <v>42520</v>
      </c>
      <c r="E3505" t="s">
        <v>295</v>
      </c>
      <c r="I3505" s="9"/>
    </row>
    <row r="3506" spans="1:9" x14ac:dyDescent="0.25">
      <c r="A3506">
        <v>410830</v>
      </c>
      <c r="B3506">
        <v>1.4219999999999999</v>
      </c>
      <c r="C3506">
        <v>1800</v>
      </c>
      <c r="D3506" s="9">
        <v>42520</v>
      </c>
      <c r="E3506" t="s">
        <v>297</v>
      </c>
      <c r="I3506" s="9"/>
    </row>
    <row r="3507" spans="1:9" x14ac:dyDescent="0.25">
      <c r="A3507">
        <v>410830</v>
      </c>
      <c r="B3507">
        <v>1.4219999999999999</v>
      </c>
      <c r="C3507">
        <v>2400</v>
      </c>
      <c r="D3507" s="9">
        <v>42401</v>
      </c>
      <c r="E3507" t="s">
        <v>297</v>
      </c>
      <c r="I3507" s="9"/>
    </row>
    <row r="3508" spans="1:9" x14ac:dyDescent="0.25">
      <c r="A3508">
        <v>410830</v>
      </c>
      <c r="B3508">
        <v>1.4219999999999999</v>
      </c>
      <c r="C3508">
        <v>2400</v>
      </c>
      <c r="D3508" s="9">
        <v>42285</v>
      </c>
      <c r="E3508" t="s">
        <v>297</v>
      </c>
      <c r="I3508" s="9"/>
    </row>
    <row r="3509" spans="1:9" x14ac:dyDescent="0.25">
      <c r="A3509">
        <v>410830</v>
      </c>
      <c r="B3509">
        <v>1.4219999999999999</v>
      </c>
      <c r="C3509">
        <v>2400</v>
      </c>
      <c r="D3509" s="9">
        <v>42186</v>
      </c>
      <c r="E3509" t="s">
        <v>297</v>
      </c>
      <c r="I3509" s="9"/>
    </row>
    <row r="3510" spans="1:9" x14ac:dyDescent="0.25">
      <c r="A3510">
        <v>410830</v>
      </c>
      <c r="B3510">
        <v>4.6500000000000004</v>
      </c>
      <c r="C3510">
        <v>3600</v>
      </c>
      <c r="D3510" s="9">
        <v>41821</v>
      </c>
      <c r="E3510" t="s">
        <v>295</v>
      </c>
      <c r="I3510" s="9"/>
    </row>
    <row r="3511" spans="1:9" x14ac:dyDescent="0.25">
      <c r="A3511">
        <v>410830</v>
      </c>
      <c r="B3511">
        <v>4.6500000000000004</v>
      </c>
      <c r="C3511">
        <v>2400</v>
      </c>
      <c r="D3511" s="9">
        <v>41821</v>
      </c>
      <c r="E3511" t="s">
        <v>295</v>
      </c>
      <c r="I3511" s="9"/>
    </row>
    <row r="3512" spans="1:9" x14ac:dyDescent="0.25">
      <c r="A3512">
        <v>410830</v>
      </c>
      <c r="B3512">
        <v>1.5129999999999999</v>
      </c>
      <c r="C3512">
        <v>3600</v>
      </c>
      <c r="D3512" s="9">
        <v>41821</v>
      </c>
      <c r="E3512" t="s">
        <v>296</v>
      </c>
      <c r="I3512" s="9"/>
    </row>
    <row r="3513" spans="1:9" x14ac:dyDescent="0.25">
      <c r="A3513">
        <v>410830</v>
      </c>
      <c r="B3513">
        <v>1.5129999999999999</v>
      </c>
      <c r="C3513">
        <v>2400</v>
      </c>
      <c r="D3513" s="9">
        <v>41821</v>
      </c>
      <c r="E3513" t="s">
        <v>296</v>
      </c>
      <c r="I3513" s="9"/>
    </row>
    <row r="3514" spans="1:9" x14ac:dyDescent="0.25">
      <c r="A3514">
        <v>410830</v>
      </c>
      <c r="B3514">
        <v>1.5129999999999999</v>
      </c>
      <c r="C3514">
        <v>2400</v>
      </c>
      <c r="D3514" s="9">
        <v>41744</v>
      </c>
      <c r="E3514" t="s">
        <v>296</v>
      </c>
      <c r="I3514" s="9"/>
    </row>
    <row r="3515" spans="1:9" x14ac:dyDescent="0.25">
      <c r="A3515">
        <v>410830</v>
      </c>
      <c r="B3515">
        <v>1.4690000000000001</v>
      </c>
      <c r="C3515">
        <v>3000</v>
      </c>
      <c r="D3515" s="9">
        <v>41617</v>
      </c>
      <c r="E3515" t="s">
        <v>296</v>
      </c>
      <c r="I3515" s="9"/>
    </row>
    <row r="3516" spans="1:9" x14ac:dyDescent="0.25">
      <c r="A3516">
        <v>410830</v>
      </c>
      <c r="B3516">
        <v>1.454</v>
      </c>
      <c r="C3516">
        <v>2400</v>
      </c>
      <c r="D3516" s="9">
        <v>41535</v>
      </c>
      <c r="E3516" t="s">
        <v>296</v>
      </c>
      <c r="I3516" s="9"/>
    </row>
    <row r="3517" spans="1:9" x14ac:dyDescent="0.25">
      <c r="A3517">
        <v>410830</v>
      </c>
      <c r="B3517">
        <v>1.454</v>
      </c>
      <c r="C3517">
        <v>2400</v>
      </c>
      <c r="D3517" s="9">
        <v>41418</v>
      </c>
      <c r="E3517" t="s">
        <v>296</v>
      </c>
      <c r="I3517" s="9"/>
    </row>
    <row r="3518" spans="1:9" x14ac:dyDescent="0.25">
      <c r="A3518">
        <v>410830</v>
      </c>
      <c r="B3518">
        <v>1.385</v>
      </c>
      <c r="C3518">
        <v>2160</v>
      </c>
      <c r="D3518" s="9">
        <v>41295</v>
      </c>
      <c r="E3518" t="s">
        <v>296</v>
      </c>
      <c r="I3518" s="9"/>
    </row>
    <row r="3519" spans="1:9" x14ac:dyDescent="0.25">
      <c r="A3519">
        <v>410870</v>
      </c>
      <c r="B3519">
        <v>1.48</v>
      </c>
      <c r="C3519">
        <v>2304</v>
      </c>
      <c r="D3519" s="9">
        <v>44140</v>
      </c>
      <c r="E3519" t="s">
        <v>296</v>
      </c>
      <c r="I3519" s="9"/>
    </row>
    <row r="3520" spans="1:9" x14ac:dyDescent="0.25">
      <c r="A3520">
        <v>410870</v>
      </c>
      <c r="B3520">
        <v>1.4</v>
      </c>
      <c r="C3520">
        <v>1920</v>
      </c>
      <c r="D3520" s="9">
        <v>44039</v>
      </c>
      <c r="E3520" t="s">
        <v>296</v>
      </c>
      <c r="I3520" s="9"/>
    </row>
    <row r="3521" spans="1:9" x14ac:dyDescent="0.25">
      <c r="A3521">
        <v>410870</v>
      </c>
      <c r="B3521">
        <v>1.4</v>
      </c>
      <c r="C3521">
        <v>1920</v>
      </c>
      <c r="D3521" s="9">
        <v>43959</v>
      </c>
      <c r="E3521" t="s">
        <v>296</v>
      </c>
      <c r="I3521" s="9"/>
    </row>
    <row r="3522" spans="1:9" x14ac:dyDescent="0.25">
      <c r="A3522">
        <v>410870</v>
      </c>
      <c r="B3522">
        <v>1.4</v>
      </c>
      <c r="C3522">
        <v>1440</v>
      </c>
      <c r="D3522" s="9">
        <v>43769</v>
      </c>
      <c r="E3522" t="s">
        <v>296</v>
      </c>
      <c r="I3522" s="9"/>
    </row>
    <row r="3523" spans="1:9" x14ac:dyDescent="0.25">
      <c r="A3523">
        <v>410870</v>
      </c>
      <c r="B3523">
        <v>1.4550000000000001</v>
      </c>
      <c r="C3523">
        <v>2000</v>
      </c>
      <c r="D3523" s="9">
        <v>43608</v>
      </c>
      <c r="E3523" t="s">
        <v>296</v>
      </c>
      <c r="I3523" s="9"/>
    </row>
    <row r="3524" spans="1:9" x14ac:dyDescent="0.25">
      <c r="A3524">
        <v>410870</v>
      </c>
      <c r="B3524">
        <v>1.365</v>
      </c>
      <c r="C3524">
        <v>1200</v>
      </c>
      <c r="D3524" s="9">
        <v>43340</v>
      </c>
      <c r="E3524" t="s">
        <v>296</v>
      </c>
      <c r="I3524" s="9"/>
    </row>
    <row r="3525" spans="1:9" x14ac:dyDescent="0.25">
      <c r="A3525">
        <v>410870</v>
      </c>
      <c r="B3525">
        <v>1.365</v>
      </c>
      <c r="C3525">
        <v>800</v>
      </c>
      <c r="D3525" s="9">
        <v>43340</v>
      </c>
      <c r="E3525" t="s">
        <v>296</v>
      </c>
      <c r="I3525" s="9"/>
    </row>
    <row r="3526" spans="1:9" x14ac:dyDescent="0.25">
      <c r="A3526">
        <v>410870</v>
      </c>
      <c r="B3526">
        <v>4.91</v>
      </c>
      <c r="C3526">
        <v>700</v>
      </c>
      <c r="D3526" s="9">
        <v>43132</v>
      </c>
      <c r="E3526" t="s">
        <v>295</v>
      </c>
      <c r="I3526" s="9"/>
    </row>
    <row r="3527" spans="1:9" x14ac:dyDescent="0.25">
      <c r="A3527">
        <v>410870</v>
      </c>
      <c r="B3527">
        <v>1.365</v>
      </c>
      <c r="C3527">
        <v>800</v>
      </c>
      <c r="D3527" s="9">
        <v>43132</v>
      </c>
      <c r="E3527" t="s">
        <v>296</v>
      </c>
      <c r="I3527" s="9"/>
    </row>
    <row r="3528" spans="1:9" x14ac:dyDescent="0.25">
      <c r="A3528">
        <v>410870</v>
      </c>
      <c r="B3528">
        <v>1.365</v>
      </c>
      <c r="C3528">
        <v>800</v>
      </c>
      <c r="D3528" s="9">
        <v>43132</v>
      </c>
      <c r="E3528" t="s">
        <v>296</v>
      </c>
      <c r="I3528" s="9"/>
    </row>
    <row r="3529" spans="1:9" x14ac:dyDescent="0.25">
      <c r="A3529">
        <v>410870</v>
      </c>
      <c r="B3529">
        <v>1.3</v>
      </c>
      <c r="C3529">
        <v>1000</v>
      </c>
      <c r="D3529" s="9">
        <v>42976</v>
      </c>
      <c r="E3529" t="s">
        <v>296</v>
      </c>
      <c r="I3529" s="9"/>
    </row>
    <row r="3530" spans="1:9" x14ac:dyDescent="0.25">
      <c r="A3530">
        <v>410870</v>
      </c>
      <c r="B3530">
        <v>7.74</v>
      </c>
      <c r="C3530">
        <v>5</v>
      </c>
      <c r="D3530" s="9">
        <v>42880</v>
      </c>
      <c r="E3530" t="s">
        <v>295</v>
      </c>
      <c r="I3530" s="9"/>
    </row>
    <row r="3531" spans="1:9" x14ac:dyDescent="0.25">
      <c r="A3531">
        <v>410870</v>
      </c>
      <c r="B3531">
        <v>1.3</v>
      </c>
      <c r="C3531">
        <v>1500</v>
      </c>
      <c r="D3531" s="9">
        <v>42860</v>
      </c>
      <c r="E3531" t="s">
        <v>296</v>
      </c>
      <c r="I3531" s="9"/>
    </row>
    <row r="3532" spans="1:9" x14ac:dyDescent="0.25">
      <c r="A3532">
        <v>410870</v>
      </c>
      <c r="B3532">
        <v>1.3</v>
      </c>
      <c r="C3532">
        <v>1600</v>
      </c>
      <c r="D3532" s="9">
        <v>42752</v>
      </c>
      <c r="E3532" t="s">
        <v>296</v>
      </c>
      <c r="I3532" s="9"/>
    </row>
    <row r="3533" spans="1:9" x14ac:dyDescent="0.25">
      <c r="A3533">
        <v>410870</v>
      </c>
      <c r="B3533">
        <v>1.3680000000000001</v>
      </c>
      <c r="C3533">
        <v>2000</v>
      </c>
      <c r="D3533" s="9">
        <v>42607</v>
      </c>
      <c r="E3533" t="s">
        <v>297</v>
      </c>
      <c r="I3533" s="9"/>
    </row>
    <row r="3534" spans="1:9" x14ac:dyDescent="0.25">
      <c r="A3534">
        <v>410870</v>
      </c>
      <c r="B3534">
        <v>1.3680000000000001</v>
      </c>
      <c r="C3534">
        <v>2200</v>
      </c>
      <c r="D3534" s="9">
        <v>42520</v>
      </c>
      <c r="E3534" t="s">
        <v>297</v>
      </c>
      <c r="I3534" s="9"/>
    </row>
    <row r="3535" spans="1:9" x14ac:dyDescent="0.25">
      <c r="A3535">
        <v>410870</v>
      </c>
      <c r="B3535">
        <v>6.01</v>
      </c>
      <c r="C3535">
        <v>2200</v>
      </c>
      <c r="D3535" s="9">
        <v>42520</v>
      </c>
      <c r="E3535" t="s">
        <v>295</v>
      </c>
      <c r="I3535" s="9"/>
    </row>
    <row r="3536" spans="1:9" x14ac:dyDescent="0.25">
      <c r="A3536">
        <v>410870</v>
      </c>
      <c r="B3536">
        <v>1.3680000000000001</v>
      </c>
      <c r="C3536">
        <v>1700</v>
      </c>
      <c r="D3536" s="9">
        <v>42401</v>
      </c>
      <c r="E3536" t="s">
        <v>297</v>
      </c>
      <c r="I3536" s="9"/>
    </row>
    <row r="3537" spans="1:9" x14ac:dyDescent="0.25">
      <c r="A3537">
        <v>410870</v>
      </c>
      <c r="B3537">
        <v>1.3680000000000001</v>
      </c>
      <c r="C3537">
        <v>1728</v>
      </c>
      <c r="D3537" s="9">
        <v>42186</v>
      </c>
      <c r="E3537" t="s">
        <v>297</v>
      </c>
      <c r="I3537" s="9"/>
    </row>
    <row r="3538" spans="1:9" x14ac:dyDescent="0.25">
      <c r="A3538">
        <v>410870</v>
      </c>
      <c r="B3538">
        <v>1.488</v>
      </c>
      <c r="C3538">
        <v>1920</v>
      </c>
      <c r="D3538" s="9">
        <v>41961</v>
      </c>
      <c r="E3538" t="s">
        <v>296</v>
      </c>
      <c r="I3538" s="9"/>
    </row>
    <row r="3539" spans="1:9" x14ac:dyDescent="0.25">
      <c r="A3539">
        <v>410870</v>
      </c>
      <c r="B3539">
        <v>1.488</v>
      </c>
      <c r="C3539">
        <v>1920</v>
      </c>
      <c r="D3539" s="9">
        <v>41961</v>
      </c>
      <c r="E3539" t="s">
        <v>296</v>
      </c>
      <c r="I3539" s="9"/>
    </row>
    <row r="3540" spans="1:9" x14ac:dyDescent="0.25">
      <c r="A3540">
        <v>410870</v>
      </c>
      <c r="B3540">
        <v>1.488</v>
      </c>
      <c r="C3540">
        <v>1920</v>
      </c>
      <c r="D3540" s="9">
        <v>41821</v>
      </c>
      <c r="E3540" t="s">
        <v>296</v>
      </c>
      <c r="I3540" s="9"/>
    </row>
    <row r="3541" spans="1:9" x14ac:dyDescent="0.25">
      <c r="A3541">
        <v>410870</v>
      </c>
      <c r="B3541">
        <v>1.488</v>
      </c>
      <c r="C3541">
        <v>1440</v>
      </c>
      <c r="D3541" s="9">
        <v>41786</v>
      </c>
      <c r="E3541" t="s">
        <v>296</v>
      </c>
      <c r="I3541" s="9"/>
    </row>
    <row r="3542" spans="1:9" x14ac:dyDescent="0.25">
      <c r="A3542">
        <v>410870</v>
      </c>
      <c r="B3542">
        <v>1.4450000000000001</v>
      </c>
      <c r="C3542">
        <v>960</v>
      </c>
      <c r="D3542" s="9">
        <v>41744</v>
      </c>
      <c r="E3542" t="s">
        <v>296</v>
      </c>
      <c r="I3542" s="9"/>
    </row>
    <row r="3543" spans="1:9" x14ac:dyDescent="0.25">
      <c r="A3543">
        <v>410870</v>
      </c>
      <c r="B3543">
        <v>1.488</v>
      </c>
      <c r="C3543">
        <v>960</v>
      </c>
      <c r="D3543" s="9">
        <v>41744</v>
      </c>
      <c r="E3543" t="s">
        <v>296</v>
      </c>
      <c r="I3543" s="9"/>
    </row>
    <row r="3544" spans="1:9" x14ac:dyDescent="0.25">
      <c r="A3544">
        <v>410870</v>
      </c>
      <c r="B3544">
        <v>1.4450000000000001</v>
      </c>
      <c r="C3544">
        <v>864</v>
      </c>
      <c r="D3544" s="9">
        <v>41617</v>
      </c>
      <c r="E3544" t="s">
        <v>296</v>
      </c>
      <c r="I3544" s="9"/>
    </row>
    <row r="3545" spans="1:9" x14ac:dyDescent="0.25">
      <c r="A3545">
        <v>410870</v>
      </c>
      <c r="B3545">
        <v>1.403</v>
      </c>
      <c r="C3545">
        <v>864</v>
      </c>
      <c r="D3545" s="9">
        <v>41535</v>
      </c>
      <c r="E3545" t="s">
        <v>296</v>
      </c>
      <c r="I3545" s="9"/>
    </row>
    <row r="3546" spans="1:9" x14ac:dyDescent="0.25">
      <c r="A3546">
        <v>410870</v>
      </c>
      <c r="B3546">
        <v>1.403</v>
      </c>
      <c r="C3546">
        <v>960</v>
      </c>
      <c r="D3546" s="9">
        <v>41418</v>
      </c>
      <c r="E3546" t="s">
        <v>296</v>
      </c>
      <c r="I3546" s="9"/>
    </row>
    <row r="3547" spans="1:9" x14ac:dyDescent="0.25">
      <c r="A3547">
        <v>410870</v>
      </c>
      <c r="B3547">
        <v>1.3360000000000001</v>
      </c>
      <c r="C3547">
        <v>1152</v>
      </c>
      <c r="D3547" s="9">
        <v>41295</v>
      </c>
      <c r="E3547" t="s">
        <v>296</v>
      </c>
      <c r="I3547" s="9"/>
    </row>
    <row r="3548" spans="1:9" x14ac:dyDescent="0.25">
      <c r="A3548">
        <v>410871</v>
      </c>
      <c r="B3548">
        <v>1.345</v>
      </c>
      <c r="C3548">
        <v>1000</v>
      </c>
      <c r="D3548" s="9">
        <v>43608</v>
      </c>
      <c r="E3548" t="s">
        <v>296</v>
      </c>
      <c r="I3548" s="9"/>
    </row>
    <row r="3549" spans="1:9" x14ac:dyDescent="0.25">
      <c r="A3549">
        <v>410871</v>
      </c>
      <c r="B3549">
        <v>1.345</v>
      </c>
      <c r="C3549">
        <v>1020</v>
      </c>
      <c r="D3549" s="9">
        <v>43132</v>
      </c>
      <c r="E3549" t="s">
        <v>296</v>
      </c>
      <c r="I3549" s="9"/>
    </row>
    <row r="3550" spans="1:9" x14ac:dyDescent="0.25">
      <c r="A3550">
        <v>410871</v>
      </c>
      <c r="B3550">
        <v>4.79</v>
      </c>
      <c r="C3550">
        <v>1020</v>
      </c>
      <c r="D3550" s="9">
        <v>43132</v>
      </c>
      <c r="E3550" t="s">
        <v>295</v>
      </c>
      <c r="I3550" s="9"/>
    </row>
    <row r="3551" spans="1:9" x14ac:dyDescent="0.25">
      <c r="A3551">
        <v>410874</v>
      </c>
      <c r="B3551">
        <v>1.98</v>
      </c>
      <c r="C3551">
        <v>1080</v>
      </c>
      <c r="D3551" s="9">
        <v>44133</v>
      </c>
      <c r="E3551" t="s">
        <v>296</v>
      </c>
      <c r="I3551" s="9"/>
    </row>
    <row r="3552" spans="1:9" x14ac:dyDescent="0.25">
      <c r="A3552">
        <v>420080</v>
      </c>
      <c r="B3552">
        <v>0.46</v>
      </c>
      <c r="C3552">
        <v>800</v>
      </c>
      <c r="D3552" s="9">
        <v>44060</v>
      </c>
      <c r="E3552" t="s">
        <v>296</v>
      </c>
      <c r="I3552" s="9"/>
    </row>
    <row r="3553" spans="1:9" x14ac:dyDescent="0.25">
      <c r="A3553">
        <v>420080</v>
      </c>
      <c r="B3553">
        <v>0.46</v>
      </c>
      <c r="C3553">
        <v>1200</v>
      </c>
      <c r="D3553" s="9">
        <v>43592</v>
      </c>
      <c r="E3553" t="s">
        <v>296</v>
      </c>
      <c r="I3553" s="9"/>
    </row>
    <row r="3554" spans="1:9" x14ac:dyDescent="0.25">
      <c r="A3554">
        <v>420080</v>
      </c>
      <c r="B3554">
        <v>0.46</v>
      </c>
      <c r="C3554">
        <v>1200</v>
      </c>
      <c r="D3554" s="9">
        <v>43105</v>
      </c>
      <c r="E3554" t="s">
        <v>296</v>
      </c>
      <c r="I3554" s="9"/>
    </row>
    <row r="3555" spans="1:9" x14ac:dyDescent="0.25">
      <c r="A3555">
        <v>420080</v>
      </c>
      <c r="B3555">
        <v>0.44</v>
      </c>
      <c r="C3555">
        <v>1200</v>
      </c>
      <c r="D3555" s="9">
        <v>42656</v>
      </c>
      <c r="E3555" t="s">
        <v>296</v>
      </c>
      <c r="I3555" s="9"/>
    </row>
    <row r="3556" spans="1:9" x14ac:dyDescent="0.25">
      <c r="A3556">
        <v>420080</v>
      </c>
      <c r="B3556">
        <v>0.45</v>
      </c>
      <c r="C3556">
        <v>1000</v>
      </c>
      <c r="D3556" s="9">
        <v>42482</v>
      </c>
      <c r="E3556" t="s">
        <v>296</v>
      </c>
      <c r="I3556" s="9"/>
    </row>
    <row r="3557" spans="1:9" x14ac:dyDescent="0.25">
      <c r="A3557">
        <v>420080</v>
      </c>
      <c r="B3557">
        <v>0.45</v>
      </c>
      <c r="C3557">
        <v>1200</v>
      </c>
      <c r="D3557" s="9">
        <v>41837</v>
      </c>
      <c r="E3557" t="s">
        <v>296</v>
      </c>
      <c r="I3557" s="9"/>
    </row>
    <row r="3558" spans="1:9" x14ac:dyDescent="0.25">
      <c r="A3558">
        <v>420080</v>
      </c>
      <c r="B3558">
        <v>0.43</v>
      </c>
      <c r="C3558">
        <v>1200</v>
      </c>
      <c r="D3558" s="9">
        <v>41618</v>
      </c>
      <c r="E3558" t="s">
        <v>296</v>
      </c>
      <c r="I3558" s="9"/>
    </row>
    <row r="3559" spans="1:9" x14ac:dyDescent="0.25">
      <c r="A3559">
        <v>420080</v>
      </c>
      <c r="B3559">
        <v>0.43</v>
      </c>
      <c r="C3559">
        <v>1200</v>
      </c>
      <c r="D3559" s="9">
        <v>41288</v>
      </c>
      <c r="E3559" t="s">
        <v>296</v>
      </c>
      <c r="I3559" s="9"/>
    </row>
    <row r="3560" spans="1:9" x14ac:dyDescent="0.25">
      <c r="A3560">
        <v>420090</v>
      </c>
      <c r="B3560">
        <v>0.61</v>
      </c>
      <c r="C3560">
        <v>800</v>
      </c>
      <c r="D3560" s="9">
        <v>44111</v>
      </c>
      <c r="E3560" t="s">
        <v>296</v>
      </c>
      <c r="I3560" s="9"/>
    </row>
    <row r="3561" spans="1:9" x14ac:dyDescent="0.25">
      <c r="A3561">
        <v>420090</v>
      </c>
      <c r="B3561">
        <v>0.61</v>
      </c>
      <c r="C3561">
        <v>800</v>
      </c>
      <c r="D3561" s="9">
        <v>43955</v>
      </c>
      <c r="E3561" t="s">
        <v>296</v>
      </c>
      <c r="I3561" s="9"/>
    </row>
    <row r="3562" spans="1:9" x14ac:dyDescent="0.25">
      <c r="A3562">
        <v>420090</v>
      </c>
      <c r="B3562">
        <v>0.61</v>
      </c>
      <c r="C3562">
        <v>1000</v>
      </c>
      <c r="D3562" s="9">
        <v>43627</v>
      </c>
      <c r="E3562" t="s">
        <v>296</v>
      </c>
      <c r="I3562" s="9"/>
    </row>
    <row r="3563" spans="1:9" x14ac:dyDescent="0.25">
      <c r="A3563">
        <v>420090</v>
      </c>
      <c r="B3563">
        <v>0.61</v>
      </c>
      <c r="C3563">
        <v>1000</v>
      </c>
      <c r="D3563" s="9">
        <v>43105</v>
      </c>
      <c r="E3563" t="s">
        <v>296</v>
      </c>
      <c r="I3563" s="9"/>
    </row>
    <row r="3564" spans="1:9" x14ac:dyDescent="0.25">
      <c r="A3564">
        <v>420090</v>
      </c>
      <c r="B3564">
        <v>0.61</v>
      </c>
      <c r="C3564">
        <v>1000</v>
      </c>
      <c r="D3564" s="9">
        <v>42573</v>
      </c>
      <c r="E3564" t="s">
        <v>296</v>
      </c>
      <c r="I3564" s="9"/>
    </row>
    <row r="3565" spans="1:9" x14ac:dyDescent="0.25">
      <c r="A3565">
        <v>420090</v>
      </c>
      <c r="B3565">
        <v>0.64</v>
      </c>
      <c r="C3565">
        <v>1400</v>
      </c>
      <c r="D3565" s="9">
        <v>41837</v>
      </c>
      <c r="E3565" t="s">
        <v>296</v>
      </c>
      <c r="I3565" s="9"/>
    </row>
    <row r="3566" spans="1:9" x14ac:dyDescent="0.25">
      <c r="A3566">
        <v>420090</v>
      </c>
      <c r="B3566">
        <v>0.64</v>
      </c>
      <c r="C3566">
        <v>1400</v>
      </c>
      <c r="D3566" s="9">
        <v>41592</v>
      </c>
      <c r="E3566" t="s">
        <v>296</v>
      </c>
      <c r="I3566" s="9"/>
    </row>
    <row r="3567" spans="1:9" x14ac:dyDescent="0.25">
      <c r="A3567">
        <v>420101</v>
      </c>
      <c r="B3567">
        <v>1.31</v>
      </c>
      <c r="C3567">
        <v>400</v>
      </c>
      <c r="D3567" s="9">
        <v>44102</v>
      </c>
      <c r="E3567" t="s">
        <v>296</v>
      </c>
      <c r="I3567" s="9"/>
    </row>
    <row r="3568" spans="1:9" x14ac:dyDescent="0.25">
      <c r="A3568">
        <v>420105</v>
      </c>
      <c r="B3568">
        <v>0.65</v>
      </c>
      <c r="C3568">
        <v>800</v>
      </c>
      <c r="D3568" s="9">
        <v>44070</v>
      </c>
      <c r="E3568" t="s">
        <v>296</v>
      </c>
      <c r="I3568" s="9"/>
    </row>
    <row r="3569" spans="1:9" x14ac:dyDescent="0.25">
      <c r="A3569">
        <v>420105</v>
      </c>
      <c r="B3569">
        <v>1.06</v>
      </c>
      <c r="C3569">
        <v>560</v>
      </c>
      <c r="D3569" s="9">
        <v>43686</v>
      </c>
      <c r="E3569" t="s">
        <v>296</v>
      </c>
      <c r="I3569" s="9"/>
    </row>
    <row r="3570" spans="1:9" x14ac:dyDescent="0.25">
      <c r="A3570">
        <v>420113</v>
      </c>
      <c r="B3570">
        <v>1.5</v>
      </c>
      <c r="C3570">
        <v>720</v>
      </c>
      <c r="D3570" s="9">
        <v>44020</v>
      </c>
      <c r="E3570" t="s">
        <v>296</v>
      </c>
      <c r="I3570" s="9"/>
    </row>
    <row r="3571" spans="1:9" x14ac:dyDescent="0.25">
      <c r="A3571">
        <v>420113</v>
      </c>
      <c r="B3571">
        <v>1.5</v>
      </c>
      <c r="C3571">
        <v>480</v>
      </c>
      <c r="D3571" s="9">
        <v>43972</v>
      </c>
      <c r="E3571" t="s">
        <v>296</v>
      </c>
      <c r="I3571" s="9"/>
    </row>
    <row r="3572" spans="1:9" x14ac:dyDescent="0.25">
      <c r="A3572">
        <v>420113</v>
      </c>
      <c r="B3572">
        <v>1.5</v>
      </c>
      <c r="C3572">
        <v>480</v>
      </c>
      <c r="D3572" s="9">
        <v>43686</v>
      </c>
      <c r="E3572" t="s">
        <v>296</v>
      </c>
      <c r="I3572" s="9"/>
    </row>
    <row r="3573" spans="1:9" x14ac:dyDescent="0.25">
      <c r="A3573">
        <v>430030</v>
      </c>
      <c r="B3573">
        <v>1.02</v>
      </c>
      <c r="C3573">
        <v>1200</v>
      </c>
      <c r="D3573" s="9">
        <v>44111</v>
      </c>
      <c r="E3573" t="s">
        <v>296</v>
      </c>
      <c r="I3573" s="9"/>
    </row>
    <row r="3574" spans="1:9" x14ac:dyDescent="0.25">
      <c r="A3574">
        <v>430030</v>
      </c>
      <c r="B3574">
        <v>1.02</v>
      </c>
      <c r="C3574">
        <v>1200</v>
      </c>
      <c r="D3574" s="9">
        <v>44060</v>
      </c>
      <c r="E3574" t="s">
        <v>296</v>
      </c>
      <c r="I3574" s="9"/>
    </row>
    <row r="3575" spans="1:9" x14ac:dyDescent="0.25">
      <c r="A3575">
        <v>430030</v>
      </c>
      <c r="B3575">
        <v>1.02</v>
      </c>
      <c r="C3575">
        <v>1200</v>
      </c>
      <c r="D3575" s="9">
        <v>43955</v>
      </c>
      <c r="E3575" t="s">
        <v>296</v>
      </c>
      <c r="I3575" s="9"/>
    </row>
    <row r="3576" spans="1:9" x14ac:dyDescent="0.25">
      <c r="A3576">
        <v>430030</v>
      </c>
      <c r="B3576">
        <v>1.02</v>
      </c>
      <c r="C3576">
        <v>1200</v>
      </c>
      <c r="D3576" s="9">
        <v>43837</v>
      </c>
      <c r="E3576" t="s">
        <v>296</v>
      </c>
      <c r="I3576" s="9"/>
    </row>
    <row r="3577" spans="1:9" x14ac:dyDescent="0.25">
      <c r="A3577">
        <v>430030</v>
      </c>
      <c r="B3577">
        <v>1.05</v>
      </c>
      <c r="C3577">
        <v>1200</v>
      </c>
      <c r="D3577" s="9">
        <v>43684</v>
      </c>
      <c r="E3577" t="s">
        <v>296</v>
      </c>
      <c r="I3577" s="9"/>
    </row>
    <row r="3578" spans="1:9" x14ac:dyDescent="0.25">
      <c r="A3578">
        <v>430030</v>
      </c>
      <c r="B3578">
        <v>1.07</v>
      </c>
      <c r="C3578">
        <v>1200</v>
      </c>
      <c r="D3578" s="9">
        <v>43592</v>
      </c>
      <c r="E3578" t="s">
        <v>296</v>
      </c>
      <c r="I3578" s="9"/>
    </row>
    <row r="3579" spans="1:9" x14ac:dyDescent="0.25">
      <c r="A3579">
        <v>430030</v>
      </c>
      <c r="B3579">
        <v>1.07</v>
      </c>
      <c r="C3579">
        <v>1200</v>
      </c>
      <c r="D3579" s="9">
        <v>43409</v>
      </c>
      <c r="E3579" t="s">
        <v>296</v>
      </c>
      <c r="I3579" s="9"/>
    </row>
    <row r="3580" spans="1:9" x14ac:dyDescent="0.25">
      <c r="A3580">
        <v>430030</v>
      </c>
      <c r="B3580">
        <v>4.1399999999999997</v>
      </c>
      <c r="C3580">
        <v>1200</v>
      </c>
      <c r="D3580" s="9">
        <v>43263</v>
      </c>
      <c r="E3580" t="s">
        <v>295</v>
      </c>
      <c r="I3580" s="9"/>
    </row>
    <row r="3581" spans="1:9" x14ac:dyDescent="0.25">
      <c r="A3581">
        <v>430030</v>
      </c>
      <c r="B3581">
        <v>1.07</v>
      </c>
      <c r="C3581">
        <v>1200</v>
      </c>
      <c r="D3581" s="9">
        <v>43228</v>
      </c>
      <c r="E3581" t="s">
        <v>296</v>
      </c>
      <c r="I3581" s="9"/>
    </row>
    <row r="3582" spans="1:9" x14ac:dyDescent="0.25">
      <c r="A3582">
        <v>430030</v>
      </c>
      <c r="B3582">
        <v>1.02</v>
      </c>
      <c r="C3582">
        <v>1200</v>
      </c>
      <c r="D3582" s="9">
        <v>43105</v>
      </c>
      <c r="E3582" t="s">
        <v>296</v>
      </c>
      <c r="I3582" s="9"/>
    </row>
    <row r="3583" spans="1:9" x14ac:dyDescent="0.25">
      <c r="A3583">
        <v>430030</v>
      </c>
      <c r="B3583">
        <v>0.90800000000000003</v>
      </c>
      <c r="C3583">
        <v>1200</v>
      </c>
      <c r="D3583" s="9">
        <v>42781</v>
      </c>
      <c r="E3583" t="s">
        <v>296</v>
      </c>
      <c r="I3583" s="9"/>
    </row>
    <row r="3584" spans="1:9" x14ac:dyDescent="0.25">
      <c r="A3584">
        <v>430030</v>
      </c>
      <c r="B3584">
        <v>0.93</v>
      </c>
      <c r="C3584">
        <v>1440</v>
      </c>
      <c r="D3584" s="9">
        <v>42656</v>
      </c>
      <c r="E3584" t="s">
        <v>296</v>
      </c>
      <c r="I3584" s="9"/>
    </row>
    <row r="3585" spans="1:9" x14ac:dyDescent="0.25">
      <c r="A3585">
        <v>430030</v>
      </c>
      <c r="B3585">
        <v>0.95</v>
      </c>
      <c r="C3585">
        <v>1200</v>
      </c>
      <c r="D3585" s="9">
        <v>42494</v>
      </c>
      <c r="E3585" t="s">
        <v>296</v>
      </c>
      <c r="I3585" s="9"/>
    </row>
    <row r="3586" spans="1:9" x14ac:dyDescent="0.25">
      <c r="A3586">
        <v>430030</v>
      </c>
      <c r="B3586">
        <v>1</v>
      </c>
      <c r="C3586">
        <v>840</v>
      </c>
      <c r="D3586" s="9">
        <v>42380</v>
      </c>
      <c r="E3586" t="s">
        <v>296</v>
      </c>
      <c r="I3586" s="9"/>
    </row>
    <row r="3587" spans="1:9" x14ac:dyDescent="0.25">
      <c r="A3587">
        <v>430030</v>
      </c>
      <c r="B3587">
        <v>1</v>
      </c>
      <c r="C3587">
        <v>840</v>
      </c>
      <c r="D3587" s="9">
        <v>42270</v>
      </c>
      <c r="E3587" t="s">
        <v>296</v>
      </c>
      <c r="I3587" s="9"/>
    </row>
    <row r="3588" spans="1:9" x14ac:dyDescent="0.25">
      <c r="A3588">
        <v>430030</v>
      </c>
      <c r="B3588">
        <v>1</v>
      </c>
      <c r="C3588">
        <v>1560</v>
      </c>
      <c r="D3588" s="9">
        <v>42031</v>
      </c>
      <c r="E3588" t="s">
        <v>296</v>
      </c>
      <c r="I3588" s="9"/>
    </row>
    <row r="3589" spans="1:9" x14ac:dyDescent="0.25">
      <c r="A3589">
        <v>430030</v>
      </c>
      <c r="B3589">
        <v>1</v>
      </c>
      <c r="C3589">
        <v>1560</v>
      </c>
      <c r="D3589" s="9">
        <v>41947</v>
      </c>
      <c r="E3589" t="s">
        <v>296</v>
      </c>
      <c r="I3589" s="9"/>
    </row>
    <row r="3590" spans="1:9" x14ac:dyDescent="0.25">
      <c r="A3590">
        <v>430030</v>
      </c>
      <c r="B3590">
        <v>1</v>
      </c>
      <c r="C3590">
        <v>1560</v>
      </c>
      <c r="D3590" s="9">
        <v>41647</v>
      </c>
      <c r="E3590" t="s">
        <v>296</v>
      </c>
      <c r="I3590" s="9"/>
    </row>
    <row r="3591" spans="1:9" x14ac:dyDescent="0.25">
      <c r="A3591">
        <v>430030</v>
      </c>
      <c r="B3591">
        <v>0.97</v>
      </c>
      <c r="C3591">
        <v>1080</v>
      </c>
      <c r="D3591" s="9">
        <v>41375</v>
      </c>
      <c r="E3591" t="s">
        <v>296</v>
      </c>
      <c r="I3591" s="9"/>
    </row>
    <row r="3592" spans="1:9" x14ac:dyDescent="0.25">
      <c r="A3592">
        <v>430030</v>
      </c>
      <c r="B3592">
        <v>0.97</v>
      </c>
      <c r="C3592">
        <v>1080</v>
      </c>
      <c r="D3592" s="9">
        <v>41288</v>
      </c>
      <c r="E3592" t="s">
        <v>296</v>
      </c>
      <c r="I3592" s="9"/>
    </row>
    <row r="3593" spans="1:9" x14ac:dyDescent="0.25">
      <c r="A3593">
        <v>430070</v>
      </c>
      <c r="B3593">
        <v>1.75</v>
      </c>
      <c r="C3593">
        <v>600</v>
      </c>
      <c r="D3593" s="9">
        <v>44117</v>
      </c>
      <c r="E3593" t="s">
        <v>296</v>
      </c>
      <c r="I3593" s="9"/>
    </row>
    <row r="3594" spans="1:9" x14ac:dyDescent="0.25">
      <c r="A3594">
        <v>430070</v>
      </c>
      <c r="B3594">
        <v>1.79</v>
      </c>
      <c r="C3594">
        <v>2600</v>
      </c>
      <c r="D3594" s="9">
        <v>44098</v>
      </c>
      <c r="E3594" t="s">
        <v>296</v>
      </c>
      <c r="I3594" s="9"/>
    </row>
    <row r="3595" spans="1:9" x14ac:dyDescent="0.25">
      <c r="A3595">
        <v>430070</v>
      </c>
      <c r="B3595">
        <v>1.75</v>
      </c>
      <c r="C3595">
        <v>2000</v>
      </c>
      <c r="D3595" s="9">
        <v>44060</v>
      </c>
      <c r="E3595" t="s">
        <v>296</v>
      </c>
      <c r="I3595" s="9"/>
    </row>
    <row r="3596" spans="1:9" x14ac:dyDescent="0.25">
      <c r="A3596">
        <v>430070</v>
      </c>
      <c r="B3596">
        <v>1.75</v>
      </c>
      <c r="C3596">
        <v>2000</v>
      </c>
      <c r="D3596" s="9">
        <v>43955</v>
      </c>
      <c r="E3596" t="s">
        <v>296</v>
      </c>
      <c r="I3596" s="9"/>
    </row>
    <row r="3597" spans="1:9" x14ac:dyDescent="0.25">
      <c r="A3597">
        <v>430070</v>
      </c>
      <c r="B3597">
        <v>1.76</v>
      </c>
      <c r="C3597">
        <v>2640</v>
      </c>
      <c r="D3597" s="9">
        <v>43955</v>
      </c>
      <c r="E3597" t="s">
        <v>296</v>
      </c>
      <c r="I3597" s="9"/>
    </row>
    <row r="3598" spans="1:9" x14ac:dyDescent="0.25">
      <c r="A3598">
        <v>430070</v>
      </c>
      <c r="B3598">
        <v>9.5</v>
      </c>
      <c r="C3598">
        <v>500</v>
      </c>
      <c r="D3598" s="9">
        <v>43882</v>
      </c>
      <c r="E3598" t="s">
        <v>295</v>
      </c>
      <c r="I3598" s="9"/>
    </row>
    <row r="3599" spans="1:9" x14ac:dyDescent="0.25">
      <c r="A3599">
        <v>430070</v>
      </c>
      <c r="B3599">
        <v>9.5</v>
      </c>
      <c r="C3599">
        <v>600</v>
      </c>
      <c r="D3599" s="9">
        <v>43864</v>
      </c>
      <c r="E3599" t="s">
        <v>295</v>
      </c>
      <c r="I3599" s="9"/>
    </row>
    <row r="3600" spans="1:9" x14ac:dyDescent="0.25">
      <c r="A3600">
        <v>430070</v>
      </c>
      <c r="B3600">
        <v>1.75</v>
      </c>
      <c r="C3600">
        <v>2600</v>
      </c>
      <c r="D3600" s="9">
        <v>43837</v>
      </c>
      <c r="E3600" t="s">
        <v>296</v>
      </c>
      <c r="I3600" s="9"/>
    </row>
    <row r="3601" spans="1:9" x14ac:dyDescent="0.25">
      <c r="A3601">
        <v>430070</v>
      </c>
      <c r="B3601">
        <v>1.75</v>
      </c>
      <c r="C3601">
        <v>2000</v>
      </c>
      <c r="D3601" s="9">
        <v>43837</v>
      </c>
      <c r="E3601" t="s">
        <v>296</v>
      </c>
      <c r="I3601" s="9"/>
    </row>
    <row r="3602" spans="1:9" x14ac:dyDescent="0.25">
      <c r="A3602">
        <v>430070</v>
      </c>
      <c r="B3602">
        <v>9.5</v>
      </c>
      <c r="C3602">
        <v>800</v>
      </c>
      <c r="D3602" s="9">
        <v>43808</v>
      </c>
      <c r="E3602" t="s">
        <v>295</v>
      </c>
      <c r="I3602" s="9"/>
    </row>
    <row r="3603" spans="1:9" x14ac:dyDescent="0.25">
      <c r="A3603">
        <v>430070</v>
      </c>
      <c r="B3603">
        <v>1.8</v>
      </c>
      <c r="C3603">
        <v>1920</v>
      </c>
      <c r="D3603" s="9">
        <v>43627</v>
      </c>
      <c r="E3603" t="s">
        <v>296</v>
      </c>
      <c r="I3603" s="9"/>
    </row>
    <row r="3604" spans="1:9" x14ac:dyDescent="0.25">
      <c r="A3604">
        <v>430070</v>
      </c>
      <c r="B3604">
        <v>9.5</v>
      </c>
      <c r="C3604">
        <v>200</v>
      </c>
      <c r="D3604" s="9">
        <v>43601</v>
      </c>
      <c r="E3604" t="s">
        <v>295</v>
      </c>
      <c r="I3604" s="9"/>
    </row>
    <row r="3605" spans="1:9" x14ac:dyDescent="0.25">
      <c r="A3605">
        <v>430070</v>
      </c>
      <c r="B3605">
        <v>1.8</v>
      </c>
      <c r="C3605">
        <v>2000</v>
      </c>
      <c r="D3605" s="9">
        <v>43592</v>
      </c>
      <c r="E3605" t="s">
        <v>296</v>
      </c>
      <c r="I3605" s="9"/>
    </row>
    <row r="3606" spans="1:9" x14ac:dyDescent="0.25">
      <c r="A3606">
        <v>430070</v>
      </c>
      <c r="B3606">
        <v>9.5</v>
      </c>
      <c r="C3606">
        <v>150</v>
      </c>
      <c r="D3606" s="9">
        <v>43584</v>
      </c>
      <c r="E3606" t="s">
        <v>295</v>
      </c>
      <c r="I3606" s="9"/>
    </row>
    <row r="3607" spans="1:9" x14ac:dyDescent="0.25">
      <c r="A3607">
        <v>430070</v>
      </c>
      <c r="B3607">
        <v>9.5</v>
      </c>
      <c r="C3607">
        <v>200</v>
      </c>
      <c r="D3607" s="9">
        <v>43551</v>
      </c>
      <c r="E3607" t="s">
        <v>295</v>
      </c>
      <c r="I3607" s="9"/>
    </row>
    <row r="3608" spans="1:9" x14ac:dyDescent="0.25">
      <c r="A3608">
        <v>430070</v>
      </c>
      <c r="B3608">
        <v>1.8</v>
      </c>
      <c r="C3608">
        <v>2000</v>
      </c>
      <c r="D3608" s="9">
        <v>43409</v>
      </c>
      <c r="E3608" t="s">
        <v>296</v>
      </c>
      <c r="I3608" s="9"/>
    </row>
    <row r="3609" spans="1:9" x14ac:dyDescent="0.25">
      <c r="A3609">
        <v>430070</v>
      </c>
      <c r="B3609">
        <v>9.5</v>
      </c>
      <c r="C3609">
        <v>150</v>
      </c>
      <c r="D3609" s="9">
        <v>43264</v>
      </c>
      <c r="E3609" t="s">
        <v>295</v>
      </c>
      <c r="I3609" s="9"/>
    </row>
    <row r="3610" spans="1:9" x14ac:dyDescent="0.25">
      <c r="A3610">
        <v>430070</v>
      </c>
      <c r="B3610">
        <v>6.72</v>
      </c>
      <c r="C3610">
        <v>1200</v>
      </c>
      <c r="D3610" s="9">
        <v>43263</v>
      </c>
      <c r="E3610" t="s">
        <v>295</v>
      </c>
      <c r="I3610" s="9"/>
    </row>
    <row r="3611" spans="1:9" x14ac:dyDescent="0.25">
      <c r="A3611">
        <v>430070</v>
      </c>
      <c r="B3611">
        <v>1.75</v>
      </c>
      <c r="C3611">
        <v>1200</v>
      </c>
      <c r="D3611" s="9">
        <v>43228</v>
      </c>
      <c r="E3611" t="s">
        <v>296</v>
      </c>
      <c r="I3611" s="9"/>
    </row>
    <row r="3612" spans="1:9" x14ac:dyDescent="0.25">
      <c r="A3612">
        <v>430070</v>
      </c>
      <c r="B3612">
        <v>9.5</v>
      </c>
      <c r="C3612">
        <v>40</v>
      </c>
      <c r="D3612" s="9">
        <v>43118</v>
      </c>
      <c r="E3612" t="s">
        <v>295</v>
      </c>
      <c r="I3612" s="9"/>
    </row>
    <row r="3613" spans="1:9" x14ac:dyDescent="0.25">
      <c r="A3613">
        <v>430070</v>
      </c>
      <c r="B3613">
        <v>1.78</v>
      </c>
      <c r="C3613">
        <v>1200</v>
      </c>
      <c r="D3613" s="9">
        <v>43105</v>
      </c>
      <c r="E3613" t="s">
        <v>296</v>
      </c>
      <c r="I3613" s="9"/>
    </row>
    <row r="3614" spans="1:9" x14ac:dyDescent="0.25">
      <c r="A3614">
        <v>430070</v>
      </c>
      <c r="B3614">
        <v>1.7</v>
      </c>
      <c r="C3614">
        <v>800</v>
      </c>
      <c r="D3614" s="9">
        <v>43105</v>
      </c>
      <c r="E3614" t="s">
        <v>296</v>
      </c>
      <c r="I3614" s="9"/>
    </row>
    <row r="3615" spans="1:9" x14ac:dyDescent="0.25">
      <c r="A3615">
        <v>430070</v>
      </c>
      <c r="B3615">
        <v>9.5</v>
      </c>
      <c r="C3615">
        <v>30</v>
      </c>
      <c r="D3615" s="9">
        <v>43105</v>
      </c>
      <c r="E3615" t="s">
        <v>295</v>
      </c>
      <c r="I3615" s="9"/>
    </row>
    <row r="3616" spans="1:9" x14ac:dyDescent="0.25">
      <c r="A3616">
        <v>430070</v>
      </c>
      <c r="B3616">
        <v>9.5</v>
      </c>
      <c r="C3616">
        <v>30</v>
      </c>
      <c r="D3616" s="9">
        <v>43060</v>
      </c>
      <c r="E3616" t="s">
        <v>295</v>
      </c>
      <c r="I3616" s="9"/>
    </row>
    <row r="3617" spans="1:9" x14ac:dyDescent="0.25">
      <c r="A3617">
        <v>430070</v>
      </c>
      <c r="B3617">
        <v>11</v>
      </c>
      <c r="C3617">
        <v>30</v>
      </c>
      <c r="D3617" s="9">
        <v>42986</v>
      </c>
      <c r="E3617" t="s">
        <v>295</v>
      </c>
      <c r="I3617" s="9"/>
    </row>
    <row r="3618" spans="1:9" x14ac:dyDescent="0.25">
      <c r="A3618">
        <v>430070</v>
      </c>
      <c r="B3618">
        <v>1.72</v>
      </c>
      <c r="C3618">
        <v>800</v>
      </c>
      <c r="D3618" s="9">
        <v>42976</v>
      </c>
      <c r="E3618" t="s">
        <v>296</v>
      </c>
      <c r="I3618" s="9"/>
    </row>
    <row r="3619" spans="1:9" x14ac:dyDescent="0.25">
      <c r="A3619">
        <v>430070</v>
      </c>
      <c r="B3619">
        <v>1.6120000000000001</v>
      </c>
      <c r="C3619">
        <v>800</v>
      </c>
      <c r="D3619" s="9">
        <v>42781</v>
      </c>
      <c r="E3619" t="s">
        <v>296</v>
      </c>
      <c r="I3619" s="9"/>
    </row>
    <row r="3620" spans="1:9" x14ac:dyDescent="0.25">
      <c r="A3620">
        <v>430070</v>
      </c>
      <c r="B3620">
        <v>1.63</v>
      </c>
      <c r="C3620">
        <v>640</v>
      </c>
      <c r="D3620" s="9">
        <v>42656</v>
      </c>
      <c r="E3620" t="s">
        <v>296</v>
      </c>
      <c r="I3620" s="9"/>
    </row>
    <row r="3621" spans="1:9" x14ac:dyDescent="0.25">
      <c r="A3621">
        <v>430070</v>
      </c>
      <c r="B3621">
        <v>1.63</v>
      </c>
      <c r="C3621">
        <v>800</v>
      </c>
      <c r="D3621" s="9">
        <v>42585</v>
      </c>
      <c r="E3621" t="s">
        <v>296</v>
      </c>
      <c r="I3621" s="9"/>
    </row>
    <row r="3622" spans="1:9" x14ac:dyDescent="0.25">
      <c r="A3622">
        <v>430070</v>
      </c>
      <c r="B3622">
        <v>1.65</v>
      </c>
      <c r="C3622">
        <v>2000</v>
      </c>
      <c r="D3622" s="9">
        <v>42494</v>
      </c>
      <c r="E3622" t="s">
        <v>296</v>
      </c>
      <c r="I3622" s="9"/>
    </row>
    <row r="3623" spans="1:9" x14ac:dyDescent="0.25">
      <c r="A3623">
        <v>430070</v>
      </c>
      <c r="B3623">
        <v>1.74</v>
      </c>
      <c r="C3623">
        <v>1600</v>
      </c>
      <c r="D3623" s="9">
        <v>42380</v>
      </c>
      <c r="E3623" t="s">
        <v>296</v>
      </c>
      <c r="I3623" s="9"/>
    </row>
    <row r="3624" spans="1:9" x14ac:dyDescent="0.25">
      <c r="A3624">
        <v>430070</v>
      </c>
      <c r="B3624">
        <v>1.74</v>
      </c>
      <c r="C3624">
        <v>1200</v>
      </c>
      <c r="D3624" s="9">
        <v>42270</v>
      </c>
      <c r="E3624" t="s">
        <v>296</v>
      </c>
      <c r="I3624" s="9"/>
    </row>
    <row r="3625" spans="1:9" x14ac:dyDescent="0.25">
      <c r="A3625">
        <v>430070</v>
      </c>
      <c r="B3625">
        <v>1.74</v>
      </c>
      <c r="C3625">
        <v>1200</v>
      </c>
      <c r="D3625" s="9">
        <v>42270</v>
      </c>
      <c r="E3625" t="s">
        <v>296</v>
      </c>
      <c r="I3625" s="9"/>
    </row>
    <row r="3626" spans="1:9" x14ac:dyDescent="0.25">
      <c r="A3626">
        <v>430070</v>
      </c>
      <c r="B3626">
        <v>1.74</v>
      </c>
      <c r="C3626">
        <v>1240</v>
      </c>
      <c r="D3626" s="9">
        <v>42139</v>
      </c>
      <c r="E3626" t="s">
        <v>296</v>
      </c>
      <c r="I3626" s="9"/>
    </row>
    <row r="3627" spans="1:9" x14ac:dyDescent="0.25">
      <c r="A3627">
        <v>430070</v>
      </c>
      <c r="B3627">
        <v>1.75</v>
      </c>
      <c r="C3627">
        <v>1200</v>
      </c>
      <c r="D3627" s="9">
        <v>41947</v>
      </c>
      <c r="E3627" t="s">
        <v>296</v>
      </c>
      <c r="I3627" s="9"/>
    </row>
    <row r="3628" spans="1:9" x14ac:dyDescent="0.25">
      <c r="A3628">
        <v>430070</v>
      </c>
      <c r="B3628">
        <v>1.75</v>
      </c>
      <c r="C3628">
        <v>1200</v>
      </c>
      <c r="D3628" s="9">
        <v>41747</v>
      </c>
      <c r="E3628" t="s">
        <v>296</v>
      </c>
      <c r="I3628" s="9"/>
    </row>
    <row r="3629" spans="1:9" x14ac:dyDescent="0.25">
      <c r="A3629">
        <v>430070</v>
      </c>
      <c r="B3629">
        <v>1.7490000000000001</v>
      </c>
      <c r="C3629">
        <v>1200</v>
      </c>
      <c r="D3629" s="9">
        <v>41718</v>
      </c>
      <c r="E3629" t="s">
        <v>296</v>
      </c>
      <c r="I3629" s="9"/>
    </row>
    <row r="3630" spans="1:9" x14ac:dyDescent="0.25">
      <c r="A3630">
        <v>430070</v>
      </c>
      <c r="B3630">
        <v>1.7490000000000001</v>
      </c>
      <c r="C3630">
        <v>1200</v>
      </c>
      <c r="D3630" s="9">
        <v>41647</v>
      </c>
      <c r="E3630" t="s">
        <v>296</v>
      </c>
      <c r="I3630" s="9"/>
    </row>
    <row r="3631" spans="1:9" x14ac:dyDescent="0.25">
      <c r="A3631">
        <v>430070</v>
      </c>
      <c r="B3631">
        <v>1.72</v>
      </c>
      <c r="C3631">
        <v>2000</v>
      </c>
      <c r="D3631" s="9">
        <v>41618</v>
      </c>
      <c r="E3631" t="s">
        <v>296</v>
      </c>
      <c r="I3631" s="9"/>
    </row>
    <row r="3632" spans="1:9" x14ac:dyDescent="0.25">
      <c r="A3632">
        <v>430070</v>
      </c>
      <c r="B3632">
        <v>1.72</v>
      </c>
      <c r="C3632">
        <v>960</v>
      </c>
      <c r="D3632" s="9">
        <v>41375</v>
      </c>
      <c r="E3632" t="s">
        <v>296</v>
      </c>
      <c r="I3632" s="9"/>
    </row>
    <row r="3633" spans="1:9" x14ac:dyDescent="0.25">
      <c r="A3633">
        <v>430070</v>
      </c>
      <c r="B3633">
        <v>1.72</v>
      </c>
      <c r="C3633">
        <v>2000</v>
      </c>
      <c r="D3633" s="9">
        <v>41288</v>
      </c>
      <c r="E3633" t="s">
        <v>296</v>
      </c>
      <c r="I3633" s="9"/>
    </row>
    <row r="3634" spans="1:9" x14ac:dyDescent="0.25">
      <c r="A3634">
        <v>431060</v>
      </c>
      <c r="B3634">
        <v>22.3</v>
      </c>
      <c r="C3634">
        <v>100</v>
      </c>
      <c r="D3634" s="9">
        <v>43591</v>
      </c>
      <c r="E3634" t="s">
        <v>295</v>
      </c>
      <c r="I3634" s="9"/>
    </row>
    <row r="3635" spans="1:9" x14ac:dyDescent="0.25">
      <c r="A3635">
        <v>431060</v>
      </c>
      <c r="B3635">
        <v>24.97</v>
      </c>
      <c r="C3635">
        <v>80</v>
      </c>
      <c r="D3635" s="9">
        <v>43264</v>
      </c>
      <c r="E3635" t="s">
        <v>295</v>
      </c>
      <c r="I3635" s="9"/>
    </row>
    <row r="3636" spans="1:9" x14ac:dyDescent="0.25">
      <c r="A3636">
        <v>431080</v>
      </c>
      <c r="B3636">
        <v>58.6</v>
      </c>
      <c r="C3636">
        <v>20</v>
      </c>
      <c r="D3636" s="9">
        <v>43264</v>
      </c>
      <c r="E3636" t="s">
        <v>295</v>
      </c>
      <c r="I3636" s="9"/>
    </row>
    <row r="3637" spans="1:9" x14ac:dyDescent="0.25">
      <c r="A3637">
        <v>440060</v>
      </c>
      <c r="B3637">
        <v>1.032</v>
      </c>
      <c r="C3637">
        <v>1280</v>
      </c>
      <c r="D3637" s="9">
        <v>44140</v>
      </c>
      <c r="E3637" t="s">
        <v>296</v>
      </c>
      <c r="I3637" s="9"/>
    </row>
    <row r="3638" spans="1:9" x14ac:dyDescent="0.25">
      <c r="A3638">
        <v>440060</v>
      </c>
      <c r="B3638">
        <v>1.08</v>
      </c>
      <c r="C3638">
        <v>1200</v>
      </c>
      <c r="D3638" s="9">
        <v>44060</v>
      </c>
      <c r="E3638" t="s">
        <v>296</v>
      </c>
      <c r="I3638" s="9"/>
    </row>
    <row r="3639" spans="1:9" x14ac:dyDescent="0.25">
      <c r="A3639">
        <v>440060</v>
      </c>
      <c r="B3639">
        <v>1.08</v>
      </c>
      <c r="C3639">
        <v>1200</v>
      </c>
      <c r="D3639" s="9">
        <v>43955</v>
      </c>
      <c r="E3639" t="s">
        <v>296</v>
      </c>
      <c r="I3639" s="9"/>
    </row>
    <row r="3640" spans="1:9" x14ac:dyDescent="0.25">
      <c r="A3640">
        <v>440060</v>
      </c>
      <c r="B3640">
        <v>1.08</v>
      </c>
      <c r="C3640">
        <v>1200</v>
      </c>
      <c r="D3640" s="9">
        <v>43837</v>
      </c>
      <c r="E3640" t="s">
        <v>296</v>
      </c>
      <c r="I3640" s="9"/>
    </row>
    <row r="3641" spans="1:9" x14ac:dyDescent="0.25">
      <c r="A3641">
        <v>440060</v>
      </c>
      <c r="B3641">
        <v>1.08</v>
      </c>
      <c r="C3641">
        <v>2000</v>
      </c>
      <c r="D3641" s="9">
        <v>43592</v>
      </c>
      <c r="E3641" t="s">
        <v>296</v>
      </c>
      <c r="I3641" s="9"/>
    </row>
    <row r="3642" spans="1:9" x14ac:dyDescent="0.25">
      <c r="A3642">
        <v>440060</v>
      </c>
      <c r="B3642">
        <v>1.08</v>
      </c>
      <c r="C3642">
        <v>1200</v>
      </c>
      <c r="D3642" s="9">
        <v>43409</v>
      </c>
      <c r="E3642" t="s">
        <v>296</v>
      </c>
      <c r="I3642" s="9"/>
    </row>
    <row r="3643" spans="1:9" x14ac:dyDescent="0.25">
      <c r="A3643">
        <v>440060</v>
      </c>
      <c r="B3643">
        <v>1.05</v>
      </c>
      <c r="C3643">
        <v>1000</v>
      </c>
      <c r="D3643" s="9">
        <v>43244</v>
      </c>
      <c r="E3643" t="s">
        <v>296</v>
      </c>
      <c r="I3643" s="9"/>
    </row>
    <row r="3644" spans="1:9" x14ac:dyDescent="0.25">
      <c r="A3644">
        <v>440060</v>
      </c>
      <c r="B3644">
        <v>5.58</v>
      </c>
      <c r="C3644">
        <v>20</v>
      </c>
      <c r="D3644" s="9">
        <v>42998</v>
      </c>
      <c r="E3644" t="s">
        <v>295</v>
      </c>
      <c r="I3644" s="9"/>
    </row>
    <row r="3645" spans="1:9" x14ac:dyDescent="0.25">
      <c r="A3645">
        <v>440060</v>
      </c>
      <c r="B3645">
        <v>1.05</v>
      </c>
      <c r="C3645">
        <v>1200</v>
      </c>
      <c r="D3645" s="9">
        <v>42905</v>
      </c>
      <c r="E3645" t="s">
        <v>296</v>
      </c>
      <c r="I3645" s="9"/>
    </row>
    <row r="3646" spans="1:9" x14ac:dyDescent="0.25">
      <c r="A3646">
        <v>440060</v>
      </c>
      <c r="B3646">
        <v>1</v>
      </c>
      <c r="C3646">
        <v>1600</v>
      </c>
      <c r="D3646" s="9">
        <v>42781</v>
      </c>
      <c r="E3646" t="s">
        <v>296</v>
      </c>
      <c r="I3646" s="9"/>
    </row>
    <row r="3647" spans="1:9" x14ac:dyDescent="0.25">
      <c r="A3647">
        <v>440060</v>
      </c>
      <c r="B3647">
        <v>1.02</v>
      </c>
      <c r="C3647">
        <v>960</v>
      </c>
      <c r="D3647" s="9">
        <v>42656</v>
      </c>
      <c r="E3647" t="s">
        <v>296</v>
      </c>
      <c r="I3647" s="9"/>
    </row>
    <row r="3648" spans="1:9" x14ac:dyDescent="0.25">
      <c r="A3648">
        <v>440060</v>
      </c>
      <c r="B3648">
        <v>1.02</v>
      </c>
      <c r="C3648">
        <v>1200</v>
      </c>
      <c r="D3648" s="9">
        <v>42585</v>
      </c>
      <c r="E3648" t="s">
        <v>296</v>
      </c>
      <c r="I3648" s="9"/>
    </row>
    <row r="3649" spans="1:9" x14ac:dyDescent="0.25">
      <c r="A3649">
        <v>440060</v>
      </c>
      <c r="B3649">
        <v>1.02</v>
      </c>
      <c r="C3649">
        <v>960</v>
      </c>
      <c r="D3649" s="9">
        <v>42494</v>
      </c>
      <c r="E3649" t="s">
        <v>296</v>
      </c>
      <c r="I3649" s="9"/>
    </row>
    <row r="3650" spans="1:9" x14ac:dyDescent="0.25">
      <c r="A3650">
        <v>440060</v>
      </c>
      <c r="B3650">
        <v>1.1000000000000001</v>
      </c>
      <c r="C3650">
        <v>960</v>
      </c>
      <c r="D3650" s="9">
        <v>42380</v>
      </c>
      <c r="E3650" t="s">
        <v>296</v>
      </c>
      <c r="I3650" s="9"/>
    </row>
    <row r="3651" spans="1:9" x14ac:dyDescent="0.25">
      <c r="A3651">
        <v>440060</v>
      </c>
      <c r="B3651">
        <v>1.1000000000000001</v>
      </c>
      <c r="C3651">
        <v>1120</v>
      </c>
      <c r="D3651" s="9">
        <v>42191</v>
      </c>
      <c r="E3651" t="s">
        <v>296</v>
      </c>
      <c r="I3651" s="9"/>
    </row>
    <row r="3652" spans="1:9" x14ac:dyDescent="0.25">
      <c r="A3652">
        <v>440060</v>
      </c>
      <c r="B3652">
        <v>1.08</v>
      </c>
      <c r="C3652">
        <v>1280</v>
      </c>
      <c r="D3652" s="9">
        <v>41947</v>
      </c>
      <c r="E3652" t="s">
        <v>296</v>
      </c>
      <c r="I3652" s="9"/>
    </row>
    <row r="3653" spans="1:9" x14ac:dyDescent="0.25">
      <c r="A3653">
        <v>440060</v>
      </c>
      <c r="B3653">
        <v>1.08</v>
      </c>
      <c r="C3653">
        <v>1280</v>
      </c>
      <c r="D3653" s="9">
        <v>41647</v>
      </c>
      <c r="E3653" t="s">
        <v>296</v>
      </c>
      <c r="I3653" s="9"/>
    </row>
    <row r="3654" spans="1:9" x14ac:dyDescent="0.25">
      <c r="A3654">
        <v>440060</v>
      </c>
      <c r="B3654">
        <v>1.05</v>
      </c>
      <c r="C3654">
        <v>1280</v>
      </c>
      <c r="D3654" s="9">
        <v>41417</v>
      </c>
      <c r="E3654" t="s">
        <v>296</v>
      </c>
      <c r="I3654" s="9"/>
    </row>
    <row r="3655" spans="1:9" x14ac:dyDescent="0.25">
      <c r="A3655">
        <v>440060</v>
      </c>
      <c r="B3655">
        <v>1.05</v>
      </c>
      <c r="C3655">
        <v>1280</v>
      </c>
      <c r="D3655" s="9">
        <v>41288</v>
      </c>
      <c r="E3655" t="s">
        <v>296</v>
      </c>
      <c r="I3655" s="9"/>
    </row>
    <row r="3656" spans="1:9" x14ac:dyDescent="0.25">
      <c r="A3656">
        <v>440063</v>
      </c>
      <c r="B3656">
        <v>4.444</v>
      </c>
      <c r="C3656">
        <v>400</v>
      </c>
      <c r="D3656" s="9">
        <v>44070</v>
      </c>
      <c r="E3656" t="s">
        <v>296</v>
      </c>
      <c r="I3656" s="9"/>
    </row>
    <row r="3657" spans="1:9" x14ac:dyDescent="0.25">
      <c r="A3657">
        <v>440063</v>
      </c>
      <c r="B3657">
        <v>7</v>
      </c>
      <c r="C3657">
        <v>150</v>
      </c>
      <c r="D3657" s="9">
        <v>43957</v>
      </c>
      <c r="E3657" t="s">
        <v>296</v>
      </c>
      <c r="I3657" s="9"/>
    </row>
    <row r="3658" spans="1:9" x14ac:dyDescent="0.25">
      <c r="A3658">
        <v>440063</v>
      </c>
      <c r="B3658">
        <v>7</v>
      </c>
      <c r="C3658">
        <v>150</v>
      </c>
      <c r="D3658" s="9">
        <v>43839</v>
      </c>
      <c r="E3658" t="s">
        <v>296</v>
      </c>
      <c r="I3658" s="9"/>
    </row>
    <row r="3659" spans="1:9" x14ac:dyDescent="0.25">
      <c r="A3659">
        <v>440063</v>
      </c>
      <c r="B3659">
        <v>7</v>
      </c>
      <c r="C3659">
        <v>100</v>
      </c>
      <c r="D3659" s="9">
        <v>43686</v>
      </c>
      <c r="E3659" t="s">
        <v>296</v>
      </c>
      <c r="I3659" s="9"/>
    </row>
    <row r="3660" spans="1:9" x14ac:dyDescent="0.25">
      <c r="A3660">
        <v>440150</v>
      </c>
      <c r="B3660">
        <v>3.44</v>
      </c>
      <c r="C3660">
        <v>320</v>
      </c>
      <c r="D3660" s="9">
        <v>44035</v>
      </c>
      <c r="E3660" t="s">
        <v>296</v>
      </c>
      <c r="I3660" s="9"/>
    </row>
    <row r="3661" spans="1:9" x14ac:dyDescent="0.25">
      <c r="A3661">
        <v>440150</v>
      </c>
      <c r="B3661">
        <v>3.44</v>
      </c>
      <c r="C3661">
        <v>320</v>
      </c>
      <c r="D3661" s="9">
        <v>43972</v>
      </c>
      <c r="E3661" t="s">
        <v>296</v>
      </c>
      <c r="I3661" s="9"/>
    </row>
    <row r="3662" spans="1:9" x14ac:dyDescent="0.25">
      <c r="A3662">
        <v>440150</v>
      </c>
      <c r="B3662">
        <v>3.44</v>
      </c>
      <c r="C3662">
        <v>400</v>
      </c>
      <c r="D3662" s="9">
        <v>43567</v>
      </c>
      <c r="E3662" t="s">
        <v>296</v>
      </c>
      <c r="I3662" s="9"/>
    </row>
    <row r="3663" spans="1:9" x14ac:dyDescent="0.25">
      <c r="A3663">
        <v>440150</v>
      </c>
      <c r="B3663">
        <v>3.39</v>
      </c>
      <c r="C3663">
        <v>400</v>
      </c>
      <c r="D3663" s="9">
        <v>43238</v>
      </c>
      <c r="E3663" t="s">
        <v>296</v>
      </c>
      <c r="I3663" s="9"/>
    </row>
    <row r="3664" spans="1:9" x14ac:dyDescent="0.25">
      <c r="A3664">
        <v>440150</v>
      </c>
      <c r="B3664">
        <v>12.88</v>
      </c>
      <c r="C3664">
        <v>400</v>
      </c>
      <c r="D3664" s="9">
        <v>43238</v>
      </c>
      <c r="E3664" t="s">
        <v>295</v>
      </c>
      <c r="I3664" s="9"/>
    </row>
    <row r="3665" spans="1:9" x14ac:dyDescent="0.25">
      <c r="A3665">
        <v>440150</v>
      </c>
      <c r="B3665">
        <v>3.3</v>
      </c>
      <c r="C3665">
        <v>400</v>
      </c>
      <c r="D3665" s="9">
        <v>42976</v>
      </c>
      <c r="E3665" t="s">
        <v>296</v>
      </c>
      <c r="I3665" s="9"/>
    </row>
    <row r="3666" spans="1:9" x14ac:dyDescent="0.25">
      <c r="A3666">
        <v>440150</v>
      </c>
      <c r="B3666">
        <v>3.4159999999999999</v>
      </c>
      <c r="C3666">
        <v>200</v>
      </c>
      <c r="D3666" s="9">
        <v>42753</v>
      </c>
      <c r="E3666" t="s">
        <v>297</v>
      </c>
      <c r="I3666" s="9"/>
    </row>
    <row r="3667" spans="1:9" x14ac:dyDescent="0.25">
      <c r="A3667">
        <v>440150</v>
      </c>
      <c r="B3667">
        <v>3.4159999999999999</v>
      </c>
      <c r="C3667">
        <v>480</v>
      </c>
      <c r="D3667" s="9">
        <v>42753</v>
      </c>
      <c r="E3667" t="s">
        <v>297</v>
      </c>
      <c r="I3667" s="9"/>
    </row>
    <row r="3668" spans="1:9" x14ac:dyDescent="0.25">
      <c r="A3668">
        <v>440150</v>
      </c>
      <c r="B3668">
        <v>3.4159999999999999</v>
      </c>
      <c r="C3668">
        <v>320</v>
      </c>
      <c r="D3668" s="9">
        <v>42186</v>
      </c>
      <c r="E3668" t="s">
        <v>297</v>
      </c>
      <c r="I3668" s="9"/>
    </row>
    <row r="3669" spans="1:9" x14ac:dyDescent="0.25">
      <c r="A3669">
        <v>440150</v>
      </c>
      <c r="B3669">
        <v>3.7160000000000002</v>
      </c>
      <c r="C3669">
        <v>320</v>
      </c>
      <c r="D3669" s="9">
        <v>42040</v>
      </c>
      <c r="E3669" t="s">
        <v>296</v>
      </c>
      <c r="I3669" s="9"/>
    </row>
    <row r="3670" spans="1:9" x14ac:dyDescent="0.25">
      <c r="A3670">
        <v>440150</v>
      </c>
      <c r="B3670">
        <v>3.7160000000000002</v>
      </c>
      <c r="C3670">
        <v>280</v>
      </c>
      <c r="D3670" s="9">
        <v>41744</v>
      </c>
      <c r="E3670" t="s">
        <v>296</v>
      </c>
      <c r="I3670" s="9"/>
    </row>
    <row r="3671" spans="1:9" x14ac:dyDescent="0.25">
      <c r="A3671">
        <v>440150</v>
      </c>
      <c r="B3671">
        <v>3.7160000000000002</v>
      </c>
      <c r="C3671">
        <v>440</v>
      </c>
      <c r="D3671" s="9">
        <v>41456</v>
      </c>
      <c r="E3671" t="s">
        <v>296</v>
      </c>
      <c r="I3671" s="9"/>
    </row>
    <row r="3672" spans="1:9" x14ac:dyDescent="0.25">
      <c r="A3672">
        <v>440320</v>
      </c>
      <c r="B3672">
        <v>6.3</v>
      </c>
      <c r="C3672">
        <v>200</v>
      </c>
      <c r="D3672" s="9">
        <v>44131</v>
      </c>
      <c r="E3672" t="s">
        <v>296</v>
      </c>
      <c r="I3672" s="9"/>
    </row>
    <row r="3673" spans="1:9" x14ac:dyDescent="0.25">
      <c r="A3673">
        <v>440320</v>
      </c>
      <c r="B3673">
        <v>6.3</v>
      </c>
      <c r="C3673">
        <v>200</v>
      </c>
      <c r="D3673" s="9">
        <v>44043</v>
      </c>
      <c r="E3673" t="s">
        <v>296</v>
      </c>
      <c r="I3673" s="9"/>
    </row>
    <row r="3674" spans="1:9" x14ac:dyDescent="0.25">
      <c r="A3674">
        <v>440320</v>
      </c>
      <c r="B3674">
        <v>6.3</v>
      </c>
      <c r="C3674">
        <v>200</v>
      </c>
      <c r="D3674" s="9">
        <v>43648</v>
      </c>
      <c r="E3674" t="s">
        <v>296</v>
      </c>
      <c r="I3674" s="9"/>
    </row>
    <row r="3675" spans="1:9" x14ac:dyDescent="0.25">
      <c r="A3675">
        <v>440320</v>
      </c>
      <c r="B3675">
        <v>23.88</v>
      </c>
      <c r="C3675">
        <v>320</v>
      </c>
      <c r="D3675" s="9">
        <v>43298</v>
      </c>
      <c r="E3675" t="s">
        <v>295</v>
      </c>
      <c r="I3675" s="9"/>
    </row>
    <row r="3676" spans="1:9" x14ac:dyDescent="0.25">
      <c r="A3676">
        <v>440320</v>
      </c>
      <c r="B3676">
        <v>6.3</v>
      </c>
      <c r="C3676">
        <v>320</v>
      </c>
      <c r="D3676" s="9">
        <v>43264</v>
      </c>
      <c r="E3676" t="s">
        <v>296</v>
      </c>
      <c r="I3676" s="9"/>
    </row>
    <row r="3677" spans="1:9" x14ac:dyDescent="0.25">
      <c r="A3677">
        <v>440320</v>
      </c>
      <c r="B3677">
        <v>6.75</v>
      </c>
      <c r="C3677">
        <v>320</v>
      </c>
      <c r="D3677" s="9">
        <v>43136</v>
      </c>
      <c r="E3677" t="s">
        <v>296</v>
      </c>
      <c r="I3677" s="9"/>
    </row>
    <row r="3678" spans="1:9" x14ac:dyDescent="0.25">
      <c r="A3678">
        <v>440320</v>
      </c>
      <c r="B3678">
        <v>22.94</v>
      </c>
      <c r="C3678">
        <v>320</v>
      </c>
      <c r="D3678" s="9">
        <v>43136</v>
      </c>
      <c r="E3678" t="s">
        <v>295</v>
      </c>
      <c r="I3678" s="9"/>
    </row>
    <row r="3679" spans="1:9" x14ac:dyDescent="0.25">
      <c r="A3679">
        <v>440320</v>
      </c>
      <c r="B3679">
        <v>6.55</v>
      </c>
      <c r="C3679">
        <v>320</v>
      </c>
      <c r="D3679" s="9">
        <v>42976</v>
      </c>
      <c r="E3679" t="s">
        <v>296</v>
      </c>
      <c r="I3679" s="9"/>
    </row>
    <row r="3680" spans="1:9" x14ac:dyDescent="0.25">
      <c r="A3680">
        <v>440320</v>
      </c>
      <c r="B3680">
        <v>6.2</v>
      </c>
      <c r="C3680">
        <v>240</v>
      </c>
      <c r="D3680" s="9">
        <v>42270</v>
      </c>
      <c r="E3680" t="s">
        <v>296</v>
      </c>
      <c r="I3680" s="9"/>
    </row>
    <row r="3681" spans="1:9" x14ac:dyDescent="0.25">
      <c r="A3681">
        <v>440320</v>
      </c>
      <c r="B3681">
        <v>21.88</v>
      </c>
      <c r="C3681">
        <v>300</v>
      </c>
      <c r="D3681" s="9">
        <v>42011</v>
      </c>
      <c r="E3681" t="s">
        <v>295</v>
      </c>
      <c r="I3681" s="9"/>
    </row>
    <row r="3682" spans="1:9" x14ac:dyDescent="0.25">
      <c r="A3682">
        <v>440320</v>
      </c>
      <c r="B3682">
        <v>6.2</v>
      </c>
      <c r="C3682">
        <v>300</v>
      </c>
      <c r="D3682" s="9">
        <v>41961</v>
      </c>
      <c r="E3682" t="s">
        <v>296</v>
      </c>
      <c r="I3682" s="9"/>
    </row>
    <row r="3683" spans="1:9" x14ac:dyDescent="0.25">
      <c r="A3683">
        <v>440320</v>
      </c>
      <c r="B3683">
        <v>6.2</v>
      </c>
      <c r="C3683">
        <v>360</v>
      </c>
      <c r="D3683" s="9">
        <v>41813</v>
      </c>
      <c r="E3683" t="s">
        <v>296</v>
      </c>
      <c r="I3683" s="9"/>
    </row>
    <row r="3684" spans="1:9" x14ac:dyDescent="0.25">
      <c r="A3684">
        <v>440320</v>
      </c>
      <c r="B3684">
        <v>6.2</v>
      </c>
      <c r="C3684">
        <v>300</v>
      </c>
      <c r="D3684" s="9">
        <v>41618</v>
      </c>
      <c r="E3684" t="s">
        <v>296</v>
      </c>
      <c r="I3684" s="9"/>
    </row>
    <row r="3685" spans="1:9" x14ac:dyDescent="0.25">
      <c r="A3685">
        <v>440322</v>
      </c>
      <c r="B3685">
        <v>8.6</v>
      </c>
      <c r="C3685">
        <v>160</v>
      </c>
      <c r="D3685" s="9">
        <v>43889</v>
      </c>
      <c r="E3685" t="s">
        <v>296</v>
      </c>
      <c r="I3685" s="9"/>
    </row>
    <row r="3686" spans="1:9" x14ac:dyDescent="0.25">
      <c r="A3686">
        <v>440322</v>
      </c>
      <c r="B3686">
        <v>8.6</v>
      </c>
      <c r="C3686">
        <v>160</v>
      </c>
      <c r="D3686" s="9">
        <v>43612</v>
      </c>
      <c r="E3686" t="s">
        <v>296</v>
      </c>
      <c r="I3686" s="9"/>
    </row>
    <row r="3687" spans="1:9" x14ac:dyDescent="0.25">
      <c r="A3687">
        <v>440322</v>
      </c>
      <c r="B3687">
        <v>28.28</v>
      </c>
      <c r="C3687">
        <v>80</v>
      </c>
      <c r="D3687" s="9">
        <v>43136</v>
      </c>
      <c r="E3687" t="s">
        <v>295</v>
      </c>
      <c r="I3687" s="9"/>
    </row>
    <row r="3688" spans="1:9" x14ac:dyDescent="0.25">
      <c r="A3688">
        <v>440322</v>
      </c>
      <c r="B3688">
        <v>8.32</v>
      </c>
      <c r="C3688">
        <v>80</v>
      </c>
      <c r="D3688" s="9">
        <v>43136</v>
      </c>
      <c r="E3688" t="s">
        <v>296</v>
      </c>
      <c r="I3688" s="9"/>
    </row>
    <row r="3689" spans="1:9" x14ac:dyDescent="0.25">
      <c r="A3689">
        <v>440322</v>
      </c>
      <c r="B3689">
        <v>8</v>
      </c>
      <c r="C3689">
        <v>60</v>
      </c>
      <c r="D3689" s="9">
        <v>42976</v>
      </c>
      <c r="E3689" t="s">
        <v>296</v>
      </c>
      <c r="I3689" s="9"/>
    </row>
    <row r="3690" spans="1:9" x14ac:dyDescent="0.25">
      <c r="A3690">
        <v>440352</v>
      </c>
      <c r="B3690">
        <v>43.68</v>
      </c>
      <c r="C3690">
        <v>30</v>
      </c>
      <c r="D3690" s="9">
        <v>43753</v>
      </c>
      <c r="E3690" t="s">
        <v>296</v>
      </c>
      <c r="I3690" s="9"/>
    </row>
    <row r="3691" spans="1:9" x14ac:dyDescent="0.25">
      <c r="A3691">
        <v>440352</v>
      </c>
      <c r="B3691">
        <v>43.68</v>
      </c>
      <c r="C3691">
        <v>40</v>
      </c>
      <c r="D3691" s="9">
        <v>43707</v>
      </c>
      <c r="E3691" t="s">
        <v>296</v>
      </c>
      <c r="I3691" s="9"/>
    </row>
    <row r="3692" spans="1:9" x14ac:dyDescent="0.25">
      <c r="A3692">
        <v>440352</v>
      </c>
      <c r="B3692">
        <v>42.3</v>
      </c>
      <c r="C3692">
        <v>40</v>
      </c>
      <c r="D3692" s="9">
        <v>43136</v>
      </c>
      <c r="E3692" t="s">
        <v>296</v>
      </c>
      <c r="I3692" s="9"/>
    </row>
    <row r="3693" spans="1:9" x14ac:dyDescent="0.25">
      <c r="A3693">
        <v>440352</v>
      </c>
      <c r="B3693">
        <v>143.58000000000001</v>
      </c>
      <c r="C3693">
        <v>40</v>
      </c>
      <c r="D3693" s="9">
        <v>43136</v>
      </c>
      <c r="E3693" t="s">
        <v>295</v>
      </c>
      <c r="I3693" s="9"/>
    </row>
    <row r="3694" spans="1:9" x14ac:dyDescent="0.25">
      <c r="A3694">
        <v>440352</v>
      </c>
      <c r="B3694">
        <v>39.85</v>
      </c>
      <c r="C3694">
        <v>20</v>
      </c>
      <c r="D3694" s="9">
        <v>42976</v>
      </c>
      <c r="E3694" t="s">
        <v>296</v>
      </c>
      <c r="I3694" s="9"/>
    </row>
    <row r="3695" spans="1:9" x14ac:dyDescent="0.25">
      <c r="A3695">
        <v>450090</v>
      </c>
      <c r="B3695">
        <v>0.61</v>
      </c>
      <c r="C3695">
        <v>800</v>
      </c>
      <c r="D3695" s="9">
        <v>43955</v>
      </c>
      <c r="E3695" t="s">
        <v>296</v>
      </c>
      <c r="I3695" s="9"/>
    </row>
    <row r="3696" spans="1:9" x14ac:dyDescent="0.25">
      <c r="A3696">
        <v>450090</v>
      </c>
      <c r="B3696">
        <v>0.61</v>
      </c>
      <c r="C3696">
        <v>800</v>
      </c>
      <c r="D3696" s="9">
        <v>43409</v>
      </c>
      <c r="E3696" t="s">
        <v>296</v>
      </c>
      <c r="I3696" s="9"/>
    </row>
    <row r="3697" spans="1:9" x14ac:dyDescent="0.25">
      <c r="A3697">
        <v>450090</v>
      </c>
      <c r="B3697">
        <v>0.59499999999999997</v>
      </c>
      <c r="C3697">
        <v>800</v>
      </c>
      <c r="D3697" s="9">
        <v>42573</v>
      </c>
      <c r="E3697" t="s">
        <v>296</v>
      </c>
      <c r="I3697" s="9"/>
    </row>
    <row r="3698" spans="1:9" x14ac:dyDescent="0.25">
      <c r="A3698">
        <v>450090</v>
      </c>
      <c r="B3698">
        <v>0.64</v>
      </c>
      <c r="C3698">
        <v>1200</v>
      </c>
      <c r="D3698" s="9">
        <v>42031</v>
      </c>
      <c r="E3698" t="s">
        <v>296</v>
      </c>
      <c r="I3698" s="9"/>
    </row>
    <row r="3699" spans="1:9" x14ac:dyDescent="0.25">
      <c r="A3699">
        <v>450090</v>
      </c>
      <c r="B3699">
        <v>0.64</v>
      </c>
      <c r="C3699">
        <v>1400</v>
      </c>
      <c r="D3699" s="9">
        <v>41618</v>
      </c>
      <c r="E3699" t="s">
        <v>296</v>
      </c>
      <c r="I3699" s="9"/>
    </row>
    <row r="3700" spans="1:9" x14ac:dyDescent="0.25">
      <c r="A3700">
        <v>450090</v>
      </c>
      <c r="B3700">
        <v>0.64</v>
      </c>
      <c r="C3700">
        <v>1200</v>
      </c>
      <c r="D3700" s="9">
        <v>41484</v>
      </c>
      <c r="E3700" t="s">
        <v>296</v>
      </c>
      <c r="I3700" s="9"/>
    </row>
    <row r="3701" spans="1:9" x14ac:dyDescent="0.25">
      <c r="A3701">
        <v>450180</v>
      </c>
      <c r="B3701">
        <v>1.28</v>
      </c>
      <c r="C3701">
        <v>480</v>
      </c>
      <c r="D3701" s="9">
        <v>44068</v>
      </c>
      <c r="E3701" t="s">
        <v>296</v>
      </c>
      <c r="I3701" s="9"/>
    </row>
    <row r="3702" spans="1:9" x14ac:dyDescent="0.25">
      <c r="A3702">
        <v>450180</v>
      </c>
      <c r="B3702">
        <v>1.28</v>
      </c>
      <c r="C3702">
        <v>400</v>
      </c>
      <c r="D3702" s="9">
        <v>43837</v>
      </c>
      <c r="E3702" t="s">
        <v>296</v>
      </c>
      <c r="I3702" s="9"/>
    </row>
    <row r="3703" spans="1:9" x14ac:dyDescent="0.25">
      <c r="A3703">
        <v>450180</v>
      </c>
      <c r="B3703">
        <v>1.32</v>
      </c>
      <c r="C3703">
        <v>400</v>
      </c>
      <c r="D3703" s="9">
        <v>43592</v>
      </c>
      <c r="E3703" t="s">
        <v>296</v>
      </c>
      <c r="I3703" s="9"/>
    </row>
    <row r="3704" spans="1:9" x14ac:dyDescent="0.25">
      <c r="A3704">
        <v>450180</v>
      </c>
      <c r="B3704">
        <v>1.36</v>
      </c>
      <c r="C3704">
        <v>400</v>
      </c>
      <c r="D3704" s="9">
        <v>43250</v>
      </c>
      <c r="E3704" t="s">
        <v>296</v>
      </c>
      <c r="I3704" s="9"/>
    </row>
    <row r="3705" spans="1:9" x14ac:dyDescent="0.25">
      <c r="A3705">
        <v>450180</v>
      </c>
      <c r="B3705">
        <v>1.35</v>
      </c>
      <c r="C3705">
        <v>400</v>
      </c>
      <c r="D3705" s="9">
        <v>42905</v>
      </c>
      <c r="E3705" t="s">
        <v>296</v>
      </c>
      <c r="I3705" s="9"/>
    </row>
    <row r="3706" spans="1:9" x14ac:dyDescent="0.25">
      <c r="A3706">
        <v>450180</v>
      </c>
      <c r="B3706">
        <v>1.3</v>
      </c>
      <c r="C3706">
        <v>320</v>
      </c>
      <c r="D3706" s="9">
        <v>42482</v>
      </c>
      <c r="E3706" t="s">
        <v>296</v>
      </c>
      <c r="I3706" s="9"/>
    </row>
    <row r="3707" spans="1:9" x14ac:dyDescent="0.25">
      <c r="A3707">
        <v>450180</v>
      </c>
      <c r="B3707">
        <v>1.3</v>
      </c>
      <c r="C3707">
        <v>400</v>
      </c>
      <c r="D3707" s="9">
        <v>41747</v>
      </c>
      <c r="E3707" t="s">
        <v>296</v>
      </c>
      <c r="I3707" s="9"/>
    </row>
    <row r="3708" spans="1:9" x14ac:dyDescent="0.25">
      <c r="A3708">
        <v>450180</v>
      </c>
      <c r="B3708">
        <v>1.18</v>
      </c>
      <c r="C3708">
        <v>400</v>
      </c>
      <c r="D3708" s="9">
        <v>41484</v>
      </c>
      <c r="E3708" t="s">
        <v>296</v>
      </c>
      <c r="I3708" s="9"/>
    </row>
    <row r="3709" spans="1:9" x14ac:dyDescent="0.25">
      <c r="A3709">
        <v>450405</v>
      </c>
      <c r="B3709">
        <v>0.625</v>
      </c>
      <c r="C3709">
        <v>400</v>
      </c>
      <c r="D3709" s="9">
        <v>43972</v>
      </c>
      <c r="E3709" t="s">
        <v>296</v>
      </c>
      <c r="I3709" s="9"/>
    </row>
    <row r="3710" spans="1:9" x14ac:dyDescent="0.25">
      <c r="A3710">
        <v>450405</v>
      </c>
      <c r="B3710">
        <v>0.625</v>
      </c>
      <c r="C3710">
        <v>400</v>
      </c>
      <c r="D3710" s="9">
        <v>43784</v>
      </c>
      <c r="E3710" t="s">
        <v>296</v>
      </c>
      <c r="I3710" s="9"/>
    </row>
    <row r="3711" spans="1:9" x14ac:dyDescent="0.25">
      <c r="A3711">
        <v>450405</v>
      </c>
      <c r="B3711">
        <v>0.625</v>
      </c>
      <c r="C3711">
        <v>100</v>
      </c>
      <c r="D3711" s="9">
        <v>43784</v>
      </c>
      <c r="E3711" t="s">
        <v>296</v>
      </c>
      <c r="I3711" s="9"/>
    </row>
    <row r="3712" spans="1:9" x14ac:dyDescent="0.25">
      <c r="A3712">
        <v>450405</v>
      </c>
      <c r="B3712">
        <v>0.67</v>
      </c>
      <c r="C3712">
        <v>800</v>
      </c>
      <c r="D3712" s="9">
        <v>42864</v>
      </c>
      <c r="E3712" t="s">
        <v>296</v>
      </c>
      <c r="I3712" s="9"/>
    </row>
    <row r="3713" spans="1:9" x14ac:dyDescent="0.25">
      <c r="A3713">
        <v>450405</v>
      </c>
      <c r="B3713">
        <v>0.65</v>
      </c>
      <c r="C3713">
        <v>800</v>
      </c>
      <c r="D3713" s="9">
        <v>42325</v>
      </c>
      <c r="E3713" t="s">
        <v>296</v>
      </c>
      <c r="I3713" s="9"/>
    </row>
    <row r="3714" spans="1:9" x14ac:dyDescent="0.25">
      <c r="A3714">
        <v>450406</v>
      </c>
      <c r="B3714">
        <v>1.04</v>
      </c>
      <c r="C3714">
        <v>500</v>
      </c>
      <c r="D3714" s="9">
        <v>43972</v>
      </c>
      <c r="E3714" t="s">
        <v>296</v>
      </c>
      <c r="I3714" s="9"/>
    </row>
    <row r="3715" spans="1:9" x14ac:dyDescent="0.25">
      <c r="A3715">
        <v>450406</v>
      </c>
      <c r="B3715">
        <v>1.04</v>
      </c>
      <c r="C3715">
        <v>200</v>
      </c>
      <c r="D3715" s="9">
        <v>43784</v>
      </c>
      <c r="E3715" t="s">
        <v>296</v>
      </c>
      <c r="I3715" s="9"/>
    </row>
    <row r="3716" spans="1:9" x14ac:dyDescent="0.25">
      <c r="A3716">
        <v>483000</v>
      </c>
      <c r="B3716">
        <v>2</v>
      </c>
      <c r="C3716">
        <v>300</v>
      </c>
      <c r="D3716" s="9">
        <v>43955</v>
      </c>
      <c r="E3716" t="s">
        <v>296</v>
      </c>
      <c r="I3716" s="9"/>
    </row>
    <row r="3717" spans="1:9" x14ac:dyDescent="0.25">
      <c r="A3717">
        <v>483000</v>
      </c>
      <c r="B3717">
        <v>2</v>
      </c>
      <c r="C3717">
        <v>400</v>
      </c>
      <c r="D3717" s="9">
        <v>43955</v>
      </c>
      <c r="E3717" t="s">
        <v>296</v>
      </c>
      <c r="I3717" s="9"/>
    </row>
    <row r="3718" spans="1:9" x14ac:dyDescent="0.25">
      <c r="A3718">
        <v>483000</v>
      </c>
      <c r="B3718">
        <v>2</v>
      </c>
      <c r="C3718">
        <v>400</v>
      </c>
      <c r="D3718" s="9">
        <v>43627</v>
      </c>
      <c r="E3718" t="s">
        <v>296</v>
      </c>
      <c r="I3718" s="9"/>
    </row>
    <row r="3719" spans="1:9" x14ac:dyDescent="0.25">
      <c r="A3719">
        <v>483000</v>
      </c>
      <c r="B3719">
        <v>2</v>
      </c>
      <c r="C3719">
        <v>300</v>
      </c>
      <c r="D3719" s="9">
        <v>43250</v>
      </c>
      <c r="E3719" t="s">
        <v>296</v>
      </c>
      <c r="I3719" s="9"/>
    </row>
    <row r="3720" spans="1:9" x14ac:dyDescent="0.25">
      <c r="A3720">
        <v>483000</v>
      </c>
      <c r="B3720">
        <v>1.88</v>
      </c>
      <c r="C3720">
        <v>400</v>
      </c>
      <c r="D3720" s="9">
        <v>42905</v>
      </c>
      <c r="E3720" t="s">
        <v>296</v>
      </c>
      <c r="I3720" s="9"/>
    </row>
    <row r="3721" spans="1:9" x14ac:dyDescent="0.25">
      <c r="A3721">
        <v>483000</v>
      </c>
      <c r="B3721">
        <v>1.85</v>
      </c>
      <c r="C3721">
        <v>500</v>
      </c>
      <c r="D3721" s="9">
        <v>42482</v>
      </c>
      <c r="E3721" t="s">
        <v>296</v>
      </c>
      <c r="I3721" s="9"/>
    </row>
    <row r="3722" spans="1:9" x14ac:dyDescent="0.25">
      <c r="A3722">
        <v>483000</v>
      </c>
      <c r="B3722">
        <v>1.85</v>
      </c>
      <c r="C3722">
        <v>600</v>
      </c>
      <c r="D3722" s="9">
        <v>42191</v>
      </c>
      <c r="E3722" t="s">
        <v>296</v>
      </c>
      <c r="I3722" s="9"/>
    </row>
    <row r="3723" spans="1:9" x14ac:dyDescent="0.25">
      <c r="A3723">
        <v>483000</v>
      </c>
      <c r="B3723">
        <v>1.85</v>
      </c>
      <c r="C3723">
        <v>600</v>
      </c>
      <c r="D3723" s="9">
        <v>41837</v>
      </c>
      <c r="E3723" t="s">
        <v>296</v>
      </c>
      <c r="I3723" s="9"/>
    </row>
    <row r="3724" spans="1:9" x14ac:dyDescent="0.25">
      <c r="A3724">
        <v>483000</v>
      </c>
      <c r="B3724">
        <v>2</v>
      </c>
      <c r="C3724">
        <v>520</v>
      </c>
      <c r="D3724" s="9">
        <v>41618</v>
      </c>
      <c r="E3724" t="s">
        <v>296</v>
      </c>
      <c r="I3724" s="9"/>
    </row>
    <row r="3725" spans="1:9" x14ac:dyDescent="0.25">
      <c r="A3725">
        <v>483000</v>
      </c>
      <c r="B3725">
        <v>2</v>
      </c>
      <c r="C3725">
        <v>520</v>
      </c>
      <c r="D3725" s="9">
        <v>41484</v>
      </c>
      <c r="E3725" t="s">
        <v>296</v>
      </c>
      <c r="I3725" s="9"/>
    </row>
    <row r="3726" spans="1:9" x14ac:dyDescent="0.25">
      <c r="A3726">
        <v>483000</v>
      </c>
      <c r="B3726">
        <v>2</v>
      </c>
      <c r="C3726">
        <v>520</v>
      </c>
      <c r="D3726" s="9">
        <v>41288</v>
      </c>
      <c r="E3726" t="s">
        <v>296</v>
      </c>
      <c r="I3726" s="9"/>
    </row>
    <row r="3727" spans="1:9" x14ac:dyDescent="0.25">
      <c r="A3727">
        <v>490010</v>
      </c>
      <c r="B3727">
        <v>34.64</v>
      </c>
      <c r="C3727">
        <v>150</v>
      </c>
      <c r="D3727" s="9">
        <v>43990</v>
      </c>
      <c r="E3727" t="s">
        <v>296</v>
      </c>
      <c r="I3727" s="9"/>
    </row>
    <row r="3728" spans="1:9" x14ac:dyDescent="0.25">
      <c r="A3728">
        <v>490020</v>
      </c>
      <c r="B3728">
        <v>16.38</v>
      </c>
      <c r="C3728">
        <v>150</v>
      </c>
      <c r="D3728" s="9">
        <v>43990</v>
      </c>
      <c r="E3728" t="s">
        <v>296</v>
      </c>
      <c r="I3728" s="9"/>
    </row>
    <row r="3729" spans="1:9" x14ac:dyDescent="0.25">
      <c r="A3729">
        <v>490030</v>
      </c>
      <c r="B3729">
        <v>13.8</v>
      </c>
      <c r="C3729">
        <v>150</v>
      </c>
      <c r="D3729" s="9">
        <v>43990</v>
      </c>
      <c r="E3729" t="s">
        <v>296</v>
      </c>
      <c r="I3729" s="9"/>
    </row>
    <row r="3730" spans="1:9" x14ac:dyDescent="0.25">
      <c r="A3730">
        <v>490040</v>
      </c>
      <c r="B3730">
        <v>48.31</v>
      </c>
      <c r="C3730">
        <v>10</v>
      </c>
      <c r="D3730" s="9">
        <v>44102</v>
      </c>
      <c r="E3730" t="s">
        <v>295</v>
      </c>
      <c r="I3730" s="9"/>
    </row>
    <row r="3731" spans="1:9" x14ac:dyDescent="0.25">
      <c r="A3731">
        <v>490040</v>
      </c>
      <c r="B3731">
        <v>7.87</v>
      </c>
      <c r="C3731">
        <v>120</v>
      </c>
      <c r="D3731" s="9">
        <v>43990</v>
      </c>
      <c r="E3731" t="s">
        <v>296</v>
      </c>
      <c r="I3731" s="9"/>
    </row>
    <row r="3732" spans="1:9" x14ac:dyDescent="0.25">
      <c r="A3732">
        <v>490050</v>
      </c>
      <c r="B3732">
        <v>30.41</v>
      </c>
      <c r="C3732">
        <v>356</v>
      </c>
      <c r="D3732" s="9">
        <v>43990</v>
      </c>
      <c r="E3732" t="s">
        <v>296</v>
      </c>
      <c r="I3732" s="9"/>
    </row>
    <row r="3733" spans="1:9" x14ac:dyDescent="0.25">
      <c r="A3733">
        <v>500750</v>
      </c>
      <c r="B3733">
        <v>9.3000000000000007</v>
      </c>
      <c r="C3733">
        <v>40</v>
      </c>
      <c r="D3733" s="9">
        <v>44071</v>
      </c>
      <c r="E3733" t="s">
        <v>296</v>
      </c>
      <c r="I3733" s="9"/>
    </row>
    <row r="3734" spans="1:9" x14ac:dyDescent="0.25">
      <c r="A3734">
        <v>500750</v>
      </c>
      <c r="B3734">
        <v>9.3000000000000007</v>
      </c>
      <c r="C3734">
        <v>40</v>
      </c>
      <c r="D3734" s="9">
        <v>44005</v>
      </c>
      <c r="E3734" t="s">
        <v>296</v>
      </c>
      <c r="I3734" s="9"/>
    </row>
    <row r="3735" spans="1:9" x14ac:dyDescent="0.25">
      <c r="A3735">
        <v>500750</v>
      </c>
      <c r="B3735">
        <v>9.3000000000000007</v>
      </c>
      <c r="C3735">
        <v>40</v>
      </c>
      <c r="D3735" s="9">
        <v>43717</v>
      </c>
      <c r="E3735" t="s">
        <v>296</v>
      </c>
      <c r="I3735" s="9"/>
    </row>
    <row r="3736" spans="1:9" x14ac:dyDescent="0.25">
      <c r="A3736">
        <v>500750</v>
      </c>
      <c r="B3736">
        <v>9.3000000000000007</v>
      </c>
      <c r="C3736">
        <v>32</v>
      </c>
      <c r="D3736" s="9">
        <v>43578</v>
      </c>
      <c r="E3736" t="s">
        <v>296</v>
      </c>
      <c r="I3736" s="9"/>
    </row>
    <row r="3737" spans="1:9" x14ac:dyDescent="0.25">
      <c r="A3737">
        <v>500750</v>
      </c>
      <c r="B3737">
        <v>34.49</v>
      </c>
      <c r="C3737">
        <v>72</v>
      </c>
      <c r="D3737" s="9">
        <v>43234</v>
      </c>
      <c r="E3737" t="s">
        <v>295</v>
      </c>
      <c r="I3737" s="9"/>
    </row>
    <row r="3738" spans="1:9" x14ac:dyDescent="0.25">
      <c r="A3738">
        <v>500750</v>
      </c>
      <c r="B3738">
        <v>9.3000000000000007</v>
      </c>
      <c r="C3738">
        <v>72</v>
      </c>
      <c r="D3738" s="9">
        <v>43049</v>
      </c>
      <c r="E3738" t="s">
        <v>296</v>
      </c>
      <c r="I3738" s="9"/>
    </row>
    <row r="3739" spans="1:9" x14ac:dyDescent="0.25">
      <c r="A3739">
        <v>500750</v>
      </c>
      <c r="B3739">
        <v>9.0730000000000004</v>
      </c>
      <c r="C3739">
        <v>100</v>
      </c>
      <c r="D3739" s="9">
        <v>42326</v>
      </c>
      <c r="E3739" t="s">
        <v>296</v>
      </c>
      <c r="I3739" s="9"/>
    </row>
    <row r="3740" spans="1:9" x14ac:dyDescent="0.25">
      <c r="A3740">
        <v>501000</v>
      </c>
      <c r="B3740">
        <v>10.82</v>
      </c>
      <c r="C3740">
        <v>40</v>
      </c>
      <c r="D3740" s="9">
        <v>44071</v>
      </c>
      <c r="E3740" t="s">
        <v>296</v>
      </c>
      <c r="I3740" s="9"/>
    </row>
    <row r="3741" spans="1:9" x14ac:dyDescent="0.25">
      <c r="A3741">
        <v>501000</v>
      </c>
      <c r="B3741">
        <v>10.82</v>
      </c>
      <c r="C3741">
        <v>32</v>
      </c>
      <c r="D3741" s="9">
        <v>44005</v>
      </c>
      <c r="E3741" t="s">
        <v>296</v>
      </c>
      <c r="I3741" s="9"/>
    </row>
    <row r="3742" spans="1:9" x14ac:dyDescent="0.25">
      <c r="A3742">
        <v>501000</v>
      </c>
      <c r="B3742">
        <v>10.82</v>
      </c>
      <c r="C3742">
        <v>20</v>
      </c>
      <c r="D3742" s="9">
        <v>43717</v>
      </c>
      <c r="E3742" t="s">
        <v>296</v>
      </c>
      <c r="I3742" s="9"/>
    </row>
    <row r="3743" spans="1:9" x14ac:dyDescent="0.25">
      <c r="A3743">
        <v>501000</v>
      </c>
      <c r="B3743">
        <v>10.82</v>
      </c>
      <c r="C3743">
        <v>40</v>
      </c>
      <c r="D3743" s="9">
        <v>43578</v>
      </c>
      <c r="E3743" t="s">
        <v>296</v>
      </c>
      <c r="I3743" s="9"/>
    </row>
    <row r="3744" spans="1:9" x14ac:dyDescent="0.25">
      <c r="A3744">
        <v>501000</v>
      </c>
      <c r="B3744">
        <v>10.82</v>
      </c>
      <c r="C3744">
        <v>24</v>
      </c>
      <c r="D3744" s="9">
        <v>43350</v>
      </c>
      <c r="E3744" t="s">
        <v>296</v>
      </c>
      <c r="I3744" s="9"/>
    </row>
    <row r="3745" spans="1:9" x14ac:dyDescent="0.25">
      <c r="A3745">
        <v>501000</v>
      </c>
      <c r="B3745">
        <v>10.82</v>
      </c>
      <c r="C3745">
        <v>26</v>
      </c>
      <c r="D3745" s="9">
        <v>43270</v>
      </c>
      <c r="E3745" t="s">
        <v>296</v>
      </c>
      <c r="I3745" s="9"/>
    </row>
    <row r="3746" spans="1:9" x14ac:dyDescent="0.25">
      <c r="A3746">
        <v>501000</v>
      </c>
      <c r="B3746">
        <v>38.49</v>
      </c>
      <c r="C3746">
        <v>58</v>
      </c>
      <c r="D3746" s="9">
        <v>43234</v>
      </c>
      <c r="E3746" t="s">
        <v>295</v>
      </c>
      <c r="I3746" s="9"/>
    </row>
    <row r="3747" spans="1:9" x14ac:dyDescent="0.25">
      <c r="A3747">
        <v>501000</v>
      </c>
      <c r="B3747">
        <v>10.3</v>
      </c>
      <c r="C3747">
        <v>58</v>
      </c>
      <c r="D3747" s="9">
        <v>43049</v>
      </c>
      <c r="E3747" t="s">
        <v>296</v>
      </c>
      <c r="I3747" s="9"/>
    </row>
    <row r="3748" spans="1:9" x14ac:dyDescent="0.25">
      <c r="A3748">
        <v>501000</v>
      </c>
      <c r="B3748">
        <v>10.3</v>
      </c>
      <c r="C3748">
        <v>68</v>
      </c>
      <c r="D3748" s="9">
        <v>42844</v>
      </c>
      <c r="E3748" t="s">
        <v>296</v>
      </c>
      <c r="I3748" s="9"/>
    </row>
    <row r="3749" spans="1:9" x14ac:dyDescent="0.25">
      <c r="A3749">
        <v>501000</v>
      </c>
      <c r="B3749">
        <v>10.3</v>
      </c>
      <c r="C3749">
        <v>60</v>
      </c>
      <c r="D3749" s="9">
        <v>42634</v>
      </c>
      <c r="E3749" t="s">
        <v>296</v>
      </c>
      <c r="I3749" s="9"/>
    </row>
    <row r="3750" spans="1:9" x14ac:dyDescent="0.25">
      <c r="A3750">
        <v>501000</v>
      </c>
      <c r="B3750">
        <v>10.3</v>
      </c>
      <c r="C3750">
        <v>60</v>
      </c>
      <c r="D3750" s="9">
        <v>42472</v>
      </c>
      <c r="E3750" t="s">
        <v>296</v>
      </c>
      <c r="I3750" s="9"/>
    </row>
    <row r="3751" spans="1:9" x14ac:dyDescent="0.25">
      <c r="A3751">
        <v>501000</v>
      </c>
      <c r="B3751">
        <v>11.4</v>
      </c>
      <c r="C3751">
        <v>44</v>
      </c>
      <c r="D3751" s="9">
        <v>42136</v>
      </c>
      <c r="E3751" t="s">
        <v>296</v>
      </c>
      <c r="I3751" s="9"/>
    </row>
    <row r="3752" spans="1:9" x14ac:dyDescent="0.25">
      <c r="A3752">
        <v>501000</v>
      </c>
      <c r="B3752">
        <v>10.83</v>
      </c>
      <c r="C3752">
        <v>80</v>
      </c>
      <c r="D3752" s="9">
        <v>41751</v>
      </c>
      <c r="E3752" t="s">
        <v>296</v>
      </c>
      <c r="I3752" s="9"/>
    </row>
    <row r="3753" spans="1:9" x14ac:dyDescent="0.25">
      <c r="A3753">
        <v>501250</v>
      </c>
      <c r="B3753">
        <v>11.93</v>
      </c>
      <c r="C3753">
        <v>72</v>
      </c>
      <c r="D3753" s="9">
        <v>44071</v>
      </c>
      <c r="E3753" t="s">
        <v>296</v>
      </c>
      <c r="I3753" s="9"/>
    </row>
    <row r="3754" spans="1:9" x14ac:dyDescent="0.25">
      <c r="A3754">
        <v>501250</v>
      </c>
      <c r="B3754">
        <v>11.93</v>
      </c>
      <c r="C3754">
        <v>48</v>
      </c>
      <c r="D3754" s="9">
        <v>44005</v>
      </c>
      <c r="E3754" t="s">
        <v>296</v>
      </c>
      <c r="I3754" s="9"/>
    </row>
    <row r="3755" spans="1:9" x14ac:dyDescent="0.25">
      <c r="A3755">
        <v>501250</v>
      </c>
      <c r="B3755">
        <v>11.93</v>
      </c>
      <c r="C3755">
        <v>68</v>
      </c>
      <c r="D3755" s="9">
        <v>43717</v>
      </c>
      <c r="E3755" t="s">
        <v>296</v>
      </c>
      <c r="I3755" s="9"/>
    </row>
    <row r="3756" spans="1:9" x14ac:dyDescent="0.25">
      <c r="A3756">
        <v>501250</v>
      </c>
      <c r="B3756">
        <v>11.93</v>
      </c>
      <c r="C3756">
        <v>60</v>
      </c>
      <c r="D3756" s="9">
        <v>43578</v>
      </c>
      <c r="E3756" t="s">
        <v>296</v>
      </c>
      <c r="I3756" s="9"/>
    </row>
    <row r="3757" spans="1:9" x14ac:dyDescent="0.25">
      <c r="A3757">
        <v>501250</v>
      </c>
      <c r="B3757">
        <v>11.93</v>
      </c>
      <c r="C3757">
        <v>60</v>
      </c>
      <c r="D3757" s="9">
        <v>43486</v>
      </c>
      <c r="E3757" t="s">
        <v>296</v>
      </c>
      <c r="I3757" s="9"/>
    </row>
    <row r="3758" spans="1:9" x14ac:dyDescent="0.25">
      <c r="A3758">
        <v>501250</v>
      </c>
      <c r="B3758">
        <v>11.93</v>
      </c>
      <c r="C3758">
        <v>50</v>
      </c>
      <c r="D3758" s="9">
        <v>43350</v>
      </c>
      <c r="E3758" t="s">
        <v>296</v>
      </c>
      <c r="I3758" s="9"/>
    </row>
    <row r="3759" spans="1:9" x14ac:dyDescent="0.25">
      <c r="A3759">
        <v>501250</v>
      </c>
      <c r="B3759">
        <v>11.93</v>
      </c>
      <c r="C3759">
        <v>50</v>
      </c>
      <c r="D3759" s="9">
        <v>43270</v>
      </c>
      <c r="E3759" t="s">
        <v>296</v>
      </c>
      <c r="I3759" s="9"/>
    </row>
    <row r="3760" spans="1:9" x14ac:dyDescent="0.25">
      <c r="A3760">
        <v>501250</v>
      </c>
      <c r="B3760">
        <v>42.87</v>
      </c>
      <c r="C3760">
        <v>72</v>
      </c>
      <c r="D3760" s="9">
        <v>43234</v>
      </c>
      <c r="E3760" t="s">
        <v>295</v>
      </c>
      <c r="I3760" s="9"/>
    </row>
    <row r="3761" spans="1:9" x14ac:dyDescent="0.25">
      <c r="A3761">
        <v>501250</v>
      </c>
      <c r="B3761">
        <v>11.36</v>
      </c>
      <c r="C3761">
        <v>72</v>
      </c>
      <c r="D3761" s="9">
        <v>43049</v>
      </c>
      <c r="E3761" t="s">
        <v>296</v>
      </c>
      <c r="I3761" s="9"/>
    </row>
    <row r="3762" spans="1:9" x14ac:dyDescent="0.25">
      <c r="A3762">
        <v>501250</v>
      </c>
      <c r="B3762">
        <v>11.36</v>
      </c>
      <c r="C3762">
        <v>56</v>
      </c>
      <c r="D3762" s="9">
        <v>42892</v>
      </c>
      <c r="E3762" t="s">
        <v>296</v>
      </c>
      <c r="I3762" s="9"/>
    </row>
    <row r="3763" spans="1:9" x14ac:dyDescent="0.25">
      <c r="A3763">
        <v>501250</v>
      </c>
      <c r="B3763">
        <v>11.36</v>
      </c>
      <c r="C3763">
        <v>68</v>
      </c>
      <c r="D3763" s="9">
        <v>42844</v>
      </c>
      <c r="E3763" t="s">
        <v>296</v>
      </c>
      <c r="I3763" s="9"/>
    </row>
    <row r="3764" spans="1:9" x14ac:dyDescent="0.25">
      <c r="A3764">
        <v>501250</v>
      </c>
      <c r="B3764">
        <v>11.36</v>
      </c>
      <c r="C3764">
        <v>80</v>
      </c>
      <c r="D3764" s="9">
        <v>42634</v>
      </c>
      <c r="E3764" t="s">
        <v>296</v>
      </c>
      <c r="I3764" s="9"/>
    </row>
    <row r="3765" spans="1:9" x14ac:dyDescent="0.25">
      <c r="A3765">
        <v>501250</v>
      </c>
      <c r="B3765">
        <v>13.125999999999999</v>
      </c>
      <c r="C3765">
        <v>60</v>
      </c>
      <c r="D3765" s="9">
        <v>42508</v>
      </c>
      <c r="E3765" t="s">
        <v>296</v>
      </c>
      <c r="I3765" s="9"/>
    </row>
    <row r="3766" spans="1:9" x14ac:dyDescent="0.25">
      <c r="A3766">
        <v>501250</v>
      </c>
      <c r="B3766">
        <v>51.12</v>
      </c>
      <c r="C3766">
        <v>60</v>
      </c>
      <c r="D3766" s="9">
        <v>42508</v>
      </c>
      <c r="E3766" t="s">
        <v>295</v>
      </c>
      <c r="I3766" s="9"/>
    </row>
    <row r="3767" spans="1:9" x14ac:dyDescent="0.25">
      <c r="A3767">
        <v>501250</v>
      </c>
      <c r="B3767">
        <v>11.36</v>
      </c>
      <c r="C3767">
        <v>90</v>
      </c>
      <c r="D3767" s="9">
        <v>42472</v>
      </c>
      <c r="E3767" t="s">
        <v>296</v>
      </c>
      <c r="I3767" s="9"/>
    </row>
    <row r="3768" spans="1:9" x14ac:dyDescent="0.25">
      <c r="A3768">
        <v>501250</v>
      </c>
      <c r="B3768">
        <v>12.5</v>
      </c>
      <c r="C3768">
        <v>56</v>
      </c>
      <c r="D3768" s="9">
        <v>42136</v>
      </c>
      <c r="E3768" t="s">
        <v>296</v>
      </c>
      <c r="I3768" s="9"/>
    </row>
    <row r="3769" spans="1:9" x14ac:dyDescent="0.25">
      <c r="A3769">
        <v>501250</v>
      </c>
      <c r="B3769">
        <v>12.5</v>
      </c>
      <c r="C3769">
        <v>50</v>
      </c>
      <c r="D3769" s="9">
        <v>41943</v>
      </c>
      <c r="E3769" t="s">
        <v>296</v>
      </c>
      <c r="I3769" s="9"/>
    </row>
    <row r="3770" spans="1:9" x14ac:dyDescent="0.25">
      <c r="A3770">
        <v>501250</v>
      </c>
      <c r="B3770">
        <v>13.125999999999999</v>
      </c>
      <c r="C3770">
        <v>100</v>
      </c>
      <c r="D3770" s="9">
        <v>41751</v>
      </c>
      <c r="E3770" t="s">
        <v>296</v>
      </c>
      <c r="I3770" s="9"/>
    </row>
    <row r="3771" spans="1:9" x14ac:dyDescent="0.25">
      <c r="A3771">
        <v>501500</v>
      </c>
      <c r="B3771">
        <v>16.66</v>
      </c>
      <c r="C3771">
        <v>40</v>
      </c>
      <c r="D3771" s="9">
        <v>44071</v>
      </c>
      <c r="E3771" t="s">
        <v>296</v>
      </c>
      <c r="I3771" s="9"/>
    </row>
    <row r="3772" spans="1:9" x14ac:dyDescent="0.25">
      <c r="A3772">
        <v>501500</v>
      </c>
      <c r="B3772">
        <v>16.66</v>
      </c>
      <c r="C3772">
        <v>32</v>
      </c>
      <c r="D3772" s="9">
        <v>44005</v>
      </c>
      <c r="E3772" t="s">
        <v>296</v>
      </c>
      <c r="I3772" s="9"/>
    </row>
    <row r="3773" spans="1:9" x14ac:dyDescent="0.25">
      <c r="A3773">
        <v>501500</v>
      </c>
      <c r="B3773">
        <v>16.66</v>
      </c>
      <c r="C3773">
        <v>44</v>
      </c>
      <c r="D3773" s="9">
        <v>43717</v>
      </c>
      <c r="E3773" t="s">
        <v>296</v>
      </c>
      <c r="I3773" s="9"/>
    </row>
    <row r="3774" spans="1:9" x14ac:dyDescent="0.25">
      <c r="A3774">
        <v>501500</v>
      </c>
      <c r="B3774">
        <v>16.66</v>
      </c>
      <c r="C3774">
        <v>50</v>
      </c>
      <c r="D3774" s="9">
        <v>43578</v>
      </c>
      <c r="E3774" t="s">
        <v>296</v>
      </c>
      <c r="I3774" s="9"/>
    </row>
    <row r="3775" spans="1:9" x14ac:dyDescent="0.25">
      <c r="A3775">
        <v>501500</v>
      </c>
      <c r="B3775">
        <v>16.66</v>
      </c>
      <c r="C3775">
        <v>28</v>
      </c>
      <c r="D3775" s="9">
        <v>43486</v>
      </c>
      <c r="E3775" t="s">
        <v>296</v>
      </c>
      <c r="I3775" s="9"/>
    </row>
    <row r="3776" spans="1:9" x14ac:dyDescent="0.25">
      <c r="A3776">
        <v>501500</v>
      </c>
      <c r="B3776">
        <v>16.66</v>
      </c>
      <c r="C3776">
        <v>26</v>
      </c>
      <c r="D3776" s="9">
        <v>43350</v>
      </c>
      <c r="E3776" t="s">
        <v>296</v>
      </c>
      <c r="I3776" s="9"/>
    </row>
    <row r="3777" spans="1:9" x14ac:dyDescent="0.25">
      <c r="A3777">
        <v>501500</v>
      </c>
      <c r="B3777">
        <v>16.66</v>
      </c>
      <c r="C3777">
        <v>24</v>
      </c>
      <c r="D3777" s="9">
        <v>43270</v>
      </c>
      <c r="E3777" t="s">
        <v>296</v>
      </c>
      <c r="I3777" s="9"/>
    </row>
    <row r="3778" spans="1:9" x14ac:dyDescent="0.25">
      <c r="A3778">
        <v>501500</v>
      </c>
      <c r="B3778">
        <v>15.87</v>
      </c>
      <c r="C3778">
        <v>88</v>
      </c>
      <c r="D3778" s="9">
        <v>42892</v>
      </c>
      <c r="E3778" t="s">
        <v>296</v>
      </c>
      <c r="I3778" s="9"/>
    </row>
    <row r="3779" spans="1:9" x14ac:dyDescent="0.25">
      <c r="A3779">
        <v>501500</v>
      </c>
      <c r="B3779">
        <v>15.87</v>
      </c>
      <c r="C3779">
        <v>44</v>
      </c>
      <c r="D3779" s="9">
        <v>42844</v>
      </c>
      <c r="E3779" t="s">
        <v>296</v>
      </c>
      <c r="I3779" s="9"/>
    </row>
    <row r="3780" spans="1:9" x14ac:dyDescent="0.25">
      <c r="A3780">
        <v>501500</v>
      </c>
      <c r="B3780">
        <v>15.87</v>
      </c>
      <c r="C3780">
        <v>32</v>
      </c>
      <c r="D3780" s="9">
        <v>42634</v>
      </c>
      <c r="E3780" t="s">
        <v>296</v>
      </c>
      <c r="I3780" s="9"/>
    </row>
    <row r="3781" spans="1:9" x14ac:dyDescent="0.25">
      <c r="A3781">
        <v>501500</v>
      </c>
      <c r="B3781">
        <v>15.87</v>
      </c>
      <c r="C3781">
        <v>32</v>
      </c>
      <c r="D3781" s="9">
        <v>42472</v>
      </c>
      <c r="E3781" t="s">
        <v>296</v>
      </c>
      <c r="I3781" s="9"/>
    </row>
    <row r="3782" spans="1:9" x14ac:dyDescent="0.25">
      <c r="A3782">
        <v>501500</v>
      </c>
      <c r="B3782">
        <v>22.308</v>
      </c>
      <c r="C3782">
        <v>60</v>
      </c>
      <c r="D3782" s="9">
        <v>41751</v>
      </c>
      <c r="E3782" t="s">
        <v>296</v>
      </c>
      <c r="I3782" s="9"/>
    </row>
    <row r="3783" spans="1:9" x14ac:dyDescent="0.25">
      <c r="A3783">
        <v>501500</v>
      </c>
      <c r="B3783">
        <v>22.308</v>
      </c>
      <c r="C3783">
        <v>80</v>
      </c>
      <c r="D3783" s="9">
        <v>41295</v>
      </c>
      <c r="E3783" t="s">
        <v>296</v>
      </c>
      <c r="I3783" s="9"/>
    </row>
    <row r="3784" spans="1:9" x14ac:dyDescent="0.25">
      <c r="A3784">
        <v>511000</v>
      </c>
      <c r="B3784">
        <v>11.45</v>
      </c>
      <c r="C3784">
        <v>30</v>
      </c>
      <c r="D3784" s="9">
        <v>44071</v>
      </c>
      <c r="E3784" t="s">
        <v>296</v>
      </c>
      <c r="I3784" s="9"/>
    </row>
    <row r="3785" spans="1:9" x14ac:dyDescent="0.25">
      <c r="A3785">
        <v>511000</v>
      </c>
      <c r="B3785">
        <v>11.45</v>
      </c>
      <c r="C3785">
        <v>34</v>
      </c>
      <c r="D3785" s="9">
        <v>43717</v>
      </c>
      <c r="E3785" t="s">
        <v>296</v>
      </c>
      <c r="I3785" s="9"/>
    </row>
    <row r="3786" spans="1:9" x14ac:dyDescent="0.25">
      <c r="A3786">
        <v>511000</v>
      </c>
      <c r="B3786">
        <v>11.45</v>
      </c>
      <c r="C3786">
        <v>34</v>
      </c>
      <c r="D3786" s="9">
        <v>43578</v>
      </c>
      <c r="E3786" t="s">
        <v>296</v>
      </c>
      <c r="I3786" s="9"/>
    </row>
    <row r="3787" spans="1:9" x14ac:dyDescent="0.25">
      <c r="A3787">
        <v>511000</v>
      </c>
      <c r="B3787">
        <v>11.45</v>
      </c>
      <c r="C3787">
        <v>34</v>
      </c>
      <c r="D3787" s="9">
        <v>43350</v>
      </c>
      <c r="E3787" t="s">
        <v>296</v>
      </c>
      <c r="I3787" s="9"/>
    </row>
    <row r="3788" spans="1:9" x14ac:dyDescent="0.25">
      <c r="A3788">
        <v>511000</v>
      </c>
      <c r="B3788">
        <v>11.45</v>
      </c>
      <c r="C3788">
        <v>34</v>
      </c>
      <c r="D3788" s="9">
        <v>43270</v>
      </c>
      <c r="E3788" t="s">
        <v>296</v>
      </c>
      <c r="I3788" s="9"/>
    </row>
    <row r="3789" spans="1:9" x14ac:dyDescent="0.25">
      <c r="A3789">
        <v>511000</v>
      </c>
      <c r="B3789">
        <v>10.9</v>
      </c>
      <c r="C3789">
        <v>68</v>
      </c>
      <c r="D3789" s="9">
        <v>42844</v>
      </c>
      <c r="E3789" t="s">
        <v>296</v>
      </c>
      <c r="I3789" s="9"/>
    </row>
    <row r="3790" spans="1:9" x14ac:dyDescent="0.25">
      <c r="A3790">
        <v>511000</v>
      </c>
      <c r="B3790">
        <v>50.24</v>
      </c>
      <c r="C3790">
        <v>60</v>
      </c>
      <c r="D3790" s="9">
        <v>42508</v>
      </c>
      <c r="E3790" t="s">
        <v>295</v>
      </c>
      <c r="I3790" s="9"/>
    </row>
    <row r="3791" spans="1:9" x14ac:dyDescent="0.25">
      <c r="A3791">
        <v>511000</v>
      </c>
      <c r="B3791">
        <v>12.9</v>
      </c>
      <c r="C3791">
        <v>60</v>
      </c>
      <c r="D3791" s="9">
        <v>42508</v>
      </c>
      <c r="E3791" t="s">
        <v>296</v>
      </c>
      <c r="I3791" s="9"/>
    </row>
    <row r="3792" spans="1:9" x14ac:dyDescent="0.25">
      <c r="A3792">
        <v>511000</v>
      </c>
      <c r="B3792">
        <v>12.9</v>
      </c>
      <c r="C3792">
        <v>80</v>
      </c>
      <c r="D3792" s="9">
        <v>41983</v>
      </c>
      <c r="E3792" t="s">
        <v>296</v>
      </c>
      <c r="I3792" s="9"/>
    </row>
    <row r="3793" spans="1:9" x14ac:dyDescent="0.25">
      <c r="A3793">
        <v>511000</v>
      </c>
      <c r="B3793">
        <v>12.9</v>
      </c>
      <c r="C3793">
        <v>80</v>
      </c>
      <c r="D3793" s="9">
        <v>41751</v>
      </c>
      <c r="E3793" t="s">
        <v>296</v>
      </c>
      <c r="I3793" s="9"/>
    </row>
    <row r="3794" spans="1:9" x14ac:dyDescent="0.25">
      <c r="A3794">
        <v>511250</v>
      </c>
      <c r="B3794">
        <v>13.91</v>
      </c>
      <c r="C3794">
        <v>40</v>
      </c>
      <c r="D3794" s="9">
        <v>44071</v>
      </c>
      <c r="E3794" t="s">
        <v>296</v>
      </c>
      <c r="I3794" s="9"/>
    </row>
    <row r="3795" spans="1:9" x14ac:dyDescent="0.25">
      <c r="A3795">
        <v>511250</v>
      </c>
      <c r="B3795">
        <v>13.91</v>
      </c>
      <c r="C3795">
        <v>24</v>
      </c>
      <c r="D3795" s="9">
        <v>44005</v>
      </c>
      <c r="E3795" t="s">
        <v>296</v>
      </c>
      <c r="I3795" s="9"/>
    </row>
    <row r="3796" spans="1:9" x14ac:dyDescent="0.25">
      <c r="A3796">
        <v>511250</v>
      </c>
      <c r="B3796">
        <v>13.91</v>
      </c>
      <c r="C3796">
        <v>34</v>
      </c>
      <c r="D3796" s="9">
        <v>43717</v>
      </c>
      <c r="E3796" t="s">
        <v>296</v>
      </c>
      <c r="I3796" s="9"/>
    </row>
    <row r="3797" spans="1:9" x14ac:dyDescent="0.25">
      <c r="A3797">
        <v>511250</v>
      </c>
      <c r="B3797">
        <v>13.91</v>
      </c>
      <c r="C3797">
        <v>40</v>
      </c>
      <c r="D3797" s="9">
        <v>43578</v>
      </c>
      <c r="E3797" t="s">
        <v>296</v>
      </c>
      <c r="I3797" s="9"/>
    </row>
    <row r="3798" spans="1:9" x14ac:dyDescent="0.25">
      <c r="A3798">
        <v>511250</v>
      </c>
      <c r="B3798">
        <v>13.91</v>
      </c>
      <c r="C3798">
        <v>34</v>
      </c>
      <c r="D3798" s="9">
        <v>43350</v>
      </c>
      <c r="E3798" t="s">
        <v>296</v>
      </c>
      <c r="I3798" s="9"/>
    </row>
    <row r="3799" spans="1:9" x14ac:dyDescent="0.25">
      <c r="A3799">
        <v>511250</v>
      </c>
      <c r="B3799">
        <v>13.91</v>
      </c>
      <c r="C3799">
        <v>34</v>
      </c>
      <c r="D3799" s="9">
        <v>43270</v>
      </c>
      <c r="E3799" t="s">
        <v>296</v>
      </c>
      <c r="I3799" s="9"/>
    </row>
    <row r="3800" spans="1:9" x14ac:dyDescent="0.25">
      <c r="A3800">
        <v>511250</v>
      </c>
      <c r="B3800">
        <v>49.93</v>
      </c>
      <c r="C3800">
        <v>68</v>
      </c>
      <c r="D3800" s="9">
        <v>43234</v>
      </c>
      <c r="E3800" t="s">
        <v>295</v>
      </c>
      <c r="I3800" s="9"/>
    </row>
    <row r="3801" spans="1:9" x14ac:dyDescent="0.25">
      <c r="A3801">
        <v>511250</v>
      </c>
      <c r="B3801">
        <v>13.25</v>
      </c>
      <c r="C3801">
        <v>68</v>
      </c>
      <c r="D3801" s="9">
        <v>43049</v>
      </c>
      <c r="E3801" t="s">
        <v>296</v>
      </c>
      <c r="I3801" s="9"/>
    </row>
    <row r="3802" spans="1:9" x14ac:dyDescent="0.25">
      <c r="A3802">
        <v>511250</v>
      </c>
      <c r="B3802">
        <v>13.25</v>
      </c>
      <c r="C3802">
        <v>56</v>
      </c>
      <c r="D3802" s="9">
        <v>42844</v>
      </c>
      <c r="E3802" t="s">
        <v>296</v>
      </c>
      <c r="I3802" s="9"/>
    </row>
    <row r="3803" spans="1:9" x14ac:dyDescent="0.25">
      <c r="A3803">
        <v>511250</v>
      </c>
      <c r="B3803">
        <v>13.25</v>
      </c>
      <c r="C3803">
        <v>60</v>
      </c>
      <c r="D3803" s="9">
        <v>42472</v>
      </c>
      <c r="E3803" t="s">
        <v>296</v>
      </c>
      <c r="I3803" s="9"/>
    </row>
    <row r="3804" spans="1:9" x14ac:dyDescent="0.25">
      <c r="A3804">
        <v>511250</v>
      </c>
      <c r="B3804">
        <v>15.454000000000001</v>
      </c>
      <c r="C3804">
        <v>50</v>
      </c>
      <c r="D3804" s="9">
        <v>42326</v>
      </c>
      <c r="E3804" t="s">
        <v>296</v>
      </c>
      <c r="I3804" s="9"/>
    </row>
    <row r="3805" spans="1:9" x14ac:dyDescent="0.25">
      <c r="A3805">
        <v>511250</v>
      </c>
      <c r="B3805">
        <v>15.454000000000001</v>
      </c>
      <c r="C3805">
        <v>120</v>
      </c>
      <c r="D3805" s="9">
        <v>41751</v>
      </c>
      <c r="E3805" t="s">
        <v>296</v>
      </c>
      <c r="I3805" s="9"/>
    </row>
    <row r="3806" spans="1:9" x14ac:dyDescent="0.25">
      <c r="A3806">
        <v>511250</v>
      </c>
      <c r="B3806">
        <v>15.12</v>
      </c>
      <c r="C3806">
        <v>64</v>
      </c>
      <c r="D3806" s="9">
        <v>41479</v>
      </c>
      <c r="E3806" t="s">
        <v>296</v>
      </c>
      <c r="I3806" s="9"/>
    </row>
    <row r="3807" spans="1:9" x14ac:dyDescent="0.25">
      <c r="A3807">
        <v>511500</v>
      </c>
      <c r="B3807">
        <v>19.3</v>
      </c>
      <c r="C3807">
        <v>28</v>
      </c>
      <c r="D3807" s="9">
        <v>44071</v>
      </c>
      <c r="E3807" t="s">
        <v>296</v>
      </c>
      <c r="I3807" s="9"/>
    </row>
    <row r="3808" spans="1:9" x14ac:dyDescent="0.25">
      <c r="A3808">
        <v>511500</v>
      </c>
      <c r="B3808">
        <v>19.3</v>
      </c>
      <c r="C3808">
        <v>20</v>
      </c>
      <c r="D3808" s="9">
        <v>44005</v>
      </c>
      <c r="E3808" t="s">
        <v>296</v>
      </c>
      <c r="I3808" s="9"/>
    </row>
    <row r="3809" spans="1:9" x14ac:dyDescent="0.25">
      <c r="A3809">
        <v>511500</v>
      </c>
      <c r="B3809">
        <v>19.3</v>
      </c>
      <c r="C3809">
        <v>24</v>
      </c>
      <c r="D3809" s="9">
        <v>43717</v>
      </c>
      <c r="E3809" t="s">
        <v>296</v>
      </c>
      <c r="I3809" s="9"/>
    </row>
    <row r="3810" spans="1:9" x14ac:dyDescent="0.25">
      <c r="A3810">
        <v>511500</v>
      </c>
      <c r="B3810">
        <v>19.3</v>
      </c>
      <c r="C3810">
        <v>24</v>
      </c>
      <c r="D3810" s="9">
        <v>43578</v>
      </c>
      <c r="E3810" t="s">
        <v>296</v>
      </c>
      <c r="I3810" s="9"/>
    </row>
    <row r="3811" spans="1:9" x14ac:dyDescent="0.25">
      <c r="A3811">
        <v>511500</v>
      </c>
      <c r="B3811">
        <v>19.3</v>
      </c>
      <c r="C3811">
        <v>20</v>
      </c>
      <c r="D3811" s="9">
        <v>43350</v>
      </c>
      <c r="E3811" t="s">
        <v>296</v>
      </c>
      <c r="I3811" s="9"/>
    </row>
    <row r="3812" spans="1:9" x14ac:dyDescent="0.25">
      <c r="A3812">
        <v>511500</v>
      </c>
      <c r="B3812">
        <v>19.3</v>
      </c>
      <c r="C3812">
        <v>20</v>
      </c>
      <c r="D3812" s="9">
        <v>43270</v>
      </c>
      <c r="E3812" t="s">
        <v>296</v>
      </c>
      <c r="I3812" s="9"/>
    </row>
    <row r="3813" spans="1:9" x14ac:dyDescent="0.25">
      <c r="A3813">
        <v>511500</v>
      </c>
      <c r="B3813">
        <v>69.88</v>
      </c>
      <c r="C3813">
        <v>30</v>
      </c>
      <c r="D3813" s="9">
        <v>43234</v>
      </c>
      <c r="E3813" t="s">
        <v>295</v>
      </c>
      <c r="I3813" s="9"/>
    </row>
    <row r="3814" spans="1:9" x14ac:dyDescent="0.25">
      <c r="A3814">
        <v>511500</v>
      </c>
      <c r="B3814">
        <v>18.38</v>
      </c>
      <c r="C3814">
        <v>30</v>
      </c>
      <c r="D3814" s="9">
        <v>43049</v>
      </c>
      <c r="E3814" t="s">
        <v>296</v>
      </c>
      <c r="I3814" s="9"/>
    </row>
    <row r="3815" spans="1:9" x14ac:dyDescent="0.25">
      <c r="A3815">
        <v>511500</v>
      </c>
      <c r="B3815">
        <v>18.38</v>
      </c>
      <c r="C3815">
        <v>44</v>
      </c>
      <c r="D3815" s="9">
        <v>42844</v>
      </c>
      <c r="E3815" t="s">
        <v>296</v>
      </c>
      <c r="I3815" s="9"/>
    </row>
    <row r="3816" spans="1:9" x14ac:dyDescent="0.25">
      <c r="A3816">
        <v>511500</v>
      </c>
      <c r="B3816">
        <v>18.38</v>
      </c>
      <c r="C3816">
        <v>24</v>
      </c>
      <c r="D3816" s="9">
        <v>42472</v>
      </c>
      <c r="E3816" t="s">
        <v>296</v>
      </c>
      <c r="I3816" s="9"/>
    </row>
    <row r="3817" spans="1:9" x14ac:dyDescent="0.25">
      <c r="A3817">
        <v>511500</v>
      </c>
      <c r="B3817">
        <v>23.45</v>
      </c>
      <c r="C3817">
        <v>120</v>
      </c>
      <c r="D3817" s="9">
        <v>41983</v>
      </c>
      <c r="E3817" t="s">
        <v>296</v>
      </c>
      <c r="I3817" s="9"/>
    </row>
    <row r="3818" spans="1:9" x14ac:dyDescent="0.25">
      <c r="A3818">
        <v>511500</v>
      </c>
      <c r="B3818">
        <v>20.22</v>
      </c>
      <c r="C3818">
        <v>80</v>
      </c>
      <c r="D3818" s="9">
        <v>41744</v>
      </c>
      <c r="E3818" t="s">
        <v>296</v>
      </c>
      <c r="I3818" s="9"/>
    </row>
    <row r="3819" spans="1:9" x14ac:dyDescent="0.25">
      <c r="A3819">
        <v>511500</v>
      </c>
      <c r="B3819">
        <v>20.22</v>
      </c>
      <c r="C3819">
        <v>50</v>
      </c>
      <c r="D3819" s="9">
        <v>41479</v>
      </c>
      <c r="E3819" t="s">
        <v>296</v>
      </c>
      <c r="I3819" s="9"/>
    </row>
    <row r="3820" spans="1:9" x14ac:dyDescent="0.25">
      <c r="A3820">
        <v>512100</v>
      </c>
      <c r="B3820">
        <v>35.96</v>
      </c>
      <c r="C3820">
        <v>20</v>
      </c>
      <c r="D3820" s="9">
        <v>43350</v>
      </c>
      <c r="E3820" t="s">
        <v>296</v>
      </c>
      <c r="I3820" s="9"/>
    </row>
    <row r="3821" spans="1:9" x14ac:dyDescent="0.25">
      <c r="A3821">
        <v>512100</v>
      </c>
      <c r="B3821">
        <v>35.96</v>
      </c>
      <c r="C3821">
        <v>20</v>
      </c>
      <c r="D3821" s="9">
        <v>43270</v>
      </c>
      <c r="E3821" t="s">
        <v>296</v>
      </c>
      <c r="I3821" s="9"/>
    </row>
    <row r="3822" spans="1:9" x14ac:dyDescent="0.25">
      <c r="A3822">
        <v>512100</v>
      </c>
      <c r="B3822">
        <v>127.43</v>
      </c>
      <c r="C3822">
        <v>20</v>
      </c>
      <c r="D3822" s="9">
        <v>43234</v>
      </c>
      <c r="E3822" t="s">
        <v>295</v>
      </c>
      <c r="I3822" s="9"/>
    </row>
    <row r="3823" spans="1:9" x14ac:dyDescent="0.25">
      <c r="A3823">
        <v>512100</v>
      </c>
      <c r="B3823">
        <v>34.25</v>
      </c>
      <c r="C3823">
        <v>40</v>
      </c>
      <c r="D3823" s="9">
        <v>43049</v>
      </c>
      <c r="E3823" t="s">
        <v>296</v>
      </c>
      <c r="I3823" s="9"/>
    </row>
    <row r="3824" spans="1:9" x14ac:dyDescent="0.25">
      <c r="A3824">
        <v>512100</v>
      </c>
      <c r="B3824">
        <v>34.25</v>
      </c>
      <c r="C3824">
        <v>20</v>
      </c>
      <c r="D3824" s="9">
        <v>42892</v>
      </c>
      <c r="E3824" t="s">
        <v>296</v>
      </c>
      <c r="I3824" s="9"/>
    </row>
    <row r="3825" spans="1:9" x14ac:dyDescent="0.25">
      <c r="A3825">
        <v>513150</v>
      </c>
      <c r="B3825">
        <v>23.52</v>
      </c>
      <c r="C3825">
        <v>30</v>
      </c>
      <c r="D3825" s="9">
        <v>44005</v>
      </c>
      <c r="E3825" t="s">
        <v>296</v>
      </c>
      <c r="I3825" s="9"/>
    </row>
    <row r="3826" spans="1:9" x14ac:dyDescent="0.25">
      <c r="A3826">
        <v>520400</v>
      </c>
      <c r="B3826">
        <v>1.33</v>
      </c>
      <c r="C3826">
        <v>224</v>
      </c>
      <c r="D3826" s="9">
        <v>44005</v>
      </c>
      <c r="E3826" t="s">
        <v>296</v>
      </c>
      <c r="I3826" s="9"/>
    </row>
    <row r="3827" spans="1:9" x14ac:dyDescent="0.25">
      <c r="A3827">
        <v>520400</v>
      </c>
      <c r="B3827">
        <v>1.33</v>
      </c>
      <c r="C3827">
        <v>160</v>
      </c>
      <c r="D3827" s="9">
        <v>43717</v>
      </c>
      <c r="E3827" t="s">
        <v>296</v>
      </c>
      <c r="I3827" s="9"/>
    </row>
    <row r="3828" spans="1:9" x14ac:dyDescent="0.25">
      <c r="A3828">
        <v>520400</v>
      </c>
      <c r="B3828">
        <v>1.33</v>
      </c>
      <c r="C3828">
        <v>192</v>
      </c>
      <c r="D3828" s="9">
        <v>43578</v>
      </c>
      <c r="E3828" t="s">
        <v>296</v>
      </c>
      <c r="I3828" s="9"/>
    </row>
    <row r="3829" spans="1:9" x14ac:dyDescent="0.25">
      <c r="A3829">
        <v>520400</v>
      </c>
      <c r="B3829">
        <v>1.33</v>
      </c>
      <c r="C3829">
        <v>224</v>
      </c>
      <c r="D3829" s="9">
        <v>43350</v>
      </c>
      <c r="E3829" t="s">
        <v>296</v>
      </c>
      <c r="I3829" s="9"/>
    </row>
    <row r="3830" spans="1:9" x14ac:dyDescent="0.25">
      <c r="A3830">
        <v>520400</v>
      </c>
      <c r="B3830">
        <v>1.33</v>
      </c>
      <c r="C3830">
        <v>256</v>
      </c>
      <c r="D3830" s="9">
        <v>43270</v>
      </c>
      <c r="E3830" t="s">
        <v>296</v>
      </c>
      <c r="I3830" s="9"/>
    </row>
    <row r="3831" spans="1:9" x14ac:dyDescent="0.25">
      <c r="A3831">
        <v>520400</v>
      </c>
      <c r="B3831">
        <v>1.33</v>
      </c>
      <c r="C3831">
        <v>480</v>
      </c>
      <c r="D3831" s="9">
        <v>42844</v>
      </c>
      <c r="E3831" t="s">
        <v>296</v>
      </c>
      <c r="I3831" s="9"/>
    </row>
    <row r="3832" spans="1:9" x14ac:dyDescent="0.25">
      <c r="A3832">
        <v>520400</v>
      </c>
      <c r="B3832">
        <v>1.33</v>
      </c>
      <c r="C3832">
        <v>416</v>
      </c>
      <c r="D3832" s="9">
        <v>42367</v>
      </c>
      <c r="E3832" t="s">
        <v>296</v>
      </c>
      <c r="I3832" s="9"/>
    </row>
    <row r="3833" spans="1:9" x14ac:dyDescent="0.25">
      <c r="A3833">
        <v>520400</v>
      </c>
      <c r="B3833">
        <v>1.33</v>
      </c>
      <c r="C3833">
        <v>768</v>
      </c>
      <c r="D3833" s="9">
        <v>41744</v>
      </c>
      <c r="E3833" t="s">
        <v>296</v>
      </c>
      <c r="I3833" s="9"/>
    </row>
    <row r="3834" spans="1:9" x14ac:dyDescent="0.25">
      <c r="A3834">
        <v>520400</v>
      </c>
      <c r="B3834">
        <v>1.33</v>
      </c>
      <c r="C3834">
        <v>448</v>
      </c>
      <c r="D3834" s="9">
        <v>41479</v>
      </c>
      <c r="E3834" t="s">
        <v>296</v>
      </c>
      <c r="I3834" s="9"/>
    </row>
    <row r="3835" spans="1:9" x14ac:dyDescent="0.25">
      <c r="A3835">
        <v>520450</v>
      </c>
      <c r="B3835">
        <v>1.52</v>
      </c>
      <c r="C3835">
        <v>180</v>
      </c>
      <c r="D3835" s="9">
        <v>44005</v>
      </c>
      <c r="E3835" t="s">
        <v>296</v>
      </c>
      <c r="I3835" s="9"/>
    </row>
    <row r="3836" spans="1:9" x14ac:dyDescent="0.25">
      <c r="A3836">
        <v>520450</v>
      </c>
      <c r="B3836">
        <v>1.52</v>
      </c>
      <c r="C3836">
        <v>200</v>
      </c>
      <c r="D3836" s="9">
        <v>43717</v>
      </c>
      <c r="E3836" t="s">
        <v>296</v>
      </c>
      <c r="I3836" s="9"/>
    </row>
    <row r="3837" spans="1:9" x14ac:dyDescent="0.25">
      <c r="A3837">
        <v>520450</v>
      </c>
      <c r="B3837">
        <v>1.52</v>
      </c>
      <c r="C3837">
        <v>160</v>
      </c>
      <c r="D3837" s="9">
        <v>43578</v>
      </c>
      <c r="E3837" t="s">
        <v>296</v>
      </c>
      <c r="I3837" s="9"/>
    </row>
    <row r="3838" spans="1:9" x14ac:dyDescent="0.25">
      <c r="A3838">
        <v>520450</v>
      </c>
      <c r="B3838">
        <v>1.52</v>
      </c>
      <c r="C3838">
        <v>140</v>
      </c>
      <c r="D3838" s="9">
        <v>43486</v>
      </c>
      <c r="E3838" t="s">
        <v>296</v>
      </c>
      <c r="I3838" s="9"/>
    </row>
    <row r="3839" spans="1:9" x14ac:dyDescent="0.25">
      <c r="A3839">
        <v>520450</v>
      </c>
      <c r="B3839">
        <v>1.52</v>
      </c>
      <c r="C3839">
        <v>140</v>
      </c>
      <c r="D3839" s="9">
        <v>43350</v>
      </c>
      <c r="E3839" t="s">
        <v>296</v>
      </c>
      <c r="I3839" s="9"/>
    </row>
    <row r="3840" spans="1:9" x14ac:dyDescent="0.25">
      <c r="A3840">
        <v>520450</v>
      </c>
      <c r="B3840">
        <v>1.52</v>
      </c>
      <c r="C3840">
        <v>140</v>
      </c>
      <c r="D3840" s="9">
        <v>43270</v>
      </c>
      <c r="E3840" t="s">
        <v>296</v>
      </c>
      <c r="I3840" s="9"/>
    </row>
    <row r="3841" spans="1:9" x14ac:dyDescent="0.25">
      <c r="A3841">
        <v>520450</v>
      </c>
      <c r="B3841">
        <v>1.45</v>
      </c>
      <c r="C3841">
        <v>280</v>
      </c>
      <c r="D3841" s="9">
        <v>42844</v>
      </c>
      <c r="E3841" t="s">
        <v>296</v>
      </c>
      <c r="I3841" s="9"/>
    </row>
    <row r="3842" spans="1:9" x14ac:dyDescent="0.25">
      <c r="A3842">
        <v>520450</v>
      </c>
      <c r="B3842">
        <v>1.45</v>
      </c>
      <c r="C3842">
        <v>160</v>
      </c>
      <c r="D3842" s="9">
        <v>42472</v>
      </c>
      <c r="E3842" t="s">
        <v>296</v>
      </c>
      <c r="I3842" s="9"/>
    </row>
    <row r="3843" spans="1:9" x14ac:dyDescent="0.25">
      <c r="A3843">
        <v>520450</v>
      </c>
      <c r="B3843">
        <v>1.62</v>
      </c>
      <c r="C3843">
        <v>160</v>
      </c>
      <c r="D3843" s="9">
        <v>42136</v>
      </c>
      <c r="E3843" t="s">
        <v>296</v>
      </c>
      <c r="I3843" s="9"/>
    </row>
    <row r="3844" spans="1:9" x14ac:dyDescent="0.25">
      <c r="A3844">
        <v>520450</v>
      </c>
      <c r="B3844">
        <v>1.62</v>
      </c>
      <c r="C3844">
        <v>280</v>
      </c>
      <c r="D3844" s="9">
        <v>41744</v>
      </c>
      <c r="E3844" t="s">
        <v>296</v>
      </c>
      <c r="I3844" s="9"/>
    </row>
    <row r="3845" spans="1:9" x14ac:dyDescent="0.25">
      <c r="A3845">
        <v>520450</v>
      </c>
      <c r="B3845">
        <v>1.62</v>
      </c>
      <c r="C3845">
        <v>140</v>
      </c>
      <c r="D3845" s="9">
        <v>41479</v>
      </c>
      <c r="E3845" t="s">
        <v>296</v>
      </c>
      <c r="I3845" s="9"/>
    </row>
    <row r="3846" spans="1:9" x14ac:dyDescent="0.25">
      <c r="A3846">
        <v>520600</v>
      </c>
      <c r="B3846">
        <v>2.36</v>
      </c>
      <c r="C3846">
        <v>240</v>
      </c>
      <c r="D3846" s="9">
        <v>44071</v>
      </c>
      <c r="E3846" t="s">
        <v>296</v>
      </c>
      <c r="I3846" s="9"/>
    </row>
    <row r="3847" spans="1:9" x14ac:dyDescent="0.25">
      <c r="A3847">
        <v>520600</v>
      </c>
      <c r="B3847">
        <v>2.36</v>
      </c>
      <c r="C3847">
        <v>240</v>
      </c>
      <c r="D3847" s="9">
        <v>44005</v>
      </c>
      <c r="E3847" t="s">
        <v>296</v>
      </c>
      <c r="I3847" s="9"/>
    </row>
    <row r="3848" spans="1:9" x14ac:dyDescent="0.25">
      <c r="A3848">
        <v>520600</v>
      </c>
      <c r="B3848">
        <v>2.36</v>
      </c>
      <c r="C3848">
        <v>320</v>
      </c>
      <c r="D3848" s="9">
        <v>43717</v>
      </c>
      <c r="E3848" t="s">
        <v>296</v>
      </c>
      <c r="I3848" s="9"/>
    </row>
    <row r="3849" spans="1:9" x14ac:dyDescent="0.25">
      <c r="A3849">
        <v>520600</v>
      </c>
      <c r="B3849">
        <v>2.36</v>
      </c>
      <c r="C3849">
        <v>160</v>
      </c>
      <c r="D3849" s="9">
        <v>43578</v>
      </c>
      <c r="E3849" t="s">
        <v>296</v>
      </c>
      <c r="I3849" s="9"/>
    </row>
    <row r="3850" spans="1:9" x14ac:dyDescent="0.25">
      <c r="A3850">
        <v>520600</v>
      </c>
      <c r="B3850">
        <v>2.36</v>
      </c>
      <c r="C3850">
        <v>160</v>
      </c>
      <c r="D3850" s="9">
        <v>43486</v>
      </c>
      <c r="E3850" t="s">
        <v>296</v>
      </c>
      <c r="I3850" s="9"/>
    </row>
    <row r="3851" spans="1:9" x14ac:dyDescent="0.25">
      <c r="A3851">
        <v>520600</v>
      </c>
      <c r="B3851">
        <v>2.36</v>
      </c>
      <c r="C3851">
        <v>96</v>
      </c>
      <c r="D3851" s="9">
        <v>43350</v>
      </c>
      <c r="E3851" t="s">
        <v>296</v>
      </c>
      <c r="I3851" s="9"/>
    </row>
    <row r="3852" spans="1:9" x14ac:dyDescent="0.25">
      <c r="A3852">
        <v>520600</v>
      </c>
      <c r="B3852">
        <v>2.36</v>
      </c>
      <c r="C3852">
        <v>96</v>
      </c>
      <c r="D3852" s="9">
        <v>43270</v>
      </c>
      <c r="E3852" t="s">
        <v>296</v>
      </c>
      <c r="I3852" s="9"/>
    </row>
    <row r="3853" spans="1:9" x14ac:dyDescent="0.25">
      <c r="A3853">
        <v>520600</v>
      </c>
      <c r="B3853">
        <v>8.35</v>
      </c>
      <c r="C3853">
        <v>192</v>
      </c>
      <c r="D3853" s="9">
        <v>43234</v>
      </c>
      <c r="E3853" t="s">
        <v>295</v>
      </c>
      <c r="I3853" s="9"/>
    </row>
    <row r="3854" spans="1:9" x14ac:dyDescent="0.25">
      <c r="A3854">
        <v>520600</v>
      </c>
      <c r="B3854">
        <v>2.25</v>
      </c>
      <c r="C3854">
        <v>192</v>
      </c>
      <c r="D3854" s="9">
        <v>43049</v>
      </c>
      <c r="E3854" t="s">
        <v>296</v>
      </c>
      <c r="I3854" s="9"/>
    </row>
    <row r="3855" spans="1:9" x14ac:dyDescent="0.25">
      <c r="A3855">
        <v>520600</v>
      </c>
      <c r="B3855">
        <v>2.25</v>
      </c>
      <c r="C3855">
        <v>224</v>
      </c>
      <c r="D3855" s="9">
        <v>42844</v>
      </c>
      <c r="E3855" t="s">
        <v>296</v>
      </c>
      <c r="I3855" s="9"/>
    </row>
    <row r="3856" spans="1:9" x14ac:dyDescent="0.25">
      <c r="A3856">
        <v>520600</v>
      </c>
      <c r="B3856">
        <v>2.25</v>
      </c>
      <c r="C3856">
        <v>320</v>
      </c>
      <c r="D3856" s="9">
        <v>42472</v>
      </c>
      <c r="E3856" t="s">
        <v>296</v>
      </c>
      <c r="I3856" s="9"/>
    </row>
    <row r="3857" spans="1:9" x14ac:dyDescent="0.25">
      <c r="A3857">
        <v>520600</v>
      </c>
      <c r="B3857">
        <v>2.5299999999999998</v>
      </c>
      <c r="C3857">
        <v>288</v>
      </c>
      <c r="D3857" s="9">
        <v>42136</v>
      </c>
      <c r="E3857" t="s">
        <v>296</v>
      </c>
      <c r="I3857" s="9"/>
    </row>
    <row r="3858" spans="1:9" x14ac:dyDescent="0.25">
      <c r="A3858">
        <v>520600</v>
      </c>
      <c r="B3858">
        <v>2.5299999999999998</v>
      </c>
      <c r="C3858">
        <v>240</v>
      </c>
      <c r="D3858" s="9">
        <v>41943</v>
      </c>
      <c r="E3858" t="s">
        <v>296</v>
      </c>
      <c r="I3858" s="9"/>
    </row>
    <row r="3859" spans="1:9" x14ac:dyDescent="0.25">
      <c r="A3859">
        <v>520600</v>
      </c>
      <c r="B3859">
        <v>2.5299999999999998</v>
      </c>
      <c r="C3859">
        <v>400</v>
      </c>
      <c r="D3859" s="9">
        <v>41479</v>
      </c>
      <c r="E3859" t="s">
        <v>296</v>
      </c>
      <c r="I3859" s="9"/>
    </row>
    <row r="3860" spans="1:9" x14ac:dyDescent="0.25">
      <c r="A3860">
        <v>520650</v>
      </c>
      <c r="B3860">
        <v>5.9809999999999999</v>
      </c>
      <c r="C3860">
        <v>140</v>
      </c>
      <c r="D3860" s="9">
        <v>41983</v>
      </c>
      <c r="E3860" t="s">
        <v>296</v>
      </c>
      <c r="I3860" s="9"/>
    </row>
    <row r="3861" spans="1:9" x14ac:dyDescent="0.25">
      <c r="A3861">
        <v>520650</v>
      </c>
      <c r="B3861">
        <v>5.9809999999999999</v>
      </c>
      <c r="C3861">
        <v>300</v>
      </c>
      <c r="D3861" s="9">
        <v>41295</v>
      </c>
      <c r="E3861" t="s">
        <v>296</v>
      </c>
      <c r="I3861" s="9"/>
    </row>
    <row r="3862" spans="1:9" x14ac:dyDescent="0.25">
      <c r="A3862">
        <v>520800</v>
      </c>
      <c r="B3862">
        <v>4.05</v>
      </c>
      <c r="C3862">
        <v>160</v>
      </c>
      <c r="D3862" s="9">
        <v>44074</v>
      </c>
      <c r="E3862" t="s">
        <v>296</v>
      </c>
      <c r="I3862" s="9"/>
    </row>
    <row r="3863" spans="1:9" x14ac:dyDescent="0.25">
      <c r="A3863">
        <v>520800</v>
      </c>
      <c r="B3863">
        <v>4.05</v>
      </c>
      <c r="C3863">
        <v>160</v>
      </c>
      <c r="D3863" s="9">
        <v>43972</v>
      </c>
      <c r="E3863" t="s">
        <v>296</v>
      </c>
      <c r="I3863" s="9"/>
    </row>
    <row r="3864" spans="1:9" x14ac:dyDescent="0.25">
      <c r="A3864">
        <v>520800</v>
      </c>
      <c r="B3864">
        <v>4.05</v>
      </c>
      <c r="C3864">
        <v>150</v>
      </c>
      <c r="D3864" s="9">
        <v>43784</v>
      </c>
      <c r="E3864" t="s">
        <v>296</v>
      </c>
      <c r="I3864" s="9"/>
    </row>
    <row r="3865" spans="1:9" x14ac:dyDescent="0.25">
      <c r="A3865">
        <v>520800</v>
      </c>
      <c r="B3865">
        <v>4.05</v>
      </c>
      <c r="C3865">
        <v>150</v>
      </c>
      <c r="D3865" s="9">
        <v>43567</v>
      </c>
      <c r="E3865" t="s">
        <v>296</v>
      </c>
      <c r="I3865" s="9"/>
    </row>
    <row r="3866" spans="1:9" x14ac:dyDescent="0.25">
      <c r="A3866">
        <v>520800</v>
      </c>
      <c r="B3866">
        <v>15.61</v>
      </c>
      <c r="C3866">
        <v>150</v>
      </c>
      <c r="D3866" s="9">
        <v>43340</v>
      </c>
      <c r="E3866" t="s">
        <v>295</v>
      </c>
      <c r="I3866" s="9"/>
    </row>
    <row r="3867" spans="1:9" x14ac:dyDescent="0.25">
      <c r="A3867">
        <v>520800</v>
      </c>
      <c r="B3867">
        <v>4.05</v>
      </c>
      <c r="C3867">
        <v>150</v>
      </c>
      <c r="D3867" s="9">
        <v>43299</v>
      </c>
      <c r="E3867" t="s">
        <v>296</v>
      </c>
      <c r="I3867" s="9"/>
    </row>
    <row r="3868" spans="1:9" x14ac:dyDescent="0.25">
      <c r="A3868">
        <v>520800</v>
      </c>
      <c r="B3868">
        <v>3.82</v>
      </c>
      <c r="C3868">
        <v>150</v>
      </c>
      <c r="D3868" s="9">
        <v>42815</v>
      </c>
      <c r="E3868" t="s">
        <v>296</v>
      </c>
      <c r="I3868" s="9"/>
    </row>
    <row r="3869" spans="1:9" x14ac:dyDescent="0.25">
      <c r="A3869">
        <v>520800</v>
      </c>
      <c r="B3869">
        <v>3.82</v>
      </c>
      <c r="C3869">
        <v>200</v>
      </c>
      <c r="D3869" s="9">
        <v>42600</v>
      </c>
      <c r="E3869" t="s">
        <v>296</v>
      </c>
      <c r="I3869" s="9"/>
    </row>
    <row r="3870" spans="1:9" x14ac:dyDescent="0.25">
      <c r="A3870">
        <v>520800</v>
      </c>
      <c r="B3870">
        <v>3.82</v>
      </c>
      <c r="C3870">
        <v>200</v>
      </c>
      <c r="D3870" s="9">
        <v>42508</v>
      </c>
      <c r="E3870" t="s">
        <v>296</v>
      </c>
      <c r="I3870" s="9"/>
    </row>
    <row r="3871" spans="1:9" x14ac:dyDescent="0.25">
      <c r="A3871">
        <v>520800</v>
      </c>
      <c r="B3871">
        <v>14.88</v>
      </c>
      <c r="C3871">
        <v>200</v>
      </c>
      <c r="D3871" s="9">
        <v>42508</v>
      </c>
      <c r="E3871" t="s">
        <v>295</v>
      </c>
      <c r="I3871" s="9"/>
    </row>
    <row r="3872" spans="1:9" x14ac:dyDescent="0.25">
      <c r="A3872">
        <v>520800</v>
      </c>
      <c r="B3872">
        <v>3.88</v>
      </c>
      <c r="C3872">
        <v>200</v>
      </c>
      <c r="D3872" s="9">
        <v>42177</v>
      </c>
      <c r="E3872" t="s">
        <v>296</v>
      </c>
      <c r="I3872" s="9"/>
    </row>
    <row r="3873" spans="1:9" x14ac:dyDescent="0.25">
      <c r="A3873">
        <v>520800</v>
      </c>
      <c r="B3873">
        <v>3.6629999999999998</v>
      </c>
      <c r="C3873">
        <v>360</v>
      </c>
      <c r="D3873" s="9">
        <v>41751</v>
      </c>
      <c r="E3873" t="s">
        <v>296</v>
      </c>
      <c r="I3873" s="9"/>
    </row>
    <row r="3874" spans="1:9" x14ac:dyDescent="0.25">
      <c r="A3874">
        <v>520800</v>
      </c>
      <c r="B3874">
        <v>3.6</v>
      </c>
      <c r="C3874">
        <v>360</v>
      </c>
      <c r="D3874" s="9">
        <v>41435</v>
      </c>
      <c r="E3874" t="s">
        <v>296</v>
      </c>
      <c r="I3874" s="9"/>
    </row>
    <row r="3875" spans="1:9" x14ac:dyDescent="0.25">
      <c r="A3875">
        <v>530040</v>
      </c>
      <c r="B3875">
        <v>7.15</v>
      </c>
      <c r="C3875">
        <v>300</v>
      </c>
      <c r="D3875" s="9">
        <v>42325</v>
      </c>
      <c r="E3875" t="s">
        <v>296</v>
      </c>
      <c r="I3875" s="9"/>
    </row>
    <row r="3876" spans="1:9" x14ac:dyDescent="0.25">
      <c r="A3876">
        <v>530057</v>
      </c>
      <c r="B3876">
        <v>13.5</v>
      </c>
      <c r="C3876">
        <v>300</v>
      </c>
      <c r="D3876" s="9">
        <v>42325</v>
      </c>
      <c r="E3876" t="s">
        <v>296</v>
      </c>
      <c r="I3876" s="9"/>
    </row>
    <row r="3877" spans="1:9" x14ac:dyDescent="0.25">
      <c r="A3877">
        <v>531400</v>
      </c>
      <c r="B3877">
        <v>0.71</v>
      </c>
      <c r="C3877">
        <v>960</v>
      </c>
      <c r="D3877" s="9">
        <v>44025</v>
      </c>
      <c r="E3877" t="s">
        <v>296</v>
      </c>
      <c r="I3877" s="9"/>
    </row>
    <row r="3878" spans="1:9" x14ac:dyDescent="0.25">
      <c r="A3878">
        <v>531400</v>
      </c>
      <c r="B3878">
        <v>0.72</v>
      </c>
      <c r="C3878">
        <v>960</v>
      </c>
      <c r="D3878" s="9">
        <v>43843</v>
      </c>
      <c r="E3878" t="s">
        <v>296</v>
      </c>
      <c r="I3878" s="9"/>
    </row>
    <row r="3879" spans="1:9" x14ac:dyDescent="0.25">
      <c r="A3879">
        <v>531400</v>
      </c>
      <c r="B3879">
        <v>0.72</v>
      </c>
      <c r="C3879">
        <v>960</v>
      </c>
      <c r="D3879" s="9">
        <v>43612</v>
      </c>
      <c r="E3879" t="s">
        <v>296</v>
      </c>
      <c r="I3879" s="9"/>
    </row>
    <row r="3880" spans="1:9" x14ac:dyDescent="0.25">
      <c r="A3880">
        <v>531400</v>
      </c>
      <c r="B3880">
        <v>0.72</v>
      </c>
      <c r="C3880">
        <v>960</v>
      </c>
      <c r="D3880" s="9">
        <v>43452</v>
      </c>
      <c r="E3880" t="s">
        <v>296</v>
      </c>
      <c r="I3880" s="9"/>
    </row>
    <row r="3881" spans="1:9" x14ac:dyDescent="0.25">
      <c r="A3881">
        <v>531400</v>
      </c>
      <c r="B3881">
        <v>0.72</v>
      </c>
      <c r="C3881">
        <v>960</v>
      </c>
      <c r="D3881" s="9">
        <v>43054</v>
      </c>
      <c r="E3881" t="s">
        <v>296</v>
      </c>
      <c r="I3881" s="9"/>
    </row>
    <row r="3882" spans="1:9" x14ac:dyDescent="0.25">
      <c r="A3882">
        <v>531400</v>
      </c>
      <c r="B3882">
        <v>0.72</v>
      </c>
      <c r="C3882">
        <v>960</v>
      </c>
      <c r="D3882" s="9">
        <v>42976</v>
      </c>
      <c r="E3882" t="s">
        <v>296</v>
      </c>
      <c r="I3882" s="9"/>
    </row>
    <row r="3883" spans="1:9" x14ac:dyDescent="0.25">
      <c r="A3883">
        <v>531400</v>
      </c>
      <c r="B3883">
        <v>0.72</v>
      </c>
      <c r="C3883">
        <v>960</v>
      </c>
      <c r="D3883" s="9">
        <v>42641</v>
      </c>
      <c r="E3883" t="s">
        <v>296</v>
      </c>
      <c r="I3883" s="9"/>
    </row>
    <row r="3884" spans="1:9" x14ac:dyDescent="0.25">
      <c r="A3884">
        <v>531400</v>
      </c>
      <c r="B3884">
        <v>0.72</v>
      </c>
      <c r="C3884">
        <v>960</v>
      </c>
      <c r="D3884" s="9">
        <v>42641</v>
      </c>
      <c r="E3884" t="s">
        <v>296</v>
      </c>
      <c r="I3884" s="9"/>
    </row>
    <row r="3885" spans="1:9" x14ac:dyDescent="0.25">
      <c r="A3885">
        <v>531400</v>
      </c>
      <c r="B3885">
        <v>2.8</v>
      </c>
      <c r="C3885">
        <v>960</v>
      </c>
      <c r="D3885" s="9">
        <v>42508</v>
      </c>
      <c r="E3885" t="s">
        <v>295</v>
      </c>
      <c r="I3885" s="9"/>
    </row>
    <row r="3886" spans="1:9" x14ac:dyDescent="0.25">
      <c r="A3886">
        <v>531400</v>
      </c>
      <c r="B3886">
        <v>0.72</v>
      </c>
      <c r="C3886">
        <v>960</v>
      </c>
      <c r="D3886" s="9">
        <v>42508</v>
      </c>
      <c r="E3886" t="s">
        <v>296</v>
      </c>
      <c r="I3886" s="9"/>
    </row>
    <row r="3887" spans="1:9" x14ac:dyDescent="0.25">
      <c r="A3887">
        <v>531400</v>
      </c>
      <c r="B3887">
        <v>0.73499999999999999</v>
      </c>
      <c r="C3887">
        <v>960</v>
      </c>
      <c r="D3887" s="9">
        <v>42271</v>
      </c>
      <c r="E3887" t="s">
        <v>296</v>
      </c>
      <c r="I3887" s="9"/>
    </row>
    <row r="3888" spans="1:9" x14ac:dyDescent="0.25">
      <c r="A3888">
        <v>531400</v>
      </c>
      <c r="B3888">
        <v>0.73499999999999999</v>
      </c>
      <c r="C3888">
        <v>1080</v>
      </c>
      <c r="D3888" s="9">
        <v>41751</v>
      </c>
      <c r="E3888" t="s">
        <v>296</v>
      </c>
      <c r="I3888" s="9"/>
    </row>
    <row r="3889" spans="1:9" x14ac:dyDescent="0.25">
      <c r="A3889">
        <v>531400</v>
      </c>
      <c r="B3889">
        <v>0.71399999999999997</v>
      </c>
      <c r="C3889">
        <v>1080</v>
      </c>
      <c r="D3889" s="9">
        <v>41558</v>
      </c>
      <c r="E3889" t="s">
        <v>296</v>
      </c>
      <c r="I3889" s="9"/>
    </row>
    <row r="3890" spans="1:9" x14ac:dyDescent="0.25">
      <c r="A3890">
        <v>531400</v>
      </c>
      <c r="B3890">
        <v>0.69799999999999995</v>
      </c>
      <c r="C3890">
        <v>1080</v>
      </c>
      <c r="D3890" s="9">
        <v>41435</v>
      </c>
      <c r="E3890" t="s">
        <v>296</v>
      </c>
      <c r="I3890" s="9"/>
    </row>
    <row r="3891" spans="1:9" x14ac:dyDescent="0.25">
      <c r="A3891">
        <v>531450</v>
      </c>
      <c r="B3891">
        <v>0.8</v>
      </c>
      <c r="C3891">
        <v>960</v>
      </c>
      <c r="D3891" s="9">
        <v>44035</v>
      </c>
      <c r="E3891" t="s">
        <v>296</v>
      </c>
      <c r="I3891" s="9"/>
    </row>
    <row r="3892" spans="1:9" x14ac:dyDescent="0.25">
      <c r="A3892">
        <v>531450</v>
      </c>
      <c r="B3892">
        <v>0.82099999999999995</v>
      </c>
      <c r="C3892">
        <v>960</v>
      </c>
      <c r="D3892" s="9">
        <v>43843</v>
      </c>
      <c r="E3892" t="s">
        <v>296</v>
      </c>
      <c r="I3892" s="9"/>
    </row>
    <row r="3893" spans="1:9" x14ac:dyDescent="0.25">
      <c r="A3893">
        <v>531450</v>
      </c>
      <c r="B3893">
        <v>0.82099999999999995</v>
      </c>
      <c r="C3893">
        <v>960</v>
      </c>
      <c r="D3893" s="9">
        <v>43403</v>
      </c>
      <c r="E3893" t="s">
        <v>296</v>
      </c>
      <c r="I3893" s="9"/>
    </row>
    <row r="3894" spans="1:9" x14ac:dyDescent="0.25">
      <c r="A3894">
        <v>531450</v>
      </c>
      <c r="B3894">
        <v>3.18</v>
      </c>
      <c r="C3894">
        <v>960</v>
      </c>
      <c r="D3894" s="9">
        <v>43238</v>
      </c>
      <c r="E3894" t="s">
        <v>295</v>
      </c>
      <c r="I3894" s="9"/>
    </row>
    <row r="3895" spans="1:9" x14ac:dyDescent="0.25">
      <c r="A3895">
        <v>531450</v>
      </c>
      <c r="B3895">
        <v>0.82099999999999995</v>
      </c>
      <c r="C3895">
        <v>960</v>
      </c>
      <c r="D3895" s="9">
        <v>43238</v>
      </c>
      <c r="E3895" t="s">
        <v>296</v>
      </c>
      <c r="I3895" s="9"/>
    </row>
    <row r="3896" spans="1:9" x14ac:dyDescent="0.25">
      <c r="A3896">
        <v>531450</v>
      </c>
      <c r="B3896">
        <v>0.78</v>
      </c>
      <c r="C3896">
        <v>960</v>
      </c>
      <c r="D3896" s="9">
        <v>43054</v>
      </c>
      <c r="E3896" t="s">
        <v>296</v>
      </c>
      <c r="I3896" s="9"/>
    </row>
    <row r="3897" spans="1:9" x14ac:dyDescent="0.25">
      <c r="A3897">
        <v>531450</v>
      </c>
      <c r="B3897">
        <v>0.76700000000000002</v>
      </c>
      <c r="C3897">
        <v>960</v>
      </c>
      <c r="D3897" s="9">
        <v>42641</v>
      </c>
      <c r="E3897" t="s">
        <v>296</v>
      </c>
      <c r="I3897" s="9"/>
    </row>
    <row r="3898" spans="1:9" x14ac:dyDescent="0.25">
      <c r="A3898">
        <v>531450</v>
      </c>
      <c r="B3898">
        <v>0.76700000000000002</v>
      </c>
      <c r="C3898">
        <v>960</v>
      </c>
      <c r="D3898" s="9">
        <v>42641</v>
      </c>
      <c r="E3898" t="s">
        <v>296</v>
      </c>
      <c r="I3898" s="9"/>
    </row>
    <row r="3899" spans="1:9" x14ac:dyDescent="0.25">
      <c r="A3899">
        <v>531450</v>
      </c>
      <c r="B3899">
        <v>0.77500000000000002</v>
      </c>
      <c r="C3899">
        <v>960</v>
      </c>
      <c r="D3899" s="9">
        <v>42508</v>
      </c>
      <c r="E3899" t="s">
        <v>296</v>
      </c>
      <c r="I3899" s="9"/>
    </row>
    <row r="3900" spans="1:9" x14ac:dyDescent="0.25">
      <c r="A3900">
        <v>531450</v>
      </c>
      <c r="B3900">
        <v>3.02</v>
      </c>
      <c r="C3900">
        <v>960</v>
      </c>
      <c r="D3900" s="9">
        <v>42508</v>
      </c>
      <c r="E3900" t="s">
        <v>295</v>
      </c>
      <c r="I3900" s="9"/>
    </row>
    <row r="3901" spans="1:9" x14ac:dyDescent="0.25">
      <c r="A3901">
        <v>531450</v>
      </c>
      <c r="B3901">
        <v>0.79</v>
      </c>
      <c r="C3901">
        <v>960</v>
      </c>
      <c r="D3901" s="9">
        <v>42271</v>
      </c>
      <c r="E3901" t="s">
        <v>296</v>
      </c>
      <c r="I3901" s="9"/>
    </row>
    <row r="3902" spans="1:9" x14ac:dyDescent="0.25">
      <c r="A3902">
        <v>531450</v>
      </c>
      <c r="B3902">
        <v>0.79</v>
      </c>
      <c r="C3902">
        <v>1080</v>
      </c>
      <c r="D3902" s="9">
        <v>41751</v>
      </c>
      <c r="E3902" t="s">
        <v>296</v>
      </c>
      <c r="I3902" s="9"/>
    </row>
    <row r="3903" spans="1:9" x14ac:dyDescent="0.25">
      <c r="A3903">
        <v>531450</v>
      </c>
      <c r="B3903">
        <v>0.77200000000000002</v>
      </c>
      <c r="C3903">
        <v>1080</v>
      </c>
      <c r="D3903" s="9">
        <v>41558</v>
      </c>
      <c r="E3903" t="s">
        <v>296</v>
      </c>
      <c r="I3903" s="9"/>
    </row>
    <row r="3904" spans="1:9" x14ac:dyDescent="0.25">
      <c r="A3904">
        <v>531450</v>
      </c>
      <c r="B3904">
        <v>0.76</v>
      </c>
      <c r="C3904">
        <v>1080</v>
      </c>
      <c r="D3904" s="9">
        <v>41435</v>
      </c>
      <c r="E3904" t="s">
        <v>296</v>
      </c>
      <c r="I3904" s="9"/>
    </row>
    <row r="3905" spans="1:9" x14ac:dyDescent="0.25">
      <c r="A3905">
        <v>531450</v>
      </c>
      <c r="B3905">
        <v>0.74</v>
      </c>
      <c r="C3905">
        <v>960</v>
      </c>
      <c r="D3905" s="9">
        <v>41362</v>
      </c>
      <c r="E3905" t="s">
        <v>296</v>
      </c>
      <c r="I3905" s="9"/>
    </row>
    <row r="3906" spans="1:9" x14ac:dyDescent="0.25">
      <c r="A3906">
        <v>531500</v>
      </c>
      <c r="B3906">
        <v>0.78900000000000003</v>
      </c>
      <c r="C3906">
        <v>960</v>
      </c>
      <c r="D3906" s="9">
        <v>43816</v>
      </c>
      <c r="E3906" t="s">
        <v>296</v>
      </c>
      <c r="I3906" s="9"/>
    </row>
    <row r="3907" spans="1:9" x14ac:dyDescent="0.25">
      <c r="A3907">
        <v>531500</v>
      </c>
      <c r="B3907">
        <v>0.78900000000000003</v>
      </c>
      <c r="C3907">
        <v>960</v>
      </c>
      <c r="D3907" s="9">
        <v>43452</v>
      </c>
      <c r="E3907" t="s">
        <v>296</v>
      </c>
      <c r="I3907" s="9"/>
    </row>
    <row r="3908" spans="1:9" x14ac:dyDescent="0.25">
      <c r="A3908">
        <v>531500</v>
      </c>
      <c r="B3908">
        <v>0.78900000000000003</v>
      </c>
      <c r="C3908">
        <v>960</v>
      </c>
      <c r="D3908" s="9">
        <v>42976</v>
      </c>
      <c r="E3908" t="s">
        <v>296</v>
      </c>
      <c r="I3908" s="9"/>
    </row>
    <row r="3909" spans="1:9" x14ac:dyDescent="0.25">
      <c r="A3909">
        <v>531500</v>
      </c>
      <c r="B3909">
        <v>0.78900000000000003</v>
      </c>
      <c r="C3909">
        <v>960</v>
      </c>
      <c r="D3909" s="9">
        <v>42641</v>
      </c>
      <c r="E3909" t="s">
        <v>296</v>
      </c>
      <c r="I3909" s="9"/>
    </row>
    <row r="3910" spans="1:9" x14ac:dyDescent="0.25">
      <c r="A3910">
        <v>531500</v>
      </c>
      <c r="B3910">
        <v>0.78900000000000003</v>
      </c>
      <c r="C3910">
        <v>960</v>
      </c>
      <c r="D3910" s="9">
        <v>42641</v>
      </c>
      <c r="E3910" t="s">
        <v>296</v>
      </c>
      <c r="I3910" s="9"/>
    </row>
    <row r="3911" spans="1:9" x14ac:dyDescent="0.25">
      <c r="A3911">
        <v>531500</v>
      </c>
      <c r="B3911">
        <v>0.80500000000000005</v>
      </c>
      <c r="C3911">
        <v>1080</v>
      </c>
      <c r="D3911" s="9">
        <v>41782</v>
      </c>
      <c r="E3911" t="s">
        <v>296</v>
      </c>
      <c r="I3911" s="9"/>
    </row>
    <row r="3912" spans="1:9" x14ac:dyDescent="0.25">
      <c r="A3912">
        <v>531500</v>
      </c>
      <c r="B3912">
        <v>0.78500000000000003</v>
      </c>
      <c r="C3912">
        <v>1320</v>
      </c>
      <c r="D3912" s="9">
        <v>41435</v>
      </c>
      <c r="E3912" t="s">
        <v>296</v>
      </c>
      <c r="I3912" s="9"/>
    </row>
    <row r="3913" spans="1:9" x14ac:dyDescent="0.25">
      <c r="A3913">
        <v>531520</v>
      </c>
      <c r="B3913">
        <v>0.96399999999999997</v>
      </c>
      <c r="C3913">
        <v>1008</v>
      </c>
      <c r="D3913" s="9">
        <v>43985</v>
      </c>
      <c r="E3913" t="s">
        <v>296</v>
      </c>
      <c r="I3913" s="9"/>
    </row>
    <row r="3914" spans="1:9" x14ac:dyDescent="0.25">
      <c r="A3914">
        <v>531520</v>
      </c>
      <c r="B3914">
        <v>0.96399999999999997</v>
      </c>
      <c r="C3914">
        <v>1008</v>
      </c>
      <c r="D3914" s="9">
        <v>43843</v>
      </c>
      <c r="E3914" t="s">
        <v>296</v>
      </c>
      <c r="I3914" s="9"/>
    </row>
    <row r="3915" spans="1:9" x14ac:dyDescent="0.25">
      <c r="A3915">
        <v>531520</v>
      </c>
      <c r="B3915">
        <v>0.96399999999999997</v>
      </c>
      <c r="C3915">
        <v>960</v>
      </c>
      <c r="D3915" s="9">
        <v>43612</v>
      </c>
      <c r="E3915" t="s">
        <v>296</v>
      </c>
      <c r="I3915" s="9"/>
    </row>
    <row r="3916" spans="1:9" x14ac:dyDescent="0.25">
      <c r="A3916">
        <v>531520</v>
      </c>
      <c r="B3916">
        <v>0.96399999999999997</v>
      </c>
      <c r="C3916">
        <v>768</v>
      </c>
      <c r="D3916" s="9">
        <v>43612</v>
      </c>
      <c r="E3916" t="s">
        <v>296</v>
      </c>
      <c r="I3916" s="9"/>
    </row>
    <row r="3917" spans="1:9" x14ac:dyDescent="0.25">
      <c r="A3917">
        <v>531520</v>
      </c>
      <c r="B3917">
        <v>0.96399999999999997</v>
      </c>
      <c r="C3917">
        <v>960</v>
      </c>
      <c r="D3917" s="9">
        <v>43403</v>
      </c>
      <c r="E3917" t="s">
        <v>296</v>
      </c>
      <c r="I3917" s="9"/>
    </row>
    <row r="3918" spans="1:9" x14ac:dyDescent="0.25">
      <c r="A3918">
        <v>531520</v>
      </c>
      <c r="B3918">
        <v>0.96399999999999997</v>
      </c>
      <c r="C3918">
        <v>720</v>
      </c>
      <c r="D3918" s="9">
        <v>43238</v>
      </c>
      <c r="E3918" t="s">
        <v>296</v>
      </c>
      <c r="I3918" s="9"/>
    </row>
    <row r="3919" spans="1:9" x14ac:dyDescent="0.25">
      <c r="A3919">
        <v>531520</v>
      </c>
      <c r="B3919">
        <v>3.74</v>
      </c>
      <c r="C3919">
        <v>720</v>
      </c>
      <c r="D3919" s="9">
        <v>43238</v>
      </c>
      <c r="E3919" t="s">
        <v>295</v>
      </c>
      <c r="I3919" s="9"/>
    </row>
    <row r="3920" spans="1:9" x14ac:dyDescent="0.25">
      <c r="A3920">
        <v>531520</v>
      </c>
      <c r="B3920">
        <v>0.94199999999999995</v>
      </c>
      <c r="C3920">
        <v>624</v>
      </c>
      <c r="D3920" s="9">
        <v>43136</v>
      </c>
      <c r="E3920" t="s">
        <v>296</v>
      </c>
      <c r="I3920" s="9"/>
    </row>
    <row r="3921" spans="1:9" x14ac:dyDescent="0.25">
      <c r="A3921">
        <v>531520</v>
      </c>
      <c r="B3921">
        <v>0.94199999999999995</v>
      </c>
      <c r="C3921">
        <v>816</v>
      </c>
      <c r="D3921" s="9">
        <v>43054</v>
      </c>
      <c r="E3921" t="s">
        <v>296</v>
      </c>
      <c r="I3921" s="9"/>
    </row>
    <row r="3922" spans="1:9" x14ac:dyDescent="0.25">
      <c r="A3922">
        <v>531520</v>
      </c>
      <c r="B3922">
        <v>0.94199999999999995</v>
      </c>
      <c r="C3922">
        <v>960</v>
      </c>
      <c r="D3922" s="9">
        <v>42976</v>
      </c>
      <c r="E3922" t="s">
        <v>296</v>
      </c>
      <c r="I3922" s="9"/>
    </row>
    <row r="3923" spans="1:9" x14ac:dyDescent="0.25">
      <c r="A3923">
        <v>531520</v>
      </c>
      <c r="B3923">
        <v>0.94199999999999995</v>
      </c>
      <c r="C3923">
        <v>960</v>
      </c>
      <c r="D3923" s="9">
        <v>42877</v>
      </c>
      <c r="E3923" t="s">
        <v>296</v>
      </c>
      <c r="I3923" s="9"/>
    </row>
    <row r="3924" spans="1:9" x14ac:dyDescent="0.25">
      <c r="A3924">
        <v>531520</v>
      </c>
      <c r="B3924">
        <v>0.94199999999999995</v>
      </c>
      <c r="C3924">
        <v>1632</v>
      </c>
      <c r="D3924" s="9">
        <v>42600</v>
      </c>
      <c r="E3924" t="s">
        <v>296</v>
      </c>
      <c r="I3924" s="9"/>
    </row>
    <row r="3925" spans="1:9" x14ac:dyDescent="0.25">
      <c r="A3925">
        <v>531520</v>
      </c>
      <c r="B3925">
        <v>0.94199999999999995</v>
      </c>
      <c r="C3925">
        <v>768</v>
      </c>
      <c r="D3925" s="9">
        <v>42600</v>
      </c>
      <c r="E3925" t="s">
        <v>296</v>
      </c>
      <c r="I3925" s="9"/>
    </row>
    <row r="3926" spans="1:9" x14ac:dyDescent="0.25">
      <c r="A3926">
        <v>531520</v>
      </c>
      <c r="B3926">
        <v>0.96199999999999997</v>
      </c>
      <c r="C3926">
        <v>1440</v>
      </c>
      <c r="D3926" s="9">
        <v>42326</v>
      </c>
      <c r="E3926" t="s">
        <v>296</v>
      </c>
      <c r="I3926" s="9"/>
    </row>
    <row r="3927" spans="1:9" x14ac:dyDescent="0.25">
      <c r="A3927">
        <v>531520</v>
      </c>
      <c r="B3927">
        <v>0.96199999999999997</v>
      </c>
      <c r="C3927">
        <v>1440</v>
      </c>
      <c r="D3927" s="9">
        <v>42271</v>
      </c>
      <c r="E3927" t="s">
        <v>296</v>
      </c>
      <c r="I3927" s="9"/>
    </row>
    <row r="3928" spans="1:9" x14ac:dyDescent="0.25">
      <c r="A3928">
        <v>531520</v>
      </c>
      <c r="B3928">
        <v>0.96199999999999997</v>
      </c>
      <c r="C3928">
        <v>1200</v>
      </c>
      <c r="D3928" s="9">
        <v>41983</v>
      </c>
      <c r="E3928" t="s">
        <v>296</v>
      </c>
      <c r="I3928" s="9"/>
    </row>
    <row r="3929" spans="1:9" x14ac:dyDescent="0.25">
      <c r="A3929">
        <v>531520</v>
      </c>
      <c r="B3929">
        <v>0.96199999999999997</v>
      </c>
      <c r="C3929">
        <v>1200</v>
      </c>
      <c r="D3929" s="9">
        <v>41816</v>
      </c>
      <c r="E3929" t="s">
        <v>296</v>
      </c>
      <c r="I3929" s="9"/>
    </row>
    <row r="3930" spans="1:9" x14ac:dyDescent="0.25">
      <c r="A3930">
        <v>531520</v>
      </c>
      <c r="B3930">
        <v>0.96199999999999997</v>
      </c>
      <c r="C3930">
        <v>864</v>
      </c>
      <c r="D3930" s="9">
        <v>41782</v>
      </c>
      <c r="E3930" t="s">
        <v>296</v>
      </c>
      <c r="I3930" s="9"/>
    </row>
    <row r="3931" spans="1:9" x14ac:dyDescent="0.25">
      <c r="A3931">
        <v>531520</v>
      </c>
      <c r="B3931">
        <v>0.93899999999999995</v>
      </c>
      <c r="C3931">
        <v>864</v>
      </c>
      <c r="D3931" s="9">
        <v>41647</v>
      </c>
      <c r="E3931" t="s">
        <v>296</v>
      </c>
      <c r="I3931" s="9"/>
    </row>
    <row r="3932" spans="1:9" x14ac:dyDescent="0.25">
      <c r="A3932">
        <v>531520</v>
      </c>
      <c r="B3932">
        <v>0.93899999999999995</v>
      </c>
      <c r="C3932">
        <v>864</v>
      </c>
      <c r="D3932" s="9">
        <v>41558</v>
      </c>
      <c r="E3932" t="s">
        <v>296</v>
      </c>
      <c r="I3932" s="9"/>
    </row>
    <row r="3933" spans="1:9" x14ac:dyDescent="0.25">
      <c r="A3933">
        <v>531520</v>
      </c>
      <c r="B3933">
        <v>0.93899999999999995</v>
      </c>
      <c r="C3933">
        <v>864</v>
      </c>
      <c r="D3933" s="9">
        <v>41435</v>
      </c>
      <c r="E3933" t="s">
        <v>296</v>
      </c>
      <c r="I3933" s="9"/>
    </row>
    <row r="3934" spans="1:9" x14ac:dyDescent="0.25">
      <c r="A3934">
        <v>531520</v>
      </c>
      <c r="B3934">
        <v>0.91900000000000004</v>
      </c>
      <c r="C3934">
        <v>864</v>
      </c>
      <c r="D3934" s="9">
        <v>41362</v>
      </c>
      <c r="E3934" t="s">
        <v>296</v>
      </c>
      <c r="I3934" s="9"/>
    </row>
    <row r="3935" spans="1:9" x14ac:dyDescent="0.25">
      <c r="A3935">
        <v>531530</v>
      </c>
      <c r="B3935">
        <v>1.0289999999999999</v>
      </c>
      <c r="C3935">
        <v>1104</v>
      </c>
      <c r="D3935" s="9">
        <v>44095</v>
      </c>
      <c r="E3935" t="s">
        <v>296</v>
      </c>
      <c r="I3935" s="9"/>
    </row>
    <row r="3936" spans="1:9" x14ac:dyDescent="0.25">
      <c r="A3936">
        <v>531530</v>
      </c>
      <c r="B3936">
        <v>1.0289999999999999</v>
      </c>
      <c r="C3936">
        <v>1104</v>
      </c>
      <c r="D3936" s="9">
        <v>43936</v>
      </c>
      <c r="E3936" t="s">
        <v>296</v>
      </c>
      <c r="I3936" s="9"/>
    </row>
    <row r="3937" spans="1:9" x14ac:dyDescent="0.25">
      <c r="A3937">
        <v>531530</v>
      </c>
      <c r="B3937">
        <v>1.0289999999999999</v>
      </c>
      <c r="C3937">
        <v>864</v>
      </c>
      <c r="D3937" s="9">
        <v>43843</v>
      </c>
      <c r="E3937" t="s">
        <v>296</v>
      </c>
      <c r="I3937" s="9"/>
    </row>
    <row r="3938" spans="1:9" x14ac:dyDescent="0.25">
      <c r="A3938">
        <v>531530</v>
      </c>
      <c r="B3938">
        <v>1.0289999999999999</v>
      </c>
      <c r="C3938">
        <v>816</v>
      </c>
      <c r="D3938" s="9">
        <v>43612</v>
      </c>
      <c r="E3938" t="s">
        <v>296</v>
      </c>
      <c r="I3938" s="9"/>
    </row>
    <row r="3939" spans="1:9" x14ac:dyDescent="0.25">
      <c r="A3939">
        <v>531530</v>
      </c>
      <c r="B3939">
        <v>1.0289999999999999</v>
      </c>
      <c r="C3939">
        <v>720</v>
      </c>
      <c r="D3939" s="9">
        <v>43612</v>
      </c>
      <c r="E3939" t="s">
        <v>296</v>
      </c>
      <c r="I3939" s="9"/>
    </row>
    <row r="3940" spans="1:9" x14ac:dyDescent="0.25">
      <c r="A3940">
        <v>531530</v>
      </c>
      <c r="B3940">
        <v>1.0289999999999999</v>
      </c>
      <c r="C3940">
        <v>1440</v>
      </c>
      <c r="D3940" s="9">
        <v>43403</v>
      </c>
      <c r="E3940" t="s">
        <v>296</v>
      </c>
      <c r="I3940" s="9"/>
    </row>
    <row r="3941" spans="1:9" x14ac:dyDescent="0.25">
      <c r="A3941">
        <v>531530</v>
      </c>
      <c r="B3941">
        <v>3.99</v>
      </c>
      <c r="C3941">
        <v>1440</v>
      </c>
      <c r="D3941" s="9">
        <v>43238</v>
      </c>
      <c r="E3941" t="s">
        <v>295</v>
      </c>
      <c r="I3941" s="9"/>
    </row>
    <row r="3942" spans="1:9" x14ac:dyDescent="0.25">
      <c r="A3942">
        <v>531530</v>
      </c>
      <c r="B3942">
        <v>1.0289999999999999</v>
      </c>
      <c r="C3942">
        <v>1440</v>
      </c>
      <c r="D3942" s="9">
        <v>43238</v>
      </c>
      <c r="E3942" t="s">
        <v>296</v>
      </c>
      <c r="I3942" s="9"/>
    </row>
    <row r="3943" spans="1:9" x14ac:dyDescent="0.25">
      <c r="A3943">
        <v>531530</v>
      </c>
      <c r="B3943">
        <v>1</v>
      </c>
      <c r="C3943">
        <v>1440</v>
      </c>
      <c r="D3943" s="9">
        <v>43136</v>
      </c>
      <c r="E3943" t="s">
        <v>296</v>
      </c>
      <c r="I3943" s="9"/>
    </row>
    <row r="3944" spans="1:9" x14ac:dyDescent="0.25">
      <c r="A3944">
        <v>531530</v>
      </c>
      <c r="B3944">
        <v>3.49</v>
      </c>
      <c r="C3944">
        <v>1440</v>
      </c>
      <c r="D3944" s="9">
        <v>43136</v>
      </c>
      <c r="E3944" t="s">
        <v>295</v>
      </c>
      <c r="I3944" s="9"/>
    </row>
    <row r="3945" spans="1:9" x14ac:dyDescent="0.25">
      <c r="A3945">
        <v>531530</v>
      </c>
      <c r="B3945">
        <v>1</v>
      </c>
      <c r="C3945">
        <v>960</v>
      </c>
      <c r="D3945" s="9">
        <v>42976</v>
      </c>
      <c r="E3945" t="s">
        <v>296</v>
      </c>
      <c r="I3945" s="9"/>
    </row>
    <row r="3946" spans="1:9" x14ac:dyDescent="0.25">
      <c r="A3946">
        <v>531530</v>
      </c>
      <c r="B3946">
        <v>1</v>
      </c>
      <c r="C3946">
        <v>1440</v>
      </c>
      <c r="D3946" s="9">
        <v>42600</v>
      </c>
      <c r="E3946" t="s">
        <v>296</v>
      </c>
      <c r="I3946" s="9"/>
    </row>
    <row r="3947" spans="1:9" x14ac:dyDescent="0.25">
      <c r="A3947">
        <v>531530</v>
      </c>
      <c r="B3947">
        <v>1</v>
      </c>
      <c r="C3947">
        <v>1440</v>
      </c>
      <c r="D3947" s="9">
        <v>42600</v>
      </c>
      <c r="E3947" t="s">
        <v>296</v>
      </c>
      <c r="I3947" s="9"/>
    </row>
    <row r="3948" spans="1:9" x14ac:dyDescent="0.25">
      <c r="A3948">
        <v>531530</v>
      </c>
      <c r="B3948">
        <v>1.018</v>
      </c>
      <c r="C3948">
        <v>960</v>
      </c>
      <c r="D3948" s="9">
        <v>42440</v>
      </c>
      <c r="E3948" t="s">
        <v>296</v>
      </c>
      <c r="I3948" s="9"/>
    </row>
    <row r="3949" spans="1:9" x14ac:dyDescent="0.25">
      <c r="A3949">
        <v>531530</v>
      </c>
      <c r="B3949">
        <v>1.018</v>
      </c>
      <c r="C3949">
        <v>960</v>
      </c>
      <c r="D3949" s="9">
        <v>42326</v>
      </c>
      <c r="E3949" t="s">
        <v>296</v>
      </c>
      <c r="I3949" s="9"/>
    </row>
    <row r="3950" spans="1:9" x14ac:dyDescent="0.25">
      <c r="A3950">
        <v>531530</v>
      </c>
      <c r="B3950">
        <v>1.018</v>
      </c>
      <c r="C3950">
        <v>960</v>
      </c>
      <c r="D3950" s="9">
        <v>42177</v>
      </c>
      <c r="E3950" t="s">
        <v>296</v>
      </c>
      <c r="I3950" s="9"/>
    </row>
    <row r="3951" spans="1:9" x14ac:dyDescent="0.25">
      <c r="A3951">
        <v>531530</v>
      </c>
      <c r="B3951">
        <v>1.018</v>
      </c>
      <c r="C3951">
        <v>1200</v>
      </c>
      <c r="D3951" s="9">
        <v>41983</v>
      </c>
      <c r="E3951" t="s">
        <v>296</v>
      </c>
      <c r="I3951" s="9"/>
    </row>
    <row r="3952" spans="1:9" x14ac:dyDescent="0.25">
      <c r="A3952">
        <v>531530</v>
      </c>
      <c r="B3952">
        <v>1.018</v>
      </c>
      <c r="C3952">
        <v>1440</v>
      </c>
      <c r="D3952" s="9">
        <v>41816</v>
      </c>
      <c r="E3952" t="s">
        <v>296</v>
      </c>
      <c r="I3952" s="9"/>
    </row>
    <row r="3953" spans="1:9" x14ac:dyDescent="0.25">
      <c r="A3953">
        <v>531530</v>
      </c>
      <c r="B3953">
        <v>1.018</v>
      </c>
      <c r="C3953">
        <v>1152</v>
      </c>
      <c r="D3953" s="9">
        <v>41751</v>
      </c>
      <c r="E3953" t="s">
        <v>296</v>
      </c>
      <c r="I3953" s="9"/>
    </row>
    <row r="3954" spans="1:9" x14ac:dyDescent="0.25">
      <c r="A3954">
        <v>531530</v>
      </c>
      <c r="B3954">
        <v>0.99299999999999999</v>
      </c>
      <c r="C3954">
        <v>1920</v>
      </c>
      <c r="D3954" s="9">
        <v>41558</v>
      </c>
      <c r="E3954" t="s">
        <v>296</v>
      </c>
      <c r="I3954" s="9"/>
    </row>
    <row r="3955" spans="1:9" x14ac:dyDescent="0.25">
      <c r="A3955">
        <v>531530</v>
      </c>
      <c r="B3955">
        <v>0.99299999999999999</v>
      </c>
      <c r="C3955">
        <v>1152</v>
      </c>
      <c r="D3955" s="9">
        <v>41435</v>
      </c>
      <c r="E3955" t="s">
        <v>296</v>
      </c>
      <c r="I3955" s="9"/>
    </row>
    <row r="3956" spans="1:9" x14ac:dyDescent="0.25">
      <c r="A3956">
        <v>531530</v>
      </c>
      <c r="B3956">
        <v>0.96899999999999997</v>
      </c>
      <c r="C3956">
        <v>1200</v>
      </c>
      <c r="D3956" s="9">
        <v>41362</v>
      </c>
      <c r="E3956" t="s">
        <v>296</v>
      </c>
      <c r="I3956" s="9"/>
    </row>
    <row r="3957" spans="1:9" x14ac:dyDescent="0.25">
      <c r="A3957">
        <v>531540</v>
      </c>
      <c r="B3957">
        <v>1.1040000000000001</v>
      </c>
      <c r="C3957">
        <v>672</v>
      </c>
      <c r="D3957" s="9">
        <v>44074</v>
      </c>
      <c r="E3957" t="s">
        <v>296</v>
      </c>
      <c r="I3957" s="9"/>
    </row>
    <row r="3958" spans="1:9" x14ac:dyDescent="0.25">
      <c r="A3958">
        <v>531540</v>
      </c>
      <c r="B3958">
        <v>1.1040000000000001</v>
      </c>
      <c r="C3958">
        <v>672</v>
      </c>
      <c r="D3958" s="9">
        <v>43843</v>
      </c>
      <c r="E3958" t="s">
        <v>296</v>
      </c>
      <c r="I3958" s="9"/>
    </row>
    <row r="3959" spans="1:9" x14ac:dyDescent="0.25">
      <c r="A3959">
        <v>531540</v>
      </c>
      <c r="B3959">
        <v>1.1040000000000001</v>
      </c>
      <c r="C3959">
        <v>672</v>
      </c>
      <c r="D3959" s="9">
        <v>43843</v>
      </c>
      <c r="E3959" t="s">
        <v>296</v>
      </c>
      <c r="I3959" s="9"/>
    </row>
    <row r="3960" spans="1:9" x14ac:dyDescent="0.25">
      <c r="A3960">
        <v>531540</v>
      </c>
      <c r="B3960">
        <v>1.1040000000000001</v>
      </c>
      <c r="C3960">
        <v>720</v>
      </c>
      <c r="D3960" s="9">
        <v>43612</v>
      </c>
      <c r="E3960" t="s">
        <v>296</v>
      </c>
      <c r="I3960" s="9"/>
    </row>
    <row r="3961" spans="1:9" x14ac:dyDescent="0.25">
      <c r="A3961">
        <v>531540</v>
      </c>
      <c r="B3961">
        <v>1.0720000000000001</v>
      </c>
      <c r="C3961">
        <v>720</v>
      </c>
      <c r="D3961" s="9">
        <v>43452</v>
      </c>
      <c r="E3961" t="s">
        <v>296</v>
      </c>
      <c r="I3961" s="9"/>
    </row>
    <row r="3962" spans="1:9" x14ac:dyDescent="0.25">
      <c r="A3962">
        <v>531540</v>
      </c>
      <c r="B3962">
        <v>4.1100000000000003</v>
      </c>
      <c r="C3962">
        <v>552</v>
      </c>
      <c r="D3962" s="9">
        <v>43340</v>
      </c>
      <c r="E3962" t="s">
        <v>295</v>
      </c>
      <c r="I3962" s="9"/>
    </row>
    <row r="3963" spans="1:9" x14ac:dyDescent="0.25">
      <c r="A3963">
        <v>531540</v>
      </c>
      <c r="B3963">
        <v>1.0720000000000001</v>
      </c>
      <c r="C3963">
        <v>552</v>
      </c>
      <c r="D3963" s="9">
        <v>43299</v>
      </c>
      <c r="E3963" t="s">
        <v>296</v>
      </c>
      <c r="I3963" s="9"/>
    </row>
    <row r="3964" spans="1:9" x14ac:dyDescent="0.25">
      <c r="A3964">
        <v>531540</v>
      </c>
      <c r="B3964">
        <v>4.17</v>
      </c>
      <c r="C3964">
        <v>408</v>
      </c>
      <c r="D3964" s="9">
        <v>43238</v>
      </c>
      <c r="E3964" t="s">
        <v>295</v>
      </c>
      <c r="I3964" s="9"/>
    </row>
    <row r="3965" spans="1:9" x14ac:dyDescent="0.25">
      <c r="A3965">
        <v>531540</v>
      </c>
      <c r="B3965">
        <v>1.0720000000000001</v>
      </c>
      <c r="C3965">
        <v>408</v>
      </c>
      <c r="D3965" s="9">
        <v>43238</v>
      </c>
      <c r="E3965" t="s">
        <v>296</v>
      </c>
      <c r="I3965" s="9"/>
    </row>
    <row r="3966" spans="1:9" x14ac:dyDescent="0.25">
      <c r="A3966">
        <v>531540</v>
      </c>
      <c r="B3966">
        <v>1.06</v>
      </c>
      <c r="C3966">
        <v>960</v>
      </c>
      <c r="D3966" s="9">
        <v>43054</v>
      </c>
      <c r="E3966" t="s">
        <v>296</v>
      </c>
      <c r="I3966" s="9"/>
    </row>
    <row r="3967" spans="1:9" x14ac:dyDescent="0.25">
      <c r="A3967">
        <v>531540</v>
      </c>
      <c r="B3967">
        <v>1.06</v>
      </c>
      <c r="C3967">
        <v>960</v>
      </c>
      <c r="D3967" s="9">
        <v>42877</v>
      </c>
      <c r="E3967" t="s">
        <v>296</v>
      </c>
      <c r="I3967" s="9"/>
    </row>
    <row r="3968" spans="1:9" x14ac:dyDescent="0.25">
      <c r="A3968">
        <v>531540</v>
      </c>
      <c r="B3968">
        <v>1.06</v>
      </c>
      <c r="C3968">
        <v>1200</v>
      </c>
      <c r="D3968" s="9">
        <v>42600</v>
      </c>
      <c r="E3968" t="s">
        <v>296</v>
      </c>
      <c r="I3968" s="9"/>
    </row>
    <row r="3969" spans="1:9" x14ac:dyDescent="0.25">
      <c r="A3969">
        <v>531540</v>
      </c>
      <c r="B3969">
        <v>1.06</v>
      </c>
      <c r="C3969">
        <v>840</v>
      </c>
      <c r="D3969" s="9">
        <v>42440</v>
      </c>
      <c r="E3969" t="s">
        <v>296</v>
      </c>
      <c r="I3969" s="9"/>
    </row>
    <row r="3970" spans="1:9" x14ac:dyDescent="0.25">
      <c r="A3970">
        <v>531540</v>
      </c>
      <c r="B3970">
        <v>1.0940000000000001</v>
      </c>
      <c r="C3970">
        <v>864</v>
      </c>
      <c r="D3970" s="9">
        <v>42271</v>
      </c>
      <c r="E3970" t="s">
        <v>296</v>
      </c>
      <c r="I3970" s="9"/>
    </row>
    <row r="3971" spans="1:9" x14ac:dyDescent="0.25">
      <c r="A3971">
        <v>531540</v>
      </c>
      <c r="B3971">
        <v>1.0940000000000001</v>
      </c>
      <c r="C3971">
        <v>960</v>
      </c>
      <c r="D3971" s="9">
        <v>41983</v>
      </c>
      <c r="E3971" t="s">
        <v>296</v>
      </c>
      <c r="I3971" s="9"/>
    </row>
    <row r="3972" spans="1:9" x14ac:dyDescent="0.25">
      <c r="A3972">
        <v>531540</v>
      </c>
      <c r="B3972">
        <v>1.085</v>
      </c>
      <c r="C3972">
        <v>1200</v>
      </c>
      <c r="D3972" s="9">
        <v>41816</v>
      </c>
      <c r="E3972" t="s">
        <v>296</v>
      </c>
      <c r="I3972" s="9"/>
    </row>
    <row r="3973" spans="1:9" x14ac:dyDescent="0.25">
      <c r="A3973">
        <v>531540</v>
      </c>
      <c r="B3973">
        <v>1.085</v>
      </c>
      <c r="C3973">
        <v>960</v>
      </c>
      <c r="D3973" s="9">
        <v>41751</v>
      </c>
      <c r="E3973" t="s">
        <v>296</v>
      </c>
      <c r="I3973" s="9"/>
    </row>
    <row r="3974" spans="1:9" x14ac:dyDescent="0.25">
      <c r="A3974">
        <v>531540</v>
      </c>
      <c r="B3974">
        <v>1.085</v>
      </c>
      <c r="C3974">
        <v>960</v>
      </c>
      <c r="D3974" s="9">
        <v>41558</v>
      </c>
      <c r="E3974" t="s">
        <v>296</v>
      </c>
      <c r="I3974" s="9"/>
    </row>
    <row r="3975" spans="1:9" x14ac:dyDescent="0.25">
      <c r="A3975">
        <v>531540</v>
      </c>
      <c r="B3975">
        <v>1.085</v>
      </c>
      <c r="C3975">
        <v>720</v>
      </c>
      <c r="D3975" s="9">
        <v>41435</v>
      </c>
      <c r="E3975" t="s">
        <v>296</v>
      </c>
      <c r="I3975" s="9"/>
    </row>
    <row r="3976" spans="1:9" x14ac:dyDescent="0.25">
      <c r="A3976">
        <v>531540</v>
      </c>
      <c r="B3976">
        <v>1.056</v>
      </c>
      <c r="C3976">
        <v>960</v>
      </c>
      <c r="D3976" s="9">
        <v>41362</v>
      </c>
      <c r="E3976" t="s">
        <v>296</v>
      </c>
      <c r="I3976" s="9"/>
    </row>
    <row r="3977" spans="1:9" x14ac:dyDescent="0.25">
      <c r="A3977">
        <v>531550</v>
      </c>
      <c r="B3977">
        <v>1.246</v>
      </c>
      <c r="C3977">
        <v>480</v>
      </c>
      <c r="D3977" s="9">
        <v>43926</v>
      </c>
      <c r="E3977" t="s">
        <v>296</v>
      </c>
      <c r="I3977" s="9"/>
    </row>
    <row r="3978" spans="1:9" x14ac:dyDescent="0.25">
      <c r="A3978">
        <v>531550</v>
      </c>
      <c r="B3978">
        <v>1.246</v>
      </c>
      <c r="C3978">
        <v>480</v>
      </c>
      <c r="D3978" s="9">
        <v>43612</v>
      </c>
      <c r="E3978" t="s">
        <v>296</v>
      </c>
      <c r="I3978" s="9"/>
    </row>
    <row r="3979" spans="1:9" x14ac:dyDescent="0.25">
      <c r="A3979">
        <v>531550</v>
      </c>
      <c r="B3979">
        <v>1.246</v>
      </c>
      <c r="C3979">
        <v>480</v>
      </c>
      <c r="D3979" s="9">
        <v>43403</v>
      </c>
      <c r="E3979" t="s">
        <v>296</v>
      </c>
      <c r="I3979" s="9"/>
    </row>
    <row r="3980" spans="1:9" x14ac:dyDescent="0.25">
      <c r="A3980">
        <v>531550</v>
      </c>
      <c r="B3980">
        <v>1.2</v>
      </c>
      <c r="C3980">
        <v>480</v>
      </c>
      <c r="D3980" s="9">
        <v>42976</v>
      </c>
      <c r="E3980" t="s">
        <v>296</v>
      </c>
      <c r="I3980" s="9"/>
    </row>
    <row r="3981" spans="1:9" x14ac:dyDescent="0.25">
      <c r="A3981">
        <v>531550</v>
      </c>
      <c r="B3981">
        <v>1.2210000000000001</v>
      </c>
      <c r="C3981">
        <v>480</v>
      </c>
      <c r="D3981" s="9">
        <v>42600</v>
      </c>
      <c r="E3981" t="s">
        <v>296</v>
      </c>
      <c r="I3981" s="9"/>
    </row>
    <row r="3982" spans="1:9" x14ac:dyDescent="0.25">
      <c r="A3982">
        <v>531550</v>
      </c>
      <c r="B3982">
        <v>1.2210000000000001</v>
      </c>
      <c r="C3982">
        <v>480</v>
      </c>
      <c r="D3982" s="9">
        <v>42326</v>
      </c>
      <c r="E3982" t="s">
        <v>296</v>
      </c>
      <c r="I3982" s="9"/>
    </row>
    <row r="3983" spans="1:9" x14ac:dyDescent="0.25">
      <c r="A3983">
        <v>531550</v>
      </c>
      <c r="B3983">
        <v>1.2210000000000001</v>
      </c>
      <c r="C3983">
        <v>600</v>
      </c>
      <c r="D3983" s="9">
        <v>41751</v>
      </c>
      <c r="E3983" t="s">
        <v>296</v>
      </c>
      <c r="I3983" s="9"/>
    </row>
    <row r="3984" spans="1:9" x14ac:dyDescent="0.25">
      <c r="A3984">
        <v>531550</v>
      </c>
      <c r="B3984">
        <v>1.2210000000000001</v>
      </c>
      <c r="C3984">
        <v>600</v>
      </c>
      <c r="D3984" s="9">
        <v>41647</v>
      </c>
      <c r="E3984" t="s">
        <v>296</v>
      </c>
      <c r="I3984" s="9"/>
    </row>
    <row r="3985" spans="1:9" x14ac:dyDescent="0.25">
      <c r="A3985">
        <v>540050</v>
      </c>
      <c r="B3985">
        <v>1.1000000000000001</v>
      </c>
      <c r="C3985">
        <v>960</v>
      </c>
      <c r="D3985" s="9">
        <v>41592</v>
      </c>
      <c r="E3985" t="s">
        <v>296</v>
      </c>
      <c r="I3985" s="9"/>
    </row>
    <row r="3986" spans="1:9" x14ac:dyDescent="0.25">
      <c r="A3986">
        <v>543000</v>
      </c>
      <c r="B3986">
        <v>2.35</v>
      </c>
      <c r="C3986">
        <v>600</v>
      </c>
      <c r="D3986" s="9">
        <v>44109</v>
      </c>
      <c r="E3986" t="s">
        <v>295</v>
      </c>
      <c r="I3986" s="9"/>
    </row>
    <row r="3987" spans="1:9" x14ac:dyDescent="0.25">
      <c r="A3987">
        <v>543000</v>
      </c>
      <c r="B3987">
        <v>1.74</v>
      </c>
      <c r="C3987">
        <v>1440</v>
      </c>
      <c r="D3987" s="9">
        <v>43298</v>
      </c>
      <c r="E3987" t="s">
        <v>295</v>
      </c>
      <c r="I3987" s="9"/>
    </row>
    <row r="3988" spans="1:9" x14ac:dyDescent="0.25">
      <c r="A3988">
        <v>543000</v>
      </c>
      <c r="B3988">
        <v>0.45</v>
      </c>
      <c r="C3988">
        <v>1440</v>
      </c>
      <c r="D3988" s="9">
        <v>43264</v>
      </c>
      <c r="E3988" t="s">
        <v>296</v>
      </c>
      <c r="I3988" s="9"/>
    </row>
    <row r="3989" spans="1:9" x14ac:dyDescent="0.25">
      <c r="A3989">
        <v>543000</v>
      </c>
      <c r="B3989">
        <v>0.43</v>
      </c>
      <c r="C3989">
        <v>1440</v>
      </c>
      <c r="D3989" s="9">
        <v>42972</v>
      </c>
      <c r="E3989" t="s">
        <v>296</v>
      </c>
      <c r="I3989" s="9"/>
    </row>
    <row r="3990" spans="1:9" x14ac:dyDescent="0.25">
      <c r="A3990">
        <v>543000</v>
      </c>
      <c r="B3990">
        <v>0.42</v>
      </c>
      <c r="C3990">
        <v>1440</v>
      </c>
      <c r="D3990" s="9">
        <v>42696</v>
      </c>
      <c r="E3990" t="s">
        <v>296</v>
      </c>
      <c r="I3990" s="9"/>
    </row>
    <row r="3991" spans="1:9" x14ac:dyDescent="0.25">
      <c r="A3991">
        <v>543000</v>
      </c>
      <c r="B3991">
        <v>0.44</v>
      </c>
      <c r="C3991">
        <v>1680</v>
      </c>
      <c r="D3991" s="9">
        <v>41877</v>
      </c>
      <c r="E3991" t="s">
        <v>296</v>
      </c>
      <c r="I3991" s="9"/>
    </row>
    <row r="3992" spans="1:9" x14ac:dyDescent="0.25">
      <c r="A3992">
        <v>543000</v>
      </c>
      <c r="B3992">
        <v>0.44</v>
      </c>
      <c r="C3992">
        <v>1680</v>
      </c>
      <c r="D3992" s="9">
        <v>41877</v>
      </c>
      <c r="E3992" t="s">
        <v>296</v>
      </c>
      <c r="I3992" s="9"/>
    </row>
    <row r="3993" spans="1:9" x14ac:dyDescent="0.25">
      <c r="A3993">
        <v>543000</v>
      </c>
      <c r="B3993">
        <v>0.44</v>
      </c>
      <c r="C3993">
        <v>1680</v>
      </c>
      <c r="D3993" s="9">
        <v>41484</v>
      </c>
      <c r="E3993" t="s">
        <v>296</v>
      </c>
      <c r="I3993" s="9"/>
    </row>
    <row r="3994" spans="1:9" x14ac:dyDescent="0.25">
      <c r="A3994">
        <v>543002</v>
      </c>
      <c r="B3994">
        <v>1.85</v>
      </c>
      <c r="C3994">
        <v>432</v>
      </c>
      <c r="D3994" s="9">
        <v>43284</v>
      </c>
      <c r="E3994" t="s">
        <v>296</v>
      </c>
      <c r="I3994" s="9"/>
    </row>
    <row r="3995" spans="1:9" x14ac:dyDescent="0.25">
      <c r="A3995">
        <v>543010</v>
      </c>
      <c r="B3995">
        <v>1.1499999999999999</v>
      </c>
      <c r="C3995">
        <v>1008</v>
      </c>
      <c r="D3995" s="9">
        <v>44091</v>
      </c>
      <c r="E3995" t="s">
        <v>296</v>
      </c>
      <c r="I3995" s="9"/>
    </row>
    <row r="3996" spans="1:9" x14ac:dyDescent="0.25">
      <c r="A3996">
        <v>543010</v>
      </c>
      <c r="B3996">
        <v>1.1499999999999999</v>
      </c>
      <c r="C3996">
        <v>1008</v>
      </c>
      <c r="D3996" s="9">
        <v>44043</v>
      </c>
      <c r="E3996" t="s">
        <v>296</v>
      </c>
      <c r="I3996" s="9"/>
    </row>
    <row r="3997" spans="1:9" x14ac:dyDescent="0.25">
      <c r="A3997">
        <v>543010</v>
      </c>
      <c r="B3997">
        <v>1.1499999999999999</v>
      </c>
      <c r="C3997">
        <v>1152</v>
      </c>
      <c r="D3997" s="9">
        <v>43803</v>
      </c>
      <c r="E3997" t="s">
        <v>296</v>
      </c>
      <c r="I3997" s="9"/>
    </row>
    <row r="3998" spans="1:9" x14ac:dyDescent="0.25">
      <c r="A3998">
        <v>543010</v>
      </c>
      <c r="B3998">
        <v>1.1499999999999999</v>
      </c>
      <c r="C3998">
        <v>720</v>
      </c>
      <c r="D3998" s="9">
        <v>43648</v>
      </c>
      <c r="E3998" t="s">
        <v>296</v>
      </c>
      <c r="I3998" s="9"/>
    </row>
    <row r="3999" spans="1:9" x14ac:dyDescent="0.25">
      <c r="A3999">
        <v>543010</v>
      </c>
      <c r="B3999">
        <v>1.1000000000000001</v>
      </c>
      <c r="C3999">
        <v>1008</v>
      </c>
      <c r="D3999" s="9">
        <v>43483</v>
      </c>
      <c r="E3999" t="s">
        <v>296</v>
      </c>
      <c r="I3999" s="9"/>
    </row>
    <row r="4000" spans="1:9" x14ac:dyDescent="0.25">
      <c r="A4000">
        <v>543010</v>
      </c>
      <c r="B4000">
        <v>4.2</v>
      </c>
      <c r="C4000">
        <v>1008</v>
      </c>
      <c r="D4000" s="9">
        <v>43298</v>
      </c>
      <c r="E4000" t="s">
        <v>295</v>
      </c>
      <c r="I4000" s="9"/>
    </row>
    <row r="4001" spans="1:9" x14ac:dyDescent="0.25">
      <c r="A4001">
        <v>543010</v>
      </c>
      <c r="B4001">
        <v>1.1000000000000001</v>
      </c>
      <c r="C4001">
        <v>1008</v>
      </c>
      <c r="D4001" s="9">
        <v>43264</v>
      </c>
      <c r="E4001" t="s">
        <v>296</v>
      </c>
      <c r="I4001" s="9"/>
    </row>
    <row r="4002" spans="1:9" x14ac:dyDescent="0.25">
      <c r="A4002">
        <v>543010</v>
      </c>
      <c r="B4002">
        <v>3.62</v>
      </c>
      <c r="C4002">
        <v>960</v>
      </c>
      <c r="D4002" s="9">
        <v>43090</v>
      </c>
      <c r="E4002" t="s">
        <v>295</v>
      </c>
      <c r="I4002" s="9"/>
    </row>
    <row r="4003" spans="1:9" x14ac:dyDescent="0.25">
      <c r="A4003">
        <v>543010</v>
      </c>
      <c r="B4003">
        <v>0.98</v>
      </c>
      <c r="C4003">
        <v>960</v>
      </c>
      <c r="D4003" s="9">
        <v>43052</v>
      </c>
      <c r="E4003" t="s">
        <v>296</v>
      </c>
      <c r="I4003" s="9"/>
    </row>
    <row r="4004" spans="1:9" x14ac:dyDescent="0.25">
      <c r="A4004">
        <v>543010</v>
      </c>
      <c r="B4004">
        <v>0.98</v>
      </c>
      <c r="C4004">
        <v>1152</v>
      </c>
      <c r="D4004" s="9">
        <v>42864</v>
      </c>
      <c r="E4004" t="s">
        <v>296</v>
      </c>
      <c r="I4004" s="9"/>
    </row>
    <row r="4005" spans="1:9" x14ac:dyDescent="0.25">
      <c r="A4005">
        <v>543010</v>
      </c>
      <c r="B4005">
        <v>0.98</v>
      </c>
      <c r="C4005">
        <v>1152</v>
      </c>
      <c r="D4005" s="9">
        <v>42655</v>
      </c>
      <c r="E4005" t="s">
        <v>296</v>
      </c>
      <c r="I4005" s="9"/>
    </row>
    <row r="4006" spans="1:9" x14ac:dyDescent="0.25">
      <c r="A4006">
        <v>543010</v>
      </c>
      <c r="B4006">
        <v>0.98</v>
      </c>
      <c r="C4006">
        <v>1152</v>
      </c>
      <c r="D4006" s="9">
        <v>42655</v>
      </c>
      <c r="E4006" t="s">
        <v>296</v>
      </c>
      <c r="I4006" s="9"/>
    </row>
    <row r="4007" spans="1:9" x14ac:dyDescent="0.25">
      <c r="A4007">
        <v>543010</v>
      </c>
      <c r="B4007">
        <v>0.98</v>
      </c>
      <c r="C4007">
        <v>1152</v>
      </c>
      <c r="D4007" s="9">
        <v>42586</v>
      </c>
      <c r="E4007" t="s">
        <v>296</v>
      </c>
      <c r="I4007" s="9"/>
    </row>
    <row r="4008" spans="1:9" x14ac:dyDescent="0.25">
      <c r="A4008">
        <v>543010</v>
      </c>
      <c r="B4008">
        <v>1.1100000000000001</v>
      </c>
      <c r="C4008">
        <v>960</v>
      </c>
      <c r="D4008" s="9">
        <v>42325</v>
      </c>
      <c r="E4008" t="s">
        <v>296</v>
      </c>
      <c r="I4008" s="9"/>
    </row>
    <row r="4009" spans="1:9" x14ac:dyDescent="0.25">
      <c r="A4009">
        <v>543010</v>
      </c>
      <c r="B4009">
        <v>1.1100000000000001</v>
      </c>
      <c r="C4009">
        <v>960</v>
      </c>
      <c r="D4009" s="9">
        <v>41934</v>
      </c>
      <c r="E4009" t="s">
        <v>296</v>
      </c>
      <c r="I4009" s="9"/>
    </row>
    <row r="4010" spans="1:9" x14ac:dyDescent="0.25">
      <c r="A4010">
        <v>543012</v>
      </c>
      <c r="B4010">
        <v>1.75</v>
      </c>
      <c r="C4010">
        <v>400</v>
      </c>
      <c r="D4010" s="9">
        <v>43284</v>
      </c>
      <c r="E4010" t="s">
        <v>296</v>
      </c>
      <c r="I4010" s="9"/>
    </row>
    <row r="4011" spans="1:9" x14ac:dyDescent="0.25">
      <c r="A4011">
        <v>543015</v>
      </c>
      <c r="B4011">
        <v>1.48</v>
      </c>
      <c r="C4011">
        <v>240</v>
      </c>
      <c r="D4011" s="9">
        <v>44102</v>
      </c>
      <c r="E4011" t="s">
        <v>296</v>
      </c>
      <c r="I4011" s="9"/>
    </row>
    <row r="4012" spans="1:9" x14ac:dyDescent="0.25">
      <c r="A4012">
        <v>552500</v>
      </c>
      <c r="B4012">
        <v>0.20599999999999999</v>
      </c>
      <c r="C4012">
        <v>2560</v>
      </c>
      <c r="D4012" s="9">
        <v>43340</v>
      </c>
      <c r="E4012" t="s">
        <v>296</v>
      </c>
      <c r="I4012" s="9"/>
    </row>
    <row r="4013" spans="1:9" x14ac:dyDescent="0.25">
      <c r="A4013">
        <v>552500</v>
      </c>
      <c r="B4013">
        <v>0.21099999999999999</v>
      </c>
      <c r="C4013">
        <v>2560</v>
      </c>
      <c r="D4013" s="9">
        <v>42607</v>
      </c>
      <c r="E4013" t="s">
        <v>297</v>
      </c>
      <c r="I4013" s="9"/>
    </row>
    <row r="4014" spans="1:9" x14ac:dyDescent="0.25">
      <c r="A4014">
        <v>552500</v>
      </c>
      <c r="B4014">
        <v>0.23200000000000001</v>
      </c>
      <c r="C4014">
        <v>2240</v>
      </c>
      <c r="D4014" s="9">
        <v>41744</v>
      </c>
      <c r="E4014" t="s">
        <v>296</v>
      </c>
      <c r="I4014" s="9"/>
    </row>
    <row r="4015" spans="1:9" x14ac:dyDescent="0.25">
      <c r="A4015">
        <v>552500</v>
      </c>
      <c r="B4015">
        <v>0.23200000000000001</v>
      </c>
      <c r="C4015">
        <v>1120</v>
      </c>
      <c r="D4015" s="9">
        <v>41456</v>
      </c>
      <c r="E4015" t="s">
        <v>296</v>
      </c>
      <c r="I4015" s="9"/>
    </row>
    <row r="4016" spans="1:9" x14ac:dyDescent="0.25">
      <c r="A4016">
        <v>553000</v>
      </c>
      <c r="B4016">
        <v>0.75</v>
      </c>
      <c r="C4016">
        <v>960</v>
      </c>
      <c r="D4016" s="9">
        <v>44071</v>
      </c>
      <c r="E4016" t="s">
        <v>296</v>
      </c>
      <c r="I4016" s="9"/>
    </row>
    <row r="4017" spans="1:9" x14ac:dyDescent="0.25">
      <c r="A4017">
        <v>553000</v>
      </c>
      <c r="B4017">
        <v>0.75</v>
      </c>
      <c r="C4017">
        <v>528</v>
      </c>
      <c r="D4017" s="9">
        <v>44005</v>
      </c>
      <c r="E4017" t="s">
        <v>296</v>
      </c>
      <c r="I4017" s="9"/>
    </row>
    <row r="4018" spans="1:9" x14ac:dyDescent="0.25">
      <c r="A4018">
        <v>553000</v>
      </c>
      <c r="B4018">
        <v>0.75</v>
      </c>
      <c r="C4018">
        <v>768</v>
      </c>
      <c r="D4018" s="9">
        <v>43717</v>
      </c>
      <c r="E4018" t="s">
        <v>296</v>
      </c>
      <c r="I4018" s="9"/>
    </row>
    <row r="4019" spans="1:9" x14ac:dyDescent="0.25">
      <c r="A4019">
        <v>553000</v>
      </c>
      <c r="B4019">
        <v>0.75</v>
      </c>
      <c r="C4019">
        <v>960</v>
      </c>
      <c r="D4019" s="9">
        <v>43578</v>
      </c>
      <c r="E4019" t="s">
        <v>296</v>
      </c>
      <c r="I4019" s="9"/>
    </row>
    <row r="4020" spans="1:9" x14ac:dyDescent="0.25">
      <c r="A4020">
        <v>553000</v>
      </c>
      <c r="B4020">
        <v>0.75</v>
      </c>
      <c r="C4020">
        <v>960</v>
      </c>
      <c r="D4020" s="9">
        <v>43350</v>
      </c>
      <c r="E4020" t="s">
        <v>296</v>
      </c>
      <c r="I4020" s="9"/>
    </row>
    <row r="4021" spans="1:9" x14ac:dyDescent="0.25">
      <c r="A4021">
        <v>553000</v>
      </c>
      <c r="B4021">
        <v>0.75</v>
      </c>
      <c r="C4021">
        <v>960</v>
      </c>
      <c r="D4021" s="9">
        <v>43270</v>
      </c>
      <c r="E4021" t="s">
        <v>296</v>
      </c>
      <c r="I4021" s="9"/>
    </row>
    <row r="4022" spans="1:9" x14ac:dyDescent="0.25">
      <c r="A4022">
        <v>553000</v>
      </c>
      <c r="B4022">
        <v>3.28</v>
      </c>
      <c r="C4022">
        <v>1152</v>
      </c>
      <c r="D4022" s="9">
        <v>43263</v>
      </c>
      <c r="E4022" t="s">
        <v>295</v>
      </c>
      <c r="I4022" s="9"/>
    </row>
    <row r="4023" spans="1:9" x14ac:dyDescent="0.25">
      <c r="A4023">
        <v>553000</v>
      </c>
      <c r="B4023">
        <v>0.72699999999999998</v>
      </c>
      <c r="C4023">
        <v>2496</v>
      </c>
      <c r="D4023" s="9">
        <v>42892</v>
      </c>
      <c r="E4023" t="s">
        <v>296</v>
      </c>
      <c r="I4023" s="9"/>
    </row>
    <row r="4024" spans="1:9" x14ac:dyDescent="0.25">
      <c r="A4024">
        <v>553000</v>
      </c>
      <c r="B4024">
        <v>3.94</v>
      </c>
      <c r="C4024">
        <v>24</v>
      </c>
      <c r="D4024" s="9">
        <v>42880</v>
      </c>
      <c r="E4024" t="s">
        <v>295</v>
      </c>
      <c r="I4024" s="9"/>
    </row>
    <row r="4025" spans="1:9" x14ac:dyDescent="0.25">
      <c r="A4025">
        <v>553000</v>
      </c>
      <c r="B4025">
        <v>0.72699999999999998</v>
      </c>
      <c r="C4025">
        <v>2208</v>
      </c>
      <c r="D4025" s="9">
        <v>42844</v>
      </c>
      <c r="E4025" t="s">
        <v>296</v>
      </c>
      <c r="I4025" s="9"/>
    </row>
    <row r="4026" spans="1:9" x14ac:dyDescent="0.25">
      <c r="A4026">
        <v>553000</v>
      </c>
      <c r="B4026">
        <v>0.72699999999999998</v>
      </c>
      <c r="C4026">
        <v>2016</v>
      </c>
      <c r="D4026" s="9">
        <v>42472</v>
      </c>
      <c r="E4026" t="s">
        <v>296</v>
      </c>
      <c r="I4026" s="9"/>
    </row>
    <row r="4027" spans="1:9" x14ac:dyDescent="0.25">
      <c r="A4027">
        <v>553000</v>
      </c>
      <c r="B4027">
        <v>0.8</v>
      </c>
      <c r="C4027">
        <v>1632</v>
      </c>
      <c r="D4027" s="9">
        <v>42136</v>
      </c>
      <c r="E4027" t="s">
        <v>296</v>
      </c>
      <c r="I4027" s="9"/>
    </row>
    <row r="4028" spans="1:9" x14ac:dyDescent="0.25">
      <c r="A4028">
        <v>553000</v>
      </c>
      <c r="B4028">
        <v>0.8</v>
      </c>
      <c r="C4028">
        <v>1632</v>
      </c>
      <c r="D4028" s="9">
        <v>41943</v>
      </c>
      <c r="E4028" t="s">
        <v>296</v>
      </c>
      <c r="I4028" s="9"/>
    </row>
    <row r="4029" spans="1:9" x14ac:dyDescent="0.25">
      <c r="A4029">
        <v>553000</v>
      </c>
      <c r="B4029">
        <v>0.8</v>
      </c>
      <c r="C4029">
        <v>2112</v>
      </c>
      <c r="D4029" s="9">
        <v>41744</v>
      </c>
      <c r="E4029" t="s">
        <v>296</v>
      </c>
      <c r="I4029" s="9"/>
    </row>
    <row r="4030" spans="1:9" x14ac:dyDescent="0.25">
      <c r="A4030">
        <v>553000</v>
      </c>
      <c r="B4030">
        <v>0.8</v>
      </c>
      <c r="C4030">
        <v>1680</v>
      </c>
      <c r="D4030" s="9">
        <v>41479</v>
      </c>
      <c r="E4030" t="s">
        <v>296</v>
      </c>
      <c r="I4030" s="9"/>
    </row>
    <row r="4031" spans="1:9" x14ac:dyDescent="0.25">
      <c r="A4031">
        <v>553500</v>
      </c>
      <c r="B4031">
        <v>0.92</v>
      </c>
      <c r="C4031">
        <v>1320</v>
      </c>
      <c r="D4031" s="9">
        <v>44083</v>
      </c>
      <c r="E4031" t="s">
        <v>296</v>
      </c>
      <c r="I4031" s="9"/>
    </row>
    <row r="4032" spans="1:9" x14ac:dyDescent="0.25">
      <c r="A4032">
        <v>553500</v>
      </c>
      <c r="B4032">
        <v>0.92</v>
      </c>
      <c r="C4032">
        <v>1200</v>
      </c>
      <c r="D4032" s="9">
        <v>43769</v>
      </c>
      <c r="E4032" t="s">
        <v>296</v>
      </c>
      <c r="I4032" s="9"/>
    </row>
    <row r="4033" spans="1:9" x14ac:dyDescent="0.25">
      <c r="A4033">
        <v>553500</v>
      </c>
      <c r="B4033">
        <v>0.92</v>
      </c>
      <c r="C4033">
        <v>1320</v>
      </c>
      <c r="D4033" s="9">
        <v>43769</v>
      </c>
      <c r="E4033" t="s">
        <v>296</v>
      </c>
      <c r="I4033" s="9"/>
    </row>
    <row r="4034" spans="1:9" x14ac:dyDescent="0.25">
      <c r="A4034">
        <v>553500</v>
      </c>
      <c r="B4034">
        <v>0.92</v>
      </c>
      <c r="C4034">
        <v>1200</v>
      </c>
      <c r="D4034" s="9">
        <v>43605</v>
      </c>
      <c r="E4034" t="s">
        <v>296</v>
      </c>
      <c r="I4034" s="9"/>
    </row>
    <row r="4035" spans="1:9" x14ac:dyDescent="0.25">
      <c r="A4035">
        <v>553500</v>
      </c>
      <c r="B4035">
        <v>0.92</v>
      </c>
      <c r="C4035">
        <v>1200</v>
      </c>
      <c r="D4035" s="9">
        <v>43333</v>
      </c>
      <c r="E4035" t="s">
        <v>296</v>
      </c>
      <c r="I4035" s="9"/>
    </row>
    <row r="4036" spans="1:9" x14ac:dyDescent="0.25">
      <c r="A4036">
        <v>553500</v>
      </c>
      <c r="B4036">
        <v>0.85499999999999998</v>
      </c>
      <c r="C4036">
        <v>1200</v>
      </c>
      <c r="D4036" s="9">
        <v>43131</v>
      </c>
      <c r="E4036" t="s">
        <v>296</v>
      </c>
      <c r="I4036" s="9"/>
    </row>
    <row r="4037" spans="1:9" x14ac:dyDescent="0.25">
      <c r="A4037">
        <v>553500</v>
      </c>
      <c r="B4037">
        <v>3.47</v>
      </c>
      <c r="C4037">
        <v>1200</v>
      </c>
      <c r="D4037" s="9">
        <v>43123</v>
      </c>
      <c r="E4037" t="s">
        <v>295</v>
      </c>
      <c r="I4037" s="9"/>
    </row>
    <row r="4038" spans="1:9" x14ac:dyDescent="0.25">
      <c r="A4038">
        <v>553500</v>
      </c>
      <c r="B4038">
        <v>0.95</v>
      </c>
      <c r="C4038">
        <v>1200</v>
      </c>
      <c r="D4038" s="9">
        <v>43067</v>
      </c>
      <c r="E4038" t="s">
        <v>296</v>
      </c>
      <c r="I4038" s="9"/>
    </row>
    <row r="4039" spans="1:9" x14ac:dyDescent="0.25">
      <c r="A4039">
        <v>553500</v>
      </c>
      <c r="B4039">
        <v>0.95</v>
      </c>
      <c r="C4039">
        <v>1200</v>
      </c>
      <c r="D4039" s="9">
        <v>42873</v>
      </c>
      <c r="E4039" t="s">
        <v>296</v>
      </c>
      <c r="I4039" s="9"/>
    </row>
    <row r="4040" spans="1:9" x14ac:dyDescent="0.25">
      <c r="A4040">
        <v>553500</v>
      </c>
      <c r="B4040">
        <v>0.95</v>
      </c>
      <c r="C4040">
        <v>1200</v>
      </c>
      <c r="D4040" s="9">
        <v>42585</v>
      </c>
      <c r="E4040" t="s">
        <v>296</v>
      </c>
      <c r="I4040" s="9"/>
    </row>
    <row r="4041" spans="1:9" x14ac:dyDescent="0.25">
      <c r="A4041">
        <v>553500</v>
      </c>
      <c r="B4041">
        <v>1</v>
      </c>
      <c r="C4041">
        <v>1200</v>
      </c>
      <c r="D4041" s="9">
        <v>42494</v>
      </c>
      <c r="E4041" t="s">
        <v>296</v>
      </c>
      <c r="I4041" s="9"/>
    </row>
    <row r="4042" spans="1:9" x14ac:dyDescent="0.25">
      <c r="A4042">
        <v>553500</v>
      </c>
      <c r="B4042">
        <v>1.05</v>
      </c>
      <c r="C4042">
        <v>1200</v>
      </c>
      <c r="D4042" s="9">
        <v>42299</v>
      </c>
      <c r="E4042" t="s">
        <v>296</v>
      </c>
      <c r="I4042" s="9"/>
    </row>
    <row r="4043" spans="1:9" x14ac:dyDescent="0.25">
      <c r="A4043">
        <v>553500</v>
      </c>
      <c r="B4043">
        <v>1.05</v>
      </c>
      <c r="C4043">
        <v>1200</v>
      </c>
      <c r="D4043" s="9">
        <v>41877</v>
      </c>
      <c r="E4043" t="s">
        <v>296</v>
      </c>
      <c r="I4043" s="9"/>
    </row>
    <row r="4044" spans="1:9" x14ac:dyDescent="0.25">
      <c r="A4044">
        <v>553500</v>
      </c>
      <c r="B4044">
        <v>1.05</v>
      </c>
      <c r="C4044">
        <v>1200</v>
      </c>
      <c r="D4044" s="9">
        <v>41877</v>
      </c>
      <c r="E4044" t="s">
        <v>296</v>
      </c>
      <c r="I4044" s="9"/>
    </row>
    <row r="4045" spans="1:9" x14ac:dyDescent="0.25">
      <c r="A4045">
        <v>553500</v>
      </c>
      <c r="B4045">
        <v>1.04</v>
      </c>
      <c r="C4045">
        <v>1200</v>
      </c>
      <c r="D4045" s="9">
        <v>41484</v>
      </c>
      <c r="E4045" t="s">
        <v>296</v>
      </c>
      <c r="I4045" s="9"/>
    </row>
    <row r="4046" spans="1:9" x14ac:dyDescent="0.25">
      <c r="A4046">
        <v>553500</v>
      </c>
      <c r="B4046">
        <v>1.02</v>
      </c>
      <c r="C4046">
        <v>960</v>
      </c>
      <c r="D4046" s="9">
        <v>41281</v>
      </c>
      <c r="E4046" t="s">
        <v>296</v>
      </c>
      <c r="I4046" s="9"/>
    </row>
    <row r="4047" spans="1:9" x14ac:dyDescent="0.25">
      <c r="A4047">
        <v>553500</v>
      </c>
      <c r="B4047">
        <v>1.02</v>
      </c>
      <c r="C4047">
        <v>1020</v>
      </c>
      <c r="D4047" s="9">
        <v>41281</v>
      </c>
      <c r="E4047" t="s">
        <v>296</v>
      </c>
      <c r="I4047" s="9"/>
    </row>
    <row r="4048" spans="1:9" x14ac:dyDescent="0.25">
      <c r="A4048">
        <v>554000</v>
      </c>
      <c r="B4048">
        <v>0.52</v>
      </c>
      <c r="C4048">
        <v>1200</v>
      </c>
      <c r="D4048" s="9">
        <v>44040</v>
      </c>
      <c r="E4048" t="s">
        <v>296</v>
      </c>
      <c r="I4048" s="9"/>
    </row>
    <row r="4049" spans="1:9" x14ac:dyDescent="0.25">
      <c r="A4049">
        <v>554000</v>
      </c>
      <c r="B4049">
        <v>0.52</v>
      </c>
      <c r="C4049">
        <v>1200</v>
      </c>
      <c r="D4049" s="9">
        <v>43769</v>
      </c>
      <c r="E4049" t="s">
        <v>296</v>
      </c>
      <c r="I4049" s="9"/>
    </row>
    <row r="4050" spans="1:9" x14ac:dyDescent="0.25">
      <c r="A4050">
        <v>554000</v>
      </c>
      <c r="B4050">
        <v>0.55000000000000004</v>
      </c>
      <c r="C4050">
        <v>1200</v>
      </c>
      <c r="D4050" s="9">
        <v>43605</v>
      </c>
      <c r="E4050" t="s">
        <v>296</v>
      </c>
      <c r="I4050" s="9"/>
    </row>
    <row r="4051" spans="1:9" x14ac:dyDescent="0.25">
      <c r="A4051">
        <v>554000</v>
      </c>
      <c r="B4051">
        <v>0.52</v>
      </c>
      <c r="C4051">
        <v>1200</v>
      </c>
      <c r="D4051" s="9">
        <v>43333</v>
      </c>
      <c r="E4051" t="s">
        <v>296</v>
      </c>
      <c r="I4051" s="9"/>
    </row>
    <row r="4052" spans="1:9" x14ac:dyDescent="0.25">
      <c r="A4052">
        <v>554000</v>
      </c>
      <c r="B4052">
        <v>0.52</v>
      </c>
      <c r="C4052">
        <v>1200</v>
      </c>
      <c r="D4052" s="9">
        <v>43067</v>
      </c>
      <c r="E4052" t="s">
        <v>296</v>
      </c>
      <c r="I4052" s="9"/>
    </row>
    <row r="4053" spans="1:9" x14ac:dyDescent="0.25">
      <c r="A4053">
        <v>554000</v>
      </c>
      <c r="B4053">
        <v>0.5</v>
      </c>
      <c r="C4053">
        <v>1200</v>
      </c>
      <c r="D4053" s="9">
        <v>42873</v>
      </c>
      <c r="E4053" t="s">
        <v>296</v>
      </c>
      <c r="I4053" s="9"/>
    </row>
    <row r="4054" spans="1:9" x14ac:dyDescent="0.25">
      <c r="A4054">
        <v>554000</v>
      </c>
      <c r="B4054">
        <v>0.5</v>
      </c>
      <c r="C4054">
        <v>960</v>
      </c>
      <c r="D4054" s="9">
        <v>42696</v>
      </c>
      <c r="E4054" t="s">
        <v>296</v>
      </c>
      <c r="I4054" s="9"/>
    </row>
    <row r="4055" spans="1:9" x14ac:dyDescent="0.25">
      <c r="A4055">
        <v>554000</v>
      </c>
      <c r="B4055">
        <v>0.52</v>
      </c>
      <c r="C4055">
        <v>1440</v>
      </c>
      <c r="D4055" s="9">
        <v>42494</v>
      </c>
      <c r="E4055" t="s">
        <v>296</v>
      </c>
      <c r="I4055" s="9"/>
    </row>
    <row r="4056" spans="1:9" x14ac:dyDescent="0.25">
      <c r="A4056">
        <v>554000</v>
      </c>
      <c r="B4056">
        <v>0.55000000000000004</v>
      </c>
      <c r="C4056">
        <v>1440</v>
      </c>
      <c r="D4056" s="9">
        <v>42380</v>
      </c>
      <c r="E4056" t="s">
        <v>296</v>
      </c>
      <c r="I4056" s="9"/>
    </row>
    <row r="4057" spans="1:9" x14ac:dyDescent="0.25">
      <c r="A4057">
        <v>554000</v>
      </c>
      <c r="B4057">
        <v>0.55000000000000004</v>
      </c>
      <c r="C4057">
        <v>1800</v>
      </c>
      <c r="D4057" s="9">
        <v>41877</v>
      </c>
      <c r="E4057" t="s">
        <v>296</v>
      </c>
      <c r="I4057" s="9"/>
    </row>
    <row r="4058" spans="1:9" x14ac:dyDescent="0.25">
      <c r="A4058">
        <v>554000</v>
      </c>
      <c r="B4058">
        <v>0.55000000000000004</v>
      </c>
      <c r="C4058">
        <v>1800</v>
      </c>
      <c r="D4058" s="9">
        <v>41877</v>
      </c>
      <c r="E4058" t="s">
        <v>296</v>
      </c>
      <c r="I4058" s="9"/>
    </row>
    <row r="4059" spans="1:9" x14ac:dyDescent="0.25">
      <c r="A4059">
        <v>554000</v>
      </c>
      <c r="B4059">
        <v>0.54</v>
      </c>
      <c r="C4059">
        <v>1800</v>
      </c>
      <c r="D4059" s="9">
        <v>41484</v>
      </c>
      <c r="E4059" t="s">
        <v>296</v>
      </c>
      <c r="I4059" s="9"/>
    </row>
    <row r="4060" spans="1:9" x14ac:dyDescent="0.25">
      <c r="A4060">
        <v>554000</v>
      </c>
      <c r="B4060">
        <v>0.54</v>
      </c>
      <c r="C4060">
        <v>1440</v>
      </c>
      <c r="D4060" s="9">
        <v>41281</v>
      </c>
      <c r="E4060" t="s">
        <v>296</v>
      </c>
      <c r="I4060" s="9"/>
    </row>
    <row r="4061" spans="1:9" x14ac:dyDescent="0.25">
      <c r="A4061">
        <v>554000</v>
      </c>
      <c r="B4061">
        <v>0.54</v>
      </c>
      <c r="C4061">
        <v>1320</v>
      </c>
      <c r="D4061" s="9">
        <v>41281</v>
      </c>
      <c r="E4061" t="s">
        <v>296</v>
      </c>
      <c r="I4061" s="9"/>
    </row>
    <row r="4062" spans="1:9" x14ac:dyDescent="0.25">
      <c r="A4062">
        <v>563000</v>
      </c>
      <c r="B4062">
        <v>0.6</v>
      </c>
      <c r="C4062">
        <v>640</v>
      </c>
      <c r="D4062" s="9">
        <v>44071</v>
      </c>
      <c r="E4062" t="s">
        <v>296</v>
      </c>
      <c r="I4062" s="9"/>
    </row>
    <row r="4063" spans="1:9" x14ac:dyDescent="0.25">
      <c r="A4063">
        <v>563000</v>
      </c>
      <c r="B4063">
        <v>0.6</v>
      </c>
      <c r="C4063">
        <v>640</v>
      </c>
      <c r="D4063" s="9">
        <v>44005</v>
      </c>
      <c r="E4063" t="s">
        <v>296</v>
      </c>
      <c r="I4063" s="9"/>
    </row>
    <row r="4064" spans="1:9" x14ac:dyDescent="0.25">
      <c r="A4064">
        <v>563000</v>
      </c>
      <c r="B4064">
        <v>0.6</v>
      </c>
      <c r="C4064">
        <v>1920</v>
      </c>
      <c r="D4064" s="9">
        <v>43717</v>
      </c>
      <c r="E4064" t="s">
        <v>296</v>
      </c>
      <c r="I4064" s="9"/>
    </row>
    <row r="4065" spans="1:9" x14ac:dyDescent="0.25">
      <c r="A4065">
        <v>563000</v>
      </c>
      <c r="B4065">
        <v>0.6</v>
      </c>
      <c r="C4065">
        <v>960</v>
      </c>
      <c r="D4065" s="9">
        <v>43578</v>
      </c>
      <c r="E4065" t="s">
        <v>296</v>
      </c>
      <c r="I4065" s="9"/>
    </row>
    <row r="4066" spans="1:9" x14ac:dyDescent="0.25">
      <c r="A4066">
        <v>563000</v>
      </c>
      <c r="B4066">
        <v>2.95</v>
      </c>
      <c r="C4066">
        <v>300</v>
      </c>
      <c r="D4066" s="9">
        <v>42922</v>
      </c>
      <c r="E4066" t="s">
        <v>295</v>
      </c>
      <c r="I4066" s="9"/>
    </row>
    <row r="4067" spans="1:9" x14ac:dyDescent="0.25">
      <c r="A4067">
        <v>563000</v>
      </c>
      <c r="B4067">
        <v>2.4</v>
      </c>
      <c r="C4067">
        <v>1000</v>
      </c>
      <c r="D4067" s="9">
        <v>42846</v>
      </c>
      <c r="E4067" t="s">
        <v>295</v>
      </c>
      <c r="I4067" s="9"/>
    </row>
    <row r="4068" spans="1:9" x14ac:dyDescent="0.25">
      <c r="A4068">
        <v>563000</v>
      </c>
      <c r="B4068">
        <v>0.69</v>
      </c>
      <c r="C4068">
        <v>1000</v>
      </c>
      <c r="D4068" s="9">
        <v>42844</v>
      </c>
      <c r="E4068" t="s">
        <v>296</v>
      </c>
      <c r="I4068" s="9"/>
    </row>
    <row r="4069" spans="1:9" x14ac:dyDescent="0.25">
      <c r="A4069">
        <v>563000</v>
      </c>
      <c r="B4069">
        <v>0.5</v>
      </c>
      <c r="C4069">
        <v>2000</v>
      </c>
      <c r="D4069" s="9">
        <v>42530</v>
      </c>
      <c r="E4069" t="s">
        <v>296</v>
      </c>
      <c r="I4069" s="9"/>
    </row>
    <row r="4070" spans="1:9" x14ac:dyDescent="0.25">
      <c r="A4070">
        <v>563000</v>
      </c>
      <c r="B4070">
        <v>0.54</v>
      </c>
      <c r="C4070">
        <v>4000</v>
      </c>
      <c r="D4070" s="9">
        <v>41744</v>
      </c>
      <c r="E4070" t="s">
        <v>296</v>
      </c>
      <c r="I4070" s="9"/>
    </row>
    <row r="4071" spans="1:9" x14ac:dyDescent="0.25">
      <c r="A4071">
        <v>563000</v>
      </c>
      <c r="B4071">
        <v>0.54</v>
      </c>
      <c r="C4071">
        <v>2000</v>
      </c>
      <c r="D4071" s="9">
        <v>41617</v>
      </c>
      <c r="E4071" t="s">
        <v>296</v>
      </c>
      <c r="I4071" s="9"/>
    </row>
    <row r="4072" spans="1:9" x14ac:dyDescent="0.25">
      <c r="A4072">
        <v>563102</v>
      </c>
      <c r="B4072">
        <v>1.016</v>
      </c>
      <c r="C4072">
        <v>720</v>
      </c>
      <c r="D4072" s="9">
        <v>43985</v>
      </c>
      <c r="E4072" t="s">
        <v>296</v>
      </c>
      <c r="I4072" s="9"/>
    </row>
    <row r="4073" spans="1:9" x14ac:dyDescent="0.25">
      <c r="A4073">
        <v>563102</v>
      </c>
      <c r="B4073">
        <v>1.016</v>
      </c>
      <c r="C4073">
        <v>720</v>
      </c>
      <c r="D4073" s="9">
        <v>43843</v>
      </c>
      <c r="E4073" t="s">
        <v>296</v>
      </c>
      <c r="I4073" s="9"/>
    </row>
    <row r="4074" spans="1:9" x14ac:dyDescent="0.25">
      <c r="A4074">
        <v>563102</v>
      </c>
      <c r="B4074">
        <v>1.016</v>
      </c>
      <c r="C4074">
        <v>720</v>
      </c>
      <c r="D4074" s="9">
        <v>43567</v>
      </c>
      <c r="E4074" t="s">
        <v>296</v>
      </c>
      <c r="I4074" s="9"/>
    </row>
    <row r="4075" spans="1:9" x14ac:dyDescent="0.25">
      <c r="A4075">
        <v>563102</v>
      </c>
      <c r="B4075">
        <v>0.97</v>
      </c>
      <c r="C4075">
        <v>864</v>
      </c>
      <c r="D4075" s="9">
        <v>43054</v>
      </c>
      <c r="E4075" t="s">
        <v>296</v>
      </c>
      <c r="I4075" s="9"/>
    </row>
    <row r="4076" spans="1:9" x14ac:dyDescent="0.25">
      <c r="A4076">
        <v>563102</v>
      </c>
      <c r="B4076">
        <v>1.028</v>
      </c>
      <c r="C4076">
        <v>864</v>
      </c>
      <c r="D4076" s="9">
        <v>42877</v>
      </c>
      <c r="E4076" t="s">
        <v>296</v>
      </c>
      <c r="I4076" s="9"/>
    </row>
    <row r="4077" spans="1:9" x14ac:dyDescent="0.25">
      <c r="A4077">
        <v>563102</v>
      </c>
      <c r="B4077">
        <v>4</v>
      </c>
      <c r="C4077">
        <v>864</v>
      </c>
      <c r="D4077" s="9">
        <v>42508</v>
      </c>
      <c r="E4077" t="s">
        <v>295</v>
      </c>
      <c r="I4077" s="9"/>
    </row>
    <row r="4078" spans="1:9" x14ac:dyDescent="0.25">
      <c r="A4078">
        <v>563102</v>
      </c>
      <c r="B4078">
        <v>1.028</v>
      </c>
      <c r="C4078">
        <v>864</v>
      </c>
      <c r="D4078" s="9">
        <v>42508</v>
      </c>
      <c r="E4078" t="s">
        <v>296</v>
      </c>
      <c r="I4078" s="9"/>
    </row>
    <row r="4079" spans="1:9" x14ac:dyDescent="0.25">
      <c r="A4079">
        <v>563102</v>
      </c>
      <c r="B4079">
        <v>1.028</v>
      </c>
      <c r="C4079">
        <v>864</v>
      </c>
      <c r="D4079" s="9">
        <v>42177</v>
      </c>
      <c r="E4079" t="s">
        <v>296</v>
      </c>
      <c r="I4079" s="9"/>
    </row>
    <row r="4080" spans="1:9" x14ac:dyDescent="0.25">
      <c r="A4080">
        <v>563102</v>
      </c>
      <c r="B4080">
        <v>1.028</v>
      </c>
      <c r="C4080">
        <v>1152</v>
      </c>
      <c r="D4080" s="9">
        <v>41647</v>
      </c>
      <c r="E4080" t="s">
        <v>296</v>
      </c>
      <c r="I4080" s="9"/>
    </row>
    <row r="4081" spans="1:9" x14ac:dyDescent="0.25">
      <c r="A4081">
        <v>563102</v>
      </c>
      <c r="B4081">
        <v>1.028</v>
      </c>
      <c r="C4081">
        <v>1152</v>
      </c>
      <c r="D4081" s="9">
        <v>41505</v>
      </c>
      <c r="E4081" t="s">
        <v>296</v>
      </c>
      <c r="I4081" s="9"/>
    </row>
    <row r="4082" spans="1:9" x14ac:dyDescent="0.25">
      <c r="A4082">
        <v>563102</v>
      </c>
      <c r="B4082">
        <v>1.008</v>
      </c>
      <c r="C4082">
        <v>1152</v>
      </c>
      <c r="D4082" s="9">
        <v>41418</v>
      </c>
      <c r="E4082" t="s">
        <v>296</v>
      </c>
      <c r="I4082" s="9"/>
    </row>
    <row r="4083" spans="1:9" x14ac:dyDescent="0.25">
      <c r="A4083">
        <v>580010</v>
      </c>
      <c r="B4083">
        <v>0.63100000000000001</v>
      </c>
      <c r="C4083">
        <v>1920</v>
      </c>
      <c r="D4083" s="9">
        <v>44025</v>
      </c>
      <c r="E4083" t="s">
        <v>296</v>
      </c>
      <c r="I4083" s="9"/>
    </row>
    <row r="4084" spans="1:9" x14ac:dyDescent="0.25">
      <c r="A4084">
        <v>580010</v>
      </c>
      <c r="B4084">
        <v>0.63100000000000001</v>
      </c>
      <c r="C4084">
        <v>1920</v>
      </c>
      <c r="D4084" s="9">
        <v>43843</v>
      </c>
      <c r="E4084" t="s">
        <v>296</v>
      </c>
      <c r="I4084" s="9"/>
    </row>
    <row r="4085" spans="1:9" x14ac:dyDescent="0.25">
      <c r="A4085">
        <v>580010</v>
      </c>
      <c r="B4085">
        <v>0.63100000000000001</v>
      </c>
      <c r="C4085">
        <v>1760</v>
      </c>
      <c r="D4085" s="9">
        <v>43784</v>
      </c>
      <c r="E4085" t="s">
        <v>296</v>
      </c>
      <c r="I4085" s="9"/>
    </row>
    <row r="4086" spans="1:9" x14ac:dyDescent="0.25">
      <c r="A4086">
        <v>580010</v>
      </c>
      <c r="B4086">
        <v>0.63100000000000001</v>
      </c>
      <c r="C4086">
        <v>1600</v>
      </c>
      <c r="D4086" s="9">
        <v>43612</v>
      </c>
      <c r="E4086" t="s">
        <v>296</v>
      </c>
      <c r="I4086" s="9"/>
    </row>
    <row r="4087" spans="1:9" x14ac:dyDescent="0.25">
      <c r="A4087">
        <v>580010</v>
      </c>
      <c r="B4087">
        <v>0.61499999999999999</v>
      </c>
      <c r="C4087">
        <v>1440</v>
      </c>
      <c r="D4087" s="9">
        <v>43452</v>
      </c>
      <c r="E4087" t="s">
        <v>296</v>
      </c>
      <c r="I4087" s="9"/>
    </row>
    <row r="4088" spans="1:9" x14ac:dyDescent="0.25">
      <c r="A4088">
        <v>580010</v>
      </c>
      <c r="B4088">
        <v>2.33</v>
      </c>
      <c r="C4088">
        <v>2000</v>
      </c>
      <c r="D4088" s="9">
        <v>43340</v>
      </c>
      <c r="E4088" t="s">
        <v>295</v>
      </c>
      <c r="I4088" s="9"/>
    </row>
    <row r="4089" spans="1:9" x14ac:dyDescent="0.25">
      <c r="A4089">
        <v>580010</v>
      </c>
      <c r="B4089">
        <v>0.61499999999999999</v>
      </c>
      <c r="C4089">
        <v>2000</v>
      </c>
      <c r="D4089" s="9">
        <v>43299</v>
      </c>
      <c r="E4089" t="s">
        <v>296</v>
      </c>
      <c r="I4089" s="9"/>
    </row>
    <row r="4090" spans="1:9" x14ac:dyDescent="0.25">
      <c r="A4090">
        <v>580010</v>
      </c>
      <c r="B4090">
        <v>0.59399999999999997</v>
      </c>
      <c r="C4090">
        <v>2880</v>
      </c>
      <c r="D4090" s="9">
        <v>43054</v>
      </c>
      <c r="E4090" t="s">
        <v>296</v>
      </c>
      <c r="I4090" s="9"/>
    </row>
    <row r="4091" spans="1:9" x14ac:dyDescent="0.25">
      <c r="A4091">
        <v>580010</v>
      </c>
      <c r="B4091">
        <v>0.59399999999999997</v>
      </c>
      <c r="C4091">
        <v>2880</v>
      </c>
      <c r="D4091" s="9">
        <v>42877</v>
      </c>
      <c r="E4091" t="s">
        <v>296</v>
      </c>
      <c r="I4091" s="9"/>
    </row>
    <row r="4092" spans="1:9" x14ac:dyDescent="0.25">
      <c r="A4092">
        <v>580010</v>
      </c>
      <c r="B4092">
        <v>0.59399999999999997</v>
      </c>
      <c r="C4092">
        <v>2880</v>
      </c>
      <c r="D4092" s="9">
        <v>42600</v>
      </c>
      <c r="E4092" t="s">
        <v>296</v>
      </c>
      <c r="I4092" s="9"/>
    </row>
    <row r="4093" spans="1:9" x14ac:dyDescent="0.25">
      <c r="A4093">
        <v>580010</v>
      </c>
      <c r="B4093">
        <v>0.59399999999999997</v>
      </c>
      <c r="C4093">
        <v>1600</v>
      </c>
      <c r="D4093" s="9">
        <v>42440</v>
      </c>
      <c r="E4093" t="s">
        <v>296</v>
      </c>
      <c r="I4093" s="9"/>
    </row>
    <row r="4094" spans="1:9" x14ac:dyDescent="0.25">
      <c r="A4094">
        <v>580010</v>
      </c>
      <c r="B4094">
        <v>0.59399999999999997</v>
      </c>
      <c r="C4094">
        <v>1600</v>
      </c>
      <c r="D4094" s="9">
        <v>42326</v>
      </c>
      <c r="E4094" t="s">
        <v>296</v>
      </c>
      <c r="I4094" s="9"/>
    </row>
    <row r="4095" spans="1:9" x14ac:dyDescent="0.25">
      <c r="A4095">
        <v>580010</v>
      </c>
      <c r="B4095">
        <v>0.59399999999999997</v>
      </c>
      <c r="C4095">
        <v>1600</v>
      </c>
      <c r="D4095" s="9">
        <v>42177</v>
      </c>
      <c r="E4095" t="s">
        <v>296</v>
      </c>
      <c r="I4095" s="9"/>
    </row>
    <row r="4096" spans="1:9" x14ac:dyDescent="0.25">
      <c r="A4096">
        <v>580010</v>
      </c>
      <c r="B4096">
        <v>0.58599999999999997</v>
      </c>
      <c r="C4096">
        <v>1600</v>
      </c>
      <c r="D4096" s="9">
        <v>41816</v>
      </c>
      <c r="E4096" t="s">
        <v>296</v>
      </c>
      <c r="I4096" s="9"/>
    </row>
    <row r="4097" spans="1:9" x14ac:dyDescent="0.25">
      <c r="A4097">
        <v>580010</v>
      </c>
      <c r="B4097">
        <v>0.56399999999999995</v>
      </c>
      <c r="C4097">
        <v>1600</v>
      </c>
      <c r="D4097" s="9">
        <v>41647</v>
      </c>
      <c r="E4097" t="s">
        <v>296</v>
      </c>
      <c r="I4097" s="9"/>
    </row>
    <row r="4098" spans="1:9" x14ac:dyDescent="0.25">
      <c r="A4098">
        <v>580010</v>
      </c>
      <c r="B4098">
        <v>0.54500000000000004</v>
      </c>
      <c r="C4098">
        <v>1440</v>
      </c>
      <c r="D4098" s="9">
        <v>41558</v>
      </c>
      <c r="E4098" t="s">
        <v>296</v>
      </c>
      <c r="I4098" s="9"/>
    </row>
    <row r="4099" spans="1:9" x14ac:dyDescent="0.25">
      <c r="A4099">
        <v>580010</v>
      </c>
      <c r="B4099">
        <v>0.53500000000000003</v>
      </c>
      <c r="C4099">
        <v>1440</v>
      </c>
      <c r="D4099" s="9">
        <v>41435</v>
      </c>
      <c r="E4099" t="s">
        <v>296</v>
      </c>
      <c r="I4099" s="9"/>
    </row>
    <row r="4100" spans="1:9" x14ac:dyDescent="0.25">
      <c r="A4100">
        <v>580020</v>
      </c>
      <c r="B4100">
        <v>0.76400000000000001</v>
      </c>
      <c r="C4100">
        <v>1500</v>
      </c>
      <c r="D4100" s="9">
        <v>43966</v>
      </c>
      <c r="E4100" t="s">
        <v>296</v>
      </c>
      <c r="I4100" s="9"/>
    </row>
    <row r="4101" spans="1:9" x14ac:dyDescent="0.25">
      <c r="A4101">
        <v>580020</v>
      </c>
      <c r="B4101">
        <v>0.76400000000000001</v>
      </c>
      <c r="C4101">
        <v>1440</v>
      </c>
      <c r="D4101" s="9">
        <v>43843</v>
      </c>
      <c r="E4101" t="s">
        <v>296</v>
      </c>
      <c r="I4101" s="9"/>
    </row>
    <row r="4102" spans="1:9" x14ac:dyDescent="0.25">
      <c r="A4102">
        <v>580020</v>
      </c>
      <c r="B4102">
        <v>0.76400000000000001</v>
      </c>
      <c r="C4102">
        <v>1440</v>
      </c>
      <c r="D4102" s="9">
        <v>43784</v>
      </c>
      <c r="E4102" t="s">
        <v>296</v>
      </c>
      <c r="I4102" s="9"/>
    </row>
    <row r="4103" spans="1:9" x14ac:dyDescent="0.25">
      <c r="A4103">
        <v>580020</v>
      </c>
      <c r="B4103">
        <v>0.78800000000000003</v>
      </c>
      <c r="C4103">
        <v>1440</v>
      </c>
      <c r="D4103" s="9">
        <v>43707</v>
      </c>
      <c r="E4103" t="s">
        <v>296</v>
      </c>
      <c r="I4103" s="9"/>
    </row>
    <row r="4104" spans="1:9" x14ac:dyDescent="0.25">
      <c r="A4104">
        <v>580020</v>
      </c>
      <c r="B4104">
        <v>0.78800000000000003</v>
      </c>
      <c r="C4104">
        <v>1200</v>
      </c>
      <c r="D4104" s="9">
        <v>43567</v>
      </c>
      <c r="E4104" t="s">
        <v>296</v>
      </c>
      <c r="I4104" s="9"/>
    </row>
    <row r="4105" spans="1:9" x14ac:dyDescent="0.25">
      <c r="A4105">
        <v>580020</v>
      </c>
      <c r="B4105">
        <v>0.78800000000000003</v>
      </c>
      <c r="C4105">
        <v>1200</v>
      </c>
      <c r="D4105" s="9">
        <v>43452</v>
      </c>
      <c r="E4105" t="s">
        <v>296</v>
      </c>
      <c r="I4105" s="9"/>
    </row>
    <row r="4106" spans="1:9" x14ac:dyDescent="0.25">
      <c r="A4106">
        <v>580020</v>
      </c>
      <c r="B4106">
        <v>3.01</v>
      </c>
      <c r="C4106">
        <v>1200</v>
      </c>
      <c r="D4106" s="9">
        <v>43340</v>
      </c>
      <c r="E4106" t="s">
        <v>295</v>
      </c>
      <c r="I4106" s="9"/>
    </row>
    <row r="4107" spans="1:9" x14ac:dyDescent="0.25">
      <c r="A4107">
        <v>580020</v>
      </c>
      <c r="B4107">
        <v>0.78800000000000003</v>
      </c>
      <c r="C4107">
        <v>1200</v>
      </c>
      <c r="D4107" s="9">
        <v>43299</v>
      </c>
      <c r="E4107" t="s">
        <v>296</v>
      </c>
      <c r="I4107" s="9"/>
    </row>
    <row r="4108" spans="1:9" x14ac:dyDescent="0.25">
      <c r="A4108">
        <v>580020</v>
      </c>
      <c r="B4108">
        <v>2.92</v>
      </c>
      <c r="C4108">
        <v>1200</v>
      </c>
      <c r="D4108" s="9">
        <v>43238</v>
      </c>
      <c r="E4108" t="s">
        <v>295</v>
      </c>
      <c r="I4108" s="9"/>
    </row>
    <row r="4109" spans="1:9" x14ac:dyDescent="0.25">
      <c r="A4109">
        <v>580020</v>
      </c>
      <c r="B4109">
        <v>0.755</v>
      </c>
      <c r="C4109">
        <v>1200</v>
      </c>
      <c r="D4109" s="9">
        <v>43238</v>
      </c>
      <c r="E4109" t="s">
        <v>296</v>
      </c>
      <c r="I4109" s="9"/>
    </row>
    <row r="4110" spans="1:9" x14ac:dyDescent="0.25">
      <c r="A4110">
        <v>580020</v>
      </c>
      <c r="B4110">
        <v>0.755</v>
      </c>
      <c r="C4110">
        <v>1500</v>
      </c>
      <c r="D4110" s="9">
        <v>43054</v>
      </c>
      <c r="E4110" t="s">
        <v>296</v>
      </c>
      <c r="I4110" s="9"/>
    </row>
    <row r="4111" spans="1:9" x14ac:dyDescent="0.25">
      <c r="A4111">
        <v>580020</v>
      </c>
      <c r="B4111">
        <v>0.71399999999999997</v>
      </c>
      <c r="C4111">
        <v>1500</v>
      </c>
      <c r="D4111" s="9">
        <v>42976</v>
      </c>
      <c r="E4111" t="s">
        <v>296</v>
      </c>
      <c r="I4111" s="9"/>
    </row>
    <row r="4112" spans="1:9" x14ac:dyDescent="0.25">
      <c r="A4112">
        <v>580020</v>
      </c>
      <c r="B4112">
        <v>0.71399999999999997</v>
      </c>
      <c r="C4112">
        <v>960</v>
      </c>
      <c r="D4112" s="9">
        <v>42815</v>
      </c>
      <c r="E4112" t="s">
        <v>296</v>
      </c>
      <c r="I4112" s="9"/>
    </row>
    <row r="4113" spans="1:9" x14ac:dyDescent="0.25">
      <c r="A4113">
        <v>580020</v>
      </c>
      <c r="B4113">
        <v>0.71399999999999997</v>
      </c>
      <c r="C4113">
        <v>1800</v>
      </c>
      <c r="D4113" s="9">
        <v>42600</v>
      </c>
      <c r="E4113" t="s">
        <v>296</v>
      </c>
      <c r="I4113" s="9"/>
    </row>
    <row r="4114" spans="1:9" x14ac:dyDescent="0.25">
      <c r="A4114">
        <v>580020</v>
      </c>
      <c r="B4114">
        <v>0.71399999999999997</v>
      </c>
      <c r="C4114">
        <v>1500</v>
      </c>
      <c r="D4114" s="9">
        <v>42326</v>
      </c>
      <c r="E4114" t="s">
        <v>296</v>
      </c>
      <c r="I4114" s="9"/>
    </row>
    <row r="4115" spans="1:9" x14ac:dyDescent="0.25">
      <c r="A4115">
        <v>580020</v>
      </c>
      <c r="B4115">
        <v>0.71399999999999997</v>
      </c>
      <c r="C4115">
        <v>1500</v>
      </c>
      <c r="D4115" s="9">
        <v>42271</v>
      </c>
      <c r="E4115" t="s">
        <v>296</v>
      </c>
      <c r="I4115" s="9"/>
    </row>
    <row r="4116" spans="1:9" x14ac:dyDescent="0.25">
      <c r="A4116">
        <v>580020</v>
      </c>
      <c r="B4116">
        <v>0.71399999999999997</v>
      </c>
      <c r="C4116">
        <v>1500</v>
      </c>
      <c r="D4116" s="9">
        <v>42111</v>
      </c>
      <c r="E4116" t="s">
        <v>296</v>
      </c>
      <c r="I4116" s="9"/>
    </row>
    <row r="4117" spans="1:9" x14ac:dyDescent="0.25">
      <c r="A4117">
        <v>580020</v>
      </c>
      <c r="B4117">
        <v>0.71399999999999997</v>
      </c>
      <c r="C4117">
        <v>1800</v>
      </c>
      <c r="D4117" s="9">
        <v>41870</v>
      </c>
      <c r="E4117" t="s">
        <v>296</v>
      </c>
      <c r="I4117" s="9"/>
    </row>
    <row r="4118" spans="1:9" x14ac:dyDescent="0.25">
      <c r="A4118">
        <v>580020</v>
      </c>
      <c r="B4118">
        <v>0.71399999999999997</v>
      </c>
      <c r="C4118">
        <v>1500</v>
      </c>
      <c r="D4118" s="9">
        <v>41816</v>
      </c>
      <c r="E4118" t="s">
        <v>296</v>
      </c>
      <c r="I4118" s="9"/>
    </row>
    <row r="4119" spans="1:9" x14ac:dyDescent="0.25">
      <c r="A4119">
        <v>580020</v>
      </c>
      <c r="B4119">
        <v>0.71399999999999997</v>
      </c>
      <c r="C4119">
        <v>900</v>
      </c>
      <c r="D4119" s="9">
        <v>41782</v>
      </c>
      <c r="E4119" t="s">
        <v>296</v>
      </c>
      <c r="I4119" s="9"/>
    </row>
    <row r="4120" spans="1:9" x14ac:dyDescent="0.25">
      <c r="A4120">
        <v>580020</v>
      </c>
      <c r="B4120">
        <v>0.68899999999999995</v>
      </c>
      <c r="C4120">
        <v>1680</v>
      </c>
      <c r="D4120" s="9">
        <v>41647</v>
      </c>
      <c r="E4120" t="s">
        <v>296</v>
      </c>
      <c r="I4120" s="9"/>
    </row>
    <row r="4121" spans="1:9" x14ac:dyDescent="0.25">
      <c r="A4121">
        <v>580020</v>
      </c>
      <c r="B4121">
        <v>0.67</v>
      </c>
      <c r="C4121">
        <v>1440</v>
      </c>
      <c r="D4121" s="9">
        <v>41558</v>
      </c>
      <c r="E4121" t="s">
        <v>296</v>
      </c>
      <c r="I4121" s="9"/>
    </row>
    <row r="4122" spans="1:9" x14ac:dyDescent="0.25">
      <c r="A4122">
        <v>580020</v>
      </c>
      <c r="B4122">
        <v>0.67</v>
      </c>
      <c r="C4122">
        <v>1440</v>
      </c>
      <c r="D4122" s="9">
        <v>41435</v>
      </c>
      <c r="E4122" t="s">
        <v>296</v>
      </c>
      <c r="I4122" s="9"/>
    </row>
    <row r="4123" spans="1:9" x14ac:dyDescent="0.25">
      <c r="A4123">
        <v>580020</v>
      </c>
      <c r="B4123">
        <v>0.65900000000000003</v>
      </c>
      <c r="C4123">
        <v>1800</v>
      </c>
      <c r="D4123" s="9">
        <v>41295</v>
      </c>
      <c r="E4123" t="s">
        <v>296</v>
      </c>
      <c r="I4123" s="9"/>
    </row>
    <row r="4124" spans="1:9" x14ac:dyDescent="0.25">
      <c r="A4124">
        <v>588040</v>
      </c>
      <c r="B4124">
        <v>1.454</v>
      </c>
      <c r="C4124">
        <v>960</v>
      </c>
      <c r="D4124" s="9">
        <v>44095</v>
      </c>
      <c r="E4124" t="s">
        <v>296</v>
      </c>
      <c r="I4124" s="9"/>
    </row>
    <row r="4125" spans="1:9" x14ac:dyDescent="0.25">
      <c r="A4125">
        <v>588040</v>
      </c>
      <c r="B4125">
        <v>1.454</v>
      </c>
      <c r="C4125">
        <v>960</v>
      </c>
      <c r="D4125" s="9">
        <v>43972</v>
      </c>
      <c r="E4125" t="s">
        <v>296</v>
      </c>
      <c r="I4125" s="9"/>
    </row>
    <row r="4126" spans="1:9" x14ac:dyDescent="0.25">
      <c r="A4126">
        <v>588040</v>
      </c>
      <c r="B4126">
        <v>1.454</v>
      </c>
      <c r="C4126">
        <v>600</v>
      </c>
      <c r="D4126" s="9">
        <v>43972</v>
      </c>
      <c r="E4126" t="s">
        <v>296</v>
      </c>
      <c r="I4126" s="9"/>
    </row>
    <row r="4127" spans="1:9" x14ac:dyDescent="0.25">
      <c r="A4127">
        <v>588040</v>
      </c>
      <c r="B4127">
        <v>1.454</v>
      </c>
      <c r="C4127">
        <v>960</v>
      </c>
      <c r="D4127" s="9">
        <v>43707</v>
      </c>
      <c r="E4127" t="s">
        <v>296</v>
      </c>
      <c r="I4127" s="9"/>
    </row>
    <row r="4128" spans="1:9" x14ac:dyDescent="0.25">
      <c r="A4128">
        <v>588040</v>
      </c>
      <c r="B4128">
        <v>1.454</v>
      </c>
      <c r="C4128">
        <v>960</v>
      </c>
      <c r="D4128" s="9">
        <v>43452</v>
      </c>
      <c r="E4128" t="s">
        <v>296</v>
      </c>
      <c r="I4128" s="9"/>
    </row>
    <row r="4129" spans="1:9" x14ac:dyDescent="0.25">
      <c r="A4129">
        <v>588040</v>
      </c>
      <c r="B4129">
        <v>1.454</v>
      </c>
      <c r="C4129">
        <v>1200</v>
      </c>
      <c r="D4129" s="9">
        <v>43299</v>
      </c>
      <c r="E4129" t="s">
        <v>296</v>
      </c>
      <c r="I4129" s="9"/>
    </row>
    <row r="4130" spans="1:9" x14ac:dyDescent="0.25">
      <c r="A4130">
        <v>588040</v>
      </c>
      <c r="B4130">
        <v>5.41</v>
      </c>
      <c r="C4130">
        <v>1440</v>
      </c>
      <c r="D4130" s="9">
        <v>43238</v>
      </c>
      <c r="E4130" t="s">
        <v>295</v>
      </c>
      <c r="I4130" s="9"/>
    </row>
    <row r="4131" spans="1:9" x14ac:dyDescent="0.25">
      <c r="A4131">
        <v>588040</v>
      </c>
      <c r="B4131">
        <v>1.4</v>
      </c>
      <c r="C4131">
        <v>1440</v>
      </c>
      <c r="D4131" s="9">
        <v>43238</v>
      </c>
      <c r="E4131" t="s">
        <v>296</v>
      </c>
      <c r="I4131" s="9"/>
    </row>
    <row r="4132" spans="1:9" x14ac:dyDescent="0.25">
      <c r="A4132">
        <v>588040</v>
      </c>
      <c r="B4132">
        <v>1.37</v>
      </c>
      <c r="C4132">
        <v>960</v>
      </c>
      <c r="D4132" s="9">
        <v>43054</v>
      </c>
      <c r="E4132" t="s">
        <v>296</v>
      </c>
      <c r="I4132" s="9"/>
    </row>
    <row r="4133" spans="1:9" x14ac:dyDescent="0.25">
      <c r="A4133">
        <v>588040</v>
      </c>
      <c r="B4133">
        <v>1.37</v>
      </c>
      <c r="C4133">
        <v>1200</v>
      </c>
      <c r="D4133" s="9">
        <v>42877</v>
      </c>
      <c r="E4133" t="s">
        <v>296</v>
      </c>
      <c r="I4133" s="9"/>
    </row>
    <row r="4134" spans="1:9" x14ac:dyDescent="0.25">
      <c r="A4134">
        <v>588040</v>
      </c>
      <c r="B4134">
        <v>1.371</v>
      </c>
      <c r="C4134">
        <v>1728</v>
      </c>
      <c r="D4134" s="9">
        <v>42600</v>
      </c>
      <c r="E4134" t="s">
        <v>296</v>
      </c>
      <c r="I4134" s="9"/>
    </row>
    <row r="4135" spans="1:9" x14ac:dyDescent="0.25">
      <c r="A4135">
        <v>588040</v>
      </c>
      <c r="B4135">
        <v>1.371</v>
      </c>
      <c r="C4135">
        <v>600</v>
      </c>
      <c r="D4135" s="9">
        <v>42440</v>
      </c>
      <c r="E4135" t="s">
        <v>296</v>
      </c>
      <c r="I4135" s="9"/>
    </row>
    <row r="4136" spans="1:9" x14ac:dyDescent="0.25">
      <c r="A4136">
        <v>588040</v>
      </c>
      <c r="B4136">
        <v>1.371</v>
      </c>
      <c r="C4136">
        <v>960</v>
      </c>
      <c r="D4136" s="9">
        <v>42326</v>
      </c>
      <c r="E4136" t="s">
        <v>296</v>
      </c>
      <c r="I4136" s="9"/>
    </row>
    <row r="4137" spans="1:9" x14ac:dyDescent="0.25">
      <c r="A4137">
        <v>588040</v>
      </c>
      <c r="B4137">
        <v>1.371</v>
      </c>
      <c r="C4137">
        <v>960</v>
      </c>
      <c r="D4137" s="9">
        <v>42177</v>
      </c>
      <c r="E4137" t="s">
        <v>296</v>
      </c>
      <c r="I4137" s="9"/>
    </row>
    <row r="4138" spans="1:9" x14ac:dyDescent="0.25">
      <c r="A4138">
        <v>588040</v>
      </c>
      <c r="B4138">
        <v>1.371</v>
      </c>
      <c r="C4138">
        <v>960</v>
      </c>
      <c r="D4138" s="9">
        <v>42111</v>
      </c>
      <c r="E4138" t="s">
        <v>296</v>
      </c>
      <c r="I4138" s="9"/>
    </row>
    <row r="4139" spans="1:9" x14ac:dyDescent="0.25">
      <c r="A4139">
        <v>588040</v>
      </c>
      <c r="B4139">
        <v>4.43</v>
      </c>
      <c r="C4139">
        <v>960</v>
      </c>
      <c r="D4139" s="9">
        <v>41927</v>
      </c>
      <c r="E4139" t="s">
        <v>295</v>
      </c>
      <c r="I4139" s="9"/>
    </row>
    <row r="4140" spans="1:9" x14ac:dyDescent="0.25">
      <c r="A4140">
        <v>588040</v>
      </c>
      <c r="B4140">
        <v>1.371</v>
      </c>
      <c r="C4140">
        <v>960</v>
      </c>
      <c r="D4140" s="9">
        <v>41870</v>
      </c>
      <c r="E4140" t="s">
        <v>296</v>
      </c>
      <c r="I4140" s="9"/>
    </row>
    <row r="4141" spans="1:9" x14ac:dyDescent="0.25">
      <c r="A4141">
        <v>588040</v>
      </c>
      <c r="B4141">
        <v>1.371</v>
      </c>
      <c r="C4141">
        <v>960</v>
      </c>
      <c r="D4141" s="9">
        <v>41816</v>
      </c>
      <c r="E4141" t="s">
        <v>296</v>
      </c>
      <c r="I4141" s="9"/>
    </row>
    <row r="4142" spans="1:9" x14ac:dyDescent="0.25">
      <c r="A4142">
        <v>588040</v>
      </c>
      <c r="B4142">
        <v>1.371</v>
      </c>
      <c r="C4142">
        <v>960</v>
      </c>
      <c r="D4142" s="9">
        <v>41647</v>
      </c>
      <c r="E4142" t="s">
        <v>296</v>
      </c>
      <c r="I4142" s="9"/>
    </row>
    <row r="4143" spans="1:9" x14ac:dyDescent="0.25">
      <c r="A4143">
        <v>588040</v>
      </c>
      <c r="B4143">
        <v>1.331</v>
      </c>
      <c r="C4143">
        <v>960</v>
      </c>
      <c r="D4143" s="9">
        <v>41558</v>
      </c>
      <c r="E4143" t="s">
        <v>296</v>
      </c>
      <c r="I4143" s="9"/>
    </row>
    <row r="4144" spans="1:9" x14ac:dyDescent="0.25">
      <c r="A4144">
        <v>588040</v>
      </c>
      <c r="B4144">
        <v>1.331</v>
      </c>
      <c r="C4144">
        <v>816</v>
      </c>
      <c r="D4144" s="9">
        <v>41435</v>
      </c>
      <c r="E4144" t="s">
        <v>296</v>
      </c>
      <c r="I4144" s="9"/>
    </row>
    <row r="4145" spans="1:9" x14ac:dyDescent="0.25">
      <c r="A4145">
        <v>588040</v>
      </c>
      <c r="B4145">
        <v>1.3109999999999999</v>
      </c>
      <c r="C4145">
        <v>816</v>
      </c>
      <c r="D4145" s="9">
        <v>41362</v>
      </c>
      <c r="E4145" t="s">
        <v>296</v>
      </c>
      <c r="I4145" s="9"/>
    </row>
    <row r="4146" spans="1:9" x14ac:dyDescent="0.25">
      <c r="A4146">
        <v>588110</v>
      </c>
      <c r="B4146">
        <v>1.5</v>
      </c>
      <c r="C4146">
        <v>600</v>
      </c>
      <c r="D4146" s="9">
        <v>44070</v>
      </c>
      <c r="E4146" t="s">
        <v>296</v>
      </c>
      <c r="I4146" s="9"/>
    </row>
    <row r="4147" spans="1:9" x14ac:dyDescent="0.25">
      <c r="A4147">
        <v>588110</v>
      </c>
      <c r="B4147">
        <v>1.77</v>
      </c>
      <c r="C4147">
        <v>540</v>
      </c>
      <c r="D4147" s="9">
        <v>44006</v>
      </c>
      <c r="E4147" t="s">
        <v>296</v>
      </c>
      <c r="I4147" s="9"/>
    </row>
    <row r="4148" spans="1:9" x14ac:dyDescent="0.25">
      <c r="A4148">
        <v>588110</v>
      </c>
      <c r="B4148">
        <v>1.77</v>
      </c>
      <c r="C4148">
        <v>400</v>
      </c>
      <c r="D4148" s="9">
        <v>43972</v>
      </c>
      <c r="E4148" t="s">
        <v>296</v>
      </c>
      <c r="I4148" s="9"/>
    </row>
    <row r="4149" spans="1:9" x14ac:dyDescent="0.25">
      <c r="A4149">
        <v>588110</v>
      </c>
      <c r="B4149">
        <v>1.7</v>
      </c>
      <c r="C4149">
        <v>500</v>
      </c>
      <c r="D4149" s="9">
        <v>43600</v>
      </c>
      <c r="E4149" t="s">
        <v>296</v>
      </c>
      <c r="I4149" s="9"/>
    </row>
    <row r="4150" spans="1:9" x14ac:dyDescent="0.25">
      <c r="A4150">
        <v>588110</v>
      </c>
      <c r="B4150">
        <v>1.7</v>
      </c>
      <c r="C4150">
        <v>500</v>
      </c>
      <c r="D4150" s="9">
        <v>43483</v>
      </c>
      <c r="E4150" t="s">
        <v>296</v>
      </c>
      <c r="I4150" s="9"/>
    </row>
    <row r="4151" spans="1:9" x14ac:dyDescent="0.25">
      <c r="A4151">
        <v>588110</v>
      </c>
      <c r="B4151">
        <v>6.66</v>
      </c>
      <c r="C4151">
        <v>700</v>
      </c>
      <c r="D4151" s="9">
        <v>43298</v>
      </c>
      <c r="E4151" t="s">
        <v>295</v>
      </c>
      <c r="I4151" s="9"/>
    </row>
    <row r="4152" spans="1:9" x14ac:dyDescent="0.25">
      <c r="A4152">
        <v>588110</v>
      </c>
      <c r="B4152">
        <v>1.7</v>
      </c>
      <c r="C4152">
        <v>700</v>
      </c>
      <c r="D4152" s="9">
        <v>43264</v>
      </c>
      <c r="E4152" t="s">
        <v>296</v>
      </c>
      <c r="I4152" s="9"/>
    </row>
    <row r="4153" spans="1:9" x14ac:dyDescent="0.25">
      <c r="A4153">
        <v>588110</v>
      </c>
      <c r="B4153">
        <v>5.84</v>
      </c>
      <c r="C4153">
        <v>420</v>
      </c>
      <c r="D4153" s="9">
        <v>43138</v>
      </c>
      <c r="E4153" t="s">
        <v>295</v>
      </c>
      <c r="I4153" s="9"/>
    </row>
    <row r="4154" spans="1:9" x14ac:dyDescent="0.25">
      <c r="A4154">
        <v>588110</v>
      </c>
      <c r="B4154">
        <v>1.62</v>
      </c>
      <c r="C4154">
        <v>700</v>
      </c>
      <c r="D4154" s="9">
        <v>43111</v>
      </c>
      <c r="E4154" t="s">
        <v>296</v>
      </c>
      <c r="I4154" s="9"/>
    </row>
    <row r="4155" spans="1:9" x14ac:dyDescent="0.25">
      <c r="A4155">
        <v>588110</v>
      </c>
      <c r="B4155">
        <v>1.56</v>
      </c>
      <c r="C4155">
        <v>1400</v>
      </c>
      <c r="D4155" s="9">
        <v>42383</v>
      </c>
      <c r="E4155" t="s">
        <v>296</v>
      </c>
      <c r="I4155" s="9"/>
    </row>
    <row r="4156" spans="1:9" x14ac:dyDescent="0.25">
      <c r="A4156">
        <v>588110</v>
      </c>
      <c r="B4156">
        <v>1.56</v>
      </c>
      <c r="C4156">
        <v>1400</v>
      </c>
      <c r="D4156" s="9">
        <v>42321</v>
      </c>
      <c r="E4156" t="s">
        <v>296</v>
      </c>
      <c r="I4156" s="9"/>
    </row>
    <row r="4157" spans="1:9" x14ac:dyDescent="0.25">
      <c r="A4157">
        <v>588110</v>
      </c>
      <c r="B4157">
        <v>1.853</v>
      </c>
      <c r="C4157">
        <v>1000</v>
      </c>
      <c r="D4157" s="9">
        <v>42177</v>
      </c>
      <c r="E4157" t="s">
        <v>296</v>
      </c>
      <c r="I4157" s="9"/>
    </row>
    <row r="4158" spans="1:9" x14ac:dyDescent="0.25">
      <c r="A4158">
        <v>588110</v>
      </c>
      <c r="B4158">
        <v>1.853</v>
      </c>
      <c r="C4158">
        <v>800</v>
      </c>
      <c r="D4158" s="9">
        <v>42111</v>
      </c>
      <c r="E4158" t="s">
        <v>296</v>
      </c>
      <c r="I4158" s="9"/>
    </row>
    <row r="4159" spans="1:9" x14ac:dyDescent="0.25">
      <c r="A4159">
        <v>588110</v>
      </c>
      <c r="B4159">
        <v>1.853</v>
      </c>
      <c r="C4159">
        <v>1000</v>
      </c>
      <c r="D4159" s="9">
        <v>41983</v>
      </c>
      <c r="E4159" t="s">
        <v>296</v>
      </c>
      <c r="I4159" s="9"/>
    </row>
    <row r="4160" spans="1:9" x14ac:dyDescent="0.25">
      <c r="A4160">
        <v>588110</v>
      </c>
      <c r="B4160">
        <v>1.833</v>
      </c>
      <c r="C4160">
        <v>920</v>
      </c>
      <c r="D4160" s="9">
        <v>41816</v>
      </c>
      <c r="E4160" t="s">
        <v>296</v>
      </c>
      <c r="I4160" s="9"/>
    </row>
    <row r="4161" spans="1:9" x14ac:dyDescent="0.25">
      <c r="A4161">
        <v>588110</v>
      </c>
      <c r="B4161">
        <v>1.833</v>
      </c>
      <c r="C4161">
        <v>1000</v>
      </c>
      <c r="D4161" s="9">
        <v>41647</v>
      </c>
      <c r="E4161" t="s">
        <v>296</v>
      </c>
      <c r="I4161" s="9"/>
    </row>
    <row r="4162" spans="1:9" x14ac:dyDescent="0.25">
      <c r="A4162">
        <v>588110</v>
      </c>
      <c r="B4162">
        <v>1.833</v>
      </c>
      <c r="C4162">
        <v>960</v>
      </c>
      <c r="D4162" s="9">
        <v>41558</v>
      </c>
      <c r="E4162" t="s">
        <v>296</v>
      </c>
      <c r="I4162" s="9"/>
    </row>
    <row r="4163" spans="1:9" x14ac:dyDescent="0.25">
      <c r="A4163">
        <v>588110</v>
      </c>
      <c r="B4163">
        <v>1.833</v>
      </c>
      <c r="C4163">
        <v>960</v>
      </c>
      <c r="D4163" s="9">
        <v>41435</v>
      </c>
      <c r="E4163" t="s">
        <v>296</v>
      </c>
      <c r="I4163" s="9"/>
    </row>
    <row r="4164" spans="1:9" x14ac:dyDescent="0.25">
      <c r="A4164">
        <v>588110</v>
      </c>
      <c r="B4164">
        <v>1.833</v>
      </c>
      <c r="C4164">
        <v>720</v>
      </c>
      <c r="D4164" s="9">
        <v>41295</v>
      </c>
      <c r="E4164" t="s">
        <v>296</v>
      </c>
      <c r="I4164" s="9"/>
    </row>
    <row r="4165" spans="1:9" x14ac:dyDescent="0.25">
      <c r="A4165">
        <v>588115</v>
      </c>
      <c r="B4165">
        <v>1.8160000000000001</v>
      </c>
      <c r="C4165">
        <v>600</v>
      </c>
      <c r="D4165" s="9">
        <v>44070</v>
      </c>
      <c r="E4165" t="s">
        <v>296</v>
      </c>
      <c r="I4165" s="9"/>
    </row>
    <row r="4166" spans="1:9" x14ac:dyDescent="0.25">
      <c r="A4166">
        <v>588115</v>
      </c>
      <c r="B4166">
        <v>2.2000000000000002</v>
      </c>
      <c r="C4166">
        <v>400</v>
      </c>
      <c r="D4166" s="9">
        <v>43972</v>
      </c>
      <c r="E4166" t="s">
        <v>296</v>
      </c>
      <c r="I4166" s="9"/>
    </row>
    <row r="4167" spans="1:9" x14ac:dyDescent="0.25">
      <c r="A4167">
        <v>588115</v>
      </c>
      <c r="B4167">
        <v>2.33</v>
      </c>
      <c r="C4167">
        <v>320</v>
      </c>
      <c r="D4167" s="9">
        <v>43972</v>
      </c>
      <c r="E4167" t="s">
        <v>296</v>
      </c>
      <c r="I4167" s="9"/>
    </row>
    <row r="4168" spans="1:9" x14ac:dyDescent="0.25">
      <c r="A4168">
        <v>588115</v>
      </c>
      <c r="B4168">
        <v>8.82</v>
      </c>
      <c r="C4168">
        <v>100</v>
      </c>
      <c r="D4168" s="9">
        <v>43962</v>
      </c>
      <c r="E4168" t="s">
        <v>295</v>
      </c>
      <c r="I4168" s="9"/>
    </row>
    <row r="4169" spans="1:9" x14ac:dyDescent="0.25">
      <c r="A4169">
        <v>588115</v>
      </c>
      <c r="B4169">
        <v>2.2000000000000002</v>
      </c>
      <c r="C4169">
        <v>400</v>
      </c>
      <c r="D4169" s="9">
        <v>43686</v>
      </c>
      <c r="E4169" t="s">
        <v>296</v>
      </c>
      <c r="I4169" s="9"/>
    </row>
    <row r="4170" spans="1:9" x14ac:dyDescent="0.25">
      <c r="A4170">
        <v>588115</v>
      </c>
      <c r="B4170">
        <v>2.2000000000000002</v>
      </c>
      <c r="C4170">
        <v>360</v>
      </c>
      <c r="D4170" s="9">
        <v>43381</v>
      </c>
      <c r="E4170" t="s">
        <v>296</v>
      </c>
      <c r="I4170" s="9"/>
    </row>
    <row r="4171" spans="1:9" x14ac:dyDescent="0.25">
      <c r="A4171">
        <v>588115</v>
      </c>
      <c r="B4171">
        <v>7.64</v>
      </c>
      <c r="C4171">
        <v>360</v>
      </c>
      <c r="D4171" s="9">
        <v>43138</v>
      </c>
      <c r="E4171" t="s">
        <v>295</v>
      </c>
      <c r="I4171" s="9"/>
    </row>
    <row r="4172" spans="1:9" x14ac:dyDescent="0.25">
      <c r="A4172">
        <v>588115</v>
      </c>
      <c r="B4172">
        <v>2.15</v>
      </c>
      <c r="C4172">
        <v>360</v>
      </c>
      <c r="D4172" s="9">
        <v>43111</v>
      </c>
      <c r="E4172" t="s">
        <v>296</v>
      </c>
      <c r="I4172" s="9"/>
    </row>
    <row r="4173" spans="1:9" x14ac:dyDescent="0.25">
      <c r="A4173">
        <v>588115</v>
      </c>
      <c r="B4173">
        <v>2.15</v>
      </c>
      <c r="C4173">
        <v>400</v>
      </c>
      <c r="D4173" s="9">
        <v>42912</v>
      </c>
      <c r="E4173" t="s">
        <v>296</v>
      </c>
      <c r="I4173" s="9"/>
    </row>
    <row r="4174" spans="1:9" x14ac:dyDescent="0.25">
      <c r="A4174">
        <v>588115</v>
      </c>
      <c r="B4174">
        <v>2.0499999999999998</v>
      </c>
      <c r="C4174">
        <v>400</v>
      </c>
      <c r="D4174" s="9">
        <v>42719</v>
      </c>
      <c r="E4174" t="s">
        <v>296</v>
      </c>
      <c r="I4174" s="9"/>
    </row>
    <row r="4175" spans="1:9" x14ac:dyDescent="0.25">
      <c r="A4175">
        <v>588115</v>
      </c>
      <c r="B4175">
        <v>2.0499999999999998</v>
      </c>
      <c r="C4175">
        <v>640</v>
      </c>
      <c r="D4175" s="9">
        <v>42698</v>
      </c>
      <c r="E4175" t="s">
        <v>296</v>
      </c>
      <c r="I4175" s="9"/>
    </row>
    <row r="4176" spans="1:9" x14ac:dyDescent="0.25">
      <c r="A4176">
        <v>588115</v>
      </c>
      <c r="B4176">
        <v>2.0499999999999998</v>
      </c>
      <c r="C4176">
        <v>400</v>
      </c>
      <c r="D4176" s="9">
        <v>42660</v>
      </c>
      <c r="E4176" t="s">
        <v>296</v>
      </c>
      <c r="I4176" s="9"/>
    </row>
    <row r="4177" spans="1:9" x14ac:dyDescent="0.25">
      <c r="A4177">
        <v>588115</v>
      </c>
      <c r="B4177">
        <v>2.0499999999999998</v>
      </c>
      <c r="C4177">
        <v>380</v>
      </c>
      <c r="D4177" s="9">
        <v>42510</v>
      </c>
      <c r="E4177" t="s">
        <v>296</v>
      </c>
      <c r="I4177" s="9"/>
    </row>
    <row r="4178" spans="1:9" x14ac:dyDescent="0.25">
      <c r="A4178">
        <v>588115</v>
      </c>
      <c r="B4178">
        <v>2.573</v>
      </c>
      <c r="C4178">
        <v>384</v>
      </c>
      <c r="D4178" s="9">
        <v>42177</v>
      </c>
      <c r="E4178" t="s">
        <v>296</v>
      </c>
      <c r="I4178" s="9"/>
    </row>
    <row r="4179" spans="1:9" x14ac:dyDescent="0.25">
      <c r="A4179">
        <v>588115</v>
      </c>
      <c r="B4179">
        <v>2.573</v>
      </c>
      <c r="C4179">
        <v>384</v>
      </c>
      <c r="D4179" s="9">
        <v>42111</v>
      </c>
      <c r="E4179" t="s">
        <v>296</v>
      </c>
      <c r="I4179" s="9"/>
    </row>
    <row r="4180" spans="1:9" x14ac:dyDescent="0.25">
      <c r="A4180">
        <v>588115</v>
      </c>
      <c r="B4180">
        <v>2.573</v>
      </c>
      <c r="C4180">
        <v>384</v>
      </c>
      <c r="D4180" s="9">
        <v>41983</v>
      </c>
      <c r="E4180" t="s">
        <v>296</v>
      </c>
      <c r="I4180" s="9"/>
    </row>
    <row r="4181" spans="1:9" x14ac:dyDescent="0.25">
      <c r="A4181">
        <v>588115</v>
      </c>
      <c r="B4181">
        <v>2.5099999999999998</v>
      </c>
      <c r="C4181">
        <v>1024</v>
      </c>
      <c r="D4181" s="9">
        <v>41435</v>
      </c>
      <c r="E4181" t="s">
        <v>296</v>
      </c>
      <c r="I4181" s="9"/>
    </row>
    <row r="4182" spans="1:9" x14ac:dyDescent="0.25">
      <c r="A4182">
        <v>595000</v>
      </c>
      <c r="B4182">
        <v>1.67</v>
      </c>
      <c r="C4182">
        <v>720</v>
      </c>
      <c r="D4182" s="9">
        <v>44041</v>
      </c>
      <c r="E4182" t="s">
        <v>296</v>
      </c>
      <c r="I4182" s="9"/>
    </row>
    <row r="4183" spans="1:9" x14ac:dyDescent="0.25">
      <c r="A4183">
        <v>595000</v>
      </c>
      <c r="B4183">
        <v>1.67</v>
      </c>
      <c r="C4183">
        <v>720</v>
      </c>
      <c r="D4183" s="9">
        <v>43972</v>
      </c>
      <c r="E4183" t="s">
        <v>296</v>
      </c>
      <c r="I4183" s="9"/>
    </row>
    <row r="4184" spans="1:9" x14ac:dyDescent="0.25">
      <c r="A4184">
        <v>595000</v>
      </c>
      <c r="B4184">
        <v>1.67</v>
      </c>
      <c r="C4184">
        <v>800</v>
      </c>
      <c r="D4184" s="9">
        <v>43843</v>
      </c>
      <c r="E4184" t="s">
        <v>296</v>
      </c>
      <c r="I4184" s="9"/>
    </row>
    <row r="4185" spans="1:9" x14ac:dyDescent="0.25">
      <c r="A4185">
        <v>595000</v>
      </c>
      <c r="B4185">
        <v>1.67</v>
      </c>
      <c r="C4185">
        <v>800</v>
      </c>
      <c r="D4185" s="9">
        <v>43612</v>
      </c>
      <c r="E4185" t="s">
        <v>296</v>
      </c>
      <c r="I4185" s="9"/>
    </row>
    <row r="4186" spans="1:9" x14ac:dyDescent="0.25">
      <c r="A4186">
        <v>595000</v>
      </c>
      <c r="B4186">
        <v>1.67</v>
      </c>
      <c r="C4186">
        <v>640</v>
      </c>
      <c r="D4186" s="9">
        <v>43452</v>
      </c>
      <c r="E4186" t="s">
        <v>296</v>
      </c>
      <c r="I4186" s="9"/>
    </row>
    <row r="4187" spans="1:9" x14ac:dyDescent="0.25">
      <c r="A4187">
        <v>595000</v>
      </c>
      <c r="B4187">
        <v>1.67</v>
      </c>
      <c r="C4187">
        <v>80</v>
      </c>
      <c r="D4187" s="9">
        <v>43403</v>
      </c>
      <c r="E4187" t="s">
        <v>296</v>
      </c>
      <c r="I4187" s="9"/>
    </row>
    <row r="4188" spans="1:9" x14ac:dyDescent="0.25">
      <c r="A4188">
        <v>595000</v>
      </c>
      <c r="B4188">
        <v>6.43</v>
      </c>
      <c r="C4188">
        <v>720</v>
      </c>
      <c r="D4188" s="9">
        <v>43238</v>
      </c>
      <c r="E4188" t="s">
        <v>295</v>
      </c>
      <c r="I4188" s="9"/>
    </row>
    <row r="4189" spans="1:9" x14ac:dyDescent="0.25">
      <c r="A4189">
        <v>595000</v>
      </c>
      <c r="B4189">
        <v>1.67</v>
      </c>
      <c r="C4189">
        <v>720</v>
      </c>
      <c r="D4189" s="9">
        <v>43238</v>
      </c>
      <c r="E4189" t="s">
        <v>296</v>
      </c>
      <c r="I4189" s="9"/>
    </row>
    <row r="4190" spans="1:9" x14ac:dyDescent="0.25">
      <c r="A4190">
        <v>595000</v>
      </c>
      <c r="B4190">
        <v>1.62</v>
      </c>
      <c r="C4190">
        <v>720</v>
      </c>
      <c r="D4190" s="9">
        <v>43136</v>
      </c>
      <c r="E4190" t="s">
        <v>296</v>
      </c>
      <c r="I4190" s="9"/>
    </row>
    <row r="4191" spans="1:9" x14ac:dyDescent="0.25">
      <c r="A4191">
        <v>595000</v>
      </c>
      <c r="B4191">
        <v>5.61</v>
      </c>
      <c r="C4191">
        <v>720</v>
      </c>
      <c r="D4191" s="9">
        <v>43136</v>
      </c>
      <c r="E4191" t="s">
        <v>295</v>
      </c>
      <c r="I4191" s="9"/>
    </row>
    <row r="4192" spans="1:9" x14ac:dyDescent="0.25">
      <c r="A4192">
        <v>595000</v>
      </c>
      <c r="B4192">
        <v>1.5449999999999999</v>
      </c>
      <c r="C4192">
        <v>720</v>
      </c>
      <c r="D4192" s="9">
        <v>43054</v>
      </c>
      <c r="E4192" t="s">
        <v>296</v>
      </c>
      <c r="I4192" s="9"/>
    </row>
    <row r="4193" spans="1:9" x14ac:dyDescent="0.25">
      <c r="A4193">
        <v>595000</v>
      </c>
      <c r="B4193">
        <v>1.5</v>
      </c>
      <c r="C4193">
        <v>1800</v>
      </c>
      <c r="D4193" s="9">
        <v>42600</v>
      </c>
      <c r="E4193" t="s">
        <v>296</v>
      </c>
      <c r="I4193" s="9"/>
    </row>
    <row r="4194" spans="1:9" x14ac:dyDescent="0.25">
      <c r="A4194">
        <v>595000</v>
      </c>
      <c r="B4194">
        <v>1.5449999999999999</v>
      </c>
      <c r="C4194">
        <v>864</v>
      </c>
      <c r="D4194" s="9">
        <v>42600</v>
      </c>
      <c r="E4194" t="s">
        <v>296</v>
      </c>
      <c r="I4194" s="9"/>
    </row>
    <row r="4195" spans="1:9" x14ac:dyDescent="0.25">
      <c r="A4195">
        <v>595000</v>
      </c>
      <c r="B4195">
        <v>1.4350000000000001</v>
      </c>
      <c r="C4195">
        <v>1224</v>
      </c>
      <c r="D4195" s="9">
        <v>42440</v>
      </c>
      <c r="E4195" t="s">
        <v>296</v>
      </c>
      <c r="I4195" s="9"/>
    </row>
    <row r="4196" spans="1:9" x14ac:dyDescent="0.25">
      <c r="A4196">
        <v>595000</v>
      </c>
      <c r="B4196">
        <v>1.4350000000000001</v>
      </c>
      <c r="C4196">
        <v>1440</v>
      </c>
      <c r="D4196" s="9">
        <v>42326</v>
      </c>
      <c r="E4196" t="s">
        <v>296</v>
      </c>
      <c r="I4196" s="9"/>
    </row>
    <row r="4197" spans="1:9" x14ac:dyDescent="0.25">
      <c r="A4197">
        <v>595000</v>
      </c>
      <c r="B4197">
        <v>1.4350000000000001</v>
      </c>
      <c r="C4197">
        <v>1260</v>
      </c>
      <c r="D4197" s="9">
        <v>42177</v>
      </c>
      <c r="E4197" t="s">
        <v>296</v>
      </c>
      <c r="I4197" s="9"/>
    </row>
    <row r="4198" spans="1:9" x14ac:dyDescent="0.25">
      <c r="A4198">
        <v>595000</v>
      </c>
      <c r="B4198">
        <v>1.254</v>
      </c>
      <c r="C4198">
        <v>180</v>
      </c>
      <c r="D4198" s="9">
        <v>42111</v>
      </c>
      <c r="E4198" t="s">
        <v>296</v>
      </c>
      <c r="I4198" s="9"/>
    </row>
    <row r="4199" spans="1:9" x14ac:dyDescent="0.25">
      <c r="A4199">
        <v>595000</v>
      </c>
      <c r="B4199">
        <v>1.335</v>
      </c>
      <c r="C4199">
        <v>1080</v>
      </c>
      <c r="D4199" s="9">
        <v>42111</v>
      </c>
      <c r="E4199" t="s">
        <v>296</v>
      </c>
      <c r="I4199" s="9"/>
    </row>
    <row r="4200" spans="1:9" x14ac:dyDescent="0.25">
      <c r="A4200">
        <v>595000</v>
      </c>
      <c r="B4200">
        <v>1.254</v>
      </c>
      <c r="C4200">
        <v>1620</v>
      </c>
      <c r="D4200" s="9">
        <v>41558</v>
      </c>
      <c r="E4200" t="s">
        <v>296</v>
      </c>
      <c r="I4200" s="9"/>
    </row>
    <row r="4201" spans="1:9" x14ac:dyDescent="0.25">
      <c r="A4201">
        <v>595000</v>
      </c>
      <c r="B4201">
        <v>1.254</v>
      </c>
      <c r="C4201">
        <v>1800</v>
      </c>
      <c r="D4201" s="9">
        <v>41435</v>
      </c>
      <c r="E4201" t="s">
        <v>296</v>
      </c>
      <c r="I4201" s="9"/>
    </row>
    <row r="4202" spans="1:9" x14ac:dyDescent="0.25">
      <c r="A4202">
        <v>595000</v>
      </c>
      <c r="B4202">
        <v>1.234</v>
      </c>
      <c r="C4202">
        <v>1512</v>
      </c>
      <c r="D4202" s="9">
        <v>41295</v>
      </c>
      <c r="E4202" t="s">
        <v>296</v>
      </c>
      <c r="I4202" s="9"/>
    </row>
    <row r="4203" spans="1:9" x14ac:dyDescent="0.25">
      <c r="A4203">
        <v>595050</v>
      </c>
      <c r="B4203">
        <v>0.91100000000000003</v>
      </c>
      <c r="C4203">
        <v>720</v>
      </c>
      <c r="D4203" s="9">
        <v>44095</v>
      </c>
      <c r="E4203" t="s">
        <v>296</v>
      </c>
      <c r="I4203" s="9"/>
    </row>
    <row r="4204" spans="1:9" x14ac:dyDescent="0.25">
      <c r="A4204">
        <v>595050</v>
      </c>
      <c r="B4204">
        <v>0.91100000000000003</v>
      </c>
      <c r="C4204">
        <v>720</v>
      </c>
      <c r="D4204" s="9">
        <v>44068</v>
      </c>
      <c r="E4204" t="s">
        <v>296</v>
      </c>
      <c r="I4204" s="9"/>
    </row>
    <row r="4205" spans="1:9" x14ac:dyDescent="0.25">
      <c r="A4205">
        <v>595050</v>
      </c>
      <c r="B4205">
        <v>0.91100000000000003</v>
      </c>
      <c r="C4205">
        <v>720</v>
      </c>
      <c r="D4205" s="9">
        <v>43784</v>
      </c>
      <c r="E4205" t="s">
        <v>296</v>
      </c>
      <c r="I4205" s="9"/>
    </row>
    <row r="4206" spans="1:9" x14ac:dyDescent="0.25">
      <c r="A4206">
        <v>595050</v>
      </c>
      <c r="B4206">
        <v>0.91100000000000003</v>
      </c>
      <c r="C4206">
        <v>792</v>
      </c>
      <c r="D4206" s="9">
        <v>43567</v>
      </c>
      <c r="E4206" t="s">
        <v>296</v>
      </c>
      <c r="I4206" s="9"/>
    </row>
    <row r="4207" spans="1:9" x14ac:dyDescent="0.25">
      <c r="A4207">
        <v>595050</v>
      </c>
      <c r="B4207">
        <v>3.5</v>
      </c>
      <c r="C4207">
        <v>792</v>
      </c>
      <c r="D4207" s="9">
        <v>43340</v>
      </c>
      <c r="E4207" t="s">
        <v>295</v>
      </c>
      <c r="I4207" s="9"/>
    </row>
    <row r="4208" spans="1:9" x14ac:dyDescent="0.25">
      <c r="A4208">
        <v>595050</v>
      </c>
      <c r="B4208">
        <v>0.91100000000000003</v>
      </c>
      <c r="C4208">
        <v>792</v>
      </c>
      <c r="D4208" s="9">
        <v>43299</v>
      </c>
      <c r="E4208" t="s">
        <v>296</v>
      </c>
      <c r="I4208" s="9"/>
    </row>
    <row r="4209" spans="1:9" x14ac:dyDescent="0.25">
      <c r="A4209">
        <v>595050</v>
      </c>
      <c r="B4209">
        <v>3.24</v>
      </c>
      <c r="C4209">
        <v>792</v>
      </c>
      <c r="D4209" s="9">
        <v>43136</v>
      </c>
      <c r="E4209" t="s">
        <v>295</v>
      </c>
      <c r="I4209" s="9"/>
    </row>
    <row r="4210" spans="1:9" x14ac:dyDescent="0.25">
      <c r="A4210">
        <v>595050</v>
      </c>
      <c r="B4210">
        <v>3.24</v>
      </c>
      <c r="C4210">
        <v>8</v>
      </c>
      <c r="D4210" s="9">
        <v>43136</v>
      </c>
      <c r="E4210" t="s">
        <v>295</v>
      </c>
      <c r="I4210" s="9"/>
    </row>
    <row r="4211" spans="1:9" x14ac:dyDescent="0.25">
      <c r="A4211">
        <v>595050</v>
      </c>
      <c r="B4211">
        <v>0.91100000000000003</v>
      </c>
      <c r="C4211">
        <v>792</v>
      </c>
      <c r="D4211" s="9">
        <v>43136</v>
      </c>
      <c r="E4211" t="s">
        <v>296</v>
      </c>
      <c r="I4211" s="9"/>
    </row>
    <row r="4212" spans="1:9" x14ac:dyDescent="0.25">
      <c r="A4212">
        <v>595050</v>
      </c>
      <c r="B4212">
        <v>0.91100000000000003</v>
      </c>
      <c r="C4212">
        <v>8</v>
      </c>
      <c r="D4212" s="9">
        <v>43136</v>
      </c>
      <c r="E4212" t="s">
        <v>296</v>
      </c>
      <c r="I4212" s="9"/>
    </row>
    <row r="4213" spans="1:9" x14ac:dyDescent="0.25">
      <c r="A4213">
        <v>595050</v>
      </c>
      <c r="B4213">
        <v>0.91100000000000003</v>
      </c>
      <c r="C4213">
        <v>2500</v>
      </c>
      <c r="D4213" s="9">
        <v>42326</v>
      </c>
      <c r="E4213" t="s">
        <v>296</v>
      </c>
      <c r="I4213" s="9"/>
    </row>
    <row r="4214" spans="1:9" x14ac:dyDescent="0.25">
      <c r="A4214">
        <v>595050</v>
      </c>
      <c r="B4214">
        <v>0.879</v>
      </c>
      <c r="C4214">
        <v>1200</v>
      </c>
      <c r="D4214" s="9">
        <v>42111</v>
      </c>
      <c r="E4214" t="s">
        <v>296</v>
      </c>
      <c r="I4214" s="9"/>
    </row>
    <row r="4215" spans="1:9" x14ac:dyDescent="0.25">
      <c r="A4215">
        <v>595050</v>
      </c>
      <c r="B4215">
        <v>0.91100000000000003</v>
      </c>
      <c r="C4215">
        <v>2000</v>
      </c>
      <c r="D4215" s="9">
        <v>42111</v>
      </c>
      <c r="E4215" t="s">
        <v>296</v>
      </c>
      <c r="I4215" s="9"/>
    </row>
    <row r="4216" spans="1:9" x14ac:dyDescent="0.25">
      <c r="A4216">
        <v>595050</v>
      </c>
      <c r="B4216">
        <v>4.68</v>
      </c>
      <c r="C4216">
        <v>240</v>
      </c>
      <c r="D4216" s="9">
        <v>41901</v>
      </c>
      <c r="E4216" t="s">
        <v>295</v>
      </c>
      <c r="I4216" s="9"/>
    </row>
    <row r="4217" spans="1:9" x14ac:dyDescent="0.25">
      <c r="A4217">
        <v>595050</v>
      </c>
      <c r="B4217">
        <v>4.68</v>
      </c>
      <c r="C4217">
        <v>320</v>
      </c>
      <c r="D4217" s="9">
        <v>41864</v>
      </c>
      <c r="E4217" t="s">
        <v>295</v>
      </c>
      <c r="I4217" s="9"/>
    </row>
    <row r="4218" spans="1:9" x14ac:dyDescent="0.25">
      <c r="A4218">
        <v>595050</v>
      </c>
      <c r="B4218">
        <v>0.9</v>
      </c>
      <c r="C4218">
        <v>1200</v>
      </c>
      <c r="D4218" s="9">
        <v>41417</v>
      </c>
      <c r="E4218" t="s">
        <v>296</v>
      </c>
      <c r="I4218" s="9"/>
    </row>
    <row r="4219" spans="1:9" x14ac:dyDescent="0.25">
      <c r="A4219">
        <v>595500</v>
      </c>
      <c r="B4219">
        <v>10.85</v>
      </c>
      <c r="C4219">
        <v>120</v>
      </c>
      <c r="D4219" s="9">
        <v>44117</v>
      </c>
      <c r="E4219" t="s">
        <v>296</v>
      </c>
      <c r="I4219" s="9"/>
    </row>
    <row r="4220" spans="1:9" x14ac:dyDescent="0.25">
      <c r="A4220">
        <v>595500</v>
      </c>
      <c r="B4220">
        <v>10.85</v>
      </c>
      <c r="C4220">
        <v>100</v>
      </c>
      <c r="D4220" s="9">
        <v>43991</v>
      </c>
      <c r="E4220" t="s">
        <v>296</v>
      </c>
      <c r="I4220" s="9"/>
    </row>
    <row r="4221" spans="1:9" x14ac:dyDescent="0.25">
      <c r="A4221">
        <v>595500</v>
      </c>
      <c r="B4221">
        <v>10.85</v>
      </c>
      <c r="C4221">
        <v>100</v>
      </c>
      <c r="D4221" s="9">
        <v>43837</v>
      </c>
      <c r="E4221" t="s">
        <v>296</v>
      </c>
      <c r="I4221" s="9"/>
    </row>
    <row r="4222" spans="1:9" x14ac:dyDescent="0.25">
      <c r="A4222">
        <v>595500</v>
      </c>
      <c r="B4222">
        <v>11</v>
      </c>
      <c r="C4222">
        <v>100</v>
      </c>
      <c r="D4222" s="9">
        <v>43627</v>
      </c>
      <c r="E4222" t="s">
        <v>296</v>
      </c>
      <c r="I4222" s="9"/>
    </row>
    <row r="4223" spans="1:9" x14ac:dyDescent="0.25">
      <c r="A4223">
        <v>595500</v>
      </c>
      <c r="B4223">
        <v>11</v>
      </c>
      <c r="C4223">
        <v>100</v>
      </c>
      <c r="D4223" s="9">
        <v>43489</v>
      </c>
      <c r="E4223" t="s">
        <v>296</v>
      </c>
      <c r="I4223" s="9"/>
    </row>
    <row r="4224" spans="1:9" x14ac:dyDescent="0.25">
      <c r="A4224">
        <v>595500</v>
      </c>
      <c r="B4224">
        <v>11.34</v>
      </c>
      <c r="C4224">
        <v>150</v>
      </c>
      <c r="D4224" s="9">
        <v>42873</v>
      </c>
      <c r="E4224" t="s">
        <v>296</v>
      </c>
      <c r="I4224" s="9"/>
    </row>
    <row r="4225" spans="1:9" x14ac:dyDescent="0.25">
      <c r="A4225">
        <v>595500</v>
      </c>
      <c r="B4225">
        <v>11.34</v>
      </c>
      <c r="C4225">
        <v>150</v>
      </c>
      <c r="D4225" s="9">
        <v>42617</v>
      </c>
      <c r="E4225" t="s">
        <v>296</v>
      </c>
      <c r="I4225" s="9"/>
    </row>
    <row r="4226" spans="1:9" x14ac:dyDescent="0.25">
      <c r="A4226">
        <v>595500</v>
      </c>
      <c r="B4226">
        <v>11.34</v>
      </c>
      <c r="C4226">
        <v>120</v>
      </c>
      <c r="D4226" s="9">
        <v>42573</v>
      </c>
      <c r="E4226" t="s">
        <v>296</v>
      </c>
      <c r="I4226" s="9"/>
    </row>
    <row r="4227" spans="1:9" x14ac:dyDescent="0.25">
      <c r="A4227">
        <v>595500</v>
      </c>
      <c r="B4227">
        <v>12.2</v>
      </c>
      <c r="C4227">
        <v>80</v>
      </c>
      <c r="D4227" s="9">
        <v>42482</v>
      </c>
      <c r="E4227" t="s">
        <v>296</v>
      </c>
      <c r="I4227" s="9"/>
    </row>
    <row r="4228" spans="1:9" x14ac:dyDescent="0.25">
      <c r="A4228">
        <v>595500</v>
      </c>
      <c r="B4228">
        <v>12.95</v>
      </c>
      <c r="C4228">
        <v>102</v>
      </c>
      <c r="D4228" s="9">
        <v>42191</v>
      </c>
      <c r="E4228" t="s">
        <v>296</v>
      </c>
      <c r="I4228" s="9"/>
    </row>
    <row r="4229" spans="1:9" x14ac:dyDescent="0.25">
      <c r="A4229">
        <v>595500</v>
      </c>
      <c r="B4229">
        <v>45.59</v>
      </c>
      <c r="C4229">
        <v>102</v>
      </c>
      <c r="D4229" s="9">
        <v>42011</v>
      </c>
      <c r="E4229" t="s">
        <v>295</v>
      </c>
      <c r="I4229" s="9"/>
    </row>
    <row r="4230" spans="1:9" x14ac:dyDescent="0.25">
      <c r="A4230">
        <v>595500</v>
      </c>
      <c r="B4230">
        <v>12.92</v>
      </c>
      <c r="C4230">
        <v>102</v>
      </c>
      <c r="D4230" s="9">
        <v>41961</v>
      </c>
      <c r="E4230" t="s">
        <v>296</v>
      </c>
      <c r="I4230" s="9"/>
    </row>
    <row r="4231" spans="1:9" x14ac:dyDescent="0.25">
      <c r="A4231">
        <v>597002</v>
      </c>
      <c r="B4231">
        <v>11.23</v>
      </c>
      <c r="C4231">
        <v>80</v>
      </c>
      <c r="D4231" s="9">
        <v>44102</v>
      </c>
      <c r="E4231" t="s">
        <v>296</v>
      </c>
      <c r="I4231" s="9"/>
    </row>
    <row r="4232" spans="1:9" x14ac:dyDescent="0.25">
      <c r="A4232">
        <v>597002</v>
      </c>
      <c r="B4232">
        <v>12.2</v>
      </c>
      <c r="C4232">
        <v>90</v>
      </c>
      <c r="D4232" s="9">
        <v>44098</v>
      </c>
      <c r="E4232" t="s">
        <v>296</v>
      </c>
      <c r="I4232" s="9"/>
    </row>
    <row r="4233" spans="1:9" x14ac:dyDescent="0.25">
      <c r="A4233">
        <v>597002</v>
      </c>
      <c r="B4233">
        <v>12.2</v>
      </c>
      <c r="C4233">
        <v>90</v>
      </c>
      <c r="D4233" s="9">
        <v>43941</v>
      </c>
      <c r="E4233" t="s">
        <v>296</v>
      </c>
      <c r="I4233" s="9"/>
    </row>
    <row r="4234" spans="1:9" x14ac:dyDescent="0.25">
      <c r="A4234">
        <v>597002</v>
      </c>
      <c r="B4234">
        <v>12.2</v>
      </c>
      <c r="C4234">
        <v>72</v>
      </c>
      <c r="D4234" s="9">
        <v>43819</v>
      </c>
      <c r="E4234" t="s">
        <v>296</v>
      </c>
      <c r="I4234" s="9"/>
    </row>
    <row r="4235" spans="1:9" x14ac:dyDescent="0.25">
      <c r="A4235">
        <v>597002</v>
      </c>
      <c r="B4235">
        <v>12.2</v>
      </c>
      <c r="C4235">
        <v>72</v>
      </c>
      <c r="D4235" s="9">
        <v>43684</v>
      </c>
      <c r="E4235" t="s">
        <v>296</v>
      </c>
      <c r="I4235" s="9"/>
    </row>
    <row r="4236" spans="1:9" x14ac:dyDescent="0.25">
      <c r="A4236">
        <v>597002</v>
      </c>
      <c r="B4236">
        <v>12.5</v>
      </c>
      <c r="C4236">
        <v>84</v>
      </c>
      <c r="D4236" s="9">
        <v>43489</v>
      </c>
      <c r="E4236" t="s">
        <v>296</v>
      </c>
      <c r="I4236" s="9"/>
    </row>
    <row r="4237" spans="1:9" x14ac:dyDescent="0.25">
      <c r="A4237">
        <v>597002</v>
      </c>
      <c r="B4237">
        <v>13</v>
      </c>
      <c r="C4237">
        <v>72</v>
      </c>
      <c r="D4237" s="9">
        <v>43228</v>
      </c>
      <c r="E4237" t="s">
        <v>296</v>
      </c>
      <c r="I4237" s="9"/>
    </row>
    <row r="4238" spans="1:9" x14ac:dyDescent="0.25">
      <c r="A4238">
        <v>597002</v>
      </c>
      <c r="B4238">
        <v>12.5</v>
      </c>
      <c r="C4238">
        <v>72</v>
      </c>
      <c r="D4238" s="9">
        <v>43131</v>
      </c>
      <c r="E4238" t="s">
        <v>296</v>
      </c>
      <c r="I4238" s="9"/>
    </row>
    <row r="4239" spans="1:9" x14ac:dyDescent="0.25">
      <c r="A4239">
        <v>597002</v>
      </c>
      <c r="B4239">
        <v>12.85</v>
      </c>
      <c r="C4239">
        <v>120</v>
      </c>
      <c r="D4239" s="9">
        <v>43017</v>
      </c>
      <c r="E4239" t="s">
        <v>296</v>
      </c>
      <c r="I4239" s="9"/>
    </row>
    <row r="4240" spans="1:9" x14ac:dyDescent="0.25">
      <c r="A4240">
        <v>597002</v>
      </c>
      <c r="B4240">
        <v>12.5</v>
      </c>
      <c r="C4240">
        <v>144</v>
      </c>
      <c r="D4240" s="9">
        <v>42781</v>
      </c>
      <c r="E4240" t="s">
        <v>296</v>
      </c>
      <c r="I4240" s="9"/>
    </row>
    <row r="4241" spans="1:9" x14ac:dyDescent="0.25">
      <c r="A4241">
        <v>597002</v>
      </c>
      <c r="B4241">
        <v>12.5</v>
      </c>
      <c r="C4241">
        <v>108</v>
      </c>
      <c r="D4241" s="9">
        <v>42573</v>
      </c>
      <c r="E4241" t="s">
        <v>296</v>
      </c>
      <c r="I4241" s="9"/>
    </row>
    <row r="4242" spans="1:9" x14ac:dyDescent="0.25">
      <c r="A4242">
        <v>597002</v>
      </c>
      <c r="B4242">
        <v>13.5</v>
      </c>
      <c r="C4242">
        <v>60</v>
      </c>
      <c r="D4242" s="9">
        <v>42482</v>
      </c>
      <c r="E4242" t="s">
        <v>296</v>
      </c>
      <c r="I4242" s="9"/>
    </row>
    <row r="4243" spans="1:9" x14ac:dyDescent="0.25">
      <c r="A4243">
        <v>597002</v>
      </c>
      <c r="B4243">
        <v>14.5</v>
      </c>
      <c r="C4243">
        <v>108</v>
      </c>
      <c r="D4243" s="9">
        <v>42144</v>
      </c>
      <c r="E4243" t="s">
        <v>296</v>
      </c>
      <c r="I4243" s="9"/>
    </row>
    <row r="4244" spans="1:9" x14ac:dyDescent="0.25">
      <c r="A4244">
        <v>597002</v>
      </c>
      <c r="B4244">
        <v>14.5</v>
      </c>
      <c r="C4244">
        <v>144</v>
      </c>
      <c r="D4244" s="9">
        <v>41947</v>
      </c>
      <c r="E4244" t="s">
        <v>296</v>
      </c>
      <c r="I4244" s="9"/>
    </row>
    <row r="4245" spans="1:9" x14ac:dyDescent="0.25">
      <c r="A4245">
        <v>597002</v>
      </c>
      <c r="B4245">
        <v>14.05</v>
      </c>
      <c r="C4245">
        <v>72</v>
      </c>
      <c r="D4245" s="9">
        <v>41765</v>
      </c>
      <c r="E4245" t="s">
        <v>296</v>
      </c>
      <c r="I4245" s="9"/>
    </row>
    <row r="4246" spans="1:9" x14ac:dyDescent="0.25">
      <c r="A4246">
        <v>598120</v>
      </c>
      <c r="B4246">
        <v>0.8</v>
      </c>
      <c r="C4246">
        <v>960</v>
      </c>
      <c r="D4246" s="9">
        <v>44141</v>
      </c>
      <c r="E4246" t="s">
        <v>296</v>
      </c>
      <c r="I4246" s="9"/>
    </row>
    <row r="4247" spans="1:9" x14ac:dyDescent="0.25">
      <c r="A4247">
        <v>598120</v>
      </c>
      <c r="B4247">
        <v>0.77</v>
      </c>
      <c r="C4247">
        <v>504</v>
      </c>
      <c r="D4247" s="9">
        <v>43972</v>
      </c>
      <c r="E4247" t="s">
        <v>296</v>
      </c>
      <c r="I4247" s="9"/>
    </row>
    <row r="4248" spans="1:9" x14ac:dyDescent="0.25">
      <c r="A4248">
        <v>598120</v>
      </c>
      <c r="B4248">
        <v>0.77</v>
      </c>
      <c r="C4248">
        <v>504</v>
      </c>
      <c r="D4248" s="9">
        <v>43567</v>
      </c>
      <c r="E4248" t="s">
        <v>296</v>
      </c>
      <c r="I4248" s="9"/>
    </row>
    <row r="4249" spans="1:9" x14ac:dyDescent="0.25">
      <c r="A4249">
        <v>598120</v>
      </c>
      <c r="B4249">
        <v>0.77</v>
      </c>
      <c r="C4249">
        <v>504</v>
      </c>
      <c r="D4249" s="9">
        <v>43238</v>
      </c>
      <c r="E4249" t="s">
        <v>296</v>
      </c>
      <c r="I4249" s="9"/>
    </row>
    <row r="4250" spans="1:9" x14ac:dyDescent="0.25">
      <c r="A4250">
        <v>598120</v>
      </c>
      <c r="B4250">
        <v>2.95</v>
      </c>
      <c r="C4250">
        <v>504</v>
      </c>
      <c r="D4250" s="9">
        <v>43238</v>
      </c>
      <c r="E4250" t="s">
        <v>295</v>
      </c>
      <c r="I4250" s="9"/>
    </row>
    <row r="4251" spans="1:9" x14ac:dyDescent="0.25">
      <c r="A4251">
        <v>598120</v>
      </c>
      <c r="B4251">
        <v>0.7</v>
      </c>
      <c r="C4251">
        <v>528</v>
      </c>
      <c r="D4251" s="9">
        <v>42719</v>
      </c>
      <c r="E4251" t="s">
        <v>296</v>
      </c>
      <c r="I4251" s="9"/>
    </row>
    <row r="4252" spans="1:9" x14ac:dyDescent="0.25">
      <c r="A4252">
        <v>598120</v>
      </c>
      <c r="B4252">
        <v>0.7</v>
      </c>
      <c r="C4252">
        <v>480</v>
      </c>
      <c r="D4252" s="9">
        <v>42617</v>
      </c>
      <c r="E4252" t="s">
        <v>296</v>
      </c>
      <c r="I4252" s="9"/>
    </row>
    <row r="4253" spans="1:9" x14ac:dyDescent="0.25">
      <c r="A4253">
        <v>598120</v>
      </c>
      <c r="B4253">
        <v>0.72</v>
      </c>
      <c r="C4253">
        <v>576</v>
      </c>
      <c r="D4253" s="9">
        <v>42440</v>
      </c>
      <c r="E4253" t="s">
        <v>296</v>
      </c>
      <c r="I4253" s="9"/>
    </row>
    <row r="4254" spans="1:9" x14ac:dyDescent="0.25">
      <c r="A4254">
        <v>598120</v>
      </c>
      <c r="B4254">
        <v>0.72</v>
      </c>
      <c r="C4254">
        <v>576</v>
      </c>
      <c r="D4254" s="9">
        <v>42177</v>
      </c>
      <c r="E4254" t="s">
        <v>296</v>
      </c>
      <c r="I4254" s="9"/>
    </row>
    <row r="4255" spans="1:9" x14ac:dyDescent="0.25">
      <c r="A4255">
        <v>598120</v>
      </c>
      <c r="B4255">
        <v>0.65</v>
      </c>
      <c r="C4255">
        <v>1080</v>
      </c>
      <c r="D4255" s="9">
        <v>41505</v>
      </c>
      <c r="E4255" t="s">
        <v>296</v>
      </c>
      <c r="I4255" s="9"/>
    </row>
    <row r="4256" spans="1:9" x14ac:dyDescent="0.25">
      <c r="A4256">
        <v>598130</v>
      </c>
      <c r="B4256">
        <v>0.92</v>
      </c>
      <c r="C4256">
        <v>432</v>
      </c>
      <c r="D4256" s="9">
        <v>44095</v>
      </c>
      <c r="E4256" t="s">
        <v>296</v>
      </c>
      <c r="I4256" s="9"/>
    </row>
    <row r="4257" spans="1:9" x14ac:dyDescent="0.25">
      <c r="A4257">
        <v>598130</v>
      </c>
      <c r="B4257">
        <v>0.92</v>
      </c>
      <c r="C4257">
        <v>432</v>
      </c>
      <c r="D4257" s="9">
        <v>43972</v>
      </c>
      <c r="E4257" t="s">
        <v>296</v>
      </c>
      <c r="I4257" s="9"/>
    </row>
    <row r="4258" spans="1:9" x14ac:dyDescent="0.25">
      <c r="A4258">
        <v>598130</v>
      </c>
      <c r="B4258">
        <v>0.92</v>
      </c>
      <c r="C4258">
        <v>504</v>
      </c>
      <c r="D4258" s="9">
        <v>43567</v>
      </c>
      <c r="E4258" t="s">
        <v>296</v>
      </c>
      <c r="I4258" s="9"/>
    </row>
    <row r="4259" spans="1:9" x14ac:dyDescent="0.25">
      <c r="A4259">
        <v>598130</v>
      </c>
      <c r="B4259">
        <v>3.4</v>
      </c>
      <c r="C4259">
        <v>504</v>
      </c>
      <c r="D4259" s="9">
        <v>43238</v>
      </c>
      <c r="E4259" t="s">
        <v>295</v>
      </c>
      <c r="I4259" s="9"/>
    </row>
    <row r="4260" spans="1:9" x14ac:dyDescent="0.25">
      <c r="A4260">
        <v>598130</v>
      </c>
      <c r="B4260">
        <v>0.88500000000000001</v>
      </c>
      <c r="C4260">
        <v>504</v>
      </c>
      <c r="D4260" s="9">
        <v>43238</v>
      </c>
      <c r="E4260" t="s">
        <v>296</v>
      </c>
      <c r="I4260" s="9"/>
    </row>
    <row r="4261" spans="1:9" x14ac:dyDescent="0.25">
      <c r="A4261">
        <v>598130</v>
      </c>
      <c r="B4261">
        <v>0.88500000000000001</v>
      </c>
      <c r="C4261">
        <v>540</v>
      </c>
      <c r="D4261" s="9">
        <v>42976</v>
      </c>
      <c r="E4261" t="s">
        <v>296</v>
      </c>
      <c r="I4261" s="9"/>
    </row>
    <row r="4262" spans="1:9" x14ac:dyDescent="0.25">
      <c r="A4262">
        <v>598130</v>
      </c>
      <c r="B4262">
        <v>0.85</v>
      </c>
      <c r="C4262">
        <v>528</v>
      </c>
      <c r="D4262" s="9">
        <v>42719</v>
      </c>
      <c r="E4262" t="s">
        <v>296</v>
      </c>
      <c r="I4262" s="9"/>
    </row>
    <row r="4263" spans="1:9" x14ac:dyDescent="0.25">
      <c r="A4263">
        <v>598130</v>
      </c>
      <c r="B4263">
        <v>0.85</v>
      </c>
      <c r="C4263">
        <v>480</v>
      </c>
      <c r="D4263" s="9">
        <v>42617</v>
      </c>
      <c r="E4263" t="s">
        <v>296</v>
      </c>
      <c r="I4263" s="9"/>
    </row>
    <row r="4264" spans="1:9" x14ac:dyDescent="0.25">
      <c r="A4264">
        <v>598130</v>
      </c>
      <c r="B4264">
        <v>0.86</v>
      </c>
      <c r="C4264">
        <v>576</v>
      </c>
      <c r="D4264" s="9">
        <v>42440</v>
      </c>
      <c r="E4264" t="s">
        <v>296</v>
      </c>
      <c r="I4264" s="9"/>
    </row>
    <row r="4265" spans="1:9" x14ac:dyDescent="0.25">
      <c r="A4265">
        <v>598130</v>
      </c>
      <c r="B4265">
        <v>0.86</v>
      </c>
      <c r="C4265">
        <v>576</v>
      </c>
      <c r="D4265" s="9">
        <v>42177</v>
      </c>
      <c r="E4265" t="s">
        <v>296</v>
      </c>
      <c r="I4265" s="9"/>
    </row>
    <row r="4266" spans="1:9" x14ac:dyDescent="0.25">
      <c r="A4266">
        <v>598130</v>
      </c>
      <c r="B4266">
        <v>0.84199999999999997</v>
      </c>
      <c r="C4266">
        <v>576</v>
      </c>
      <c r="D4266" s="9">
        <v>41751</v>
      </c>
      <c r="E4266" t="s">
        <v>296</v>
      </c>
      <c r="I4266" s="9"/>
    </row>
    <row r="4267" spans="1:9" x14ac:dyDescent="0.25">
      <c r="A4267">
        <v>598130</v>
      </c>
      <c r="B4267">
        <v>0.84799999999999998</v>
      </c>
      <c r="C4267">
        <v>576</v>
      </c>
      <c r="D4267" s="9">
        <v>41505</v>
      </c>
      <c r="E4267" t="s">
        <v>296</v>
      </c>
      <c r="I4267" s="9"/>
    </row>
    <row r="4268" spans="1:9" x14ac:dyDescent="0.25">
      <c r="A4268">
        <v>598130</v>
      </c>
      <c r="B4268">
        <v>0.80500000000000005</v>
      </c>
      <c r="C4268">
        <v>576</v>
      </c>
      <c r="D4268" s="9">
        <v>41295</v>
      </c>
      <c r="E4268" t="s">
        <v>296</v>
      </c>
      <c r="I4268" s="9"/>
    </row>
    <row r="4269" spans="1:9" x14ac:dyDescent="0.25">
      <c r="A4269">
        <v>598140</v>
      </c>
      <c r="B4269">
        <v>0.88</v>
      </c>
      <c r="C4269">
        <v>960</v>
      </c>
      <c r="D4269" s="9">
        <v>44091</v>
      </c>
      <c r="E4269" t="s">
        <v>296</v>
      </c>
      <c r="I4269" s="9"/>
    </row>
    <row r="4270" spans="1:9" x14ac:dyDescent="0.25">
      <c r="A4270">
        <v>598140</v>
      </c>
      <c r="B4270">
        <v>0.88</v>
      </c>
      <c r="C4270">
        <v>720</v>
      </c>
      <c r="D4270" s="9">
        <v>43839</v>
      </c>
      <c r="E4270" t="s">
        <v>296</v>
      </c>
      <c r="I4270" s="9"/>
    </row>
    <row r="4271" spans="1:9" x14ac:dyDescent="0.25">
      <c r="A4271">
        <v>598140</v>
      </c>
      <c r="B4271">
        <v>0.88</v>
      </c>
      <c r="C4271">
        <v>480</v>
      </c>
      <c r="D4271" s="9">
        <v>43686</v>
      </c>
      <c r="E4271" t="s">
        <v>296</v>
      </c>
      <c r="I4271" s="9"/>
    </row>
    <row r="4272" spans="1:9" x14ac:dyDescent="0.25">
      <c r="A4272">
        <v>598140</v>
      </c>
      <c r="B4272">
        <v>3.11</v>
      </c>
      <c r="C4272">
        <v>528</v>
      </c>
      <c r="D4272" s="9">
        <v>43230</v>
      </c>
      <c r="E4272" t="s">
        <v>295</v>
      </c>
      <c r="I4272" s="9"/>
    </row>
    <row r="4273" spans="1:9" x14ac:dyDescent="0.25">
      <c r="A4273">
        <v>598140</v>
      </c>
      <c r="B4273">
        <v>0.876</v>
      </c>
      <c r="C4273">
        <v>1008</v>
      </c>
      <c r="D4273" s="9">
        <v>43199</v>
      </c>
      <c r="E4273" t="s">
        <v>296</v>
      </c>
      <c r="I4273" s="9"/>
    </row>
    <row r="4274" spans="1:9" x14ac:dyDescent="0.25">
      <c r="A4274">
        <v>598140</v>
      </c>
      <c r="B4274">
        <v>0.85</v>
      </c>
      <c r="C4274">
        <v>528</v>
      </c>
      <c r="D4274" s="9">
        <v>42719</v>
      </c>
      <c r="E4274" t="s">
        <v>296</v>
      </c>
      <c r="I4274" s="9"/>
    </row>
    <row r="4275" spans="1:9" x14ac:dyDescent="0.25">
      <c r="A4275">
        <v>598140</v>
      </c>
      <c r="B4275">
        <v>0.85</v>
      </c>
      <c r="C4275">
        <v>480</v>
      </c>
      <c r="D4275" s="9">
        <v>42617</v>
      </c>
      <c r="E4275" t="s">
        <v>296</v>
      </c>
      <c r="I4275" s="9"/>
    </row>
    <row r="4276" spans="1:9" x14ac:dyDescent="0.25">
      <c r="A4276">
        <v>598140</v>
      </c>
      <c r="B4276">
        <v>0.92300000000000004</v>
      </c>
      <c r="C4276">
        <v>576</v>
      </c>
      <c r="D4276" s="9">
        <v>42440</v>
      </c>
      <c r="E4276" t="s">
        <v>296</v>
      </c>
      <c r="I4276" s="9"/>
    </row>
    <row r="4277" spans="1:9" x14ac:dyDescent="0.25">
      <c r="A4277">
        <v>598140</v>
      </c>
      <c r="B4277">
        <v>0.92300000000000004</v>
      </c>
      <c r="C4277">
        <v>576</v>
      </c>
      <c r="D4277" s="9">
        <v>42177</v>
      </c>
      <c r="E4277" t="s">
        <v>296</v>
      </c>
      <c r="I4277" s="9"/>
    </row>
    <row r="4278" spans="1:9" x14ac:dyDescent="0.25">
      <c r="A4278">
        <v>598140</v>
      </c>
      <c r="B4278">
        <v>0.85</v>
      </c>
      <c r="C4278">
        <v>864</v>
      </c>
      <c r="D4278" s="9">
        <v>41505</v>
      </c>
      <c r="E4278" t="s">
        <v>296</v>
      </c>
      <c r="I4278" s="9"/>
    </row>
    <row r="4279" spans="1:9" x14ac:dyDescent="0.25">
      <c r="A4279">
        <v>598150</v>
      </c>
      <c r="B4279">
        <v>0.73</v>
      </c>
      <c r="C4279">
        <v>1408</v>
      </c>
      <c r="D4279" s="9">
        <v>43600</v>
      </c>
      <c r="E4279" t="s">
        <v>296</v>
      </c>
      <c r="I4279" s="9"/>
    </row>
    <row r="4280" spans="1:9" x14ac:dyDescent="0.25">
      <c r="A4280">
        <v>598150</v>
      </c>
      <c r="B4280">
        <v>2.66</v>
      </c>
      <c r="C4280">
        <v>416</v>
      </c>
      <c r="D4280" s="9">
        <v>43230</v>
      </c>
      <c r="E4280" t="s">
        <v>295</v>
      </c>
      <c r="I4280" s="9"/>
    </row>
    <row r="4281" spans="1:9" x14ac:dyDescent="0.25">
      <c r="A4281">
        <v>598150</v>
      </c>
      <c r="B4281">
        <v>0.72</v>
      </c>
      <c r="C4281">
        <v>736</v>
      </c>
      <c r="D4281" s="9">
        <v>43199</v>
      </c>
      <c r="E4281" t="s">
        <v>296</v>
      </c>
      <c r="I4281" s="9"/>
    </row>
    <row r="4282" spans="1:9" x14ac:dyDescent="0.25">
      <c r="A4282">
        <v>598150</v>
      </c>
      <c r="B4282">
        <v>0.7</v>
      </c>
      <c r="C4282">
        <v>672</v>
      </c>
      <c r="D4282" s="9">
        <v>42719</v>
      </c>
      <c r="E4282" t="s">
        <v>296</v>
      </c>
      <c r="I4282" s="9"/>
    </row>
    <row r="4283" spans="1:9" x14ac:dyDescent="0.25">
      <c r="A4283">
        <v>598150</v>
      </c>
      <c r="B4283">
        <v>0.7</v>
      </c>
      <c r="C4283">
        <v>480</v>
      </c>
      <c r="D4283" s="9">
        <v>42617</v>
      </c>
      <c r="E4283" t="s">
        <v>296</v>
      </c>
      <c r="I4283" s="9"/>
    </row>
    <row r="4284" spans="1:9" x14ac:dyDescent="0.25">
      <c r="A4284">
        <v>598150</v>
      </c>
      <c r="B4284">
        <v>0.80400000000000005</v>
      </c>
      <c r="C4284">
        <v>768</v>
      </c>
      <c r="D4284" s="9">
        <v>42440</v>
      </c>
      <c r="E4284" t="s">
        <v>296</v>
      </c>
      <c r="I4284" s="9"/>
    </row>
    <row r="4285" spans="1:9" x14ac:dyDescent="0.25">
      <c r="A4285">
        <v>598150</v>
      </c>
      <c r="B4285">
        <v>0.80400000000000005</v>
      </c>
      <c r="C4285">
        <v>768</v>
      </c>
      <c r="D4285" s="9">
        <v>42177</v>
      </c>
      <c r="E4285" t="s">
        <v>296</v>
      </c>
      <c r="I4285" s="9"/>
    </row>
    <row r="4286" spans="1:9" x14ac:dyDescent="0.25">
      <c r="A4286">
        <v>598150</v>
      </c>
      <c r="B4286">
        <v>0.70699999999999996</v>
      </c>
      <c r="C4286">
        <v>960</v>
      </c>
      <c r="D4286" s="9">
        <v>41751</v>
      </c>
      <c r="E4286" t="s">
        <v>296</v>
      </c>
      <c r="I4286" s="9"/>
    </row>
    <row r="4287" spans="1:9" x14ac:dyDescent="0.25">
      <c r="A4287">
        <v>598150</v>
      </c>
      <c r="B4287">
        <v>0.71599999999999997</v>
      </c>
      <c r="C4287">
        <v>1056</v>
      </c>
      <c r="D4287" s="9">
        <v>41505</v>
      </c>
      <c r="E4287" t="s">
        <v>296</v>
      </c>
      <c r="I4287" s="9"/>
    </row>
    <row r="4288" spans="1:9" x14ac:dyDescent="0.25">
      <c r="A4288">
        <v>598240</v>
      </c>
      <c r="B4288">
        <v>0.59</v>
      </c>
      <c r="C4288">
        <v>1800</v>
      </c>
      <c r="D4288" s="9">
        <v>44098</v>
      </c>
      <c r="E4288" t="s">
        <v>296</v>
      </c>
      <c r="I4288" s="9"/>
    </row>
    <row r="4289" spans="1:9" x14ac:dyDescent="0.25">
      <c r="A4289">
        <v>598240</v>
      </c>
      <c r="B4289">
        <v>0.56999999999999995</v>
      </c>
      <c r="C4289">
        <v>2040</v>
      </c>
      <c r="D4289" s="9">
        <v>43972</v>
      </c>
      <c r="E4289" t="s">
        <v>296</v>
      </c>
      <c r="I4289" s="9"/>
    </row>
    <row r="4290" spans="1:9" x14ac:dyDescent="0.25">
      <c r="A4290">
        <v>598240</v>
      </c>
      <c r="B4290">
        <v>0.59</v>
      </c>
      <c r="C4290">
        <v>1200</v>
      </c>
      <c r="D4290" s="9">
        <v>43972</v>
      </c>
      <c r="E4290" t="s">
        <v>296</v>
      </c>
      <c r="I4290" s="9"/>
    </row>
    <row r="4291" spans="1:9" x14ac:dyDescent="0.25">
      <c r="A4291">
        <v>598240</v>
      </c>
      <c r="B4291">
        <v>0.56999999999999995</v>
      </c>
      <c r="C4291">
        <v>1980</v>
      </c>
      <c r="D4291" s="9">
        <v>43648</v>
      </c>
      <c r="E4291" t="s">
        <v>296</v>
      </c>
      <c r="I4291" s="9"/>
    </row>
    <row r="4292" spans="1:9" x14ac:dyDescent="0.25">
      <c r="A4292">
        <v>598240</v>
      </c>
      <c r="B4292">
        <v>0.56999999999999995</v>
      </c>
      <c r="C4292">
        <v>3600</v>
      </c>
      <c r="D4292" s="9">
        <v>43305</v>
      </c>
      <c r="E4292" t="s">
        <v>296</v>
      </c>
      <c r="I4292" s="9"/>
    </row>
    <row r="4293" spans="1:9" x14ac:dyDescent="0.25">
      <c r="A4293">
        <v>598240</v>
      </c>
      <c r="B4293">
        <v>1.87</v>
      </c>
      <c r="C4293">
        <v>1200</v>
      </c>
      <c r="D4293" s="9">
        <v>43230</v>
      </c>
      <c r="E4293" t="s">
        <v>295</v>
      </c>
      <c r="I4293" s="9"/>
    </row>
    <row r="4294" spans="1:9" x14ac:dyDescent="0.25">
      <c r="A4294">
        <v>598240</v>
      </c>
      <c r="B4294">
        <v>0.54</v>
      </c>
      <c r="C4294">
        <v>1200</v>
      </c>
      <c r="D4294" s="9">
        <v>43199</v>
      </c>
      <c r="E4294" t="s">
        <v>296</v>
      </c>
      <c r="I4294" s="9"/>
    </row>
    <row r="4295" spans="1:9" x14ac:dyDescent="0.25">
      <c r="A4295">
        <v>598240</v>
      </c>
      <c r="B4295">
        <v>3.23</v>
      </c>
      <c r="C4295">
        <v>60</v>
      </c>
      <c r="D4295" s="9">
        <v>42880</v>
      </c>
      <c r="E4295" t="s">
        <v>295</v>
      </c>
      <c r="I4295" s="9"/>
    </row>
    <row r="4296" spans="1:9" x14ac:dyDescent="0.25">
      <c r="A4296">
        <v>598240</v>
      </c>
      <c r="B4296">
        <v>0.52</v>
      </c>
      <c r="C4296">
        <v>1200</v>
      </c>
      <c r="D4296" s="9">
        <v>42719</v>
      </c>
      <c r="E4296" t="s">
        <v>296</v>
      </c>
      <c r="I4296" s="9"/>
    </row>
    <row r="4297" spans="1:9" x14ac:dyDescent="0.25">
      <c r="A4297">
        <v>598240</v>
      </c>
      <c r="B4297">
        <v>0.52</v>
      </c>
      <c r="C4297">
        <v>1200</v>
      </c>
      <c r="D4297" s="9">
        <v>42698</v>
      </c>
      <c r="E4297" t="s">
        <v>296</v>
      </c>
      <c r="I4297" s="9"/>
    </row>
    <row r="4298" spans="1:9" x14ac:dyDescent="0.25">
      <c r="A4298">
        <v>598240</v>
      </c>
      <c r="B4298">
        <v>0.52</v>
      </c>
      <c r="C4298">
        <v>1800</v>
      </c>
      <c r="D4298" s="9">
        <v>42660</v>
      </c>
      <c r="E4298" t="s">
        <v>296</v>
      </c>
      <c r="I4298" s="9"/>
    </row>
    <row r="4299" spans="1:9" x14ac:dyDescent="0.25">
      <c r="A4299">
        <v>598240</v>
      </c>
      <c r="B4299">
        <v>0.52</v>
      </c>
      <c r="C4299">
        <v>1200</v>
      </c>
      <c r="D4299" s="9">
        <v>42530</v>
      </c>
      <c r="E4299" t="s">
        <v>296</v>
      </c>
      <c r="I4299" s="9"/>
    </row>
    <row r="4300" spans="1:9" x14ac:dyDescent="0.25">
      <c r="A4300">
        <v>598240</v>
      </c>
      <c r="B4300">
        <v>0.56000000000000005</v>
      </c>
      <c r="C4300">
        <v>1200</v>
      </c>
      <c r="D4300" s="9">
        <v>42440</v>
      </c>
      <c r="E4300" t="s">
        <v>296</v>
      </c>
      <c r="I4300" s="9"/>
    </row>
    <row r="4301" spans="1:9" x14ac:dyDescent="0.25">
      <c r="A4301">
        <v>598240</v>
      </c>
      <c r="B4301">
        <v>0.73</v>
      </c>
      <c r="C4301">
        <v>960</v>
      </c>
      <c r="D4301" s="9">
        <v>42271</v>
      </c>
      <c r="E4301" t="s">
        <v>296</v>
      </c>
      <c r="I4301" s="9"/>
    </row>
    <row r="4302" spans="1:9" x14ac:dyDescent="0.25">
      <c r="A4302">
        <v>598240</v>
      </c>
      <c r="B4302">
        <v>0.73</v>
      </c>
      <c r="C4302">
        <v>960</v>
      </c>
      <c r="D4302" s="9">
        <v>42111</v>
      </c>
      <c r="E4302" t="s">
        <v>296</v>
      </c>
      <c r="I4302" s="9"/>
    </row>
    <row r="4303" spans="1:9" x14ac:dyDescent="0.25">
      <c r="A4303">
        <v>598240</v>
      </c>
      <c r="B4303">
        <v>0.73</v>
      </c>
      <c r="C4303">
        <v>1800</v>
      </c>
      <c r="D4303" s="9">
        <v>41751</v>
      </c>
      <c r="E4303" t="s">
        <v>296</v>
      </c>
      <c r="I4303" s="9"/>
    </row>
    <row r="4304" spans="1:9" x14ac:dyDescent="0.25">
      <c r="A4304">
        <v>598240</v>
      </c>
      <c r="B4304">
        <v>0.73</v>
      </c>
      <c r="C4304">
        <v>1800</v>
      </c>
      <c r="D4304" s="9">
        <v>41558</v>
      </c>
      <c r="E4304" t="s">
        <v>296</v>
      </c>
      <c r="I4304" s="9"/>
    </row>
    <row r="4305" spans="1:9" x14ac:dyDescent="0.25">
      <c r="A4305">
        <v>598240</v>
      </c>
      <c r="B4305">
        <v>0.72</v>
      </c>
      <c r="C4305">
        <v>1800</v>
      </c>
      <c r="D4305" s="9">
        <v>41418</v>
      </c>
      <c r="E4305" t="s">
        <v>296</v>
      </c>
      <c r="I4305" s="9"/>
    </row>
    <row r="4306" spans="1:9" x14ac:dyDescent="0.25">
      <c r="A4306">
        <v>598240</v>
      </c>
      <c r="B4306">
        <v>0.69799999999999995</v>
      </c>
      <c r="C4306">
        <v>1080</v>
      </c>
      <c r="D4306" s="9">
        <v>41362</v>
      </c>
      <c r="E4306" t="s">
        <v>296</v>
      </c>
      <c r="I4306" s="9"/>
    </row>
    <row r="4307" spans="1:9" x14ac:dyDescent="0.25">
      <c r="A4307">
        <v>598242</v>
      </c>
      <c r="B4307">
        <v>2.1999999999999999E-2</v>
      </c>
      <c r="C4307">
        <v>10000</v>
      </c>
      <c r="D4307" s="9">
        <v>44074</v>
      </c>
      <c r="E4307" t="s">
        <v>296</v>
      </c>
      <c r="I4307" s="9"/>
    </row>
    <row r="4308" spans="1:9" x14ac:dyDescent="0.25">
      <c r="A4308">
        <v>598242</v>
      </c>
      <c r="B4308">
        <v>0.02</v>
      </c>
      <c r="C4308">
        <v>10000</v>
      </c>
      <c r="D4308" s="9">
        <v>43803</v>
      </c>
      <c r="E4308" t="s">
        <v>296</v>
      </c>
      <c r="I4308" s="9"/>
    </row>
    <row r="4309" spans="1:9" x14ac:dyDescent="0.25">
      <c r="A4309">
        <v>598242</v>
      </c>
      <c r="B4309">
        <v>0.02</v>
      </c>
      <c r="C4309">
        <v>30000</v>
      </c>
      <c r="D4309" s="9">
        <v>42530</v>
      </c>
      <c r="E4309" t="s">
        <v>296</v>
      </c>
      <c r="I4309" s="9"/>
    </row>
    <row r="4310" spans="1:9" x14ac:dyDescent="0.25">
      <c r="A4310">
        <v>598243</v>
      </c>
      <c r="B4310">
        <v>2.1999999999999999E-2</v>
      </c>
      <c r="C4310">
        <v>40000</v>
      </c>
      <c r="D4310" s="9">
        <v>44074</v>
      </c>
      <c r="E4310" t="s">
        <v>296</v>
      </c>
      <c r="I4310" s="9"/>
    </row>
    <row r="4311" spans="1:9" x14ac:dyDescent="0.25">
      <c r="A4311">
        <v>598243</v>
      </c>
      <c r="B4311">
        <v>0.02</v>
      </c>
      <c r="C4311">
        <v>30000</v>
      </c>
      <c r="D4311" s="9">
        <v>43803</v>
      </c>
      <c r="E4311" t="s">
        <v>296</v>
      </c>
      <c r="I4311" s="9"/>
    </row>
    <row r="4312" spans="1:9" x14ac:dyDescent="0.25">
      <c r="A4312">
        <v>598243</v>
      </c>
      <c r="B4312">
        <v>7.0000000000000007E-2</v>
      </c>
      <c r="C4312">
        <v>40000</v>
      </c>
      <c r="D4312" s="9">
        <v>43230</v>
      </c>
      <c r="E4312" t="s">
        <v>295</v>
      </c>
      <c r="I4312" s="9"/>
    </row>
    <row r="4313" spans="1:9" x14ac:dyDescent="0.25">
      <c r="A4313">
        <v>598243</v>
      </c>
      <c r="B4313">
        <v>0.02</v>
      </c>
      <c r="C4313">
        <v>40000</v>
      </c>
      <c r="D4313" s="9">
        <v>43199</v>
      </c>
      <c r="E4313" t="s">
        <v>296</v>
      </c>
      <c r="I4313" s="9"/>
    </row>
    <row r="4314" spans="1:9" x14ac:dyDescent="0.25">
      <c r="A4314">
        <v>598243</v>
      </c>
      <c r="B4314">
        <v>0.02</v>
      </c>
      <c r="C4314">
        <v>30000</v>
      </c>
      <c r="D4314" s="9">
        <v>42530</v>
      </c>
      <c r="E4314" t="s">
        <v>296</v>
      </c>
      <c r="I4314" s="9"/>
    </row>
    <row r="4315" spans="1:9" x14ac:dyDescent="0.25">
      <c r="A4315">
        <v>598262</v>
      </c>
      <c r="B4315">
        <v>0.29499999999999998</v>
      </c>
      <c r="C4315">
        <v>1440</v>
      </c>
      <c r="D4315" s="9">
        <v>44113</v>
      </c>
      <c r="E4315" t="s">
        <v>296</v>
      </c>
      <c r="I4315" s="9"/>
    </row>
    <row r="4316" spans="1:9" x14ac:dyDescent="0.25">
      <c r="A4316">
        <v>598262</v>
      </c>
      <c r="B4316">
        <v>0.29499999999999998</v>
      </c>
      <c r="C4316">
        <v>1008</v>
      </c>
      <c r="D4316" s="9">
        <v>43972</v>
      </c>
      <c r="E4316" t="s">
        <v>296</v>
      </c>
      <c r="I4316" s="9"/>
    </row>
    <row r="4317" spans="1:9" x14ac:dyDescent="0.25">
      <c r="A4317">
        <v>598262</v>
      </c>
      <c r="B4317">
        <v>0.29499999999999998</v>
      </c>
      <c r="C4317">
        <v>1440</v>
      </c>
      <c r="D4317" s="9">
        <v>43972</v>
      </c>
      <c r="E4317" t="s">
        <v>296</v>
      </c>
      <c r="I4317" s="9"/>
    </row>
    <row r="4318" spans="1:9" x14ac:dyDescent="0.25">
      <c r="A4318">
        <v>598262</v>
      </c>
      <c r="B4318">
        <v>0.29499999999999998</v>
      </c>
      <c r="C4318">
        <v>1440</v>
      </c>
      <c r="D4318" s="9">
        <v>43784</v>
      </c>
      <c r="E4318" t="s">
        <v>296</v>
      </c>
      <c r="I4318" s="9"/>
    </row>
    <row r="4319" spans="1:9" x14ac:dyDescent="0.25">
      <c r="A4319">
        <v>598262</v>
      </c>
      <c r="B4319">
        <v>0.29499999999999998</v>
      </c>
      <c r="C4319">
        <v>1440</v>
      </c>
      <c r="D4319" s="9">
        <v>43612</v>
      </c>
      <c r="E4319" t="s">
        <v>296</v>
      </c>
      <c r="I4319" s="9"/>
    </row>
    <row r="4320" spans="1:9" x14ac:dyDescent="0.25">
      <c r="A4320">
        <v>598262</v>
      </c>
      <c r="B4320">
        <v>0.28499999999999998</v>
      </c>
      <c r="C4320">
        <v>1440</v>
      </c>
      <c r="D4320" s="9">
        <v>43452</v>
      </c>
      <c r="E4320" t="s">
        <v>296</v>
      </c>
      <c r="I4320" s="9"/>
    </row>
    <row r="4321" spans="1:9" x14ac:dyDescent="0.25">
      <c r="A4321">
        <v>598262</v>
      </c>
      <c r="B4321">
        <v>0.27600000000000002</v>
      </c>
      <c r="C4321">
        <v>1440</v>
      </c>
      <c r="D4321" s="9">
        <v>43238</v>
      </c>
      <c r="E4321" t="s">
        <v>296</v>
      </c>
      <c r="I4321" s="9"/>
    </row>
    <row r="4322" spans="1:9" x14ac:dyDescent="0.25">
      <c r="A4322">
        <v>598262</v>
      </c>
      <c r="B4322">
        <v>1.05</v>
      </c>
      <c r="C4322">
        <v>1440</v>
      </c>
      <c r="D4322" s="9">
        <v>43238</v>
      </c>
      <c r="E4322" t="s">
        <v>295</v>
      </c>
      <c r="I4322" s="9"/>
    </row>
    <row r="4323" spans="1:9" x14ac:dyDescent="0.25">
      <c r="A4323">
        <v>598262</v>
      </c>
      <c r="B4323">
        <v>1.6</v>
      </c>
      <c r="C4323">
        <v>72</v>
      </c>
      <c r="D4323" s="9">
        <v>42880</v>
      </c>
      <c r="E4323" t="s">
        <v>295</v>
      </c>
      <c r="I4323" s="9"/>
    </row>
    <row r="4324" spans="1:9" x14ac:dyDescent="0.25">
      <c r="A4324">
        <v>598262</v>
      </c>
      <c r="B4324">
        <v>0.27600000000000002</v>
      </c>
      <c r="C4324">
        <v>1440</v>
      </c>
      <c r="D4324" s="9">
        <v>42641</v>
      </c>
      <c r="E4324" t="s">
        <v>296</v>
      </c>
      <c r="I4324" s="9"/>
    </row>
    <row r="4325" spans="1:9" x14ac:dyDescent="0.25">
      <c r="A4325">
        <v>598262</v>
      </c>
      <c r="B4325">
        <v>0.27600000000000002</v>
      </c>
      <c r="C4325">
        <v>1440</v>
      </c>
      <c r="D4325" s="9">
        <v>42641</v>
      </c>
      <c r="E4325" t="s">
        <v>296</v>
      </c>
      <c r="I4325" s="9"/>
    </row>
    <row r="4326" spans="1:9" x14ac:dyDescent="0.25">
      <c r="A4326">
        <v>598262</v>
      </c>
      <c r="B4326">
        <v>0.27600000000000002</v>
      </c>
      <c r="C4326">
        <v>1152</v>
      </c>
      <c r="D4326" s="9">
        <v>42600</v>
      </c>
      <c r="E4326" t="s">
        <v>296</v>
      </c>
      <c r="I4326" s="9"/>
    </row>
    <row r="4327" spans="1:9" x14ac:dyDescent="0.25">
      <c r="A4327">
        <v>598262</v>
      </c>
      <c r="B4327">
        <v>1.07</v>
      </c>
      <c r="C4327">
        <v>1440</v>
      </c>
      <c r="D4327" s="9">
        <v>42508</v>
      </c>
      <c r="E4327" t="s">
        <v>295</v>
      </c>
      <c r="I4327" s="9"/>
    </row>
    <row r="4328" spans="1:9" x14ac:dyDescent="0.25">
      <c r="A4328">
        <v>598262</v>
      </c>
      <c r="B4328">
        <v>0.27600000000000002</v>
      </c>
      <c r="C4328">
        <v>1440</v>
      </c>
      <c r="D4328" s="9">
        <v>42508</v>
      </c>
      <c r="E4328" t="s">
        <v>296</v>
      </c>
      <c r="I4328" s="9"/>
    </row>
    <row r="4329" spans="1:9" x14ac:dyDescent="0.25">
      <c r="A4329">
        <v>598262</v>
      </c>
      <c r="B4329">
        <v>0.28299999999999997</v>
      </c>
      <c r="C4329">
        <v>1728</v>
      </c>
      <c r="D4329" s="9">
        <v>42111</v>
      </c>
      <c r="E4329" t="s">
        <v>296</v>
      </c>
      <c r="I4329" s="9"/>
    </row>
    <row r="4330" spans="1:9" x14ac:dyDescent="0.25">
      <c r="A4330">
        <v>598266</v>
      </c>
      <c r="B4330">
        <v>0.48</v>
      </c>
      <c r="C4330">
        <v>1440</v>
      </c>
      <c r="D4330" s="9">
        <v>43972</v>
      </c>
      <c r="E4330" t="s">
        <v>296</v>
      </c>
      <c r="I4330" s="9"/>
    </row>
    <row r="4331" spans="1:9" x14ac:dyDescent="0.25">
      <c r="A4331">
        <v>598266</v>
      </c>
      <c r="B4331">
        <v>0.55000000000000004</v>
      </c>
      <c r="C4331">
        <v>1152</v>
      </c>
      <c r="D4331" s="9">
        <v>43648</v>
      </c>
      <c r="E4331" t="s">
        <v>296</v>
      </c>
      <c r="I4331" s="9"/>
    </row>
    <row r="4332" spans="1:9" x14ac:dyDescent="0.25">
      <c r="A4332">
        <v>598266</v>
      </c>
      <c r="B4332">
        <v>0.48</v>
      </c>
      <c r="C4332">
        <v>2304</v>
      </c>
      <c r="D4332" s="9">
        <v>42781</v>
      </c>
      <c r="E4332" t="s">
        <v>296</v>
      </c>
      <c r="I4332" s="9"/>
    </row>
    <row r="4333" spans="1:9" x14ac:dyDescent="0.25">
      <c r="A4333">
        <v>598267</v>
      </c>
      <c r="B4333">
        <v>0.48</v>
      </c>
      <c r="C4333">
        <v>1440</v>
      </c>
      <c r="D4333" s="9">
        <v>43972</v>
      </c>
      <c r="E4333" t="s">
        <v>296</v>
      </c>
      <c r="I4333" s="9"/>
    </row>
    <row r="4334" spans="1:9" x14ac:dyDescent="0.25">
      <c r="A4334">
        <v>598267</v>
      </c>
      <c r="B4334">
        <v>0.55000000000000004</v>
      </c>
      <c r="C4334">
        <v>2016</v>
      </c>
      <c r="D4334" s="9">
        <v>43839</v>
      </c>
      <c r="E4334" t="s">
        <v>296</v>
      </c>
      <c r="I4334" s="9"/>
    </row>
    <row r="4335" spans="1:9" x14ac:dyDescent="0.25">
      <c r="A4335">
        <v>598267</v>
      </c>
      <c r="B4335">
        <v>0.55000000000000004</v>
      </c>
      <c r="C4335">
        <v>1440</v>
      </c>
      <c r="D4335" s="9">
        <v>43648</v>
      </c>
      <c r="E4335" t="s">
        <v>296</v>
      </c>
      <c r="I4335" s="9"/>
    </row>
    <row r="4336" spans="1:9" x14ac:dyDescent="0.25">
      <c r="A4336">
        <v>598267</v>
      </c>
      <c r="B4336">
        <v>0.52</v>
      </c>
      <c r="C4336">
        <v>1152</v>
      </c>
      <c r="D4336" s="9">
        <v>43381</v>
      </c>
      <c r="E4336" t="s">
        <v>296</v>
      </c>
      <c r="I4336" s="9"/>
    </row>
    <row r="4337" spans="1:9" x14ac:dyDescent="0.25">
      <c r="A4337">
        <v>598267</v>
      </c>
      <c r="B4337">
        <v>0.48</v>
      </c>
      <c r="C4337">
        <v>2304</v>
      </c>
      <c r="D4337" s="9">
        <v>42781</v>
      </c>
      <c r="E4337" t="s">
        <v>296</v>
      </c>
      <c r="I4337" s="9"/>
    </row>
    <row r="4338" spans="1:9" x14ac:dyDescent="0.25">
      <c r="A4338">
        <v>598272</v>
      </c>
      <c r="B4338">
        <v>0.29499999999999998</v>
      </c>
      <c r="C4338">
        <v>1152</v>
      </c>
      <c r="D4338" s="9">
        <v>44113</v>
      </c>
      <c r="E4338" t="s">
        <v>296</v>
      </c>
      <c r="I4338" s="9"/>
    </row>
    <row r="4339" spans="1:9" x14ac:dyDescent="0.25">
      <c r="A4339">
        <v>598272</v>
      </c>
      <c r="B4339">
        <v>0.29499999999999998</v>
      </c>
      <c r="C4339">
        <v>1440</v>
      </c>
      <c r="D4339" s="9">
        <v>43972</v>
      </c>
      <c r="E4339" t="s">
        <v>296</v>
      </c>
      <c r="I4339" s="9"/>
    </row>
    <row r="4340" spans="1:9" x14ac:dyDescent="0.25">
      <c r="A4340">
        <v>598272</v>
      </c>
      <c r="B4340">
        <v>0.29499999999999998</v>
      </c>
      <c r="C4340">
        <v>1008</v>
      </c>
      <c r="D4340" s="9">
        <v>43972</v>
      </c>
      <c r="E4340" t="s">
        <v>296</v>
      </c>
      <c r="I4340" s="9"/>
    </row>
    <row r="4341" spans="1:9" x14ac:dyDescent="0.25">
      <c r="A4341">
        <v>598272</v>
      </c>
      <c r="B4341">
        <v>0.29499999999999998</v>
      </c>
      <c r="C4341">
        <v>1440</v>
      </c>
      <c r="D4341" s="9">
        <v>43612</v>
      </c>
      <c r="E4341" t="s">
        <v>296</v>
      </c>
      <c r="I4341" s="9"/>
    </row>
    <row r="4342" spans="1:9" x14ac:dyDescent="0.25">
      <c r="A4342">
        <v>598272</v>
      </c>
      <c r="B4342">
        <v>0.28499999999999998</v>
      </c>
      <c r="C4342">
        <v>1440</v>
      </c>
      <c r="D4342" s="9">
        <v>43452</v>
      </c>
      <c r="E4342" t="s">
        <v>296</v>
      </c>
      <c r="I4342" s="9"/>
    </row>
    <row r="4343" spans="1:9" x14ac:dyDescent="0.25">
      <c r="A4343">
        <v>598272</v>
      </c>
      <c r="B4343">
        <v>1.08</v>
      </c>
      <c r="C4343">
        <v>1440</v>
      </c>
      <c r="D4343" s="9">
        <v>43238</v>
      </c>
      <c r="E4343" t="s">
        <v>295</v>
      </c>
      <c r="I4343" s="9"/>
    </row>
    <row r="4344" spans="1:9" x14ac:dyDescent="0.25">
      <c r="A4344">
        <v>598272</v>
      </c>
      <c r="B4344">
        <v>0.28499999999999998</v>
      </c>
      <c r="C4344">
        <v>1440</v>
      </c>
      <c r="D4344" s="9">
        <v>43238</v>
      </c>
      <c r="E4344" t="s">
        <v>296</v>
      </c>
      <c r="I4344" s="9"/>
    </row>
    <row r="4345" spans="1:9" x14ac:dyDescent="0.25">
      <c r="A4345">
        <v>598272</v>
      </c>
      <c r="B4345">
        <v>0.27600000000000002</v>
      </c>
      <c r="C4345">
        <v>1440</v>
      </c>
      <c r="D4345" s="9">
        <v>42641</v>
      </c>
      <c r="E4345" t="s">
        <v>296</v>
      </c>
      <c r="I4345" s="9"/>
    </row>
    <row r="4346" spans="1:9" x14ac:dyDescent="0.25">
      <c r="A4346">
        <v>598272</v>
      </c>
      <c r="B4346">
        <v>0.27600000000000002</v>
      </c>
      <c r="C4346">
        <v>1440</v>
      </c>
      <c r="D4346" s="9">
        <v>42641</v>
      </c>
      <c r="E4346" t="s">
        <v>296</v>
      </c>
      <c r="I4346" s="9"/>
    </row>
    <row r="4347" spans="1:9" x14ac:dyDescent="0.25">
      <c r="A4347">
        <v>598272</v>
      </c>
      <c r="B4347">
        <v>0.27600000000000002</v>
      </c>
      <c r="C4347">
        <v>1440</v>
      </c>
      <c r="D4347" s="9">
        <v>42508</v>
      </c>
      <c r="E4347" t="s">
        <v>296</v>
      </c>
      <c r="I4347" s="9"/>
    </row>
    <row r="4348" spans="1:9" x14ac:dyDescent="0.25">
      <c r="A4348">
        <v>598272</v>
      </c>
      <c r="B4348">
        <v>1.07</v>
      </c>
      <c r="C4348">
        <v>720</v>
      </c>
      <c r="D4348" s="9">
        <v>42508</v>
      </c>
      <c r="E4348" t="s">
        <v>295</v>
      </c>
      <c r="I4348" s="9"/>
    </row>
    <row r="4349" spans="1:9" x14ac:dyDescent="0.25">
      <c r="A4349">
        <v>598272</v>
      </c>
      <c r="B4349">
        <v>0.28299999999999997</v>
      </c>
      <c r="C4349">
        <v>1728</v>
      </c>
      <c r="D4349" s="9">
        <v>42111</v>
      </c>
      <c r="E4349" t="s">
        <v>296</v>
      </c>
      <c r="I4349" s="9"/>
    </row>
    <row r="4350" spans="1:9" x14ac:dyDescent="0.25">
      <c r="A4350">
        <v>598274</v>
      </c>
      <c r="B4350">
        <v>0.29499999999999998</v>
      </c>
      <c r="C4350">
        <v>1440</v>
      </c>
      <c r="D4350" s="9">
        <v>44113</v>
      </c>
      <c r="E4350" t="s">
        <v>296</v>
      </c>
      <c r="I4350" s="9"/>
    </row>
    <row r="4351" spans="1:9" x14ac:dyDescent="0.25">
      <c r="A4351">
        <v>598274</v>
      </c>
      <c r="B4351">
        <v>0.29499999999999998</v>
      </c>
      <c r="C4351">
        <v>1008</v>
      </c>
      <c r="D4351" s="9">
        <v>43972</v>
      </c>
      <c r="E4351" t="s">
        <v>296</v>
      </c>
      <c r="I4351" s="9"/>
    </row>
    <row r="4352" spans="1:9" x14ac:dyDescent="0.25">
      <c r="A4352">
        <v>598274</v>
      </c>
      <c r="B4352">
        <v>0.29499999999999998</v>
      </c>
      <c r="C4352">
        <v>1152</v>
      </c>
      <c r="D4352" s="9">
        <v>43972</v>
      </c>
      <c r="E4352" t="s">
        <v>296</v>
      </c>
      <c r="I4352" s="9"/>
    </row>
    <row r="4353" spans="1:9" x14ac:dyDescent="0.25">
      <c r="A4353">
        <v>598274</v>
      </c>
      <c r="B4353">
        <v>0.28499999999999998</v>
      </c>
      <c r="C4353">
        <v>1440</v>
      </c>
      <c r="D4353" s="9">
        <v>43784</v>
      </c>
      <c r="E4353" t="s">
        <v>296</v>
      </c>
      <c r="I4353" s="9"/>
    </row>
    <row r="4354" spans="1:9" x14ac:dyDescent="0.25">
      <c r="A4354">
        <v>598274</v>
      </c>
      <c r="B4354">
        <v>0.28499999999999998</v>
      </c>
      <c r="C4354">
        <v>1440</v>
      </c>
      <c r="D4354" s="9">
        <v>43452</v>
      </c>
      <c r="E4354" t="s">
        <v>296</v>
      </c>
      <c r="I4354" s="9"/>
    </row>
    <row r="4355" spans="1:9" x14ac:dyDescent="0.25">
      <c r="A4355">
        <v>598274</v>
      </c>
      <c r="B4355">
        <v>0.28499999999999998</v>
      </c>
      <c r="C4355">
        <v>1440</v>
      </c>
      <c r="D4355" s="9">
        <v>43238</v>
      </c>
      <c r="E4355" t="s">
        <v>296</v>
      </c>
      <c r="I4355" s="9"/>
    </row>
    <row r="4356" spans="1:9" x14ac:dyDescent="0.25">
      <c r="A4356">
        <v>598274</v>
      </c>
      <c r="B4356">
        <v>1.08</v>
      </c>
      <c r="C4356">
        <v>1440</v>
      </c>
      <c r="D4356" s="9">
        <v>43238</v>
      </c>
      <c r="E4356" t="s">
        <v>295</v>
      </c>
      <c r="I4356" s="9"/>
    </row>
    <row r="4357" spans="1:9" x14ac:dyDescent="0.25">
      <c r="A4357">
        <v>598274</v>
      </c>
      <c r="B4357">
        <v>1.6</v>
      </c>
      <c r="C4357">
        <v>48</v>
      </c>
      <c r="D4357" s="9">
        <v>42880</v>
      </c>
      <c r="E4357" t="s">
        <v>295</v>
      </c>
      <c r="I4357" s="9"/>
    </row>
    <row r="4358" spans="1:9" x14ac:dyDescent="0.25">
      <c r="A4358">
        <v>598274</v>
      </c>
      <c r="B4358">
        <v>0.27600000000000002</v>
      </c>
      <c r="C4358">
        <v>1440</v>
      </c>
      <c r="D4358" s="9">
        <v>42641</v>
      </c>
      <c r="E4358" t="s">
        <v>296</v>
      </c>
      <c r="I4358" s="9"/>
    </row>
    <row r="4359" spans="1:9" x14ac:dyDescent="0.25">
      <c r="A4359">
        <v>598274</v>
      </c>
      <c r="B4359">
        <v>0.27600000000000002</v>
      </c>
      <c r="C4359">
        <v>1440</v>
      </c>
      <c r="D4359" s="9">
        <v>42641</v>
      </c>
      <c r="E4359" t="s">
        <v>296</v>
      </c>
      <c r="I4359" s="9"/>
    </row>
    <row r="4360" spans="1:9" x14ac:dyDescent="0.25">
      <c r="A4360">
        <v>598274</v>
      </c>
      <c r="B4360">
        <v>1.07</v>
      </c>
      <c r="C4360">
        <v>720</v>
      </c>
      <c r="D4360" s="9">
        <v>42508</v>
      </c>
      <c r="E4360" t="s">
        <v>295</v>
      </c>
      <c r="I4360" s="9"/>
    </row>
    <row r="4361" spans="1:9" x14ac:dyDescent="0.25">
      <c r="A4361">
        <v>598274</v>
      </c>
      <c r="B4361">
        <v>0.27600000000000002</v>
      </c>
      <c r="C4361">
        <v>1440</v>
      </c>
      <c r="D4361" s="9">
        <v>42508</v>
      </c>
      <c r="E4361" t="s">
        <v>296</v>
      </c>
      <c r="I4361" s="9"/>
    </row>
    <row r="4362" spans="1:9" x14ac:dyDescent="0.25">
      <c r="A4362">
        <v>598274</v>
      </c>
      <c r="B4362">
        <v>0.28299999999999997</v>
      </c>
      <c r="C4362">
        <v>1728</v>
      </c>
      <c r="D4362" s="9">
        <v>42111</v>
      </c>
      <c r="E4362" t="s">
        <v>296</v>
      </c>
      <c r="I4362" s="9"/>
    </row>
    <row r="4363" spans="1:9" x14ac:dyDescent="0.25">
      <c r="A4363">
        <v>598281</v>
      </c>
      <c r="B4363">
        <v>0.44600000000000001</v>
      </c>
      <c r="C4363">
        <v>432</v>
      </c>
      <c r="D4363" s="9">
        <v>44113</v>
      </c>
      <c r="E4363" t="s">
        <v>296</v>
      </c>
      <c r="I4363" s="9"/>
    </row>
    <row r="4364" spans="1:9" x14ac:dyDescent="0.25">
      <c r="A4364">
        <v>598281</v>
      </c>
      <c r="B4364">
        <v>0.44600000000000001</v>
      </c>
      <c r="C4364">
        <v>432</v>
      </c>
      <c r="D4364" s="9">
        <v>43972</v>
      </c>
      <c r="E4364" t="s">
        <v>296</v>
      </c>
      <c r="I4364" s="9"/>
    </row>
    <row r="4365" spans="1:9" x14ac:dyDescent="0.25">
      <c r="A4365">
        <v>598281</v>
      </c>
      <c r="B4365">
        <v>1.7</v>
      </c>
      <c r="C4365">
        <v>1440</v>
      </c>
      <c r="D4365" s="9">
        <v>43238</v>
      </c>
      <c r="E4365" t="s">
        <v>295</v>
      </c>
      <c r="I4365" s="9"/>
    </row>
    <row r="4366" spans="1:9" x14ac:dyDescent="0.25">
      <c r="A4366">
        <v>598281</v>
      </c>
      <c r="B4366">
        <v>0.44600000000000001</v>
      </c>
      <c r="C4366">
        <v>1440</v>
      </c>
      <c r="D4366" s="9">
        <v>43238</v>
      </c>
      <c r="E4366" t="s">
        <v>296</v>
      </c>
      <c r="I4366" s="9"/>
    </row>
    <row r="4367" spans="1:9" x14ac:dyDescent="0.25">
      <c r="A4367">
        <v>598281</v>
      </c>
      <c r="B4367">
        <v>0.43099999999999999</v>
      </c>
      <c r="C4367">
        <v>1440</v>
      </c>
      <c r="D4367" s="9">
        <v>42641</v>
      </c>
      <c r="E4367" t="s">
        <v>296</v>
      </c>
      <c r="I4367" s="9"/>
    </row>
    <row r="4368" spans="1:9" x14ac:dyDescent="0.25">
      <c r="A4368">
        <v>598281</v>
      </c>
      <c r="B4368">
        <v>0.43099999999999999</v>
      </c>
      <c r="C4368">
        <v>1440</v>
      </c>
      <c r="D4368" s="9">
        <v>42641</v>
      </c>
      <c r="E4368" t="s">
        <v>296</v>
      </c>
      <c r="I4368" s="9"/>
    </row>
    <row r="4369" spans="1:9" x14ac:dyDescent="0.25">
      <c r="A4369">
        <v>598281</v>
      </c>
      <c r="B4369">
        <v>0.43099999999999999</v>
      </c>
      <c r="C4369">
        <v>720</v>
      </c>
      <c r="D4369" s="9">
        <v>42508</v>
      </c>
      <c r="E4369" t="s">
        <v>296</v>
      </c>
      <c r="I4369" s="9"/>
    </row>
    <row r="4370" spans="1:9" x14ac:dyDescent="0.25">
      <c r="A4370">
        <v>598281</v>
      </c>
      <c r="B4370">
        <v>1.68</v>
      </c>
      <c r="C4370">
        <v>720</v>
      </c>
      <c r="D4370" s="9">
        <v>42508</v>
      </c>
      <c r="E4370" t="s">
        <v>295</v>
      </c>
      <c r="I4370" s="9"/>
    </row>
    <row r="4371" spans="1:9" x14ac:dyDescent="0.25">
      <c r="A4371">
        <v>598281</v>
      </c>
      <c r="B4371">
        <v>0.439</v>
      </c>
      <c r="C4371">
        <v>1152</v>
      </c>
      <c r="D4371" s="9">
        <v>41418</v>
      </c>
      <c r="E4371" t="s">
        <v>296</v>
      </c>
      <c r="I4371" s="9"/>
    </row>
    <row r="4372" spans="1:9" x14ac:dyDescent="0.25">
      <c r="A4372">
        <v>598282</v>
      </c>
      <c r="B4372">
        <v>0.44600000000000001</v>
      </c>
      <c r="C4372">
        <v>432</v>
      </c>
      <c r="D4372" s="9">
        <v>44095</v>
      </c>
      <c r="E4372" t="s">
        <v>296</v>
      </c>
      <c r="I4372" s="9"/>
    </row>
    <row r="4373" spans="1:9" x14ac:dyDescent="0.25">
      <c r="A4373">
        <v>598282</v>
      </c>
      <c r="B4373">
        <v>0.44600000000000001</v>
      </c>
      <c r="C4373">
        <v>432</v>
      </c>
      <c r="D4373" s="9">
        <v>43972</v>
      </c>
      <c r="E4373" t="s">
        <v>296</v>
      </c>
      <c r="I4373" s="9"/>
    </row>
    <row r="4374" spans="1:9" x14ac:dyDescent="0.25">
      <c r="A4374">
        <v>598282</v>
      </c>
      <c r="B4374">
        <v>0.44600000000000001</v>
      </c>
      <c r="C4374">
        <v>864</v>
      </c>
      <c r="D4374" s="9">
        <v>43784</v>
      </c>
      <c r="E4374" t="s">
        <v>296</v>
      </c>
      <c r="I4374" s="9"/>
    </row>
    <row r="4375" spans="1:9" x14ac:dyDescent="0.25">
      <c r="A4375">
        <v>598282</v>
      </c>
      <c r="B4375">
        <v>0.44600000000000001</v>
      </c>
      <c r="C4375">
        <v>1440</v>
      </c>
      <c r="D4375" s="9">
        <v>43238</v>
      </c>
      <c r="E4375" t="s">
        <v>296</v>
      </c>
      <c r="I4375" s="9"/>
    </row>
    <row r="4376" spans="1:9" x14ac:dyDescent="0.25">
      <c r="A4376">
        <v>598282</v>
      </c>
      <c r="B4376">
        <v>1.7</v>
      </c>
      <c r="C4376">
        <v>1440</v>
      </c>
      <c r="D4376" s="9">
        <v>43238</v>
      </c>
      <c r="E4376" t="s">
        <v>295</v>
      </c>
      <c r="I4376" s="9"/>
    </row>
    <row r="4377" spans="1:9" x14ac:dyDescent="0.25">
      <c r="A4377">
        <v>598282</v>
      </c>
      <c r="B4377">
        <v>0.43099999999999999</v>
      </c>
      <c r="C4377">
        <v>1440</v>
      </c>
      <c r="D4377" s="9">
        <v>42641</v>
      </c>
      <c r="E4377" t="s">
        <v>296</v>
      </c>
      <c r="I4377" s="9"/>
    </row>
    <row r="4378" spans="1:9" x14ac:dyDescent="0.25">
      <c r="A4378">
        <v>598282</v>
      </c>
      <c r="B4378">
        <v>0.43099999999999999</v>
      </c>
      <c r="C4378">
        <v>1440</v>
      </c>
      <c r="D4378" s="9">
        <v>42641</v>
      </c>
      <c r="E4378" t="s">
        <v>296</v>
      </c>
      <c r="I4378" s="9"/>
    </row>
    <row r="4379" spans="1:9" x14ac:dyDescent="0.25">
      <c r="A4379">
        <v>598282</v>
      </c>
      <c r="B4379">
        <v>1.68</v>
      </c>
      <c r="C4379">
        <v>720</v>
      </c>
      <c r="D4379" s="9">
        <v>42508</v>
      </c>
      <c r="E4379" t="s">
        <v>295</v>
      </c>
      <c r="I4379" s="9"/>
    </row>
    <row r="4380" spans="1:9" x14ac:dyDescent="0.25">
      <c r="A4380">
        <v>598282</v>
      </c>
      <c r="B4380">
        <v>0.43099999999999999</v>
      </c>
      <c r="C4380">
        <v>720</v>
      </c>
      <c r="D4380" s="9">
        <v>42508</v>
      </c>
      <c r="E4380" t="s">
        <v>296</v>
      </c>
      <c r="I4380" s="9"/>
    </row>
    <row r="4381" spans="1:9" x14ac:dyDescent="0.25">
      <c r="A4381">
        <v>598282</v>
      </c>
      <c r="B4381">
        <v>0.439</v>
      </c>
      <c r="C4381">
        <v>1152</v>
      </c>
      <c r="D4381" s="9">
        <v>41751</v>
      </c>
      <c r="E4381" t="s">
        <v>296</v>
      </c>
      <c r="I4381" s="9"/>
    </row>
    <row r="4382" spans="1:9" x14ac:dyDescent="0.25">
      <c r="A4382">
        <v>598282</v>
      </c>
      <c r="B4382">
        <v>0.439</v>
      </c>
      <c r="C4382">
        <v>1152</v>
      </c>
      <c r="D4382" s="9">
        <v>41418</v>
      </c>
      <c r="E4382" t="s">
        <v>296</v>
      </c>
      <c r="I4382" s="9"/>
    </row>
    <row r="4383" spans="1:9" x14ac:dyDescent="0.25">
      <c r="A4383">
        <v>598321</v>
      </c>
      <c r="B4383">
        <v>0.23799999999999999</v>
      </c>
      <c r="C4383">
        <v>1440</v>
      </c>
      <c r="D4383" s="9">
        <v>42641</v>
      </c>
      <c r="E4383" t="s">
        <v>296</v>
      </c>
      <c r="I4383" s="9"/>
    </row>
    <row r="4384" spans="1:9" x14ac:dyDescent="0.25">
      <c r="A4384">
        <v>598321</v>
      </c>
      <c r="B4384">
        <v>0.23799999999999999</v>
      </c>
      <c r="C4384">
        <v>1440</v>
      </c>
      <c r="D4384" s="9">
        <v>42641</v>
      </c>
      <c r="E4384" t="s">
        <v>296</v>
      </c>
      <c r="I4384" s="9"/>
    </row>
    <row r="4385" spans="1:9" x14ac:dyDescent="0.25">
      <c r="A4385">
        <v>598321</v>
      </c>
      <c r="B4385">
        <v>0.23799999999999999</v>
      </c>
      <c r="C4385">
        <v>1440</v>
      </c>
      <c r="D4385" s="9">
        <v>42508</v>
      </c>
      <c r="E4385" t="s">
        <v>296</v>
      </c>
      <c r="I4385" s="9"/>
    </row>
    <row r="4386" spans="1:9" x14ac:dyDescent="0.25">
      <c r="A4386">
        <v>598321</v>
      </c>
      <c r="B4386">
        <v>0.93</v>
      </c>
      <c r="C4386">
        <v>1440</v>
      </c>
      <c r="D4386" s="9">
        <v>42508</v>
      </c>
      <c r="E4386" t="s">
        <v>295</v>
      </c>
      <c r="I4386" s="9"/>
    </row>
    <row r="4387" spans="1:9" x14ac:dyDescent="0.25">
      <c r="A4387">
        <v>598321</v>
      </c>
      <c r="B4387">
        <v>0.246</v>
      </c>
      <c r="C4387">
        <v>2880</v>
      </c>
      <c r="D4387" s="9">
        <v>41751</v>
      </c>
      <c r="E4387" t="s">
        <v>296</v>
      </c>
      <c r="I4387" s="9"/>
    </row>
    <row r="4388" spans="1:9" x14ac:dyDescent="0.25">
      <c r="A4388">
        <v>598321</v>
      </c>
      <c r="B4388">
        <v>0.246</v>
      </c>
      <c r="C4388">
        <v>2880</v>
      </c>
      <c r="D4388" s="9">
        <v>41418</v>
      </c>
      <c r="E4388" t="s">
        <v>296</v>
      </c>
      <c r="I4388" s="9"/>
    </row>
    <row r="4389" spans="1:9" x14ac:dyDescent="0.25">
      <c r="A4389">
        <v>598331</v>
      </c>
      <c r="B4389">
        <v>0.33600000000000002</v>
      </c>
      <c r="C4389">
        <v>2880</v>
      </c>
      <c r="D4389" s="9">
        <v>42641</v>
      </c>
      <c r="E4389" t="s">
        <v>296</v>
      </c>
      <c r="I4389" s="9"/>
    </row>
    <row r="4390" spans="1:9" x14ac:dyDescent="0.25">
      <c r="A4390">
        <v>598331</v>
      </c>
      <c r="B4390">
        <v>0.33600000000000002</v>
      </c>
      <c r="C4390">
        <v>2880</v>
      </c>
      <c r="D4390" s="9">
        <v>42641</v>
      </c>
      <c r="E4390" t="s">
        <v>296</v>
      </c>
      <c r="I4390" s="9"/>
    </row>
    <row r="4391" spans="1:9" x14ac:dyDescent="0.25">
      <c r="A4391">
        <v>598331</v>
      </c>
      <c r="B4391">
        <v>0.33600000000000002</v>
      </c>
      <c r="C4391">
        <v>1440</v>
      </c>
      <c r="D4391" s="9">
        <v>42600</v>
      </c>
      <c r="E4391" t="s">
        <v>296</v>
      </c>
      <c r="I4391" s="9"/>
    </row>
    <row r="4392" spans="1:9" x14ac:dyDescent="0.25">
      <c r="A4392">
        <v>598331</v>
      </c>
      <c r="B4392">
        <v>0.33600000000000002</v>
      </c>
      <c r="C4392">
        <v>2880</v>
      </c>
      <c r="D4392" s="9">
        <v>41751</v>
      </c>
      <c r="E4392" t="s">
        <v>296</v>
      </c>
      <c r="I4392" s="9"/>
    </row>
    <row r="4393" spans="1:9" x14ac:dyDescent="0.25">
      <c r="A4393">
        <v>598341</v>
      </c>
      <c r="B4393">
        <v>0.32600000000000001</v>
      </c>
      <c r="C4393">
        <v>2880</v>
      </c>
      <c r="D4393" s="9">
        <v>42641</v>
      </c>
      <c r="E4393" t="s">
        <v>296</v>
      </c>
      <c r="I4393" s="9"/>
    </row>
    <row r="4394" spans="1:9" x14ac:dyDescent="0.25">
      <c r="A4394">
        <v>598341</v>
      </c>
      <c r="B4394">
        <v>0.32600000000000001</v>
      </c>
      <c r="C4394">
        <v>2880</v>
      </c>
      <c r="D4394" s="9">
        <v>42641</v>
      </c>
      <c r="E4394" t="s">
        <v>296</v>
      </c>
      <c r="I4394" s="9"/>
    </row>
    <row r="4395" spans="1:9" x14ac:dyDescent="0.25">
      <c r="A4395">
        <v>598341</v>
      </c>
      <c r="B4395">
        <v>1.27</v>
      </c>
      <c r="C4395">
        <v>1440</v>
      </c>
      <c r="D4395" s="9">
        <v>42508</v>
      </c>
      <c r="E4395" t="s">
        <v>295</v>
      </c>
      <c r="I4395" s="9"/>
    </row>
    <row r="4396" spans="1:9" x14ac:dyDescent="0.25">
      <c r="A4396">
        <v>598341</v>
      </c>
      <c r="B4396">
        <v>0.32600000000000001</v>
      </c>
      <c r="C4396">
        <v>1440</v>
      </c>
      <c r="D4396" s="9">
        <v>42508</v>
      </c>
      <c r="E4396" t="s">
        <v>296</v>
      </c>
      <c r="I4396" s="9"/>
    </row>
    <row r="4397" spans="1:9" x14ac:dyDescent="0.25">
      <c r="A4397">
        <v>598341</v>
      </c>
      <c r="B4397">
        <v>0.33600000000000002</v>
      </c>
      <c r="C4397">
        <v>2880</v>
      </c>
      <c r="D4397" s="9">
        <v>41751</v>
      </c>
      <c r="E4397" t="s">
        <v>296</v>
      </c>
      <c r="I4397" s="9"/>
    </row>
    <row r="4398" spans="1:9" x14ac:dyDescent="0.25">
      <c r="A4398">
        <v>598341</v>
      </c>
      <c r="B4398">
        <v>0.32500000000000001</v>
      </c>
      <c r="C4398">
        <v>2880</v>
      </c>
      <c r="D4398" s="9">
        <v>41418</v>
      </c>
      <c r="E4398" t="s">
        <v>296</v>
      </c>
      <c r="I4398" s="9"/>
    </row>
    <row r="4399" spans="1:9" x14ac:dyDescent="0.25">
      <c r="A4399">
        <v>600030</v>
      </c>
      <c r="B4399">
        <v>0.32</v>
      </c>
      <c r="C4399">
        <v>1920</v>
      </c>
      <c r="D4399" s="9">
        <v>44068</v>
      </c>
      <c r="E4399" t="s">
        <v>296</v>
      </c>
      <c r="I4399" s="9"/>
    </row>
    <row r="4400" spans="1:9" x14ac:dyDescent="0.25">
      <c r="A4400">
        <v>600030</v>
      </c>
      <c r="B4400">
        <v>0.495</v>
      </c>
      <c r="C4400">
        <v>1920</v>
      </c>
      <c r="D4400" s="9">
        <v>43707</v>
      </c>
      <c r="E4400" t="s">
        <v>296</v>
      </c>
      <c r="I4400" s="9"/>
    </row>
    <row r="4401" spans="1:9" x14ac:dyDescent="0.25">
      <c r="A4401">
        <v>600030</v>
      </c>
      <c r="B4401">
        <v>0.45</v>
      </c>
      <c r="C4401">
        <v>1920</v>
      </c>
      <c r="D4401" s="9">
        <v>42877</v>
      </c>
      <c r="E4401" t="s">
        <v>296</v>
      </c>
      <c r="I4401" s="9"/>
    </row>
    <row r="4402" spans="1:9" x14ac:dyDescent="0.25">
      <c r="A4402">
        <v>600030</v>
      </c>
      <c r="B4402">
        <v>0.44900000000000001</v>
      </c>
      <c r="C4402">
        <v>2400</v>
      </c>
      <c r="D4402" s="9">
        <v>42641</v>
      </c>
      <c r="E4402" t="s">
        <v>296</v>
      </c>
      <c r="I4402" s="9"/>
    </row>
    <row r="4403" spans="1:9" x14ac:dyDescent="0.25">
      <c r="A4403">
        <v>600030</v>
      </c>
      <c r="B4403">
        <v>0.44900000000000001</v>
      </c>
      <c r="C4403">
        <v>2400</v>
      </c>
      <c r="D4403" s="9">
        <v>42641</v>
      </c>
      <c r="E4403" t="s">
        <v>296</v>
      </c>
      <c r="I4403" s="9"/>
    </row>
    <row r="4404" spans="1:9" x14ac:dyDescent="0.25">
      <c r="A4404">
        <v>600030</v>
      </c>
      <c r="B4404">
        <v>0.45500000000000002</v>
      </c>
      <c r="C4404">
        <v>1920</v>
      </c>
      <c r="D4404" s="9">
        <v>42440</v>
      </c>
      <c r="E4404" t="s">
        <v>296</v>
      </c>
      <c r="I4404" s="9"/>
    </row>
    <row r="4405" spans="1:9" x14ac:dyDescent="0.25">
      <c r="A4405">
        <v>600030</v>
      </c>
      <c r="B4405">
        <v>0.34</v>
      </c>
      <c r="C4405">
        <v>1920</v>
      </c>
      <c r="D4405" s="9">
        <v>41535</v>
      </c>
      <c r="E4405" t="s">
        <v>296</v>
      </c>
      <c r="I4405" s="9"/>
    </row>
    <row r="4406" spans="1:9" x14ac:dyDescent="0.25">
      <c r="A4406">
        <v>600031</v>
      </c>
      <c r="B4406">
        <v>0.48</v>
      </c>
      <c r="C4406">
        <v>600</v>
      </c>
      <c r="D4406" s="9">
        <v>44068</v>
      </c>
      <c r="E4406" t="s">
        <v>296</v>
      </c>
      <c r="I4406" s="9"/>
    </row>
    <row r="4407" spans="1:9" x14ac:dyDescent="0.25">
      <c r="A4407">
        <v>600032</v>
      </c>
      <c r="B4407">
        <v>0.85</v>
      </c>
      <c r="C4407">
        <v>1920</v>
      </c>
      <c r="D4407" s="9">
        <v>44068</v>
      </c>
      <c r="E4407" t="s">
        <v>296</v>
      </c>
      <c r="I4407" s="9"/>
    </row>
    <row r="4408" spans="1:9" x14ac:dyDescent="0.25">
      <c r="A4408">
        <v>600032</v>
      </c>
      <c r="B4408">
        <v>1.4</v>
      </c>
      <c r="C4408">
        <v>500</v>
      </c>
      <c r="D4408" s="9">
        <v>43563</v>
      </c>
      <c r="E4408" t="s">
        <v>296</v>
      </c>
      <c r="I4408" s="9"/>
    </row>
    <row r="4409" spans="1:9" x14ac:dyDescent="0.25">
      <c r="A4409">
        <v>600032</v>
      </c>
      <c r="B4409">
        <v>1.3109999999999999</v>
      </c>
      <c r="C4409">
        <v>1900</v>
      </c>
      <c r="D4409" s="9">
        <v>42753</v>
      </c>
      <c r="E4409" t="s">
        <v>297</v>
      </c>
      <c r="I4409" s="9"/>
    </row>
    <row r="4410" spans="1:9" x14ac:dyDescent="0.25">
      <c r="A4410">
        <v>600032</v>
      </c>
      <c r="B4410">
        <v>1.38</v>
      </c>
      <c r="C4410">
        <v>1920</v>
      </c>
      <c r="D4410" s="9">
        <v>41535</v>
      </c>
      <c r="E4410" t="s">
        <v>296</v>
      </c>
      <c r="I4410" s="9"/>
    </row>
    <row r="4411" spans="1:9" x14ac:dyDescent="0.25">
      <c r="A4411">
        <v>600110</v>
      </c>
      <c r="B4411">
        <v>0.75</v>
      </c>
      <c r="C4411">
        <v>1200</v>
      </c>
      <c r="D4411" s="9">
        <v>44125</v>
      </c>
      <c r="E4411" t="s">
        <v>296</v>
      </c>
      <c r="I4411" s="9"/>
    </row>
    <row r="4412" spans="1:9" x14ac:dyDescent="0.25">
      <c r="A4412">
        <v>600110</v>
      </c>
      <c r="B4412">
        <v>0.75</v>
      </c>
      <c r="C4412">
        <v>1200</v>
      </c>
      <c r="D4412" s="9">
        <v>43837</v>
      </c>
      <c r="E4412" t="s">
        <v>296</v>
      </c>
      <c r="I4412" s="9"/>
    </row>
    <row r="4413" spans="1:9" x14ac:dyDescent="0.25">
      <c r="A4413">
        <v>600110</v>
      </c>
      <c r="B4413">
        <v>0.75</v>
      </c>
      <c r="C4413">
        <v>1200</v>
      </c>
      <c r="D4413" s="9">
        <v>43473</v>
      </c>
      <c r="E4413" t="s">
        <v>296</v>
      </c>
      <c r="I4413" s="9"/>
    </row>
    <row r="4414" spans="1:9" x14ac:dyDescent="0.25">
      <c r="A4414">
        <v>600110</v>
      </c>
      <c r="B4414">
        <v>0.77</v>
      </c>
      <c r="C4414">
        <v>1200</v>
      </c>
      <c r="D4414" s="9">
        <v>43039</v>
      </c>
      <c r="E4414" t="s">
        <v>296</v>
      </c>
      <c r="I4414" s="9"/>
    </row>
    <row r="4415" spans="1:9" x14ac:dyDescent="0.25">
      <c r="A4415">
        <v>600110</v>
      </c>
      <c r="B4415">
        <v>0.71</v>
      </c>
      <c r="C4415">
        <v>1200</v>
      </c>
      <c r="D4415" s="9">
        <v>42905</v>
      </c>
      <c r="E4415" t="s">
        <v>296</v>
      </c>
      <c r="I4415" s="9"/>
    </row>
    <row r="4416" spans="1:9" x14ac:dyDescent="0.25">
      <c r="A4416">
        <v>600110</v>
      </c>
      <c r="B4416">
        <v>0.71</v>
      </c>
      <c r="C4416">
        <v>1200</v>
      </c>
      <c r="D4416" s="9">
        <v>42530</v>
      </c>
      <c r="E4416" t="s">
        <v>296</v>
      </c>
      <c r="I4416" s="9"/>
    </row>
    <row r="4417" spans="1:9" x14ac:dyDescent="0.25">
      <c r="A4417">
        <v>600110</v>
      </c>
      <c r="B4417">
        <v>0.75</v>
      </c>
      <c r="C4417">
        <v>1200</v>
      </c>
      <c r="D4417" s="9">
        <v>42325</v>
      </c>
      <c r="E4417" t="s">
        <v>296</v>
      </c>
      <c r="I4417" s="9"/>
    </row>
    <row r="4418" spans="1:9" x14ac:dyDescent="0.25">
      <c r="A4418">
        <v>600110</v>
      </c>
      <c r="B4418">
        <v>0.75</v>
      </c>
      <c r="C4418">
        <v>1200</v>
      </c>
      <c r="D4418" s="9">
        <v>41947</v>
      </c>
      <c r="E4418" t="s">
        <v>296</v>
      </c>
      <c r="I4418" s="9"/>
    </row>
    <row r="4419" spans="1:9" x14ac:dyDescent="0.25">
      <c r="A4419">
        <v>600110</v>
      </c>
      <c r="B4419">
        <v>0.75</v>
      </c>
      <c r="C4419">
        <v>1200</v>
      </c>
      <c r="D4419" s="9">
        <v>41647</v>
      </c>
      <c r="E4419" t="s">
        <v>296</v>
      </c>
      <c r="I4419" s="9"/>
    </row>
    <row r="4420" spans="1:9" x14ac:dyDescent="0.25">
      <c r="A4420">
        <v>600110</v>
      </c>
      <c r="B4420">
        <v>0.75</v>
      </c>
      <c r="C4420">
        <v>1200</v>
      </c>
      <c r="D4420" s="9">
        <v>41571</v>
      </c>
      <c r="E4420" t="s">
        <v>296</v>
      </c>
      <c r="I4420" s="9"/>
    </row>
    <row r="4421" spans="1:9" x14ac:dyDescent="0.25">
      <c r="A4421">
        <v>600114</v>
      </c>
      <c r="B4421">
        <v>2.04</v>
      </c>
      <c r="C4421">
        <v>1080</v>
      </c>
      <c r="D4421" s="9">
        <v>42655</v>
      </c>
      <c r="E4421" t="s">
        <v>296</v>
      </c>
      <c r="I4421" s="9"/>
    </row>
    <row r="4422" spans="1:9" x14ac:dyDescent="0.25">
      <c r="A4422">
        <v>600114</v>
      </c>
      <c r="B4422">
        <v>2.04</v>
      </c>
      <c r="C4422">
        <v>1080</v>
      </c>
      <c r="D4422" s="9">
        <v>42655</v>
      </c>
      <c r="E4422" t="s">
        <v>296</v>
      </c>
      <c r="I4422" s="9"/>
    </row>
    <row r="4423" spans="1:9" x14ac:dyDescent="0.25">
      <c r="A4423">
        <v>600210</v>
      </c>
      <c r="B4423">
        <v>0.95</v>
      </c>
      <c r="C4423">
        <v>2016</v>
      </c>
      <c r="D4423" s="9">
        <v>42696</v>
      </c>
      <c r="E4423" t="s">
        <v>296</v>
      </c>
      <c r="I4423" s="9"/>
    </row>
    <row r="4424" spans="1:9" x14ac:dyDescent="0.25">
      <c r="A4424">
        <v>600210</v>
      </c>
      <c r="B4424">
        <v>0.97</v>
      </c>
      <c r="C4424">
        <v>864</v>
      </c>
      <c r="D4424" s="9">
        <v>42380</v>
      </c>
      <c r="E4424" t="s">
        <v>296</v>
      </c>
      <c r="I4424" s="9"/>
    </row>
    <row r="4425" spans="1:9" x14ac:dyDescent="0.25">
      <c r="A4425">
        <v>600210</v>
      </c>
      <c r="B4425">
        <v>0.96</v>
      </c>
      <c r="C4425">
        <v>2016</v>
      </c>
      <c r="D4425" s="9">
        <v>41647</v>
      </c>
      <c r="E4425" t="s">
        <v>296</v>
      </c>
      <c r="I4425" s="9"/>
    </row>
    <row r="4426" spans="1:9" x14ac:dyDescent="0.25">
      <c r="A4426">
        <v>600390</v>
      </c>
      <c r="B4426">
        <v>0.6</v>
      </c>
      <c r="C4426">
        <v>3024</v>
      </c>
      <c r="D4426" s="9">
        <v>42696</v>
      </c>
      <c r="E4426" t="s">
        <v>296</v>
      </c>
      <c r="I4426" s="9"/>
    </row>
    <row r="4427" spans="1:9" x14ac:dyDescent="0.25">
      <c r="A4427">
        <v>600390</v>
      </c>
      <c r="B4427">
        <v>0.63</v>
      </c>
      <c r="C4427">
        <v>1152</v>
      </c>
      <c r="D4427" s="9">
        <v>42380</v>
      </c>
      <c r="E4427" t="s">
        <v>296</v>
      </c>
      <c r="I4427" s="9"/>
    </row>
    <row r="4428" spans="1:9" x14ac:dyDescent="0.25">
      <c r="A4428">
        <v>600390</v>
      </c>
      <c r="B4428">
        <v>0.63</v>
      </c>
      <c r="C4428">
        <v>1440</v>
      </c>
      <c r="D4428" s="9">
        <v>41813</v>
      </c>
      <c r="E4428" t="s">
        <v>296</v>
      </c>
      <c r="I4428" s="9"/>
    </row>
    <row r="4429" spans="1:9" x14ac:dyDescent="0.25">
      <c r="A4429">
        <v>600390</v>
      </c>
      <c r="B4429">
        <v>0.63</v>
      </c>
      <c r="C4429">
        <v>1440</v>
      </c>
      <c r="D4429" s="9">
        <v>41647</v>
      </c>
      <c r="E4429" t="s">
        <v>296</v>
      </c>
      <c r="I4429" s="9"/>
    </row>
    <row r="4430" spans="1:9" x14ac:dyDescent="0.25">
      <c r="A4430">
        <v>600390</v>
      </c>
      <c r="B4430">
        <v>0.63</v>
      </c>
      <c r="C4430">
        <v>1296</v>
      </c>
      <c r="D4430" s="9">
        <v>41366</v>
      </c>
      <c r="E4430" t="s">
        <v>296</v>
      </c>
      <c r="I4430" s="9"/>
    </row>
    <row r="4431" spans="1:9" x14ac:dyDescent="0.25">
      <c r="A4431">
        <v>600392</v>
      </c>
      <c r="B4431">
        <v>1.1499999999999999</v>
      </c>
      <c r="C4431">
        <v>1728</v>
      </c>
      <c r="D4431" s="9">
        <v>41647</v>
      </c>
      <c r="E4431" t="s">
        <v>296</v>
      </c>
      <c r="I4431" s="9"/>
    </row>
    <row r="4432" spans="1:9" x14ac:dyDescent="0.25">
      <c r="A4432">
        <v>600394</v>
      </c>
      <c r="B4432">
        <v>0.98</v>
      </c>
      <c r="C4432">
        <v>1320</v>
      </c>
      <c r="D4432" s="9">
        <v>44043</v>
      </c>
      <c r="E4432" t="s">
        <v>296</v>
      </c>
      <c r="I4432" s="9"/>
    </row>
    <row r="4433" spans="1:9" x14ac:dyDescent="0.25">
      <c r="A4433">
        <v>600394</v>
      </c>
      <c r="B4433">
        <v>0.98</v>
      </c>
      <c r="C4433">
        <v>720</v>
      </c>
      <c r="D4433" s="9">
        <v>43803</v>
      </c>
      <c r="E4433" t="s">
        <v>296</v>
      </c>
      <c r="I4433" s="9"/>
    </row>
    <row r="4434" spans="1:9" x14ac:dyDescent="0.25">
      <c r="A4434">
        <v>600394</v>
      </c>
      <c r="B4434">
        <v>3.32</v>
      </c>
      <c r="C4434">
        <v>840</v>
      </c>
      <c r="D4434" s="9">
        <v>43230</v>
      </c>
      <c r="E4434" t="s">
        <v>295</v>
      </c>
      <c r="I4434" s="9"/>
    </row>
    <row r="4435" spans="1:9" x14ac:dyDescent="0.25">
      <c r="A4435">
        <v>600394</v>
      </c>
      <c r="B4435">
        <v>0.96</v>
      </c>
      <c r="C4435">
        <v>1560</v>
      </c>
      <c r="D4435" s="9">
        <v>43199</v>
      </c>
      <c r="E4435" t="s">
        <v>296</v>
      </c>
      <c r="I4435" s="9"/>
    </row>
    <row r="4436" spans="1:9" x14ac:dyDescent="0.25">
      <c r="A4436">
        <v>600401</v>
      </c>
      <c r="B4436">
        <v>0.98</v>
      </c>
      <c r="C4436">
        <v>1200</v>
      </c>
      <c r="D4436" s="9">
        <v>44117</v>
      </c>
      <c r="E4436" t="s">
        <v>296</v>
      </c>
      <c r="I4436" s="9"/>
    </row>
    <row r="4437" spans="1:9" x14ac:dyDescent="0.25">
      <c r="A4437">
        <v>600401</v>
      </c>
      <c r="B4437">
        <v>0.98</v>
      </c>
      <c r="C4437">
        <v>1200</v>
      </c>
      <c r="D4437" s="9">
        <v>43959</v>
      </c>
      <c r="E4437" t="s">
        <v>296</v>
      </c>
      <c r="I4437" s="9"/>
    </row>
    <row r="4438" spans="1:9" x14ac:dyDescent="0.25">
      <c r="A4438">
        <v>600401</v>
      </c>
      <c r="B4438">
        <v>0.97</v>
      </c>
      <c r="C4438">
        <v>1080</v>
      </c>
      <c r="D4438" s="9">
        <v>43627</v>
      </c>
      <c r="E4438" t="s">
        <v>296</v>
      </c>
      <c r="I4438" s="9"/>
    </row>
    <row r="4439" spans="1:9" x14ac:dyDescent="0.25">
      <c r="A4439">
        <v>600401</v>
      </c>
      <c r="B4439">
        <v>0.94</v>
      </c>
      <c r="C4439">
        <v>1200</v>
      </c>
      <c r="D4439" s="9">
        <v>43116</v>
      </c>
      <c r="E4439" t="s">
        <v>296</v>
      </c>
      <c r="I4439" s="9"/>
    </row>
    <row r="4440" spans="1:9" x14ac:dyDescent="0.25">
      <c r="A4440">
        <v>600401</v>
      </c>
      <c r="B4440">
        <v>0.94</v>
      </c>
      <c r="C4440">
        <v>1200</v>
      </c>
      <c r="D4440" s="9">
        <v>43067</v>
      </c>
      <c r="E4440" t="s">
        <v>296</v>
      </c>
      <c r="I4440" s="9"/>
    </row>
    <row r="4441" spans="1:9" x14ac:dyDescent="0.25">
      <c r="A4441">
        <v>600401</v>
      </c>
      <c r="B4441">
        <v>0.89</v>
      </c>
      <c r="C4441">
        <v>1200</v>
      </c>
      <c r="D4441" s="9">
        <v>42836</v>
      </c>
      <c r="E4441" t="s">
        <v>296</v>
      </c>
      <c r="I4441" s="9"/>
    </row>
    <row r="4442" spans="1:9" x14ac:dyDescent="0.25">
      <c r="A4442">
        <v>600401</v>
      </c>
      <c r="B4442">
        <v>0.89</v>
      </c>
      <c r="C4442">
        <v>960</v>
      </c>
      <c r="D4442" s="9">
        <v>42696</v>
      </c>
      <c r="E4442" t="s">
        <v>296</v>
      </c>
      <c r="I4442" s="9"/>
    </row>
    <row r="4443" spans="1:9" x14ac:dyDescent="0.25">
      <c r="A4443">
        <v>600401</v>
      </c>
      <c r="B4443">
        <v>0.89</v>
      </c>
      <c r="C4443">
        <v>1440</v>
      </c>
      <c r="D4443" s="9">
        <v>42585</v>
      </c>
      <c r="E4443" t="s">
        <v>296</v>
      </c>
      <c r="I4443" s="9"/>
    </row>
    <row r="4444" spans="1:9" x14ac:dyDescent="0.25">
      <c r="A4444">
        <v>600401</v>
      </c>
      <c r="B4444">
        <v>0.95</v>
      </c>
      <c r="C4444">
        <v>1200</v>
      </c>
      <c r="D4444" s="9">
        <v>42380</v>
      </c>
      <c r="E4444" t="s">
        <v>296</v>
      </c>
      <c r="I4444" s="9"/>
    </row>
    <row r="4445" spans="1:9" x14ac:dyDescent="0.25">
      <c r="A4445">
        <v>600401</v>
      </c>
      <c r="B4445">
        <v>0.95</v>
      </c>
      <c r="C4445">
        <v>1200</v>
      </c>
      <c r="D4445" s="9">
        <v>42191</v>
      </c>
      <c r="E4445" t="s">
        <v>296</v>
      </c>
      <c r="I4445" s="9"/>
    </row>
    <row r="4446" spans="1:9" x14ac:dyDescent="0.25">
      <c r="A4446">
        <v>600402</v>
      </c>
      <c r="B4446">
        <v>0.95</v>
      </c>
      <c r="C4446">
        <v>1440</v>
      </c>
      <c r="D4446" s="9">
        <v>42696</v>
      </c>
      <c r="E4446" t="s">
        <v>296</v>
      </c>
      <c r="I4446" s="9"/>
    </row>
    <row r="4447" spans="1:9" x14ac:dyDescent="0.25">
      <c r="A4447">
        <v>600402</v>
      </c>
      <c r="B4447">
        <v>1</v>
      </c>
      <c r="C4447">
        <v>1800</v>
      </c>
      <c r="D4447" s="9">
        <v>41484</v>
      </c>
      <c r="E4447" t="s">
        <v>296</v>
      </c>
      <c r="I4447" s="9"/>
    </row>
    <row r="4448" spans="1:9" x14ac:dyDescent="0.25">
      <c r="A4448">
        <v>610060</v>
      </c>
      <c r="B4448">
        <v>0.20799999999999999</v>
      </c>
      <c r="C4448">
        <v>2304</v>
      </c>
      <c r="D4448" s="9">
        <v>43784</v>
      </c>
      <c r="E4448" t="s">
        <v>296</v>
      </c>
      <c r="I4448" s="9"/>
    </row>
    <row r="4449" spans="1:9" x14ac:dyDescent="0.25">
      <c r="A4449">
        <v>610060</v>
      </c>
      <c r="B4449">
        <v>0.20799999999999999</v>
      </c>
      <c r="C4449">
        <v>3456</v>
      </c>
      <c r="D4449" s="9">
        <v>43403</v>
      </c>
      <c r="E4449" t="s">
        <v>296</v>
      </c>
      <c r="I4449" s="9"/>
    </row>
    <row r="4450" spans="1:9" x14ac:dyDescent="0.25">
      <c r="A4450">
        <v>610060</v>
      </c>
      <c r="B4450">
        <v>0.19800000000000001</v>
      </c>
      <c r="C4450">
        <v>3456</v>
      </c>
      <c r="D4450" s="9">
        <v>43136</v>
      </c>
      <c r="E4450" t="s">
        <v>296</v>
      </c>
      <c r="I4450" s="9"/>
    </row>
    <row r="4451" spans="1:9" x14ac:dyDescent="0.25">
      <c r="A4451">
        <v>610060</v>
      </c>
      <c r="B4451">
        <v>0.68</v>
      </c>
      <c r="C4451">
        <v>3456</v>
      </c>
      <c r="D4451" s="9">
        <v>43136</v>
      </c>
      <c r="E4451" t="s">
        <v>295</v>
      </c>
      <c r="I4451" s="9"/>
    </row>
    <row r="4452" spans="1:9" x14ac:dyDescent="0.25">
      <c r="A4452">
        <v>610060</v>
      </c>
      <c r="B4452">
        <v>0.189</v>
      </c>
      <c r="C4452">
        <v>3456</v>
      </c>
      <c r="D4452" s="9">
        <v>42877</v>
      </c>
      <c r="E4452" t="s">
        <v>296</v>
      </c>
      <c r="I4452" s="9"/>
    </row>
    <row r="4453" spans="1:9" x14ac:dyDescent="0.25">
      <c r="A4453">
        <v>610060</v>
      </c>
      <c r="B4453">
        <v>0.19700000000000001</v>
      </c>
      <c r="C4453">
        <v>3456</v>
      </c>
      <c r="D4453" s="9">
        <v>42600</v>
      </c>
      <c r="E4453" t="s">
        <v>296</v>
      </c>
      <c r="I4453" s="9"/>
    </row>
    <row r="4454" spans="1:9" x14ac:dyDescent="0.25">
      <c r="A4454">
        <v>610060</v>
      </c>
      <c r="B4454">
        <v>0.19700000000000001</v>
      </c>
      <c r="C4454">
        <v>3456</v>
      </c>
      <c r="D4454" s="9">
        <v>42271</v>
      </c>
      <c r="E4454" t="s">
        <v>296</v>
      </c>
      <c r="I4454" s="9"/>
    </row>
    <row r="4455" spans="1:9" x14ac:dyDescent="0.25">
      <c r="A4455">
        <v>610060</v>
      </c>
      <c r="B4455">
        <v>0.19700000000000001</v>
      </c>
      <c r="C4455">
        <v>3456</v>
      </c>
      <c r="D4455" s="9">
        <v>41558</v>
      </c>
      <c r="E4455" t="s">
        <v>296</v>
      </c>
      <c r="I4455" s="9"/>
    </row>
    <row r="4456" spans="1:9" x14ac:dyDescent="0.25">
      <c r="A4456">
        <v>610060</v>
      </c>
      <c r="B4456">
        <v>0.17899999999999999</v>
      </c>
      <c r="C4456">
        <v>2304</v>
      </c>
      <c r="D4456" s="9">
        <v>41295</v>
      </c>
      <c r="E4456" t="s">
        <v>296</v>
      </c>
      <c r="I4456" s="9"/>
    </row>
    <row r="4457" spans="1:9" x14ac:dyDescent="0.25">
      <c r="A4457">
        <v>610063</v>
      </c>
      <c r="B4457">
        <v>0.315</v>
      </c>
      <c r="C4457">
        <v>1500</v>
      </c>
      <c r="D4457" s="9">
        <v>42440</v>
      </c>
      <c r="E4457" t="s">
        <v>296</v>
      </c>
      <c r="I4457" s="9"/>
    </row>
    <row r="4458" spans="1:9" x14ac:dyDescent="0.25">
      <c r="A4458">
        <v>610182</v>
      </c>
      <c r="B4458">
        <v>0.122</v>
      </c>
      <c r="C4458">
        <v>19200</v>
      </c>
      <c r="D4458" s="9">
        <v>44117</v>
      </c>
      <c r="E4458" t="s">
        <v>296</v>
      </c>
      <c r="I4458" s="9"/>
    </row>
    <row r="4459" spans="1:9" x14ac:dyDescent="0.25">
      <c r="A4459">
        <v>610182</v>
      </c>
      <c r="B4459">
        <v>0.126</v>
      </c>
      <c r="C4459">
        <v>17280</v>
      </c>
      <c r="D4459" s="9">
        <v>44111</v>
      </c>
      <c r="E4459" t="s">
        <v>296</v>
      </c>
      <c r="I4459" s="9"/>
    </row>
    <row r="4460" spans="1:9" x14ac:dyDescent="0.25">
      <c r="A4460">
        <v>610182</v>
      </c>
      <c r="B4460">
        <v>0.12</v>
      </c>
      <c r="C4460">
        <v>17280</v>
      </c>
      <c r="D4460" s="9">
        <v>43991</v>
      </c>
      <c r="E4460" t="s">
        <v>296</v>
      </c>
      <c r="I4460" s="9"/>
    </row>
    <row r="4461" spans="1:9" x14ac:dyDescent="0.25">
      <c r="A4461">
        <v>610182</v>
      </c>
      <c r="B4461">
        <v>0.12</v>
      </c>
      <c r="C4461">
        <v>14400</v>
      </c>
      <c r="D4461" s="9">
        <v>43955</v>
      </c>
      <c r="E4461" t="s">
        <v>296</v>
      </c>
      <c r="I4461" s="9"/>
    </row>
    <row r="4462" spans="1:9" x14ac:dyDescent="0.25">
      <c r="A4462">
        <v>610182</v>
      </c>
      <c r="B4462">
        <v>0.11700000000000001</v>
      </c>
      <c r="C4462">
        <v>19200</v>
      </c>
      <c r="D4462" s="9">
        <v>43837</v>
      </c>
      <c r="E4462" t="s">
        <v>296</v>
      </c>
      <c r="I4462" s="9"/>
    </row>
    <row r="4463" spans="1:9" x14ac:dyDescent="0.25">
      <c r="A4463">
        <v>610182</v>
      </c>
      <c r="B4463">
        <v>0.11700000000000001</v>
      </c>
      <c r="C4463">
        <v>17280</v>
      </c>
      <c r="D4463" s="9">
        <v>43769</v>
      </c>
      <c r="E4463" t="s">
        <v>296</v>
      </c>
      <c r="I4463" s="9"/>
    </row>
    <row r="4464" spans="1:9" x14ac:dyDescent="0.25">
      <c r="A4464">
        <v>610182</v>
      </c>
      <c r="B4464">
        <v>0.11700000000000001</v>
      </c>
      <c r="C4464">
        <v>19200</v>
      </c>
      <c r="D4464" s="9">
        <v>43769</v>
      </c>
      <c r="E4464" t="s">
        <v>296</v>
      </c>
      <c r="I4464" s="9"/>
    </row>
    <row r="4465" spans="1:9" x14ac:dyDescent="0.25">
      <c r="A4465">
        <v>610182</v>
      </c>
      <c r="B4465">
        <v>0.13</v>
      </c>
      <c r="C4465">
        <v>9600</v>
      </c>
      <c r="D4465" s="9">
        <v>43489</v>
      </c>
      <c r="E4465" t="s">
        <v>296</v>
      </c>
      <c r="I4465" s="9"/>
    </row>
    <row r="4466" spans="1:9" x14ac:dyDescent="0.25">
      <c r="A4466">
        <v>610182</v>
      </c>
      <c r="B4466">
        <v>0.13</v>
      </c>
      <c r="C4466">
        <v>48000</v>
      </c>
      <c r="D4466" s="9">
        <v>43381</v>
      </c>
      <c r="E4466" t="s">
        <v>296</v>
      </c>
      <c r="I4466" s="9"/>
    </row>
    <row r="4467" spans="1:9" x14ac:dyDescent="0.25">
      <c r="A4467">
        <v>610182</v>
      </c>
      <c r="B4467">
        <v>0.13500000000000001</v>
      </c>
      <c r="C4467">
        <v>36000</v>
      </c>
      <c r="D4467" s="9">
        <v>43284</v>
      </c>
      <c r="E4467" t="s">
        <v>296</v>
      </c>
      <c r="I4467" s="9"/>
    </row>
    <row r="4468" spans="1:9" x14ac:dyDescent="0.25">
      <c r="A4468">
        <v>610182</v>
      </c>
      <c r="B4468">
        <v>0.54</v>
      </c>
      <c r="C4468">
        <v>19200</v>
      </c>
      <c r="D4468" s="9">
        <v>43263</v>
      </c>
      <c r="E4468" t="s">
        <v>295</v>
      </c>
      <c r="I4468" s="9"/>
    </row>
    <row r="4469" spans="1:9" x14ac:dyDescent="0.25">
      <c r="A4469">
        <v>610182</v>
      </c>
      <c r="B4469">
        <v>0.14000000000000001</v>
      </c>
      <c r="C4469">
        <v>19200</v>
      </c>
      <c r="D4469" s="9">
        <v>43228</v>
      </c>
      <c r="E4469" t="s">
        <v>296</v>
      </c>
      <c r="I4469" s="9"/>
    </row>
    <row r="4470" spans="1:9" x14ac:dyDescent="0.25">
      <c r="A4470">
        <v>610182</v>
      </c>
      <c r="B4470">
        <v>0.13</v>
      </c>
      <c r="C4470">
        <v>19200</v>
      </c>
      <c r="D4470" s="9">
        <v>43116</v>
      </c>
      <c r="E4470" t="s">
        <v>296</v>
      </c>
      <c r="I4470" s="9"/>
    </row>
    <row r="4471" spans="1:9" x14ac:dyDescent="0.25">
      <c r="A4471">
        <v>610182</v>
      </c>
      <c r="B4471">
        <v>0.13</v>
      </c>
      <c r="C4471">
        <v>18720</v>
      </c>
      <c r="D4471" s="9">
        <v>43039</v>
      </c>
      <c r="E4471" t="s">
        <v>296</v>
      </c>
      <c r="I4471" s="9"/>
    </row>
    <row r="4472" spans="1:9" x14ac:dyDescent="0.25">
      <c r="A4472">
        <v>610182</v>
      </c>
      <c r="B4472">
        <v>0.13</v>
      </c>
      <c r="C4472">
        <v>20640</v>
      </c>
      <c r="D4472" s="9">
        <v>42976</v>
      </c>
      <c r="E4472" t="s">
        <v>296</v>
      </c>
      <c r="I4472" s="9"/>
    </row>
    <row r="4473" spans="1:9" x14ac:dyDescent="0.25">
      <c r="A4473">
        <v>610182</v>
      </c>
      <c r="B4473">
        <v>0.13</v>
      </c>
      <c r="C4473">
        <v>19200</v>
      </c>
      <c r="D4473" s="9">
        <v>42836</v>
      </c>
      <c r="E4473" t="s">
        <v>296</v>
      </c>
      <c r="I4473" s="9"/>
    </row>
    <row r="4474" spans="1:9" x14ac:dyDescent="0.25">
      <c r="A4474">
        <v>610182</v>
      </c>
      <c r="B4474">
        <v>0.115</v>
      </c>
      <c r="C4474">
        <v>15360</v>
      </c>
      <c r="D4474" s="9">
        <v>42781</v>
      </c>
      <c r="E4474" t="s">
        <v>296</v>
      </c>
      <c r="I4474" s="9"/>
    </row>
    <row r="4475" spans="1:9" x14ac:dyDescent="0.25">
      <c r="A4475">
        <v>610182</v>
      </c>
      <c r="B4475">
        <v>0.115</v>
      </c>
      <c r="C4475">
        <v>10320</v>
      </c>
      <c r="D4475" s="9">
        <v>42781</v>
      </c>
      <c r="E4475" t="s">
        <v>296</v>
      </c>
      <c r="I4475" s="9"/>
    </row>
    <row r="4476" spans="1:9" x14ac:dyDescent="0.25">
      <c r="A4476">
        <v>610182</v>
      </c>
      <c r="B4476">
        <v>0.12</v>
      </c>
      <c r="C4476">
        <v>19200</v>
      </c>
      <c r="D4476" s="9">
        <v>42696</v>
      </c>
      <c r="E4476" t="s">
        <v>296</v>
      </c>
      <c r="I4476" s="9"/>
    </row>
    <row r="4477" spans="1:9" x14ac:dyDescent="0.25">
      <c r="A4477">
        <v>610182</v>
      </c>
      <c r="B4477">
        <v>0.12</v>
      </c>
      <c r="C4477">
        <v>18000</v>
      </c>
      <c r="D4477" s="9">
        <v>42617</v>
      </c>
      <c r="E4477" t="s">
        <v>296</v>
      </c>
      <c r="I4477" s="9"/>
    </row>
    <row r="4478" spans="1:9" x14ac:dyDescent="0.25">
      <c r="A4478">
        <v>610182</v>
      </c>
      <c r="B4478">
        <v>0.12</v>
      </c>
      <c r="C4478">
        <v>17280</v>
      </c>
      <c r="D4478" s="9">
        <v>42573</v>
      </c>
      <c r="E4478" t="s">
        <v>296</v>
      </c>
      <c r="I4478" s="9"/>
    </row>
    <row r="4479" spans="1:9" x14ac:dyDescent="0.25">
      <c r="A4479">
        <v>610182</v>
      </c>
      <c r="B4479">
        <v>0.129</v>
      </c>
      <c r="C4479">
        <v>21600</v>
      </c>
      <c r="D4479" s="9">
        <v>42482</v>
      </c>
      <c r="E4479" t="s">
        <v>296</v>
      </c>
      <c r="I4479" s="9"/>
    </row>
    <row r="4480" spans="1:9" x14ac:dyDescent="0.25">
      <c r="A4480">
        <v>610182</v>
      </c>
      <c r="B4480">
        <v>0.13900000000000001</v>
      </c>
      <c r="C4480">
        <v>24000</v>
      </c>
      <c r="D4480" s="9">
        <v>42380</v>
      </c>
      <c r="E4480" t="s">
        <v>296</v>
      </c>
      <c r="I4480" s="9"/>
    </row>
    <row r="4481" spans="1:9" x14ac:dyDescent="0.25">
      <c r="A4481">
        <v>610182</v>
      </c>
      <c r="B4481">
        <v>0.13900000000000001</v>
      </c>
      <c r="C4481">
        <v>2400</v>
      </c>
      <c r="D4481" s="9">
        <v>42299</v>
      </c>
      <c r="E4481" t="s">
        <v>296</v>
      </c>
      <c r="I4481" s="9"/>
    </row>
    <row r="4482" spans="1:9" x14ac:dyDescent="0.25">
      <c r="A4482">
        <v>610182</v>
      </c>
      <c r="B4482">
        <v>0.13900000000000001</v>
      </c>
      <c r="C4482">
        <v>19200</v>
      </c>
      <c r="D4482" s="9">
        <v>42270</v>
      </c>
      <c r="E4482" t="s">
        <v>296</v>
      </c>
      <c r="I4482" s="9"/>
    </row>
    <row r="4483" spans="1:9" x14ac:dyDescent="0.25">
      <c r="A4483">
        <v>610182</v>
      </c>
      <c r="B4483">
        <v>0.13900000000000001</v>
      </c>
      <c r="C4483">
        <v>19200</v>
      </c>
      <c r="D4483" s="9">
        <v>42139</v>
      </c>
      <c r="E4483" t="s">
        <v>296</v>
      </c>
      <c r="I4483" s="9"/>
    </row>
    <row r="4484" spans="1:9" x14ac:dyDescent="0.25">
      <c r="A4484">
        <v>610182</v>
      </c>
      <c r="B4484">
        <v>0.14000000000000001</v>
      </c>
      <c r="C4484">
        <v>19200</v>
      </c>
      <c r="D4484" s="9">
        <v>41837</v>
      </c>
      <c r="E4484" t="s">
        <v>296</v>
      </c>
      <c r="I4484" s="9"/>
    </row>
    <row r="4485" spans="1:9" x14ac:dyDescent="0.25">
      <c r="A4485">
        <v>610182</v>
      </c>
      <c r="B4485">
        <v>0.155</v>
      </c>
      <c r="C4485">
        <v>16800</v>
      </c>
      <c r="D4485" s="9">
        <v>41789</v>
      </c>
      <c r="E4485" t="s">
        <v>296</v>
      </c>
      <c r="I4485" s="9"/>
    </row>
    <row r="4486" spans="1:9" x14ac:dyDescent="0.25">
      <c r="A4486">
        <v>610182</v>
      </c>
      <c r="B4486">
        <v>0.155</v>
      </c>
      <c r="C4486">
        <v>12000</v>
      </c>
      <c r="D4486" s="9">
        <v>41718</v>
      </c>
      <c r="E4486" t="s">
        <v>296</v>
      </c>
      <c r="I4486" s="9"/>
    </row>
    <row r="4487" spans="1:9" x14ac:dyDescent="0.25">
      <c r="A4487">
        <v>610182</v>
      </c>
      <c r="B4487">
        <v>0.15</v>
      </c>
      <c r="C4487">
        <v>10560</v>
      </c>
      <c r="D4487" s="9">
        <v>41618</v>
      </c>
      <c r="E4487" t="s">
        <v>296</v>
      </c>
      <c r="I4487" s="9"/>
    </row>
    <row r="4488" spans="1:9" x14ac:dyDescent="0.25">
      <c r="A4488">
        <v>610182</v>
      </c>
      <c r="B4488">
        <v>0.15</v>
      </c>
      <c r="C4488">
        <v>960</v>
      </c>
      <c r="D4488" s="9">
        <v>41592</v>
      </c>
      <c r="E4488" t="s">
        <v>296</v>
      </c>
      <c r="I4488" s="9"/>
    </row>
    <row r="4489" spans="1:9" x14ac:dyDescent="0.25">
      <c r="A4489">
        <v>610182</v>
      </c>
      <c r="B4489">
        <v>0.16</v>
      </c>
      <c r="C4489">
        <v>11520</v>
      </c>
      <c r="D4489" s="9">
        <v>41592</v>
      </c>
      <c r="E4489" t="s">
        <v>296</v>
      </c>
      <c r="I4489" s="9"/>
    </row>
    <row r="4490" spans="1:9" x14ac:dyDescent="0.25">
      <c r="A4490">
        <v>610182</v>
      </c>
      <c r="B4490">
        <v>0.16200000000000001</v>
      </c>
      <c r="C4490">
        <v>11600</v>
      </c>
      <c r="D4490" s="9">
        <v>41418</v>
      </c>
      <c r="E4490" t="s">
        <v>296</v>
      </c>
      <c r="I4490" s="9"/>
    </row>
    <row r="4491" spans="1:9" x14ac:dyDescent="0.25">
      <c r="A4491">
        <v>610182</v>
      </c>
      <c r="B4491">
        <v>0.18</v>
      </c>
      <c r="C4491">
        <v>11520</v>
      </c>
      <c r="D4491" s="9">
        <v>41281</v>
      </c>
      <c r="E4491" t="s">
        <v>296</v>
      </c>
      <c r="I4491" s="9"/>
    </row>
    <row r="4492" spans="1:9" x14ac:dyDescent="0.25">
      <c r="A4492">
        <v>611180</v>
      </c>
      <c r="B4492">
        <v>0.125</v>
      </c>
      <c r="C4492">
        <v>7680</v>
      </c>
      <c r="D4492" s="9">
        <v>44111</v>
      </c>
      <c r="E4492" t="s">
        <v>296</v>
      </c>
      <c r="I4492" s="9"/>
    </row>
    <row r="4493" spans="1:9" x14ac:dyDescent="0.25">
      <c r="A4493">
        <v>611180</v>
      </c>
      <c r="B4493">
        <v>0.12</v>
      </c>
      <c r="C4493">
        <v>7200</v>
      </c>
      <c r="D4493" s="9">
        <v>43991</v>
      </c>
      <c r="E4493" t="s">
        <v>296</v>
      </c>
      <c r="I4493" s="9"/>
    </row>
    <row r="4494" spans="1:9" x14ac:dyDescent="0.25">
      <c r="A4494">
        <v>611180</v>
      </c>
      <c r="B4494">
        <v>0.12</v>
      </c>
      <c r="C4494">
        <v>9600</v>
      </c>
      <c r="D4494" s="9">
        <v>43489</v>
      </c>
      <c r="E4494" t="s">
        <v>296</v>
      </c>
      <c r="I4494" s="9"/>
    </row>
    <row r="4495" spans="1:9" x14ac:dyDescent="0.25">
      <c r="A4495">
        <v>611180</v>
      </c>
      <c r="B4495">
        <v>0.12</v>
      </c>
      <c r="C4495">
        <v>9600</v>
      </c>
      <c r="D4495" s="9">
        <v>43381</v>
      </c>
      <c r="E4495" t="s">
        <v>296</v>
      </c>
      <c r="I4495" s="9"/>
    </row>
    <row r="4496" spans="1:9" x14ac:dyDescent="0.25">
      <c r="A4496">
        <v>611180</v>
      </c>
      <c r="B4496">
        <v>0.11</v>
      </c>
      <c r="C4496">
        <v>7200</v>
      </c>
      <c r="D4496" s="9">
        <v>43244</v>
      </c>
      <c r="E4496" t="s">
        <v>296</v>
      </c>
      <c r="I4496" s="9"/>
    </row>
    <row r="4497" spans="1:9" x14ac:dyDescent="0.25">
      <c r="A4497">
        <v>611180</v>
      </c>
      <c r="B4497">
        <v>0.11</v>
      </c>
      <c r="C4497">
        <v>7200</v>
      </c>
      <c r="D4497" s="9">
        <v>42919</v>
      </c>
      <c r="E4497" t="s">
        <v>296</v>
      </c>
      <c r="I4497" s="9"/>
    </row>
    <row r="4498" spans="1:9" x14ac:dyDescent="0.25">
      <c r="A4498">
        <v>611180</v>
      </c>
      <c r="B4498">
        <v>0.112</v>
      </c>
      <c r="C4498">
        <v>7200</v>
      </c>
      <c r="D4498" s="9">
        <v>42607</v>
      </c>
      <c r="E4498" t="s">
        <v>297</v>
      </c>
      <c r="I4498" s="9"/>
    </row>
    <row r="4499" spans="1:9" x14ac:dyDescent="0.25">
      <c r="A4499">
        <v>611180</v>
      </c>
      <c r="B4499">
        <v>0.112</v>
      </c>
      <c r="C4499">
        <v>7200</v>
      </c>
      <c r="D4499" s="9">
        <v>42233</v>
      </c>
      <c r="E4499" t="s">
        <v>297</v>
      </c>
      <c r="I4499" s="9"/>
    </row>
    <row r="4500" spans="1:9" x14ac:dyDescent="0.25">
      <c r="A4500">
        <v>611180</v>
      </c>
      <c r="B4500">
        <v>0.11899999999999999</v>
      </c>
      <c r="C4500">
        <v>12000</v>
      </c>
      <c r="D4500" s="9">
        <v>41865</v>
      </c>
      <c r="E4500" t="s">
        <v>296</v>
      </c>
      <c r="I4500" s="9"/>
    </row>
    <row r="4501" spans="1:9" x14ac:dyDescent="0.25">
      <c r="A4501">
        <v>611180</v>
      </c>
      <c r="B4501">
        <v>0.11899999999999999</v>
      </c>
      <c r="C4501">
        <v>10560</v>
      </c>
      <c r="D4501" s="9">
        <v>41744</v>
      </c>
      <c r="E4501" t="s">
        <v>296</v>
      </c>
      <c r="I4501" s="9"/>
    </row>
    <row r="4502" spans="1:9" x14ac:dyDescent="0.25">
      <c r="A4502">
        <v>611180</v>
      </c>
      <c r="B4502">
        <v>0.5</v>
      </c>
      <c r="C4502">
        <v>1926</v>
      </c>
      <c r="D4502" s="9">
        <v>41625</v>
      </c>
      <c r="E4502" t="s">
        <v>295</v>
      </c>
      <c r="I4502" s="9"/>
    </row>
    <row r="4503" spans="1:9" x14ac:dyDescent="0.25">
      <c r="A4503">
        <v>611180</v>
      </c>
      <c r="B4503">
        <v>0.5</v>
      </c>
      <c r="C4503">
        <v>1926</v>
      </c>
      <c r="D4503" s="9">
        <v>41625</v>
      </c>
      <c r="E4503" t="s">
        <v>295</v>
      </c>
      <c r="I4503" s="9"/>
    </row>
    <row r="4504" spans="1:9" x14ac:dyDescent="0.25">
      <c r="A4504">
        <v>611180</v>
      </c>
      <c r="B4504">
        <v>0.11899999999999999</v>
      </c>
      <c r="C4504">
        <v>9600</v>
      </c>
      <c r="D4504" s="9">
        <v>41535</v>
      </c>
      <c r="E4504" t="s">
        <v>296</v>
      </c>
      <c r="I4504" s="9"/>
    </row>
    <row r="4505" spans="1:9" x14ac:dyDescent="0.25">
      <c r="A4505">
        <v>611180</v>
      </c>
      <c r="B4505">
        <v>0.11899999999999999</v>
      </c>
      <c r="C4505">
        <v>10080</v>
      </c>
      <c r="D4505" s="9">
        <v>41418</v>
      </c>
      <c r="E4505" t="s">
        <v>296</v>
      </c>
      <c r="I4505" s="9"/>
    </row>
    <row r="4506" spans="1:9" x14ac:dyDescent="0.25">
      <c r="A4506">
        <v>611180</v>
      </c>
      <c r="B4506">
        <v>0.123</v>
      </c>
      <c r="C4506">
        <v>9600</v>
      </c>
      <c r="D4506" s="9">
        <v>41281</v>
      </c>
      <c r="E4506" t="s">
        <v>296</v>
      </c>
      <c r="I4506" s="9"/>
    </row>
    <row r="4507" spans="1:9" x14ac:dyDescent="0.25">
      <c r="A4507">
        <v>611182</v>
      </c>
      <c r="B4507">
        <v>0.41</v>
      </c>
      <c r="C4507">
        <v>4320</v>
      </c>
      <c r="D4507" s="9">
        <v>44111</v>
      </c>
      <c r="E4507" t="s">
        <v>296</v>
      </c>
      <c r="I4507" s="9"/>
    </row>
    <row r="4508" spans="1:9" x14ac:dyDescent="0.25">
      <c r="A4508">
        <v>611182</v>
      </c>
      <c r="B4508">
        <v>0.41</v>
      </c>
      <c r="C4508">
        <v>5184</v>
      </c>
      <c r="D4508" s="9">
        <v>43991</v>
      </c>
      <c r="E4508" t="s">
        <v>296</v>
      </c>
      <c r="I4508" s="9"/>
    </row>
    <row r="4509" spans="1:9" x14ac:dyDescent="0.25">
      <c r="A4509">
        <v>611182</v>
      </c>
      <c r="B4509">
        <v>0.41</v>
      </c>
      <c r="C4509">
        <v>5760</v>
      </c>
      <c r="D4509" s="9">
        <v>43592</v>
      </c>
      <c r="E4509" t="s">
        <v>296</v>
      </c>
      <c r="I4509" s="9"/>
    </row>
    <row r="4510" spans="1:9" x14ac:dyDescent="0.25">
      <c r="A4510">
        <v>611182</v>
      </c>
      <c r="B4510">
        <v>0.4</v>
      </c>
      <c r="C4510">
        <v>5760</v>
      </c>
      <c r="D4510" s="9">
        <v>43489</v>
      </c>
      <c r="E4510" t="s">
        <v>296</v>
      </c>
      <c r="I4510" s="9"/>
    </row>
    <row r="4511" spans="1:9" x14ac:dyDescent="0.25">
      <c r="A4511">
        <v>611182</v>
      </c>
      <c r="B4511">
        <v>1.44</v>
      </c>
      <c r="C4511">
        <v>4320</v>
      </c>
      <c r="D4511" s="9">
        <v>43263</v>
      </c>
      <c r="E4511" t="s">
        <v>295</v>
      </c>
      <c r="I4511" s="9"/>
    </row>
    <row r="4512" spans="1:9" x14ac:dyDescent="0.25">
      <c r="A4512">
        <v>611182</v>
      </c>
      <c r="B4512">
        <v>0.38</v>
      </c>
      <c r="C4512">
        <v>4320</v>
      </c>
      <c r="D4512" s="9">
        <v>43228</v>
      </c>
      <c r="E4512" t="s">
        <v>296</v>
      </c>
      <c r="I4512" s="9"/>
    </row>
    <row r="4513" spans="1:9" x14ac:dyDescent="0.25">
      <c r="A4513">
        <v>611182</v>
      </c>
      <c r="B4513">
        <v>1.39</v>
      </c>
      <c r="C4513">
        <v>3456</v>
      </c>
      <c r="D4513" s="9">
        <v>43123</v>
      </c>
      <c r="E4513" t="s">
        <v>295</v>
      </c>
      <c r="I4513" s="9"/>
    </row>
    <row r="4514" spans="1:9" x14ac:dyDescent="0.25">
      <c r="A4514">
        <v>611182</v>
      </c>
      <c r="B4514">
        <v>0.38</v>
      </c>
      <c r="C4514">
        <v>3456</v>
      </c>
      <c r="D4514" s="9">
        <v>43067</v>
      </c>
      <c r="E4514" t="s">
        <v>296</v>
      </c>
      <c r="I4514" s="9"/>
    </row>
    <row r="4515" spans="1:9" x14ac:dyDescent="0.25">
      <c r="A4515">
        <v>611182</v>
      </c>
      <c r="B4515">
        <v>0.38</v>
      </c>
      <c r="C4515">
        <v>3456</v>
      </c>
      <c r="D4515" s="9">
        <v>42859</v>
      </c>
      <c r="E4515" t="s">
        <v>296</v>
      </c>
      <c r="I4515" s="9"/>
    </row>
    <row r="4516" spans="1:9" x14ac:dyDescent="0.25">
      <c r="A4516">
        <v>611182</v>
      </c>
      <c r="B4516">
        <v>0.38</v>
      </c>
      <c r="C4516">
        <v>3456</v>
      </c>
      <c r="D4516" s="9">
        <v>42696</v>
      </c>
      <c r="E4516" t="s">
        <v>296</v>
      </c>
      <c r="I4516" s="9"/>
    </row>
    <row r="4517" spans="1:9" x14ac:dyDescent="0.25">
      <c r="A4517">
        <v>611182</v>
      </c>
      <c r="B4517">
        <v>0.38</v>
      </c>
      <c r="C4517">
        <v>4320</v>
      </c>
      <c r="D4517" s="9">
        <v>42530</v>
      </c>
      <c r="E4517" t="s">
        <v>296</v>
      </c>
      <c r="I4517" s="9"/>
    </row>
    <row r="4518" spans="1:9" x14ac:dyDescent="0.25">
      <c r="A4518">
        <v>611182</v>
      </c>
      <c r="B4518">
        <v>0.41</v>
      </c>
      <c r="C4518">
        <v>4608</v>
      </c>
      <c r="D4518" s="9">
        <v>42380</v>
      </c>
      <c r="E4518" t="s">
        <v>296</v>
      </c>
      <c r="I4518" s="9"/>
    </row>
    <row r="4519" spans="1:9" x14ac:dyDescent="0.25">
      <c r="A4519">
        <v>611182</v>
      </c>
      <c r="B4519">
        <v>0.41</v>
      </c>
      <c r="C4519">
        <v>4608</v>
      </c>
      <c r="D4519" s="9">
        <v>42270</v>
      </c>
      <c r="E4519" t="s">
        <v>296</v>
      </c>
      <c r="I4519" s="9"/>
    </row>
    <row r="4520" spans="1:9" x14ac:dyDescent="0.25">
      <c r="A4520">
        <v>611182</v>
      </c>
      <c r="B4520">
        <v>0.41</v>
      </c>
      <c r="C4520">
        <v>4608</v>
      </c>
      <c r="D4520" s="9">
        <v>42139</v>
      </c>
      <c r="E4520" t="s">
        <v>296</v>
      </c>
      <c r="I4520" s="9"/>
    </row>
    <row r="4521" spans="1:9" x14ac:dyDescent="0.25">
      <c r="A4521">
        <v>611182</v>
      </c>
      <c r="B4521">
        <v>0.41</v>
      </c>
      <c r="C4521">
        <v>4608</v>
      </c>
      <c r="D4521" s="9">
        <v>41947</v>
      </c>
      <c r="E4521" t="s">
        <v>296</v>
      </c>
      <c r="I4521" s="9"/>
    </row>
    <row r="4522" spans="1:9" x14ac:dyDescent="0.25">
      <c r="A4522">
        <v>611182</v>
      </c>
      <c r="B4522">
        <v>0.41</v>
      </c>
      <c r="C4522">
        <v>7488</v>
      </c>
      <c r="D4522" s="9">
        <v>41746</v>
      </c>
      <c r="E4522" t="s">
        <v>296</v>
      </c>
      <c r="I4522" s="9"/>
    </row>
    <row r="4523" spans="1:9" x14ac:dyDescent="0.25">
      <c r="A4523">
        <v>611182</v>
      </c>
      <c r="B4523">
        <v>0.41</v>
      </c>
      <c r="C4523">
        <v>7488</v>
      </c>
      <c r="D4523" s="9">
        <v>41558</v>
      </c>
      <c r="E4523" t="s">
        <v>296</v>
      </c>
      <c r="I4523" s="9"/>
    </row>
    <row r="4524" spans="1:9" x14ac:dyDescent="0.25">
      <c r="A4524">
        <v>611182</v>
      </c>
      <c r="B4524">
        <v>0.41</v>
      </c>
      <c r="C4524">
        <v>4320</v>
      </c>
      <c r="D4524" s="9">
        <v>41484</v>
      </c>
      <c r="E4524" t="s">
        <v>296</v>
      </c>
      <c r="I4524" s="9"/>
    </row>
    <row r="4525" spans="1:9" x14ac:dyDescent="0.25">
      <c r="A4525">
        <v>611182</v>
      </c>
      <c r="B4525">
        <v>0.41</v>
      </c>
      <c r="C4525">
        <v>4896</v>
      </c>
      <c r="D4525" s="9">
        <v>41281</v>
      </c>
      <c r="E4525" t="s">
        <v>296</v>
      </c>
      <c r="I4525" s="9"/>
    </row>
    <row r="4526" spans="1:9" x14ac:dyDescent="0.25">
      <c r="A4526">
        <v>611191</v>
      </c>
      <c r="B4526">
        <v>0.215</v>
      </c>
      <c r="C4526">
        <v>6000</v>
      </c>
      <c r="D4526" s="9">
        <v>44097</v>
      </c>
      <c r="E4526" t="s">
        <v>296</v>
      </c>
      <c r="I4526" s="9"/>
    </row>
    <row r="4527" spans="1:9" x14ac:dyDescent="0.25">
      <c r="A4527">
        <v>611191</v>
      </c>
      <c r="B4527">
        <v>0.21</v>
      </c>
      <c r="C4527">
        <v>6000</v>
      </c>
      <c r="D4527" s="9">
        <v>44060</v>
      </c>
      <c r="E4527" t="s">
        <v>296</v>
      </c>
      <c r="I4527" s="9"/>
    </row>
    <row r="4528" spans="1:9" x14ac:dyDescent="0.25">
      <c r="A4528">
        <v>611191</v>
      </c>
      <c r="B4528">
        <v>0.21</v>
      </c>
      <c r="C4528">
        <v>6000</v>
      </c>
      <c r="D4528" s="9">
        <v>43829</v>
      </c>
      <c r="E4528" t="s">
        <v>296</v>
      </c>
      <c r="I4528" s="9"/>
    </row>
    <row r="4529" spans="1:9" x14ac:dyDescent="0.25">
      <c r="A4529">
        <v>611191</v>
      </c>
      <c r="B4529">
        <v>0.215</v>
      </c>
      <c r="C4529">
        <v>4800</v>
      </c>
      <c r="D4529" s="9">
        <v>43684</v>
      </c>
      <c r="E4529" t="s">
        <v>296</v>
      </c>
      <c r="I4529" s="9"/>
    </row>
    <row r="4530" spans="1:9" x14ac:dyDescent="0.25">
      <c r="A4530">
        <v>611191</v>
      </c>
      <c r="B4530">
        <v>0.215</v>
      </c>
      <c r="C4530">
        <v>6000</v>
      </c>
      <c r="D4530" s="9">
        <v>43592</v>
      </c>
      <c r="E4530" t="s">
        <v>296</v>
      </c>
      <c r="I4530" s="9"/>
    </row>
    <row r="4531" spans="1:9" x14ac:dyDescent="0.25">
      <c r="A4531">
        <v>611191</v>
      </c>
      <c r="B4531">
        <v>0.20499999999999999</v>
      </c>
      <c r="C4531">
        <v>6000</v>
      </c>
      <c r="D4531" s="9">
        <v>43489</v>
      </c>
      <c r="E4531" t="s">
        <v>296</v>
      </c>
      <c r="I4531" s="9"/>
    </row>
    <row r="4532" spans="1:9" x14ac:dyDescent="0.25">
      <c r="A4532">
        <v>611191</v>
      </c>
      <c r="B4532">
        <v>0.78</v>
      </c>
      <c r="C4532">
        <v>6000</v>
      </c>
      <c r="D4532" s="9">
        <v>43298</v>
      </c>
      <c r="E4532" t="s">
        <v>295</v>
      </c>
      <c r="I4532" s="9"/>
    </row>
    <row r="4533" spans="1:9" x14ac:dyDescent="0.25">
      <c r="A4533">
        <v>611191</v>
      </c>
      <c r="B4533">
        <v>0.2</v>
      </c>
      <c r="C4533">
        <v>6000</v>
      </c>
      <c r="D4533" s="9">
        <v>43264</v>
      </c>
      <c r="E4533" t="s">
        <v>296</v>
      </c>
      <c r="I4533" s="9"/>
    </row>
    <row r="4534" spans="1:9" x14ac:dyDescent="0.25">
      <c r="A4534">
        <v>611191</v>
      </c>
      <c r="B4534">
        <v>0.2</v>
      </c>
      <c r="C4534">
        <v>7200</v>
      </c>
      <c r="D4534" s="9">
        <v>42972</v>
      </c>
      <c r="E4534" t="s">
        <v>296</v>
      </c>
      <c r="I4534" s="9"/>
    </row>
    <row r="4535" spans="1:9" x14ac:dyDescent="0.25">
      <c r="A4535">
        <v>611191</v>
      </c>
      <c r="B4535">
        <v>0.20499999999999999</v>
      </c>
      <c r="C4535">
        <v>7800</v>
      </c>
      <c r="D4535" s="9">
        <v>42859</v>
      </c>
      <c r="E4535" t="s">
        <v>296</v>
      </c>
      <c r="I4535" s="9"/>
    </row>
    <row r="4536" spans="1:9" x14ac:dyDescent="0.25">
      <c r="A4536">
        <v>611191</v>
      </c>
      <c r="B4536">
        <v>0.17499999999999999</v>
      </c>
      <c r="C4536">
        <v>7680</v>
      </c>
      <c r="D4536" s="9">
        <v>42617</v>
      </c>
      <c r="E4536" t="s">
        <v>296</v>
      </c>
      <c r="I4536" s="9"/>
    </row>
    <row r="4537" spans="1:9" x14ac:dyDescent="0.25">
      <c r="A4537">
        <v>611191</v>
      </c>
      <c r="B4537">
        <v>0.17499999999999999</v>
      </c>
      <c r="C4537">
        <v>7200</v>
      </c>
      <c r="D4537" s="9">
        <v>42510</v>
      </c>
      <c r="E4537" t="s">
        <v>296</v>
      </c>
      <c r="I4537" s="9"/>
    </row>
    <row r="4538" spans="1:9" x14ac:dyDescent="0.25">
      <c r="A4538">
        <v>611191</v>
      </c>
      <c r="B4538">
        <v>0.17499999999999999</v>
      </c>
      <c r="C4538">
        <v>4800</v>
      </c>
      <c r="D4538" s="9">
        <v>42383</v>
      </c>
      <c r="E4538" t="s">
        <v>296</v>
      </c>
      <c r="I4538" s="9"/>
    </row>
    <row r="4539" spans="1:9" x14ac:dyDescent="0.25">
      <c r="A4539">
        <v>611191</v>
      </c>
      <c r="B4539">
        <v>0.17499999999999999</v>
      </c>
      <c r="C4539">
        <v>4800</v>
      </c>
      <c r="D4539" s="9">
        <v>42230</v>
      </c>
      <c r="E4539" t="s">
        <v>296</v>
      </c>
      <c r="I4539" s="9"/>
    </row>
    <row r="4540" spans="1:9" x14ac:dyDescent="0.25">
      <c r="A4540">
        <v>611191</v>
      </c>
      <c r="B4540">
        <v>0.16</v>
      </c>
      <c r="C4540">
        <v>4800</v>
      </c>
      <c r="D4540" s="9">
        <v>42116</v>
      </c>
      <c r="E4540" t="s">
        <v>296</v>
      </c>
      <c r="I4540" s="9"/>
    </row>
    <row r="4541" spans="1:9" x14ac:dyDescent="0.25">
      <c r="A4541">
        <v>611191</v>
      </c>
      <c r="B4541">
        <v>0.23499999999999999</v>
      </c>
      <c r="C4541">
        <v>6000</v>
      </c>
      <c r="D4541" s="9">
        <v>41947</v>
      </c>
      <c r="E4541" t="s">
        <v>296</v>
      </c>
      <c r="I4541" s="9"/>
    </row>
    <row r="4542" spans="1:9" x14ac:dyDescent="0.25">
      <c r="A4542">
        <v>611191</v>
      </c>
      <c r="B4542">
        <v>0.186</v>
      </c>
      <c r="C4542">
        <v>12000</v>
      </c>
      <c r="D4542" s="9">
        <v>41765</v>
      </c>
      <c r="E4542" t="s">
        <v>296</v>
      </c>
      <c r="I4542" s="9"/>
    </row>
    <row r="4543" spans="1:9" x14ac:dyDescent="0.25">
      <c r="A4543">
        <v>611191</v>
      </c>
      <c r="B4543">
        <v>0.186</v>
      </c>
      <c r="C4543">
        <v>8640</v>
      </c>
      <c r="D4543" s="9">
        <v>41558</v>
      </c>
      <c r="E4543" t="s">
        <v>296</v>
      </c>
      <c r="I4543" s="9"/>
    </row>
    <row r="4544" spans="1:9" x14ac:dyDescent="0.25">
      <c r="A4544">
        <v>611191</v>
      </c>
      <c r="B4544">
        <v>0.248</v>
      </c>
      <c r="C4544">
        <v>7600</v>
      </c>
      <c r="D4544" s="9">
        <v>41484</v>
      </c>
      <c r="E4544" t="s">
        <v>296</v>
      </c>
      <c r="I4544" s="9"/>
    </row>
    <row r="4545" spans="1:9" x14ac:dyDescent="0.25">
      <c r="A4545">
        <v>611191</v>
      </c>
      <c r="B4545">
        <v>0.248</v>
      </c>
      <c r="C4545">
        <v>9600</v>
      </c>
      <c r="D4545" s="9">
        <v>41281</v>
      </c>
      <c r="E4545" t="s">
        <v>296</v>
      </c>
      <c r="I4545" s="9"/>
    </row>
    <row r="4546" spans="1:9" x14ac:dyDescent="0.25">
      <c r="A4546">
        <v>611195</v>
      </c>
      <c r="B4546">
        <v>1.02</v>
      </c>
      <c r="C4546">
        <v>1440</v>
      </c>
      <c r="D4546" s="9">
        <v>43819</v>
      </c>
      <c r="E4546" t="s">
        <v>296</v>
      </c>
      <c r="I4546" s="9"/>
    </row>
    <row r="4547" spans="1:9" x14ac:dyDescent="0.25">
      <c r="A4547">
        <v>611195</v>
      </c>
      <c r="B4547">
        <v>1.03</v>
      </c>
      <c r="C4547">
        <v>2304</v>
      </c>
      <c r="D4547" s="9">
        <v>43819</v>
      </c>
      <c r="E4547" t="s">
        <v>296</v>
      </c>
      <c r="I4547" s="9"/>
    </row>
    <row r="4548" spans="1:9" x14ac:dyDescent="0.25">
      <c r="A4548">
        <v>611195</v>
      </c>
      <c r="B4548">
        <v>1.03</v>
      </c>
      <c r="C4548">
        <v>2016</v>
      </c>
      <c r="D4548" s="9">
        <v>43592</v>
      </c>
      <c r="E4548" t="s">
        <v>296</v>
      </c>
      <c r="I4548" s="9"/>
    </row>
    <row r="4549" spans="1:9" x14ac:dyDescent="0.25">
      <c r="A4549">
        <v>611195</v>
      </c>
      <c r="B4549">
        <v>1.05</v>
      </c>
      <c r="C4549">
        <v>2016</v>
      </c>
      <c r="D4549" s="9">
        <v>43333</v>
      </c>
      <c r="E4549" t="s">
        <v>296</v>
      </c>
      <c r="I4549" s="9"/>
    </row>
    <row r="4550" spans="1:9" x14ac:dyDescent="0.25">
      <c r="A4550">
        <v>611195</v>
      </c>
      <c r="B4550">
        <v>1.02</v>
      </c>
      <c r="C4550">
        <v>2016</v>
      </c>
      <c r="D4550" s="9">
        <v>43067</v>
      </c>
      <c r="E4550" t="s">
        <v>296</v>
      </c>
      <c r="I4550" s="9"/>
    </row>
    <row r="4551" spans="1:9" x14ac:dyDescent="0.25">
      <c r="A4551">
        <v>611195</v>
      </c>
      <c r="B4551">
        <v>1</v>
      </c>
      <c r="C4551">
        <v>2016</v>
      </c>
      <c r="D4551" s="9">
        <v>42976</v>
      </c>
      <c r="E4551" t="s">
        <v>296</v>
      </c>
      <c r="I4551" s="9"/>
    </row>
    <row r="4552" spans="1:9" x14ac:dyDescent="0.25">
      <c r="A4552">
        <v>611195</v>
      </c>
      <c r="B4552">
        <v>1</v>
      </c>
      <c r="C4552">
        <v>2000</v>
      </c>
      <c r="D4552" s="9">
        <v>42836</v>
      </c>
      <c r="E4552" t="s">
        <v>296</v>
      </c>
      <c r="I4552" s="9"/>
    </row>
    <row r="4553" spans="1:9" x14ac:dyDescent="0.25">
      <c r="A4553">
        <v>611195</v>
      </c>
      <c r="B4553">
        <v>1</v>
      </c>
      <c r="C4553">
        <v>1440</v>
      </c>
      <c r="D4553" s="9">
        <v>42586</v>
      </c>
      <c r="E4553" t="s">
        <v>296</v>
      </c>
      <c r="I4553" s="9"/>
    </row>
    <row r="4554" spans="1:9" x14ac:dyDescent="0.25">
      <c r="A4554">
        <v>611195</v>
      </c>
      <c r="B4554">
        <v>1</v>
      </c>
      <c r="C4554">
        <v>1152</v>
      </c>
      <c r="D4554" s="9">
        <v>41934</v>
      </c>
      <c r="E4554" t="s">
        <v>296</v>
      </c>
      <c r="I4554" s="9"/>
    </row>
    <row r="4555" spans="1:9" x14ac:dyDescent="0.25">
      <c r="A4555">
        <v>613000</v>
      </c>
      <c r="B4555">
        <v>0.499</v>
      </c>
      <c r="C4555">
        <v>3000</v>
      </c>
      <c r="D4555" s="9">
        <v>44070</v>
      </c>
      <c r="E4555" t="s">
        <v>296</v>
      </c>
      <c r="I4555" s="9"/>
    </row>
    <row r="4556" spans="1:9" x14ac:dyDescent="0.25">
      <c r="A4556">
        <v>613000</v>
      </c>
      <c r="B4556">
        <v>0.54</v>
      </c>
      <c r="C4556">
        <v>3000</v>
      </c>
      <c r="D4556" s="9">
        <v>43333</v>
      </c>
      <c r="E4556" t="s">
        <v>296</v>
      </c>
      <c r="I4556" s="9"/>
    </row>
    <row r="4557" spans="1:9" x14ac:dyDescent="0.25">
      <c r="A4557">
        <v>613000</v>
      </c>
      <c r="B4557">
        <v>1.96</v>
      </c>
      <c r="C4557">
        <v>1500</v>
      </c>
      <c r="D4557" s="9">
        <v>43263</v>
      </c>
      <c r="E4557" t="s">
        <v>295</v>
      </c>
      <c r="I4557" s="9"/>
    </row>
    <row r="4558" spans="1:9" x14ac:dyDescent="0.25">
      <c r="A4558">
        <v>613000</v>
      </c>
      <c r="B4558">
        <v>0.52500000000000002</v>
      </c>
      <c r="C4558">
        <v>1500</v>
      </c>
      <c r="D4558" s="9">
        <v>43228</v>
      </c>
      <c r="E4558" t="s">
        <v>296</v>
      </c>
      <c r="I4558" s="9"/>
    </row>
    <row r="4559" spans="1:9" x14ac:dyDescent="0.25">
      <c r="A4559">
        <v>613000</v>
      </c>
      <c r="B4559">
        <v>0.5</v>
      </c>
      <c r="C4559">
        <v>1500</v>
      </c>
      <c r="D4559" s="9">
        <v>42836</v>
      </c>
      <c r="E4559" t="s">
        <v>296</v>
      </c>
      <c r="I4559" s="9"/>
    </row>
    <row r="4560" spans="1:9" x14ac:dyDescent="0.25">
      <c r="A4560">
        <v>613000</v>
      </c>
      <c r="B4560">
        <v>0.5</v>
      </c>
      <c r="C4560">
        <v>1440</v>
      </c>
      <c r="D4560" s="9">
        <v>42530</v>
      </c>
      <c r="E4560" t="s">
        <v>296</v>
      </c>
      <c r="I4560" s="9"/>
    </row>
    <row r="4561" spans="1:9" x14ac:dyDescent="0.25">
      <c r="A4561">
        <v>613000</v>
      </c>
      <c r="B4561">
        <v>0.54</v>
      </c>
      <c r="C4561">
        <v>1440</v>
      </c>
      <c r="D4561" s="9">
        <v>42325</v>
      </c>
      <c r="E4561" t="s">
        <v>296</v>
      </c>
      <c r="I4561" s="9"/>
    </row>
    <row r="4562" spans="1:9" x14ac:dyDescent="0.25">
      <c r="A4562">
        <v>613000</v>
      </c>
      <c r="B4562">
        <v>0.495</v>
      </c>
      <c r="C4562">
        <v>2400</v>
      </c>
      <c r="D4562" s="9">
        <v>41765</v>
      </c>
      <c r="E4562" t="s">
        <v>296</v>
      </c>
      <c r="I4562" s="9"/>
    </row>
    <row r="4563" spans="1:9" x14ac:dyDescent="0.25">
      <c r="A4563">
        <v>613000</v>
      </c>
      <c r="B4563">
        <v>0.53</v>
      </c>
      <c r="C4563">
        <v>2400</v>
      </c>
      <c r="D4563" s="9">
        <v>41417</v>
      </c>
      <c r="E4563" t="s">
        <v>296</v>
      </c>
      <c r="I4563" s="9"/>
    </row>
    <row r="4564" spans="1:9" x14ac:dyDescent="0.25">
      <c r="A4564">
        <v>613003</v>
      </c>
      <c r="B4564">
        <v>4.78</v>
      </c>
      <c r="C4564">
        <v>1008</v>
      </c>
      <c r="D4564" s="9">
        <v>43090</v>
      </c>
      <c r="E4564" t="s">
        <v>295</v>
      </c>
      <c r="I4564" s="9"/>
    </row>
    <row r="4565" spans="1:9" x14ac:dyDescent="0.25">
      <c r="A4565">
        <v>613003</v>
      </c>
      <c r="B4565">
        <v>1.3</v>
      </c>
      <c r="C4565">
        <v>1008</v>
      </c>
      <c r="D4565" s="9">
        <v>43052</v>
      </c>
      <c r="E4565" t="s">
        <v>296</v>
      </c>
      <c r="I4565" s="9"/>
    </row>
    <row r="4566" spans="1:9" x14ac:dyDescent="0.25">
      <c r="A4566">
        <v>613003</v>
      </c>
      <c r="B4566">
        <v>1.3</v>
      </c>
      <c r="C4566">
        <v>576</v>
      </c>
      <c r="D4566" s="9">
        <v>42655</v>
      </c>
      <c r="E4566" t="s">
        <v>296</v>
      </c>
      <c r="I4566" s="9"/>
    </row>
    <row r="4567" spans="1:9" x14ac:dyDescent="0.25">
      <c r="A4567">
        <v>613003</v>
      </c>
      <c r="B4567">
        <v>1.3</v>
      </c>
      <c r="C4567">
        <v>576</v>
      </c>
      <c r="D4567" s="9">
        <v>42655</v>
      </c>
      <c r="E4567" t="s">
        <v>296</v>
      </c>
      <c r="I4567" s="9"/>
    </row>
    <row r="4568" spans="1:9" x14ac:dyDescent="0.25">
      <c r="A4568">
        <v>613003</v>
      </c>
      <c r="B4568">
        <v>1.3</v>
      </c>
      <c r="C4568">
        <v>500</v>
      </c>
      <c r="D4568" s="9">
        <v>42325</v>
      </c>
      <c r="E4568" t="s">
        <v>296</v>
      </c>
      <c r="I4568" s="9"/>
    </row>
    <row r="4569" spans="1:9" x14ac:dyDescent="0.25">
      <c r="A4569">
        <v>614000</v>
      </c>
      <c r="B4569">
        <v>0.439</v>
      </c>
      <c r="C4569">
        <v>1440</v>
      </c>
      <c r="D4569" s="9">
        <v>43063</v>
      </c>
      <c r="E4569" t="s">
        <v>296</v>
      </c>
      <c r="I4569" s="9"/>
    </row>
    <row r="4570" spans="1:9" x14ac:dyDescent="0.25">
      <c r="A4570">
        <v>614000</v>
      </c>
      <c r="B4570">
        <v>0.443</v>
      </c>
      <c r="C4570">
        <v>1200</v>
      </c>
      <c r="D4570" s="9">
        <v>42753</v>
      </c>
      <c r="E4570" t="s">
        <v>297</v>
      </c>
      <c r="I4570" s="9"/>
    </row>
    <row r="4571" spans="1:9" x14ac:dyDescent="0.25">
      <c r="A4571">
        <v>614000</v>
      </c>
      <c r="B4571">
        <v>0.443</v>
      </c>
      <c r="C4571">
        <v>1680</v>
      </c>
      <c r="D4571" s="9">
        <v>41821</v>
      </c>
      <c r="E4571" t="s">
        <v>296</v>
      </c>
      <c r="I4571" s="9"/>
    </row>
    <row r="4572" spans="1:9" x14ac:dyDescent="0.25">
      <c r="A4572">
        <v>614000</v>
      </c>
      <c r="B4572">
        <v>1.36</v>
      </c>
      <c r="C4572">
        <v>1680</v>
      </c>
      <c r="D4572" s="9">
        <v>41821</v>
      </c>
      <c r="E4572" t="s">
        <v>295</v>
      </c>
      <c r="I4572" s="9"/>
    </row>
    <row r="4573" spans="1:9" x14ac:dyDescent="0.25">
      <c r="A4573">
        <v>614000</v>
      </c>
      <c r="B4573">
        <v>0.38500000000000001</v>
      </c>
      <c r="C4573">
        <v>1680</v>
      </c>
      <c r="D4573" s="9">
        <v>41682</v>
      </c>
      <c r="E4573" t="s">
        <v>296</v>
      </c>
      <c r="I4573" s="9"/>
    </row>
    <row r="4574" spans="1:9" x14ac:dyDescent="0.25">
      <c r="A4574">
        <v>614012</v>
      </c>
      <c r="B4574">
        <v>0.628</v>
      </c>
      <c r="C4574">
        <v>720</v>
      </c>
      <c r="D4574" s="9">
        <v>44068</v>
      </c>
      <c r="E4574" t="s">
        <v>296</v>
      </c>
      <c r="I4574" s="9"/>
    </row>
    <row r="4575" spans="1:9" x14ac:dyDescent="0.25">
      <c r="A4575">
        <v>614012</v>
      </c>
      <c r="B4575">
        <v>0.628</v>
      </c>
      <c r="C4575">
        <v>960</v>
      </c>
      <c r="D4575" s="9">
        <v>44068</v>
      </c>
      <c r="E4575" t="s">
        <v>296</v>
      </c>
      <c r="I4575" s="9"/>
    </row>
    <row r="4576" spans="1:9" x14ac:dyDescent="0.25">
      <c r="A4576">
        <v>614012</v>
      </c>
      <c r="B4576">
        <v>0.45300000000000001</v>
      </c>
      <c r="C4576">
        <v>1680</v>
      </c>
      <c r="D4576" s="9">
        <v>43427</v>
      </c>
      <c r="E4576" t="s">
        <v>296</v>
      </c>
      <c r="I4576" s="9"/>
    </row>
    <row r="4577" spans="1:9" x14ac:dyDescent="0.25">
      <c r="A4577">
        <v>614012</v>
      </c>
      <c r="B4577">
        <v>0.43099999999999999</v>
      </c>
      <c r="C4577">
        <v>1680</v>
      </c>
      <c r="D4577" s="9">
        <v>43063</v>
      </c>
      <c r="E4577" t="s">
        <v>296</v>
      </c>
      <c r="I4577" s="9"/>
    </row>
    <row r="4578" spans="1:9" x14ac:dyDescent="0.25">
      <c r="A4578">
        <v>614012</v>
      </c>
      <c r="B4578">
        <v>2.98</v>
      </c>
      <c r="C4578">
        <v>80</v>
      </c>
      <c r="D4578" s="9">
        <v>42998</v>
      </c>
      <c r="E4578" t="s">
        <v>295</v>
      </c>
      <c r="I4578" s="9"/>
    </row>
    <row r="4579" spans="1:9" x14ac:dyDescent="0.25">
      <c r="A4579">
        <v>614012</v>
      </c>
      <c r="B4579">
        <v>1.98</v>
      </c>
      <c r="C4579">
        <v>840</v>
      </c>
      <c r="D4579" s="9">
        <v>42520</v>
      </c>
      <c r="E4579" t="s">
        <v>295</v>
      </c>
      <c r="I4579" s="9"/>
    </row>
    <row r="4580" spans="1:9" x14ac:dyDescent="0.25">
      <c r="A4580">
        <v>614012</v>
      </c>
      <c r="B4580">
        <v>0.45</v>
      </c>
      <c r="C4580">
        <v>1680</v>
      </c>
      <c r="D4580" s="9">
        <v>42520</v>
      </c>
      <c r="E4580" t="s">
        <v>297</v>
      </c>
      <c r="I4580" s="9"/>
    </row>
    <row r="4581" spans="1:9" x14ac:dyDescent="0.25">
      <c r="A4581">
        <v>614012</v>
      </c>
      <c r="B4581">
        <v>0.45</v>
      </c>
      <c r="C4581">
        <v>1680</v>
      </c>
      <c r="D4581" s="9">
        <v>42233</v>
      </c>
      <c r="E4581" t="s">
        <v>297</v>
      </c>
      <c r="I4581" s="9"/>
    </row>
    <row r="4582" spans="1:9" x14ac:dyDescent="0.25">
      <c r="A4582">
        <v>614012</v>
      </c>
      <c r="B4582">
        <v>1.5</v>
      </c>
      <c r="C4582">
        <v>1680</v>
      </c>
      <c r="D4582" s="9">
        <v>41821</v>
      </c>
      <c r="E4582" t="s">
        <v>295</v>
      </c>
      <c r="I4582" s="9"/>
    </row>
    <row r="4583" spans="1:9" x14ac:dyDescent="0.25">
      <c r="A4583">
        <v>614012</v>
      </c>
      <c r="B4583">
        <v>0.49</v>
      </c>
      <c r="C4583">
        <v>1680</v>
      </c>
      <c r="D4583" s="9">
        <v>41821</v>
      </c>
      <c r="E4583" t="s">
        <v>296</v>
      </c>
      <c r="I4583" s="9"/>
    </row>
    <row r="4584" spans="1:9" x14ac:dyDescent="0.25">
      <c r="A4584">
        <v>614012</v>
      </c>
      <c r="B4584">
        <v>0.48</v>
      </c>
      <c r="C4584">
        <v>1680</v>
      </c>
      <c r="D4584" s="9">
        <v>41682</v>
      </c>
      <c r="E4584" t="s">
        <v>296</v>
      </c>
      <c r="I4584" s="9"/>
    </row>
    <row r="4585" spans="1:9" x14ac:dyDescent="0.25">
      <c r="A4585">
        <v>614012</v>
      </c>
      <c r="B4585">
        <v>0.48</v>
      </c>
      <c r="C4585">
        <v>1440</v>
      </c>
      <c r="D4585" s="9">
        <v>41418</v>
      </c>
      <c r="E4585" t="s">
        <v>296</v>
      </c>
      <c r="I4585" s="9"/>
    </row>
    <row r="4586" spans="1:9" x14ac:dyDescent="0.25">
      <c r="A4586">
        <v>614018</v>
      </c>
      <c r="B4586">
        <v>0.83699999999999997</v>
      </c>
      <c r="C4586">
        <v>600</v>
      </c>
      <c r="D4586" s="9">
        <v>44113</v>
      </c>
      <c r="E4586" t="s">
        <v>296</v>
      </c>
      <c r="I4586" s="9"/>
    </row>
    <row r="4587" spans="1:9" x14ac:dyDescent="0.25">
      <c r="A4587">
        <v>614018</v>
      </c>
      <c r="B4587">
        <v>0.83699999999999997</v>
      </c>
      <c r="C4587">
        <v>600</v>
      </c>
      <c r="D4587" s="9">
        <v>44068</v>
      </c>
      <c r="E4587" t="s">
        <v>296</v>
      </c>
      <c r="I4587" s="9"/>
    </row>
    <row r="4588" spans="1:9" x14ac:dyDescent="0.25">
      <c r="A4588">
        <v>614018</v>
      </c>
      <c r="B4588">
        <v>0.63400000000000001</v>
      </c>
      <c r="C4588">
        <v>960</v>
      </c>
      <c r="D4588" s="9">
        <v>43427</v>
      </c>
      <c r="E4588" t="s">
        <v>296</v>
      </c>
      <c r="I4588" s="9"/>
    </row>
    <row r="4589" spans="1:9" x14ac:dyDescent="0.25">
      <c r="A4589">
        <v>614018</v>
      </c>
      <c r="B4589">
        <v>0.63400000000000001</v>
      </c>
      <c r="C4589">
        <v>960</v>
      </c>
      <c r="D4589" s="9">
        <v>43427</v>
      </c>
      <c r="E4589" t="s">
        <v>296</v>
      </c>
      <c r="I4589" s="9"/>
    </row>
    <row r="4590" spans="1:9" x14ac:dyDescent="0.25">
      <c r="A4590">
        <v>614018</v>
      </c>
      <c r="B4590">
        <v>0.59</v>
      </c>
      <c r="C4590">
        <v>960</v>
      </c>
      <c r="D4590" s="9">
        <v>43063</v>
      </c>
      <c r="E4590" t="s">
        <v>296</v>
      </c>
      <c r="I4590" s="9"/>
    </row>
    <row r="4591" spans="1:9" x14ac:dyDescent="0.25">
      <c r="A4591">
        <v>614018</v>
      </c>
      <c r="B4591">
        <v>0.67500000000000004</v>
      </c>
      <c r="C4591">
        <v>960</v>
      </c>
      <c r="D4591" s="9">
        <v>42520</v>
      </c>
      <c r="E4591" t="s">
        <v>297</v>
      </c>
      <c r="I4591" s="9"/>
    </row>
    <row r="4592" spans="1:9" x14ac:dyDescent="0.25">
      <c r="A4592">
        <v>614018</v>
      </c>
      <c r="B4592">
        <v>2.96</v>
      </c>
      <c r="C4592">
        <v>480</v>
      </c>
      <c r="D4592" s="9">
        <v>42520</v>
      </c>
      <c r="E4592" t="s">
        <v>295</v>
      </c>
      <c r="I4592" s="9"/>
    </row>
    <row r="4593" spans="1:9" x14ac:dyDescent="0.25">
      <c r="A4593">
        <v>614018</v>
      </c>
      <c r="B4593">
        <v>0.67500000000000004</v>
      </c>
      <c r="C4593">
        <v>960</v>
      </c>
      <c r="D4593" s="9">
        <v>42233</v>
      </c>
      <c r="E4593" t="s">
        <v>297</v>
      </c>
      <c r="I4593" s="9"/>
    </row>
    <row r="4594" spans="1:9" x14ac:dyDescent="0.25">
      <c r="A4594">
        <v>614018</v>
      </c>
      <c r="B4594">
        <v>0.71799999999999997</v>
      </c>
      <c r="C4594">
        <v>1200</v>
      </c>
      <c r="D4594" s="9">
        <v>41821</v>
      </c>
      <c r="E4594" t="s">
        <v>296</v>
      </c>
      <c r="I4594" s="9"/>
    </row>
    <row r="4595" spans="1:9" x14ac:dyDescent="0.25">
      <c r="A4595">
        <v>614018</v>
      </c>
      <c r="B4595">
        <v>2.2000000000000002</v>
      </c>
      <c r="C4595">
        <v>1200</v>
      </c>
      <c r="D4595" s="9">
        <v>41821</v>
      </c>
      <c r="E4595" t="s">
        <v>295</v>
      </c>
      <c r="I4595" s="9"/>
    </row>
    <row r="4596" spans="1:9" x14ac:dyDescent="0.25">
      <c r="A4596">
        <v>614018</v>
      </c>
      <c r="B4596">
        <v>0.70399999999999996</v>
      </c>
      <c r="C4596">
        <v>1200</v>
      </c>
      <c r="D4596" s="9">
        <v>41682</v>
      </c>
      <c r="E4596" t="s">
        <v>296</v>
      </c>
      <c r="I4596" s="9"/>
    </row>
    <row r="4597" spans="1:9" x14ac:dyDescent="0.25">
      <c r="A4597">
        <v>614018</v>
      </c>
      <c r="B4597">
        <v>0.70399999999999996</v>
      </c>
      <c r="C4597">
        <v>1200</v>
      </c>
      <c r="D4597" s="9">
        <v>41418</v>
      </c>
      <c r="E4597" t="s">
        <v>296</v>
      </c>
      <c r="I4597" s="9"/>
    </row>
    <row r="4598" spans="1:9" x14ac:dyDescent="0.25">
      <c r="A4598">
        <v>614160</v>
      </c>
      <c r="B4598">
        <v>0.8</v>
      </c>
      <c r="C4598">
        <v>1600</v>
      </c>
      <c r="D4598" s="9">
        <v>43972</v>
      </c>
      <c r="E4598" t="s">
        <v>296</v>
      </c>
      <c r="I4598" s="9"/>
    </row>
    <row r="4599" spans="1:9" x14ac:dyDescent="0.25">
      <c r="A4599">
        <v>614160</v>
      </c>
      <c r="B4599">
        <v>0.63600000000000001</v>
      </c>
      <c r="C4599">
        <v>1500</v>
      </c>
      <c r="D4599" s="9">
        <v>42860</v>
      </c>
      <c r="E4599" t="s">
        <v>297</v>
      </c>
      <c r="I4599" s="9"/>
    </row>
    <row r="4600" spans="1:9" x14ac:dyDescent="0.25">
      <c r="A4600">
        <v>614160</v>
      </c>
      <c r="B4600">
        <v>0.75</v>
      </c>
      <c r="C4600">
        <v>1200</v>
      </c>
      <c r="D4600" s="9">
        <v>42719</v>
      </c>
      <c r="E4600" t="s">
        <v>296</v>
      </c>
      <c r="I4600" s="9"/>
    </row>
    <row r="4601" spans="1:9" x14ac:dyDescent="0.25">
      <c r="A4601">
        <v>614160</v>
      </c>
      <c r="B4601">
        <v>0.75</v>
      </c>
      <c r="C4601">
        <v>2000</v>
      </c>
      <c r="D4601" s="9">
        <v>42698</v>
      </c>
      <c r="E4601" t="s">
        <v>296</v>
      </c>
      <c r="I4601" s="9"/>
    </row>
    <row r="4602" spans="1:9" x14ac:dyDescent="0.25">
      <c r="A4602">
        <v>614160</v>
      </c>
      <c r="B4602">
        <v>0.75</v>
      </c>
      <c r="C4602">
        <v>1600</v>
      </c>
      <c r="D4602" s="9">
        <v>42660</v>
      </c>
      <c r="E4602" t="s">
        <v>296</v>
      </c>
      <c r="I4602" s="9"/>
    </row>
    <row r="4603" spans="1:9" x14ac:dyDescent="0.25">
      <c r="A4603">
        <v>614160</v>
      </c>
      <c r="B4603">
        <v>0.75</v>
      </c>
      <c r="C4603">
        <v>1200</v>
      </c>
      <c r="D4603" s="9">
        <v>42510</v>
      </c>
      <c r="E4603" t="s">
        <v>296</v>
      </c>
      <c r="I4603" s="9"/>
    </row>
    <row r="4604" spans="1:9" x14ac:dyDescent="0.25">
      <c r="A4604">
        <v>614160</v>
      </c>
      <c r="B4604">
        <v>0.69899999999999995</v>
      </c>
      <c r="C4604">
        <v>1200</v>
      </c>
      <c r="D4604" s="9">
        <v>42040</v>
      </c>
      <c r="E4604" t="s">
        <v>296</v>
      </c>
      <c r="I4604" s="9"/>
    </row>
    <row r="4605" spans="1:9" x14ac:dyDescent="0.25">
      <c r="A4605">
        <v>614160</v>
      </c>
      <c r="B4605">
        <v>0.69899999999999995</v>
      </c>
      <c r="C4605">
        <v>1200</v>
      </c>
      <c r="D4605" s="9">
        <v>42040</v>
      </c>
      <c r="E4605" t="s">
        <v>296</v>
      </c>
      <c r="I4605" s="9"/>
    </row>
    <row r="4606" spans="1:9" x14ac:dyDescent="0.25">
      <c r="A4606">
        <v>614160</v>
      </c>
      <c r="B4606">
        <v>0.69899999999999995</v>
      </c>
      <c r="C4606">
        <v>1280</v>
      </c>
      <c r="D4606" s="9">
        <v>41535</v>
      </c>
      <c r="E4606" t="s">
        <v>296</v>
      </c>
      <c r="I4606" s="9"/>
    </row>
    <row r="4607" spans="1:9" x14ac:dyDescent="0.25">
      <c r="A4607">
        <v>620040</v>
      </c>
      <c r="B4607">
        <v>1.55</v>
      </c>
      <c r="C4607">
        <v>1000</v>
      </c>
      <c r="D4607" s="9">
        <v>43992</v>
      </c>
      <c r="E4607" t="s">
        <v>296</v>
      </c>
      <c r="I4607" s="9"/>
    </row>
    <row r="4608" spans="1:9" x14ac:dyDescent="0.25">
      <c r="A4608">
        <v>620040</v>
      </c>
      <c r="B4608">
        <v>1.55</v>
      </c>
      <c r="C4608">
        <v>1008</v>
      </c>
      <c r="D4608" s="9">
        <v>43972</v>
      </c>
      <c r="E4608" t="s">
        <v>296</v>
      </c>
      <c r="I4608" s="9"/>
    </row>
    <row r="4609" spans="1:9" x14ac:dyDescent="0.25">
      <c r="A4609">
        <v>620040</v>
      </c>
      <c r="B4609">
        <v>7.2</v>
      </c>
      <c r="C4609">
        <v>240</v>
      </c>
      <c r="D4609" s="9">
        <v>43962</v>
      </c>
      <c r="E4609" t="s">
        <v>295</v>
      </c>
      <c r="I4609" s="9"/>
    </row>
    <row r="4610" spans="1:9" x14ac:dyDescent="0.25">
      <c r="A4610">
        <v>620040</v>
      </c>
      <c r="B4610">
        <v>1.22</v>
      </c>
      <c r="C4610">
        <v>900</v>
      </c>
      <c r="D4610" s="9">
        <v>43427</v>
      </c>
      <c r="E4610" t="s">
        <v>296</v>
      </c>
      <c r="I4610" s="9"/>
    </row>
    <row r="4611" spans="1:9" x14ac:dyDescent="0.25">
      <c r="A4611">
        <v>620040</v>
      </c>
      <c r="B4611">
        <v>1.1299999999999999</v>
      </c>
      <c r="C4611">
        <v>900</v>
      </c>
      <c r="D4611" s="9">
        <v>42976</v>
      </c>
      <c r="E4611" t="s">
        <v>296</v>
      </c>
      <c r="I4611" s="9"/>
    </row>
    <row r="4612" spans="1:9" x14ac:dyDescent="0.25">
      <c r="A4612">
        <v>620040</v>
      </c>
      <c r="B4612">
        <v>1.1299999999999999</v>
      </c>
      <c r="C4612">
        <v>960</v>
      </c>
      <c r="D4612" s="9">
        <v>42753</v>
      </c>
      <c r="E4612" t="s">
        <v>296</v>
      </c>
      <c r="I4612" s="9"/>
    </row>
    <row r="4613" spans="1:9" x14ac:dyDescent="0.25">
      <c r="A4613">
        <v>620040</v>
      </c>
      <c r="B4613">
        <v>1.012</v>
      </c>
      <c r="C4613">
        <v>480</v>
      </c>
      <c r="D4613" s="9">
        <v>42753</v>
      </c>
      <c r="E4613" t="s">
        <v>297</v>
      </c>
      <c r="I4613" s="9"/>
    </row>
    <row r="4614" spans="1:9" x14ac:dyDescent="0.25">
      <c r="A4614">
        <v>620040</v>
      </c>
      <c r="B4614">
        <v>1.012</v>
      </c>
      <c r="C4614">
        <v>900</v>
      </c>
      <c r="D4614" s="9">
        <v>42607</v>
      </c>
      <c r="E4614" t="s">
        <v>297</v>
      </c>
      <c r="I4614" s="9"/>
    </row>
    <row r="4615" spans="1:9" x14ac:dyDescent="0.25">
      <c r="A4615">
        <v>620040</v>
      </c>
      <c r="B4615">
        <v>1.012</v>
      </c>
      <c r="C4615">
        <v>900</v>
      </c>
      <c r="D4615" s="9">
        <v>42520</v>
      </c>
      <c r="E4615" t="s">
        <v>297</v>
      </c>
      <c r="I4615" s="9"/>
    </row>
    <row r="4616" spans="1:9" x14ac:dyDescent="0.25">
      <c r="A4616">
        <v>620040</v>
      </c>
      <c r="B4616">
        <v>4.4400000000000004</v>
      </c>
      <c r="C4616">
        <v>900</v>
      </c>
      <c r="D4616" s="9">
        <v>42520</v>
      </c>
      <c r="E4616" t="s">
        <v>295</v>
      </c>
      <c r="I4616" s="9"/>
    </row>
    <row r="4617" spans="1:9" x14ac:dyDescent="0.25">
      <c r="A4617">
        <v>620040</v>
      </c>
      <c r="B4617">
        <v>1.1000000000000001</v>
      </c>
      <c r="C4617">
        <v>900</v>
      </c>
      <c r="D4617" s="9">
        <v>42401</v>
      </c>
      <c r="E4617" t="s">
        <v>296</v>
      </c>
      <c r="I4617" s="9"/>
    </row>
    <row r="4618" spans="1:9" x14ac:dyDescent="0.25">
      <c r="A4618">
        <v>620040</v>
      </c>
      <c r="B4618">
        <v>3.33</v>
      </c>
      <c r="C4618">
        <v>900</v>
      </c>
      <c r="D4618" s="9">
        <v>41957</v>
      </c>
      <c r="E4618" t="s">
        <v>295</v>
      </c>
      <c r="I4618" s="9"/>
    </row>
    <row r="4619" spans="1:9" x14ac:dyDescent="0.25">
      <c r="A4619">
        <v>620040</v>
      </c>
      <c r="B4619">
        <v>1</v>
      </c>
      <c r="C4619">
        <v>900</v>
      </c>
      <c r="D4619" s="9">
        <v>41912</v>
      </c>
      <c r="E4619" t="s">
        <v>296</v>
      </c>
      <c r="I4619" s="9"/>
    </row>
    <row r="4620" spans="1:9" x14ac:dyDescent="0.25">
      <c r="A4620">
        <v>620040</v>
      </c>
      <c r="B4620">
        <v>0.97099999999999997</v>
      </c>
      <c r="C4620">
        <v>960</v>
      </c>
      <c r="D4620" s="9">
        <v>41786</v>
      </c>
      <c r="E4620" t="s">
        <v>296</v>
      </c>
      <c r="I4620" s="9"/>
    </row>
    <row r="4621" spans="1:9" x14ac:dyDescent="0.25">
      <c r="A4621">
        <v>620040</v>
      </c>
      <c r="B4621">
        <v>0.88300000000000001</v>
      </c>
      <c r="C4621">
        <v>960</v>
      </c>
      <c r="D4621" s="9">
        <v>41617</v>
      </c>
      <c r="E4621" t="s">
        <v>296</v>
      </c>
      <c r="I4621" s="9"/>
    </row>
    <row r="4622" spans="1:9" x14ac:dyDescent="0.25">
      <c r="A4622">
        <v>620040</v>
      </c>
      <c r="B4622">
        <v>0.88300000000000001</v>
      </c>
      <c r="C4622">
        <v>960</v>
      </c>
      <c r="D4622" s="9">
        <v>41418</v>
      </c>
      <c r="E4622" t="s">
        <v>296</v>
      </c>
      <c r="I4622" s="9"/>
    </row>
    <row r="4623" spans="1:9" x14ac:dyDescent="0.25">
      <c r="A4623">
        <v>620040</v>
      </c>
      <c r="B4623">
        <v>0.88300000000000001</v>
      </c>
      <c r="C4623">
        <v>960</v>
      </c>
      <c r="D4623" s="9">
        <v>41295</v>
      </c>
      <c r="E4623" t="s">
        <v>296</v>
      </c>
      <c r="I4623" s="9"/>
    </row>
    <row r="4624" spans="1:9" x14ac:dyDescent="0.25">
      <c r="A4624">
        <v>620050</v>
      </c>
      <c r="B4624">
        <v>2.02</v>
      </c>
      <c r="C4624">
        <v>640</v>
      </c>
      <c r="D4624" s="9">
        <v>43957</v>
      </c>
      <c r="E4624" t="s">
        <v>296</v>
      </c>
      <c r="I4624" s="9"/>
    </row>
    <row r="4625" spans="1:9" x14ac:dyDescent="0.25">
      <c r="A4625">
        <v>620050</v>
      </c>
      <c r="B4625">
        <v>2.02</v>
      </c>
      <c r="C4625">
        <v>640</v>
      </c>
      <c r="D4625" s="9">
        <v>43803</v>
      </c>
      <c r="E4625" t="s">
        <v>296</v>
      </c>
      <c r="I4625" s="9"/>
    </row>
    <row r="4626" spans="1:9" x14ac:dyDescent="0.25">
      <c r="A4626">
        <v>620050</v>
      </c>
      <c r="B4626">
        <v>2.02</v>
      </c>
      <c r="C4626">
        <v>640</v>
      </c>
      <c r="D4626" s="9">
        <v>43600</v>
      </c>
      <c r="E4626" t="s">
        <v>296</v>
      </c>
      <c r="I4626" s="9"/>
    </row>
    <row r="4627" spans="1:9" x14ac:dyDescent="0.25">
      <c r="A4627">
        <v>620050</v>
      </c>
      <c r="B4627">
        <v>2.35</v>
      </c>
      <c r="C4627">
        <v>360</v>
      </c>
      <c r="D4627" s="9">
        <v>43427</v>
      </c>
      <c r="E4627" t="s">
        <v>296</v>
      </c>
      <c r="I4627" s="9"/>
    </row>
    <row r="4628" spans="1:9" x14ac:dyDescent="0.25">
      <c r="A4628">
        <v>620050</v>
      </c>
      <c r="B4628">
        <v>2.2850000000000001</v>
      </c>
      <c r="C4628">
        <v>360</v>
      </c>
      <c r="D4628" s="9">
        <v>42976</v>
      </c>
      <c r="E4628" t="s">
        <v>296</v>
      </c>
      <c r="I4628" s="9"/>
    </row>
    <row r="4629" spans="1:9" x14ac:dyDescent="0.25">
      <c r="A4629">
        <v>620050</v>
      </c>
      <c r="B4629">
        <v>2.3140000000000001</v>
      </c>
      <c r="C4629">
        <v>360</v>
      </c>
      <c r="D4629" s="9">
        <v>42753</v>
      </c>
      <c r="E4629" t="s">
        <v>297</v>
      </c>
      <c r="I4629" s="9"/>
    </row>
    <row r="4630" spans="1:9" x14ac:dyDescent="0.25">
      <c r="A4630">
        <v>620050</v>
      </c>
      <c r="B4630">
        <v>2.3140000000000001</v>
      </c>
      <c r="C4630">
        <v>432</v>
      </c>
      <c r="D4630" s="9">
        <v>42401</v>
      </c>
      <c r="E4630" t="s">
        <v>297</v>
      </c>
      <c r="I4630" s="9"/>
    </row>
    <row r="4631" spans="1:9" x14ac:dyDescent="0.25">
      <c r="A4631">
        <v>620050</v>
      </c>
      <c r="B4631">
        <v>2.4359999999999999</v>
      </c>
      <c r="C4631">
        <v>576</v>
      </c>
      <c r="D4631" s="9">
        <v>41912</v>
      </c>
      <c r="E4631" t="s">
        <v>296</v>
      </c>
      <c r="I4631" s="9"/>
    </row>
    <row r="4632" spans="1:9" x14ac:dyDescent="0.25">
      <c r="A4632">
        <v>620050</v>
      </c>
      <c r="B4632">
        <v>2.4359999999999999</v>
      </c>
      <c r="C4632">
        <v>576</v>
      </c>
      <c r="D4632" s="9">
        <v>41786</v>
      </c>
      <c r="E4632" t="s">
        <v>296</v>
      </c>
      <c r="I4632" s="9"/>
    </row>
    <row r="4633" spans="1:9" x14ac:dyDescent="0.25">
      <c r="A4633">
        <v>620050</v>
      </c>
      <c r="B4633">
        <v>2.3650000000000002</v>
      </c>
      <c r="C4633">
        <v>576</v>
      </c>
      <c r="D4633" s="9">
        <v>41617</v>
      </c>
      <c r="E4633" t="s">
        <v>296</v>
      </c>
      <c r="I4633" s="9"/>
    </row>
    <row r="4634" spans="1:9" x14ac:dyDescent="0.25">
      <c r="A4634">
        <v>620050</v>
      </c>
      <c r="B4634">
        <v>2.3650000000000002</v>
      </c>
      <c r="C4634">
        <v>576</v>
      </c>
      <c r="D4634" s="9">
        <v>41418</v>
      </c>
      <c r="E4634" t="s">
        <v>296</v>
      </c>
      <c r="I4634" s="9"/>
    </row>
    <row r="4635" spans="1:9" x14ac:dyDescent="0.25">
      <c r="A4635">
        <v>620050</v>
      </c>
      <c r="B4635">
        <v>2.3650000000000002</v>
      </c>
      <c r="C4635">
        <v>576</v>
      </c>
      <c r="D4635" s="9">
        <v>41295</v>
      </c>
      <c r="E4635" t="s">
        <v>296</v>
      </c>
      <c r="I4635" s="9"/>
    </row>
    <row r="4636" spans="1:9" x14ac:dyDescent="0.25">
      <c r="A4636">
        <v>620140</v>
      </c>
      <c r="B4636">
        <v>1.35</v>
      </c>
      <c r="C4636">
        <v>900</v>
      </c>
      <c r="D4636" s="9">
        <v>43427</v>
      </c>
      <c r="E4636" t="s">
        <v>296</v>
      </c>
      <c r="I4636" s="9"/>
    </row>
    <row r="4637" spans="1:9" x14ac:dyDescent="0.25">
      <c r="A4637">
        <v>620140</v>
      </c>
      <c r="B4637">
        <v>1.292</v>
      </c>
      <c r="C4637">
        <v>900</v>
      </c>
      <c r="D4637" s="9">
        <v>42976</v>
      </c>
      <c r="E4637" t="s">
        <v>296</v>
      </c>
      <c r="I4637" s="9"/>
    </row>
    <row r="4638" spans="1:9" x14ac:dyDescent="0.25">
      <c r="A4638">
        <v>620140</v>
      </c>
      <c r="B4638">
        <v>1.177</v>
      </c>
      <c r="C4638">
        <v>600</v>
      </c>
      <c r="D4638" s="9">
        <v>42607</v>
      </c>
      <c r="E4638" t="s">
        <v>297</v>
      </c>
      <c r="I4638" s="9"/>
    </row>
    <row r="4639" spans="1:9" x14ac:dyDescent="0.25">
      <c r="A4639">
        <v>620140</v>
      </c>
      <c r="B4639">
        <v>1.177</v>
      </c>
      <c r="C4639">
        <v>720</v>
      </c>
      <c r="D4639" s="9">
        <v>42607</v>
      </c>
      <c r="E4639" t="s">
        <v>297</v>
      </c>
      <c r="I4639" s="9"/>
    </row>
    <row r="4640" spans="1:9" x14ac:dyDescent="0.25">
      <c r="A4640">
        <v>620140</v>
      </c>
      <c r="B4640">
        <v>1.177</v>
      </c>
      <c r="C4640">
        <v>600</v>
      </c>
      <c r="D4640" s="9">
        <v>42401</v>
      </c>
      <c r="E4640" t="s">
        <v>297</v>
      </c>
      <c r="I4640" s="9"/>
    </row>
    <row r="4641" spans="1:9" x14ac:dyDescent="0.25">
      <c r="A4641">
        <v>620140</v>
      </c>
      <c r="B4641">
        <v>1.252</v>
      </c>
      <c r="C4641">
        <v>600</v>
      </c>
      <c r="D4641" s="9">
        <v>41912</v>
      </c>
      <c r="E4641" t="s">
        <v>296</v>
      </c>
      <c r="I4641" s="9"/>
    </row>
    <row r="4642" spans="1:9" x14ac:dyDescent="0.25">
      <c r="A4642">
        <v>620140</v>
      </c>
      <c r="B4642">
        <v>1.252</v>
      </c>
      <c r="C4642">
        <v>600</v>
      </c>
      <c r="D4642" s="9">
        <v>41786</v>
      </c>
      <c r="E4642" t="s">
        <v>296</v>
      </c>
      <c r="I4642" s="9"/>
    </row>
    <row r="4643" spans="1:9" x14ac:dyDescent="0.25">
      <c r="A4643">
        <v>620140</v>
      </c>
      <c r="B4643">
        <v>1.216</v>
      </c>
      <c r="C4643">
        <v>600</v>
      </c>
      <c r="D4643" s="9">
        <v>41617</v>
      </c>
      <c r="E4643" t="s">
        <v>296</v>
      </c>
      <c r="I4643" s="9"/>
    </row>
    <row r="4644" spans="1:9" x14ac:dyDescent="0.25">
      <c r="A4644">
        <v>620140</v>
      </c>
      <c r="B4644">
        <v>1.216</v>
      </c>
      <c r="C4644">
        <v>600</v>
      </c>
      <c r="D4644" s="9">
        <v>41295</v>
      </c>
      <c r="E4644" t="s">
        <v>296</v>
      </c>
      <c r="I4644" s="9"/>
    </row>
    <row r="4645" spans="1:9" x14ac:dyDescent="0.25">
      <c r="A4645">
        <v>620140</v>
      </c>
      <c r="B4645">
        <v>1.1579999999999999</v>
      </c>
      <c r="C4645">
        <v>540</v>
      </c>
      <c r="D4645" s="9">
        <v>41295</v>
      </c>
      <c r="E4645" t="s">
        <v>296</v>
      </c>
      <c r="I4645" s="9"/>
    </row>
    <row r="4646" spans="1:9" x14ac:dyDescent="0.25">
      <c r="A4646">
        <v>620166</v>
      </c>
      <c r="B4646">
        <v>3.8</v>
      </c>
      <c r="C4646">
        <v>200</v>
      </c>
      <c r="D4646" s="9">
        <v>42655</v>
      </c>
      <c r="E4646" t="s">
        <v>296</v>
      </c>
      <c r="I4646" s="9"/>
    </row>
    <row r="4647" spans="1:9" x14ac:dyDescent="0.25">
      <c r="A4647">
        <v>620166</v>
      </c>
      <c r="B4647">
        <v>3.8</v>
      </c>
      <c r="C4647">
        <v>200</v>
      </c>
      <c r="D4647" s="9">
        <v>42655</v>
      </c>
      <c r="E4647" t="s">
        <v>296</v>
      </c>
      <c r="I4647" s="9"/>
    </row>
    <row r="4648" spans="1:9" x14ac:dyDescent="0.25">
      <c r="A4648">
        <v>620166</v>
      </c>
      <c r="B4648">
        <v>3.8</v>
      </c>
      <c r="C4648">
        <v>200</v>
      </c>
      <c r="D4648" s="9">
        <v>42325</v>
      </c>
      <c r="E4648" t="s">
        <v>296</v>
      </c>
      <c r="I4648" s="9"/>
    </row>
    <row r="4649" spans="1:9" x14ac:dyDescent="0.25">
      <c r="A4649">
        <v>620166</v>
      </c>
      <c r="B4649">
        <v>3.8</v>
      </c>
      <c r="C4649">
        <v>200</v>
      </c>
      <c r="D4649" s="9">
        <v>41934</v>
      </c>
      <c r="E4649" t="s">
        <v>296</v>
      </c>
      <c r="I4649" s="9"/>
    </row>
    <row r="4650" spans="1:9" x14ac:dyDescent="0.25">
      <c r="A4650">
        <v>620169</v>
      </c>
      <c r="B4650">
        <v>1.56</v>
      </c>
      <c r="C4650">
        <v>500</v>
      </c>
      <c r="D4650" s="9">
        <v>44098</v>
      </c>
      <c r="E4650" t="s">
        <v>296</v>
      </c>
      <c r="I4650" s="9"/>
    </row>
    <row r="4651" spans="1:9" x14ac:dyDescent="0.25">
      <c r="A4651">
        <v>620169</v>
      </c>
      <c r="B4651">
        <v>1.56</v>
      </c>
      <c r="C4651">
        <v>800</v>
      </c>
      <c r="D4651" s="9">
        <v>43381</v>
      </c>
      <c r="E4651" t="s">
        <v>296</v>
      </c>
      <c r="I4651" s="9"/>
    </row>
    <row r="4652" spans="1:9" x14ac:dyDescent="0.25">
      <c r="A4652">
        <v>620169</v>
      </c>
      <c r="B4652">
        <v>5.36</v>
      </c>
      <c r="C4652">
        <v>400</v>
      </c>
      <c r="D4652" s="9">
        <v>43230</v>
      </c>
      <c r="E4652" t="s">
        <v>295</v>
      </c>
      <c r="I4652" s="9"/>
    </row>
    <row r="4653" spans="1:9" x14ac:dyDescent="0.25">
      <c r="A4653">
        <v>620169</v>
      </c>
      <c r="B4653">
        <v>1.52</v>
      </c>
      <c r="C4653">
        <v>400</v>
      </c>
      <c r="D4653" s="9">
        <v>43199</v>
      </c>
      <c r="E4653" t="s">
        <v>296</v>
      </c>
      <c r="I4653" s="9"/>
    </row>
    <row r="4654" spans="1:9" x14ac:dyDescent="0.25">
      <c r="A4654">
        <v>620169</v>
      </c>
      <c r="B4654">
        <v>1.52</v>
      </c>
      <c r="C4654">
        <v>400</v>
      </c>
      <c r="D4654" s="9">
        <v>42864</v>
      </c>
      <c r="E4654" t="s">
        <v>296</v>
      </c>
      <c r="I4654" s="9"/>
    </row>
    <row r="4655" spans="1:9" x14ac:dyDescent="0.25">
      <c r="A4655">
        <v>620169</v>
      </c>
      <c r="B4655">
        <v>1.52</v>
      </c>
      <c r="C4655">
        <v>400</v>
      </c>
      <c r="D4655" s="9">
        <v>42325</v>
      </c>
      <c r="E4655" t="s">
        <v>296</v>
      </c>
      <c r="I4655" s="9"/>
    </row>
    <row r="4656" spans="1:9" x14ac:dyDescent="0.25">
      <c r="A4656">
        <v>620170</v>
      </c>
      <c r="B4656">
        <v>1.1599999999999999</v>
      </c>
      <c r="C4656">
        <v>300</v>
      </c>
      <c r="D4656" s="9">
        <v>42864</v>
      </c>
      <c r="E4656" t="s">
        <v>296</v>
      </c>
      <c r="I4656" s="9"/>
    </row>
    <row r="4657" spans="1:9" x14ac:dyDescent="0.25">
      <c r="A4657">
        <v>620170</v>
      </c>
      <c r="B4657">
        <v>1.0900000000000001</v>
      </c>
      <c r="C4657">
        <v>250</v>
      </c>
      <c r="D4657" s="9">
        <v>42586</v>
      </c>
      <c r="E4657" t="s">
        <v>296</v>
      </c>
      <c r="I4657" s="9"/>
    </row>
    <row r="4658" spans="1:9" x14ac:dyDescent="0.25">
      <c r="A4658">
        <v>620170</v>
      </c>
      <c r="B4658">
        <v>1.1599999999999999</v>
      </c>
      <c r="C4658">
        <v>100</v>
      </c>
      <c r="D4658" s="9">
        <v>42325</v>
      </c>
      <c r="E4658" t="s">
        <v>296</v>
      </c>
      <c r="I4658" s="9"/>
    </row>
    <row r="4659" spans="1:9" x14ac:dyDescent="0.25">
      <c r="A4659">
        <v>620170</v>
      </c>
      <c r="B4659">
        <v>1.1599999999999999</v>
      </c>
      <c r="C4659">
        <v>100</v>
      </c>
      <c r="D4659" s="9">
        <v>41934</v>
      </c>
      <c r="E4659" t="s">
        <v>296</v>
      </c>
      <c r="I4659" s="9"/>
    </row>
    <row r="4660" spans="1:9" x14ac:dyDescent="0.25">
      <c r="A4660">
        <v>620171</v>
      </c>
      <c r="B4660">
        <v>4.4000000000000004</v>
      </c>
      <c r="C4660">
        <v>160</v>
      </c>
      <c r="D4660" s="9">
        <v>43839</v>
      </c>
      <c r="E4660" t="s">
        <v>296</v>
      </c>
      <c r="I4660" s="9"/>
    </row>
    <row r="4661" spans="1:9" x14ac:dyDescent="0.25">
      <c r="A4661">
        <v>620171</v>
      </c>
      <c r="B4661">
        <v>4.5</v>
      </c>
      <c r="C4661">
        <v>160</v>
      </c>
      <c r="D4661" s="9">
        <v>43600</v>
      </c>
      <c r="E4661" t="s">
        <v>296</v>
      </c>
      <c r="I4661" s="9"/>
    </row>
    <row r="4662" spans="1:9" x14ac:dyDescent="0.25">
      <c r="A4662">
        <v>620171</v>
      </c>
      <c r="B4662">
        <v>19.809999999999999</v>
      </c>
      <c r="C4662">
        <v>80</v>
      </c>
      <c r="D4662" s="9">
        <v>43090</v>
      </c>
      <c r="E4662" t="s">
        <v>295</v>
      </c>
      <c r="I4662" s="9"/>
    </row>
    <row r="4663" spans="1:9" x14ac:dyDescent="0.25">
      <c r="A4663">
        <v>620171</v>
      </c>
      <c r="B4663">
        <v>5.35</v>
      </c>
      <c r="C4663">
        <v>160</v>
      </c>
      <c r="D4663" s="9">
        <v>43052</v>
      </c>
      <c r="E4663" t="s">
        <v>296</v>
      </c>
      <c r="I4663" s="9"/>
    </row>
    <row r="4664" spans="1:9" x14ac:dyDescent="0.25">
      <c r="A4664">
        <v>620171</v>
      </c>
      <c r="B4664">
        <v>6.22</v>
      </c>
      <c r="C4664">
        <v>160</v>
      </c>
      <c r="D4664" s="9">
        <v>42655</v>
      </c>
      <c r="E4664" t="s">
        <v>296</v>
      </c>
      <c r="I4664" s="9"/>
    </row>
    <row r="4665" spans="1:9" x14ac:dyDescent="0.25">
      <c r="A4665">
        <v>620171</v>
      </c>
      <c r="B4665">
        <v>6.22</v>
      </c>
      <c r="C4665">
        <v>160</v>
      </c>
      <c r="D4665" s="9">
        <v>42655</v>
      </c>
      <c r="E4665" t="s">
        <v>296</v>
      </c>
      <c r="I4665" s="9"/>
    </row>
    <row r="4666" spans="1:9" x14ac:dyDescent="0.25">
      <c r="A4666">
        <v>620171</v>
      </c>
      <c r="B4666">
        <v>5.35</v>
      </c>
      <c r="C4666">
        <v>140</v>
      </c>
      <c r="D4666" s="9">
        <v>42586</v>
      </c>
      <c r="E4666" t="s">
        <v>296</v>
      </c>
      <c r="I4666" s="9"/>
    </row>
    <row r="4667" spans="1:9" x14ac:dyDescent="0.25">
      <c r="A4667">
        <v>620171</v>
      </c>
      <c r="B4667">
        <v>31.46</v>
      </c>
      <c r="C4667">
        <v>15</v>
      </c>
      <c r="D4667" s="9">
        <v>42541</v>
      </c>
      <c r="E4667" t="s">
        <v>295</v>
      </c>
      <c r="I4667" s="9"/>
    </row>
    <row r="4668" spans="1:9" x14ac:dyDescent="0.25">
      <c r="A4668">
        <v>620171</v>
      </c>
      <c r="B4668">
        <v>6.22</v>
      </c>
      <c r="C4668">
        <v>50</v>
      </c>
      <c r="D4668" s="9">
        <v>42325</v>
      </c>
      <c r="E4668" t="s">
        <v>296</v>
      </c>
      <c r="I4668" s="9"/>
    </row>
    <row r="4669" spans="1:9" x14ac:dyDescent="0.25">
      <c r="A4669">
        <v>620174</v>
      </c>
      <c r="B4669">
        <v>1.25</v>
      </c>
      <c r="C4669">
        <v>420</v>
      </c>
      <c r="D4669" s="9">
        <v>44141</v>
      </c>
      <c r="E4669" t="s">
        <v>296</v>
      </c>
      <c r="I4669" s="9"/>
    </row>
    <row r="4670" spans="1:9" x14ac:dyDescent="0.25">
      <c r="A4670">
        <v>620174</v>
      </c>
      <c r="B4670">
        <v>1.25</v>
      </c>
      <c r="C4670">
        <v>420</v>
      </c>
      <c r="D4670" s="9">
        <v>43921</v>
      </c>
      <c r="E4670" t="s">
        <v>296</v>
      </c>
      <c r="I4670" s="9"/>
    </row>
    <row r="4671" spans="1:9" x14ac:dyDescent="0.25">
      <c r="A4671">
        <v>620174</v>
      </c>
      <c r="B4671">
        <v>1.25</v>
      </c>
      <c r="C4671">
        <v>360</v>
      </c>
      <c r="D4671" s="9">
        <v>43839</v>
      </c>
      <c r="E4671" t="s">
        <v>296</v>
      </c>
      <c r="I4671" s="9"/>
    </row>
    <row r="4672" spans="1:9" x14ac:dyDescent="0.25">
      <c r="A4672">
        <v>620174</v>
      </c>
      <c r="B4672">
        <v>1.25</v>
      </c>
      <c r="C4672">
        <v>360</v>
      </c>
      <c r="D4672" s="9">
        <v>43839</v>
      </c>
      <c r="E4672" t="s">
        <v>296</v>
      </c>
      <c r="I4672" s="9"/>
    </row>
    <row r="4673" spans="1:9" x14ac:dyDescent="0.25">
      <c r="A4673">
        <v>620174</v>
      </c>
      <c r="B4673">
        <v>1.25</v>
      </c>
      <c r="C4673">
        <v>420</v>
      </c>
      <c r="D4673" s="9">
        <v>43686</v>
      </c>
      <c r="E4673" t="s">
        <v>296</v>
      </c>
      <c r="I4673" s="9"/>
    </row>
    <row r="4674" spans="1:9" x14ac:dyDescent="0.25">
      <c r="A4674">
        <v>620174</v>
      </c>
      <c r="B4674">
        <v>1.25</v>
      </c>
      <c r="C4674">
        <v>480</v>
      </c>
      <c r="D4674" s="9">
        <v>43381</v>
      </c>
      <c r="E4674" t="s">
        <v>296</v>
      </c>
      <c r="I4674" s="9"/>
    </row>
    <row r="4675" spans="1:9" x14ac:dyDescent="0.25">
      <c r="A4675">
        <v>620174</v>
      </c>
      <c r="B4675">
        <v>1.25</v>
      </c>
      <c r="C4675">
        <v>300</v>
      </c>
      <c r="D4675" s="9">
        <v>43305</v>
      </c>
      <c r="E4675" t="s">
        <v>296</v>
      </c>
      <c r="I4675" s="9"/>
    </row>
    <row r="4676" spans="1:9" x14ac:dyDescent="0.25">
      <c r="A4676">
        <v>620174</v>
      </c>
      <c r="B4676">
        <v>4.08</v>
      </c>
      <c r="C4676">
        <v>420</v>
      </c>
      <c r="D4676" s="9">
        <v>43230</v>
      </c>
      <c r="E4676" t="s">
        <v>295</v>
      </c>
      <c r="I4676" s="9"/>
    </row>
    <row r="4677" spans="1:9" x14ac:dyDescent="0.25">
      <c r="A4677">
        <v>620174</v>
      </c>
      <c r="B4677">
        <v>1.18</v>
      </c>
      <c r="C4677">
        <v>420</v>
      </c>
      <c r="D4677" s="9">
        <v>43199</v>
      </c>
      <c r="E4677" t="s">
        <v>296</v>
      </c>
      <c r="I4677" s="9"/>
    </row>
    <row r="4678" spans="1:9" x14ac:dyDescent="0.25">
      <c r="A4678">
        <v>620174</v>
      </c>
      <c r="B4678">
        <v>1.28</v>
      </c>
      <c r="C4678">
        <v>500</v>
      </c>
      <c r="D4678" s="9">
        <v>42912</v>
      </c>
      <c r="E4678" t="s">
        <v>296</v>
      </c>
      <c r="I4678" s="9"/>
    </row>
    <row r="4679" spans="1:9" x14ac:dyDescent="0.25">
      <c r="A4679">
        <v>620174</v>
      </c>
      <c r="B4679">
        <v>1.28</v>
      </c>
      <c r="C4679">
        <v>500</v>
      </c>
      <c r="D4679" s="9">
        <v>42586</v>
      </c>
      <c r="E4679" t="s">
        <v>296</v>
      </c>
      <c r="I4679" s="9"/>
    </row>
    <row r="4680" spans="1:9" x14ac:dyDescent="0.25">
      <c r="A4680">
        <v>621050</v>
      </c>
      <c r="B4680">
        <v>1.1499999999999999</v>
      </c>
      <c r="C4680">
        <v>800</v>
      </c>
      <c r="D4680" s="9">
        <v>43941</v>
      </c>
      <c r="E4680" t="s">
        <v>296</v>
      </c>
      <c r="I4680" s="9"/>
    </row>
    <row r="4681" spans="1:9" x14ac:dyDescent="0.25">
      <c r="A4681">
        <v>621050</v>
      </c>
      <c r="B4681">
        <v>1.1499999999999999</v>
      </c>
      <c r="C4681">
        <v>600</v>
      </c>
      <c r="D4681" s="9">
        <v>43941</v>
      </c>
      <c r="E4681" t="s">
        <v>296</v>
      </c>
      <c r="I4681" s="9"/>
    </row>
    <row r="4682" spans="1:9" x14ac:dyDescent="0.25">
      <c r="A4682">
        <v>621050</v>
      </c>
      <c r="B4682">
        <v>1.1499999999999999</v>
      </c>
      <c r="C4682">
        <v>700</v>
      </c>
      <c r="D4682" s="9">
        <v>43684</v>
      </c>
      <c r="E4682" t="s">
        <v>296</v>
      </c>
      <c r="I4682" s="9"/>
    </row>
    <row r="4683" spans="1:9" x14ac:dyDescent="0.25">
      <c r="A4683">
        <v>621050</v>
      </c>
      <c r="B4683">
        <v>1.1200000000000001</v>
      </c>
      <c r="C4683">
        <v>700</v>
      </c>
      <c r="D4683" s="9">
        <v>43473</v>
      </c>
      <c r="E4683" t="s">
        <v>296</v>
      </c>
      <c r="I4683" s="9"/>
    </row>
    <row r="4684" spans="1:9" x14ac:dyDescent="0.25">
      <c r="A4684">
        <v>621050</v>
      </c>
      <c r="B4684">
        <v>1.032</v>
      </c>
      <c r="C4684">
        <v>960</v>
      </c>
      <c r="D4684" s="9">
        <v>42753</v>
      </c>
      <c r="E4684" t="s">
        <v>297</v>
      </c>
      <c r="I4684" s="9"/>
    </row>
    <row r="4685" spans="1:9" x14ac:dyDescent="0.25">
      <c r="A4685">
        <v>621050</v>
      </c>
      <c r="B4685">
        <v>1.1220000000000001</v>
      </c>
      <c r="C4685">
        <v>960</v>
      </c>
      <c r="D4685" s="9">
        <v>42233</v>
      </c>
      <c r="E4685" t="s">
        <v>296</v>
      </c>
      <c r="I4685" s="9"/>
    </row>
    <row r="4686" spans="1:9" x14ac:dyDescent="0.25">
      <c r="A4686">
        <v>621100</v>
      </c>
      <c r="B4686">
        <v>2.0499999999999998</v>
      </c>
      <c r="C4686">
        <v>420</v>
      </c>
      <c r="D4686" s="9">
        <v>44097</v>
      </c>
      <c r="E4686" t="s">
        <v>296</v>
      </c>
      <c r="I4686" s="9"/>
    </row>
    <row r="4687" spans="1:9" x14ac:dyDescent="0.25">
      <c r="A4687">
        <v>621100</v>
      </c>
      <c r="B4687">
        <v>2.0499999999999998</v>
      </c>
      <c r="C4687">
        <v>420</v>
      </c>
      <c r="D4687" s="9">
        <v>43941</v>
      </c>
      <c r="E4687" t="s">
        <v>296</v>
      </c>
      <c r="I4687" s="9"/>
    </row>
    <row r="4688" spans="1:9" x14ac:dyDescent="0.25">
      <c r="A4688">
        <v>621100</v>
      </c>
      <c r="B4688">
        <v>2.0499999999999998</v>
      </c>
      <c r="C4688">
        <v>420</v>
      </c>
      <c r="D4688" s="9">
        <v>43941</v>
      </c>
      <c r="E4688" t="s">
        <v>296</v>
      </c>
      <c r="I4688" s="9"/>
    </row>
    <row r="4689" spans="1:9" x14ac:dyDescent="0.25">
      <c r="A4689">
        <v>621100</v>
      </c>
      <c r="B4689">
        <v>2.0499999999999998</v>
      </c>
      <c r="C4689">
        <v>420</v>
      </c>
      <c r="D4689" s="9">
        <v>43829</v>
      </c>
      <c r="E4689" t="s">
        <v>296</v>
      </c>
      <c r="I4689" s="9"/>
    </row>
    <row r="4690" spans="1:9" x14ac:dyDescent="0.25">
      <c r="A4690">
        <v>621100</v>
      </c>
      <c r="B4690">
        <v>2.08</v>
      </c>
      <c r="C4690">
        <v>420</v>
      </c>
      <c r="D4690" s="9">
        <v>43684</v>
      </c>
      <c r="E4690" t="s">
        <v>296</v>
      </c>
      <c r="I4690" s="9"/>
    </row>
    <row r="4691" spans="1:9" x14ac:dyDescent="0.25">
      <c r="A4691">
        <v>621100</v>
      </c>
      <c r="B4691">
        <v>2.08</v>
      </c>
      <c r="C4691">
        <v>510</v>
      </c>
      <c r="D4691" s="9">
        <v>43592</v>
      </c>
      <c r="E4691" t="s">
        <v>296</v>
      </c>
      <c r="I4691" s="9"/>
    </row>
    <row r="4692" spans="1:9" x14ac:dyDescent="0.25">
      <c r="A4692">
        <v>621100</v>
      </c>
      <c r="B4692">
        <v>2.08</v>
      </c>
      <c r="C4692">
        <v>420</v>
      </c>
      <c r="D4692" s="9">
        <v>43284</v>
      </c>
      <c r="E4692" t="s">
        <v>296</v>
      </c>
      <c r="I4692" s="9"/>
    </row>
    <row r="4693" spans="1:9" x14ac:dyDescent="0.25">
      <c r="A4693">
        <v>621100</v>
      </c>
      <c r="B4693">
        <v>7.86</v>
      </c>
      <c r="C4693">
        <v>240</v>
      </c>
      <c r="D4693" s="9">
        <v>43263</v>
      </c>
      <c r="E4693" t="s">
        <v>295</v>
      </c>
      <c r="I4693" s="9"/>
    </row>
    <row r="4694" spans="1:9" x14ac:dyDescent="0.25">
      <c r="A4694">
        <v>621100</v>
      </c>
      <c r="B4694">
        <v>2.08</v>
      </c>
      <c r="C4694">
        <v>420</v>
      </c>
      <c r="D4694" s="9">
        <v>43228</v>
      </c>
      <c r="E4694" t="s">
        <v>296</v>
      </c>
      <c r="I4694" s="9"/>
    </row>
    <row r="4695" spans="1:9" x14ac:dyDescent="0.25">
      <c r="A4695">
        <v>621100</v>
      </c>
      <c r="B4695">
        <v>2.0499999999999998</v>
      </c>
      <c r="C4695">
        <v>420</v>
      </c>
      <c r="D4695" s="9">
        <v>43131</v>
      </c>
      <c r="E4695" t="s">
        <v>296</v>
      </c>
      <c r="I4695" s="9"/>
    </row>
    <row r="4696" spans="1:9" x14ac:dyDescent="0.25">
      <c r="A4696">
        <v>621100</v>
      </c>
      <c r="B4696">
        <v>7.45</v>
      </c>
      <c r="C4696">
        <v>420</v>
      </c>
      <c r="D4696" s="9">
        <v>43123</v>
      </c>
      <c r="E4696" t="s">
        <v>295</v>
      </c>
      <c r="I4696" s="9"/>
    </row>
    <row r="4697" spans="1:9" x14ac:dyDescent="0.25">
      <c r="A4697">
        <v>621100</v>
      </c>
      <c r="B4697">
        <v>2.0499999999999998</v>
      </c>
      <c r="C4697">
        <v>420</v>
      </c>
      <c r="D4697" s="9">
        <v>43067</v>
      </c>
      <c r="E4697" t="s">
        <v>296</v>
      </c>
      <c r="I4697" s="9"/>
    </row>
    <row r="4698" spans="1:9" x14ac:dyDescent="0.25">
      <c r="A4698">
        <v>621100</v>
      </c>
      <c r="B4698">
        <v>1.93</v>
      </c>
      <c r="C4698">
        <v>510</v>
      </c>
      <c r="D4698" s="9">
        <v>42836</v>
      </c>
      <c r="E4698" t="s">
        <v>296</v>
      </c>
      <c r="I4698" s="9"/>
    </row>
    <row r="4699" spans="1:9" x14ac:dyDescent="0.25">
      <c r="A4699">
        <v>621100</v>
      </c>
      <c r="B4699">
        <v>1.93</v>
      </c>
      <c r="C4699">
        <v>480</v>
      </c>
      <c r="D4699" s="9">
        <v>42585</v>
      </c>
      <c r="E4699" t="s">
        <v>296</v>
      </c>
      <c r="I4699" s="9"/>
    </row>
    <row r="4700" spans="1:9" x14ac:dyDescent="0.25">
      <c r="A4700">
        <v>621100</v>
      </c>
      <c r="B4700">
        <v>2</v>
      </c>
      <c r="C4700">
        <v>300</v>
      </c>
      <c r="D4700" s="9">
        <v>42482</v>
      </c>
      <c r="E4700" t="s">
        <v>296</v>
      </c>
      <c r="I4700" s="9"/>
    </row>
    <row r="4701" spans="1:9" x14ac:dyDescent="0.25">
      <c r="A4701">
        <v>621100</v>
      </c>
      <c r="B4701">
        <v>2.12</v>
      </c>
      <c r="C4701">
        <v>300</v>
      </c>
      <c r="D4701" s="9">
        <v>42380</v>
      </c>
      <c r="E4701" t="s">
        <v>296</v>
      </c>
      <c r="I4701" s="9"/>
    </row>
    <row r="4702" spans="1:9" x14ac:dyDescent="0.25">
      <c r="A4702">
        <v>621100</v>
      </c>
      <c r="B4702">
        <v>2.12</v>
      </c>
      <c r="C4702">
        <v>300</v>
      </c>
      <c r="D4702" s="9">
        <v>42270</v>
      </c>
      <c r="E4702" t="s">
        <v>296</v>
      </c>
      <c r="I4702" s="9"/>
    </row>
    <row r="4703" spans="1:9" x14ac:dyDescent="0.25">
      <c r="A4703">
        <v>621100</v>
      </c>
      <c r="B4703">
        <v>2.12</v>
      </c>
      <c r="C4703">
        <v>480</v>
      </c>
      <c r="D4703" s="9">
        <v>41947</v>
      </c>
      <c r="E4703" t="s">
        <v>296</v>
      </c>
      <c r="I4703" s="9"/>
    </row>
    <row r="4704" spans="1:9" x14ac:dyDescent="0.25">
      <c r="A4704">
        <v>621100</v>
      </c>
      <c r="B4704">
        <v>2.12</v>
      </c>
      <c r="C4704">
        <v>420</v>
      </c>
      <c r="D4704" s="9">
        <v>41718</v>
      </c>
      <c r="E4704" t="s">
        <v>296</v>
      </c>
      <c r="I4704" s="9"/>
    </row>
    <row r="4705" spans="1:9" x14ac:dyDescent="0.25">
      <c r="A4705">
        <v>621100</v>
      </c>
      <c r="B4705">
        <v>2.12</v>
      </c>
      <c r="C4705">
        <v>600</v>
      </c>
      <c r="D4705" s="9">
        <v>41417</v>
      </c>
      <c r="E4705" t="s">
        <v>296</v>
      </c>
      <c r="I4705" s="9"/>
    </row>
    <row r="4706" spans="1:9" x14ac:dyDescent="0.25">
      <c r="A4706">
        <v>622250</v>
      </c>
      <c r="B4706">
        <v>0.53</v>
      </c>
      <c r="C4706">
        <v>480</v>
      </c>
      <c r="D4706" s="9">
        <v>44071</v>
      </c>
      <c r="E4706" t="s">
        <v>296</v>
      </c>
      <c r="I4706" s="9"/>
    </row>
    <row r="4707" spans="1:9" x14ac:dyDescent="0.25">
      <c r="A4707">
        <v>622250</v>
      </c>
      <c r="B4707">
        <v>0.53</v>
      </c>
      <c r="C4707">
        <v>480</v>
      </c>
      <c r="D4707" s="9">
        <v>43717</v>
      </c>
      <c r="E4707" t="s">
        <v>296</v>
      </c>
      <c r="I4707" s="9"/>
    </row>
    <row r="4708" spans="1:9" x14ac:dyDescent="0.25">
      <c r="A4708">
        <v>622250</v>
      </c>
      <c r="B4708">
        <v>0.53</v>
      </c>
      <c r="C4708">
        <v>480</v>
      </c>
      <c r="D4708" s="9">
        <v>43578</v>
      </c>
      <c r="E4708" t="s">
        <v>296</v>
      </c>
      <c r="I4708" s="9"/>
    </row>
    <row r="4709" spans="1:9" x14ac:dyDescent="0.25">
      <c r="A4709">
        <v>622250</v>
      </c>
      <c r="B4709">
        <v>0.53</v>
      </c>
      <c r="C4709">
        <v>600</v>
      </c>
      <c r="D4709" s="9">
        <v>43486</v>
      </c>
      <c r="E4709" t="s">
        <v>296</v>
      </c>
      <c r="I4709" s="9"/>
    </row>
    <row r="4710" spans="1:9" x14ac:dyDescent="0.25">
      <c r="A4710">
        <v>622250</v>
      </c>
      <c r="B4710">
        <v>0.53</v>
      </c>
      <c r="C4710">
        <v>240</v>
      </c>
      <c r="D4710" s="9">
        <v>43350</v>
      </c>
      <c r="E4710" t="s">
        <v>296</v>
      </c>
      <c r="I4710" s="9"/>
    </row>
    <row r="4711" spans="1:9" x14ac:dyDescent="0.25">
      <c r="A4711">
        <v>622250</v>
      </c>
      <c r="B4711">
        <v>0.53</v>
      </c>
      <c r="C4711">
        <v>240</v>
      </c>
      <c r="D4711" s="9">
        <v>43270</v>
      </c>
      <c r="E4711" t="s">
        <v>296</v>
      </c>
      <c r="I4711" s="9"/>
    </row>
    <row r="4712" spans="1:9" x14ac:dyDescent="0.25">
      <c r="A4712">
        <v>622250</v>
      </c>
      <c r="B4712">
        <v>1.92</v>
      </c>
      <c r="C4712">
        <v>432</v>
      </c>
      <c r="D4712" s="9">
        <v>43234</v>
      </c>
      <c r="E4712" t="s">
        <v>295</v>
      </c>
      <c r="I4712" s="9"/>
    </row>
    <row r="4713" spans="1:9" x14ac:dyDescent="0.25">
      <c r="A4713">
        <v>622250</v>
      </c>
      <c r="B4713">
        <v>0.5</v>
      </c>
      <c r="C4713">
        <v>432</v>
      </c>
      <c r="D4713" s="9">
        <v>43049</v>
      </c>
      <c r="E4713" t="s">
        <v>296</v>
      </c>
      <c r="I4713" s="9"/>
    </row>
    <row r="4714" spans="1:9" x14ac:dyDescent="0.25">
      <c r="A4714">
        <v>622250</v>
      </c>
      <c r="B4714">
        <v>0.4</v>
      </c>
      <c r="C4714">
        <v>360</v>
      </c>
      <c r="D4714" s="9">
        <v>42976</v>
      </c>
      <c r="E4714" t="s">
        <v>296</v>
      </c>
      <c r="I4714" s="9"/>
    </row>
    <row r="4715" spans="1:9" x14ac:dyDescent="0.25">
      <c r="A4715">
        <v>622250</v>
      </c>
      <c r="B4715">
        <v>0.67300000000000004</v>
      </c>
      <c r="C4715">
        <v>360</v>
      </c>
      <c r="D4715" s="9">
        <v>42520</v>
      </c>
      <c r="E4715" t="s">
        <v>297</v>
      </c>
      <c r="I4715" s="9"/>
    </row>
    <row r="4716" spans="1:9" x14ac:dyDescent="0.25">
      <c r="A4716">
        <v>622250</v>
      </c>
      <c r="B4716">
        <v>2.95</v>
      </c>
      <c r="C4716">
        <v>180</v>
      </c>
      <c r="D4716" s="9">
        <v>42520</v>
      </c>
      <c r="E4716" t="s">
        <v>295</v>
      </c>
      <c r="I4716" s="9"/>
    </row>
    <row r="4717" spans="1:9" x14ac:dyDescent="0.25">
      <c r="A4717">
        <v>622250</v>
      </c>
      <c r="B4717">
        <v>0.67300000000000004</v>
      </c>
      <c r="C4717">
        <v>600</v>
      </c>
      <c r="D4717" s="9">
        <v>42285</v>
      </c>
      <c r="E4717" t="s">
        <v>297</v>
      </c>
      <c r="I4717" s="9"/>
    </row>
    <row r="4718" spans="1:9" x14ac:dyDescent="0.25">
      <c r="A4718">
        <v>622250</v>
      </c>
      <c r="B4718">
        <v>0.65</v>
      </c>
      <c r="C4718">
        <v>600</v>
      </c>
      <c r="D4718" s="9">
        <v>41744</v>
      </c>
      <c r="E4718" t="s">
        <v>296</v>
      </c>
      <c r="I4718" s="9"/>
    </row>
    <row r="4719" spans="1:9" x14ac:dyDescent="0.25">
      <c r="A4719">
        <v>622250</v>
      </c>
      <c r="B4719">
        <v>0.74</v>
      </c>
      <c r="C4719">
        <v>800</v>
      </c>
      <c r="D4719" s="9">
        <v>41617</v>
      </c>
      <c r="E4719" t="s">
        <v>296</v>
      </c>
      <c r="I4719" s="9"/>
    </row>
    <row r="4720" spans="1:9" x14ac:dyDescent="0.25">
      <c r="A4720">
        <v>622250</v>
      </c>
      <c r="B4720">
        <v>0.72499999999999998</v>
      </c>
      <c r="C4720">
        <v>800</v>
      </c>
      <c r="D4720" s="9">
        <v>41456</v>
      </c>
      <c r="E4720" t="s">
        <v>296</v>
      </c>
      <c r="I4720" s="9"/>
    </row>
    <row r="4721" spans="1:9" x14ac:dyDescent="0.25">
      <c r="A4721">
        <v>622300</v>
      </c>
      <c r="B4721">
        <v>0.68</v>
      </c>
      <c r="C4721">
        <v>912</v>
      </c>
      <c r="D4721" s="9">
        <v>43717</v>
      </c>
      <c r="E4721" t="s">
        <v>296</v>
      </c>
      <c r="I4721" s="9"/>
    </row>
    <row r="4722" spans="1:9" x14ac:dyDescent="0.25">
      <c r="A4722">
        <v>622300</v>
      </c>
      <c r="B4722">
        <v>0.68</v>
      </c>
      <c r="C4722">
        <v>1200</v>
      </c>
      <c r="D4722" s="9">
        <v>43486</v>
      </c>
      <c r="E4722" t="s">
        <v>296</v>
      </c>
      <c r="I4722" s="9"/>
    </row>
    <row r="4723" spans="1:9" x14ac:dyDescent="0.25">
      <c r="A4723">
        <v>622300</v>
      </c>
      <c r="B4723">
        <v>0.76</v>
      </c>
      <c r="C4723">
        <v>408</v>
      </c>
      <c r="D4723" s="9">
        <v>43350</v>
      </c>
      <c r="E4723" t="s">
        <v>296</v>
      </c>
      <c r="I4723" s="9"/>
    </row>
    <row r="4724" spans="1:9" x14ac:dyDescent="0.25">
      <c r="A4724">
        <v>622300</v>
      </c>
      <c r="B4724">
        <v>0.48</v>
      </c>
      <c r="C4724">
        <v>960</v>
      </c>
      <c r="D4724" s="9">
        <v>42752</v>
      </c>
      <c r="E4724" t="s">
        <v>296</v>
      </c>
      <c r="I4724" s="9"/>
    </row>
    <row r="4725" spans="1:9" x14ac:dyDescent="0.25">
      <c r="A4725">
        <v>622300</v>
      </c>
      <c r="B4725">
        <v>0.48499999999999999</v>
      </c>
      <c r="C4725">
        <v>1200</v>
      </c>
      <c r="D4725" s="9">
        <v>42676</v>
      </c>
      <c r="E4725" t="s">
        <v>297</v>
      </c>
      <c r="I4725" s="9"/>
    </row>
    <row r="4726" spans="1:9" x14ac:dyDescent="0.25">
      <c r="A4726">
        <v>622300</v>
      </c>
      <c r="B4726">
        <v>2.13</v>
      </c>
      <c r="C4726">
        <v>960</v>
      </c>
      <c r="D4726" s="9">
        <v>42520</v>
      </c>
      <c r="E4726" t="s">
        <v>295</v>
      </c>
      <c r="I4726" s="9"/>
    </row>
    <row r="4727" spans="1:9" x14ac:dyDescent="0.25">
      <c r="A4727">
        <v>622300</v>
      </c>
      <c r="B4727">
        <v>0.48499999999999999</v>
      </c>
      <c r="C4727">
        <v>960</v>
      </c>
      <c r="D4727" s="9">
        <v>42520</v>
      </c>
      <c r="E4727" t="s">
        <v>297</v>
      </c>
      <c r="I4727" s="9"/>
    </row>
    <row r="4728" spans="1:9" x14ac:dyDescent="0.25">
      <c r="A4728">
        <v>622300</v>
      </c>
      <c r="B4728">
        <v>0.48499999999999999</v>
      </c>
      <c r="C4728">
        <v>960</v>
      </c>
      <c r="D4728" s="9">
        <v>42401</v>
      </c>
      <c r="E4728" t="s">
        <v>297</v>
      </c>
      <c r="I4728" s="9"/>
    </row>
    <row r="4729" spans="1:9" x14ac:dyDescent="0.25">
      <c r="A4729">
        <v>622300</v>
      </c>
      <c r="B4729">
        <v>0.48499999999999999</v>
      </c>
      <c r="C4729">
        <v>960</v>
      </c>
      <c r="D4729" s="9">
        <v>42233</v>
      </c>
      <c r="E4729" t="s">
        <v>297</v>
      </c>
      <c r="I4729" s="9"/>
    </row>
    <row r="4730" spans="1:9" x14ac:dyDescent="0.25">
      <c r="A4730">
        <v>622300</v>
      </c>
      <c r="B4730">
        <v>0.52800000000000002</v>
      </c>
      <c r="C4730">
        <v>960</v>
      </c>
      <c r="D4730" s="9">
        <v>42040</v>
      </c>
      <c r="E4730" t="s">
        <v>296</v>
      </c>
      <c r="I4730" s="9"/>
    </row>
    <row r="4731" spans="1:9" x14ac:dyDescent="0.25">
      <c r="A4731">
        <v>622300</v>
      </c>
      <c r="B4731">
        <v>0.52800000000000002</v>
      </c>
      <c r="C4731">
        <v>960</v>
      </c>
      <c r="D4731" s="9">
        <v>41821</v>
      </c>
      <c r="E4731" t="s">
        <v>296</v>
      </c>
      <c r="I4731" s="9"/>
    </row>
    <row r="4732" spans="1:9" x14ac:dyDescent="0.25">
      <c r="A4732">
        <v>622300</v>
      </c>
      <c r="B4732">
        <v>1.62</v>
      </c>
      <c r="C4732">
        <v>960</v>
      </c>
      <c r="D4732" s="9">
        <v>41821</v>
      </c>
      <c r="E4732" t="s">
        <v>295</v>
      </c>
      <c r="I4732" s="9"/>
    </row>
    <row r="4733" spans="1:9" x14ac:dyDescent="0.25">
      <c r="A4733">
        <v>622300</v>
      </c>
      <c r="B4733">
        <v>0.52800000000000002</v>
      </c>
      <c r="C4733">
        <v>960</v>
      </c>
      <c r="D4733" s="9">
        <v>41617</v>
      </c>
      <c r="E4733" t="s">
        <v>296</v>
      </c>
      <c r="I4733" s="9"/>
    </row>
    <row r="4734" spans="1:9" x14ac:dyDescent="0.25">
      <c r="A4734">
        <v>622300</v>
      </c>
      <c r="B4734">
        <v>0.51800000000000002</v>
      </c>
      <c r="C4734">
        <v>960</v>
      </c>
      <c r="D4734" s="9">
        <v>41456</v>
      </c>
      <c r="E4734" t="s">
        <v>296</v>
      </c>
      <c r="I4734" s="9"/>
    </row>
    <row r="4735" spans="1:9" x14ac:dyDescent="0.25">
      <c r="A4735">
        <v>622310</v>
      </c>
      <c r="B4735">
        <v>0.59</v>
      </c>
      <c r="C4735">
        <v>480</v>
      </c>
      <c r="D4735" s="9">
        <v>43717</v>
      </c>
      <c r="E4735" t="s">
        <v>296</v>
      </c>
      <c r="I4735" s="9"/>
    </row>
    <row r="4736" spans="1:9" x14ac:dyDescent="0.25">
      <c r="A4736">
        <v>622310</v>
      </c>
      <c r="B4736">
        <v>0.59</v>
      </c>
      <c r="C4736">
        <v>720</v>
      </c>
      <c r="D4736" s="9">
        <v>43578</v>
      </c>
      <c r="E4736" t="s">
        <v>296</v>
      </c>
      <c r="I4736" s="9"/>
    </row>
    <row r="4737" spans="1:9" x14ac:dyDescent="0.25">
      <c r="A4737">
        <v>622310</v>
      </c>
      <c r="B4737">
        <v>0.55900000000000005</v>
      </c>
      <c r="C4737">
        <v>864</v>
      </c>
      <c r="D4737" s="9">
        <v>43350</v>
      </c>
      <c r="E4737" t="s">
        <v>296</v>
      </c>
      <c r="I4737" s="9"/>
    </row>
    <row r="4738" spans="1:9" x14ac:dyDescent="0.25">
      <c r="A4738">
        <v>622310</v>
      </c>
      <c r="B4738">
        <v>2.04</v>
      </c>
      <c r="C4738">
        <v>432</v>
      </c>
      <c r="D4738" s="9">
        <v>43234</v>
      </c>
      <c r="E4738" t="s">
        <v>295</v>
      </c>
      <c r="I4738" s="9"/>
    </row>
    <row r="4739" spans="1:9" x14ac:dyDescent="0.25">
      <c r="A4739">
        <v>622310</v>
      </c>
      <c r="B4739">
        <v>0.53</v>
      </c>
      <c r="C4739">
        <v>864</v>
      </c>
      <c r="D4739" s="9">
        <v>43049</v>
      </c>
      <c r="E4739" t="s">
        <v>296</v>
      </c>
      <c r="I4739" s="9"/>
    </row>
    <row r="4740" spans="1:9" x14ac:dyDescent="0.25">
      <c r="A4740">
        <v>622310</v>
      </c>
      <c r="B4740">
        <v>0.47</v>
      </c>
      <c r="C4740">
        <v>1440</v>
      </c>
      <c r="D4740" s="9">
        <v>42752</v>
      </c>
      <c r="E4740" t="s">
        <v>296</v>
      </c>
      <c r="I4740" s="9"/>
    </row>
    <row r="4741" spans="1:9" x14ac:dyDescent="0.25">
      <c r="A4741">
        <v>622310</v>
      </c>
      <c r="B4741">
        <v>0.47599999999999998</v>
      </c>
      <c r="C4741">
        <v>960</v>
      </c>
      <c r="D4741" s="9">
        <v>42520</v>
      </c>
      <c r="E4741" t="s">
        <v>297</v>
      </c>
      <c r="I4741" s="9"/>
    </row>
    <row r="4742" spans="1:9" x14ac:dyDescent="0.25">
      <c r="A4742">
        <v>622310</v>
      </c>
      <c r="B4742">
        <v>2.09</v>
      </c>
      <c r="C4742">
        <v>480</v>
      </c>
      <c r="D4742" s="9">
        <v>42520</v>
      </c>
      <c r="E4742" t="s">
        <v>295</v>
      </c>
      <c r="I4742" s="9"/>
    </row>
    <row r="4743" spans="1:9" x14ac:dyDescent="0.25">
      <c r="A4743">
        <v>622310</v>
      </c>
      <c r="B4743">
        <v>0.47599999999999998</v>
      </c>
      <c r="C4743">
        <v>960</v>
      </c>
      <c r="D4743" s="9">
        <v>42233</v>
      </c>
      <c r="E4743" t="s">
        <v>297</v>
      </c>
      <c r="I4743" s="9"/>
    </row>
    <row r="4744" spans="1:9" x14ac:dyDescent="0.25">
      <c r="A4744">
        <v>622310</v>
      </c>
      <c r="B4744">
        <v>1.59</v>
      </c>
      <c r="C4744">
        <v>960</v>
      </c>
      <c r="D4744" s="9">
        <v>41821</v>
      </c>
      <c r="E4744" t="s">
        <v>295</v>
      </c>
      <c r="I4744" s="9"/>
    </row>
    <row r="4745" spans="1:9" x14ac:dyDescent="0.25">
      <c r="A4745">
        <v>622310</v>
      </c>
      <c r="B4745">
        <v>0.51800000000000002</v>
      </c>
      <c r="C4745">
        <v>960</v>
      </c>
      <c r="D4745" s="9">
        <v>41821</v>
      </c>
      <c r="E4745" t="s">
        <v>296</v>
      </c>
      <c r="I4745" s="9"/>
    </row>
    <row r="4746" spans="1:9" x14ac:dyDescent="0.25">
      <c r="A4746">
        <v>622310</v>
      </c>
      <c r="B4746">
        <v>0.51800000000000002</v>
      </c>
      <c r="C4746">
        <v>960</v>
      </c>
      <c r="D4746" s="9">
        <v>41456</v>
      </c>
      <c r="E4746" t="s">
        <v>296</v>
      </c>
      <c r="I4746" s="9"/>
    </row>
    <row r="4747" spans="1:9" x14ac:dyDescent="0.25">
      <c r="A4747">
        <v>622400</v>
      </c>
      <c r="B4747">
        <v>0.87</v>
      </c>
      <c r="C4747">
        <v>1152</v>
      </c>
      <c r="D4747" s="9">
        <v>44071</v>
      </c>
      <c r="E4747" t="s">
        <v>296</v>
      </c>
      <c r="I4747" s="9"/>
    </row>
    <row r="4748" spans="1:9" x14ac:dyDescent="0.25">
      <c r="A4748">
        <v>622400</v>
      </c>
      <c r="B4748">
        <v>0.87</v>
      </c>
      <c r="C4748">
        <v>960</v>
      </c>
      <c r="D4748" s="9">
        <v>44005</v>
      </c>
      <c r="E4748" t="s">
        <v>296</v>
      </c>
      <c r="I4748" s="9"/>
    </row>
    <row r="4749" spans="1:9" x14ac:dyDescent="0.25">
      <c r="A4749">
        <v>622400</v>
      </c>
      <c r="B4749">
        <v>0.87</v>
      </c>
      <c r="C4749">
        <v>1440</v>
      </c>
      <c r="D4749" s="9">
        <v>43717</v>
      </c>
      <c r="E4749" t="s">
        <v>296</v>
      </c>
      <c r="I4749" s="9"/>
    </row>
    <row r="4750" spans="1:9" x14ac:dyDescent="0.25">
      <c r="A4750">
        <v>622400</v>
      </c>
      <c r="B4750">
        <v>0.87</v>
      </c>
      <c r="C4750">
        <v>1200</v>
      </c>
      <c r="D4750" s="9">
        <v>43578</v>
      </c>
      <c r="E4750" t="s">
        <v>296</v>
      </c>
      <c r="I4750" s="9"/>
    </row>
    <row r="4751" spans="1:9" x14ac:dyDescent="0.25">
      <c r="A4751">
        <v>622400</v>
      </c>
      <c r="B4751">
        <v>0.87</v>
      </c>
      <c r="C4751">
        <v>1200</v>
      </c>
      <c r="D4751" s="9">
        <v>43486</v>
      </c>
      <c r="E4751" t="s">
        <v>296</v>
      </c>
      <c r="I4751" s="9"/>
    </row>
    <row r="4752" spans="1:9" x14ac:dyDescent="0.25">
      <c r="A4752">
        <v>622400</v>
      </c>
      <c r="B4752">
        <v>0.82599999999999996</v>
      </c>
      <c r="C4752">
        <v>1400</v>
      </c>
      <c r="D4752" s="9">
        <v>42676</v>
      </c>
      <c r="E4752" t="s">
        <v>297</v>
      </c>
      <c r="I4752" s="9"/>
    </row>
    <row r="4753" spans="1:9" x14ac:dyDescent="0.25">
      <c r="A4753">
        <v>622400</v>
      </c>
      <c r="B4753">
        <v>0.82599999999999996</v>
      </c>
      <c r="C4753">
        <v>1280</v>
      </c>
      <c r="D4753" s="9">
        <v>42676</v>
      </c>
      <c r="E4753" t="s">
        <v>297</v>
      </c>
      <c r="I4753" s="9"/>
    </row>
    <row r="4754" spans="1:9" x14ac:dyDescent="0.25">
      <c r="A4754">
        <v>622400</v>
      </c>
      <c r="B4754">
        <v>0.82599999999999996</v>
      </c>
      <c r="C4754">
        <v>1200</v>
      </c>
      <c r="D4754" s="9">
        <v>42401</v>
      </c>
      <c r="E4754" t="s">
        <v>297</v>
      </c>
      <c r="I4754" s="9"/>
    </row>
    <row r="4755" spans="1:9" x14ac:dyDescent="0.25">
      <c r="A4755">
        <v>622400</v>
      </c>
      <c r="B4755">
        <v>0.82599999999999996</v>
      </c>
      <c r="C4755">
        <v>1200</v>
      </c>
      <c r="D4755" s="9">
        <v>42285</v>
      </c>
      <c r="E4755" t="s">
        <v>297</v>
      </c>
      <c r="I4755" s="9"/>
    </row>
    <row r="4756" spans="1:9" x14ac:dyDescent="0.25">
      <c r="A4756">
        <v>622400</v>
      </c>
      <c r="B4756">
        <v>0.90800000000000003</v>
      </c>
      <c r="C4756">
        <v>1600</v>
      </c>
      <c r="D4756" s="9">
        <v>41821</v>
      </c>
      <c r="E4756" t="s">
        <v>296</v>
      </c>
      <c r="I4756" s="9"/>
    </row>
    <row r="4757" spans="1:9" x14ac:dyDescent="0.25">
      <c r="A4757">
        <v>622400</v>
      </c>
      <c r="B4757">
        <v>2.79</v>
      </c>
      <c r="C4757">
        <v>1600</v>
      </c>
      <c r="D4757" s="9">
        <v>41821</v>
      </c>
      <c r="E4757" t="s">
        <v>295</v>
      </c>
      <c r="I4757" s="9"/>
    </row>
    <row r="4758" spans="1:9" x14ac:dyDescent="0.25">
      <c r="A4758">
        <v>622400</v>
      </c>
      <c r="B4758">
        <v>0.98</v>
      </c>
      <c r="C4758">
        <v>1440</v>
      </c>
      <c r="D4758" s="9">
        <v>41747</v>
      </c>
      <c r="E4758" t="s">
        <v>296</v>
      </c>
      <c r="I4758" s="9"/>
    </row>
    <row r="4759" spans="1:9" x14ac:dyDescent="0.25">
      <c r="A4759">
        <v>622400</v>
      </c>
      <c r="B4759">
        <v>0.89</v>
      </c>
      <c r="C4759">
        <v>1600</v>
      </c>
      <c r="D4759" s="9">
        <v>41682</v>
      </c>
      <c r="E4759" t="s">
        <v>296</v>
      </c>
      <c r="I4759" s="9"/>
    </row>
    <row r="4760" spans="1:9" x14ac:dyDescent="0.25">
      <c r="A4760">
        <v>622400</v>
      </c>
      <c r="B4760">
        <v>0.89</v>
      </c>
      <c r="C4760">
        <v>1200</v>
      </c>
      <c r="D4760" s="9">
        <v>41456</v>
      </c>
      <c r="E4760" t="s">
        <v>296</v>
      </c>
      <c r="I4760" s="9"/>
    </row>
    <row r="4761" spans="1:9" x14ac:dyDescent="0.25">
      <c r="A4761">
        <v>622410</v>
      </c>
      <c r="B4761">
        <v>0.87</v>
      </c>
      <c r="C4761">
        <v>288</v>
      </c>
      <c r="D4761" s="9">
        <v>44071</v>
      </c>
      <c r="E4761" t="s">
        <v>296</v>
      </c>
      <c r="I4761" s="9"/>
    </row>
    <row r="4762" spans="1:9" x14ac:dyDescent="0.25">
      <c r="A4762">
        <v>622410</v>
      </c>
      <c r="B4762">
        <v>0.87</v>
      </c>
      <c r="C4762">
        <v>288</v>
      </c>
      <c r="D4762" s="9">
        <v>43578</v>
      </c>
      <c r="E4762" t="s">
        <v>296</v>
      </c>
      <c r="I4762" s="9"/>
    </row>
    <row r="4763" spans="1:9" x14ac:dyDescent="0.25">
      <c r="A4763">
        <v>622410</v>
      </c>
      <c r="B4763">
        <v>0.87</v>
      </c>
      <c r="C4763">
        <v>408</v>
      </c>
      <c r="D4763" s="9">
        <v>43350</v>
      </c>
      <c r="E4763" t="s">
        <v>296</v>
      </c>
      <c r="I4763" s="9"/>
    </row>
    <row r="4764" spans="1:9" x14ac:dyDescent="0.25">
      <c r="A4764">
        <v>622410</v>
      </c>
      <c r="B4764">
        <v>0.76</v>
      </c>
      <c r="C4764">
        <v>408</v>
      </c>
      <c r="D4764" s="9">
        <v>43270</v>
      </c>
      <c r="E4764" t="s">
        <v>296</v>
      </c>
      <c r="I4764" s="9"/>
    </row>
    <row r="4765" spans="1:9" x14ac:dyDescent="0.25">
      <c r="A4765">
        <v>622410</v>
      </c>
      <c r="B4765">
        <v>0.83699999999999997</v>
      </c>
      <c r="C4765">
        <v>800</v>
      </c>
      <c r="D4765" s="9">
        <v>42676</v>
      </c>
      <c r="E4765" t="s">
        <v>297</v>
      </c>
      <c r="I4765" s="9"/>
    </row>
    <row r="4766" spans="1:9" x14ac:dyDescent="0.25">
      <c r="A4766">
        <v>622410</v>
      </c>
      <c r="B4766">
        <v>3.67</v>
      </c>
      <c r="C4766">
        <v>640</v>
      </c>
      <c r="D4766" s="9">
        <v>42520</v>
      </c>
      <c r="E4766" t="s">
        <v>295</v>
      </c>
      <c r="I4766" s="9"/>
    </row>
    <row r="4767" spans="1:9" x14ac:dyDescent="0.25">
      <c r="A4767">
        <v>622410</v>
      </c>
      <c r="B4767">
        <v>0.83699999999999997</v>
      </c>
      <c r="C4767">
        <v>640</v>
      </c>
      <c r="D4767" s="9">
        <v>42520</v>
      </c>
      <c r="E4767" t="s">
        <v>297</v>
      </c>
      <c r="I4767" s="9"/>
    </row>
    <row r="4768" spans="1:9" x14ac:dyDescent="0.25">
      <c r="A4768">
        <v>622410</v>
      </c>
      <c r="B4768">
        <v>0.83699999999999997</v>
      </c>
      <c r="C4768">
        <v>640</v>
      </c>
      <c r="D4768" s="9">
        <v>42233</v>
      </c>
      <c r="E4768" t="s">
        <v>297</v>
      </c>
      <c r="I4768" s="9"/>
    </row>
    <row r="4769" spans="1:9" x14ac:dyDescent="0.25">
      <c r="A4769">
        <v>622410</v>
      </c>
      <c r="B4769">
        <v>0.89</v>
      </c>
      <c r="C4769">
        <v>640</v>
      </c>
      <c r="D4769" s="9">
        <v>41456</v>
      </c>
      <c r="E4769" t="s">
        <v>296</v>
      </c>
      <c r="I4769" s="9"/>
    </row>
    <row r="4770" spans="1:9" x14ac:dyDescent="0.25">
      <c r="A4770">
        <v>622600</v>
      </c>
      <c r="B4770">
        <v>0.9</v>
      </c>
      <c r="C4770">
        <v>120</v>
      </c>
      <c r="D4770" s="9">
        <v>44005</v>
      </c>
      <c r="E4770" t="s">
        <v>296</v>
      </c>
      <c r="I4770" s="9"/>
    </row>
    <row r="4771" spans="1:9" x14ac:dyDescent="0.25">
      <c r="A4771">
        <v>622600</v>
      </c>
      <c r="B4771">
        <v>0.9</v>
      </c>
      <c r="C4771">
        <v>600</v>
      </c>
      <c r="D4771" s="9">
        <v>43717</v>
      </c>
      <c r="E4771" t="s">
        <v>296</v>
      </c>
      <c r="I4771" s="9"/>
    </row>
    <row r="4772" spans="1:9" x14ac:dyDescent="0.25">
      <c r="A4772">
        <v>622600</v>
      </c>
      <c r="B4772">
        <v>0.9</v>
      </c>
      <c r="C4772">
        <v>600</v>
      </c>
      <c r="D4772" s="9">
        <v>43578</v>
      </c>
      <c r="E4772" t="s">
        <v>296</v>
      </c>
      <c r="I4772" s="9"/>
    </row>
    <row r="4773" spans="1:9" x14ac:dyDescent="0.25">
      <c r="A4773">
        <v>622600</v>
      </c>
      <c r="B4773">
        <v>0.9</v>
      </c>
      <c r="C4773">
        <v>800</v>
      </c>
      <c r="D4773" s="9">
        <v>43486</v>
      </c>
      <c r="E4773" t="s">
        <v>296</v>
      </c>
      <c r="I4773" s="9"/>
    </row>
    <row r="4774" spans="1:9" x14ac:dyDescent="0.25">
      <c r="A4774">
        <v>622600</v>
      </c>
      <c r="B4774">
        <v>0.6</v>
      </c>
      <c r="C4774">
        <v>800</v>
      </c>
      <c r="D4774" s="9">
        <v>42976</v>
      </c>
      <c r="E4774" t="s">
        <v>296</v>
      </c>
      <c r="I4774" s="9"/>
    </row>
    <row r="4775" spans="1:9" x14ac:dyDescent="0.25">
      <c r="A4775">
        <v>622600</v>
      </c>
      <c r="B4775">
        <v>0.64700000000000002</v>
      </c>
      <c r="C4775">
        <v>800</v>
      </c>
      <c r="D4775" s="9">
        <v>42676</v>
      </c>
      <c r="E4775" t="s">
        <v>297</v>
      </c>
      <c r="I4775" s="9"/>
    </row>
    <row r="4776" spans="1:9" x14ac:dyDescent="0.25">
      <c r="A4776">
        <v>622600</v>
      </c>
      <c r="B4776">
        <v>0.64700000000000002</v>
      </c>
      <c r="C4776">
        <v>800</v>
      </c>
      <c r="D4776" s="9">
        <v>42401</v>
      </c>
      <c r="E4776" t="s">
        <v>297</v>
      </c>
      <c r="I4776" s="9"/>
    </row>
    <row r="4777" spans="1:9" x14ac:dyDescent="0.25">
      <c r="A4777">
        <v>622600</v>
      </c>
      <c r="B4777">
        <v>0.68100000000000005</v>
      </c>
      <c r="C4777">
        <v>1200</v>
      </c>
      <c r="D4777" s="9">
        <v>42040</v>
      </c>
      <c r="E4777" t="s">
        <v>296</v>
      </c>
      <c r="I4777" s="9"/>
    </row>
    <row r="4778" spans="1:9" x14ac:dyDescent="0.25">
      <c r="A4778">
        <v>622600</v>
      </c>
      <c r="B4778">
        <v>0.68100000000000005</v>
      </c>
      <c r="C4778">
        <v>1200</v>
      </c>
      <c r="D4778" s="9">
        <v>41617</v>
      </c>
      <c r="E4778" t="s">
        <v>296</v>
      </c>
      <c r="I4778" s="9"/>
    </row>
    <row r="4779" spans="1:9" x14ac:dyDescent="0.25">
      <c r="A4779">
        <v>622600</v>
      </c>
      <c r="B4779">
        <v>0.66800000000000004</v>
      </c>
      <c r="C4779">
        <v>1200</v>
      </c>
      <c r="D4779" s="9">
        <v>41456</v>
      </c>
      <c r="E4779" t="s">
        <v>296</v>
      </c>
      <c r="I4779" s="9"/>
    </row>
    <row r="4780" spans="1:9" x14ac:dyDescent="0.25">
      <c r="A4780">
        <v>622624</v>
      </c>
      <c r="B4780">
        <v>1.1000000000000001</v>
      </c>
      <c r="C4780">
        <v>400</v>
      </c>
      <c r="D4780" s="9">
        <v>44071</v>
      </c>
      <c r="E4780" t="s">
        <v>296</v>
      </c>
      <c r="I4780" s="9"/>
    </row>
    <row r="4781" spans="1:9" x14ac:dyDescent="0.25">
      <c r="A4781">
        <v>622624</v>
      </c>
      <c r="B4781">
        <v>1.1000000000000001</v>
      </c>
      <c r="C4781">
        <v>500</v>
      </c>
      <c r="D4781" s="9">
        <v>44005</v>
      </c>
      <c r="E4781" t="s">
        <v>296</v>
      </c>
      <c r="I4781" s="9"/>
    </row>
    <row r="4782" spans="1:9" x14ac:dyDescent="0.25">
      <c r="A4782">
        <v>622624</v>
      </c>
      <c r="B4782">
        <v>1.1000000000000001</v>
      </c>
      <c r="C4782">
        <v>480</v>
      </c>
      <c r="D4782" s="9">
        <v>43717</v>
      </c>
      <c r="E4782" t="s">
        <v>296</v>
      </c>
      <c r="I4782" s="9"/>
    </row>
    <row r="4783" spans="1:9" x14ac:dyDescent="0.25">
      <c r="A4783">
        <v>622624</v>
      </c>
      <c r="B4783">
        <v>1.1000000000000001</v>
      </c>
      <c r="C4783">
        <v>320</v>
      </c>
      <c r="D4783" s="9">
        <v>43578</v>
      </c>
      <c r="E4783" t="s">
        <v>296</v>
      </c>
      <c r="I4783" s="9"/>
    </row>
    <row r="4784" spans="1:9" x14ac:dyDescent="0.25">
      <c r="A4784">
        <v>622624</v>
      </c>
      <c r="B4784">
        <v>1</v>
      </c>
      <c r="C4784">
        <v>320</v>
      </c>
      <c r="D4784" s="9">
        <v>43486</v>
      </c>
      <c r="E4784" t="s">
        <v>296</v>
      </c>
      <c r="I4784" s="9"/>
    </row>
    <row r="4785" spans="1:9" x14ac:dyDescent="0.25">
      <c r="A4785">
        <v>622624</v>
      </c>
      <c r="B4785">
        <v>1</v>
      </c>
      <c r="C4785">
        <v>320</v>
      </c>
      <c r="D4785" s="9">
        <v>43350</v>
      </c>
      <c r="E4785" t="s">
        <v>296</v>
      </c>
      <c r="I4785" s="9"/>
    </row>
    <row r="4786" spans="1:9" x14ac:dyDescent="0.25">
      <c r="A4786">
        <v>622624</v>
      </c>
      <c r="B4786">
        <v>1</v>
      </c>
      <c r="C4786">
        <v>320</v>
      </c>
      <c r="D4786" s="9">
        <v>43270</v>
      </c>
      <c r="E4786" t="s">
        <v>296</v>
      </c>
      <c r="I4786" s="9"/>
    </row>
    <row r="4787" spans="1:9" x14ac:dyDescent="0.25">
      <c r="A4787">
        <v>622624</v>
      </c>
      <c r="B4787">
        <v>3.56</v>
      </c>
      <c r="C4787">
        <v>640</v>
      </c>
      <c r="D4787" s="9">
        <v>43234</v>
      </c>
      <c r="E4787" t="s">
        <v>295</v>
      </c>
      <c r="I4787" s="9"/>
    </row>
    <row r="4788" spans="1:9" x14ac:dyDescent="0.25">
      <c r="A4788">
        <v>622624</v>
      </c>
      <c r="B4788">
        <v>0.95</v>
      </c>
      <c r="C4788">
        <v>640</v>
      </c>
      <c r="D4788" s="9">
        <v>43049</v>
      </c>
      <c r="E4788" t="s">
        <v>296</v>
      </c>
      <c r="I4788" s="9"/>
    </row>
    <row r="4789" spans="1:9" x14ac:dyDescent="0.25">
      <c r="A4789">
        <v>622624</v>
      </c>
      <c r="B4789">
        <v>0.75</v>
      </c>
      <c r="C4789">
        <v>560</v>
      </c>
      <c r="D4789" s="9">
        <v>42976</v>
      </c>
      <c r="E4789" t="s">
        <v>296</v>
      </c>
      <c r="I4789" s="9"/>
    </row>
    <row r="4790" spans="1:9" x14ac:dyDescent="0.25">
      <c r="A4790">
        <v>622624</v>
      </c>
      <c r="B4790">
        <v>0.875</v>
      </c>
      <c r="C4790">
        <v>560</v>
      </c>
      <c r="D4790" s="9">
        <v>42676</v>
      </c>
      <c r="E4790" t="s">
        <v>297</v>
      </c>
      <c r="I4790" s="9"/>
    </row>
    <row r="4791" spans="1:9" x14ac:dyDescent="0.25">
      <c r="A4791">
        <v>622624</v>
      </c>
      <c r="B4791">
        <v>0.875</v>
      </c>
      <c r="C4791">
        <v>560</v>
      </c>
      <c r="D4791" s="9">
        <v>42401</v>
      </c>
      <c r="E4791" t="s">
        <v>297</v>
      </c>
      <c r="I4791" s="9"/>
    </row>
    <row r="4792" spans="1:9" x14ac:dyDescent="0.25">
      <c r="A4792">
        <v>622624</v>
      </c>
      <c r="B4792">
        <v>0.875</v>
      </c>
      <c r="C4792">
        <v>560</v>
      </c>
      <c r="D4792" s="9">
        <v>42233</v>
      </c>
      <c r="E4792" t="s">
        <v>297</v>
      </c>
      <c r="I4792" s="9"/>
    </row>
    <row r="4793" spans="1:9" x14ac:dyDescent="0.25">
      <c r="A4793">
        <v>622624</v>
      </c>
      <c r="B4793">
        <v>0.95199999999999996</v>
      </c>
      <c r="C4793">
        <v>720</v>
      </c>
      <c r="D4793" s="9">
        <v>42040</v>
      </c>
      <c r="E4793" t="s">
        <v>296</v>
      </c>
      <c r="I4793" s="9"/>
    </row>
    <row r="4794" spans="1:9" x14ac:dyDescent="0.25">
      <c r="A4794">
        <v>622624</v>
      </c>
      <c r="B4794">
        <v>0.95199999999999996</v>
      </c>
      <c r="C4794">
        <v>640</v>
      </c>
      <c r="D4794" s="9">
        <v>41821</v>
      </c>
      <c r="E4794" t="s">
        <v>296</v>
      </c>
      <c r="I4794" s="9"/>
    </row>
    <row r="4795" spans="1:9" x14ac:dyDescent="0.25">
      <c r="A4795">
        <v>622624</v>
      </c>
      <c r="B4795">
        <v>2.92</v>
      </c>
      <c r="C4795">
        <v>640</v>
      </c>
      <c r="D4795" s="9">
        <v>41821</v>
      </c>
      <c r="E4795" t="s">
        <v>295</v>
      </c>
      <c r="I4795" s="9"/>
    </row>
    <row r="4796" spans="1:9" x14ac:dyDescent="0.25">
      <c r="A4796">
        <v>622624</v>
      </c>
      <c r="B4796">
        <v>0.93300000000000005</v>
      </c>
      <c r="C4796">
        <v>640</v>
      </c>
      <c r="D4796" s="9">
        <v>41682</v>
      </c>
      <c r="E4796" t="s">
        <v>296</v>
      </c>
      <c r="I4796" s="9"/>
    </row>
    <row r="4797" spans="1:9" x14ac:dyDescent="0.25">
      <c r="A4797">
        <v>622624</v>
      </c>
      <c r="B4797">
        <v>0.93300000000000005</v>
      </c>
      <c r="C4797">
        <v>640</v>
      </c>
      <c r="D4797" s="9">
        <v>41456</v>
      </c>
      <c r="E4797" t="s">
        <v>296</v>
      </c>
      <c r="I4797" s="9"/>
    </row>
    <row r="4798" spans="1:9" x14ac:dyDescent="0.25">
      <c r="A4798">
        <v>623010</v>
      </c>
      <c r="B4798">
        <v>1.75</v>
      </c>
      <c r="C4798">
        <v>792</v>
      </c>
      <c r="D4798" s="9">
        <v>44060</v>
      </c>
      <c r="E4798" t="s">
        <v>296</v>
      </c>
      <c r="I4798" s="9"/>
    </row>
    <row r="4799" spans="1:9" x14ac:dyDescent="0.25">
      <c r="A4799">
        <v>623010</v>
      </c>
      <c r="B4799">
        <v>1.75</v>
      </c>
      <c r="C4799">
        <v>792</v>
      </c>
      <c r="D4799" s="9">
        <v>43829</v>
      </c>
      <c r="E4799" t="s">
        <v>296</v>
      </c>
      <c r="I4799" s="9"/>
    </row>
    <row r="4800" spans="1:9" x14ac:dyDescent="0.25">
      <c r="A4800">
        <v>623010</v>
      </c>
      <c r="B4800">
        <v>1.75</v>
      </c>
      <c r="C4800">
        <v>792</v>
      </c>
      <c r="D4800" s="9">
        <v>43627</v>
      </c>
      <c r="E4800" t="s">
        <v>296</v>
      </c>
      <c r="I4800" s="9"/>
    </row>
    <row r="4801" spans="1:9" x14ac:dyDescent="0.25">
      <c r="A4801">
        <v>623010</v>
      </c>
      <c r="B4801">
        <v>1.75</v>
      </c>
      <c r="C4801">
        <v>1008</v>
      </c>
      <c r="D4801" s="9">
        <v>43489</v>
      </c>
      <c r="E4801" t="s">
        <v>296</v>
      </c>
      <c r="I4801" s="9"/>
    </row>
    <row r="4802" spans="1:9" x14ac:dyDescent="0.25">
      <c r="A4802">
        <v>623010</v>
      </c>
      <c r="B4802">
        <v>1.8</v>
      </c>
      <c r="C4802">
        <v>1008</v>
      </c>
      <c r="D4802" s="9">
        <v>43284</v>
      </c>
      <c r="E4802" t="s">
        <v>296</v>
      </c>
      <c r="I4802" s="9"/>
    </row>
    <row r="4803" spans="1:9" x14ac:dyDescent="0.25">
      <c r="A4803">
        <v>623010</v>
      </c>
      <c r="B4803">
        <v>6.35</v>
      </c>
      <c r="C4803">
        <v>792</v>
      </c>
      <c r="D4803" s="9">
        <v>43123</v>
      </c>
      <c r="E4803" t="s">
        <v>295</v>
      </c>
      <c r="I4803" s="9"/>
    </row>
    <row r="4804" spans="1:9" x14ac:dyDescent="0.25">
      <c r="A4804">
        <v>623010</v>
      </c>
      <c r="B4804">
        <v>1.75</v>
      </c>
      <c r="C4804">
        <v>1440</v>
      </c>
      <c r="D4804" s="9">
        <v>43067</v>
      </c>
      <c r="E4804" t="s">
        <v>296</v>
      </c>
      <c r="I4804" s="9"/>
    </row>
    <row r="4805" spans="1:9" x14ac:dyDescent="0.25">
      <c r="A4805">
        <v>623010</v>
      </c>
      <c r="B4805">
        <v>1.65</v>
      </c>
      <c r="C4805">
        <v>1224</v>
      </c>
      <c r="D4805" s="9">
        <v>42873</v>
      </c>
      <c r="E4805" t="s">
        <v>296</v>
      </c>
      <c r="I4805" s="9"/>
    </row>
    <row r="4806" spans="1:9" x14ac:dyDescent="0.25">
      <c r="A4806">
        <v>623010</v>
      </c>
      <c r="B4806">
        <v>1.68</v>
      </c>
      <c r="C4806">
        <v>864</v>
      </c>
      <c r="D4806" s="9">
        <v>42585</v>
      </c>
      <c r="E4806" t="s">
        <v>296</v>
      </c>
      <c r="I4806" s="9"/>
    </row>
    <row r="4807" spans="1:9" x14ac:dyDescent="0.25">
      <c r="A4807">
        <v>623010</v>
      </c>
      <c r="B4807">
        <v>1.68</v>
      </c>
      <c r="C4807">
        <v>864</v>
      </c>
      <c r="D4807" s="9">
        <v>42573</v>
      </c>
      <c r="E4807" t="s">
        <v>296</v>
      </c>
      <c r="I4807" s="9"/>
    </row>
    <row r="4808" spans="1:9" x14ac:dyDescent="0.25">
      <c r="A4808">
        <v>623010</v>
      </c>
      <c r="B4808">
        <v>2.149</v>
      </c>
      <c r="C4808">
        <v>576</v>
      </c>
      <c r="D4808" s="9">
        <v>42271</v>
      </c>
      <c r="E4808" t="s">
        <v>296</v>
      </c>
      <c r="I4808" s="9"/>
    </row>
    <row r="4809" spans="1:9" x14ac:dyDescent="0.25">
      <c r="A4809">
        <v>623010</v>
      </c>
      <c r="B4809">
        <v>2.149</v>
      </c>
      <c r="C4809">
        <v>1080</v>
      </c>
      <c r="D4809" s="9">
        <v>41983</v>
      </c>
      <c r="E4809" t="s">
        <v>296</v>
      </c>
      <c r="I4809" s="9"/>
    </row>
    <row r="4810" spans="1:9" x14ac:dyDescent="0.25">
      <c r="A4810">
        <v>623010</v>
      </c>
      <c r="B4810">
        <v>6.87</v>
      </c>
      <c r="C4810">
        <v>1008</v>
      </c>
      <c r="D4810" s="9">
        <v>41927</v>
      </c>
      <c r="E4810" t="s">
        <v>295</v>
      </c>
      <c r="I4810" s="9"/>
    </row>
    <row r="4811" spans="1:9" x14ac:dyDescent="0.25">
      <c r="A4811">
        <v>623010</v>
      </c>
      <c r="B4811">
        <v>2.1259999999999999</v>
      </c>
      <c r="C4811">
        <v>1008</v>
      </c>
      <c r="D4811" s="9">
        <v>41870</v>
      </c>
      <c r="E4811" t="s">
        <v>296</v>
      </c>
      <c r="I4811" s="9"/>
    </row>
    <row r="4812" spans="1:9" x14ac:dyDescent="0.25">
      <c r="A4812">
        <v>623010</v>
      </c>
      <c r="B4812">
        <v>2.0920000000000001</v>
      </c>
      <c r="C4812">
        <v>720</v>
      </c>
      <c r="D4812" s="9">
        <v>41782</v>
      </c>
      <c r="E4812" t="s">
        <v>296</v>
      </c>
      <c r="I4812" s="9"/>
    </row>
    <row r="4813" spans="1:9" x14ac:dyDescent="0.25">
      <c r="A4813">
        <v>623010</v>
      </c>
      <c r="B4813">
        <v>2.0920000000000001</v>
      </c>
      <c r="C4813">
        <v>864</v>
      </c>
      <c r="D4813" s="9">
        <v>41505</v>
      </c>
      <c r="E4813" t="s">
        <v>296</v>
      </c>
      <c r="I4813" s="9"/>
    </row>
    <row r="4814" spans="1:9" x14ac:dyDescent="0.25">
      <c r="A4814">
        <v>623010</v>
      </c>
      <c r="B4814">
        <v>2.0720000000000001</v>
      </c>
      <c r="C4814">
        <v>1152</v>
      </c>
      <c r="D4814" s="9">
        <v>41295</v>
      </c>
      <c r="E4814" t="s">
        <v>296</v>
      </c>
      <c r="I4814" s="9"/>
    </row>
    <row r="4815" spans="1:9" x14ac:dyDescent="0.25">
      <c r="A4815">
        <v>623012</v>
      </c>
      <c r="B4815">
        <v>1.1299999999999999</v>
      </c>
      <c r="C4815">
        <v>420</v>
      </c>
      <c r="D4815" s="9">
        <v>44028</v>
      </c>
      <c r="E4815" t="s">
        <v>296</v>
      </c>
      <c r="I4815" s="9"/>
    </row>
    <row r="4816" spans="1:9" x14ac:dyDescent="0.25">
      <c r="A4816">
        <v>623012</v>
      </c>
      <c r="B4816">
        <v>1.1299999999999999</v>
      </c>
      <c r="C4816">
        <v>600</v>
      </c>
      <c r="D4816" s="9">
        <v>43686</v>
      </c>
      <c r="E4816" t="s">
        <v>296</v>
      </c>
      <c r="I4816" s="9"/>
    </row>
    <row r="4817" spans="1:9" x14ac:dyDescent="0.25">
      <c r="A4817">
        <v>623012</v>
      </c>
      <c r="B4817">
        <v>1.1100000000000001</v>
      </c>
      <c r="C4817">
        <v>600</v>
      </c>
      <c r="D4817" s="9">
        <v>43305</v>
      </c>
      <c r="E4817" t="s">
        <v>296</v>
      </c>
      <c r="I4817" s="9"/>
    </row>
    <row r="4818" spans="1:9" x14ac:dyDescent="0.25">
      <c r="A4818">
        <v>623012</v>
      </c>
      <c r="B4818">
        <v>1.02</v>
      </c>
      <c r="C4818">
        <v>720</v>
      </c>
      <c r="D4818" s="9">
        <v>42853</v>
      </c>
      <c r="E4818" t="s">
        <v>296</v>
      </c>
      <c r="I4818" s="9"/>
    </row>
    <row r="4819" spans="1:9" x14ac:dyDescent="0.25">
      <c r="A4819">
        <v>623012</v>
      </c>
      <c r="B4819">
        <v>0.99</v>
      </c>
      <c r="C4819">
        <v>720</v>
      </c>
      <c r="D4819" s="9">
        <v>42383</v>
      </c>
      <c r="E4819" t="s">
        <v>296</v>
      </c>
      <c r="I4819" s="9"/>
    </row>
    <row r="4820" spans="1:9" x14ac:dyDescent="0.25">
      <c r="A4820">
        <v>623071</v>
      </c>
      <c r="B4820">
        <v>11.85</v>
      </c>
      <c r="C4820">
        <v>64</v>
      </c>
      <c r="D4820" s="9">
        <v>44117</v>
      </c>
      <c r="E4820" t="s">
        <v>296</v>
      </c>
      <c r="I4820" s="9"/>
    </row>
    <row r="4821" spans="1:9" x14ac:dyDescent="0.25">
      <c r="A4821">
        <v>623071</v>
      </c>
      <c r="B4821">
        <v>11.85</v>
      </c>
      <c r="C4821">
        <v>64</v>
      </c>
      <c r="D4821" s="9">
        <v>43627</v>
      </c>
      <c r="E4821" t="s">
        <v>296</v>
      </c>
      <c r="I4821" s="9"/>
    </row>
    <row r="4822" spans="1:9" x14ac:dyDescent="0.25">
      <c r="A4822">
        <v>623071</v>
      </c>
      <c r="B4822">
        <v>12.2</v>
      </c>
      <c r="C4822">
        <v>64</v>
      </c>
      <c r="D4822" s="9">
        <v>43284</v>
      </c>
      <c r="E4822" t="s">
        <v>296</v>
      </c>
      <c r="I4822" s="9"/>
    </row>
    <row r="4823" spans="1:9" x14ac:dyDescent="0.25">
      <c r="A4823">
        <v>623071</v>
      </c>
      <c r="B4823">
        <v>12.2</v>
      </c>
      <c r="C4823">
        <v>72</v>
      </c>
      <c r="D4823" s="9">
        <v>43039</v>
      </c>
      <c r="E4823" t="s">
        <v>296</v>
      </c>
      <c r="I4823" s="9"/>
    </row>
    <row r="4824" spans="1:9" x14ac:dyDescent="0.25">
      <c r="A4824">
        <v>623071</v>
      </c>
      <c r="B4824">
        <v>12</v>
      </c>
      <c r="C4824">
        <v>100</v>
      </c>
      <c r="D4824" s="9">
        <v>42781</v>
      </c>
      <c r="E4824" t="s">
        <v>296</v>
      </c>
      <c r="I4824" s="9"/>
    </row>
    <row r="4825" spans="1:9" x14ac:dyDescent="0.25">
      <c r="A4825">
        <v>623071</v>
      </c>
      <c r="B4825">
        <v>12.5</v>
      </c>
      <c r="C4825">
        <v>120</v>
      </c>
      <c r="D4825" s="9">
        <v>42380</v>
      </c>
      <c r="E4825" t="s">
        <v>296</v>
      </c>
      <c r="I4825" s="9"/>
    </row>
    <row r="4826" spans="1:9" x14ac:dyDescent="0.25">
      <c r="A4826">
        <v>623071</v>
      </c>
      <c r="B4826">
        <v>38.64</v>
      </c>
      <c r="C4826">
        <v>100</v>
      </c>
      <c r="D4826" s="9">
        <v>42269</v>
      </c>
      <c r="E4826" t="s">
        <v>295</v>
      </c>
      <c r="I4826" s="9"/>
    </row>
    <row r="4827" spans="1:9" x14ac:dyDescent="0.25">
      <c r="A4827">
        <v>623071</v>
      </c>
      <c r="B4827">
        <v>12.5</v>
      </c>
      <c r="C4827">
        <v>100</v>
      </c>
      <c r="D4827" s="9">
        <v>42229</v>
      </c>
      <c r="E4827" t="s">
        <v>296</v>
      </c>
      <c r="I4827" s="9"/>
    </row>
    <row r="4828" spans="1:9" x14ac:dyDescent="0.25">
      <c r="A4828">
        <v>623071</v>
      </c>
      <c r="B4828">
        <v>12.5</v>
      </c>
      <c r="C4828">
        <v>100</v>
      </c>
      <c r="D4828" s="9">
        <v>41618</v>
      </c>
      <c r="E4828" t="s">
        <v>296</v>
      </c>
      <c r="I4828" s="9"/>
    </row>
    <row r="4829" spans="1:9" x14ac:dyDescent="0.25">
      <c r="A4829">
        <v>623071</v>
      </c>
      <c r="B4829">
        <v>12.4</v>
      </c>
      <c r="C4829">
        <v>100</v>
      </c>
      <c r="D4829" s="9">
        <v>41330</v>
      </c>
      <c r="E4829" t="s">
        <v>296</v>
      </c>
      <c r="I4829" s="9"/>
    </row>
    <row r="4830" spans="1:9" x14ac:dyDescent="0.25">
      <c r="A4830">
        <v>623090</v>
      </c>
      <c r="B4830">
        <v>15</v>
      </c>
      <c r="C4830">
        <v>168</v>
      </c>
      <c r="D4830" s="9">
        <v>44140</v>
      </c>
      <c r="E4830" t="s">
        <v>296</v>
      </c>
      <c r="I4830" s="9"/>
    </row>
    <row r="4831" spans="1:9" x14ac:dyDescent="0.25">
      <c r="A4831">
        <v>623090</v>
      </c>
      <c r="B4831">
        <v>13.98</v>
      </c>
      <c r="C4831">
        <v>140</v>
      </c>
      <c r="D4831" s="9">
        <v>44117</v>
      </c>
      <c r="E4831" t="s">
        <v>296</v>
      </c>
      <c r="I4831" s="9"/>
    </row>
    <row r="4832" spans="1:9" x14ac:dyDescent="0.25">
      <c r="A4832">
        <v>623090</v>
      </c>
      <c r="B4832">
        <v>13.98</v>
      </c>
      <c r="C4832">
        <v>140</v>
      </c>
      <c r="D4832" s="9">
        <v>43959</v>
      </c>
      <c r="E4832" t="s">
        <v>296</v>
      </c>
      <c r="I4832" s="9"/>
    </row>
    <row r="4833" spans="1:9" x14ac:dyDescent="0.25">
      <c r="A4833">
        <v>623090</v>
      </c>
      <c r="B4833">
        <v>13.98</v>
      </c>
      <c r="C4833">
        <v>140</v>
      </c>
      <c r="D4833" s="9">
        <v>43837</v>
      </c>
      <c r="E4833" t="s">
        <v>296</v>
      </c>
      <c r="I4833" s="9"/>
    </row>
    <row r="4834" spans="1:9" x14ac:dyDescent="0.25">
      <c r="A4834">
        <v>623090</v>
      </c>
      <c r="B4834">
        <v>13.95</v>
      </c>
      <c r="C4834">
        <v>160</v>
      </c>
      <c r="D4834" s="9">
        <v>43627</v>
      </c>
      <c r="E4834" t="s">
        <v>296</v>
      </c>
      <c r="I4834" s="9"/>
    </row>
    <row r="4835" spans="1:9" x14ac:dyDescent="0.25">
      <c r="A4835">
        <v>623090</v>
      </c>
      <c r="B4835">
        <v>13.95</v>
      </c>
      <c r="C4835">
        <v>140</v>
      </c>
      <c r="D4835" s="9">
        <v>43473</v>
      </c>
      <c r="E4835" t="s">
        <v>296</v>
      </c>
      <c r="I4835" s="9"/>
    </row>
    <row r="4836" spans="1:9" x14ac:dyDescent="0.25">
      <c r="A4836">
        <v>623090</v>
      </c>
      <c r="B4836">
        <v>14.15</v>
      </c>
      <c r="C4836">
        <v>140</v>
      </c>
      <c r="D4836" s="9">
        <v>43381</v>
      </c>
      <c r="E4836" t="s">
        <v>296</v>
      </c>
      <c r="I4836" s="9"/>
    </row>
    <row r="4837" spans="1:9" x14ac:dyDescent="0.25">
      <c r="A4837">
        <v>623090</v>
      </c>
      <c r="B4837">
        <v>15</v>
      </c>
      <c r="C4837">
        <v>72</v>
      </c>
      <c r="D4837" s="9">
        <v>43284</v>
      </c>
      <c r="E4837" t="s">
        <v>296</v>
      </c>
      <c r="I4837" s="9"/>
    </row>
    <row r="4838" spans="1:9" x14ac:dyDescent="0.25">
      <c r="A4838">
        <v>623090</v>
      </c>
      <c r="B4838">
        <v>14.89</v>
      </c>
      <c r="C4838">
        <v>120</v>
      </c>
      <c r="D4838" s="9">
        <v>43116</v>
      </c>
      <c r="E4838" t="s">
        <v>296</v>
      </c>
      <c r="I4838" s="9"/>
    </row>
    <row r="4839" spans="1:9" x14ac:dyDescent="0.25">
      <c r="A4839">
        <v>623090</v>
      </c>
      <c r="B4839">
        <v>14.89</v>
      </c>
      <c r="C4839">
        <v>120</v>
      </c>
      <c r="D4839" s="9">
        <v>43039</v>
      </c>
      <c r="E4839" t="s">
        <v>296</v>
      </c>
      <c r="I4839" s="9"/>
    </row>
    <row r="4840" spans="1:9" x14ac:dyDescent="0.25">
      <c r="A4840">
        <v>623090</v>
      </c>
      <c r="B4840">
        <v>14.45</v>
      </c>
      <c r="C4840">
        <v>120</v>
      </c>
      <c r="D4840" s="9">
        <v>42905</v>
      </c>
      <c r="E4840" t="s">
        <v>296</v>
      </c>
      <c r="I4840" s="9"/>
    </row>
    <row r="4841" spans="1:9" x14ac:dyDescent="0.25">
      <c r="A4841">
        <v>623090</v>
      </c>
      <c r="B4841">
        <v>14.2</v>
      </c>
      <c r="C4841">
        <v>100</v>
      </c>
      <c r="D4841" s="9">
        <v>42781</v>
      </c>
      <c r="E4841" t="s">
        <v>296</v>
      </c>
      <c r="I4841" s="9"/>
    </row>
    <row r="4842" spans="1:9" x14ac:dyDescent="0.25">
      <c r="A4842">
        <v>623090</v>
      </c>
      <c r="B4842">
        <v>14.89</v>
      </c>
      <c r="C4842">
        <v>200</v>
      </c>
      <c r="D4842" s="9">
        <v>42573</v>
      </c>
      <c r="E4842" t="s">
        <v>296</v>
      </c>
      <c r="I4842" s="9"/>
    </row>
    <row r="4843" spans="1:9" x14ac:dyDescent="0.25">
      <c r="A4843">
        <v>623090</v>
      </c>
      <c r="B4843">
        <v>15.3</v>
      </c>
      <c r="C4843">
        <v>160</v>
      </c>
      <c r="D4843" s="9">
        <v>42482</v>
      </c>
      <c r="E4843" t="s">
        <v>296</v>
      </c>
      <c r="I4843" s="9"/>
    </row>
    <row r="4844" spans="1:9" x14ac:dyDescent="0.25">
      <c r="A4844">
        <v>623090</v>
      </c>
      <c r="B4844">
        <v>16.2</v>
      </c>
      <c r="C4844">
        <v>200</v>
      </c>
      <c r="D4844" s="9">
        <v>42299</v>
      </c>
      <c r="E4844" t="s">
        <v>296</v>
      </c>
      <c r="I4844" s="9"/>
    </row>
    <row r="4845" spans="1:9" x14ac:dyDescent="0.25">
      <c r="A4845">
        <v>623090</v>
      </c>
      <c r="B4845">
        <v>60.2</v>
      </c>
      <c r="C4845">
        <v>100</v>
      </c>
      <c r="D4845" s="9">
        <v>42269</v>
      </c>
      <c r="E4845" t="s">
        <v>295</v>
      </c>
      <c r="I4845" s="9"/>
    </row>
    <row r="4846" spans="1:9" x14ac:dyDescent="0.25">
      <c r="A4846">
        <v>623090</v>
      </c>
      <c r="B4846">
        <v>16.2</v>
      </c>
      <c r="C4846">
        <v>100</v>
      </c>
      <c r="D4846" s="9">
        <v>42229</v>
      </c>
      <c r="E4846" t="s">
        <v>296</v>
      </c>
      <c r="I4846" s="9"/>
    </row>
    <row r="4847" spans="1:9" x14ac:dyDescent="0.25">
      <c r="A4847">
        <v>623090</v>
      </c>
      <c r="B4847">
        <v>16.2</v>
      </c>
      <c r="C4847">
        <v>100</v>
      </c>
      <c r="D4847" s="9">
        <v>42139</v>
      </c>
      <c r="E4847" t="s">
        <v>296</v>
      </c>
      <c r="I4847" s="9"/>
    </row>
    <row r="4848" spans="1:9" x14ac:dyDescent="0.25">
      <c r="A4848">
        <v>623090</v>
      </c>
      <c r="B4848">
        <v>16.2</v>
      </c>
      <c r="C4848">
        <v>100</v>
      </c>
      <c r="D4848" s="9">
        <v>41877</v>
      </c>
      <c r="E4848" t="s">
        <v>296</v>
      </c>
      <c r="I4848" s="9"/>
    </row>
    <row r="4849" spans="1:9" x14ac:dyDescent="0.25">
      <c r="A4849">
        <v>623090</v>
      </c>
      <c r="B4849">
        <v>16.2</v>
      </c>
      <c r="C4849">
        <v>80</v>
      </c>
      <c r="D4849" s="9">
        <v>41718</v>
      </c>
      <c r="E4849" t="s">
        <v>296</v>
      </c>
      <c r="I4849" s="9"/>
    </row>
    <row r="4850" spans="1:9" x14ac:dyDescent="0.25">
      <c r="A4850">
        <v>623090</v>
      </c>
      <c r="B4850">
        <v>16.2</v>
      </c>
      <c r="C4850">
        <v>100</v>
      </c>
      <c r="D4850" s="9">
        <v>41647</v>
      </c>
      <c r="E4850" t="s">
        <v>296</v>
      </c>
      <c r="I4850" s="9"/>
    </row>
    <row r="4851" spans="1:9" x14ac:dyDescent="0.25">
      <c r="A4851">
        <v>623090</v>
      </c>
      <c r="B4851">
        <v>16</v>
      </c>
      <c r="C4851">
        <v>100</v>
      </c>
      <c r="D4851" s="9">
        <v>41571</v>
      </c>
      <c r="E4851" t="s">
        <v>296</v>
      </c>
      <c r="I4851" s="9"/>
    </row>
    <row r="4852" spans="1:9" x14ac:dyDescent="0.25">
      <c r="A4852">
        <v>623090</v>
      </c>
      <c r="B4852">
        <v>15.9</v>
      </c>
      <c r="C4852">
        <v>100</v>
      </c>
      <c r="D4852" s="9">
        <v>41417</v>
      </c>
      <c r="E4852" t="s">
        <v>296</v>
      </c>
      <c r="I4852" s="9"/>
    </row>
    <row r="4853" spans="1:9" x14ac:dyDescent="0.25">
      <c r="A4853">
        <v>623090</v>
      </c>
      <c r="B4853">
        <v>15.8</v>
      </c>
      <c r="C4853">
        <v>100</v>
      </c>
      <c r="D4853" s="9">
        <v>41330</v>
      </c>
      <c r="E4853" t="s">
        <v>296</v>
      </c>
      <c r="I4853" s="9"/>
    </row>
    <row r="4854" spans="1:9" x14ac:dyDescent="0.25">
      <c r="A4854">
        <v>624106</v>
      </c>
      <c r="B4854">
        <v>2.165</v>
      </c>
      <c r="C4854">
        <v>320</v>
      </c>
      <c r="D4854" s="9">
        <v>43784</v>
      </c>
      <c r="E4854" t="s">
        <v>296</v>
      </c>
      <c r="I4854" s="9"/>
    </row>
    <row r="4855" spans="1:9" x14ac:dyDescent="0.25">
      <c r="A4855">
        <v>624106</v>
      </c>
      <c r="B4855">
        <v>2.2000000000000002</v>
      </c>
      <c r="C4855">
        <v>400</v>
      </c>
      <c r="D4855" s="9">
        <v>42655</v>
      </c>
      <c r="E4855" t="s">
        <v>296</v>
      </c>
      <c r="I4855" s="9"/>
    </row>
    <row r="4856" spans="1:9" x14ac:dyDescent="0.25">
      <c r="A4856">
        <v>624106</v>
      </c>
      <c r="B4856">
        <v>2.2000000000000002</v>
      </c>
      <c r="C4856">
        <v>400</v>
      </c>
      <c r="D4856" s="9">
        <v>42655</v>
      </c>
      <c r="E4856" t="s">
        <v>296</v>
      </c>
      <c r="I4856" s="9"/>
    </row>
    <row r="4857" spans="1:9" x14ac:dyDescent="0.25">
      <c r="A4857">
        <v>624106</v>
      </c>
      <c r="B4857">
        <v>2.2000000000000002</v>
      </c>
      <c r="C4857">
        <v>400</v>
      </c>
      <c r="D4857" s="9">
        <v>41934</v>
      </c>
      <c r="E4857" t="s">
        <v>296</v>
      </c>
      <c r="I4857" s="9"/>
    </row>
    <row r="4858" spans="1:9" x14ac:dyDescent="0.25">
      <c r="A4858">
        <v>624116</v>
      </c>
      <c r="B4858">
        <v>2.133</v>
      </c>
      <c r="C4858">
        <v>320</v>
      </c>
      <c r="D4858" s="9">
        <v>43784</v>
      </c>
      <c r="E4858" t="s">
        <v>296</v>
      </c>
      <c r="I4858" s="9"/>
    </row>
    <row r="4859" spans="1:9" x14ac:dyDescent="0.25">
      <c r="A4859">
        <v>624116</v>
      </c>
      <c r="B4859">
        <v>2.6</v>
      </c>
      <c r="C4859">
        <v>400</v>
      </c>
      <c r="D4859" s="9">
        <v>42655</v>
      </c>
      <c r="E4859" t="s">
        <v>296</v>
      </c>
      <c r="I4859" s="9"/>
    </row>
    <row r="4860" spans="1:9" x14ac:dyDescent="0.25">
      <c r="A4860">
        <v>624116</v>
      </c>
      <c r="B4860">
        <v>2.6</v>
      </c>
      <c r="C4860">
        <v>400</v>
      </c>
      <c r="D4860" s="9">
        <v>42655</v>
      </c>
      <c r="E4860" t="s">
        <v>296</v>
      </c>
      <c r="I4860" s="9"/>
    </row>
    <row r="4861" spans="1:9" x14ac:dyDescent="0.25">
      <c r="A4861">
        <v>624116</v>
      </c>
      <c r="B4861">
        <v>2.6</v>
      </c>
      <c r="C4861">
        <v>400</v>
      </c>
      <c r="D4861" s="9">
        <v>41934</v>
      </c>
      <c r="E4861" t="s">
        <v>296</v>
      </c>
      <c r="I4861" s="9"/>
    </row>
    <row r="4862" spans="1:9" x14ac:dyDescent="0.25">
      <c r="A4862">
        <v>624200</v>
      </c>
      <c r="B4862">
        <v>3.88</v>
      </c>
      <c r="C4862">
        <v>300</v>
      </c>
      <c r="D4862" s="9">
        <v>43972</v>
      </c>
      <c r="E4862" t="s">
        <v>296</v>
      </c>
      <c r="I4862" s="9"/>
    </row>
    <row r="4863" spans="1:9" x14ac:dyDescent="0.25">
      <c r="A4863">
        <v>624200</v>
      </c>
      <c r="B4863">
        <v>3.202</v>
      </c>
      <c r="C4863">
        <v>600</v>
      </c>
      <c r="D4863" s="9">
        <v>43340</v>
      </c>
      <c r="E4863" t="s">
        <v>296</v>
      </c>
      <c r="I4863" s="9"/>
    </row>
    <row r="4864" spans="1:9" x14ac:dyDescent="0.25">
      <c r="A4864">
        <v>624200</v>
      </c>
      <c r="B4864">
        <v>3.0640000000000001</v>
      </c>
      <c r="C4864">
        <v>500</v>
      </c>
      <c r="D4864" s="9">
        <v>43063</v>
      </c>
      <c r="E4864" t="s">
        <v>296</v>
      </c>
      <c r="I4864" s="9"/>
    </row>
    <row r="4865" spans="1:9" x14ac:dyDescent="0.25">
      <c r="A4865">
        <v>624200</v>
      </c>
      <c r="B4865">
        <v>2.93</v>
      </c>
      <c r="C4865">
        <v>300</v>
      </c>
      <c r="D4865" s="9">
        <v>42753</v>
      </c>
      <c r="E4865" t="s">
        <v>297</v>
      </c>
      <c r="I4865" s="9"/>
    </row>
    <row r="4866" spans="1:9" x14ac:dyDescent="0.25">
      <c r="A4866">
        <v>624200</v>
      </c>
      <c r="B4866">
        <v>2.93</v>
      </c>
      <c r="C4866">
        <v>320</v>
      </c>
      <c r="D4866" s="9">
        <v>42753</v>
      </c>
      <c r="E4866" t="s">
        <v>297</v>
      </c>
      <c r="I4866" s="9"/>
    </row>
    <row r="4867" spans="1:9" x14ac:dyDescent="0.25">
      <c r="A4867">
        <v>624200</v>
      </c>
      <c r="B4867">
        <v>2.93</v>
      </c>
      <c r="C4867">
        <v>300</v>
      </c>
      <c r="D4867" s="9">
        <v>42520</v>
      </c>
      <c r="E4867" t="s">
        <v>297</v>
      </c>
      <c r="I4867" s="9"/>
    </row>
    <row r="4868" spans="1:9" x14ac:dyDescent="0.25">
      <c r="A4868">
        <v>624200</v>
      </c>
      <c r="B4868">
        <v>12.86</v>
      </c>
      <c r="C4868">
        <v>300</v>
      </c>
      <c r="D4868" s="9">
        <v>42520</v>
      </c>
      <c r="E4868" t="s">
        <v>295</v>
      </c>
      <c r="I4868" s="9"/>
    </row>
    <row r="4869" spans="1:9" x14ac:dyDescent="0.25">
      <c r="A4869">
        <v>624200</v>
      </c>
      <c r="B4869">
        <v>3.22</v>
      </c>
      <c r="C4869">
        <v>360</v>
      </c>
      <c r="D4869" s="9">
        <v>41865</v>
      </c>
      <c r="E4869" t="s">
        <v>296</v>
      </c>
      <c r="I4869" s="9"/>
    </row>
    <row r="4870" spans="1:9" x14ac:dyDescent="0.25">
      <c r="A4870">
        <v>624200</v>
      </c>
      <c r="B4870">
        <v>3.1259999999999999</v>
      </c>
      <c r="C4870">
        <v>360</v>
      </c>
      <c r="D4870" s="9">
        <v>41744</v>
      </c>
      <c r="E4870" t="s">
        <v>296</v>
      </c>
      <c r="I4870" s="9"/>
    </row>
    <row r="4871" spans="1:9" x14ac:dyDescent="0.25">
      <c r="A4871">
        <v>624200</v>
      </c>
      <c r="B4871">
        <v>3.0649999999999999</v>
      </c>
      <c r="C4871">
        <v>300</v>
      </c>
      <c r="D4871" s="9">
        <v>41418</v>
      </c>
      <c r="E4871" t="s">
        <v>296</v>
      </c>
      <c r="I4871" s="9"/>
    </row>
    <row r="4872" spans="1:9" x14ac:dyDescent="0.25">
      <c r="A4872">
        <v>624200</v>
      </c>
      <c r="B4872">
        <v>3.0649999999999999</v>
      </c>
      <c r="C4872">
        <v>320</v>
      </c>
      <c r="D4872" s="9">
        <v>41418</v>
      </c>
      <c r="E4872" t="s">
        <v>296</v>
      </c>
      <c r="I4872" s="9"/>
    </row>
    <row r="4873" spans="1:9" x14ac:dyDescent="0.25">
      <c r="A4873">
        <v>624241</v>
      </c>
      <c r="B4873">
        <v>8.6</v>
      </c>
      <c r="C4873">
        <v>160</v>
      </c>
      <c r="D4873" s="9">
        <v>44035</v>
      </c>
      <c r="E4873" t="s">
        <v>296</v>
      </c>
      <c r="I4873" s="9"/>
    </row>
    <row r="4874" spans="1:9" x14ac:dyDescent="0.25">
      <c r="A4874">
        <v>624241</v>
      </c>
      <c r="B4874">
        <v>8.6</v>
      </c>
      <c r="C4874">
        <v>160</v>
      </c>
      <c r="D4874" s="9">
        <v>43972</v>
      </c>
      <c r="E4874" t="s">
        <v>296</v>
      </c>
      <c r="I4874" s="9"/>
    </row>
    <row r="4875" spans="1:9" x14ac:dyDescent="0.25">
      <c r="A4875">
        <v>624241</v>
      </c>
      <c r="B4875">
        <v>8.4</v>
      </c>
      <c r="C4875">
        <v>160</v>
      </c>
      <c r="D4875" s="9">
        <v>43784</v>
      </c>
      <c r="E4875" t="s">
        <v>296</v>
      </c>
      <c r="I4875" s="9"/>
    </row>
    <row r="4876" spans="1:9" x14ac:dyDescent="0.25">
      <c r="A4876">
        <v>624241</v>
      </c>
      <c r="B4876">
        <v>7.85</v>
      </c>
      <c r="C4876">
        <v>320</v>
      </c>
      <c r="D4876" s="9">
        <v>43136</v>
      </c>
      <c r="E4876" t="s">
        <v>296</v>
      </c>
      <c r="I4876" s="9"/>
    </row>
    <row r="4877" spans="1:9" x14ac:dyDescent="0.25">
      <c r="A4877">
        <v>624241</v>
      </c>
      <c r="B4877">
        <v>7.55</v>
      </c>
      <c r="C4877">
        <v>160</v>
      </c>
      <c r="D4877" s="9">
        <v>42976</v>
      </c>
      <c r="E4877" t="s">
        <v>296</v>
      </c>
      <c r="I4877" s="9"/>
    </row>
    <row r="4878" spans="1:9" x14ac:dyDescent="0.25">
      <c r="A4878">
        <v>624241</v>
      </c>
      <c r="B4878">
        <v>7.55</v>
      </c>
      <c r="C4878">
        <v>320</v>
      </c>
      <c r="D4878" s="9">
        <v>42976</v>
      </c>
      <c r="E4878" t="s">
        <v>296</v>
      </c>
      <c r="I4878" s="9"/>
    </row>
    <row r="4879" spans="1:9" x14ac:dyDescent="0.25">
      <c r="A4879">
        <v>624241</v>
      </c>
      <c r="B4879">
        <v>7.55</v>
      </c>
      <c r="C4879">
        <v>160</v>
      </c>
      <c r="D4879" s="9">
        <v>42600</v>
      </c>
      <c r="E4879" t="s">
        <v>296</v>
      </c>
      <c r="I4879" s="9"/>
    </row>
    <row r="4880" spans="1:9" x14ac:dyDescent="0.25">
      <c r="A4880">
        <v>624241</v>
      </c>
      <c r="B4880">
        <v>8.65</v>
      </c>
      <c r="C4880">
        <v>10</v>
      </c>
      <c r="D4880" s="9">
        <v>42464</v>
      </c>
      <c r="E4880" t="s">
        <v>297</v>
      </c>
      <c r="I4880" s="9"/>
    </row>
    <row r="4881" spans="1:9" x14ac:dyDescent="0.25">
      <c r="A4881">
        <v>624241</v>
      </c>
      <c r="B4881">
        <v>7.55</v>
      </c>
      <c r="C4881">
        <v>160</v>
      </c>
      <c r="D4881" s="9">
        <v>42271</v>
      </c>
      <c r="E4881" t="s">
        <v>296</v>
      </c>
      <c r="I4881" s="9"/>
    </row>
    <row r="4882" spans="1:9" x14ac:dyDescent="0.25">
      <c r="A4882">
        <v>624241</v>
      </c>
      <c r="B4882">
        <v>7.55</v>
      </c>
      <c r="C4882">
        <v>288</v>
      </c>
      <c r="D4882" s="9">
        <v>42177</v>
      </c>
      <c r="E4882" t="s">
        <v>296</v>
      </c>
      <c r="I4882" s="9"/>
    </row>
    <row r="4883" spans="1:9" x14ac:dyDescent="0.25">
      <c r="A4883">
        <v>624241</v>
      </c>
      <c r="B4883">
        <v>7.55</v>
      </c>
      <c r="C4883">
        <v>288</v>
      </c>
      <c r="D4883" s="9">
        <v>41751</v>
      </c>
      <c r="E4883" t="s">
        <v>296</v>
      </c>
      <c r="I4883" s="9"/>
    </row>
    <row r="4884" spans="1:9" x14ac:dyDescent="0.25">
      <c r="A4884">
        <v>624241</v>
      </c>
      <c r="B4884">
        <v>7.89</v>
      </c>
      <c r="C4884">
        <v>320</v>
      </c>
      <c r="D4884" s="9">
        <v>41505</v>
      </c>
      <c r="E4884" t="s">
        <v>296</v>
      </c>
      <c r="I4884" s="9"/>
    </row>
    <row r="4885" spans="1:9" x14ac:dyDescent="0.25">
      <c r="A4885">
        <v>624241</v>
      </c>
      <c r="B4885">
        <v>7.6219999999999999</v>
      </c>
      <c r="C4885">
        <v>360</v>
      </c>
      <c r="D4885" s="9">
        <v>41295</v>
      </c>
      <c r="E4885" t="s">
        <v>296</v>
      </c>
      <c r="I4885" s="9"/>
    </row>
    <row r="4886" spans="1:9" x14ac:dyDescent="0.25">
      <c r="A4886">
        <v>624400</v>
      </c>
      <c r="B4886">
        <v>5.65</v>
      </c>
      <c r="C4886">
        <v>300</v>
      </c>
      <c r="D4886" s="9">
        <v>43972</v>
      </c>
      <c r="E4886" t="s">
        <v>296</v>
      </c>
      <c r="I4886" s="9"/>
    </row>
    <row r="4887" spans="1:9" x14ac:dyDescent="0.25">
      <c r="A4887">
        <v>624400</v>
      </c>
      <c r="B4887">
        <v>4.7679999999999998</v>
      </c>
      <c r="C4887">
        <v>500</v>
      </c>
      <c r="D4887" s="9">
        <v>43340</v>
      </c>
      <c r="E4887" t="s">
        <v>296</v>
      </c>
      <c r="I4887" s="9"/>
    </row>
    <row r="4888" spans="1:9" x14ac:dyDescent="0.25">
      <c r="A4888">
        <v>624400</v>
      </c>
      <c r="B4888">
        <v>25.98</v>
      </c>
      <c r="C4888">
        <v>5</v>
      </c>
      <c r="D4888" s="9">
        <v>43265</v>
      </c>
      <c r="E4888" t="s">
        <v>295</v>
      </c>
      <c r="I4888" s="9"/>
    </row>
    <row r="4889" spans="1:9" x14ac:dyDescent="0.25">
      <c r="A4889">
        <v>624400</v>
      </c>
      <c r="B4889">
        <v>4.7679999999999998</v>
      </c>
      <c r="C4889">
        <v>600</v>
      </c>
      <c r="D4889" s="9">
        <v>43063</v>
      </c>
      <c r="E4889" t="s">
        <v>296</v>
      </c>
      <c r="I4889" s="9"/>
    </row>
    <row r="4890" spans="1:9" x14ac:dyDescent="0.25">
      <c r="A4890">
        <v>624400</v>
      </c>
      <c r="B4890">
        <v>4.7080000000000002</v>
      </c>
      <c r="C4890">
        <v>400</v>
      </c>
      <c r="D4890" s="9">
        <v>42753</v>
      </c>
      <c r="E4890" t="s">
        <v>297</v>
      </c>
      <c r="I4890" s="9"/>
    </row>
    <row r="4891" spans="1:9" x14ac:dyDescent="0.25">
      <c r="A4891">
        <v>624400</v>
      </c>
      <c r="B4891">
        <v>4.8</v>
      </c>
      <c r="C4891">
        <v>480</v>
      </c>
      <c r="D4891" s="9">
        <v>42753</v>
      </c>
      <c r="E4891" t="s">
        <v>296</v>
      </c>
      <c r="I4891" s="9"/>
    </row>
    <row r="4892" spans="1:9" x14ac:dyDescent="0.25">
      <c r="A4892">
        <v>624400</v>
      </c>
      <c r="B4892">
        <v>19.57</v>
      </c>
      <c r="C4892">
        <v>400</v>
      </c>
      <c r="D4892" s="9">
        <v>42520</v>
      </c>
      <c r="E4892" t="s">
        <v>295</v>
      </c>
      <c r="I4892" s="9"/>
    </row>
    <row r="4893" spans="1:9" x14ac:dyDescent="0.25">
      <c r="A4893">
        <v>624400</v>
      </c>
      <c r="B4893">
        <v>4.4580000000000002</v>
      </c>
      <c r="C4893">
        <v>400</v>
      </c>
      <c r="D4893" s="9">
        <v>42520</v>
      </c>
      <c r="E4893" t="s">
        <v>297</v>
      </c>
      <c r="I4893" s="9"/>
    </row>
    <row r="4894" spans="1:9" x14ac:dyDescent="0.25">
      <c r="A4894">
        <v>624400</v>
      </c>
      <c r="B4894">
        <v>5.79</v>
      </c>
      <c r="C4894">
        <v>1</v>
      </c>
      <c r="D4894" s="9">
        <v>42464</v>
      </c>
      <c r="E4894" t="s">
        <v>297</v>
      </c>
      <c r="I4894" s="9"/>
    </row>
    <row r="4895" spans="1:9" x14ac:dyDescent="0.25">
      <c r="A4895">
        <v>624400</v>
      </c>
      <c r="B4895">
        <v>4.4580000000000002</v>
      </c>
      <c r="C4895">
        <v>400</v>
      </c>
      <c r="D4895" s="9">
        <v>42285</v>
      </c>
      <c r="E4895" t="s">
        <v>297</v>
      </c>
      <c r="I4895" s="9"/>
    </row>
    <row r="4896" spans="1:9" x14ac:dyDescent="0.25">
      <c r="A4896">
        <v>624400</v>
      </c>
      <c r="B4896">
        <v>4.8490000000000002</v>
      </c>
      <c r="C4896">
        <v>500</v>
      </c>
      <c r="D4896" s="9">
        <v>42040</v>
      </c>
      <c r="E4896" t="s">
        <v>296</v>
      </c>
      <c r="I4896" s="9"/>
    </row>
    <row r="4897" spans="1:9" x14ac:dyDescent="0.25">
      <c r="A4897">
        <v>624400</v>
      </c>
      <c r="B4897">
        <v>4.8490000000000002</v>
      </c>
      <c r="C4897">
        <v>800</v>
      </c>
      <c r="D4897" s="9">
        <v>41865</v>
      </c>
      <c r="E4897" t="s">
        <v>296</v>
      </c>
      <c r="I4897" s="9"/>
    </row>
    <row r="4898" spans="1:9" x14ac:dyDescent="0.25">
      <c r="A4898">
        <v>624400</v>
      </c>
      <c r="B4898">
        <v>4.8490000000000002</v>
      </c>
      <c r="C4898">
        <v>600</v>
      </c>
      <c r="D4898" s="9">
        <v>41744</v>
      </c>
      <c r="E4898" t="s">
        <v>296</v>
      </c>
      <c r="I4898" s="9"/>
    </row>
    <row r="4899" spans="1:9" x14ac:dyDescent="0.25">
      <c r="A4899">
        <v>624400</v>
      </c>
      <c r="B4899">
        <v>4.7080000000000002</v>
      </c>
      <c r="C4899">
        <v>400</v>
      </c>
      <c r="D4899" s="9">
        <v>41617</v>
      </c>
      <c r="E4899" t="s">
        <v>296</v>
      </c>
      <c r="I4899" s="9"/>
    </row>
    <row r="4900" spans="1:9" x14ac:dyDescent="0.25">
      <c r="A4900">
        <v>624400</v>
      </c>
      <c r="B4900">
        <v>4.7080000000000002</v>
      </c>
      <c r="C4900">
        <v>400</v>
      </c>
      <c r="D4900" s="9">
        <v>41418</v>
      </c>
      <c r="E4900" t="s">
        <v>296</v>
      </c>
      <c r="I4900" s="9"/>
    </row>
    <row r="4901" spans="1:9" x14ac:dyDescent="0.25">
      <c r="A4901">
        <v>624400</v>
      </c>
      <c r="B4901">
        <v>4.7080000000000002</v>
      </c>
      <c r="C4901">
        <v>400</v>
      </c>
      <c r="D4901" s="9">
        <v>41295</v>
      </c>
      <c r="E4901" t="s">
        <v>296</v>
      </c>
      <c r="I4901" s="9"/>
    </row>
    <row r="4902" spans="1:9" x14ac:dyDescent="0.25">
      <c r="A4902">
        <v>624600</v>
      </c>
      <c r="B4902">
        <v>16.86</v>
      </c>
      <c r="C4902">
        <v>240</v>
      </c>
      <c r="D4902" s="9">
        <v>43985</v>
      </c>
      <c r="E4902" t="s">
        <v>296</v>
      </c>
      <c r="I4902" s="9"/>
    </row>
    <row r="4903" spans="1:9" x14ac:dyDescent="0.25">
      <c r="A4903">
        <v>624600</v>
      </c>
      <c r="B4903">
        <v>16.86</v>
      </c>
      <c r="C4903">
        <v>200</v>
      </c>
      <c r="D4903" s="9">
        <v>43972</v>
      </c>
      <c r="E4903" t="s">
        <v>296</v>
      </c>
      <c r="I4903" s="9"/>
    </row>
    <row r="4904" spans="1:9" x14ac:dyDescent="0.25">
      <c r="A4904">
        <v>624600</v>
      </c>
      <c r="B4904">
        <v>16.3</v>
      </c>
      <c r="C4904">
        <v>200</v>
      </c>
      <c r="D4904" s="9">
        <v>43784</v>
      </c>
      <c r="E4904" t="s">
        <v>296</v>
      </c>
      <c r="I4904" s="9"/>
    </row>
    <row r="4905" spans="1:9" x14ac:dyDescent="0.25">
      <c r="A4905">
        <v>624600</v>
      </c>
      <c r="B4905">
        <v>16.3</v>
      </c>
      <c r="C4905">
        <v>200</v>
      </c>
      <c r="D4905" s="9">
        <v>43784</v>
      </c>
      <c r="E4905" t="s">
        <v>296</v>
      </c>
      <c r="I4905" s="9"/>
    </row>
    <row r="4906" spans="1:9" x14ac:dyDescent="0.25">
      <c r="A4906">
        <v>624600</v>
      </c>
      <c r="B4906">
        <v>64.94</v>
      </c>
      <c r="C4906">
        <v>1</v>
      </c>
      <c r="D4906" s="9">
        <v>43265</v>
      </c>
      <c r="E4906" t="s">
        <v>295</v>
      </c>
      <c r="I4906" s="9"/>
    </row>
    <row r="4907" spans="1:9" x14ac:dyDescent="0.25">
      <c r="A4907">
        <v>624600</v>
      </c>
      <c r="B4907">
        <v>13.82</v>
      </c>
      <c r="C4907">
        <v>250</v>
      </c>
      <c r="D4907" s="9">
        <v>43136</v>
      </c>
      <c r="E4907" t="s">
        <v>296</v>
      </c>
      <c r="I4907" s="9"/>
    </row>
    <row r="4908" spans="1:9" x14ac:dyDescent="0.25">
      <c r="A4908">
        <v>624600</v>
      </c>
      <c r="B4908">
        <v>47.33</v>
      </c>
      <c r="C4908">
        <v>250</v>
      </c>
      <c r="D4908" s="9">
        <v>43136</v>
      </c>
      <c r="E4908" t="s">
        <v>295</v>
      </c>
      <c r="I4908" s="9"/>
    </row>
    <row r="4909" spans="1:9" x14ac:dyDescent="0.25">
      <c r="A4909">
        <v>624600</v>
      </c>
      <c r="B4909">
        <v>13.55</v>
      </c>
      <c r="C4909">
        <v>250</v>
      </c>
      <c r="D4909" s="9">
        <v>42976</v>
      </c>
      <c r="E4909" t="s">
        <v>296</v>
      </c>
      <c r="I4909" s="9"/>
    </row>
    <row r="4910" spans="1:9" x14ac:dyDescent="0.25">
      <c r="A4910">
        <v>624600</v>
      </c>
      <c r="B4910">
        <v>13.55</v>
      </c>
      <c r="C4910">
        <v>250</v>
      </c>
      <c r="D4910" s="9">
        <v>42641</v>
      </c>
      <c r="E4910" t="s">
        <v>296</v>
      </c>
      <c r="I4910" s="9"/>
    </row>
    <row r="4911" spans="1:9" x14ac:dyDescent="0.25">
      <c r="A4911">
        <v>624600</v>
      </c>
      <c r="B4911">
        <v>13.55</v>
      </c>
      <c r="C4911">
        <v>250</v>
      </c>
      <c r="D4911" s="9">
        <v>42641</v>
      </c>
      <c r="E4911" t="s">
        <v>296</v>
      </c>
      <c r="I4911" s="9"/>
    </row>
    <row r="4912" spans="1:9" x14ac:dyDescent="0.25">
      <c r="A4912">
        <v>624600</v>
      </c>
      <c r="B4912">
        <v>13.55</v>
      </c>
      <c r="C4912">
        <v>80</v>
      </c>
      <c r="D4912" s="9">
        <v>42600</v>
      </c>
      <c r="E4912" t="s">
        <v>296</v>
      </c>
      <c r="I4912" s="9"/>
    </row>
    <row r="4913" spans="1:9" x14ac:dyDescent="0.25">
      <c r="A4913">
        <v>624600</v>
      </c>
      <c r="B4913">
        <v>13.55</v>
      </c>
      <c r="C4913">
        <v>200</v>
      </c>
      <c r="D4913" s="9">
        <v>42508</v>
      </c>
      <c r="E4913" t="s">
        <v>296</v>
      </c>
      <c r="I4913" s="9"/>
    </row>
    <row r="4914" spans="1:9" x14ac:dyDescent="0.25">
      <c r="A4914">
        <v>624600</v>
      </c>
      <c r="B4914">
        <v>52.77</v>
      </c>
      <c r="C4914">
        <v>200</v>
      </c>
      <c r="D4914" s="9">
        <v>42508</v>
      </c>
      <c r="E4914" t="s">
        <v>295</v>
      </c>
      <c r="I4914" s="9"/>
    </row>
    <row r="4915" spans="1:9" x14ac:dyDescent="0.25">
      <c r="A4915">
        <v>624600</v>
      </c>
      <c r="B4915">
        <v>15.54</v>
      </c>
      <c r="C4915">
        <v>1</v>
      </c>
      <c r="D4915" s="9">
        <v>42464</v>
      </c>
      <c r="E4915" t="s">
        <v>297</v>
      </c>
      <c r="I4915" s="9"/>
    </row>
    <row r="4916" spans="1:9" x14ac:dyDescent="0.25">
      <c r="A4916">
        <v>624600</v>
      </c>
      <c r="B4916">
        <v>13.55</v>
      </c>
      <c r="C4916">
        <v>150</v>
      </c>
      <c r="D4916" s="9">
        <v>42271</v>
      </c>
      <c r="E4916" t="s">
        <v>296</v>
      </c>
      <c r="I4916" s="9"/>
    </row>
    <row r="4917" spans="1:9" x14ac:dyDescent="0.25">
      <c r="A4917">
        <v>624600</v>
      </c>
      <c r="B4917">
        <v>13.97</v>
      </c>
      <c r="C4917">
        <v>150</v>
      </c>
      <c r="D4917" s="9">
        <v>42177</v>
      </c>
      <c r="E4917" t="s">
        <v>296</v>
      </c>
      <c r="I4917" s="9"/>
    </row>
    <row r="4918" spans="1:9" x14ac:dyDescent="0.25">
      <c r="A4918">
        <v>624600</v>
      </c>
      <c r="B4918">
        <v>13.97</v>
      </c>
      <c r="C4918">
        <v>150</v>
      </c>
      <c r="D4918" s="9">
        <v>42111</v>
      </c>
      <c r="E4918" t="s">
        <v>296</v>
      </c>
      <c r="I4918" s="9"/>
    </row>
    <row r="4919" spans="1:9" x14ac:dyDescent="0.25">
      <c r="A4919">
        <v>624600</v>
      </c>
      <c r="B4919">
        <v>13.97</v>
      </c>
      <c r="C4919">
        <v>200</v>
      </c>
      <c r="D4919" s="9">
        <v>41816</v>
      </c>
      <c r="E4919" t="s">
        <v>296</v>
      </c>
      <c r="I4919" s="9"/>
    </row>
    <row r="4920" spans="1:9" x14ac:dyDescent="0.25">
      <c r="A4920">
        <v>624600</v>
      </c>
      <c r="B4920">
        <v>13.97</v>
      </c>
      <c r="C4920">
        <v>200</v>
      </c>
      <c r="D4920" s="9">
        <v>41751</v>
      </c>
      <c r="E4920" t="s">
        <v>296</v>
      </c>
      <c r="I4920" s="9"/>
    </row>
    <row r="4921" spans="1:9" x14ac:dyDescent="0.25">
      <c r="A4921">
        <v>624600</v>
      </c>
      <c r="B4921">
        <v>13.76</v>
      </c>
      <c r="C4921">
        <v>200</v>
      </c>
      <c r="D4921" s="9">
        <v>41558</v>
      </c>
      <c r="E4921" t="s">
        <v>296</v>
      </c>
      <c r="I4921" s="9"/>
    </row>
    <row r="4922" spans="1:9" x14ac:dyDescent="0.25">
      <c r="A4922">
        <v>624600</v>
      </c>
      <c r="B4922">
        <v>13.523</v>
      </c>
      <c r="C4922">
        <v>160</v>
      </c>
      <c r="D4922" s="9">
        <v>41505</v>
      </c>
      <c r="E4922" t="s">
        <v>296</v>
      </c>
      <c r="I4922" s="9"/>
    </row>
    <row r="4923" spans="1:9" x14ac:dyDescent="0.25">
      <c r="A4923">
        <v>624600</v>
      </c>
      <c r="B4923">
        <v>13.305</v>
      </c>
      <c r="C4923">
        <v>100</v>
      </c>
      <c r="D4923" s="9">
        <v>41295</v>
      </c>
      <c r="E4923" t="s">
        <v>296</v>
      </c>
      <c r="I4923" s="9"/>
    </row>
    <row r="4924" spans="1:9" x14ac:dyDescent="0.25">
      <c r="A4924">
        <v>625000</v>
      </c>
      <c r="B4924">
        <v>0.93</v>
      </c>
      <c r="C4924">
        <v>960</v>
      </c>
      <c r="D4924" s="9">
        <v>44141</v>
      </c>
      <c r="E4924" t="s">
        <v>296</v>
      </c>
      <c r="I4924" s="9"/>
    </row>
    <row r="4925" spans="1:9" x14ac:dyDescent="0.25">
      <c r="A4925">
        <v>625000</v>
      </c>
      <c r="B4925">
        <v>0.88</v>
      </c>
      <c r="C4925">
        <v>1620</v>
      </c>
      <c r="D4925" s="9">
        <v>43972</v>
      </c>
      <c r="E4925" t="s">
        <v>296</v>
      </c>
      <c r="I4925" s="9"/>
    </row>
    <row r="4926" spans="1:9" x14ac:dyDescent="0.25">
      <c r="A4926">
        <v>625000</v>
      </c>
      <c r="B4926">
        <v>0.88</v>
      </c>
      <c r="C4926">
        <v>1080</v>
      </c>
      <c r="D4926" s="9">
        <v>43600</v>
      </c>
      <c r="E4926" t="s">
        <v>296</v>
      </c>
      <c r="I4926" s="9"/>
    </row>
    <row r="4927" spans="1:9" x14ac:dyDescent="0.25">
      <c r="A4927">
        <v>625000</v>
      </c>
      <c r="B4927">
        <v>0.86</v>
      </c>
      <c r="C4927">
        <v>1020</v>
      </c>
      <c r="D4927" s="9">
        <v>43438</v>
      </c>
      <c r="E4927" t="s">
        <v>296</v>
      </c>
      <c r="I4927" s="9"/>
    </row>
    <row r="4928" spans="1:9" x14ac:dyDescent="0.25">
      <c r="A4928">
        <v>625000</v>
      </c>
      <c r="B4928">
        <v>3.1</v>
      </c>
      <c r="C4928">
        <v>480</v>
      </c>
      <c r="D4928" s="9">
        <v>43230</v>
      </c>
      <c r="E4928" t="s">
        <v>295</v>
      </c>
      <c r="I4928" s="9"/>
    </row>
    <row r="4929" spans="1:9" x14ac:dyDescent="0.25">
      <c r="A4929">
        <v>625000</v>
      </c>
      <c r="B4929">
        <v>0.88</v>
      </c>
      <c r="C4929">
        <v>960</v>
      </c>
      <c r="D4929" s="9">
        <v>43199</v>
      </c>
      <c r="E4929" t="s">
        <v>296</v>
      </c>
      <c r="I4929" s="9"/>
    </row>
    <row r="4930" spans="1:9" x14ac:dyDescent="0.25">
      <c r="A4930">
        <v>625000</v>
      </c>
      <c r="B4930">
        <v>0.84</v>
      </c>
      <c r="C4930">
        <v>960</v>
      </c>
      <c r="D4930" s="9">
        <v>43017</v>
      </c>
      <c r="E4930" t="s">
        <v>296</v>
      </c>
      <c r="I4930" s="9"/>
    </row>
    <row r="4931" spans="1:9" x14ac:dyDescent="0.25">
      <c r="A4931">
        <v>625000</v>
      </c>
      <c r="B4931">
        <v>0.84</v>
      </c>
      <c r="C4931">
        <v>960</v>
      </c>
      <c r="D4931" s="9">
        <v>42912</v>
      </c>
      <c r="E4931" t="s">
        <v>296</v>
      </c>
      <c r="I4931" s="9"/>
    </row>
    <row r="4932" spans="1:9" x14ac:dyDescent="0.25">
      <c r="A4932">
        <v>625000</v>
      </c>
      <c r="B4932">
        <v>0.79</v>
      </c>
      <c r="C4932">
        <v>960</v>
      </c>
      <c r="D4932" s="9">
        <v>42781</v>
      </c>
      <c r="E4932" t="s">
        <v>296</v>
      </c>
      <c r="I4932" s="9"/>
    </row>
    <row r="4933" spans="1:9" x14ac:dyDescent="0.25">
      <c r="A4933">
        <v>625000</v>
      </c>
      <c r="B4933">
        <v>0.74</v>
      </c>
      <c r="C4933">
        <v>1200</v>
      </c>
      <c r="D4933" s="9">
        <v>42321</v>
      </c>
      <c r="E4933" t="s">
        <v>296</v>
      </c>
      <c r="I4933" s="9"/>
    </row>
    <row r="4934" spans="1:9" x14ac:dyDescent="0.25">
      <c r="A4934">
        <v>625000</v>
      </c>
      <c r="B4934">
        <v>0.74</v>
      </c>
      <c r="C4934">
        <v>1200</v>
      </c>
      <c r="D4934" s="9">
        <v>42207</v>
      </c>
      <c r="E4934" t="s">
        <v>296</v>
      </c>
      <c r="I4934" s="9"/>
    </row>
    <row r="4935" spans="1:9" x14ac:dyDescent="0.25">
      <c r="A4935">
        <v>625000</v>
      </c>
      <c r="B4935">
        <v>0.89</v>
      </c>
      <c r="C4935">
        <v>1200</v>
      </c>
      <c r="D4935" s="9">
        <v>42031</v>
      </c>
      <c r="E4935" t="s">
        <v>296</v>
      </c>
      <c r="I4935" s="9"/>
    </row>
    <row r="4936" spans="1:9" x14ac:dyDescent="0.25">
      <c r="A4936">
        <v>625000</v>
      </c>
      <c r="B4936">
        <v>0.89</v>
      </c>
      <c r="C4936">
        <v>1200</v>
      </c>
      <c r="D4936" s="9">
        <v>41647</v>
      </c>
      <c r="E4936" t="s">
        <v>296</v>
      </c>
      <c r="I4936" s="9"/>
    </row>
    <row r="4937" spans="1:9" x14ac:dyDescent="0.25">
      <c r="A4937">
        <v>625000</v>
      </c>
      <c r="B4937">
        <v>0.9</v>
      </c>
      <c r="C4937">
        <v>1500</v>
      </c>
      <c r="D4937" s="9">
        <v>41484</v>
      </c>
      <c r="E4937" t="s">
        <v>296</v>
      </c>
      <c r="I4937" s="9"/>
    </row>
    <row r="4938" spans="1:9" x14ac:dyDescent="0.25">
      <c r="A4938">
        <v>625002</v>
      </c>
      <c r="B4938">
        <v>0.65</v>
      </c>
      <c r="C4938">
        <v>960</v>
      </c>
      <c r="D4938" s="9">
        <v>43839</v>
      </c>
      <c r="E4938" t="s">
        <v>296</v>
      </c>
      <c r="I4938" s="9"/>
    </row>
    <row r="4939" spans="1:9" x14ac:dyDescent="0.25">
      <c r="A4939">
        <v>625002</v>
      </c>
      <c r="B4939">
        <v>0.65</v>
      </c>
      <c r="C4939">
        <v>1080</v>
      </c>
      <c r="D4939" s="9">
        <v>43438</v>
      </c>
      <c r="E4939" t="s">
        <v>296</v>
      </c>
      <c r="I4939" s="9"/>
    </row>
    <row r="4940" spans="1:9" x14ac:dyDescent="0.25">
      <c r="A4940">
        <v>625002</v>
      </c>
      <c r="B4940">
        <v>3.23</v>
      </c>
      <c r="C4940">
        <v>10</v>
      </c>
      <c r="D4940" s="9">
        <v>43265</v>
      </c>
      <c r="E4940" t="s">
        <v>295</v>
      </c>
      <c r="I4940" s="9"/>
    </row>
    <row r="4941" spans="1:9" x14ac:dyDescent="0.25">
      <c r="A4941">
        <v>625002</v>
      </c>
      <c r="B4941">
        <v>2.2599999999999998</v>
      </c>
      <c r="C4941">
        <v>1080</v>
      </c>
      <c r="D4941" s="9">
        <v>43138</v>
      </c>
      <c r="E4941" t="s">
        <v>295</v>
      </c>
      <c r="I4941" s="9"/>
    </row>
    <row r="4942" spans="1:9" x14ac:dyDescent="0.25">
      <c r="A4942">
        <v>625002</v>
      </c>
      <c r="B4942">
        <v>0.65</v>
      </c>
      <c r="C4942">
        <v>1080</v>
      </c>
      <c r="D4942" s="9">
        <v>43111</v>
      </c>
      <c r="E4942" t="s">
        <v>296</v>
      </c>
      <c r="I4942" s="9"/>
    </row>
    <row r="4943" spans="1:9" x14ac:dyDescent="0.25">
      <c r="A4943">
        <v>625010</v>
      </c>
      <c r="B4943">
        <v>2.2999999999999998</v>
      </c>
      <c r="C4943">
        <v>336</v>
      </c>
      <c r="D4943" s="9">
        <v>44043</v>
      </c>
      <c r="E4943" t="s">
        <v>296</v>
      </c>
      <c r="I4943" s="9"/>
    </row>
    <row r="4944" spans="1:9" x14ac:dyDescent="0.25">
      <c r="A4944">
        <v>625010</v>
      </c>
      <c r="B4944">
        <v>2.2999999999999998</v>
      </c>
      <c r="C4944">
        <v>336</v>
      </c>
      <c r="D4944" s="9">
        <v>43648</v>
      </c>
      <c r="E4944" t="s">
        <v>296</v>
      </c>
      <c r="I4944" s="9"/>
    </row>
    <row r="4945" spans="1:9" x14ac:dyDescent="0.25">
      <c r="A4945">
        <v>625010</v>
      </c>
      <c r="B4945">
        <v>2.2999999999999998</v>
      </c>
      <c r="C4945">
        <v>336</v>
      </c>
      <c r="D4945" s="9">
        <v>43438</v>
      </c>
      <c r="E4945" t="s">
        <v>296</v>
      </c>
      <c r="I4945" s="9"/>
    </row>
    <row r="4946" spans="1:9" x14ac:dyDescent="0.25">
      <c r="A4946">
        <v>625010</v>
      </c>
      <c r="B4946">
        <v>1.92</v>
      </c>
      <c r="C4946">
        <v>480</v>
      </c>
      <c r="D4946" s="9">
        <v>42586</v>
      </c>
      <c r="E4946" t="s">
        <v>296</v>
      </c>
      <c r="I4946" s="9"/>
    </row>
    <row r="4947" spans="1:9" x14ac:dyDescent="0.25">
      <c r="A4947">
        <v>625010</v>
      </c>
      <c r="B4947">
        <v>2.4</v>
      </c>
      <c r="C4947">
        <v>480</v>
      </c>
      <c r="D4947" s="9">
        <v>41934</v>
      </c>
      <c r="E4947" t="s">
        <v>296</v>
      </c>
      <c r="I4947" s="9"/>
    </row>
    <row r="4948" spans="1:9" x14ac:dyDescent="0.25">
      <c r="A4948">
        <v>625120</v>
      </c>
      <c r="B4948">
        <v>1.91</v>
      </c>
      <c r="C4948">
        <v>1020</v>
      </c>
      <c r="D4948" s="9">
        <v>41877</v>
      </c>
      <c r="E4948" t="s">
        <v>296</v>
      </c>
      <c r="I4948" s="9"/>
    </row>
    <row r="4949" spans="1:9" x14ac:dyDescent="0.25">
      <c r="A4949">
        <v>625120</v>
      </c>
      <c r="B4949">
        <v>1.91</v>
      </c>
      <c r="C4949">
        <v>1020</v>
      </c>
      <c r="D4949" s="9">
        <v>41837</v>
      </c>
      <c r="E4949" t="s">
        <v>296</v>
      </c>
      <c r="I4949" s="9"/>
    </row>
    <row r="4950" spans="1:9" x14ac:dyDescent="0.25">
      <c r="A4950">
        <v>625120</v>
      </c>
      <c r="B4950">
        <v>1.6</v>
      </c>
      <c r="C4950">
        <v>1500</v>
      </c>
      <c r="D4950" s="9">
        <v>41366</v>
      </c>
      <c r="E4950" t="s">
        <v>296</v>
      </c>
      <c r="I4950" s="9"/>
    </row>
    <row r="4951" spans="1:9" x14ac:dyDescent="0.25">
      <c r="A4951">
        <v>625121</v>
      </c>
      <c r="B4951">
        <v>4.3</v>
      </c>
      <c r="C4951">
        <v>360</v>
      </c>
      <c r="D4951" s="9">
        <v>43621</v>
      </c>
      <c r="E4951" t="s">
        <v>295</v>
      </c>
      <c r="I4951" s="9"/>
    </row>
    <row r="4952" spans="1:9" x14ac:dyDescent="0.25">
      <c r="A4952">
        <v>625121</v>
      </c>
      <c r="B4952">
        <v>4.1500000000000004</v>
      </c>
      <c r="C4952">
        <v>240</v>
      </c>
      <c r="D4952" s="9">
        <v>43511</v>
      </c>
      <c r="E4952" t="s">
        <v>295</v>
      </c>
      <c r="I4952" s="9"/>
    </row>
    <row r="4953" spans="1:9" x14ac:dyDescent="0.25">
      <c r="A4953">
        <v>625121</v>
      </c>
      <c r="B4953">
        <v>0.64</v>
      </c>
      <c r="C4953">
        <v>1920</v>
      </c>
      <c r="D4953" s="9">
        <v>42617</v>
      </c>
      <c r="E4953" t="s">
        <v>296</v>
      </c>
      <c r="I4953" s="9"/>
    </row>
    <row r="4954" spans="1:9" x14ac:dyDescent="0.25">
      <c r="A4954">
        <v>625121</v>
      </c>
      <c r="B4954">
        <v>0.64</v>
      </c>
      <c r="C4954">
        <v>80</v>
      </c>
      <c r="D4954" s="9">
        <v>42617</v>
      </c>
      <c r="E4954" t="s">
        <v>296</v>
      </c>
      <c r="I4954" s="9"/>
    </row>
    <row r="4955" spans="1:9" x14ac:dyDescent="0.25">
      <c r="A4955">
        <v>625121</v>
      </c>
      <c r="B4955">
        <v>0.67500000000000004</v>
      </c>
      <c r="C4955">
        <v>1200</v>
      </c>
      <c r="D4955" s="9">
        <v>42144</v>
      </c>
      <c r="E4955" t="s">
        <v>296</v>
      </c>
      <c r="I4955" s="9"/>
    </row>
    <row r="4956" spans="1:9" x14ac:dyDescent="0.25">
      <c r="A4956">
        <v>625121</v>
      </c>
      <c r="B4956">
        <v>0.67500000000000004</v>
      </c>
      <c r="C4956">
        <v>1200</v>
      </c>
      <c r="D4956" s="9">
        <v>41837</v>
      </c>
      <c r="E4956" t="s">
        <v>296</v>
      </c>
      <c r="I4956" s="9"/>
    </row>
    <row r="4957" spans="1:9" x14ac:dyDescent="0.25">
      <c r="A4957">
        <v>626010</v>
      </c>
      <c r="B4957">
        <v>18.5</v>
      </c>
      <c r="C4957">
        <v>70</v>
      </c>
      <c r="D4957" s="9">
        <v>42031</v>
      </c>
      <c r="E4957" t="s">
        <v>296</v>
      </c>
      <c r="I4957" s="9"/>
    </row>
    <row r="4958" spans="1:9" x14ac:dyDescent="0.25">
      <c r="A4958">
        <v>626010</v>
      </c>
      <c r="B4958">
        <v>18.3</v>
      </c>
      <c r="C4958">
        <v>50</v>
      </c>
      <c r="D4958" s="9">
        <v>41747</v>
      </c>
      <c r="E4958" t="s">
        <v>296</v>
      </c>
      <c r="I4958" s="9"/>
    </row>
    <row r="4959" spans="1:9" x14ac:dyDescent="0.25">
      <c r="A4959">
        <v>626011</v>
      </c>
      <c r="B4959">
        <v>18.5</v>
      </c>
      <c r="C4959">
        <v>50</v>
      </c>
      <c r="D4959" s="9">
        <v>42031</v>
      </c>
      <c r="E4959" t="s">
        <v>296</v>
      </c>
      <c r="I4959" s="9"/>
    </row>
    <row r="4960" spans="1:9" x14ac:dyDescent="0.25">
      <c r="A4960">
        <v>626011</v>
      </c>
      <c r="B4960">
        <v>19.3</v>
      </c>
      <c r="C4960">
        <v>50</v>
      </c>
      <c r="D4960" s="9">
        <v>41747</v>
      </c>
      <c r="E4960" t="s">
        <v>296</v>
      </c>
      <c r="I4960" s="9"/>
    </row>
    <row r="4961" spans="1:9" x14ac:dyDescent="0.25">
      <c r="A4961">
        <v>626905</v>
      </c>
      <c r="B4961">
        <v>1.35</v>
      </c>
      <c r="C4961">
        <v>500</v>
      </c>
      <c r="D4961" s="9">
        <v>44083</v>
      </c>
      <c r="E4961" t="s">
        <v>296</v>
      </c>
      <c r="I4961" s="9"/>
    </row>
    <row r="4962" spans="1:9" x14ac:dyDescent="0.25">
      <c r="A4962">
        <v>626905</v>
      </c>
      <c r="B4962">
        <v>1.35</v>
      </c>
      <c r="C4962">
        <v>520</v>
      </c>
      <c r="D4962" s="9">
        <v>43972</v>
      </c>
      <c r="E4962" t="s">
        <v>296</v>
      </c>
      <c r="I4962" s="9"/>
    </row>
    <row r="4963" spans="1:9" x14ac:dyDescent="0.25">
      <c r="A4963">
        <v>626905</v>
      </c>
      <c r="B4963">
        <v>1.35</v>
      </c>
      <c r="C4963">
        <v>520</v>
      </c>
      <c r="D4963" s="9">
        <v>43803</v>
      </c>
      <c r="E4963" t="s">
        <v>296</v>
      </c>
      <c r="I4963" s="9"/>
    </row>
    <row r="4964" spans="1:9" x14ac:dyDescent="0.25">
      <c r="A4964">
        <v>626905</v>
      </c>
      <c r="B4964">
        <v>1.3</v>
      </c>
      <c r="C4964">
        <v>520</v>
      </c>
      <c r="D4964" s="9">
        <v>43438</v>
      </c>
      <c r="E4964" t="s">
        <v>296</v>
      </c>
      <c r="I4964" s="9"/>
    </row>
    <row r="4965" spans="1:9" x14ac:dyDescent="0.25">
      <c r="A4965">
        <v>626905</v>
      </c>
      <c r="B4965">
        <v>1.3</v>
      </c>
      <c r="C4965">
        <v>500</v>
      </c>
      <c r="D4965" s="9">
        <v>43305</v>
      </c>
      <c r="E4965" t="s">
        <v>296</v>
      </c>
      <c r="I4965" s="9"/>
    </row>
    <row r="4966" spans="1:9" x14ac:dyDescent="0.25">
      <c r="A4966">
        <v>626905</v>
      </c>
      <c r="B4966">
        <v>1.25</v>
      </c>
      <c r="C4966">
        <v>500</v>
      </c>
      <c r="D4966" s="9">
        <v>43063</v>
      </c>
      <c r="E4966" t="s">
        <v>296</v>
      </c>
      <c r="I4966" s="9"/>
    </row>
    <row r="4967" spans="1:9" x14ac:dyDescent="0.25">
      <c r="A4967">
        <v>626905</v>
      </c>
      <c r="B4967">
        <v>1.22</v>
      </c>
      <c r="C4967">
        <v>500</v>
      </c>
      <c r="D4967" s="9">
        <v>42781</v>
      </c>
      <c r="E4967" t="s">
        <v>296</v>
      </c>
      <c r="I4967" s="9"/>
    </row>
    <row r="4968" spans="1:9" x14ac:dyDescent="0.25">
      <c r="A4968">
        <v>626905</v>
      </c>
      <c r="B4968">
        <v>1.22</v>
      </c>
      <c r="C4968">
        <v>500</v>
      </c>
      <c r="D4968" s="9">
        <v>42530</v>
      </c>
      <c r="E4968" t="s">
        <v>296</v>
      </c>
      <c r="I4968" s="9"/>
    </row>
    <row r="4969" spans="1:9" x14ac:dyDescent="0.25">
      <c r="A4969">
        <v>627010</v>
      </c>
      <c r="B4969">
        <v>2.48</v>
      </c>
      <c r="C4969">
        <v>1728</v>
      </c>
      <c r="D4969" s="9">
        <v>44095</v>
      </c>
      <c r="E4969" t="s">
        <v>295</v>
      </c>
      <c r="I4969" s="9"/>
    </row>
    <row r="4970" spans="1:9" x14ac:dyDescent="0.25">
      <c r="A4970">
        <v>627010</v>
      </c>
      <c r="B4970">
        <v>2.48</v>
      </c>
      <c r="C4970">
        <v>1728</v>
      </c>
      <c r="D4970" s="9">
        <v>43998</v>
      </c>
      <c r="E4970" t="s">
        <v>295</v>
      </c>
      <c r="I4970" s="9"/>
    </row>
    <row r="4971" spans="1:9" x14ac:dyDescent="0.25">
      <c r="A4971">
        <v>627010</v>
      </c>
      <c r="B4971">
        <v>2.25</v>
      </c>
      <c r="C4971">
        <v>1200</v>
      </c>
      <c r="D4971" s="9">
        <v>43837</v>
      </c>
      <c r="E4971" t="s">
        <v>295</v>
      </c>
      <c r="I4971" s="9"/>
    </row>
    <row r="4972" spans="1:9" x14ac:dyDescent="0.25">
      <c r="A4972">
        <v>627010</v>
      </c>
      <c r="B4972">
        <v>2.25</v>
      </c>
      <c r="C4972">
        <v>1200</v>
      </c>
      <c r="D4972" s="9">
        <v>43746</v>
      </c>
      <c r="E4972" t="s">
        <v>295</v>
      </c>
      <c r="I4972" s="9"/>
    </row>
    <row r="4973" spans="1:9" x14ac:dyDescent="0.25">
      <c r="A4973">
        <v>627010</v>
      </c>
      <c r="B4973">
        <v>2.25</v>
      </c>
      <c r="C4973">
        <v>1200</v>
      </c>
      <c r="D4973" s="9">
        <v>43494</v>
      </c>
      <c r="E4973" t="s">
        <v>295</v>
      </c>
      <c r="I4973" s="9"/>
    </row>
    <row r="4974" spans="1:9" x14ac:dyDescent="0.25">
      <c r="A4974">
        <v>627010</v>
      </c>
      <c r="B4974">
        <v>2.25</v>
      </c>
      <c r="C4974">
        <v>1200</v>
      </c>
      <c r="D4974" s="9">
        <v>43381</v>
      </c>
      <c r="E4974" t="s">
        <v>295</v>
      </c>
      <c r="I4974" s="9"/>
    </row>
    <row r="4975" spans="1:9" x14ac:dyDescent="0.25">
      <c r="A4975">
        <v>627010</v>
      </c>
      <c r="B4975">
        <v>2.25</v>
      </c>
      <c r="C4975">
        <v>1200</v>
      </c>
      <c r="D4975" s="9">
        <v>43287</v>
      </c>
      <c r="E4975" t="s">
        <v>295</v>
      </c>
      <c r="I4975" s="9"/>
    </row>
    <row r="4976" spans="1:9" x14ac:dyDescent="0.25">
      <c r="A4976">
        <v>627010</v>
      </c>
      <c r="B4976">
        <v>2.25</v>
      </c>
      <c r="C4976">
        <v>1200</v>
      </c>
      <c r="D4976" s="9">
        <v>43230</v>
      </c>
      <c r="E4976" t="s">
        <v>295</v>
      </c>
      <c r="I4976" s="9"/>
    </row>
    <row r="4977" spans="1:9" x14ac:dyDescent="0.25">
      <c r="A4977">
        <v>627010</v>
      </c>
      <c r="B4977">
        <v>2.25</v>
      </c>
      <c r="C4977">
        <v>1200</v>
      </c>
      <c r="D4977" s="9">
        <v>43104</v>
      </c>
      <c r="E4977" t="s">
        <v>295</v>
      </c>
      <c r="I4977" s="9"/>
    </row>
    <row r="4978" spans="1:9" x14ac:dyDescent="0.25">
      <c r="A4978">
        <v>627010</v>
      </c>
      <c r="B4978">
        <v>2.25</v>
      </c>
      <c r="C4978">
        <v>1200</v>
      </c>
      <c r="D4978" s="9">
        <v>42996</v>
      </c>
      <c r="E4978" t="s">
        <v>295</v>
      </c>
      <c r="I4978" s="9"/>
    </row>
    <row r="4979" spans="1:9" x14ac:dyDescent="0.25">
      <c r="A4979">
        <v>627010</v>
      </c>
      <c r="B4979">
        <v>2.25</v>
      </c>
      <c r="C4979">
        <v>1200</v>
      </c>
      <c r="D4979" s="9">
        <v>42968</v>
      </c>
      <c r="E4979" t="s">
        <v>295</v>
      </c>
      <c r="I4979" s="9"/>
    </row>
    <row r="4980" spans="1:9" x14ac:dyDescent="0.25">
      <c r="A4980">
        <v>627010</v>
      </c>
      <c r="B4980">
        <v>2.25</v>
      </c>
      <c r="C4980">
        <v>1200</v>
      </c>
      <c r="D4980" s="9">
        <v>42943</v>
      </c>
      <c r="E4980" t="s">
        <v>295</v>
      </c>
      <c r="I4980" s="9"/>
    </row>
    <row r="4981" spans="1:9" x14ac:dyDescent="0.25">
      <c r="A4981">
        <v>627010</v>
      </c>
      <c r="B4981">
        <v>2.25</v>
      </c>
      <c r="C4981">
        <v>1200</v>
      </c>
      <c r="D4981" s="9">
        <v>42836</v>
      </c>
      <c r="E4981" t="s">
        <v>295</v>
      </c>
      <c r="I4981" s="9"/>
    </row>
    <row r="4982" spans="1:9" x14ac:dyDescent="0.25">
      <c r="A4982">
        <v>627010</v>
      </c>
      <c r="B4982">
        <v>2.25</v>
      </c>
      <c r="C4982">
        <v>1200</v>
      </c>
      <c r="D4982" s="9">
        <v>42662</v>
      </c>
      <c r="E4982" t="s">
        <v>295</v>
      </c>
      <c r="I4982" s="9"/>
    </row>
    <row r="4983" spans="1:9" x14ac:dyDescent="0.25">
      <c r="A4983">
        <v>627010</v>
      </c>
      <c r="B4983">
        <v>2.25</v>
      </c>
      <c r="C4983">
        <v>1200</v>
      </c>
      <c r="D4983" s="9">
        <v>42593</v>
      </c>
      <c r="E4983" t="s">
        <v>295</v>
      </c>
      <c r="I4983" s="9"/>
    </row>
    <row r="4984" spans="1:9" x14ac:dyDescent="0.25">
      <c r="A4984">
        <v>627010</v>
      </c>
      <c r="B4984">
        <v>2.25</v>
      </c>
      <c r="C4984">
        <v>1200</v>
      </c>
      <c r="D4984" s="9">
        <v>42583</v>
      </c>
      <c r="E4984" t="s">
        <v>295</v>
      </c>
      <c r="I4984" s="9"/>
    </row>
    <row r="4985" spans="1:9" x14ac:dyDescent="0.25">
      <c r="A4985">
        <v>627010</v>
      </c>
      <c r="B4985">
        <v>2.25</v>
      </c>
      <c r="C4985">
        <v>1200</v>
      </c>
      <c r="D4985" s="9">
        <v>42558</v>
      </c>
      <c r="E4985" t="s">
        <v>295</v>
      </c>
      <c r="I4985" s="9"/>
    </row>
    <row r="4986" spans="1:9" x14ac:dyDescent="0.25">
      <c r="A4986">
        <v>627010</v>
      </c>
      <c r="B4986">
        <v>2.25</v>
      </c>
      <c r="C4986">
        <v>1200</v>
      </c>
      <c r="D4986" s="9">
        <v>42451</v>
      </c>
      <c r="E4986" t="s">
        <v>295</v>
      </c>
      <c r="I4986" s="9"/>
    </row>
    <row r="4987" spans="1:9" x14ac:dyDescent="0.25">
      <c r="A4987">
        <v>627010</v>
      </c>
      <c r="B4987">
        <v>2.25</v>
      </c>
      <c r="C4987">
        <v>1200</v>
      </c>
      <c r="D4987" s="9">
        <v>42254</v>
      </c>
      <c r="E4987" t="s">
        <v>295</v>
      </c>
      <c r="I4987" s="9"/>
    </row>
    <row r="4988" spans="1:9" x14ac:dyDescent="0.25">
      <c r="A4988">
        <v>627010</v>
      </c>
      <c r="B4988">
        <v>2.25</v>
      </c>
      <c r="C4988">
        <v>1200</v>
      </c>
      <c r="D4988" s="9">
        <v>42191</v>
      </c>
      <c r="E4988" t="s">
        <v>295</v>
      </c>
      <c r="I4988" s="9"/>
    </row>
    <row r="4989" spans="1:9" x14ac:dyDescent="0.25">
      <c r="A4989">
        <v>627010</v>
      </c>
      <c r="B4989">
        <v>2.25</v>
      </c>
      <c r="C4989">
        <v>1200</v>
      </c>
      <c r="D4989" s="9">
        <v>42034</v>
      </c>
      <c r="E4989" t="s">
        <v>295</v>
      </c>
      <c r="I4989" s="9"/>
    </row>
    <row r="4990" spans="1:9" x14ac:dyDescent="0.25">
      <c r="A4990">
        <v>627010</v>
      </c>
      <c r="B4990">
        <v>2.25</v>
      </c>
      <c r="C4990">
        <v>1200</v>
      </c>
      <c r="D4990" s="9">
        <v>41911</v>
      </c>
      <c r="E4990" t="s">
        <v>295</v>
      </c>
      <c r="I4990" s="9"/>
    </row>
    <row r="4991" spans="1:9" x14ac:dyDescent="0.25">
      <c r="A4991">
        <v>627010</v>
      </c>
      <c r="B4991">
        <v>2.25</v>
      </c>
      <c r="C4991">
        <v>1200</v>
      </c>
      <c r="D4991" s="9">
        <v>41807</v>
      </c>
      <c r="E4991" t="s">
        <v>295</v>
      </c>
      <c r="I4991" s="9"/>
    </row>
    <row r="4992" spans="1:9" x14ac:dyDescent="0.25">
      <c r="A4992">
        <v>627010</v>
      </c>
      <c r="B4992">
        <v>2.54</v>
      </c>
      <c r="C4992">
        <v>1200</v>
      </c>
      <c r="D4992" s="9">
        <v>41717</v>
      </c>
      <c r="E4992" t="s">
        <v>295</v>
      </c>
      <c r="I4992" s="9"/>
    </row>
    <row r="4993" spans="1:9" x14ac:dyDescent="0.25">
      <c r="A4993">
        <v>627014</v>
      </c>
      <c r="B4993">
        <v>6.19</v>
      </c>
      <c r="C4993">
        <v>640</v>
      </c>
      <c r="D4993" s="9">
        <v>44110</v>
      </c>
      <c r="E4993" t="s">
        <v>295</v>
      </c>
      <c r="I4993" s="9"/>
    </row>
    <row r="4994" spans="1:9" x14ac:dyDescent="0.25">
      <c r="A4994">
        <v>627014</v>
      </c>
      <c r="B4994">
        <v>6.19</v>
      </c>
      <c r="C4994">
        <v>640</v>
      </c>
      <c r="D4994" s="9">
        <v>43998</v>
      </c>
      <c r="E4994" t="s">
        <v>295</v>
      </c>
      <c r="I4994" s="9"/>
    </row>
    <row r="4995" spans="1:9" x14ac:dyDescent="0.25">
      <c r="A4995">
        <v>627014</v>
      </c>
      <c r="B4995">
        <v>6.19</v>
      </c>
      <c r="C4995">
        <v>640</v>
      </c>
      <c r="D4995" s="9">
        <v>43910</v>
      </c>
      <c r="E4995" t="s">
        <v>295</v>
      </c>
      <c r="I4995" s="9"/>
    </row>
    <row r="4996" spans="1:9" x14ac:dyDescent="0.25">
      <c r="A4996">
        <v>627014</v>
      </c>
      <c r="B4996">
        <v>5.63</v>
      </c>
      <c r="C4996">
        <v>480</v>
      </c>
      <c r="D4996" s="9">
        <v>43837</v>
      </c>
      <c r="E4996" t="s">
        <v>295</v>
      </c>
      <c r="I4996" s="9"/>
    </row>
    <row r="4997" spans="1:9" x14ac:dyDescent="0.25">
      <c r="A4997">
        <v>627014</v>
      </c>
      <c r="B4997">
        <v>5.63</v>
      </c>
      <c r="C4997">
        <v>480</v>
      </c>
      <c r="D4997" s="9">
        <v>43746</v>
      </c>
      <c r="E4997" t="s">
        <v>295</v>
      </c>
      <c r="I4997" s="9"/>
    </row>
    <row r="4998" spans="1:9" x14ac:dyDescent="0.25">
      <c r="A4998">
        <v>627014</v>
      </c>
      <c r="B4998">
        <v>6.25</v>
      </c>
      <c r="C4998">
        <v>320</v>
      </c>
      <c r="D4998" s="9">
        <v>43567</v>
      </c>
      <c r="E4998" t="s">
        <v>295</v>
      </c>
      <c r="I4998" s="9"/>
    </row>
    <row r="4999" spans="1:9" x14ac:dyDescent="0.25">
      <c r="A4999">
        <v>627014</v>
      </c>
      <c r="B4999">
        <v>5.63</v>
      </c>
      <c r="C4999">
        <v>480</v>
      </c>
      <c r="D4999" s="9">
        <v>43381</v>
      </c>
      <c r="E4999" t="s">
        <v>295</v>
      </c>
      <c r="I4999" s="9"/>
    </row>
    <row r="5000" spans="1:9" x14ac:dyDescent="0.25">
      <c r="A5000">
        <v>627014</v>
      </c>
      <c r="B5000">
        <v>5.63</v>
      </c>
      <c r="C5000">
        <v>320</v>
      </c>
      <c r="D5000" s="9">
        <v>43287</v>
      </c>
      <c r="E5000" t="s">
        <v>295</v>
      </c>
      <c r="I5000" s="9"/>
    </row>
    <row r="5001" spans="1:9" x14ac:dyDescent="0.25">
      <c r="A5001">
        <v>627014</v>
      </c>
      <c r="B5001">
        <v>5.63</v>
      </c>
      <c r="C5001">
        <v>320</v>
      </c>
      <c r="D5001" s="9">
        <v>43230</v>
      </c>
      <c r="E5001" t="s">
        <v>295</v>
      </c>
      <c r="I5001" s="9"/>
    </row>
    <row r="5002" spans="1:9" x14ac:dyDescent="0.25">
      <c r="A5002">
        <v>627014</v>
      </c>
      <c r="B5002">
        <v>5.63</v>
      </c>
      <c r="C5002">
        <v>320</v>
      </c>
      <c r="D5002" s="9">
        <v>43104</v>
      </c>
      <c r="E5002" t="s">
        <v>295</v>
      </c>
      <c r="I5002" s="9"/>
    </row>
    <row r="5003" spans="1:9" x14ac:dyDescent="0.25">
      <c r="A5003">
        <v>627014</v>
      </c>
      <c r="B5003">
        <v>5.63</v>
      </c>
      <c r="C5003">
        <v>224</v>
      </c>
      <c r="D5003" s="9">
        <v>42996</v>
      </c>
      <c r="E5003" t="s">
        <v>295</v>
      </c>
      <c r="I5003" s="9"/>
    </row>
    <row r="5004" spans="1:9" x14ac:dyDescent="0.25">
      <c r="A5004">
        <v>627014</v>
      </c>
      <c r="B5004">
        <v>5.63</v>
      </c>
      <c r="C5004">
        <v>320</v>
      </c>
      <c r="D5004" s="9">
        <v>42968</v>
      </c>
      <c r="E5004" t="s">
        <v>295</v>
      </c>
      <c r="I5004" s="9"/>
    </row>
    <row r="5005" spans="1:9" x14ac:dyDescent="0.25">
      <c r="A5005">
        <v>627014</v>
      </c>
      <c r="B5005">
        <v>5.63</v>
      </c>
      <c r="C5005">
        <v>320</v>
      </c>
      <c r="D5005" s="9">
        <v>42943</v>
      </c>
      <c r="E5005" t="s">
        <v>295</v>
      </c>
      <c r="I5005" s="9"/>
    </row>
    <row r="5006" spans="1:9" x14ac:dyDescent="0.25">
      <c r="A5006">
        <v>627014</v>
      </c>
      <c r="B5006">
        <v>5.63</v>
      </c>
      <c r="C5006">
        <v>400</v>
      </c>
      <c r="D5006" s="9">
        <v>42593</v>
      </c>
      <c r="E5006" t="s">
        <v>295</v>
      </c>
      <c r="I5006" s="9"/>
    </row>
    <row r="5007" spans="1:9" x14ac:dyDescent="0.25">
      <c r="A5007">
        <v>627014</v>
      </c>
      <c r="B5007">
        <v>5.63</v>
      </c>
      <c r="C5007">
        <v>400</v>
      </c>
      <c r="D5007" s="9">
        <v>42583</v>
      </c>
      <c r="E5007" t="s">
        <v>295</v>
      </c>
      <c r="I5007" s="9"/>
    </row>
    <row r="5008" spans="1:9" x14ac:dyDescent="0.25">
      <c r="A5008">
        <v>627014</v>
      </c>
      <c r="B5008">
        <v>5.63</v>
      </c>
      <c r="C5008">
        <v>400</v>
      </c>
      <c r="D5008" s="9">
        <v>42558</v>
      </c>
      <c r="E5008" t="s">
        <v>295</v>
      </c>
      <c r="I5008" s="9"/>
    </row>
    <row r="5009" spans="1:9" x14ac:dyDescent="0.25">
      <c r="A5009">
        <v>627014</v>
      </c>
      <c r="B5009">
        <v>5.63</v>
      </c>
      <c r="C5009">
        <v>400</v>
      </c>
      <c r="D5009" s="9">
        <v>42145</v>
      </c>
      <c r="E5009" t="s">
        <v>295</v>
      </c>
      <c r="I5009" s="9"/>
    </row>
    <row r="5010" spans="1:9" x14ac:dyDescent="0.25">
      <c r="A5010">
        <v>627014</v>
      </c>
      <c r="B5010">
        <v>5.63</v>
      </c>
      <c r="C5010">
        <v>400</v>
      </c>
      <c r="D5010" s="9">
        <v>42138</v>
      </c>
      <c r="E5010" t="s">
        <v>295</v>
      </c>
      <c r="I5010" s="9"/>
    </row>
    <row r="5011" spans="1:9" x14ac:dyDescent="0.25">
      <c r="A5011">
        <v>627014</v>
      </c>
      <c r="B5011">
        <v>5.63</v>
      </c>
      <c r="C5011">
        <v>400</v>
      </c>
      <c r="D5011" s="9">
        <v>42034</v>
      </c>
      <c r="E5011" t="s">
        <v>295</v>
      </c>
      <c r="I5011" s="9"/>
    </row>
    <row r="5012" spans="1:9" x14ac:dyDescent="0.25">
      <c r="A5012">
        <v>627030</v>
      </c>
      <c r="B5012">
        <v>0.222</v>
      </c>
      <c r="C5012">
        <v>5760</v>
      </c>
      <c r="D5012" s="9">
        <v>44070</v>
      </c>
      <c r="E5012" t="s">
        <v>296</v>
      </c>
      <c r="I5012" s="9"/>
    </row>
    <row r="5013" spans="1:9" x14ac:dyDescent="0.25">
      <c r="A5013">
        <v>627030</v>
      </c>
      <c r="B5013">
        <v>0.252</v>
      </c>
      <c r="C5013">
        <v>2880</v>
      </c>
      <c r="D5013" s="9">
        <v>43972</v>
      </c>
      <c r="E5013" t="s">
        <v>296</v>
      </c>
      <c r="I5013" s="9"/>
    </row>
    <row r="5014" spans="1:9" x14ac:dyDescent="0.25">
      <c r="A5014">
        <v>627030</v>
      </c>
      <c r="B5014">
        <v>0.252</v>
      </c>
      <c r="C5014">
        <v>2880</v>
      </c>
      <c r="D5014" s="9">
        <v>43403</v>
      </c>
      <c r="E5014" t="s">
        <v>296</v>
      </c>
      <c r="I5014" s="9"/>
    </row>
    <row r="5015" spans="1:9" x14ac:dyDescent="0.25">
      <c r="A5015">
        <v>627030</v>
      </c>
      <c r="B5015">
        <v>0.23499999999999999</v>
      </c>
      <c r="C5015">
        <v>2880</v>
      </c>
      <c r="D5015" s="9">
        <v>43054</v>
      </c>
      <c r="E5015" t="s">
        <v>296</v>
      </c>
      <c r="I5015" s="9"/>
    </row>
    <row r="5016" spans="1:9" x14ac:dyDescent="0.25">
      <c r="A5016">
        <v>627030</v>
      </c>
      <c r="B5016">
        <v>0.23499999999999999</v>
      </c>
      <c r="C5016">
        <v>3360</v>
      </c>
      <c r="D5016" s="9">
        <v>42641</v>
      </c>
      <c r="E5016" t="s">
        <v>296</v>
      </c>
      <c r="I5016" s="9"/>
    </row>
    <row r="5017" spans="1:9" x14ac:dyDescent="0.25">
      <c r="A5017">
        <v>627030</v>
      </c>
      <c r="B5017">
        <v>0.23499999999999999</v>
      </c>
      <c r="C5017">
        <v>3360</v>
      </c>
      <c r="D5017" s="9">
        <v>42641</v>
      </c>
      <c r="E5017" t="s">
        <v>296</v>
      </c>
      <c r="I5017" s="9"/>
    </row>
    <row r="5018" spans="1:9" x14ac:dyDescent="0.25">
      <c r="A5018">
        <v>627030</v>
      </c>
      <c r="B5018">
        <v>0.23499999999999999</v>
      </c>
      <c r="C5018">
        <v>3360</v>
      </c>
      <c r="D5018" s="9">
        <v>42440</v>
      </c>
      <c r="E5018" t="s">
        <v>296</v>
      </c>
      <c r="I5018" s="9"/>
    </row>
    <row r="5019" spans="1:9" x14ac:dyDescent="0.25">
      <c r="A5019">
        <v>627030</v>
      </c>
      <c r="B5019">
        <v>0.25900000000000001</v>
      </c>
      <c r="C5019">
        <v>4800</v>
      </c>
      <c r="D5019" s="9">
        <v>41983</v>
      </c>
      <c r="E5019" t="s">
        <v>296</v>
      </c>
      <c r="I5019" s="9"/>
    </row>
    <row r="5020" spans="1:9" x14ac:dyDescent="0.25">
      <c r="A5020">
        <v>627030</v>
      </c>
      <c r="B5020">
        <v>0.25900000000000001</v>
      </c>
      <c r="C5020">
        <v>4800</v>
      </c>
      <c r="D5020" s="9">
        <v>41816</v>
      </c>
      <c r="E5020" t="s">
        <v>296</v>
      </c>
      <c r="I5020" s="9"/>
    </row>
    <row r="5021" spans="1:9" x14ac:dyDescent="0.25">
      <c r="A5021">
        <v>627030</v>
      </c>
      <c r="B5021">
        <v>0.25900000000000001</v>
      </c>
      <c r="C5021">
        <v>7200</v>
      </c>
      <c r="D5021" s="9">
        <v>41418</v>
      </c>
      <c r="E5021" t="s">
        <v>296</v>
      </c>
      <c r="I5021" s="9"/>
    </row>
    <row r="5022" spans="1:9" x14ac:dyDescent="0.25">
      <c r="A5022">
        <v>627030</v>
      </c>
      <c r="B5022">
        <v>0.25900000000000001</v>
      </c>
      <c r="C5022">
        <v>5760</v>
      </c>
      <c r="D5022" s="9">
        <v>41295</v>
      </c>
      <c r="E5022" t="s">
        <v>296</v>
      </c>
      <c r="I5022" s="9"/>
    </row>
    <row r="5023" spans="1:9" x14ac:dyDescent="0.25">
      <c r="A5023">
        <v>627031</v>
      </c>
      <c r="B5023">
        <v>0.65900000000000003</v>
      </c>
      <c r="C5023">
        <v>1200</v>
      </c>
      <c r="D5023" s="9">
        <v>44070</v>
      </c>
      <c r="E5023" t="s">
        <v>296</v>
      </c>
      <c r="I5023" s="9"/>
    </row>
    <row r="5024" spans="1:9" x14ac:dyDescent="0.25">
      <c r="A5024">
        <v>627031</v>
      </c>
      <c r="B5024">
        <v>0.65</v>
      </c>
      <c r="C5024">
        <v>1000</v>
      </c>
      <c r="D5024" s="9">
        <v>43972</v>
      </c>
      <c r="E5024" t="s">
        <v>296</v>
      </c>
      <c r="I5024" s="9"/>
    </row>
    <row r="5025" spans="1:9" x14ac:dyDescent="0.25">
      <c r="A5025">
        <v>627031</v>
      </c>
      <c r="B5025">
        <v>0.65</v>
      </c>
      <c r="C5025">
        <v>3000</v>
      </c>
      <c r="D5025" s="9">
        <v>43707</v>
      </c>
      <c r="E5025" t="s">
        <v>296</v>
      </c>
      <c r="I5025" s="9"/>
    </row>
    <row r="5026" spans="1:9" x14ac:dyDescent="0.25">
      <c r="A5026">
        <v>627031</v>
      </c>
      <c r="B5026">
        <v>0.65</v>
      </c>
      <c r="C5026">
        <v>1200</v>
      </c>
      <c r="D5026" s="9">
        <v>43567</v>
      </c>
      <c r="E5026" t="s">
        <v>296</v>
      </c>
      <c r="I5026" s="9"/>
    </row>
    <row r="5027" spans="1:9" x14ac:dyDescent="0.25">
      <c r="A5027">
        <v>627031</v>
      </c>
      <c r="B5027">
        <v>2.62</v>
      </c>
      <c r="C5027">
        <v>1200</v>
      </c>
      <c r="D5027" s="9">
        <v>43340</v>
      </c>
      <c r="E5027" t="s">
        <v>295</v>
      </c>
      <c r="I5027" s="9"/>
    </row>
    <row r="5028" spans="1:9" x14ac:dyDescent="0.25">
      <c r="A5028">
        <v>627031</v>
      </c>
      <c r="B5028">
        <v>0.7</v>
      </c>
      <c r="C5028">
        <v>1200</v>
      </c>
      <c r="D5028" s="9">
        <v>43299</v>
      </c>
      <c r="E5028" t="s">
        <v>296</v>
      </c>
      <c r="I5028" s="9"/>
    </row>
    <row r="5029" spans="1:9" x14ac:dyDescent="0.25">
      <c r="A5029">
        <v>627031</v>
      </c>
      <c r="B5029">
        <v>2.68</v>
      </c>
      <c r="C5029">
        <v>100</v>
      </c>
      <c r="D5029" s="9">
        <v>42998</v>
      </c>
      <c r="E5029" t="s">
        <v>295</v>
      </c>
      <c r="I5029" s="9"/>
    </row>
    <row r="5030" spans="1:9" x14ac:dyDescent="0.25">
      <c r="A5030">
        <v>627031</v>
      </c>
      <c r="B5030">
        <v>0.51</v>
      </c>
      <c r="C5030">
        <v>4000</v>
      </c>
      <c r="D5030" s="9">
        <v>42696</v>
      </c>
      <c r="E5030" t="s">
        <v>296</v>
      </c>
      <c r="I5030" s="9"/>
    </row>
    <row r="5031" spans="1:9" x14ac:dyDescent="0.25">
      <c r="A5031">
        <v>627031</v>
      </c>
      <c r="B5031">
        <v>0.54</v>
      </c>
      <c r="C5031">
        <v>8000</v>
      </c>
      <c r="D5031" s="9">
        <v>41982</v>
      </c>
      <c r="E5031" t="s">
        <v>296</v>
      </c>
      <c r="I5031" s="9"/>
    </row>
    <row r="5032" spans="1:9" x14ac:dyDescent="0.25">
      <c r="A5032">
        <v>627031</v>
      </c>
      <c r="B5032">
        <v>0.5</v>
      </c>
      <c r="C5032">
        <v>800</v>
      </c>
      <c r="D5032" s="9">
        <v>41765</v>
      </c>
      <c r="E5032" t="s">
        <v>296</v>
      </c>
      <c r="I5032" s="9"/>
    </row>
    <row r="5033" spans="1:9" x14ac:dyDescent="0.25">
      <c r="A5033">
        <v>627051</v>
      </c>
      <c r="B5033">
        <v>1.25</v>
      </c>
      <c r="C5033">
        <v>1200</v>
      </c>
      <c r="D5033" s="9">
        <v>43991</v>
      </c>
      <c r="E5033" t="s">
        <v>296</v>
      </c>
      <c r="I5033" s="9"/>
    </row>
    <row r="5034" spans="1:9" x14ac:dyDescent="0.25">
      <c r="A5034">
        <v>627051</v>
      </c>
      <c r="B5034">
        <v>1.25</v>
      </c>
      <c r="C5034">
        <v>1200</v>
      </c>
      <c r="D5034" s="9">
        <v>43598</v>
      </c>
      <c r="E5034" t="s">
        <v>296</v>
      </c>
      <c r="I5034" s="9"/>
    </row>
    <row r="5035" spans="1:9" x14ac:dyDescent="0.25">
      <c r="A5035">
        <v>627051</v>
      </c>
      <c r="B5035">
        <v>1.25</v>
      </c>
      <c r="C5035">
        <v>1200</v>
      </c>
      <c r="D5035" s="9">
        <v>43381</v>
      </c>
      <c r="E5035" t="s">
        <v>296</v>
      </c>
      <c r="I5035" s="9"/>
    </row>
    <row r="5036" spans="1:9" x14ac:dyDescent="0.25">
      <c r="A5036">
        <v>627051</v>
      </c>
      <c r="B5036">
        <v>4.4000000000000004</v>
      </c>
      <c r="C5036">
        <v>600</v>
      </c>
      <c r="D5036" s="9">
        <v>43263</v>
      </c>
      <c r="E5036" t="s">
        <v>295</v>
      </c>
      <c r="I5036" s="9"/>
    </row>
    <row r="5037" spans="1:9" x14ac:dyDescent="0.25">
      <c r="A5037">
        <v>627051</v>
      </c>
      <c r="B5037">
        <v>1.18</v>
      </c>
      <c r="C5037">
        <v>1200</v>
      </c>
      <c r="D5037" s="9">
        <v>43228</v>
      </c>
      <c r="E5037" t="s">
        <v>296</v>
      </c>
      <c r="I5037" s="9"/>
    </row>
    <row r="5038" spans="1:9" x14ac:dyDescent="0.25">
      <c r="A5038">
        <v>627051</v>
      </c>
      <c r="B5038">
        <v>1.24</v>
      </c>
      <c r="C5038">
        <v>600</v>
      </c>
      <c r="D5038" s="9">
        <v>42905</v>
      </c>
      <c r="E5038" t="s">
        <v>296</v>
      </c>
      <c r="I5038" s="9"/>
    </row>
    <row r="5039" spans="1:9" x14ac:dyDescent="0.25">
      <c r="A5039">
        <v>627051</v>
      </c>
      <c r="B5039">
        <v>1.24</v>
      </c>
      <c r="C5039">
        <v>600</v>
      </c>
      <c r="D5039" s="9">
        <v>42325</v>
      </c>
      <c r="E5039" t="s">
        <v>296</v>
      </c>
      <c r="I5039" s="9"/>
    </row>
    <row r="5040" spans="1:9" x14ac:dyDescent="0.25">
      <c r="A5040">
        <v>627052</v>
      </c>
      <c r="B5040">
        <v>2.0499999999999998</v>
      </c>
      <c r="C5040">
        <v>500</v>
      </c>
      <c r="D5040" s="9">
        <v>44102</v>
      </c>
      <c r="E5040" t="s">
        <v>296</v>
      </c>
      <c r="I5040" s="9"/>
    </row>
    <row r="5041" spans="1:9" x14ac:dyDescent="0.25">
      <c r="A5041">
        <v>627053</v>
      </c>
      <c r="B5041">
        <v>2.54</v>
      </c>
      <c r="C5041">
        <v>300</v>
      </c>
      <c r="D5041" s="9">
        <v>44102</v>
      </c>
      <c r="E5041" t="s">
        <v>296</v>
      </c>
      <c r="I5041" s="9"/>
    </row>
    <row r="5042" spans="1:9" x14ac:dyDescent="0.25">
      <c r="A5042">
        <v>627060</v>
      </c>
      <c r="B5042">
        <v>0.33600000000000002</v>
      </c>
      <c r="C5042">
        <v>5000</v>
      </c>
      <c r="D5042" s="9">
        <v>43969</v>
      </c>
      <c r="E5042" t="s">
        <v>296</v>
      </c>
      <c r="I5042" s="9"/>
    </row>
    <row r="5043" spans="1:9" x14ac:dyDescent="0.25">
      <c r="A5043">
        <v>627060</v>
      </c>
      <c r="B5043">
        <v>0.24</v>
      </c>
      <c r="C5043">
        <v>2500</v>
      </c>
      <c r="D5043" s="9">
        <v>43063</v>
      </c>
      <c r="E5043" t="s">
        <v>296</v>
      </c>
      <c r="I5043" s="9"/>
    </row>
    <row r="5044" spans="1:9" x14ac:dyDescent="0.25">
      <c r="A5044">
        <v>627060</v>
      </c>
      <c r="B5044">
        <v>0.27300000000000002</v>
      </c>
      <c r="C5044">
        <v>4000</v>
      </c>
      <c r="D5044" s="9">
        <v>42139</v>
      </c>
      <c r="E5044" t="s">
        <v>296</v>
      </c>
      <c r="I5044" s="9"/>
    </row>
    <row r="5045" spans="1:9" x14ac:dyDescent="0.25">
      <c r="A5045">
        <v>627060</v>
      </c>
      <c r="B5045">
        <v>0.26500000000000001</v>
      </c>
      <c r="C5045">
        <v>4000</v>
      </c>
      <c r="D5045" s="9">
        <v>41837</v>
      </c>
      <c r="E5045" t="s">
        <v>296</v>
      </c>
      <c r="I5045" s="9"/>
    </row>
    <row r="5046" spans="1:9" x14ac:dyDescent="0.25">
      <c r="A5046">
        <v>627060</v>
      </c>
      <c r="B5046">
        <v>0.26500000000000001</v>
      </c>
      <c r="C5046">
        <v>3000</v>
      </c>
      <c r="D5046" s="9">
        <v>41718</v>
      </c>
      <c r="E5046" t="s">
        <v>296</v>
      </c>
      <c r="I5046" s="9"/>
    </row>
    <row r="5047" spans="1:9" x14ac:dyDescent="0.25">
      <c r="A5047">
        <v>627060</v>
      </c>
      <c r="B5047">
        <v>0.28000000000000003</v>
      </c>
      <c r="C5047">
        <v>3600</v>
      </c>
      <c r="D5047" s="9">
        <v>41647</v>
      </c>
      <c r="E5047" t="s">
        <v>296</v>
      </c>
      <c r="I5047" s="9"/>
    </row>
    <row r="5048" spans="1:9" x14ac:dyDescent="0.25">
      <c r="A5048">
        <v>627060</v>
      </c>
      <c r="B5048">
        <v>0.26500000000000001</v>
      </c>
      <c r="C5048">
        <v>3600</v>
      </c>
      <c r="D5048" s="9">
        <v>41375</v>
      </c>
      <c r="E5048" t="s">
        <v>296</v>
      </c>
      <c r="I5048" s="9"/>
    </row>
    <row r="5049" spans="1:9" x14ac:dyDescent="0.25">
      <c r="A5049">
        <v>627100</v>
      </c>
      <c r="B5049">
        <v>0.95</v>
      </c>
      <c r="C5049">
        <v>4800</v>
      </c>
      <c r="D5049" s="9">
        <v>43969</v>
      </c>
      <c r="E5049" t="s">
        <v>296</v>
      </c>
      <c r="I5049" s="9"/>
    </row>
    <row r="5050" spans="1:9" x14ac:dyDescent="0.25">
      <c r="A5050">
        <v>627100</v>
      </c>
      <c r="B5050">
        <v>0.95</v>
      </c>
      <c r="C5050">
        <v>972</v>
      </c>
      <c r="D5050" s="9">
        <v>43427</v>
      </c>
      <c r="E5050" t="s">
        <v>296</v>
      </c>
      <c r="I5050" s="9"/>
    </row>
    <row r="5051" spans="1:9" x14ac:dyDescent="0.25">
      <c r="A5051">
        <v>627100</v>
      </c>
      <c r="B5051">
        <v>0.95</v>
      </c>
      <c r="C5051">
        <v>576</v>
      </c>
      <c r="D5051" s="9">
        <v>43427</v>
      </c>
      <c r="E5051" t="s">
        <v>296</v>
      </c>
      <c r="I5051" s="9"/>
    </row>
    <row r="5052" spans="1:9" x14ac:dyDescent="0.25">
      <c r="A5052">
        <v>627100</v>
      </c>
      <c r="B5052">
        <v>0.95</v>
      </c>
      <c r="C5052">
        <v>1152</v>
      </c>
      <c r="D5052" s="9">
        <v>42753</v>
      </c>
      <c r="E5052" t="s">
        <v>296</v>
      </c>
      <c r="I5052" s="9"/>
    </row>
    <row r="5053" spans="1:9" x14ac:dyDescent="0.25">
      <c r="A5053">
        <v>627100</v>
      </c>
      <c r="B5053">
        <v>1.0029999999999999</v>
      </c>
      <c r="C5053">
        <v>1200</v>
      </c>
      <c r="D5053" s="9">
        <v>42607</v>
      </c>
      <c r="E5053" t="s">
        <v>297</v>
      </c>
      <c r="I5053" s="9"/>
    </row>
    <row r="5054" spans="1:9" x14ac:dyDescent="0.25">
      <c r="A5054">
        <v>627100</v>
      </c>
      <c r="B5054">
        <v>1.0029999999999999</v>
      </c>
      <c r="C5054">
        <v>1152</v>
      </c>
      <c r="D5054" s="9">
        <v>42401</v>
      </c>
      <c r="E5054" t="s">
        <v>297</v>
      </c>
      <c r="I5054" s="9"/>
    </row>
    <row r="5055" spans="1:9" x14ac:dyDescent="0.25">
      <c r="A5055">
        <v>627100</v>
      </c>
      <c r="B5055">
        <v>1.0029999999999999</v>
      </c>
      <c r="C5055">
        <v>1152</v>
      </c>
      <c r="D5055" s="9">
        <v>42186</v>
      </c>
      <c r="E5055" t="s">
        <v>297</v>
      </c>
      <c r="I5055" s="9"/>
    </row>
    <row r="5056" spans="1:9" x14ac:dyDescent="0.25">
      <c r="A5056">
        <v>627100</v>
      </c>
      <c r="B5056">
        <v>1.0669999999999999</v>
      </c>
      <c r="C5056">
        <v>1152</v>
      </c>
      <c r="D5056" s="9">
        <v>42012</v>
      </c>
      <c r="E5056" t="s">
        <v>296</v>
      </c>
      <c r="I5056" s="9"/>
    </row>
    <row r="5057" spans="1:9" x14ac:dyDescent="0.25">
      <c r="A5057">
        <v>627100</v>
      </c>
      <c r="B5057">
        <v>1.036</v>
      </c>
      <c r="C5057">
        <v>1152</v>
      </c>
      <c r="D5057" s="9">
        <v>41682</v>
      </c>
      <c r="E5057" t="s">
        <v>296</v>
      </c>
      <c r="I5057" s="9"/>
    </row>
    <row r="5058" spans="1:9" x14ac:dyDescent="0.25">
      <c r="A5058">
        <v>627100</v>
      </c>
      <c r="B5058">
        <v>1.016</v>
      </c>
      <c r="C5058">
        <v>1152</v>
      </c>
      <c r="D5058" s="9">
        <v>41295</v>
      </c>
      <c r="E5058" t="s">
        <v>296</v>
      </c>
      <c r="I5058" s="9"/>
    </row>
    <row r="5059" spans="1:9" x14ac:dyDescent="0.25">
      <c r="A5059">
        <v>627150</v>
      </c>
      <c r="B5059">
        <v>0.48499999999999999</v>
      </c>
      <c r="C5059">
        <v>5400</v>
      </c>
      <c r="D5059" s="9">
        <v>43969</v>
      </c>
      <c r="E5059" t="s">
        <v>296</v>
      </c>
      <c r="I5059" s="9"/>
    </row>
    <row r="5060" spans="1:9" x14ac:dyDescent="0.25">
      <c r="A5060">
        <v>627150</v>
      </c>
      <c r="B5060">
        <v>0.47899999999999998</v>
      </c>
      <c r="C5060">
        <v>2040</v>
      </c>
      <c r="D5060" s="9">
        <v>43427</v>
      </c>
      <c r="E5060" t="s">
        <v>296</v>
      </c>
      <c r="I5060" s="9"/>
    </row>
    <row r="5061" spans="1:9" x14ac:dyDescent="0.25">
      <c r="A5061">
        <v>627150</v>
      </c>
      <c r="B5061">
        <v>0.45800000000000002</v>
      </c>
      <c r="C5061">
        <v>2000</v>
      </c>
      <c r="D5061" s="9">
        <v>43063</v>
      </c>
      <c r="E5061" t="s">
        <v>296</v>
      </c>
      <c r="I5061" s="9"/>
    </row>
    <row r="5062" spans="1:9" x14ac:dyDescent="0.25">
      <c r="A5062">
        <v>627150</v>
      </c>
      <c r="B5062">
        <v>0.46700000000000003</v>
      </c>
      <c r="C5062">
        <v>2000</v>
      </c>
      <c r="D5062" s="9">
        <v>42676</v>
      </c>
      <c r="E5062" t="s">
        <v>297</v>
      </c>
      <c r="I5062" s="9"/>
    </row>
    <row r="5063" spans="1:9" x14ac:dyDescent="0.25">
      <c r="A5063">
        <v>627150</v>
      </c>
      <c r="B5063">
        <v>0.61</v>
      </c>
      <c r="C5063">
        <v>30</v>
      </c>
      <c r="D5063" s="9">
        <v>42464</v>
      </c>
      <c r="E5063" t="s">
        <v>297</v>
      </c>
      <c r="I5063" s="9"/>
    </row>
    <row r="5064" spans="1:9" x14ac:dyDescent="0.25">
      <c r="A5064">
        <v>627150</v>
      </c>
      <c r="B5064">
        <v>0.46700000000000003</v>
      </c>
      <c r="C5064">
        <v>2400</v>
      </c>
      <c r="D5064" s="9">
        <v>42401</v>
      </c>
      <c r="E5064" t="s">
        <v>297</v>
      </c>
      <c r="I5064" s="9"/>
    </row>
    <row r="5065" spans="1:9" x14ac:dyDescent="0.25">
      <c r="A5065">
        <v>627150</v>
      </c>
      <c r="B5065">
        <v>0.51300000000000001</v>
      </c>
      <c r="C5065">
        <v>3000</v>
      </c>
      <c r="D5065" s="9">
        <v>42040</v>
      </c>
      <c r="E5065" t="s">
        <v>296</v>
      </c>
      <c r="I5065" s="9"/>
    </row>
    <row r="5066" spans="1:9" x14ac:dyDescent="0.25">
      <c r="A5066">
        <v>627150</v>
      </c>
      <c r="B5066">
        <v>0.51300000000000001</v>
      </c>
      <c r="C5066">
        <v>3000</v>
      </c>
      <c r="D5066" s="9">
        <v>41821</v>
      </c>
      <c r="E5066" t="s">
        <v>296</v>
      </c>
      <c r="I5066" s="9"/>
    </row>
    <row r="5067" spans="1:9" x14ac:dyDescent="0.25">
      <c r="A5067">
        <v>627150</v>
      </c>
      <c r="B5067">
        <v>1.58</v>
      </c>
      <c r="C5067">
        <v>3000</v>
      </c>
      <c r="D5067" s="9">
        <v>41821</v>
      </c>
      <c r="E5067" t="s">
        <v>295</v>
      </c>
      <c r="I5067" s="9"/>
    </row>
    <row r="5068" spans="1:9" x14ac:dyDescent="0.25">
      <c r="A5068">
        <v>627150</v>
      </c>
      <c r="B5068">
        <v>0.503</v>
      </c>
      <c r="C5068">
        <v>2000</v>
      </c>
      <c r="D5068" s="9">
        <v>41682</v>
      </c>
      <c r="E5068" t="s">
        <v>296</v>
      </c>
      <c r="I5068" s="9"/>
    </row>
    <row r="5069" spans="1:9" x14ac:dyDescent="0.25">
      <c r="A5069">
        <v>627150</v>
      </c>
      <c r="B5069">
        <v>0.503</v>
      </c>
      <c r="C5069">
        <v>2800</v>
      </c>
      <c r="D5069" s="9">
        <v>41535</v>
      </c>
      <c r="E5069" t="s">
        <v>296</v>
      </c>
      <c r="I5069" s="9"/>
    </row>
    <row r="5070" spans="1:9" x14ac:dyDescent="0.25">
      <c r="A5070">
        <v>627150</v>
      </c>
      <c r="B5070">
        <v>0.503</v>
      </c>
      <c r="C5070">
        <v>3200</v>
      </c>
      <c r="D5070" s="9">
        <v>41295</v>
      </c>
      <c r="E5070" t="s">
        <v>296</v>
      </c>
      <c r="I5070" s="9"/>
    </row>
    <row r="5071" spans="1:9" x14ac:dyDescent="0.25">
      <c r="A5071">
        <v>627200</v>
      </c>
      <c r="B5071">
        <v>0.28000000000000003</v>
      </c>
      <c r="C5071">
        <v>2400</v>
      </c>
      <c r="D5071" s="9">
        <v>43427</v>
      </c>
      <c r="E5071" t="s">
        <v>296</v>
      </c>
      <c r="I5071" s="9"/>
    </row>
    <row r="5072" spans="1:9" x14ac:dyDescent="0.25">
      <c r="A5072">
        <v>627200</v>
      </c>
      <c r="B5072">
        <v>0.28000000000000003</v>
      </c>
      <c r="C5072">
        <v>2400</v>
      </c>
      <c r="D5072" s="9">
        <v>43063</v>
      </c>
      <c r="E5072" t="s">
        <v>296</v>
      </c>
      <c r="I5072" s="9"/>
    </row>
    <row r="5073" spans="1:9" x14ac:dyDescent="0.25">
      <c r="A5073">
        <v>627200</v>
      </c>
      <c r="B5073">
        <v>0.29799999999999999</v>
      </c>
      <c r="C5073">
        <v>2400</v>
      </c>
      <c r="D5073" s="9">
        <v>42676</v>
      </c>
      <c r="E5073" t="s">
        <v>297</v>
      </c>
      <c r="I5073" s="9"/>
    </row>
    <row r="5074" spans="1:9" x14ac:dyDescent="0.25">
      <c r="A5074">
        <v>627200</v>
      </c>
      <c r="B5074">
        <v>0.29799999999999999</v>
      </c>
      <c r="C5074">
        <v>2400</v>
      </c>
      <c r="D5074" s="9">
        <v>42401</v>
      </c>
      <c r="E5074" t="s">
        <v>297</v>
      </c>
      <c r="I5074" s="9"/>
    </row>
    <row r="5075" spans="1:9" x14ac:dyDescent="0.25">
      <c r="A5075">
        <v>627200</v>
      </c>
      <c r="B5075">
        <v>1.01</v>
      </c>
      <c r="C5075">
        <v>2400</v>
      </c>
      <c r="D5075" s="9">
        <v>41821</v>
      </c>
      <c r="E5075" t="s">
        <v>295</v>
      </c>
      <c r="I5075" s="9"/>
    </row>
    <row r="5076" spans="1:9" x14ac:dyDescent="0.25">
      <c r="A5076">
        <v>627200</v>
      </c>
      <c r="B5076">
        <v>0.32800000000000001</v>
      </c>
      <c r="C5076">
        <v>2400</v>
      </c>
      <c r="D5076" s="9">
        <v>41821</v>
      </c>
      <c r="E5076" t="s">
        <v>296</v>
      </c>
      <c r="I5076" s="9"/>
    </row>
    <row r="5077" spans="1:9" x14ac:dyDescent="0.25">
      <c r="A5077">
        <v>627200</v>
      </c>
      <c r="B5077">
        <v>0.318</v>
      </c>
      <c r="C5077">
        <v>2000</v>
      </c>
      <c r="D5077" s="9">
        <v>41682</v>
      </c>
      <c r="E5077" t="s">
        <v>296</v>
      </c>
      <c r="I5077" s="9"/>
    </row>
    <row r="5078" spans="1:9" x14ac:dyDescent="0.25">
      <c r="A5078">
        <v>627200</v>
      </c>
      <c r="B5078">
        <v>0.318</v>
      </c>
      <c r="C5078">
        <v>2000</v>
      </c>
      <c r="D5078" s="9">
        <v>41535</v>
      </c>
      <c r="E5078" t="s">
        <v>296</v>
      </c>
      <c r="I5078" s="9"/>
    </row>
    <row r="5079" spans="1:9" x14ac:dyDescent="0.25">
      <c r="A5079">
        <v>627312</v>
      </c>
      <c r="B5079">
        <v>1.71</v>
      </c>
      <c r="C5079">
        <v>240</v>
      </c>
      <c r="D5079" s="9">
        <v>44102</v>
      </c>
      <c r="E5079" t="s">
        <v>295</v>
      </c>
      <c r="I5079" s="9"/>
    </row>
    <row r="5080" spans="1:9" x14ac:dyDescent="0.25">
      <c r="A5080">
        <v>627312</v>
      </c>
      <c r="B5080">
        <v>1.22</v>
      </c>
      <c r="C5080">
        <v>1104</v>
      </c>
      <c r="D5080" s="9">
        <v>44095</v>
      </c>
      <c r="E5080" t="s">
        <v>295</v>
      </c>
      <c r="I5080" s="9"/>
    </row>
    <row r="5081" spans="1:9" x14ac:dyDescent="0.25">
      <c r="A5081">
        <v>627312</v>
      </c>
      <c r="B5081">
        <v>1.22</v>
      </c>
      <c r="C5081">
        <v>1115</v>
      </c>
      <c r="D5081" s="9">
        <v>44019</v>
      </c>
      <c r="E5081" t="s">
        <v>295</v>
      </c>
      <c r="I5081" s="9"/>
    </row>
    <row r="5082" spans="1:9" x14ac:dyDescent="0.25">
      <c r="A5082">
        <v>627312</v>
      </c>
      <c r="B5082">
        <v>1.21</v>
      </c>
      <c r="C5082">
        <v>565</v>
      </c>
      <c r="D5082" s="9">
        <v>43887</v>
      </c>
      <c r="E5082" t="s">
        <v>295</v>
      </c>
      <c r="I5082" s="9"/>
    </row>
    <row r="5083" spans="1:9" x14ac:dyDescent="0.25">
      <c r="A5083">
        <v>627312</v>
      </c>
      <c r="B5083">
        <v>1.21</v>
      </c>
      <c r="C5083">
        <v>490</v>
      </c>
      <c r="D5083" s="9">
        <v>43837</v>
      </c>
      <c r="E5083" t="s">
        <v>295</v>
      </c>
      <c r="I5083" s="9"/>
    </row>
    <row r="5084" spans="1:9" x14ac:dyDescent="0.25">
      <c r="A5084">
        <v>627312</v>
      </c>
      <c r="B5084">
        <v>1.21</v>
      </c>
      <c r="C5084">
        <v>494</v>
      </c>
      <c r="D5084" s="9">
        <v>43727</v>
      </c>
      <c r="E5084" t="s">
        <v>295</v>
      </c>
      <c r="I5084" s="9"/>
    </row>
    <row r="5085" spans="1:9" x14ac:dyDescent="0.25">
      <c r="A5085">
        <v>627312</v>
      </c>
      <c r="B5085">
        <v>1.21</v>
      </c>
      <c r="C5085">
        <v>4361</v>
      </c>
      <c r="D5085" s="9">
        <v>43544</v>
      </c>
      <c r="E5085" t="s">
        <v>295</v>
      </c>
      <c r="I5085" s="9"/>
    </row>
    <row r="5086" spans="1:9" x14ac:dyDescent="0.25">
      <c r="A5086">
        <v>627312</v>
      </c>
      <c r="B5086">
        <v>1.21</v>
      </c>
      <c r="C5086">
        <v>2200</v>
      </c>
      <c r="D5086" s="9">
        <v>43530</v>
      </c>
      <c r="E5086" t="s">
        <v>295</v>
      </c>
      <c r="I5086" s="9"/>
    </row>
    <row r="5087" spans="1:9" x14ac:dyDescent="0.25">
      <c r="A5087">
        <v>627312</v>
      </c>
      <c r="B5087">
        <v>1.21</v>
      </c>
      <c r="C5087">
        <v>2160</v>
      </c>
      <c r="D5087" s="9">
        <v>43494</v>
      </c>
      <c r="E5087" t="s">
        <v>295</v>
      </c>
      <c r="I5087" s="9"/>
    </row>
    <row r="5088" spans="1:9" x14ac:dyDescent="0.25">
      <c r="A5088">
        <v>627312</v>
      </c>
      <c r="B5088">
        <v>1.21</v>
      </c>
      <c r="C5088">
        <v>2163</v>
      </c>
      <c r="D5088" s="9">
        <v>43475</v>
      </c>
      <c r="E5088" t="s">
        <v>295</v>
      </c>
      <c r="I5088" s="9"/>
    </row>
    <row r="5089" spans="1:9" x14ac:dyDescent="0.25">
      <c r="A5089">
        <v>627312</v>
      </c>
      <c r="B5089">
        <v>1.21</v>
      </c>
      <c r="C5089">
        <v>2996</v>
      </c>
      <c r="D5089" s="9">
        <v>43431</v>
      </c>
      <c r="E5089" t="s">
        <v>295</v>
      </c>
      <c r="I5089" s="9"/>
    </row>
    <row r="5090" spans="1:9" x14ac:dyDescent="0.25">
      <c r="A5090">
        <v>627312</v>
      </c>
      <c r="B5090">
        <v>1.21</v>
      </c>
      <c r="C5090">
        <v>2175</v>
      </c>
      <c r="D5090" s="9">
        <v>43398</v>
      </c>
      <c r="E5090" t="s">
        <v>295</v>
      </c>
      <c r="I5090" s="9"/>
    </row>
    <row r="5091" spans="1:9" x14ac:dyDescent="0.25">
      <c r="A5091">
        <v>627312</v>
      </c>
      <c r="B5091">
        <v>1.21</v>
      </c>
      <c r="C5091">
        <v>2171</v>
      </c>
      <c r="D5091" s="9">
        <v>43314</v>
      </c>
      <c r="E5091" t="s">
        <v>295</v>
      </c>
      <c r="I5091" s="9"/>
    </row>
    <row r="5092" spans="1:9" x14ac:dyDescent="0.25">
      <c r="A5092">
        <v>627312</v>
      </c>
      <c r="B5092">
        <v>1.21</v>
      </c>
      <c r="C5092">
        <v>2182</v>
      </c>
      <c r="D5092" s="9">
        <v>43265</v>
      </c>
      <c r="E5092" t="s">
        <v>295</v>
      </c>
      <c r="I5092" s="9"/>
    </row>
    <row r="5093" spans="1:9" x14ac:dyDescent="0.25">
      <c r="A5093">
        <v>627312</v>
      </c>
      <c r="B5093">
        <v>1.1599999999999999</v>
      </c>
      <c r="C5093">
        <v>2198</v>
      </c>
      <c r="D5093" s="9">
        <v>43236</v>
      </c>
      <c r="E5093" t="s">
        <v>295</v>
      </c>
      <c r="I5093" s="9"/>
    </row>
    <row r="5094" spans="1:9" x14ac:dyDescent="0.25">
      <c r="A5094">
        <v>627312</v>
      </c>
      <c r="B5094">
        <v>1.1599999999999999</v>
      </c>
      <c r="C5094">
        <v>2160</v>
      </c>
      <c r="D5094" s="9">
        <v>43230</v>
      </c>
      <c r="E5094" t="s">
        <v>295</v>
      </c>
      <c r="I5094" s="9"/>
    </row>
    <row r="5095" spans="1:9" x14ac:dyDescent="0.25">
      <c r="A5095">
        <v>627312</v>
      </c>
      <c r="B5095">
        <v>1.1599999999999999</v>
      </c>
      <c r="C5095">
        <v>943</v>
      </c>
      <c r="D5095" s="9">
        <v>43209</v>
      </c>
      <c r="E5095" t="s">
        <v>295</v>
      </c>
      <c r="I5095" s="9"/>
    </row>
    <row r="5096" spans="1:9" x14ac:dyDescent="0.25">
      <c r="A5096">
        <v>627312</v>
      </c>
      <c r="B5096">
        <v>1.1599999999999999</v>
      </c>
      <c r="C5096">
        <v>2208</v>
      </c>
      <c r="D5096" s="9">
        <v>43200</v>
      </c>
      <c r="E5096" t="s">
        <v>295</v>
      </c>
      <c r="I5096" s="9"/>
    </row>
    <row r="5097" spans="1:9" x14ac:dyDescent="0.25">
      <c r="A5097">
        <v>627312</v>
      </c>
      <c r="B5097">
        <v>1.1599999999999999</v>
      </c>
      <c r="C5097">
        <v>476</v>
      </c>
      <c r="D5097" s="9">
        <v>43161</v>
      </c>
      <c r="E5097" t="s">
        <v>295</v>
      </c>
      <c r="I5097" s="9"/>
    </row>
    <row r="5098" spans="1:9" x14ac:dyDescent="0.25">
      <c r="A5098">
        <v>627312</v>
      </c>
      <c r="B5098">
        <v>1.1599999999999999</v>
      </c>
      <c r="C5098">
        <v>1099</v>
      </c>
      <c r="D5098" s="9">
        <v>43104</v>
      </c>
      <c r="E5098" t="s">
        <v>295</v>
      </c>
      <c r="I5098" s="9"/>
    </row>
    <row r="5099" spans="1:9" x14ac:dyDescent="0.25">
      <c r="A5099">
        <v>627312</v>
      </c>
      <c r="B5099">
        <v>1.1599999999999999</v>
      </c>
      <c r="C5099">
        <v>441</v>
      </c>
      <c r="D5099" s="9">
        <v>43045</v>
      </c>
      <c r="E5099" t="s">
        <v>295</v>
      </c>
      <c r="I5099" s="9"/>
    </row>
    <row r="5100" spans="1:9" x14ac:dyDescent="0.25">
      <c r="A5100">
        <v>627312</v>
      </c>
      <c r="B5100">
        <v>1.1599999999999999</v>
      </c>
      <c r="C5100">
        <v>724</v>
      </c>
      <c r="D5100" s="9">
        <v>42996</v>
      </c>
      <c r="E5100" t="s">
        <v>295</v>
      </c>
      <c r="I5100" s="9"/>
    </row>
    <row r="5101" spans="1:9" x14ac:dyDescent="0.25">
      <c r="A5101">
        <v>627312</v>
      </c>
      <c r="B5101">
        <v>1.1599999999999999</v>
      </c>
      <c r="C5101">
        <v>22</v>
      </c>
      <c r="D5101" s="9">
        <v>42968</v>
      </c>
      <c r="E5101" t="s">
        <v>295</v>
      </c>
      <c r="I5101" s="9"/>
    </row>
    <row r="5102" spans="1:9" x14ac:dyDescent="0.25">
      <c r="A5102">
        <v>627312</v>
      </c>
      <c r="B5102">
        <v>1.1599999999999999</v>
      </c>
      <c r="C5102">
        <v>1200</v>
      </c>
      <c r="D5102" s="9">
        <v>42943</v>
      </c>
      <c r="E5102" t="s">
        <v>295</v>
      </c>
      <c r="I5102" s="9"/>
    </row>
    <row r="5103" spans="1:9" x14ac:dyDescent="0.25">
      <c r="A5103">
        <v>627312</v>
      </c>
      <c r="B5103">
        <v>1.1599999999999999</v>
      </c>
      <c r="C5103">
        <v>619</v>
      </c>
      <c r="D5103" s="9">
        <v>42891</v>
      </c>
      <c r="E5103" t="s">
        <v>295</v>
      </c>
      <c r="I5103" s="9"/>
    </row>
    <row r="5104" spans="1:9" x14ac:dyDescent="0.25">
      <c r="A5104">
        <v>627312</v>
      </c>
      <c r="B5104">
        <v>1.1599999999999999</v>
      </c>
      <c r="C5104">
        <v>2227</v>
      </c>
      <c r="D5104" s="9">
        <v>42872</v>
      </c>
      <c r="E5104" t="s">
        <v>295</v>
      </c>
      <c r="I5104" s="9"/>
    </row>
    <row r="5105" spans="1:9" x14ac:dyDescent="0.25">
      <c r="A5105">
        <v>627312</v>
      </c>
      <c r="B5105">
        <v>1.1599999999999999</v>
      </c>
      <c r="C5105">
        <v>542</v>
      </c>
      <c r="D5105" s="9">
        <v>42818</v>
      </c>
      <c r="E5105" t="s">
        <v>295</v>
      </c>
      <c r="I5105" s="9"/>
    </row>
    <row r="5106" spans="1:9" x14ac:dyDescent="0.25">
      <c r="A5106">
        <v>627312</v>
      </c>
      <c r="B5106">
        <v>1.1599999999999999</v>
      </c>
      <c r="C5106">
        <v>928</v>
      </c>
      <c r="D5106" s="9">
        <v>42780</v>
      </c>
      <c r="E5106" t="s">
        <v>295</v>
      </c>
      <c r="I5106" s="9"/>
    </row>
    <row r="5107" spans="1:9" x14ac:dyDescent="0.25">
      <c r="A5107">
        <v>627312</v>
      </c>
      <c r="B5107">
        <v>1.1599999999999999</v>
      </c>
      <c r="C5107">
        <v>1021</v>
      </c>
      <c r="D5107" s="9">
        <v>42766</v>
      </c>
      <c r="E5107" t="s">
        <v>295</v>
      </c>
      <c r="I5107" s="9"/>
    </row>
    <row r="5108" spans="1:9" x14ac:dyDescent="0.25">
      <c r="A5108">
        <v>627312</v>
      </c>
      <c r="B5108">
        <v>1.1599999999999999</v>
      </c>
      <c r="C5108">
        <v>480</v>
      </c>
      <c r="D5108" s="9">
        <v>42745</v>
      </c>
      <c r="E5108" t="s">
        <v>295</v>
      </c>
      <c r="I5108" s="9"/>
    </row>
    <row r="5109" spans="1:9" x14ac:dyDescent="0.25">
      <c r="A5109">
        <v>627312</v>
      </c>
      <c r="B5109">
        <v>1.1599999999999999</v>
      </c>
      <c r="C5109">
        <v>460</v>
      </c>
      <c r="D5109" s="9">
        <v>42662</v>
      </c>
      <c r="E5109" t="s">
        <v>295</v>
      </c>
      <c r="I5109" s="9"/>
    </row>
    <row r="5110" spans="1:9" x14ac:dyDescent="0.25">
      <c r="A5110">
        <v>627312</v>
      </c>
      <c r="B5110">
        <v>1.21</v>
      </c>
      <c r="C5110">
        <v>20</v>
      </c>
      <c r="D5110" s="9">
        <v>42593</v>
      </c>
      <c r="E5110" t="s">
        <v>295</v>
      </c>
      <c r="I5110" s="9"/>
    </row>
    <row r="5111" spans="1:9" x14ac:dyDescent="0.25">
      <c r="A5111">
        <v>627312</v>
      </c>
      <c r="B5111">
        <v>1.21</v>
      </c>
      <c r="C5111">
        <v>480</v>
      </c>
      <c r="D5111" s="9">
        <v>42583</v>
      </c>
      <c r="E5111" t="s">
        <v>295</v>
      </c>
      <c r="I5111" s="9"/>
    </row>
    <row r="5112" spans="1:9" x14ac:dyDescent="0.25">
      <c r="A5112">
        <v>627312</v>
      </c>
      <c r="B5112">
        <v>1.21</v>
      </c>
      <c r="C5112">
        <v>480</v>
      </c>
      <c r="D5112" s="9">
        <v>42558</v>
      </c>
      <c r="E5112" t="s">
        <v>295</v>
      </c>
      <c r="I5112" s="9"/>
    </row>
    <row r="5113" spans="1:9" x14ac:dyDescent="0.25">
      <c r="A5113">
        <v>627312</v>
      </c>
      <c r="B5113">
        <v>1.21</v>
      </c>
      <c r="C5113">
        <v>480</v>
      </c>
      <c r="D5113" s="9">
        <v>42513</v>
      </c>
      <c r="E5113" t="s">
        <v>295</v>
      </c>
      <c r="I5113" s="9"/>
    </row>
    <row r="5114" spans="1:9" x14ac:dyDescent="0.25">
      <c r="A5114">
        <v>627312</v>
      </c>
      <c r="B5114">
        <v>1.21</v>
      </c>
      <c r="C5114">
        <v>960</v>
      </c>
      <c r="D5114" s="9">
        <v>42451</v>
      </c>
      <c r="E5114" t="s">
        <v>295</v>
      </c>
      <c r="I5114" s="9"/>
    </row>
    <row r="5115" spans="1:9" x14ac:dyDescent="0.25">
      <c r="A5115">
        <v>627312</v>
      </c>
      <c r="B5115">
        <v>1.21</v>
      </c>
      <c r="C5115">
        <v>720</v>
      </c>
      <c r="D5115" s="9">
        <v>42411</v>
      </c>
      <c r="E5115" t="s">
        <v>295</v>
      </c>
      <c r="I5115" s="9"/>
    </row>
    <row r="5116" spans="1:9" x14ac:dyDescent="0.25">
      <c r="A5116">
        <v>627312</v>
      </c>
      <c r="B5116">
        <v>1.21</v>
      </c>
      <c r="C5116">
        <v>936</v>
      </c>
      <c r="D5116" s="9">
        <v>42254</v>
      </c>
      <c r="E5116" t="s">
        <v>295</v>
      </c>
      <c r="I5116" s="9"/>
    </row>
    <row r="5117" spans="1:9" x14ac:dyDescent="0.25">
      <c r="A5117">
        <v>627312</v>
      </c>
      <c r="B5117">
        <v>1.21</v>
      </c>
      <c r="C5117">
        <v>912</v>
      </c>
      <c r="D5117" s="9">
        <v>42200</v>
      </c>
      <c r="E5117" t="s">
        <v>295</v>
      </c>
      <c r="I5117" s="9"/>
    </row>
    <row r="5118" spans="1:9" x14ac:dyDescent="0.25">
      <c r="A5118">
        <v>627312</v>
      </c>
      <c r="B5118">
        <v>1.21</v>
      </c>
      <c r="C5118">
        <v>816</v>
      </c>
      <c r="D5118" s="9">
        <v>42138</v>
      </c>
      <c r="E5118" t="s">
        <v>295</v>
      </c>
      <c r="I5118" s="9"/>
    </row>
    <row r="5119" spans="1:9" x14ac:dyDescent="0.25">
      <c r="A5119">
        <v>627312</v>
      </c>
      <c r="B5119">
        <v>1.21</v>
      </c>
      <c r="C5119">
        <v>1200</v>
      </c>
      <c r="D5119" s="9">
        <v>42034</v>
      </c>
      <c r="E5119" t="s">
        <v>295</v>
      </c>
      <c r="I5119" s="9"/>
    </row>
    <row r="5120" spans="1:9" x14ac:dyDescent="0.25">
      <c r="A5120">
        <v>627312</v>
      </c>
      <c r="B5120">
        <v>1.21</v>
      </c>
      <c r="C5120">
        <v>1200</v>
      </c>
      <c r="D5120" s="9">
        <v>41925</v>
      </c>
      <c r="E5120" t="s">
        <v>295</v>
      </c>
      <c r="I5120" s="9"/>
    </row>
    <row r="5121" spans="1:9" x14ac:dyDescent="0.25">
      <c r="A5121">
        <v>627312</v>
      </c>
      <c r="B5121">
        <v>1.21</v>
      </c>
      <c r="C5121">
        <v>1248</v>
      </c>
      <c r="D5121" s="9">
        <v>41911</v>
      </c>
      <c r="E5121" t="s">
        <v>295</v>
      </c>
      <c r="I5121" s="9"/>
    </row>
    <row r="5122" spans="1:9" x14ac:dyDescent="0.25">
      <c r="A5122">
        <v>627312</v>
      </c>
      <c r="B5122">
        <v>1.0900000000000001</v>
      </c>
      <c r="C5122">
        <v>648</v>
      </c>
      <c r="D5122" s="9">
        <v>41731</v>
      </c>
      <c r="E5122" t="s">
        <v>295</v>
      </c>
      <c r="I5122" s="9"/>
    </row>
    <row r="5123" spans="1:9" x14ac:dyDescent="0.25">
      <c r="A5123">
        <v>627312</v>
      </c>
      <c r="B5123">
        <v>1.0900000000000001</v>
      </c>
      <c r="C5123">
        <v>1296</v>
      </c>
      <c r="D5123" s="9">
        <v>41717</v>
      </c>
      <c r="E5123" t="s">
        <v>295</v>
      </c>
      <c r="I5123" s="9"/>
    </row>
    <row r="5124" spans="1:9" x14ac:dyDescent="0.25">
      <c r="A5124">
        <v>627312</v>
      </c>
      <c r="B5124">
        <v>1.21</v>
      </c>
      <c r="C5124">
        <v>1248</v>
      </c>
      <c r="D5124" s="9">
        <v>41687</v>
      </c>
      <c r="E5124" t="s">
        <v>295</v>
      </c>
      <c r="I5124" s="9"/>
    </row>
    <row r="5125" spans="1:9" x14ac:dyDescent="0.25">
      <c r="A5125">
        <v>627312</v>
      </c>
      <c r="B5125">
        <v>1.21</v>
      </c>
      <c r="C5125">
        <v>1224</v>
      </c>
      <c r="D5125" s="9">
        <v>41586</v>
      </c>
      <c r="E5125" t="s">
        <v>295</v>
      </c>
      <c r="I5125" s="9"/>
    </row>
    <row r="5126" spans="1:9" x14ac:dyDescent="0.25">
      <c r="A5126">
        <v>627312</v>
      </c>
      <c r="B5126">
        <v>1.59</v>
      </c>
      <c r="C5126">
        <v>2010</v>
      </c>
      <c r="D5126" s="9">
        <v>41554</v>
      </c>
      <c r="E5126" t="s">
        <v>295</v>
      </c>
      <c r="I5126" s="9"/>
    </row>
    <row r="5127" spans="1:9" x14ac:dyDescent="0.25">
      <c r="A5127">
        <v>627313</v>
      </c>
      <c r="B5127">
        <v>3.95</v>
      </c>
      <c r="C5127">
        <v>120</v>
      </c>
      <c r="D5127" s="9">
        <v>44102</v>
      </c>
      <c r="E5127" t="s">
        <v>295</v>
      </c>
      <c r="I5127" s="9"/>
    </row>
    <row r="5128" spans="1:9" x14ac:dyDescent="0.25">
      <c r="A5128">
        <v>627313</v>
      </c>
      <c r="B5128">
        <v>2.82</v>
      </c>
      <c r="C5128">
        <v>1637</v>
      </c>
      <c r="D5128" s="9">
        <v>44019</v>
      </c>
      <c r="E5128" t="s">
        <v>295</v>
      </c>
      <c r="I5128" s="9"/>
    </row>
    <row r="5129" spans="1:9" x14ac:dyDescent="0.25">
      <c r="A5129">
        <v>627313</v>
      </c>
      <c r="B5129">
        <v>2.75</v>
      </c>
      <c r="C5129">
        <v>726</v>
      </c>
      <c r="D5129" s="9">
        <v>43837</v>
      </c>
      <c r="E5129" t="s">
        <v>295</v>
      </c>
      <c r="I5129" s="9"/>
    </row>
    <row r="5130" spans="1:9" x14ac:dyDescent="0.25">
      <c r="A5130">
        <v>627313</v>
      </c>
      <c r="B5130">
        <v>2.75</v>
      </c>
      <c r="C5130">
        <v>1456</v>
      </c>
      <c r="D5130" s="9">
        <v>43648</v>
      </c>
      <c r="E5130" t="s">
        <v>295</v>
      </c>
      <c r="I5130" s="9"/>
    </row>
    <row r="5131" spans="1:9" x14ac:dyDescent="0.25">
      <c r="A5131">
        <v>627313</v>
      </c>
      <c r="B5131">
        <v>2.75</v>
      </c>
      <c r="C5131">
        <v>722</v>
      </c>
      <c r="D5131" s="9">
        <v>43542</v>
      </c>
      <c r="E5131" t="s">
        <v>295</v>
      </c>
      <c r="I5131" s="9"/>
    </row>
    <row r="5132" spans="1:9" x14ac:dyDescent="0.25">
      <c r="A5132">
        <v>627313</v>
      </c>
      <c r="B5132">
        <v>2.75</v>
      </c>
      <c r="C5132">
        <v>546</v>
      </c>
      <c r="D5132" s="9">
        <v>43454</v>
      </c>
      <c r="E5132" t="s">
        <v>295</v>
      </c>
      <c r="I5132" s="9"/>
    </row>
    <row r="5133" spans="1:9" x14ac:dyDescent="0.25">
      <c r="A5133">
        <v>627313</v>
      </c>
      <c r="B5133">
        <v>2.75</v>
      </c>
      <c r="C5133">
        <v>743</v>
      </c>
      <c r="D5133" s="9">
        <v>43340</v>
      </c>
      <c r="E5133" t="s">
        <v>295</v>
      </c>
      <c r="I5133" s="9"/>
    </row>
    <row r="5134" spans="1:9" x14ac:dyDescent="0.25">
      <c r="A5134">
        <v>627313</v>
      </c>
      <c r="B5134">
        <v>2.75</v>
      </c>
      <c r="C5134">
        <v>520</v>
      </c>
      <c r="D5134" s="9">
        <v>43265</v>
      </c>
      <c r="E5134" t="s">
        <v>295</v>
      </c>
      <c r="I5134" s="9"/>
    </row>
    <row r="5135" spans="1:9" x14ac:dyDescent="0.25">
      <c r="A5135">
        <v>627313</v>
      </c>
      <c r="B5135">
        <v>2.64</v>
      </c>
      <c r="C5135">
        <v>436</v>
      </c>
      <c r="D5135" s="9">
        <v>43187</v>
      </c>
      <c r="E5135" t="s">
        <v>295</v>
      </c>
      <c r="I5135" s="9"/>
    </row>
    <row r="5136" spans="1:9" x14ac:dyDescent="0.25">
      <c r="A5136">
        <v>627313</v>
      </c>
      <c r="B5136">
        <v>2.64</v>
      </c>
      <c r="C5136">
        <v>436</v>
      </c>
      <c r="D5136" s="9">
        <v>43045</v>
      </c>
      <c r="E5136" t="s">
        <v>295</v>
      </c>
      <c r="I5136" s="9"/>
    </row>
    <row r="5137" spans="1:9" x14ac:dyDescent="0.25">
      <c r="A5137">
        <v>627313</v>
      </c>
      <c r="B5137">
        <v>2.64</v>
      </c>
      <c r="C5137">
        <v>479</v>
      </c>
      <c r="D5137" s="9">
        <v>42836</v>
      </c>
      <c r="E5137" t="s">
        <v>295</v>
      </c>
      <c r="I5137" s="9"/>
    </row>
    <row r="5138" spans="1:9" x14ac:dyDescent="0.25">
      <c r="A5138">
        <v>627313</v>
      </c>
      <c r="B5138">
        <v>2.64</v>
      </c>
      <c r="C5138">
        <v>479</v>
      </c>
      <c r="D5138" s="9">
        <v>42766</v>
      </c>
      <c r="E5138" t="s">
        <v>295</v>
      </c>
      <c r="I5138" s="9"/>
    </row>
    <row r="5139" spans="1:9" x14ac:dyDescent="0.25">
      <c r="A5139">
        <v>627313</v>
      </c>
      <c r="B5139">
        <v>2.64</v>
      </c>
      <c r="C5139">
        <v>254</v>
      </c>
      <c r="D5139" s="9">
        <v>42619</v>
      </c>
      <c r="E5139" t="s">
        <v>295</v>
      </c>
      <c r="I5139" s="9"/>
    </row>
    <row r="5140" spans="1:9" x14ac:dyDescent="0.25">
      <c r="A5140">
        <v>627313</v>
      </c>
      <c r="B5140">
        <v>2.75</v>
      </c>
      <c r="C5140">
        <v>480</v>
      </c>
      <c r="D5140" s="9">
        <v>42513</v>
      </c>
      <c r="E5140" t="s">
        <v>295</v>
      </c>
      <c r="I5140" s="9"/>
    </row>
    <row r="5141" spans="1:9" x14ac:dyDescent="0.25">
      <c r="A5141">
        <v>627313</v>
      </c>
      <c r="B5141">
        <v>2.75</v>
      </c>
      <c r="C5141">
        <v>480</v>
      </c>
      <c r="D5141" s="9">
        <v>42411</v>
      </c>
      <c r="E5141" t="s">
        <v>295</v>
      </c>
      <c r="I5141" s="9"/>
    </row>
    <row r="5142" spans="1:9" x14ac:dyDescent="0.25">
      <c r="A5142">
        <v>627313</v>
      </c>
      <c r="B5142">
        <v>2.75</v>
      </c>
      <c r="C5142">
        <v>480</v>
      </c>
      <c r="D5142" s="9">
        <v>42254</v>
      </c>
      <c r="E5142" t="s">
        <v>295</v>
      </c>
      <c r="I5142" s="9"/>
    </row>
    <row r="5143" spans="1:9" x14ac:dyDescent="0.25">
      <c r="A5143">
        <v>627313</v>
      </c>
      <c r="B5143">
        <v>2.75</v>
      </c>
      <c r="C5143">
        <v>696</v>
      </c>
      <c r="D5143" s="9">
        <v>42200</v>
      </c>
      <c r="E5143" t="s">
        <v>295</v>
      </c>
      <c r="I5143" s="9"/>
    </row>
    <row r="5144" spans="1:9" x14ac:dyDescent="0.25">
      <c r="A5144">
        <v>627313</v>
      </c>
      <c r="B5144">
        <v>2.75</v>
      </c>
      <c r="C5144">
        <v>480</v>
      </c>
      <c r="D5144" s="9">
        <v>41925</v>
      </c>
      <c r="E5144" t="s">
        <v>295</v>
      </c>
      <c r="I5144" s="9"/>
    </row>
    <row r="5145" spans="1:9" x14ac:dyDescent="0.25">
      <c r="A5145">
        <v>627313</v>
      </c>
      <c r="B5145">
        <v>2.75</v>
      </c>
      <c r="C5145">
        <v>400</v>
      </c>
      <c r="D5145" s="9">
        <v>41911</v>
      </c>
      <c r="E5145" t="s">
        <v>295</v>
      </c>
      <c r="I5145" s="9"/>
    </row>
    <row r="5146" spans="1:9" x14ac:dyDescent="0.25">
      <c r="A5146">
        <v>627313</v>
      </c>
      <c r="B5146">
        <v>2.75</v>
      </c>
      <c r="C5146">
        <v>600</v>
      </c>
      <c r="D5146" s="9">
        <v>41743</v>
      </c>
      <c r="E5146" t="s">
        <v>295</v>
      </c>
      <c r="I5146" s="9"/>
    </row>
    <row r="5147" spans="1:9" x14ac:dyDescent="0.25">
      <c r="A5147">
        <v>627313</v>
      </c>
      <c r="B5147">
        <v>0</v>
      </c>
      <c r="C5147">
        <v>600</v>
      </c>
      <c r="D5147" s="9">
        <v>41731</v>
      </c>
      <c r="E5147" t="s">
        <v>295</v>
      </c>
      <c r="I5147" s="9"/>
    </row>
    <row r="5148" spans="1:9" x14ac:dyDescent="0.25">
      <c r="A5148">
        <v>627315</v>
      </c>
      <c r="B5148">
        <v>4.97</v>
      </c>
      <c r="C5148">
        <v>1450</v>
      </c>
      <c r="D5148" s="9">
        <v>44095</v>
      </c>
      <c r="E5148" t="s">
        <v>295</v>
      </c>
      <c r="I5148" s="9"/>
    </row>
    <row r="5149" spans="1:9" x14ac:dyDescent="0.25">
      <c r="A5149">
        <v>627315</v>
      </c>
      <c r="B5149">
        <v>4.9400000000000004</v>
      </c>
      <c r="C5149">
        <v>718</v>
      </c>
      <c r="D5149" s="9">
        <v>43887</v>
      </c>
      <c r="E5149" t="s">
        <v>295</v>
      </c>
      <c r="I5149" s="9"/>
    </row>
    <row r="5150" spans="1:9" x14ac:dyDescent="0.25">
      <c r="A5150">
        <v>627315</v>
      </c>
      <c r="B5150">
        <v>4.9400000000000004</v>
      </c>
      <c r="C5150">
        <v>722</v>
      </c>
      <c r="D5150" s="9">
        <v>43837</v>
      </c>
      <c r="E5150" t="s">
        <v>295</v>
      </c>
      <c r="I5150" s="9"/>
    </row>
    <row r="5151" spans="1:9" x14ac:dyDescent="0.25">
      <c r="A5151">
        <v>627315</v>
      </c>
      <c r="B5151">
        <v>4.9400000000000004</v>
      </c>
      <c r="C5151">
        <v>1455</v>
      </c>
      <c r="D5151" s="9">
        <v>43648</v>
      </c>
      <c r="E5151" t="s">
        <v>295</v>
      </c>
      <c r="I5151" s="9"/>
    </row>
    <row r="5152" spans="1:9" x14ac:dyDescent="0.25">
      <c r="A5152">
        <v>627315</v>
      </c>
      <c r="B5152">
        <v>4.9400000000000004</v>
      </c>
      <c r="C5152">
        <v>720</v>
      </c>
      <c r="D5152" s="9">
        <v>43542</v>
      </c>
      <c r="E5152" t="s">
        <v>295</v>
      </c>
      <c r="I5152" s="9"/>
    </row>
    <row r="5153" spans="1:9" x14ac:dyDescent="0.25">
      <c r="A5153">
        <v>627315</v>
      </c>
      <c r="B5153">
        <v>4.9400000000000004</v>
      </c>
      <c r="C5153">
        <v>545</v>
      </c>
      <c r="D5153" s="9">
        <v>43454</v>
      </c>
      <c r="E5153" t="s">
        <v>295</v>
      </c>
      <c r="I5153" s="9"/>
    </row>
    <row r="5154" spans="1:9" x14ac:dyDescent="0.25">
      <c r="A5154">
        <v>627315</v>
      </c>
      <c r="B5154">
        <v>4.74</v>
      </c>
      <c r="C5154">
        <v>490</v>
      </c>
      <c r="D5154" s="9">
        <v>43236</v>
      </c>
      <c r="E5154" t="s">
        <v>295</v>
      </c>
      <c r="I5154" s="9"/>
    </row>
    <row r="5155" spans="1:9" x14ac:dyDescent="0.25">
      <c r="A5155">
        <v>627315</v>
      </c>
      <c r="B5155">
        <v>4.74</v>
      </c>
      <c r="C5155">
        <v>2048</v>
      </c>
      <c r="D5155" s="9">
        <v>43200</v>
      </c>
      <c r="E5155" t="s">
        <v>295</v>
      </c>
      <c r="I5155" s="9"/>
    </row>
    <row r="5156" spans="1:9" x14ac:dyDescent="0.25">
      <c r="A5156">
        <v>627315</v>
      </c>
      <c r="B5156">
        <v>4.74</v>
      </c>
      <c r="C5156">
        <v>495</v>
      </c>
      <c r="D5156" s="9">
        <v>43187</v>
      </c>
      <c r="E5156" t="s">
        <v>295</v>
      </c>
      <c r="I5156" s="9"/>
    </row>
    <row r="5157" spans="1:9" x14ac:dyDescent="0.25">
      <c r="A5157">
        <v>627315</v>
      </c>
      <c r="B5157">
        <v>4.74</v>
      </c>
      <c r="C5157">
        <v>476</v>
      </c>
      <c r="D5157" s="9">
        <v>43161</v>
      </c>
      <c r="E5157" t="s">
        <v>295</v>
      </c>
      <c r="I5157" s="9"/>
    </row>
    <row r="5158" spans="1:9" x14ac:dyDescent="0.25">
      <c r="A5158">
        <v>627315</v>
      </c>
      <c r="B5158">
        <v>4.74</v>
      </c>
      <c r="C5158">
        <v>481</v>
      </c>
      <c r="D5158" s="9">
        <v>43104</v>
      </c>
      <c r="E5158" t="s">
        <v>295</v>
      </c>
      <c r="I5158" s="9"/>
    </row>
    <row r="5159" spans="1:9" x14ac:dyDescent="0.25">
      <c r="A5159">
        <v>627315</v>
      </c>
      <c r="B5159">
        <v>4.74</v>
      </c>
      <c r="C5159">
        <v>436</v>
      </c>
      <c r="D5159" s="9">
        <v>43045</v>
      </c>
      <c r="E5159" t="s">
        <v>295</v>
      </c>
      <c r="I5159" s="9"/>
    </row>
    <row r="5160" spans="1:9" x14ac:dyDescent="0.25">
      <c r="A5160">
        <v>627315</v>
      </c>
      <c r="B5160">
        <v>4.74</v>
      </c>
      <c r="C5160">
        <v>482</v>
      </c>
      <c r="D5160" s="9">
        <v>42996</v>
      </c>
      <c r="E5160" t="s">
        <v>295</v>
      </c>
      <c r="I5160" s="9"/>
    </row>
    <row r="5161" spans="1:9" x14ac:dyDescent="0.25">
      <c r="A5161">
        <v>627315</v>
      </c>
      <c r="B5161">
        <v>4.74</v>
      </c>
      <c r="C5161">
        <v>480</v>
      </c>
      <c r="D5161" s="9">
        <v>42836</v>
      </c>
      <c r="E5161" t="s">
        <v>295</v>
      </c>
      <c r="I5161" s="9"/>
    </row>
    <row r="5162" spans="1:9" x14ac:dyDescent="0.25">
      <c r="A5162">
        <v>627315</v>
      </c>
      <c r="B5162">
        <v>4.74</v>
      </c>
      <c r="C5162">
        <v>480</v>
      </c>
      <c r="D5162" s="9">
        <v>42818</v>
      </c>
      <c r="E5162" t="s">
        <v>295</v>
      </c>
      <c r="I5162" s="9"/>
    </row>
    <row r="5163" spans="1:9" x14ac:dyDescent="0.25">
      <c r="A5163">
        <v>627315</v>
      </c>
      <c r="B5163">
        <v>4.74</v>
      </c>
      <c r="C5163">
        <v>796</v>
      </c>
      <c r="D5163" s="9">
        <v>42766</v>
      </c>
      <c r="E5163" t="s">
        <v>295</v>
      </c>
      <c r="I5163" s="9"/>
    </row>
    <row r="5164" spans="1:9" x14ac:dyDescent="0.25">
      <c r="A5164">
        <v>627315</v>
      </c>
      <c r="B5164">
        <v>4.74</v>
      </c>
      <c r="C5164">
        <v>240</v>
      </c>
      <c r="D5164" s="9">
        <v>42745</v>
      </c>
      <c r="E5164" t="s">
        <v>295</v>
      </c>
      <c r="I5164" s="9"/>
    </row>
    <row r="5165" spans="1:9" x14ac:dyDescent="0.25">
      <c r="A5165">
        <v>627315</v>
      </c>
      <c r="B5165">
        <v>4.9400000000000004</v>
      </c>
      <c r="C5165">
        <v>1</v>
      </c>
      <c r="D5165" s="9">
        <v>42593</v>
      </c>
      <c r="E5165" t="s">
        <v>295</v>
      </c>
      <c r="I5165" s="9"/>
    </row>
    <row r="5166" spans="1:9" x14ac:dyDescent="0.25">
      <c r="A5166">
        <v>627315</v>
      </c>
      <c r="B5166">
        <v>4.9400000000000004</v>
      </c>
      <c r="C5166">
        <v>480</v>
      </c>
      <c r="D5166" s="9">
        <v>42583</v>
      </c>
      <c r="E5166" t="s">
        <v>295</v>
      </c>
      <c r="I5166" s="9"/>
    </row>
    <row r="5167" spans="1:9" x14ac:dyDescent="0.25">
      <c r="A5167">
        <v>627315</v>
      </c>
      <c r="B5167">
        <v>4.9400000000000004</v>
      </c>
      <c r="C5167">
        <v>480</v>
      </c>
      <c r="D5167" s="9">
        <v>42558</v>
      </c>
      <c r="E5167" t="s">
        <v>295</v>
      </c>
      <c r="I5167" s="9"/>
    </row>
    <row r="5168" spans="1:9" x14ac:dyDescent="0.25">
      <c r="A5168">
        <v>627315</v>
      </c>
      <c r="B5168">
        <v>4.9400000000000004</v>
      </c>
      <c r="C5168">
        <v>480</v>
      </c>
      <c r="D5168" s="9">
        <v>42513</v>
      </c>
      <c r="E5168" t="s">
        <v>295</v>
      </c>
      <c r="I5168" s="9"/>
    </row>
    <row r="5169" spans="1:9" x14ac:dyDescent="0.25">
      <c r="A5169">
        <v>627315</v>
      </c>
      <c r="B5169">
        <v>4.9400000000000004</v>
      </c>
      <c r="C5169">
        <v>480</v>
      </c>
      <c r="D5169" s="9">
        <v>42411</v>
      </c>
      <c r="E5169" t="s">
        <v>295</v>
      </c>
      <c r="I5169" s="9"/>
    </row>
    <row r="5170" spans="1:9" x14ac:dyDescent="0.25">
      <c r="A5170">
        <v>627315</v>
      </c>
      <c r="B5170">
        <v>4.9400000000000004</v>
      </c>
      <c r="C5170">
        <v>984</v>
      </c>
      <c r="D5170" s="9">
        <v>42381</v>
      </c>
      <c r="E5170" t="s">
        <v>295</v>
      </c>
      <c r="I5170" s="9"/>
    </row>
    <row r="5171" spans="1:9" x14ac:dyDescent="0.25">
      <c r="A5171">
        <v>627315</v>
      </c>
      <c r="B5171">
        <v>4.9400000000000004</v>
      </c>
      <c r="C5171">
        <v>480</v>
      </c>
      <c r="D5171" s="9">
        <v>42306</v>
      </c>
      <c r="E5171" t="s">
        <v>295</v>
      </c>
      <c r="I5171" s="9"/>
    </row>
    <row r="5172" spans="1:9" x14ac:dyDescent="0.25">
      <c r="A5172">
        <v>627315</v>
      </c>
      <c r="B5172">
        <v>4.9400000000000004</v>
      </c>
      <c r="C5172">
        <v>480</v>
      </c>
      <c r="D5172" s="9">
        <v>42200</v>
      </c>
      <c r="E5172" t="s">
        <v>295</v>
      </c>
      <c r="I5172" s="9"/>
    </row>
    <row r="5173" spans="1:9" x14ac:dyDescent="0.25">
      <c r="A5173">
        <v>627315</v>
      </c>
      <c r="B5173">
        <v>4.9400000000000004</v>
      </c>
      <c r="C5173">
        <v>480</v>
      </c>
      <c r="D5173" s="9">
        <v>42138</v>
      </c>
      <c r="E5173" t="s">
        <v>295</v>
      </c>
      <c r="I5173" s="9"/>
    </row>
    <row r="5174" spans="1:9" x14ac:dyDescent="0.25">
      <c r="A5174">
        <v>627315</v>
      </c>
      <c r="B5174">
        <v>4.9400000000000004</v>
      </c>
      <c r="C5174">
        <v>240</v>
      </c>
      <c r="D5174" s="9">
        <v>42108</v>
      </c>
      <c r="E5174" t="s">
        <v>295</v>
      </c>
      <c r="I5174" s="9"/>
    </row>
    <row r="5175" spans="1:9" x14ac:dyDescent="0.25">
      <c r="A5175">
        <v>627315</v>
      </c>
      <c r="B5175">
        <v>4.9400000000000004</v>
      </c>
      <c r="C5175">
        <v>600</v>
      </c>
      <c r="D5175" s="9">
        <v>41925</v>
      </c>
      <c r="E5175" t="s">
        <v>295</v>
      </c>
      <c r="I5175" s="9"/>
    </row>
    <row r="5176" spans="1:9" x14ac:dyDescent="0.25">
      <c r="A5176">
        <v>627315</v>
      </c>
      <c r="B5176">
        <v>4.9400000000000004</v>
      </c>
      <c r="C5176">
        <v>552</v>
      </c>
      <c r="D5176" s="9">
        <v>41911</v>
      </c>
      <c r="E5176" t="s">
        <v>295</v>
      </c>
      <c r="I5176" s="9"/>
    </row>
    <row r="5177" spans="1:9" x14ac:dyDescent="0.25">
      <c r="A5177">
        <v>627315</v>
      </c>
      <c r="B5177">
        <v>4.9400000000000004</v>
      </c>
      <c r="C5177">
        <v>552</v>
      </c>
      <c r="D5177" s="9">
        <v>41793</v>
      </c>
      <c r="E5177" t="s">
        <v>295</v>
      </c>
      <c r="I5177" s="9"/>
    </row>
    <row r="5178" spans="1:9" x14ac:dyDescent="0.25">
      <c r="A5178">
        <v>627315</v>
      </c>
      <c r="B5178">
        <v>4.9400000000000004</v>
      </c>
      <c r="C5178">
        <v>792</v>
      </c>
      <c r="D5178" s="9">
        <v>41586</v>
      </c>
      <c r="E5178" t="s">
        <v>295</v>
      </c>
      <c r="I5178" s="9"/>
    </row>
    <row r="5179" spans="1:9" x14ac:dyDescent="0.25">
      <c r="A5179">
        <v>627325</v>
      </c>
      <c r="B5179">
        <v>5.6</v>
      </c>
      <c r="C5179">
        <v>480</v>
      </c>
      <c r="D5179" s="9">
        <v>44110</v>
      </c>
      <c r="E5179" t="s">
        <v>295</v>
      </c>
      <c r="I5179" s="9"/>
    </row>
    <row r="5180" spans="1:9" x14ac:dyDescent="0.25">
      <c r="A5180">
        <v>627325</v>
      </c>
      <c r="B5180">
        <v>8.1199999999999992</v>
      </c>
      <c r="C5180">
        <v>48</v>
      </c>
      <c r="D5180" s="9">
        <v>44102</v>
      </c>
      <c r="E5180" t="s">
        <v>295</v>
      </c>
      <c r="I5180" s="9"/>
    </row>
    <row r="5181" spans="1:9" x14ac:dyDescent="0.25">
      <c r="A5181">
        <v>627325</v>
      </c>
      <c r="B5181">
        <v>5.6</v>
      </c>
      <c r="C5181">
        <v>491</v>
      </c>
      <c r="D5181" s="9">
        <v>43837</v>
      </c>
      <c r="E5181" t="s">
        <v>295</v>
      </c>
      <c r="I5181" s="9"/>
    </row>
    <row r="5182" spans="1:9" x14ac:dyDescent="0.25">
      <c r="A5182">
        <v>627325</v>
      </c>
      <c r="B5182">
        <v>5.6</v>
      </c>
      <c r="C5182">
        <v>504</v>
      </c>
      <c r="D5182" s="9">
        <v>43665</v>
      </c>
      <c r="E5182" t="s">
        <v>295</v>
      </c>
      <c r="I5182" s="9"/>
    </row>
    <row r="5183" spans="1:9" x14ac:dyDescent="0.25">
      <c r="A5183">
        <v>627325</v>
      </c>
      <c r="B5183">
        <v>4.9400000000000004</v>
      </c>
      <c r="C5183">
        <v>600</v>
      </c>
      <c r="D5183" s="9">
        <v>42306</v>
      </c>
      <c r="E5183" t="s">
        <v>295</v>
      </c>
      <c r="I5183" s="9"/>
    </row>
    <row r="5184" spans="1:9" x14ac:dyDescent="0.25">
      <c r="A5184">
        <v>627325</v>
      </c>
      <c r="B5184">
        <v>4.9400000000000004</v>
      </c>
      <c r="C5184">
        <v>661</v>
      </c>
      <c r="D5184" s="9">
        <v>42270</v>
      </c>
      <c r="E5184" t="s">
        <v>295</v>
      </c>
      <c r="I5184" s="9"/>
    </row>
    <row r="5185" spans="1:9" x14ac:dyDescent="0.25">
      <c r="A5185">
        <v>628302</v>
      </c>
      <c r="B5185">
        <v>0.72</v>
      </c>
      <c r="C5185">
        <v>1000</v>
      </c>
      <c r="D5185" s="9">
        <v>41821</v>
      </c>
      <c r="E5185" t="s">
        <v>296</v>
      </c>
      <c r="I5185" s="9"/>
    </row>
    <row r="5186" spans="1:9" x14ac:dyDescent="0.25">
      <c r="A5186">
        <v>628302</v>
      </c>
      <c r="B5186">
        <v>2.21</v>
      </c>
      <c r="C5186">
        <v>1000</v>
      </c>
      <c r="D5186" s="9">
        <v>41821</v>
      </c>
      <c r="E5186" t="s">
        <v>295</v>
      </c>
      <c r="I5186" s="9"/>
    </row>
    <row r="5187" spans="1:9" x14ac:dyDescent="0.25">
      <c r="A5187">
        <v>628317</v>
      </c>
      <c r="B5187">
        <v>0.35</v>
      </c>
      <c r="C5187">
        <v>2160</v>
      </c>
      <c r="D5187" s="9">
        <v>43837</v>
      </c>
      <c r="E5187" t="s">
        <v>296</v>
      </c>
      <c r="I5187" s="9"/>
    </row>
    <row r="5188" spans="1:9" x14ac:dyDescent="0.25">
      <c r="A5188">
        <v>628317</v>
      </c>
      <c r="B5188">
        <v>0.4</v>
      </c>
      <c r="C5188">
        <v>1440</v>
      </c>
      <c r="D5188" s="9">
        <v>43684</v>
      </c>
      <c r="E5188" t="s">
        <v>296</v>
      </c>
      <c r="I5188" s="9"/>
    </row>
    <row r="5189" spans="1:9" x14ac:dyDescent="0.25">
      <c r="A5189">
        <v>628317</v>
      </c>
      <c r="B5189">
        <v>0.4</v>
      </c>
      <c r="C5189">
        <v>1440</v>
      </c>
      <c r="D5189" s="9">
        <v>43131</v>
      </c>
      <c r="E5189" t="s">
        <v>296</v>
      </c>
      <c r="I5189" s="9"/>
    </row>
    <row r="5190" spans="1:9" x14ac:dyDescent="0.25">
      <c r="A5190">
        <v>628317</v>
      </c>
      <c r="B5190">
        <v>0.4</v>
      </c>
      <c r="C5190">
        <v>1440</v>
      </c>
      <c r="D5190" s="9">
        <v>42781</v>
      </c>
      <c r="E5190" t="s">
        <v>296</v>
      </c>
      <c r="I5190" s="9"/>
    </row>
    <row r="5191" spans="1:9" x14ac:dyDescent="0.25">
      <c r="A5191">
        <v>628317</v>
      </c>
      <c r="B5191">
        <v>0.44500000000000001</v>
      </c>
      <c r="C5191">
        <v>1440</v>
      </c>
      <c r="D5191" s="9">
        <v>42270</v>
      </c>
      <c r="E5191" t="s">
        <v>296</v>
      </c>
      <c r="I5191" s="9"/>
    </row>
    <row r="5192" spans="1:9" x14ac:dyDescent="0.25">
      <c r="A5192">
        <v>628317</v>
      </c>
      <c r="B5192">
        <v>0.44500000000000001</v>
      </c>
      <c r="C5192">
        <v>1440</v>
      </c>
      <c r="D5192" s="9">
        <v>41647</v>
      </c>
      <c r="E5192" t="s">
        <v>296</v>
      </c>
      <c r="I5192" s="9"/>
    </row>
    <row r="5193" spans="1:9" x14ac:dyDescent="0.25">
      <c r="A5193">
        <v>628350</v>
      </c>
      <c r="B5193">
        <v>0.66500000000000004</v>
      </c>
      <c r="C5193">
        <v>2400</v>
      </c>
      <c r="D5193" s="9">
        <v>44140</v>
      </c>
      <c r="E5193" t="s">
        <v>296</v>
      </c>
      <c r="I5193" s="9"/>
    </row>
    <row r="5194" spans="1:9" x14ac:dyDescent="0.25">
      <c r="A5194">
        <v>628350</v>
      </c>
      <c r="B5194">
        <v>0.628</v>
      </c>
      <c r="C5194">
        <v>1920</v>
      </c>
      <c r="D5194" s="9">
        <v>44117</v>
      </c>
      <c r="E5194" t="s">
        <v>296</v>
      </c>
      <c r="I5194" s="9"/>
    </row>
    <row r="5195" spans="1:9" x14ac:dyDescent="0.25">
      <c r="A5195">
        <v>628350</v>
      </c>
      <c r="B5195">
        <v>0.68</v>
      </c>
      <c r="C5195">
        <v>2400</v>
      </c>
      <c r="D5195" s="9">
        <v>44097</v>
      </c>
      <c r="E5195" t="s">
        <v>296</v>
      </c>
      <c r="I5195" s="9"/>
    </row>
    <row r="5196" spans="1:9" x14ac:dyDescent="0.25">
      <c r="A5196">
        <v>628350</v>
      </c>
      <c r="B5196">
        <v>0.628</v>
      </c>
      <c r="C5196">
        <v>1600</v>
      </c>
      <c r="D5196" s="9">
        <v>44039</v>
      </c>
      <c r="E5196" t="s">
        <v>296</v>
      </c>
      <c r="I5196" s="9"/>
    </row>
    <row r="5197" spans="1:9" x14ac:dyDescent="0.25">
      <c r="A5197">
        <v>628350</v>
      </c>
      <c r="B5197">
        <v>0.628</v>
      </c>
      <c r="C5197">
        <v>1600</v>
      </c>
      <c r="D5197" s="9">
        <v>43941</v>
      </c>
      <c r="E5197" t="s">
        <v>296</v>
      </c>
      <c r="I5197" s="9"/>
    </row>
    <row r="5198" spans="1:9" x14ac:dyDescent="0.25">
      <c r="A5198">
        <v>628350</v>
      </c>
      <c r="B5198">
        <v>0.628</v>
      </c>
      <c r="C5198">
        <v>1600</v>
      </c>
      <c r="D5198" s="9">
        <v>43819</v>
      </c>
      <c r="E5198" t="s">
        <v>296</v>
      </c>
      <c r="I5198" s="9"/>
    </row>
    <row r="5199" spans="1:9" x14ac:dyDescent="0.25">
      <c r="A5199">
        <v>628350</v>
      </c>
      <c r="B5199">
        <v>0.64500000000000002</v>
      </c>
      <c r="C5199">
        <v>1200</v>
      </c>
      <c r="D5199" s="9">
        <v>43684</v>
      </c>
      <c r="E5199" t="s">
        <v>296</v>
      </c>
      <c r="I5199" s="9"/>
    </row>
    <row r="5200" spans="1:9" x14ac:dyDescent="0.25">
      <c r="A5200">
        <v>628350</v>
      </c>
      <c r="B5200">
        <v>0.65</v>
      </c>
      <c r="C5200">
        <v>2360</v>
      </c>
      <c r="D5200" s="9">
        <v>43648</v>
      </c>
      <c r="E5200" t="s">
        <v>296</v>
      </c>
      <c r="I5200" s="9"/>
    </row>
    <row r="5201" spans="1:9" x14ac:dyDescent="0.25">
      <c r="A5201">
        <v>628350</v>
      </c>
      <c r="B5201">
        <v>0.64500000000000002</v>
      </c>
      <c r="C5201">
        <v>2000</v>
      </c>
      <c r="D5201" s="9">
        <v>43473</v>
      </c>
      <c r="E5201" t="s">
        <v>296</v>
      </c>
      <c r="I5201" s="9"/>
    </row>
    <row r="5202" spans="1:9" x14ac:dyDescent="0.25">
      <c r="A5202">
        <v>628350</v>
      </c>
      <c r="B5202">
        <v>0.63</v>
      </c>
      <c r="C5202">
        <v>2200</v>
      </c>
      <c r="D5202" s="9">
        <v>43438</v>
      </c>
      <c r="E5202" t="s">
        <v>296</v>
      </c>
      <c r="I5202" s="9"/>
    </row>
    <row r="5203" spans="1:9" x14ac:dyDescent="0.25">
      <c r="A5203">
        <v>628350</v>
      </c>
      <c r="B5203">
        <v>0.64500000000000002</v>
      </c>
      <c r="C5203">
        <v>1600</v>
      </c>
      <c r="D5203" s="9">
        <v>43391</v>
      </c>
      <c r="E5203" t="s">
        <v>296</v>
      </c>
      <c r="I5203" s="9"/>
    </row>
    <row r="5204" spans="1:9" x14ac:dyDescent="0.25">
      <c r="A5204">
        <v>628350</v>
      </c>
      <c r="B5204">
        <v>0.68</v>
      </c>
      <c r="C5204">
        <v>1600</v>
      </c>
      <c r="D5204" s="9">
        <v>43333</v>
      </c>
      <c r="E5204" t="s">
        <v>296</v>
      </c>
      <c r="I5204" s="9"/>
    </row>
    <row r="5205" spans="1:9" x14ac:dyDescent="0.25">
      <c r="A5205">
        <v>628350</v>
      </c>
      <c r="B5205">
        <v>2.64</v>
      </c>
      <c r="C5205">
        <v>1600</v>
      </c>
      <c r="D5205" s="9">
        <v>43285</v>
      </c>
      <c r="E5205" t="s">
        <v>295</v>
      </c>
      <c r="I5205" s="9"/>
    </row>
    <row r="5206" spans="1:9" x14ac:dyDescent="0.25">
      <c r="A5206">
        <v>628350</v>
      </c>
      <c r="B5206">
        <v>0.66</v>
      </c>
      <c r="C5206">
        <v>1600</v>
      </c>
      <c r="D5206" s="9">
        <v>43234</v>
      </c>
      <c r="E5206" t="s">
        <v>296</v>
      </c>
      <c r="I5206" s="9"/>
    </row>
    <row r="5207" spans="1:9" x14ac:dyDescent="0.25">
      <c r="A5207">
        <v>628350</v>
      </c>
      <c r="B5207">
        <v>0.66</v>
      </c>
      <c r="C5207">
        <v>1200</v>
      </c>
      <c r="D5207" s="9">
        <v>43105</v>
      </c>
      <c r="E5207" t="s">
        <v>296</v>
      </c>
      <c r="I5207" s="9"/>
    </row>
    <row r="5208" spans="1:9" x14ac:dyDescent="0.25">
      <c r="A5208">
        <v>628350</v>
      </c>
      <c r="B5208">
        <v>0.7</v>
      </c>
      <c r="C5208">
        <v>2000</v>
      </c>
      <c r="D5208" s="9">
        <v>42912</v>
      </c>
      <c r="E5208" t="s">
        <v>296</v>
      </c>
      <c r="I5208" s="9"/>
    </row>
    <row r="5209" spans="1:9" x14ac:dyDescent="0.25">
      <c r="A5209">
        <v>628350</v>
      </c>
      <c r="B5209">
        <v>0.65</v>
      </c>
      <c r="C5209">
        <v>2000</v>
      </c>
      <c r="D5209" s="9">
        <v>42781</v>
      </c>
      <c r="E5209" t="s">
        <v>296</v>
      </c>
      <c r="I5209" s="9"/>
    </row>
    <row r="5210" spans="1:9" x14ac:dyDescent="0.25">
      <c r="A5210">
        <v>628350</v>
      </c>
      <c r="B5210">
        <v>0.65</v>
      </c>
      <c r="C5210">
        <v>960</v>
      </c>
      <c r="D5210" s="9">
        <v>42698</v>
      </c>
      <c r="E5210" t="s">
        <v>296</v>
      </c>
      <c r="I5210" s="9"/>
    </row>
    <row r="5211" spans="1:9" x14ac:dyDescent="0.25">
      <c r="A5211">
        <v>628350</v>
      </c>
      <c r="B5211">
        <v>0.65</v>
      </c>
      <c r="C5211">
        <v>2000</v>
      </c>
      <c r="D5211" s="9">
        <v>42660</v>
      </c>
      <c r="E5211" t="s">
        <v>296</v>
      </c>
      <c r="I5211" s="9"/>
    </row>
    <row r="5212" spans="1:9" x14ac:dyDescent="0.25">
      <c r="A5212">
        <v>628350</v>
      </c>
      <c r="B5212">
        <v>0.65</v>
      </c>
      <c r="C5212">
        <v>2000</v>
      </c>
      <c r="D5212" s="9">
        <v>42510</v>
      </c>
      <c r="E5212" t="s">
        <v>296</v>
      </c>
      <c r="I5212" s="9"/>
    </row>
    <row r="5213" spans="1:9" x14ac:dyDescent="0.25">
      <c r="A5213">
        <v>628350</v>
      </c>
      <c r="B5213">
        <v>0.66</v>
      </c>
      <c r="C5213">
        <v>2000</v>
      </c>
      <c r="D5213" s="9">
        <v>42383</v>
      </c>
      <c r="E5213" t="s">
        <v>296</v>
      </c>
      <c r="I5213" s="9"/>
    </row>
    <row r="5214" spans="1:9" x14ac:dyDescent="0.25">
      <c r="A5214">
        <v>628350</v>
      </c>
      <c r="B5214">
        <v>0.7</v>
      </c>
      <c r="C5214">
        <v>2400</v>
      </c>
      <c r="D5214" s="9">
        <v>42325</v>
      </c>
      <c r="E5214" t="s">
        <v>296</v>
      </c>
      <c r="I5214" s="9"/>
    </row>
    <row r="5215" spans="1:9" x14ac:dyDescent="0.25">
      <c r="A5215">
        <v>628350</v>
      </c>
      <c r="B5215">
        <v>0.65600000000000003</v>
      </c>
      <c r="C5215">
        <v>1400</v>
      </c>
      <c r="D5215" s="9">
        <v>42233</v>
      </c>
      <c r="E5215" t="s">
        <v>297</v>
      </c>
      <c r="I5215" s="9"/>
    </row>
    <row r="5216" spans="1:9" x14ac:dyDescent="0.25">
      <c r="A5216">
        <v>628350</v>
      </c>
      <c r="B5216">
        <v>0.72099999999999997</v>
      </c>
      <c r="C5216">
        <v>1400</v>
      </c>
      <c r="D5216" s="9">
        <v>42129</v>
      </c>
      <c r="E5216" t="s">
        <v>296</v>
      </c>
      <c r="I5216" s="9"/>
    </row>
    <row r="5217" spans="1:9" x14ac:dyDescent="0.25">
      <c r="A5217">
        <v>628350</v>
      </c>
      <c r="B5217">
        <v>3.11</v>
      </c>
      <c r="C5217">
        <v>1</v>
      </c>
      <c r="D5217" s="9">
        <v>41884</v>
      </c>
      <c r="E5217" t="s">
        <v>295</v>
      </c>
      <c r="I5217" s="9"/>
    </row>
    <row r="5218" spans="1:9" x14ac:dyDescent="0.25">
      <c r="A5218">
        <v>628350</v>
      </c>
      <c r="B5218">
        <v>2.21</v>
      </c>
      <c r="C5218">
        <v>2400</v>
      </c>
      <c r="D5218" s="9">
        <v>41821</v>
      </c>
      <c r="E5218" t="s">
        <v>295</v>
      </c>
      <c r="I5218" s="9"/>
    </row>
    <row r="5219" spans="1:9" x14ac:dyDescent="0.25">
      <c r="A5219">
        <v>628350</v>
      </c>
      <c r="B5219">
        <v>0.72099999999999997</v>
      </c>
      <c r="C5219">
        <v>2400</v>
      </c>
      <c r="D5219" s="9">
        <v>41821</v>
      </c>
      <c r="E5219" t="s">
        <v>296</v>
      </c>
      <c r="I5219" s="9"/>
    </row>
    <row r="5220" spans="1:9" x14ac:dyDescent="0.25">
      <c r="A5220">
        <v>628350</v>
      </c>
      <c r="B5220">
        <v>0.72099999999999997</v>
      </c>
      <c r="C5220">
        <v>2560</v>
      </c>
      <c r="D5220" s="9">
        <v>41617</v>
      </c>
      <c r="E5220" t="s">
        <v>296</v>
      </c>
      <c r="I5220" s="9"/>
    </row>
    <row r="5221" spans="1:9" x14ac:dyDescent="0.25">
      <c r="A5221">
        <v>628350</v>
      </c>
      <c r="B5221">
        <v>0.70699999999999996</v>
      </c>
      <c r="C5221">
        <v>640</v>
      </c>
      <c r="D5221" s="9">
        <v>41456</v>
      </c>
      <c r="E5221" t="s">
        <v>296</v>
      </c>
      <c r="I5221" s="9"/>
    </row>
    <row r="5222" spans="1:9" x14ac:dyDescent="0.25">
      <c r="A5222">
        <v>628350</v>
      </c>
      <c r="B5222">
        <v>0.70699999999999996</v>
      </c>
      <c r="C5222">
        <v>2560</v>
      </c>
      <c r="D5222" s="9">
        <v>41456</v>
      </c>
      <c r="E5222" t="s">
        <v>296</v>
      </c>
      <c r="I5222" s="9"/>
    </row>
    <row r="5223" spans="1:9" x14ac:dyDescent="0.25">
      <c r="A5223">
        <v>628350</v>
      </c>
      <c r="B5223">
        <v>0.70699999999999996</v>
      </c>
      <c r="C5223">
        <v>1920</v>
      </c>
      <c r="D5223" s="9">
        <v>41309</v>
      </c>
      <c r="E5223" t="s">
        <v>296</v>
      </c>
      <c r="I5223" s="9"/>
    </row>
    <row r="5224" spans="1:9" x14ac:dyDescent="0.25">
      <c r="A5224">
        <v>628354</v>
      </c>
      <c r="B5224">
        <v>0.92</v>
      </c>
      <c r="C5224">
        <v>720</v>
      </c>
      <c r="D5224" s="9">
        <v>41375</v>
      </c>
      <c r="E5224" t="s">
        <v>296</v>
      </c>
      <c r="I5224" s="9"/>
    </row>
    <row r="5225" spans="1:9" x14ac:dyDescent="0.25">
      <c r="A5225">
        <v>628355</v>
      </c>
      <c r="B5225">
        <v>1.034</v>
      </c>
      <c r="C5225">
        <v>750</v>
      </c>
      <c r="D5225" s="9">
        <v>42860</v>
      </c>
      <c r="E5225" t="s">
        <v>297</v>
      </c>
      <c r="I5225" s="9"/>
    </row>
    <row r="5226" spans="1:9" x14ac:dyDescent="0.25">
      <c r="A5226">
        <v>628355</v>
      </c>
      <c r="B5226">
        <v>1</v>
      </c>
      <c r="C5226">
        <v>330</v>
      </c>
      <c r="D5226" s="9">
        <v>42860</v>
      </c>
      <c r="E5226" t="s">
        <v>296</v>
      </c>
      <c r="I5226" s="9"/>
    </row>
    <row r="5227" spans="1:9" x14ac:dyDescent="0.25">
      <c r="A5227">
        <v>628355</v>
      </c>
      <c r="B5227">
        <v>1.034</v>
      </c>
      <c r="C5227">
        <v>750</v>
      </c>
      <c r="D5227" s="9">
        <v>42520</v>
      </c>
      <c r="E5227" t="s">
        <v>297</v>
      </c>
      <c r="I5227" s="9"/>
    </row>
    <row r="5228" spans="1:9" x14ac:dyDescent="0.25">
      <c r="A5228">
        <v>628355</v>
      </c>
      <c r="B5228">
        <v>4.54</v>
      </c>
      <c r="C5228">
        <v>750</v>
      </c>
      <c r="D5228" s="9">
        <v>42520</v>
      </c>
      <c r="E5228" t="s">
        <v>295</v>
      </c>
      <c r="I5228" s="9"/>
    </row>
    <row r="5229" spans="1:9" x14ac:dyDescent="0.25">
      <c r="A5229">
        <v>628355</v>
      </c>
      <c r="B5229">
        <v>1.034</v>
      </c>
      <c r="C5229">
        <v>600</v>
      </c>
      <c r="D5229" s="9">
        <v>42233</v>
      </c>
      <c r="E5229" t="s">
        <v>297</v>
      </c>
      <c r="I5229" s="9"/>
    </row>
    <row r="5230" spans="1:9" x14ac:dyDescent="0.25">
      <c r="A5230">
        <v>628365</v>
      </c>
      <c r="B5230">
        <v>1.55</v>
      </c>
      <c r="C5230">
        <v>640</v>
      </c>
      <c r="D5230" s="9">
        <v>44125</v>
      </c>
      <c r="E5230" t="s">
        <v>296</v>
      </c>
      <c r="I5230" s="9"/>
    </row>
    <row r="5231" spans="1:9" x14ac:dyDescent="0.25">
      <c r="A5231">
        <v>628365</v>
      </c>
      <c r="B5231">
        <v>1.55</v>
      </c>
      <c r="C5231">
        <v>400</v>
      </c>
      <c r="D5231" s="9">
        <v>44097</v>
      </c>
      <c r="E5231" t="s">
        <v>296</v>
      </c>
      <c r="I5231" s="9"/>
    </row>
    <row r="5232" spans="1:9" x14ac:dyDescent="0.25">
      <c r="A5232">
        <v>628365</v>
      </c>
      <c r="B5232">
        <v>1.48</v>
      </c>
      <c r="C5232">
        <v>400</v>
      </c>
      <c r="D5232" s="9">
        <v>44039</v>
      </c>
      <c r="E5232" t="s">
        <v>296</v>
      </c>
      <c r="I5232" s="9"/>
    </row>
    <row r="5233" spans="1:9" x14ac:dyDescent="0.25">
      <c r="A5233">
        <v>628365</v>
      </c>
      <c r="B5233">
        <v>1.48</v>
      </c>
      <c r="C5233">
        <v>600</v>
      </c>
      <c r="D5233" s="9">
        <v>43819</v>
      </c>
      <c r="E5233" t="s">
        <v>296</v>
      </c>
      <c r="I5233" s="9"/>
    </row>
    <row r="5234" spans="1:9" x14ac:dyDescent="0.25">
      <c r="A5234">
        <v>628365</v>
      </c>
      <c r="B5234">
        <v>1.4750000000000001</v>
      </c>
      <c r="C5234">
        <v>600</v>
      </c>
      <c r="D5234" s="9">
        <v>43684</v>
      </c>
      <c r="E5234" t="s">
        <v>296</v>
      </c>
      <c r="I5234" s="9"/>
    </row>
    <row r="5235" spans="1:9" x14ac:dyDescent="0.25">
      <c r="A5235">
        <v>628365</v>
      </c>
      <c r="B5235">
        <v>1.4750000000000001</v>
      </c>
      <c r="C5235">
        <v>600</v>
      </c>
      <c r="D5235" s="9">
        <v>43473</v>
      </c>
      <c r="E5235" t="s">
        <v>296</v>
      </c>
      <c r="I5235" s="9"/>
    </row>
    <row r="5236" spans="1:9" x14ac:dyDescent="0.25">
      <c r="A5236">
        <v>628365</v>
      </c>
      <c r="B5236">
        <v>1.4750000000000001</v>
      </c>
      <c r="C5236">
        <v>600</v>
      </c>
      <c r="D5236" s="9">
        <v>43391</v>
      </c>
      <c r="E5236" t="s">
        <v>296</v>
      </c>
      <c r="I5236" s="9"/>
    </row>
    <row r="5237" spans="1:9" x14ac:dyDescent="0.25">
      <c r="A5237">
        <v>628365</v>
      </c>
      <c r="B5237">
        <v>6.24</v>
      </c>
      <c r="C5237">
        <v>600</v>
      </c>
      <c r="D5237" s="9">
        <v>43285</v>
      </c>
      <c r="E5237" t="s">
        <v>295</v>
      </c>
      <c r="I5237" s="9"/>
    </row>
    <row r="5238" spans="1:9" x14ac:dyDescent="0.25">
      <c r="A5238">
        <v>628365</v>
      </c>
      <c r="B5238">
        <v>1.55</v>
      </c>
      <c r="C5238">
        <v>600</v>
      </c>
      <c r="D5238" s="9">
        <v>43234</v>
      </c>
      <c r="E5238" t="s">
        <v>296</v>
      </c>
      <c r="I5238" s="9"/>
    </row>
    <row r="5239" spans="1:9" x14ac:dyDescent="0.25">
      <c r="A5239">
        <v>628365</v>
      </c>
      <c r="B5239">
        <v>1.42</v>
      </c>
      <c r="C5239">
        <v>360</v>
      </c>
      <c r="D5239" s="9">
        <v>43105</v>
      </c>
      <c r="E5239" t="s">
        <v>296</v>
      </c>
      <c r="I5239" s="9"/>
    </row>
    <row r="5240" spans="1:9" x14ac:dyDescent="0.25">
      <c r="A5240">
        <v>628365</v>
      </c>
      <c r="B5240">
        <v>1.4079999999999999</v>
      </c>
      <c r="C5240">
        <v>360</v>
      </c>
      <c r="D5240" s="9">
        <v>42696</v>
      </c>
      <c r="E5240" t="s">
        <v>296</v>
      </c>
      <c r="I5240" s="9"/>
    </row>
    <row r="5241" spans="1:9" x14ac:dyDescent="0.25">
      <c r="A5241">
        <v>628365</v>
      </c>
      <c r="B5241">
        <v>1.4079999999999999</v>
      </c>
      <c r="C5241">
        <v>600</v>
      </c>
      <c r="D5241" s="9">
        <v>42573</v>
      </c>
      <c r="E5241" t="s">
        <v>296</v>
      </c>
      <c r="I5241" s="9"/>
    </row>
    <row r="5242" spans="1:9" x14ac:dyDescent="0.25">
      <c r="A5242">
        <v>628365</v>
      </c>
      <c r="B5242">
        <v>1.45</v>
      </c>
      <c r="C5242">
        <v>600</v>
      </c>
      <c r="D5242" s="9">
        <v>42380</v>
      </c>
      <c r="E5242" t="s">
        <v>296</v>
      </c>
      <c r="I5242" s="9"/>
    </row>
    <row r="5243" spans="1:9" x14ac:dyDescent="0.25">
      <c r="A5243">
        <v>628365</v>
      </c>
      <c r="B5243">
        <v>7.5</v>
      </c>
      <c r="C5243">
        <v>30</v>
      </c>
      <c r="D5243" s="9">
        <v>42193</v>
      </c>
      <c r="E5243" t="s">
        <v>295</v>
      </c>
      <c r="I5243" s="9"/>
    </row>
    <row r="5244" spans="1:9" x14ac:dyDescent="0.25">
      <c r="A5244">
        <v>628365</v>
      </c>
      <c r="B5244">
        <v>1.7</v>
      </c>
      <c r="C5244">
        <v>720</v>
      </c>
      <c r="D5244" s="9">
        <v>41375</v>
      </c>
      <c r="E5244" t="s">
        <v>296</v>
      </c>
      <c r="I5244" s="9"/>
    </row>
    <row r="5245" spans="1:9" x14ac:dyDescent="0.25">
      <c r="A5245">
        <v>628401</v>
      </c>
      <c r="B5245">
        <v>1.92</v>
      </c>
      <c r="C5245">
        <v>1200</v>
      </c>
      <c r="D5245" s="9">
        <v>44133</v>
      </c>
      <c r="E5245" t="s">
        <v>296</v>
      </c>
      <c r="I5245" s="9"/>
    </row>
    <row r="5246" spans="1:9" x14ac:dyDescent="0.25">
      <c r="A5246">
        <v>628401</v>
      </c>
      <c r="B5246">
        <v>1.85</v>
      </c>
      <c r="C5246">
        <v>1200</v>
      </c>
      <c r="D5246" s="9">
        <v>44039</v>
      </c>
      <c r="E5246" t="s">
        <v>296</v>
      </c>
      <c r="I5246" s="9"/>
    </row>
    <row r="5247" spans="1:9" x14ac:dyDescent="0.25">
      <c r="A5247">
        <v>628401</v>
      </c>
      <c r="B5247">
        <v>1.85</v>
      </c>
      <c r="C5247">
        <v>1200</v>
      </c>
      <c r="D5247" s="9">
        <v>43941</v>
      </c>
      <c r="E5247" t="s">
        <v>296</v>
      </c>
      <c r="I5247" s="9"/>
    </row>
    <row r="5248" spans="1:9" x14ac:dyDescent="0.25">
      <c r="A5248">
        <v>628401</v>
      </c>
      <c r="B5248">
        <v>1.85</v>
      </c>
      <c r="C5248">
        <v>1000</v>
      </c>
      <c r="D5248" s="9">
        <v>43819</v>
      </c>
      <c r="E5248" t="s">
        <v>296</v>
      </c>
      <c r="I5248" s="9"/>
    </row>
    <row r="5249" spans="1:9" x14ac:dyDescent="0.25">
      <c r="A5249">
        <v>628401</v>
      </c>
      <c r="B5249">
        <v>1.85</v>
      </c>
      <c r="C5249">
        <v>1400</v>
      </c>
      <c r="D5249" s="9">
        <v>43592</v>
      </c>
      <c r="E5249" t="s">
        <v>296</v>
      </c>
      <c r="I5249" s="9"/>
    </row>
    <row r="5250" spans="1:9" x14ac:dyDescent="0.25">
      <c r="A5250">
        <v>628401</v>
      </c>
      <c r="B5250">
        <v>1.85</v>
      </c>
      <c r="C5250">
        <v>1200</v>
      </c>
      <c r="D5250" s="9">
        <v>43473</v>
      </c>
      <c r="E5250" t="s">
        <v>296</v>
      </c>
      <c r="I5250" s="9"/>
    </row>
    <row r="5251" spans="1:9" x14ac:dyDescent="0.25">
      <c r="A5251">
        <v>628401</v>
      </c>
      <c r="B5251">
        <v>1.92</v>
      </c>
      <c r="C5251">
        <v>1400</v>
      </c>
      <c r="D5251" s="9">
        <v>43333</v>
      </c>
      <c r="E5251" t="s">
        <v>296</v>
      </c>
      <c r="I5251" s="9"/>
    </row>
    <row r="5252" spans="1:9" x14ac:dyDescent="0.25">
      <c r="A5252">
        <v>628401</v>
      </c>
      <c r="B5252">
        <v>7.44</v>
      </c>
      <c r="C5252">
        <v>500</v>
      </c>
      <c r="D5252" s="9">
        <v>43263</v>
      </c>
      <c r="E5252" t="s">
        <v>295</v>
      </c>
      <c r="I5252" s="9"/>
    </row>
    <row r="5253" spans="1:9" x14ac:dyDescent="0.25">
      <c r="A5253">
        <v>628401</v>
      </c>
      <c r="B5253">
        <v>1.88</v>
      </c>
      <c r="C5253">
        <v>500</v>
      </c>
      <c r="D5253" s="9">
        <v>43228</v>
      </c>
      <c r="E5253" t="s">
        <v>296</v>
      </c>
      <c r="I5253" s="9"/>
    </row>
    <row r="5254" spans="1:9" x14ac:dyDescent="0.25">
      <c r="A5254">
        <v>628401</v>
      </c>
      <c r="B5254">
        <v>1.88</v>
      </c>
      <c r="C5254">
        <v>1000</v>
      </c>
      <c r="D5254" s="9">
        <v>43105</v>
      </c>
      <c r="E5254" t="s">
        <v>296</v>
      </c>
      <c r="I5254" s="9"/>
    </row>
    <row r="5255" spans="1:9" x14ac:dyDescent="0.25">
      <c r="A5255">
        <v>628401</v>
      </c>
      <c r="B5255">
        <v>1.83</v>
      </c>
      <c r="C5255">
        <v>260</v>
      </c>
      <c r="D5255" s="9">
        <v>42976</v>
      </c>
      <c r="E5255" t="s">
        <v>296</v>
      </c>
      <c r="I5255" s="9"/>
    </row>
    <row r="5256" spans="1:9" x14ac:dyDescent="0.25">
      <c r="A5256">
        <v>628401</v>
      </c>
      <c r="B5256">
        <v>1.89</v>
      </c>
      <c r="C5256">
        <v>640</v>
      </c>
      <c r="D5256" s="9">
        <v>42905</v>
      </c>
      <c r="E5256" t="s">
        <v>296</v>
      </c>
      <c r="I5256" s="9"/>
    </row>
    <row r="5257" spans="1:9" x14ac:dyDescent="0.25">
      <c r="A5257">
        <v>628401</v>
      </c>
      <c r="B5257">
        <v>1.83</v>
      </c>
      <c r="C5257">
        <v>240</v>
      </c>
      <c r="D5257" s="9">
        <v>42836</v>
      </c>
      <c r="E5257" t="s">
        <v>296</v>
      </c>
      <c r="I5257" s="9"/>
    </row>
    <row r="5258" spans="1:9" x14ac:dyDescent="0.25">
      <c r="A5258">
        <v>628401</v>
      </c>
      <c r="B5258">
        <v>1.83</v>
      </c>
      <c r="C5258">
        <v>400</v>
      </c>
      <c r="D5258" s="9">
        <v>42781</v>
      </c>
      <c r="E5258" t="s">
        <v>296</v>
      </c>
      <c r="I5258" s="9"/>
    </row>
    <row r="5259" spans="1:9" x14ac:dyDescent="0.25">
      <c r="A5259">
        <v>628401</v>
      </c>
      <c r="B5259">
        <v>1.85</v>
      </c>
      <c r="C5259">
        <v>1000</v>
      </c>
      <c r="D5259" s="9">
        <v>42696</v>
      </c>
      <c r="E5259" t="s">
        <v>296</v>
      </c>
      <c r="I5259" s="9"/>
    </row>
    <row r="5260" spans="1:9" x14ac:dyDescent="0.25">
      <c r="A5260">
        <v>628401</v>
      </c>
      <c r="B5260">
        <v>1.85</v>
      </c>
      <c r="C5260">
        <v>480</v>
      </c>
      <c r="D5260" s="9">
        <v>42573</v>
      </c>
      <c r="E5260" t="s">
        <v>296</v>
      </c>
      <c r="I5260" s="9"/>
    </row>
    <row r="5261" spans="1:9" x14ac:dyDescent="0.25">
      <c r="A5261">
        <v>628401</v>
      </c>
      <c r="B5261">
        <v>1.85</v>
      </c>
      <c r="C5261">
        <v>1000</v>
      </c>
      <c r="D5261" s="9">
        <v>42530</v>
      </c>
      <c r="E5261" t="s">
        <v>296</v>
      </c>
      <c r="I5261" s="9"/>
    </row>
    <row r="5262" spans="1:9" x14ac:dyDescent="0.25">
      <c r="A5262">
        <v>628401</v>
      </c>
      <c r="B5262">
        <v>2</v>
      </c>
      <c r="C5262">
        <v>1000</v>
      </c>
      <c r="D5262" s="9">
        <v>42494</v>
      </c>
      <c r="E5262" t="s">
        <v>296</v>
      </c>
      <c r="I5262" s="9"/>
    </row>
    <row r="5263" spans="1:9" x14ac:dyDescent="0.25">
      <c r="A5263">
        <v>628401</v>
      </c>
      <c r="B5263">
        <v>2.0499999999999998</v>
      </c>
      <c r="C5263">
        <v>1000</v>
      </c>
      <c r="D5263" s="9">
        <v>42380</v>
      </c>
      <c r="E5263" t="s">
        <v>296</v>
      </c>
      <c r="I5263" s="9"/>
    </row>
    <row r="5264" spans="1:9" x14ac:dyDescent="0.25">
      <c r="A5264">
        <v>628401</v>
      </c>
      <c r="B5264">
        <v>2.1</v>
      </c>
      <c r="C5264">
        <v>1000</v>
      </c>
      <c r="D5264" s="9">
        <v>42270</v>
      </c>
      <c r="E5264" t="s">
        <v>296</v>
      </c>
      <c r="I5264" s="9"/>
    </row>
    <row r="5265" spans="1:9" x14ac:dyDescent="0.25">
      <c r="A5265">
        <v>628401</v>
      </c>
      <c r="B5265">
        <v>2.1</v>
      </c>
      <c r="C5265">
        <v>800</v>
      </c>
      <c r="D5265" s="9">
        <v>42139</v>
      </c>
      <c r="E5265" t="s">
        <v>296</v>
      </c>
      <c r="I5265" s="9"/>
    </row>
    <row r="5266" spans="1:9" x14ac:dyDescent="0.25">
      <c r="A5266">
        <v>628401</v>
      </c>
      <c r="B5266">
        <v>2.1</v>
      </c>
      <c r="C5266">
        <v>600</v>
      </c>
      <c r="D5266" s="9">
        <v>41961</v>
      </c>
      <c r="E5266" t="s">
        <v>296</v>
      </c>
      <c r="I5266" s="9"/>
    </row>
    <row r="5267" spans="1:9" x14ac:dyDescent="0.25">
      <c r="A5267">
        <v>628401</v>
      </c>
      <c r="B5267">
        <v>2.1</v>
      </c>
      <c r="C5267">
        <v>800</v>
      </c>
      <c r="D5267" s="9">
        <v>41813</v>
      </c>
      <c r="E5267" t="s">
        <v>296</v>
      </c>
      <c r="I5267" s="9"/>
    </row>
    <row r="5268" spans="1:9" x14ac:dyDescent="0.25">
      <c r="A5268">
        <v>628401</v>
      </c>
      <c r="B5268">
        <v>2.1</v>
      </c>
      <c r="C5268">
        <v>800</v>
      </c>
      <c r="D5268" s="9">
        <v>41747</v>
      </c>
      <c r="E5268" t="s">
        <v>296</v>
      </c>
      <c r="I5268" s="9"/>
    </row>
    <row r="5269" spans="1:9" x14ac:dyDescent="0.25">
      <c r="A5269">
        <v>628407</v>
      </c>
      <c r="B5269">
        <v>2.75</v>
      </c>
      <c r="C5269">
        <v>800</v>
      </c>
      <c r="D5269" s="9">
        <v>44083</v>
      </c>
      <c r="E5269" t="s">
        <v>296</v>
      </c>
      <c r="I5269" s="9"/>
    </row>
    <row r="5270" spans="1:9" x14ac:dyDescent="0.25">
      <c r="A5270">
        <v>628407</v>
      </c>
      <c r="B5270">
        <v>2.68</v>
      </c>
      <c r="C5270">
        <v>1200</v>
      </c>
      <c r="D5270" s="9">
        <v>43592</v>
      </c>
      <c r="E5270" t="s">
        <v>296</v>
      </c>
      <c r="I5270" s="9"/>
    </row>
    <row r="5271" spans="1:9" x14ac:dyDescent="0.25">
      <c r="A5271">
        <v>628407</v>
      </c>
      <c r="B5271">
        <v>2.68</v>
      </c>
      <c r="C5271">
        <v>1000</v>
      </c>
      <c r="D5271" s="9">
        <v>43473</v>
      </c>
      <c r="E5271" t="s">
        <v>296</v>
      </c>
      <c r="I5271" s="9"/>
    </row>
    <row r="5272" spans="1:9" x14ac:dyDescent="0.25">
      <c r="A5272">
        <v>628407</v>
      </c>
      <c r="B5272">
        <v>2.75</v>
      </c>
      <c r="C5272">
        <v>1200</v>
      </c>
      <c r="D5272" s="9">
        <v>43333</v>
      </c>
      <c r="E5272" t="s">
        <v>296</v>
      </c>
      <c r="I5272" s="9"/>
    </row>
    <row r="5273" spans="1:9" x14ac:dyDescent="0.25">
      <c r="A5273">
        <v>628407</v>
      </c>
      <c r="B5273">
        <v>10.72</v>
      </c>
      <c r="C5273">
        <v>500</v>
      </c>
      <c r="D5273" s="9">
        <v>43263</v>
      </c>
      <c r="E5273" t="s">
        <v>295</v>
      </c>
      <c r="I5273" s="9"/>
    </row>
    <row r="5274" spans="1:9" x14ac:dyDescent="0.25">
      <c r="A5274">
        <v>628407</v>
      </c>
      <c r="B5274">
        <v>2.7</v>
      </c>
      <c r="C5274">
        <v>500</v>
      </c>
      <c r="D5274" s="9">
        <v>43228</v>
      </c>
      <c r="E5274" t="s">
        <v>296</v>
      </c>
      <c r="I5274" s="9"/>
    </row>
    <row r="5275" spans="1:9" x14ac:dyDescent="0.25">
      <c r="A5275">
        <v>628407</v>
      </c>
      <c r="B5275">
        <v>2.7</v>
      </c>
      <c r="C5275">
        <v>500</v>
      </c>
      <c r="D5275" s="9">
        <v>43105</v>
      </c>
      <c r="E5275" t="s">
        <v>296</v>
      </c>
      <c r="I5275" s="9"/>
    </row>
    <row r="5276" spans="1:9" x14ac:dyDescent="0.25">
      <c r="A5276">
        <v>628407</v>
      </c>
      <c r="B5276">
        <v>2.35</v>
      </c>
      <c r="C5276">
        <v>560</v>
      </c>
      <c r="D5276" s="9">
        <v>42976</v>
      </c>
      <c r="E5276" t="s">
        <v>296</v>
      </c>
      <c r="I5276" s="9"/>
    </row>
    <row r="5277" spans="1:9" x14ac:dyDescent="0.25">
      <c r="A5277">
        <v>628407</v>
      </c>
      <c r="B5277">
        <v>2.35</v>
      </c>
      <c r="C5277">
        <v>560</v>
      </c>
      <c r="D5277" s="9">
        <v>42836</v>
      </c>
      <c r="E5277" t="s">
        <v>296</v>
      </c>
      <c r="I5277" s="9"/>
    </row>
    <row r="5278" spans="1:9" x14ac:dyDescent="0.25">
      <c r="A5278">
        <v>628407</v>
      </c>
      <c r="B5278">
        <v>2.4</v>
      </c>
      <c r="C5278">
        <v>700</v>
      </c>
      <c r="D5278" s="9">
        <v>42573</v>
      </c>
      <c r="E5278" t="s">
        <v>296</v>
      </c>
      <c r="I5278" s="9"/>
    </row>
    <row r="5279" spans="1:9" x14ac:dyDescent="0.25">
      <c r="A5279">
        <v>628407</v>
      </c>
      <c r="B5279">
        <v>2.5</v>
      </c>
      <c r="C5279">
        <v>350</v>
      </c>
      <c r="D5279" s="9">
        <v>42494</v>
      </c>
      <c r="E5279" t="s">
        <v>296</v>
      </c>
      <c r="I5279" s="9"/>
    </row>
    <row r="5280" spans="1:9" x14ac:dyDescent="0.25">
      <c r="A5280">
        <v>628407</v>
      </c>
      <c r="B5280">
        <v>2.7</v>
      </c>
      <c r="C5280">
        <v>420</v>
      </c>
      <c r="D5280" s="9">
        <v>42380</v>
      </c>
      <c r="E5280" t="s">
        <v>296</v>
      </c>
      <c r="I5280" s="9"/>
    </row>
    <row r="5281" spans="1:9" x14ac:dyDescent="0.25">
      <c r="A5281">
        <v>628407</v>
      </c>
      <c r="B5281">
        <v>3.05</v>
      </c>
      <c r="C5281">
        <v>448</v>
      </c>
      <c r="D5281" s="9">
        <v>42191</v>
      </c>
      <c r="E5281" t="s">
        <v>296</v>
      </c>
      <c r="I5281" s="9"/>
    </row>
    <row r="5282" spans="1:9" x14ac:dyDescent="0.25">
      <c r="A5282">
        <v>628407</v>
      </c>
      <c r="B5282">
        <v>3.05</v>
      </c>
      <c r="C5282">
        <v>364</v>
      </c>
      <c r="D5282" s="9">
        <v>41961</v>
      </c>
      <c r="E5282" t="s">
        <v>296</v>
      </c>
      <c r="I5282" s="9"/>
    </row>
    <row r="5283" spans="1:9" x14ac:dyDescent="0.25">
      <c r="A5283">
        <v>628407</v>
      </c>
      <c r="B5283">
        <v>3</v>
      </c>
      <c r="C5283">
        <v>608</v>
      </c>
      <c r="D5283" s="9">
        <v>41813</v>
      </c>
      <c r="E5283" t="s">
        <v>296</v>
      </c>
      <c r="I5283" s="9"/>
    </row>
    <row r="5284" spans="1:9" x14ac:dyDescent="0.25">
      <c r="A5284">
        <v>628407</v>
      </c>
      <c r="B5284">
        <v>3</v>
      </c>
      <c r="C5284">
        <v>336</v>
      </c>
      <c r="D5284" s="9">
        <v>41747</v>
      </c>
      <c r="E5284" t="s">
        <v>296</v>
      </c>
      <c r="I5284" s="9"/>
    </row>
    <row r="5285" spans="1:9" x14ac:dyDescent="0.25">
      <c r="A5285">
        <v>628407</v>
      </c>
      <c r="B5285">
        <v>3</v>
      </c>
      <c r="C5285">
        <v>360</v>
      </c>
      <c r="D5285" s="9">
        <v>41718</v>
      </c>
      <c r="E5285" t="s">
        <v>296</v>
      </c>
      <c r="I5285" s="9"/>
    </row>
    <row r="5286" spans="1:9" x14ac:dyDescent="0.25">
      <c r="A5286">
        <v>628407</v>
      </c>
      <c r="B5286">
        <v>3</v>
      </c>
      <c r="C5286">
        <v>312</v>
      </c>
      <c r="D5286" s="9">
        <v>41592</v>
      </c>
      <c r="E5286" t="s">
        <v>296</v>
      </c>
      <c r="I5286" s="9"/>
    </row>
    <row r="5287" spans="1:9" x14ac:dyDescent="0.25">
      <c r="A5287">
        <v>628407</v>
      </c>
      <c r="B5287">
        <v>3</v>
      </c>
      <c r="C5287">
        <v>360</v>
      </c>
      <c r="D5287" s="9">
        <v>41484</v>
      </c>
      <c r="E5287" t="s">
        <v>296</v>
      </c>
      <c r="I5287" s="9"/>
    </row>
    <row r="5288" spans="1:9" x14ac:dyDescent="0.25">
      <c r="A5288">
        <v>628407</v>
      </c>
      <c r="B5288">
        <v>3</v>
      </c>
      <c r="C5288">
        <v>264</v>
      </c>
      <c r="D5288" s="9">
        <v>41288</v>
      </c>
      <c r="E5288" t="s">
        <v>296</v>
      </c>
      <c r="I5288" s="9"/>
    </row>
    <row r="5289" spans="1:9" x14ac:dyDescent="0.25">
      <c r="A5289">
        <v>628600</v>
      </c>
      <c r="B5289">
        <v>3.28</v>
      </c>
      <c r="C5289">
        <v>900</v>
      </c>
      <c r="D5289" s="9">
        <v>44068</v>
      </c>
      <c r="E5289" t="s">
        <v>296</v>
      </c>
      <c r="I5289" s="9"/>
    </row>
    <row r="5290" spans="1:9" x14ac:dyDescent="0.25">
      <c r="A5290">
        <v>628600</v>
      </c>
      <c r="B5290">
        <v>3.28</v>
      </c>
      <c r="C5290">
        <v>800</v>
      </c>
      <c r="D5290" s="9">
        <v>44039</v>
      </c>
      <c r="E5290" t="s">
        <v>296</v>
      </c>
      <c r="I5290" s="9"/>
    </row>
    <row r="5291" spans="1:9" x14ac:dyDescent="0.25">
      <c r="A5291">
        <v>628600</v>
      </c>
      <c r="B5291">
        <v>3.28</v>
      </c>
      <c r="C5291">
        <v>800</v>
      </c>
      <c r="D5291" s="9">
        <v>43941</v>
      </c>
      <c r="E5291" t="s">
        <v>296</v>
      </c>
      <c r="I5291" s="9"/>
    </row>
    <row r="5292" spans="1:9" x14ac:dyDescent="0.25">
      <c r="A5292">
        <v>628600</v>
      </c>
      <c r="B5292">
        <v>3.28</v>
      </c>
      <c r="C5292">
        <v>800</v>
      </c>
      <c r="D5292" s="9">
        <v>43819</v>
      </c>
      <c r="E5292" t="s">
        <v>296</v>
      </c>
      <c r="I5292" s="9"/>
    </row>
    <row r="5293" spans="1:9" x14ac:dyDescent="0.25">
      <c r="A5293">
        <v>628600</v>
      </c>
      <c r="B5293">
        <v>3.28</v>
      </c>
      <c r="C5293">
        <v>800</v>
      </c>
      <c r="D5293" s="9">
        <v>43592</v>
      </c>
      <c r="E5293" t="s">
        <v>296</v>
      </c>
      <c r="I5293" s="9"/>
    </row>
    <row r="5294" spans="1:9" x14ac:dyDescent="0.25">
      <c r="A5294">
        <v>628600</v>
      </c>
      <c r="B5294">
        <v>3.28</v>
      </c>
      <c r="C5294">
        <v>800</v>
      </c>
      <c r="D5294" s="9">
        <v>43473</v>
      </c>
      <c r="E5294" t="s">
        <v>296</v>
      </c>
      <c r="I5294" s="9"/>
    </row>
    <row r="5295" spans="1:9" x14ac:dyDescent="0.25">
      <c r="A5295">
        <v>628600</v>
      </c>
      <c r="B5295">
        <v>3.28</v>
      </c>
      <c r="C5295">
        <v>800</v>
      </c>
      <c r="D5295" s="9">
        <v>43391</v>
      </c>
      <c r="E5295" t="s">
        <v>296</v>
      </c>
      <c r="I5295" s="9"/>
    </row>
    <row r="5296" spans="1:9" x14ac:dyDescent="0.25">
      <c r="A5296">
        <v>628600</v>
      </c>
      <c r="B5296">
        <v>3.55</v>
      </c>
      <c r="C5296">
        <v>400</v>
      </c>
      <c r="D5296" s="9">
        <v>43333</v>
      </c>
      <c r="E5296" t="s">
        <v>296</v>
      </c>
      <c r="I5296" s="9"/>
    </row>
    <row r="5297" spans="1:9" x14ac:dyDescent="0.25">
      <c r="A5297">
        <v>628600</v>
      </c>
      <c r="B5297">
        <v>3.55</v>
      </c>
      <c r="C5297">
        <v>400</v>
      </c>
      <c r="D5297" s="9">
        <v>43333</v>
      </c>
      <c r="E5297" t="s">
        <v>296</v>
      </c>
      <c r="I5297" s="9"/>
    </row>
    <row r="5298" spans="1:9" x14ac:dyDescent="0.25">
      <c r="A5298">
        <v>628600</v>
      </c>
      <c r="B5298">
        <v>13.53</v>
      </c>
      <c r="C5298">
        <v>400</v>
      </c>
      <c r="D5298" s="9">
        <v>43285</v>
      </c>
      <c r="E5298" t="s">
        <v>295</v>
      </c>
      <c r="I5298" s="9"/>
    </row>
    <row r="5299" spans="1:9" x14ac:dyDescent="0.25">
      <c r="A5299">
        <v>628600</v>
      </c>
      <c r="B5299">
        <v>14.09</v>
      </c>
      <c r="C5299">
        <v>300</v>
      </c>
      <c r="D5299" s="9">
        <v>43263</v>
      </c>
      <c r="E5299" t="s">
        <v>295</v>
      </c>
      <c r="I5299" s="9"/>
    </row>
    <row r="5300" spans="1:9" x14ac:dyDescent="0.25">
      <c r="A5300">
        <v>628600</v>
      </c>
      <c r="B5300">
        <v>3.55</v>
      </c>
      <c r="C5300">
        <v>400</v>
      </c>
      <c r="D5300" s="9">
        <v>43234</v>
      </c>
      <c r="E5300" t="s">
        <v>296</v>
      </c>
      <c r="I5300" s="9"/>
    </row>
    <row r="5301" spans="1:9" x14ac:dyDescent="0.25">
      <c r="A5301">
        <v>628600</v>
      </c>
      <c r="B5301">
        <v>3.55</v>
      </c>
      <c r="C5301">
        <v>300</v>
      </c>
      <c r="D5301" s="9">
        <v>43228</v>
      </c>
      <c r="E5301" t="s">
        <v>296</v>
      </c>
      <c r="I5301" s="9"/>
    </row>
    <row r="5302" spans="1:9" x14ac:dyDescent="0.25">
      <c r="A5302">
        <v>628600</v>
      </c>
      <c r="B5302">
        <v>3.55</v>
      </c>
      <c r="C5302">
        <v>600</v>
      </c>
      <c r="D5302" s="9">
        <v>43105</v>
      </c>
      <c r="E5302" t="s">
        <v>296</v>
      </c>
      <c r="I5302" s="9"/>
    </row>
    <row r="5303" spans="1:9" x14ac:dyDescent="0.25">
      <c r="A5303">
        <v>628600</v>
      </c>
      <c r="B5303">
        <v>3.27</v>
      </c>
      <c r="C5303">
        <v>600</v>
      </c>
      <c r="D5303" s="9">
        <v>42976</v>
      </c>
      <c r="E5303" t="s">
        <v>296</v>
      </c>
      <c r="I5303" s="9"/>
    </row>
    <row r="5304" spans="1:9" x14ac:dyDescent="0.25">
      <c r="A5304">
        <v>628600</v>
      </c>
      <c r="B5304">
        <v>3.29</v>
      </c>
      <c r="C5304">
        <v>600</v>
      </c>
      <c r="D5304" s="9">
        <v>42836</v>
      </c>
      <c r="E5304" t="s">
        <v>296</v>
      </c>
      <c r="I5304" s="9"/>
    </row>
    <row r="5305" spans="1:9" x14ac:dyDescent="0.25">
      <c r="A5305">
        <v>628600</v>
      </c>
      <c r="B5305">
        <v>3.35</v>
      </c>
      <c r="C5305">
        <v>480</v>
      </c>
      <c r="D5305" s="9">
        <v>42696</v>
      </c>
      <c r="E5305" t="s">
        <v>296</v>
      </c>
      <c r="I5305" s="9"/>
    </row>
    <row r="5306" spans="1:9" x14ac:dyDescent="0.25">
      <c r="A5306">
        <v>628600</v>
      </c>
      <c r="B5306">
        <v>3.35</v>
      </c>
      <c r="C5306">
        <v>500</v>
      </c>
      <c r="D5306" s="9">
        <v>42573</v>
      </c>
      <c r="E5306" t="s">
        <v>296</v>
      </c>
      <c r="I5306" s="9"/>
    </row>
    <row r="5307" spans="1:9" x14ac:dyDescent="0.25">
      <c r="A5307">
        <v>628600</v>
      </c>
      <c r="B5307">
        <v>3.4</v>
      </c>
      <c r="C5307">
        <v>700</v>
      </c>
      <c r="D5307" s="9">
        <v>42494</v>
      </c>
      <c r="E5307" t="s">
        <v>296</v>
      </c>
      <c r="I5307" s="9"/>
    </row>
    <row r="5308" spans="1:9" x14ac:dyDescent="0.25">
      <c r="A5308">
        <v>628600</v>
      </c>
      <c r="B5308">
        <v>3.27</v>
      </c>
      <c r="C5308">
        <v>500</v>
      </c>
      <c r="D5308" s="9">
        <v>42321</v>
      </c>
      <c r="E5308" t="s">
        <v>296</v>
      </c>
      <c r="I5308" s="9"/>
    </row>
    <row r="5309" spans="1:9" x14ac:dyDescent="0.25">
      <c r="A5309">
        <v>628600</v>
      </c>
      <c r="B5309">
        <v>3.27</v>
      </c>
      <c r="C5309">
        <v>600</v>
      </c>
      <c r="D5309" s="9">
        <v>42207</v>
      </c>
      <c r="E5309" t="s">
        <v>296</v>
      </c>
      <c r="I5309" s="9"/>
    </row>
    <row r="5310" spans="1:9" x14ac:dyDescent="0.25">
      <c r="A5310">
        <v>628600</v>
      </c>
      <c r="B5310">
        <v>4.08</v>
      </c>
      <c r="C5310">
        <v>600</v>
      </c>
      <c r="D5310" s="9">
        <v>42139</v>
      </c>
      <c r="E5310" t="s">
        <v>296</v>
      </c>
      <c r="I5310" s="9"/>
    </row>
    <row r="5311" spans="1:9" x14ac:dyDescent="0.25">
      <c r="A5311">
        <v>628600</v>
      </c>
      <c r="B5311">
        <v>14.4</v>
      </c>
      <c r="C5311">
        <v>600</v>
      </c>
      <c r="D5311" s="9">
        <v>42011</v>
      </c>
      <c r="E5311" t="s">
        <v>295</v>
      </c>
      <c r="I5311" s="9"/>
    </row>
    <row r="5312" spans="1:9" x14ac:dyDescent="0.25">
      <c r="A5312">
        <v>628600</v>
      </c>
      <c r="B5312">
        <v>4.08</v>
      </c>
      <c r="C5312">
        <v>600</v>
      </c>
      <c r="D5312" s="9">
        <v>41961</v>
      </c>
      <c r="E5312" t="s">
        <v>296</v>
      </c>
      <c r="I5312" s="9"/>
    </row>
    <row r="5313" spans="1:9" x14ac:dyDescent="0.25">
      <c r="A5313">
        <v>628600</v>
      </c>
      <c r="B5313">
        <v>4.08</v>
      </c>
      <c r="C5313">
        <v>640</v>
      </c>
      <c r="D5313" s="9">
        <v>41813</v>
      </c>
      <c r="E5313" t="s">
        <v>296</v>
      </c>
      <c r="I5313" s="9"/>
    </row>
    <row r="5314" spans="1:9" x14ac:dyDescent="0.25">
      <c r="A5314">
        <v>628600</v>
      </c>
      <c r="B5314">
        <v>4.08</v>
      </c>
      <c r="C5314">
        <v>300</v>
      </c>
      <c r="D5314" s="9">
        <v>41747</v>
      </c>
      <c r="E5314" t="s">
        <v>296</v>
      </c>
      <c r="I5314" s="9"/>
    </row>
    <row r="5315" spans="1:9" x14ac:dyDescent="0.25">
      <c r="A5315">
        <v>628600</v>
      </c>
      <c r="B5315">
        <v>4.08</v>
      </c>
      <c r="C5315">
        <v>340</v>
      </c>
      <c r="D5315" s="9">
        <v>41718</v>
      </c>
      <c r="E5315" t="s">
        <v>296</v>
      </c>
      <c r="I5315" s="9"/>
    </row>
    <row r="5316" spans="1:9" x14ac:dyDescent="0.25">
      <c r="A5316">
        <v>628600</v>
      </c>
      <c r="B5316">
        <v>4.08</v>
      </c>
      <c r="C5316">
        <v>500</v>
      </c>
      <c r="D5316" s="9">
        <v>41592</v>
      </c>
      <c r="E5316" t="s">
        <v>296</v>
      </c>
      <c r="I5316" s="9"/>
    </row>
    <row r="5317" spans="1:9" x14ac:dyDescent="0.25">
      <c r="A5317">
        <v>628600</v>
      </c>
      <c r="B5317">
        <v>4.08</v>
      </c>
      <c r="C5317">
        <v>600</v>
      </c>
      <c r="D5317" s="9">
        <v>41484</v>
      </c>
      <c r="E5317" t="s">
        <v>296</v>
      </c>
      <c r="I5317" s="9"/>
    </row>
    <row r="5318" spans="1:9" x14ac:dyDescent="0.25">
      <c r="A5318">
        <v>628600</v>
      </c>
      <c r="B5318">
        <v>4.12</v>
      </c>
      <c r="C5318">
        <v>480</v>
      </c>
      <c r="D5318" s="9">
        <v>41375</v>
      </c>
      <c r="E5318" t="s">
        <v>296</v>
      </c>
      <c r="I5318" s="9"/>
    </row>
    <row r="5319" spans="1:9" x14ac:dyDescent="0.25">
      <c r="A5319">
        <v>628600</v>
      </c>
      <c r="B5319">
        <v>4.12</v>
      </c>
      <c r="C5319">
        <v>500</v>
      </c>
      <c r="D5319" s="9">
        <v>41288</v>
      </c>
      <c r="E5319" t="s">
        <v>296</v>
      </c>
      <c r="I5319" s="9"/>
    </row>
    <row r="5320" spans="1:9" x14ac:dyDescent="0.25">
      <c r="A5320">
        <v>632000</v>
      </c>
      <c r="B5320">
        <v>0.54100000000000004</v>
      </c>
      <c r="C5320">
        <v>2016</v>
      </c>
      <c r="D5320" s="9">
        <v>41505</v>
      </c>
      <c r="E5320" t="s">
        <v>296</v>
      </c>
      <c r="I5320" s="9"/>
    </row>
    <row r="5321" spans="1:9" x14ac:dyDescent="0.25">
      <c r="A5321">
        <v>632000</v>
      </c>
      <c r="B5321">
        <v>0.54100000000000004</v>
      </c>
      <c r="C5321">
        <v>2160</v>
      </c>
      <c r="D5321" s="9">
        <v>41362</v>
      </c>
      <c r="E5321" t="s">
        <v>296</v>
      </c>
      <c r="I5321" s="9"/>
    </row>
    <row r="5322" spans="1:9" x14ac:dyDescent="0.25">
      <c r="A5322">
        <v>632011</v>
      </c>
      <c r="B5322">
        <v>0.84499999999999997</v>
      </c>
      <c r="C5322">
        <v>576</v>
      </c>
      <c r="D5322" s="9">
        <v>43895</v>
      </c>
      <c r="E5322" t="s">
        <v>296</v>
      </c>
      <c r="I5322" s="9"/>
    </row>
    <row r="5323" spans="1:9" x14ac:dyDescent="0.25">
      <c r="A5323">
        <v>632011</v>
      </c>
      <c r="B5323">
        <v>0.77500000000000002</v>
      </c>
      <c r="C5323">
        <v>648</v>
      </c>
      <c r="D5323" s="9">
        <v>43567</v>
      </c>
      <c r="E5323" t="s">
        <v>296</v>
      </c>
      <c r="I5323" s="9"/>
    </row>
    <row r="5324" spans="1:9" x14ac:dyDescent="0.25">
      <c r="A5324">
        <v>632011</v>
      </c>
      <c r="B5324">
        <v>0.76</v>
      </c>
      <c r="C5324">
        <v>600</v>
      </c>
      <c r="D5324" s="9">
        <v>43054</v>
      </c>
      <c r="E5324" t="s">
        <v>296</v>
      </c>
      <c r="I5324" s="9"/>
    </row>
    <row r="5325" spans="1:9" x14ac:dyDescent="0.25">
      <c r="A5325">
        <v>632011</v>
      </c>
      <c r="B5325">
        <v>2.21</v>
      </c>
      <c r="C5325">
        <v>864</v>
      </c>
      <c r="D5325" s="9">
        <v>42269</v>
      </c>
      <c r="E5325" t="s">
        <v>295</v>
      </c>
      <c r="I5325" s="9"/>
    </row>
    <row r="5326" spans="1:9" x14ac:dyDescent="0.25">
      <c r="A5326">
        <v>632011</v>
      </c>
      <c r="B5326">
        <v>0.72</v>
      </c>
      <c r="C5326">
        <v>864</v>
      </c>
      <c r="D5326" s="9">
        <v>42229</v>
      </c>
      <c r="E5326" t="s">
        <v>296</v>
      </c>
      <c r="I5326" s="9"/>
    </row>
    <row r="5327" spans="1:9" x14ac:dyDescent="0.25">
      <c r="A5327">
        <v>632011</v>
      </c>
      <c r="B5327">
        <v>0.7</v>
      </c>
      <c r="C5327">
        <v>1080</v>
      </c>
      <c r="D5327" s="9">
        <v>41647</v>
      </c>
      <c r="E5327" t="s">
        <v>296</v>
      </c>
      <c r="I5327" s="9"/>
    </row>
    <row r="5328" spans="1:9" x14ac:dyDescent="0.25">
      <c r="A5328">
        <v>632011</v>
      </c>
      <c r="B5328">
        <v>0.68</v>
      </c>
      <c r="C5328">
        <v>960</v>
      </c>
      <c r="D5328" s="9">
        <v>41281</v>
      </c>
      <c r="E5328" t="s">
        <v>296</v>
      </c>
      <c r="I5328" s="9"/>
    </row>
    <row r="5329" spans="1:9" x14ac:dyDescent="0.25">
      <c r="A5329">
        <v>632012</v>
      </c>
      <c r="B5329">
        <v>0.66</v>
      </c>
      <c r="C5329">
        <v>960</v>
      </c>
      <c r="D5329" s="9">
        <v>43972</v>
      </c>
      <c r="E5329" t="s">
        <v>296</v>
      </c>
      <c r="I5329" s="9"/>
    </row>
    <row r="5330" spans="1:9" x14ac:dyDescent="0.25">
      <c r="A5330">
        <v>632012</v>
      </c>
      <c r="B5330">
        <v>0.64</v>
      </c>
      <c r="C5330">
        <v>960</v>
      </c>
      <c r="D5330" s="9">
        <v>43567</v>
      </c>
      <c r="E5330" t="s">
        <v>296</v>
      </c>
      <c r="I5330" s="9"/>
    </row>
    <row r="5331" spans="1:9" x14ac:dyDescent="0.25">
      <c r="A5331">
        <v>632012</v>
      </c>
      <c r="B5331">
        <v>0.61799999999999999</v>
      </c>
      <c r="C5331">
        <v>1440</v>
      </c>
      <c r="D5331" s="9">
        <v>42877</v>
      </c>
      <c r="E5331" t="s">
        <v>296</v>
      </c>
      <c r="I5331" s="9"/>
    </row>
    <row r="5332" spans="1:9" x14ac:dyDescent="0.25">
      <c r="A5332">
        <v>632012</v>
      </c>
      <c r="B5332">
        <v>0.62</v>
      </c>
      <c r="C5332">
        <v>1440</v>
      </c>
      <c r="D5332" s="9">
        <v>41877</v>
      </c>
      <c r="E5332" t="s">
        <v>296</v>
      </c>
      <c r="I5332" s="9"/>
    </row>
    <row r="5333" spans="1:9" x14ac:dyDescent="0.25">
      <c r="A5333">
        <v>632012</v>
      </c>
      <c r="B5333">
        <v>0.61</v>
      </c>
      <c r="C5333">
        <v>1440</v>
      </c>
      <c r="D5333" s="9">
        <v>41647</v>
      </c>
      <c r="E5333" t="s">
        <v>296</v>
      </c>
      <c r="I5333" s="9"/>
    </row>
    <row r="5334" spans="1:9" x14ac:dyDescent="0.25">
      <c r="A5334">
        <v>632012</v>
      </c>
      <c r="B5334">
        <v>0.6</v>
      </c>
      <c r="C5334">
        <v>972</v>
      </c>
      <c r="D5334" s="9">
        <v>41281</v>
      </c>
      <c r="E5334" t="s">
        <v>296</v>
      </c>
      <c r="I5334" s="9"/>
    </row>
    <row r="5335" spans="1:9" x14ac:dyDescent="0.25">
      <c r="A5335">
        <v>632021</v>
      </c>
      <c r="B5335">
        <v>0.96</v>
      </c>
      <c r="C5335">
        <v>1080</v>
      </c>
      <c r="D5335" s="9">
        <v>43871</v>
      </c>
      <c r="E5335" t="s">
        <v>296</v>
      </c>
      <c r="I5335" s="9"/>
    </row>
    <row r="5336" spans="1:9" x14ac:dyDescent="0.25">
      <c r="A5336">
        <v>632021</v>
      </c>
      <c r="B5336">
        <v>0.88</v>
      </c>
      <c r="C5336">
        <v>1080</v>
      </c>
      <c r="D5336" s="9">
        <v>43567</v>
      </c>
      <c r="E5336" t="s">
        <v>296</v>
      </c>
      <c r="I5336" s="9"/>
    </row>
    <row r="5337" spans="1:9" x14ac:dyDescent="0.25">
      <c r="A5337">
        <v>632021</v>
      </c>
      <c r="B5337">
        <v>0.88</v>
      </c>
      <c r="C5337">
        <v>1080</v>
      </c>
      <c r="D5337" s="9">
        <v>42877</v>
      </c>
      <c r="E5337" t="s">
        <v>296</v>
      </c>
      <c r="I5337" s="9"/>
    </row>
    <row r="5338" spans="1:9" x14ac:dyDescent="0.25">
      <c r="A5338">
        <v>632021</v>
      </c>
      <c r="B5338">
        <v>0.92</v>
      </c>
      <c r="C5338">
        <v>864</v>
      </c>
      <c r="D5338" s="9">
        <v>42397</v>
      </c>
      <c r="E5338" t="s">
        <v>296</v>
      </c>
      <c r="I5338" s="9"/>
    </row>
    <row r="5339" spans="1:9" x14ac:dyDescent="0.25">
      <c r="A5339">
        <v>632021</v>
      </c>
      <c r="B5339">
        <v>3.08</v>
      </c>
      <c r="C5339">
        <v>864</v>
      </c>
      <c r="D5339" s="9">
        <v>42269</v>
      </c>
      <c r="E5339" t="s">
        <v>295</v>
      </c>
      <c r="I5339" s="9"/>
    </row>
    <row r="5340" spans="1:9" x14ac:dyDescent="0.25">
      <c r="A5340">
        <v>632021</v>
      </c>
      <c r="B5340">
        <v>0.92</v>
      </c>
      <c r="C5340">
        <v>864</v>
      </c>
      <c r="D5340" s="9">
        <v>42229</v>
      </c>
      <c r="E5340" t="s">
        <v>296</v>
      </c>
      <c r="I5340" s="9"/>
    </row>
    <row r="5341" spans="1:9" x14ac:dyDescent="0.25">
      <c r="A5341">
        <v>632021</v>
      </c>
      <c r="B5341">
        <v>0.91500000000000004</v>
      </c>
      <c r="C5341">
        <v>1008</v>
      </c>
      <c r="D5341" s="9">
        <v>41877</v>
      </c>
      <c r="E5341" t="s">
        <v>296</v>
      </c>
      <c r="I5341" s="9"/>
    </row>
    <row r="5342" spans="1:9" x14ac:dyDescent="0.25">
      <c r="A5342">
        <v>632021</v>
      </c>
      <c r="B5342">
        <v>0.90500000000000003</v>
      </c>
      <c r="C5342">
        <v>1008</v>
      </c>
      <c r="D5342" s="9">
        <v>41592</v>
      </c>
      <c r="E5342" t="s">
        <v>296</v>
      </c>
      <c r="I5342" s="9"/>
    </row>
    <row r="5343" spans="1:9" x14ac:dyDescent="0.25">
      <c r="A5343">
        <v>632030</v>
      </c>
      <c r="B5343">
        <v>1.73</v>
      </c>
      <c r="C5343">
        <v>720</v>
      </c>
      <c r="D5343" s="9">
        <v>44095</v>
      </c>
      <c r="E5343" t="s">
        <v>296</v>
      </c>
      <c r="I5343" s="9"/>
    </row>
    <row r="5344" spans="1:9" x14ac:dyDescent="0.25">
      <c r="A5344">
        <v>632030</v>
      </c>
      <c r="B5344">
        <v>1.73</v>
      </c>
      <c r="C5344">
        <v>600</v>
      </c>
      <c r="D5344" s="9">
        <v>43972</v>
      </c>
      <c r="E5344" t="s">
        <v>296</v>
      </c>
      <c r="I5344" s="9"/>
    </row>
    <row r="5345" spans="1:9" x14ac:dyDescent="0.25">
      <c r="A5345">
        <v>632030</v>
      </c>
      <c r="B5345">
        <v>1.38</v>
      </c>
      <c r="C5345">
        <v>1008</v>
      </c>
      <c r="D5345" s="9">
        <v>43063</v>
      </c>
      <c r="E5345" t="s">
        <v>296</v>
      </c>
      <c r="I5345" s="9"/>
    </row>
    <row r="5346" spans="1:9" x14ac:dyDescent="0.25">
      <c r="A5346">
        <v>632030</v>
      </c>
      <c r="B5346">
        <v>1.68</v>
      </c>
      <c r="C5346">
        <v>600</v>
      </c>
      <c r="D5346" s="9">
        <v>43054</v>
      </c>
      <c r="E5346" t="s">
        <v>296</v>
      </c>
      <c r="I5346" s="9"/>
    </row>
    <row r="5347" spans="1:9" x14ac:dyDescent="0.25">
      <c r="A5347">
        <v>632030</v>
      </c>
      <c r="B5347">
        <v>1.45</v>
      </c>
      <c r="C5347">
        <v>864</v>
      </c>
      <c r="D5347" s="9">
        <v>42397</v>
      </c>
      <c r="E5347" t="s">
        <v>296</v>
      </c>
      <c r="I5347" s="9"/>
    </row>
    <row r="5348" spans="1:9" x14ac:dyDescent="0.25">
      <c r="A5348">
        <v>632030</v>
      </c>
      <c r="B5348">
        <v>1.45</v>
      </c>
      <c r="C5348">
        <v>720</v>
      </c>
      <c r="D5348" s="9">
        <v>42031</v>
      </c>
      <c r="E5348" t="s">
        <v>296</v>
      </c>
      <c r="I5348" s="9"/>
    </row>
    <row r="5349" spans="1:9" x14ac:dyDescent="0.25">
      <c r="A5349">
        <v>632030</v>
      </c>
      <c r="B5349">
        <v>1.45</v>
      </c>
      <c r="C5349">
        <v>1152</v>
      </c>
      <c r="D5349" s="9">
        <v>41647</v>
      </c>
      <c r="E5349" t="s">
        <v>296</v>
      </c>
      <c r="I5349" s="9"/>
    </row>
    <row r="5350" spans="1:9" x14ac:dyDescent="0.25">
      <c r="A5350">
        <v>632030</v>
      </c>
      <c r="B5350">
        <v>1.45</v>
      </c>
      <c r="C5350">
        <v>1152</v>
      </c>
      <c r="D5350" s="9">
        <v>41281</v>
      </c>
      <c r="E5350" t="s">
        <v>296</v>
      </c>
      <c r="I5350" s="9"/>
    </row>
    <row r="5351" spans="1:9" x14ac:dyDescent="0.25">
      <c r="A5351">
        <v>633000</v>
      </c>
      <c r="B5351">
        <v>0.48399999999999999</v>
      </c>
      <c r="C5351">
        <v>1008</v>
      </c>
      <c r="D5351" s="9">
        <v>43972</v>
      </c>
      <c r="E5351" t="s">
        <v>296</v>
      </c>
      <c r="I5351" s="9"/>
    </row>
    <row r="5352" spans="1:9" x14ac:dyDescent="0.25">
      <c r="A5352">
        <v>633000</v>
      </c>
      <c r="B5352">
        <v>0.48399999999999999</v>
      </c>
      <c r="C5352">
        <v>1080</v>
      </c>
      <c r="D5352" s="9">
        <v>43238</v>
      </c>
      <c r="E5352" t="s">
        <v>296</v>
      </c>
      <c r="I5352" s="9"/>
    </row>
    <row r="5353" spans="1:9" x14ac:dyDescent="0.25">
      <c r="A5353">
        <v>633000</v>
      </c>
      <c r="B5353">
        <v>0.48399999999999999</v>
      </c>
      <c r="C5353">
        <v>1152</v>
      </c>
      <c r="D5353" s="9">
        <v>42877</v>
      </c>
      <c r="E5353" t="s">
        <v>296</v>
      </c>
      <c r="I5353" s="9"/>
    </row>
    <row r="5354" spans="1:9" x14ac:dyDescent="0.25">
      <c r="A5354">
        <v>633000</v>
      </c>
      <c r="B5354">
        <v>1.1100000000000001</v>
      </c>
      <c r="C5354">
        <v>1152</v>
      </c>
      <c r="D5354" s="9">
        <v>42269</v>
      </c>
      <c r="E5354" t="s">
        <v>295</v>
      </c>
      <c r="I5354" s="9"/>
    </row>
    <row r="5355" spans="1:9" x14ac:dyDescent="0.25">
      <c r="A5355">
        <v>633000</v>
      </c>
      <c r="B5355">
        <v>0.42</v>
      </c>
      <c r="C5355">
        <v>1152</v>
      </c>
      <c r="D5355" s="9">
        <v>42229</v>
      </c>
      <c r="E5355" t="s">
        <v>296</v>
      </c>
      <c r="I5355" s="9"/>
    </row>
    <row r="5356" spans="1:9" x14ac:dyDescent="0.25">
      <c r="A5356">
        <v>633000</v>
      </c>
      <c r="B5356">
        <v>0.42</v>
      </c>
      <c r="C5356">
        <v>1152</v>
      </c>
      <c r="D5356" s="9">
        <v>41877</v>
      </c>
      <c r="E5356" t="s">
        <v>296</v>
      </c>
      <c r="I5356" s="9"/>
    </row>
    <row r="5357" spans="1:9" x14ac:dyDescent="0.25">
      <c r="A5357">
        <v>633000</v>
      </c>
      <c r="B5357">
        <v>0.41</v>
      </c>
      <c r="C5357">
        <v>1152</v>
      </c>
      <c r="D5357" s="9">
        <v>41718</v>
      </c>
      <c r="E5357" t="s">
        <v>296</v>
      </c>
      <c r="I5357" s="9"/>
    </row>
    <row r="5358" spans="1:9" x14ac:dyDescent="0.25">
      <c r="A5358">
        <v>633000</v>
      </c>
      <c r="B5358">
        <v>0.41</v>
      </c>
      <c r="C5358">
        <v>1152</v>
      </c>
      <c r="D5358" s="9">
        <v>41417</v>
      </c>
      <c r="E5358" t="s">
        <v>296</v>
      </c>
      <c r="I5358" s="9"/>
    </row>
    <row r="5359" spans="1:9" x14ac:dyDescent="0.25">
      <c r="A5359">
        <v>633192</v>
      </c>
      <c r="B5359">
        <v>2.27</v>
      </c>
      <c r="C5359">
        <v>216</v>
      </c>
      <c r="D5359" s="9">
        <v>43972</v>
      </c>
      <c r="E5359" t="s">
        <v>296</v>
      </c>
      <c r="I5359" s="9"/>
    </row>
    <row r="5360" spans="1:9" x14ac:dyDescent="0.25">
      <c r="A5360">
        <v>633215</v>
      </c>
      <c r="B5360">
        <v>2.37</v>
      </c>
      <c r="C5360">
        <v>216</v>
      </c>
      <c r="D5360" s="9">
        <v>43972</v>
      </c>
      <c r="E5360" t="s">
        <v>296</v>
      </c>
      <c r="I5360" s="9"/>
    </row>
    <row r="5361" spans="1:9" x14ac:dyDescent="0.25">
      <c r="A5361">
        <v>633220</v>
      </c>
      <c r="B5361">
        <v>0.63</v>
      </c>
      <c r="C5361">
        <v>1200</v>
      </c>
      <c r="D5361" s="9">
        <v>41877</v>
      </c>
      <c r="E5361" t="s">
        <v>296</v>
      </c>
      <c r="I5361" s="9"/>
    </row>
    <row r="5362" spans="1:9" x14ac:dyDescent="0.25">
      <c r="A5362">
        <v>633220</v>
      </c>
      <c r="B5362">
        <v>0.64</v>
      </c>
      <c r="C5362">
        <v>1320</v>
      </c>
      <c r="D5362" s="9">
        <v>41592</v>
      </c>
      <c r="E5362" t="s">
        <v>296</v>
      </c>
      <c r="I5362" s="9"/>
    </row>
    <row r="5363" spans="1:9" x14ac:dyDescent="0.25">
      <c r="A5363">
        <v>633228</v>
      </c>
      <c r="B5363">
        <v>2.2999999999999998</v>
      </c>
      <c r="C5363">
        <v>288</v>
      </c>
      <c r="D5363" s="9">
        <v>44035</v>
      </c>
      <c r="E5363" t="s">
        <v>296</v>
      </c>
      <c r="I5363" s="9"/>
    </row>
    <row r="5364" spans="1:9" x14ac:dyDescent="0.25">
      <c r="A5364">
        <v>633228</v>
      </c>
      <c r="B5364">
        <v>2.2999999999999998</v>
      </c>
      <c r="C5364">
        <v>288</v>
      </c>
      <c r="D5364" s="9">
        <v>43803</v>
      </c>
      <c r="E5364" t="s">
        <v>296</v>
      </c>
      <c r="I5364" s="9"/>
    </row>
    <row r="5365" spans="1:9" x14ac:dyDescent="0.25">
      <c r="A5365">
        <v>633228</v>
      </c>
      <c r="B5365">
        <v>2.2999999999999998</v>
      </c>
      <c r="C5365">
        <v>192</v>
      </c>
      <c r="D5365" s="9">
        <v>43648</v>
      </c>
      <c r="E5365" t="s">
        <v>296</v>
      </c>
      <c r="I5365" s="9"/>
    </row>
    <row r="5366" spans="1:9" x14ac:dyDescent="0.25">
      <c r="A5366">
        <v>633228</v>
      </c>
      <c r="B5366">
        <v>2.2999999999999998</v>
      </c>
      <c r="C5366">
        <v>192</v>
      </c>
      <c r="D5366" s="9">
        <v>43381</v>
      </c>
      <c r="E5366" t="s">
        <v>296</v>
      </c>
      <c r="I5366" s="9"/>
    </row>
    <row r="5367" spans="1:9" x14ac:dyDescent="0.25">
      <c r="A5367">
        <v>633228</v>
      </c>
      <c r="B5367">
        <v>2.2000000000000002</v>
      </c>
      <c r="C5367">
        <v>180</v>
      </c>
      <c r="D5367" s="9">
        <v>43063</v>
      </c>
      <c r="E5367" t="s">
        <v>296</v>
      </c>
      <c r="I5367" s="9"/>
    </row>
    <row r="5368" spans="1:9" x14ac:dyDescent="0.25">
      <c r="A5368">
        <v>633229</v>
      </c>
      <c r="B5368">
        <v>2.5</v>
      </c>
      <c r="C5368">
        <v>192</v>
      </c>
      <c r="D5368" s="9">
        <v>43648</v>
      </c>
      <c r="E5368" t="s">
        <v>296</v>
      </c>
      <c r="I5368" s="9"/>
    </row>
    <row r="5369" spans="1:9" x14ac:dyDescent="0.25">
      <c r="A5369">
        <v>633229</v>
      </c>
      <c r="B5369">
        <v>2.5</v>
      </c>
      <c r="C5369">
        <v>192</v>
      </c>
      <c r="D5369" s="9">
        <v>43381</v>
      </c>
      <c r="E5369" t="s">
        <v>296</v>
      </c>
      <c r="I5369" s="9"/>
    </row>
    <row r="5370" spans="1:9" x14ac:dyDescent="0.25">
      <c r="A5370">
        <v>633229</v>
      </c>
      <c r="B5370">
        <v>2.4</v>
      </c>
      <c r="C5370">
        <v>180</v>
      </c>
      <c r="D5370" s="9">
        <v>43063</v>
      </c>
      <c r="E5370" t="s">
        <v>296</v>
      </c>
      <c r="I5370" s="9"/>
    </row>
    <row r="5371" spans="1:9" x14ac:dyDescent="0.25">
      <c r="A5371">
        <v>633230</v>
      </c>
      <c r="B5371">
        <v>2.6</v>
      </c>
      <c r="C5371">
        <v>288</v>
      </c>
      <c r="D5371" s="9">
        <v>44035</v>
      </c>
      <c r="E5371" t="s">
        <v>296</v>
      </c>
      <c r="I5371" s="9"/>
    </row>
    <row r="5372" spans="1:9" x14ac:dyDescent="0.25">
      <c r="A5372">
        <v>633230</v>
      </c>
      <c r="B5372">
        <v>2.6</v>
      </c>
      <c r="C5372">
        <v>288</v>
      </c>
      <c r="D5372" s="9">
        <v>43803</v>
      </c>
      <c r="E5372" t="s">
        <v>296</v>
      </c>
      <c r="I5372" s="9"/>
    </row>
    <row r="5373" spans="1:9" x14ac:dyDescent="0.25">
      <c r="A5373">
        <v>633230</v>
      </c>
      <c r="B5373">
        <v>2.6</v>
      </c>
      <c r="C5373">
        <v>192</v>
      </c>
      <c r="D5373" s="9">
        <v>43648</v>
      </c>
      <c r="E5373" t="s">
        <v>296</v>
      </c>
      <c r="I5373" s="9"/>
    </row>
    <row r="5374" spans="1:9" x14ac:dyDescent="0.25">
      <c r="A5374">
        <v>633230</v>
      </c>
      <c r="B5374">
        <v>2.6</v>
      </c>
      <c r="C5374">
        <v>192</v>
      </c>
      <c r="D5374" s="9">
        <v>43381</v>
      </c>
      <c r="E5374" t="s">
        <v>296</v>
      </c>
      <c r="I5374" s="9"/>
    </row>
    <row r="5375" spans="1:9" x14ac:dyDescent="0.25">
      <c r="A5375">
        <v>633230</v>
      </c>
      <c r="B5375">
        <v>2.5</v>
      </c>
      <c r="C5375">
        <v>180</v>
      </c>
      <c r="D5375" s="9">
        <v>43063</v>
      </c>
      <c r="E5375" t="s">
        <v>296</v>
      </c>
      <c r="I5375" s="9"/>
    </row>
    <row r="5376" spans="1:9" x14ac:dyDescent="0.25">
      <c r="A5376">
        <v>634190</v>
      </c>
      <c r="B5376">
        <v>3.63</v>
      </c>
      <c r="C5376">
        <v>400</v>
      </c>
      <c r="D5376" s="9">
        <v>44074</v>
      </c>
      <c r="E5376" t="s">
        <v>296</v>
      </c>
      <c r="I5376" s="9"/>
    </row>
    <row r="5377" spans="1:9" x14ac:dyDescent="0.25">
      <c r="A5377">
        <v>634190</v>
      </c>
      <c r="B5377">
        <v>3.63</v>
      </c>
      <c r="C5377">
        <v>700</v>
      </c>
      <c r="D5377" s="9">
        <v>43391</v>
      </c>
      <c r="E5377" t="s">
        <v>296</v>
      </c>
      <c r="I5377" s="9"/>
    </row>
    <row r="5378" spans="1:9" x14ac:dyDescent="0.25">
      <c r="A5378">
        <v>634190</v>
      </c>
      <c r="B5378">
        <v>3.8</v>
      </c>
      <c r="C5378">
        <v>700</v>
      </c>
      <c r="D5378" s="9">
        <v>43333</v>
      </c>
      <c r="E5378" t="s">
        <v>296</v>
      </c>
      <c r="I5378" s="9"/>
    </row>
    <row r="5379" spans="1:9" x14ac:dyDescent="0.25">
      <c r="A5379">
        <v>634190</v>
      </c>
      <c r="B5379">
        <v>18.899999999999999</v>
      </c>
      <c r="C5379">
        <v>100</v>
      </c>
      <c r="D5379" s="9">
        <v>43319</v>
      </c>
      <c r="E5379" t="s">
        <v>295</v>
      </c>
      <c r="I5379" s="9"/>
    </row>
    <row r="5380" spans="1:9" x14ac:dyDescent="0.25">
      <c r="A5380">
        <v>634190</v>
      </c>
      <c r="B5380">
        <v>18.899999999999999</v>
      </c>
      <c r="C5380">
        <v>160</v>
      </c>
      <c r="D5380" s="9">
        <v>43287</v>
      </c>
      <c r="E5380" t="s">
        <v>295</v>
      </c>
      <c r="I5380" s="9"/>
    </row>
    <row r="5381" spans="1:9" x14ac:dyDescent="0.25">
      <c r="A5381">
        <v>634190</v>
      </c>
      <c r="B5381">
        <v>3.83</v>
      </c>
      <c r="C5381">
        <v>360</v>
      </c>
      <c r="D5381" s="9">
        <v>43228</v>
      </c>
      <c r="E5381" t="s">
        <v>296</v>
      </c>
      <c r="I5381" s="9"/>
    </row>
    <row r="5382" spans="1:9" x14ac:dyDescent="0.25">
      <c r="A5382">
        <v>634190</v>
      </c>
      <c r="B5382">
        <v>18.899999999999999</v>
      </c>
      <c r="C5382">
        <v>164</v>
      </c>
      <c r="D5382" s="9">
        <v>43195</v>
      </c>
      <c r="E5382" t="s">
        <v>295</v>
      </c>
      <c r="I5382" s="9"/>
    </row>
    <row r="5383" spans="1:9" x14ac:dyDescent="0.25">
      <c r="A5383">
        <v>634190</v>
      </c>
      <c r="B5383">
        <v>18.7</v>
      </c>
      <c r="C5383">
        <v>618</v>
      </c>
      <c r="D5383" s="9">
        <v>43195</v>
      </c>
      <c r="E5383" t="s">
        <v>295</v>
      </c>
      <c r="I5383" s="9"/>
    </row>
    <row r="5384" spans="1:9" x14ac:dyDescent="0.25">
      <c r="A5384">
        <v>634190</v>
      </c>
      <c r="B5384">
        <v>14.71</v>
      </c>
      <c r="C5384">
        <v>400</v>
      </c>
      <c r="D5384" s="9">
        <v>43090</v>
      </c>
      <c r="E5384" t="s">
        <v>295</v>
      </c>
      <c r="I5384" s="9"/>
    </row>
    <row r="5385" spans="1:9" x14ac:dyDescent="0.25">
      <c r="A5385">
        <v>634190</v>
      </c>
      <c r="B5385">
        <v>3.83</v>
      </c>
      <c r="C5385">
        <v>400</v>
      </c>
      <c r="D5385" s="9">
        <v>43052</v>
      </c>
      <c r="E5385" t="s">
        <v>296</v>
      </c>
      <c r="I5385" s="9"/>
    </row>
    <row r="5386" spans="1:9" x14ac:dyDescent="0.25">
      <c r="A5386">
        <v>634190</v>
      </c>
      <c r="B5386">
        <v>3.1</v>
      </c>
      <c r="C5386">
        <v>300</v>
      </c>
      <c r="D5386" s="9">
        <v>42873</v>
      </c>
      <c r="E5386" t="s">
        <v>296</v>
      </c>
      <c r="I5386" s="9"/>
    </row>
    <row r="5387" spans="1:9" x14ac:dyDescent="0.25">
      <c r="A5387">
        <v>634190</v>
      </c>
      <c r="B5387">
        <v>3</v>
      </c>
      <c r="C5387">
        <v>200</v>
      </c>
      <c r="D5387" s="9">
        <v>42696</v>
      </c>
      <c r="E5387" t="s">
        <v>296</v>
      </c>
      <c r="I5387" s="9"/>
    </row>
    <row r="5388" spans="1:9" x14ac:dyDescent="0.25">
      <c r="A5388">
        <v>634190</v>
      </c>
      <c r="B5388">
        <v>19.670000000000002</v>
      </c>
      <c r="C5388">
        <v>60</v>
      </c>
      <c r="D5388" s="9">
        <v>42626</v>
      </c>
      <c r="E5388" t="s">
        <v>295</v>
      </c>
      <c r="I5388" s="9"/>
    </row>
    <row r="5389" spans="1:9" x14ac:dyDescent="0.25">
      <c r="A5389">
        <v>634190</v>
      </c>
      <c r="B5389">
        <v>3.33</v>
      </c>
      <c r="C5389">
        <v>200</v>
      </c>
      <c r="D5389" s="9">
        <v>42586</v>
      </c>
      <c r="E5389" t="s">
        <v>296</v>
      </c>
      <c r="I5389" s="9"/>
    </row>
    <row r="5390" spans="1:9" x14ac:dyDescent="0.25">
      <c r="A5390">
        <v>634190</v>
      </c>
      <c r="B5390">
        <v>3.7</v>
      </c>
      <c r="C5390">
        <v>160</v>
      </c>
      <c r="D5390" s="9">
        <v>42325</v>
      </c>
      <c r="E5390" t="s">
        <v>296</v>
      </c>
      <c r="I5390" s="9"/>
    </row>
    <row r="5391" spans="1:9" x14ac:dyDescent="0.25">
      <c r="A5391">
        <v>634190</v>
      </c>
      <c r="B5391">
        <v>3.7</v>
      </c>
      <c r="C5391">
        <v>120</v>
      </c>
      <c r="D5391" s="9">
        <v>41934</v>
      </c>
      <c r="E5391" t="s">
        <v>296</v>
      </c>
      <c r="I5391" s="9"/>
    </row>
    <row r="5392" spans="1:9" x14ac:dyDescent="0.25">
      <c r="A5392">
        <v>634190</v>
      </c>
      <c r="B5392">
        <v>4.8129999999999997</v>
      </c>
      <c r="C5392">
        <v>160</v>
      </c>
      <c r="D5392" s="9">
        <v>41816</v>
      </c>
      <c r="E5392" t="s">
        <v>296</v>
      </c>
      <c r="I5392" s="9"/>
    </row>
    <row r="5393" spans="1:9" x14ac:dyDescent="0.25">
      <c r="A5393">
        <v>634190</v>
      </c>
      <c r="B5393">
        <v>4.8129999999999997</v>
      </c>
      <c r="C5393">
        <v>160</v>
      </c>
      <c r="D5393" s="9">
        <v>41647</v>
      </c>
      <c r="E5393" t="s">
        <v>296</v>
      </c>
      <c r="I5393" s="9"/>
    </row>
    <row r="5394" spans="1:9" x14ac:dyDescent="0.25">
      <c r="A5394">
        <v>634250</v>
      </c>
      <c r="B5394">
        <v>5</v>
      </c>
      <c r="C5394">
        <v>200</v>
      </c>
      <c r="D5394" s="9">
        <v>44068</v>
      </c>
      <c r="E5394" t="s">
        <v>296</v>
      </c>
      <c r="I5394" s="9"/>
    </row>
    <row r="5395" spans="1:9" x14ac:dyDescent="0.25">
      <c r="A5395">
        <v>634250</v>
      </c>
      <c r="B5395">
        <v>5</v>
      </c>
      <c r="C5395">
        <v>400</v>
      </c>
      <c r="D5395" s="9">
        <v>43605</v>
      </c>
      <c r="E5395" t="s">
        <v>296</v>
      </c>
      <c r="I5395" s="9"/>
    </row>
    <row r="5396" spans="1:9" x14ac:dyDescent="0.25">
      <c r="A5396">
        <v>634250</v>
      </c>
      <c r="B5396">
        <v>5</v>
      </c>
      <c r="C5396">
        <v>300</v>
      </c>
      <c r="D5396" s="9">
        <v>43489</v>
      </c>
      <c r="E5396" t="s">
        <v>296</v>
      </c>
      <c r="I5396" s="9"/>
    </row>
    <row r="5397" spans="1:9" x14ac:dyDescent="0.25">
      <c r="A5397">
        <v>634250</v>
      </c>
      <c r="B5397">
        <v>5</v>
      </c>
      <c r="C5397">
        <v>500</v>
      </c>
      <c r="D5397" s="9">
        <v>43333</v>
      </c>
      <c r="E5397" t="s">
        <v>296</v>
      </c>
      <c r="I5397" s="9"/>
    </row>
    <row r="5398" spans="1:9" x14ac:dyDescent="0.25">
      <c r="A5398">
        <v>634250</v>
      </c>
      <c r="B5398">
        <v>4.7</v>
      </c>
      <c r="C5398">
        <v>250</v>
      </c>
      <c r="D5398" s="9">
        <v>43228</v>
      </c>
      <c r="E5398" t="s">
        <v>296</v>
      </c>
      <c r="I5398" s="9"/>
    </row>
    <row r="5399" spans="1:9" x14ac:dyDescent="0.25">
      <c r="A5399">
        <v>634250</v>
      </c>
      <c r="B5399">
        <v>24.26</v>
      </c>
      <c r="C5399">
        <v>250</v>
      </c>
      <c r="D5399" s="9">
        <v>43195</v>
      </c>
      <c r="E5399" t="s">
        <v>295</v>
      </c>
      <c r="I5399" s="9"/>
    </row>
    <row r="5400" spans="1:9" x14ac:dyDescent="0.25">
      <c r="A5400">
        <v>634250</v>
      </c>
      <c r="B5400">
        <v>4.3499999999999996</v>
      </c>
      <c r="C5400">
        <v>200</v>
      </c>
      <c r="D5400" s="9">
        <v>43039</v>
      </c>
      <c r="E5400" t="s">
        <v>296</v>
      </c>
      <c r="I5400" s="9"/>
    </row>
    <row r="5401" spans="1:9" x14ac:dyDescent="0.25">
      <c r="A5401">
        <v>634250</v>
      </c>
      <c r="B5401">
        <v>26.8</v>
      </c>
      <c r="C5401">
        <v>120</v>
      </c>
      <c r="D5401" s="9">
        <v>42930</v>
      </c>
      <c r="E5401" t="s">
        <v>295</v>
      </c>
      <c r="I5401" s="9"/>
    </row>
    <row r="5402" spans="1:9" x14ac:dyDescent="0.25">
      <c r="A5402">
        <v>634250</v>
      </c>
      <c r="B5402">
        <v>4.3499999999999996</v>
      </c>
      <c r="C5402">
        <v>200</v>
      </c>
      <c r="D5402" s="9">
        <v>42696</v>
      </c>
      <c r="E5402" t="s">
        <v>296</v>
      </c>
      <c r="I5402" s="9"/>
    </row>
    <row r="5403" spans="1:9" x14ac:dyDescent="0.25">
      <c r="A5403">
        <v>634250</v>
      </c>
      <c r="B5403">
        <v>4.58</v>
      </c>
      <c r="C5403">
        <v>120</v>
      </c>
      <c r="D5403" s="9">
        <v>42494</v>
      </c>
      <c r="E5403" t="s">
        <v>296</v>
      </c>
      <c r="I5403" s="9"/>
    </row>
    <row r="5404" spans="1:9" x14ac:dyDescent="0.25">
      <c r="A5404">
        <v>634250</v>
      </c>
      <c r="B5404">
        <v>26.97</v>
      </c>
      <c r="C5404">
        <v>10</v>
      </c>
      <c r="D5404" s="9">
        <v>42485</v>
      </c>
      <c r="E5404" t="s">
        <v>295</v>
      </c>
      <c r="I5404" s="9"/>
    </row>
    <row r="5405" spans="1:9" x14ac:dyDescent="0.25">
      <c r="A5405">
        <v>634250</v>
      </c>
      <c r="B5405">
        <v>4.6500000000000004</v>
      </c>
      <c r="C5405">
        <v>120</v>
      </c>
      <c r="D5405" s="9">
        <v>42299</v>
      </c>
      <c r="E5405" t="s">
        <v>296</v>
      </c>
      <c r="I5405" s="9"/>
    </row>
    <row r="5406" spans="1:9" x14ac:dyDescent="0.25">
      <c r="A5406">
        <v>634250</v>
      </c>
      <c r="B5406">
        <v>5.3</v>
      </c>
      <c r="C5406">
        <v>120</v>
      </c>
      <c r="D5406" s="9">
        <v>41934</v>
      </c>
      <c r="E5406" t="s">
        <v>296</v>
      </c>
      <c r="I5406" s="9"/>
    </row>
    <row r="5407" spans="1:9" x14ac:dyDescent="0.25">
      <c r="A5407">
        <v>634250</v>
      </c>
      <c r="B5407">
        <v>6.6509999999999998</v>
      </c>
      <c r="C5407">
        <v>120</v>
      </c>
      <c r="D5407" s="9">
        <v>41816</v>
      </c>
      <c r="E5407" t="s">
        <v>296</v>
      </c>
      <c r="I5407" s="9"/>
    </row>
    <row r="5408" spans="1:9" x14ac:dyDescent="0.25">
      <c r="A5408">
        <v>634250</v>
      </c>
      <c r="B5408">
        <v>6.6509999999999998</v>
      </c>
      <c r="C5408">
        <v>160</v>
      </c>
      <c r="D5408" s="9">
        <v>41647</v>
      </c>
      <c r="E5408" t="s">
        <v>296</v>
      </c>
      <c r="I5408" s="9"/>
    </row>
    <row r="5409" spans="1:9" x14ac:dyDescent="0.25">
      <c r="A5409">
        <v>634310</v>
      </c>
      <c r="B5409">
        <v>7</v>
      </c>
      <c r="C5409">
        <v>225</v>
      </c>
      <c r="D5409" s="9">
        <v>44111</v>
      </c>
      <c r="E5409" t="s">
        <v>296</v>
      </c>
      <c r="I5409" s="9"/>
    </row>
    <row r="5410" spans="1:9" x14ac:dyDescent="0.25">
      <c r="A5410">
        <v>634310</v>
      </c>
      <c r="B5410">
        <v>7</v>
      </c>
      <c r="C5410">
        <v>300</v>
      </c>
      <c r="D5410" s="9">
        <v>44074</v>
      </c>
      <c r="E5410" t="s">
        <v>296</v>
      </c>
      <c r="I5410" s="9"/>
    </row>
    <row r="5411" spans="1:9" x14ac:dyDescent="0.25">
      <c r="A5411">
        <v>634310</v>
      </c>
      <c r="B5411">
        <v>7</v>
      </c>
      <c r="C5411">
        <v>160</v>
      </c>
      <c r="D5411" s="9">
        <v>43955</v>
      </c>
      <c r="E5411" t="s">
        <v>296</v>
      </c>
      <c r="I5411" s="9"/>
    </row>
    <row r="5412" spans="1:9" x14ac:dyDescent="0.25">
      <c r="A5412">
        <v>634310</v>
      </c>
      <c r="B5412">
        <v>32.299999999999997</v>
      </c>
      <c r="C5412">
        <v>100</v>
      </c>
      <c r="D5412" s="9">
        <v>43903</v>
      </c>
      <c r="E5412" t="s">
        <v>295</v>
      </c>
      <c r="I5412" s="9"/>
    </row>
    <row r="5413" spans="1:9" x14ac:dyDescent="0.25">
      <c r="A5413">
        <v>634310</v>
      </c>
      <c r="B5413">
        <v>7</v>
      </c>
      <c r="C5413">
        <v>240</v>
      </c>
      <c r="D5413" s="9">
        <v>43769</v>
      </c>
      <c r="E5413" t="s">
        <v>296</v>
      </c>
      <c r="I5413" s="9"/>
    </row>
    <row r="5414" spans="1:9" x14ac:dyDescent="0.25">
      <c r="A5414">
        <v>634310</v>
      </c>
      <c r="B5414">
        <v>7</v>
      </c>
      <c r="C5414">
        <v>160</v>
      </c>
      <c r="D5414" s="9">
        <v>43605</v>
      </c>
      <c r="E5414" t="s">
        <v>296</v>
      </c>
      <c r="I5414" s="9"/>
    </row>
    <row r="5415" spans="1:9" x14ac:dyDescent="0.25">
      <c r="A5415">
        <v>634310</v>
      </c>
      <c r="B5415">
        <v>7</v>
      </c>
      <c r="C5415">
        <v>300</v>
      </c>
      <c r="D5415" s="9">
        <v>43489</v>
      </c>
      <c r="E5415" t="s">
        <v>296</v>
      </c>
      <c r="I5415" s="9"/>
    </row>
    <row r="5416" spans="1:9" x14ac:dyDescent="0.25">
      <c r="A5416">
        <v>634310</v>
      </c>
      <c r="B5416">
        <v>7</v>
      </c>
      <c r="C5416">
        <v>300</v>
      </c>
      <c r="D5416" s="9">
        <v>43333</v>
      </c>
      <c r="E5416" t="s">
        <v>296</v>
      </c>
      <c r="I5416" s="9"/>
    </row>
    <row r="5417" spans="1:9" x14ac:dyDescent="0.25">
      <c r="A5417">
        <v>634310</v>
      </c>
      <c r="B5417">
        <v>6.98</v>
      </c>
      <c r="C5417">
        <v>300</v>
      </c>
      <c r="D5417" s="9">
        <v>43228</v>
      </c>
      <c r="E5417" t="s">
        <v>296</v>
      </c>
      <c r="I5417" s="9"/>
    </row>
    <row r="5418" spans="1:9" x14ac:dyDescent="0.25">
      <c r="A5418">
        <v>634310</v>
      </c>
      <c r="B5418">
        <v>6.65</v>
      </c>
      <c r="C5418">
        <v>300</v>
      </c>
      <c r="D5418" s="9">
        <v>43039</v>
      </c>
      <c r="E5418" t="s">
        <v>296</v>
      </c>
      <c r="I5418" s="9"/>
    </row>
    <row r="5419" spans="1:9" x14ac:dyDescent="0.25">
      <c r="A5419">
        <v>634310</v>
      </c>
      <c r="B5419">
        <v>6.32</v>
      </c>
      <c r="C5419">
        <v>200</v>
      </c>
      <c r="D5419" s="9">
        <v>42836</v>
      </c>
      <c r="E5419" t="s">
        <v>296</v>
      </c>
      <c r="I5419" s="9"/>
    </row>
    <row r="5420" spans="1:9" x14ac:dyDescent="0.25">
      <c r="A5420">
        <v>634310</v>
      </c>
      <c r="B5420">
        <v>6.5</v>
      </c>
      <c r="C5420">
        <v>150</v>
      </c>
      <c r="D5420" s="9">
        <v>42494</v>
      </c>
      <c r="E5420" t="s">
        <v>296</v>
      </c>
      <c r="I5420" s="9"/>
    </row>
    <row r="5421" spans="1:9" x14ac:dyDescent="0.25">
      <c r="A5421">
        <v>634310</v>
      </c>
      <c r="B5421">
        <v>6.9</v>
      </c>
      <c r="C5421">
        <v>400</v>
      </c>
      <c r="D5421" s="9">
        <v>42299</v>
      </c>
      <c r="E5421" t="s">
        <v>296</v>
      </c>
      <c r="I5421" s="9"/>
    </row>
    <row r="5422" spans="1:9" x14ac:dyDescent="0.25">
      <c r="A5422">
        <v>634310</v>
      </c>
      <c r="B5422">
        <v>7.12</v>
      </c>
      <c r="C5422">
        <v>100</v>
      </c>
      <c r="D5422" s="9">
        <v>42299</v>
      </c>
      <c r="E5422" t="s">
        <v>296</v>
      </c>
      <c r="I5422" s="9"/>
    </row>
    <row r="5423" spans="1:9" x14ac:dyDescent="0.25">
      <c r="A5423">
        <v>634310</v>
      </c>
      <c r="B5423">
        <v>7.3</v>
      </c>
      <c r="C5423">
        <v>120</v>
      </c>
      <c r="D5423" s="9">
        <v>41934</v>
      </c>
      <c r="E5423" t="s">
        <v>296</v>
      </c>
      <c r="I5423" s="9"/>
    </row>
    <row r="5424" spans="1:9" x14ac:dyDescent="0.25">
      <c r="A5424">
        <v>634310</v>
      </c>
      <c r="B5424">
        <v>9.18</v>
      </c>
      <c r="C5424">
        <v>80</v>
      </c>
      <c r="D5424" s="9">
        <v>41816</v>
      </c>
      <c r="E5424" t="s">
        <v>296</v>
      </c>
      <c r="I5424" s="9"/>
    </row>
    <row r="5425" spans="1:9" x14ac:dyDescent="0.25">
      <c r="A5425">
        <v>634310</v>
      </c>
      <c r="B5425">
        <v>9.18</v>
      </c>
      <c r="C5425">
        <v>120</v>
      </c>
      <c r="D5425" s="9">
        <v>41647</v>
      </c>
      <c r="E5425" t="s">
        <v>296</v>
      </c>
      <c r="I5425" s="9"/>
    </row>
    <row r="5426" spans="1:9" x14ac:dyDescent="0.25">
      <c r="A5426">
        <v>634310</v>
      </c>
      <c r="B5426">
        <v>7.98</v>
      </c>
      <c r="C5426">
        <v>120</v>
      </c>
      <c r="D5426" s="9">
        <v>41366</v>
      </c>
      <c r="E5426" t="s">
        <v>296</v>
      </c>
      <c r="I5426" s="9"/>
    </row>
    <row r="5427" spans="1:9" x14ac:dyDescent="0.25">
      <c r="A5427">
        <v>634370</v>
      </c>
      <c r="B5427">
        <v>9.1999999999999993</v>
      </c>
      <c r="C5427">
        <v>200</v>
      </c>
      <c r="D5427" s="9">
        <v>44074</v>
      </c>
      <c r="E5427" t="s">
        <v>296</v>
      </c>
      <c r="I5427" s="9"/>
    </row>
    <row r="5428" spans="1:9" x14ac:dyDescent="0.25">
      <c r="A5428">
        <v>634370</v>
      </c>
      <c r="B5428">
        <v>9.1999999999999993</v>
      </c>
      <c r="C5428">
        <v>400</v>
      </c>
      <c r="D5428" s="9">
        <v>43605</v>
      </c>
      <c r="E5428" t="s">
        <v>296</v>
      </c>
      <c r="I5428" s="9"/>
    </row>
    <row r="5429" spans="1:9" x14ac:dyDescent="0.25">
      <c r="A5429">
        <v>634370</v>
      </c>
      <c r="B5429">
        <v>9.1999999999999993</v>
      </c>
      <c r="C5429">
        <v>300</v>
      </c>
      <c r="D5429" s="9">
        <v>43489</v>
      </c>
      <c r="E5429" t="s">
        <v>296</v>
      </c>
      <c r="I5429" s="9"/>
    </row>
    <row r="5430" spans="1:9" x14ac:dyDescent="0.25">
      <c r="A5430">
        <v>634370</v>
      </c>
      <c r="B5430">
        <v>9.1999999999999993</v>
      </c>
      <c r="C5430">
        <v>300</v>
      </c>
      <c r="D5430" s="9">
        <v>43333</v>
      </c>
      <c r="E5430" t="s">
        <v>296</v>
      </c>
      <c r="I5430" s="9"/>
    </row>
    <row r="5431" spans="1:9" x14ac:dyDescent="0.25">
      <c r="A5431">
        <v>634370</v>
      </c>
      <c r="B5431">
        <v>9.15</v>
      </c>
      <c r="C5431">
        <v>200</v>
      </c>
      <c r="D5431" s="9">
        <v>43228</v>
      </c>
      <c r="E5431" t="s">
        <v>296</v>
      </c>
      <c r="I5431" s="9"/>
    </row>
    <row r="5432" spans="1:9" x14ac:dyDescent="0.25">
      <c r="A5432">
        <v>634370</v>
      </c>
      <c r="B5432">
        <v>38.299999999999997</v>
      </c>
      <c r="C5432">
        <v>30</v>
      </c>
      <c r="D5432" s="9">
        <v>43195</v>
      </c>
      <c r="E5432" t="s">
        <v>295</v>
      </c>
      <c r="I5432" s="9"/>
    </row>
    <row r="5433" spans="1:9" x14ac:dyDescent="0.25">
      <c r="A5433">
        <v>634370</v>
      </c>
      <c r="B5433">
        <v>8.75</v>
      </c>
      <c r="C5433">
        <v>200</v>
      </c>
      <c r="D5433" s="9">
        <v>43039</v>
      </c>
      <c r="E5433" t="s">
        <v>296</v>
      </c>
      <c r="I5433" s="9"/>
    </row>
    <row r="5434" spans="1:9" x14ac:dyDescent="0.25">
      <c r="A5434">
        <v>634370</v>
      </c>
      <c r="B5434">
        <v>8.09</v>
      </c>
      <c r="C5434">
        <v>150</v>
      </c>
      <c r="D5434" s="9">
        <v>42873</v>
      </c>
      <c r="E5434" t="s">
        <v>296</v>
      </c>
      <c r="I5434" s="9"/>
    </row>
    <row r="5435" spans="1:9" x14ac:dyDescent="0.25">
      <c r="A5435">
        <v>634370</v>
      </c>
      <c r="B5435">
        <v>8</v>
      </c>
      <c r="C5435">
        <v>100</v>
      </c>
      <c r="D5435" s="9">
        <v>42696</v>
      </c>
      <c r="E5435" t="s">
        <v>296</v>
      </c>
      <c r="I5435" s="9"/>
    </row>
    <row r="5436" spans="1:9" x14ac:dyDescent="0.25">
      <c r="A5436">
        <v>634370</v>
      </c>
      <c r="B5436">
        <v>38.64</v>
      </c>
      <c r="C5436">
        <v>30</v>
      </c>
      <c r="D5436" s="9">
        <v>42684</v>
      </c>
      <c r="E5436" t="s">
        <v>295</v>
      </c>
      <c r="I5436" s="9"/>
    </row>
    <row r="5437" spans="1:9" x14ac:dyDescent="0.25">
      <c r="A5437">
        <v>634370</v>
      </c>
      <c r="B5437">
        <v>38.64</v>
      </c>
      <c r="C5437">
        <v>90</v>
      </c>
      <c r="D5437" s="9">
        <v>42626</v>
      </c>
      <c r="E5437" t="s">
        <v>295</v>
      </c>
      <c r="I5437" s="9"/>
    </row>
    <row r="5438" spans="1:9" x14ac:dyDescent="0.25">
      <c r="A5438">
        <v>634370</v>
      </c>
      <c r="B5438">
        <v>8.5</v>
      </c>
      <c r="C5438">
        <v>80</v>
      </c>
      <c r="D5438" s="9">
        <v>42494</v>
      </c>
      <c r="E5438" t="s">
        <v>296</v>
      </c>
      <c r="I5438" s="9"/>
    </row>
    <row r="5439" spans="1:9" x14ac:dyDescent="0.25">
      <c r="A5439">
        <v>634370</v>
      </c>
      <c r="B5439">
        <v>9</v>
      </c>
      <c r="C5439">
        <v>250</v>
      </c>
      <c r="D5439" s="9">
        <v>42299</v>
      </c>
      <c r="E5439" t="s">
        <v>296</v>
      </c>
      <c r="I5439" s="9"/>
    </row>
    <row r="5440" spans="1:9" x14ac:dyDescent="0.25">
      <c r="A5440">
        <v>635030</v>
      </c>
      <c r="B5440">
        <v>3.95</v>
      </c>
      <c r="C5440">
        <v>360</v>
      </c>
      <c r="D5440" s="9">
        <v>44028</v>
      </c>
      <c r="E5440" t="s">
        <v>296</v>
      </c>
      <c r="I5440" s="9"/>
    </row>
    <row r="5441" spans="1:9" x14ac:dyDescent="0.25">
      <c r="A5441">
        <v>635030</v>
      </c>
      <c r="B5441">
        <v>3.95</v>
      </c>
      <c r="C5441">
        <v>360</v>
      </c>
      <c r="D5441" s="9">
        <v>43760</v>
      </c>
      <c r="E5441" t="s">
        <v>296</v>
      </c>
      <c r="I5441" s="9"/>
    </row>
    <row r="5442" spans="1:9" x14ac:dyDescent="0.25">
      <c r="A5442">
        <v>635030</v>
      </c>
      <c r="B5442">
        <v>4.28</v>
      </c>
      <c r="C5442">
        <v>320</v>
      </c>
      <c r="D5442" s="9">
        <v>43340</v>
      </c>
      <c r="E5442" t="s">
        <v>296</v>
      </c>
      <c r="I5442" s="9"/>
    </row>
    <row r="5443" spans="1:9" x14ac:dyDescent="0.25">
      <c r="A5443">
        <v>635030</v>
      </c>
      <c r="B5443">
        <v>3.37</v>
      </c>
      <c r="C5443">
        <v>320</v>
      </c>
      <c r="D5443" s="9">
        <v>42976</v>
      </c>
      <c r="E5443" t="s">
        <v>296</v>
      </c>
      <c r="I5443" s="9"/>
    </row>
    <row r="5444" spans="1:9" x14ac:dyDescent="0.25">
      <c r="A5444">
        <v>635030</v>
      </c>
      <c r="B5444">
        <v>4.28</v>
      </c>
      <c r="C5444">
        <v>520</v>
      </c>
      <c r="D5444" s="9">
        <v>41961</v>
      </c>
      <c r="E5444" t="s">
        <v>296</v>
      </c>
      <c r="I5444" s="9"/>
    </row>
    <row r="5445" spans="1:9" x14ac:dyDescent="0.25">
      <c r="A5445">
        <v>635030</v>
      </c>
      <c r="B5445">
        <v>4.28</v>
      </c>
      <c r="C5445">
        <v>1000</v>
      </c>
      <c r="D5445" s="9">
        <v>41961</v>
      </c>
      <c r="E5445" t="s">
        <v>296</v>
      </c>
      <c r="I5445" s="9"/>
    </row>
    <row r="5446" spans="1:9" x14ac:dyDescent="0.25">
      <c r="A5446">
        <v>635030</v>
      </c>
      <c r="B5446">
        <v>18.95</v>
      </c>
      <c r="C5446">
        <v>1</v>
      </c>
      <c r="D5446" s="9">
        <v>41884</v>
      </c>
      <c r="E5446" t="s">
        <v>295</v>
      </c>
      <c r="I5446" s="9"/>
    </row>
    <row r="5447" spans="1:9" x14ac:dyDescent="0.25">
      <c r="A5447">
        <v>635030</v>
      </c>
      <c r="B5447">
        <v>4.28</v>
      </c>
      <c r="C5447">
        <v>480</v>
      </c>
      <c r="D5447" s="9">
        <v>41865</v>
      </c>
      <c r="E5447" t="s">
        <v>296</v>
      </c>
      <c r="I5447" s="9"/>
    </row>
    <row r="5448" spans="1:9" x14ac:dyDescent="0.25">
      <c r="A5448">
        <v>635030</v>
      </c>
      <c r="B5448">
        <v>4.28</v>
      </c>
      <c r="C5448">
        <v>500</v>
      </c>
      <c r="D5448" s="9">
        <v>41821</v>
      </c>
      <c r="E5448" t="s">
        <v>296</v>
      </c>
      <c r="I5448" s="9"/>
    </row>
    <row r="5449" spans="1:9" x14ac:dyDescent="0.25">
      <c r="A5449">
        <v>635030</v>
      </c>
      <c r="B5449">
        <v>13.14</v>
      </c>
      <c r="C5449">
        <v>500</v>
      </c>
      <c r="D5449" s="9">
        <v>41821</v>
      </c>
      <c r="E5449" t="s">
        <v>295</v>
      </c>
      <c r="I5449" s="9"/>
    </row>
    <row r="5450" spans="1:9" x14ac:dyDescent="0.25">
      <c r="A5450">
        <v>635030</v>
      </c>
      <c r="B5450">
        <v>4.28</v>
      </c>
      <c r="C5450">
        <v>400</v>
      </c>
      <c r="D5450" s="9">
        <v>41744</v>
      </c>
      <c r="E5450" t="s">
        <v>296</v>
      </c>
      <c r="I5450" s="9"/>
    </row>
    <row r="5451" spans="1:9" x14ac:dyDescent="0.25">
      <c r="A5451">
        <v>635030</v>
      </c>
      <c r="B5451">
        <v>4.1500000000000004</v>
      </c>
      <c r="C5451">
        <v>300</v>
      </c>
      <c r="D5451" s="9">
        <v>41618</v>
      </c>
      <c r="E5451" t="s">
        <v>296</v>
      </c>
      <c r="I5451" s="9"/>
    </row>
    <row r="5452" spans="1:9" x14ac:dyDescent="0.25">
      <c r="A5452">
        <v>635030</v>
      </c>
      <c r="B5452">
        <v>4.1500000000000004</v>
      </c>
      <c r="C5452">
        <v>300</v>
      </c>
      <c r="D5452" s="9">
        <v>41417</v>
      </c>
      <c r="E5452" t="s">
        <v>296</v>
      </c>
      <c r="I5452" s="9"/>
    </row>
    <row r="5453" spans="1:9" x14ac:dyDescent="0.25">
      <c r="A5453">
        <v>635034</v>
      </c>
      <c r="B5453">
        <v>1.3</v>
      </c>
      <c r="C5453">
        <v>600</v>
      </c>
      <c r="D5453" s="9">
        <v>44111</v>
      </c>
      <c r="E5453" t="s">
        <v>296</v>
      </c>
      <c r="I5453" s="9"/>
    </row>
    <row r="5454" spans="1:9" x14ac:dyDescent="0.25">
      <c r="A5454">
        <v>635034</v>
      </c>
      <c r="B5454">
        <v>1.28</v>
      </c>
      <c r="C5454">
        <v>720</v>
      </c>
      <c r="D5454" s="9">
        <v>43991</v>
      </c>
      <c r="E5454" t="s">
        <v>296</v>
      </c>
      <c r="I5454" s="9"/>
    </row>
    <row r="5455" spans="1:9" x14ac:dyDescent="0.25">
      <c r="A5455">
        <v>635034</v>
      </c>
      <c r="B5455">
        <v>1.28</v>
      </c>
      <c r="C5455">
        <v>840</v>
      </c>
      <c r="D5455" s="9">
        <v>43760</v>
      </c>
      <c r="E5455" t="s">
        <v>296</v>
      </c>
      <c r="I5455" s="9"/>
    </row>
    <row r="5456" spans="1:9" x14ac:dyDescent="0.25">
      <c r="A5456">
        <v>635034</v>
      </c>
      <c r="B5456">
        <v>1.169</v>
      </c>
      <c r="C5456">
        <v>720</v>
      </c>
      <c r="D5456" s="9">
        <v>43340</v>
      </c>
      <c r="E5456" t="s">
        <v>296</v>
      </c>
      <c r="I5456" s="9"/>
    </row>
    <row r="5457" spans="1:9" x14ac:dyDescent="0.25">
      <c r="A5457">
        <v>635034</v>
      </c>
      <c r="B5457">
        <v>1.113</v>
      </c>
      <c r="C5457">
        <v>600</v>
      </c>
      <c r="D5457" s="9">
        <v>42976</v>
      </c>
      <c r="E5457" t="s">
        <v>296</v>
      </c>
      <c r="I5457" s="9"/>
    </row>
    <row r="5458" spans="1:9" x14ac:dyDescent="0.25">
      <c r="A5458">
        <v>635034</v>
      </c>
      <c r="B5458">
        <v>1.32</v>
      </c>
      <c r="C5458">
        <v>840</v>
      </c>
      <c r="D5458" s="9">
        <v>41961</v>
      </c>
      <c r="E5458" t="s">
        <v>296</v>
      </c>
      <c r="I5458" s="9"/>
    </row>
    <row r="5459" spans="1:9" x14ac:dyDescent="0.25">
      <c r="A5459">
        <v>635034</v>
      </c>
      <c r="B5459">
        <v>1.32</v>
      </c>
      <c r="C5459">
        <v>840</v>
      </c>
      <c r="D5459" s="9">
        <v>41961</v>
      </c>
      <c r="E5459" t="s">
        <v>296</v>
      </c>
      <c r="I5459" s="9"/>
    </row>
    <row r="5460" spans="1:9" x14ac:dyDescent="0.25">
      <c r="A5460">
        <v>635034</v>
      </c>
      <c r="B5460">
        <v>4.05</v>
      </c>
      <c r="C5460">
        <v>720</v>
      </c>
      <c r="D5460" s="9">
        <v>41821</v>
      </c>
      <c r="E5460" t="s">
        <v>295</v>
      </c>
      <c r="I5460" s="9"/>
    </row>
    <row r="5461" spans="1:9" x14ac:dyDescent="0.25">
      <c r="A5461">
        <v>635034</v>
      </c>
      <c r="B5461">
        <v>1.32</v>
      </c>
      <c r="C5461">
        <v>720</v>
      </c>
      <c r="D5461" s="9">
        <v>41821</v>
      </c>
      <c r="E5461" t="s">
        <v>296</v>
      </c>
      <c r="I5461" s="9"/>
    </row>
    <row r="5462" spans="1:9" x14ac:dyDescent="0.25">
      <c r="A5462">
        <v>635034</v>
      </c>
      <c r="B5462">
        <v>1.34</v>
      </c>
      <c r="C5462">
        <v>600</v>
      </c>
      <c r="D5462" s="9">
        <v>41746</v>
      </c>
      <c r="E5462" t="s">
        <v>296</v>
      </c>
      <c r="I5462" s="9"/>
    </row>
    <row r="5463" spans="1:9" x14ac:dyDescent="0.25">
      <c r="A5463">
        <v>635034</v>
      </c>
      <c r="B5463">
        <v>1.32</v>
      </c>
      <c r="C5463">
        <v>720</v>
      </c>
      <c r="D5463" s="9">
        <v>41744</v>
      </c>
      <c r="E5463" t="s">
        <v>296</v>
      </c>
      <c r="I5463" s="9"/>
    </row>
    <row r="5464" spans="1:9" x14ac:dyDescent="0.25">
      <c r="A5464">
        <v>635034</v>
      </c>
      <c r="B5464">
        <v>1.34</v>
      </c>
      <c r="C5464">
        <v>600</v>
      </c>
      <c r="D5464" s="9">
        <v>41618</v>
      </c>
      <c r="E5464" t="s">
        <v>296</v>
      </c>
      <c r="I5464" s="9"/>
    </row>
    <row r="5465" spans="1:9" x14ac:dyDescent="0.25">
      <c r="A5465">
        <v>635034</v>
      </c>
      <c r="B5465">
        <v>1.32</v>
      </c>
      <c r="C5465">
        <v>600</v>
      </c>
      <c r="D5465" s="9">
        <v>41288</v>
      </c>
      <c r="E5465" t="s">
        <v>296</v>
      </c>
      <c r="I5465" s="9"/>
    </row>
    <row r="5466" spans="1:9" x14ac:dyDescent="0.25">
      <c r="A5466">
        <v>635040</v>
      </c>
      <c r="B5466">
        <v>9.1</v>
      </c>
      <c r="C5466">
        <v>80</v>
      </c>
      <c r="D5466" s="9">
        <v>44095</v>
      </c>
      <c r="E5466" t="s">
        <v>296</v>
      </c>
      <c r="I5466" s="9"/>
    </row>
    <row r="5467" spans="1:9" x14ac:dyDescent="0.25">
      <c r="A5467">
        <v>635040</v>
      </c>
      <c r="B5467">
        <v>9.42</v>
      </c>
      <c r="C5467">
        <v>60</v>
      </c>
      <c r="D5467" s="9">
        <v>43452</v>
      </c>
      <c r="E5467" t="s">
        <v>296</v>
      </c>
      <c r="I5467" s="9"/>
    </row>
    <row r="5468" spans="1:9" x14ac:dyDescent="0.25">
      <c r="A5468">
        <v>635202</v>
      </c>
      <c r="B5468">
        <v>1.17</v>
      </c>
      <c r="C5468">
        <v>576</v>
      </c>
      <c r="D5468" s="9">
        <v>41479</v>
      </c>
      <c r="E5468" t="s">
        <v>296</v>
      </c>
      <c r="I5468" s="9"/>
    </row>
    <row r="5469" spans="1:9" x14ac:dyDescent="0.25">
      <c r="A5469">
        <v>642300</v>
      </c>
      <c r="B5469">
        <v>0.45</v>
      </c>
      <c r="C5469">
        <v>1152</v>
      </c>
      <c r="D5469" s="9">
        <v>44068</v>
      </c>
      <c r="E5469" t="s">
        <v>296</v>
      </c>
      <c r="I5469" s="9"/>
    </row>
    <row r="5470" spans="1:9" x14ac:dyDescent="0.25">
      <c r="A5470">
        <v>642300</v>
      </c>
      <c r="B5470">
        <v>0.45</v>
      </c>
      <c r="C5470">
        <v>48</v>
      </c>
      <c r="D5470" s="9">
        <v>44068</v>
      </c>
      <c r="E5470" t="s">
        <v>296</v>
      </c>
      <c r="I5470" s="9"/>
    </row>
    <row r="5471" spans="1:9" x14ac:dyDescent="0.25">
      <c r="A5471">
        <v>642300</v>
      </c>
      <c r="B5471">
        <v>0.45</v>
      </c>
      <c r="C5471">
        <v>1080</v>
      </c>
      <c r="D5471" s="9">
        <v>43452</v>
      </c>
      <c r="E5471" t="s">
        <v>296</v>
      </c>
      <c r="I5471" s="9"/>
    </row>
    <row r="5472" spans="1:9" x14ac:dyDescent="0.25">
      <c r="A5472">
        <v>642300</v>
      </c>
      <c r="B5472">
        <v>0.45</v>
      </c>
      <c r="C5472">
        <v>1080</v>
      </c>
      <c r="D5472" s="9">
        <v>42877</v>
      </c>
      <c r="E5472" t="s">
        <v>296</v>
      </c>
      <c r="I5472" s="9"/>
    </row>
    <row r="5473" spans="1:9" x14ac:dyDescent="0.25">
      <c r="A5473">
        <v>642300</v>
      </c>
      <c r="B5473">
        <v>0.47499999999999998</v>
      </c>
      <c r="C5473">
        <v>1080</v>
      </c>
      <c r="D5473" s="9">
        <v>42600</v>
      </c>
      <c r="E5473" t="s">
        <v>296</v>
      </c>
      <c r="I5473" s="9"/>
    </row>
    <row r="5474" spans="1:9" x14ac:dyDescent="0.25">
      <c r="A5474">
        <v>642300</v>
      </c>
      <c r="B5474">
        <v>0.47499999999999998</v>
      </c>
      <c r="C5474">
        <v>1296</v>
      </c>
      <c r="D5474" s="9">
        <v>42177</v>
      </c>
      <c r="E5474" t="s">
        <v>296</v>
      </c>
      <c r="I5474" s="9"/>
    </row>
    <row r="5475" spans="1:9" x14ac:dyDescent="0.25">
      <c r="A5475">
        <v>642300</v>
      </c>
      <c r="B5475">
        <v>0.47499999999999998</v>
      </c>
      <c r="C5475">
        <v>1800</v>
      </c>
      <c r="D5475" s="9">
        <v>41647</v>
      </c>
      <c r="E5475" t="s">
        <v>296</v>
      </c>
      <c r="I5475" s="9"/>
    </row>
    <row r="5476" spans="1:9" x14ac:dyDescent="0.25">
      <c r="A5476">
        <v>642300</v>
      </c>
      <c r="B5476">
        <v>0.47499999999999998</v>
      </c>
      <c r="C5476">
        <v>1800</v>
      </c>
      <c r="D5476" s="9">
        <v>41435</v>
      </c>
      <c r="E5476" t="s">
        <v>296</v>
      </c>
      <c r="I5476" s="9"/>
    </row>
    <row r="5477" spans="1:9" x14ac:dyDescent="0.25">
      <c r="A5477">
        <v>642310</v>
      </c>
      <c r="B5477">
        <v>0.86299999999999999</v>
      </c>
      <c r="C5477">
        <v>1920</v>
      </c>
      <c r="D5477" s="9">
        <v>44140</v>
      </c>
      <c r="E5477" t="s">
        <v>296</v>
      </c>
      <c r="I5477" s="9"/>
    </row>
    <row r="5478" spans="1:9" x14ac:dyDescent="0.25">
      <c r="A5478">
        <v>642310</v>
      </c>
      <c r="B5478">
        <v>0.86299999999999999</v>
      </c>
      <c r="C5478">
        <v>1440</v>
      </c>
      <c r="D5478" s="9">
        <v>44083</v>
      </c>
      <c r="E5478" t="s">
        <v>296</v>
      </c>
      <c r="I5478" s="9"/>
    </row>
    <row r="5479" spans="1:9" x14ac:dyDescent="0.25">
      <c r="A5479">
        <v>642310</v>
      </c>
      <c r="B5479">
        <v>0.86299999999999999</v>
      </c>
      <c r="C5479">
        <v>1500</v>
      </c>
      <c r="D5479" s="9">
        <v>44068</v>
      </c>
      <c r="E5479" t="s">
        <v>296</v>
      </c>
      <c r="I5479" s="9"/>
    </row>
    <row r="5480" spans="1:9" x14ac:dyDescent="0.25">
      <c r="A5480">
        <v>642310</v>
      </c>
      <c r="B5480">
        <v>0.86299999999999999</v>
      </c>
      <c r="C5480">
        <v>2040</v>
      </c>
      <c r="D5480" s="9">
        <v>43991</v>
      </c>
      <c r="E5480" t="s">
        <v>296</v>
      </c>
      <c r="I5480" s="9"/>
    </row>
    <row r="5481" spans="1:9" x14ac:dyDescent="0.25">
      <c r="A5481">
        <v>642310</v>
      </c>
      <c r="B5481">
        <v>0.86299999999999999</v>
      </c>
      <c r="C5481">
        <v>1440</v>
      </c>
      <c r="D5481" s="9">
        <v>43843</v>
      </c>
      <c r="E5481" t="s">
        <v>296</v>
      </c>
      <c r="I5481" s="9"/>
    </row>
    <row r="5482" spans="1:9" x14ac:dyDescent="0.25">
      <c r="A5482">
        <v>642310</v>
      </c>
      <c r="B5482">
        <v>0.85899999999999999</v>
      </c>
      <c r="C5482">
        <v>1200</v>
      </c>
      <c r="D5482" s="9">
        <v>43452</v>
      </c>
      <c r="E5482" t="s">
        <v>296</v>
      </c>
      <c r="I5482" s="9"/>
    </row>
    <row r="5483" spans="1:9" x14ac:dyDescent="0.25">
      <c r="A5483">
        <v>642310</v>
      </c>
      <c r="B5483">
        <v>0.85899999999999999</v>
      </c>
      <c r="C5483">
        <v>2400</v>
      </c>
      <c r="D5483" s="9">
        <v>43299</v>
      </c>
      <c r="E5483" t="s">
        <v>296</v>
      </c>
      <c r="I5483" s="9"/>
    </row>
    <row r="5484" spans="1:9" x14ac:dyDescent="0.25">
      <c r="A5484">
        <v>642310</v>
      </c>
      <c r="B5484">
        <v>3.16</v>
      </c>
      <c r="C5484">
        <v>840</v>
      </c>
      <c r="D5484" s="9">
        <v>43238</v>
      </c>
      <c r="E5484" t="s">
        <v>295</v>
      </c>
      <c r="I5484" s="9"/>
    </row>
    <row r="5485" spans="1:9" x14ac:dyDescent="0.25">
      <c r="A5485">
        <v>642310</v>
      </c>
      <c r="B5485">
        <v>3.16</v>
      </c>
      <c r="C5485">
        <v>900</v>
      </c>
      <c r="D5485" s="9">
        <v>43238</v>
      </c>
      <c r="E5485" t="s">
        <v>295</v>
      </c>
      <c r="I5485" s="9"/>
    </row>
    <row r="5486" spans="1:9" x14ac:dyDescent="0.25">
      <c r="A5486">
        <v>642310</v>
      </c>
      <c r="B5486">
        <v>0.81</v>
      </c>
      <c r="C5486">
        <v>840</v>
      </c>
      <c r="D5486" s="9">
        <v>43238</v>
      </c>
      <c r="E5486" t="s">
        <v>296</v>
      </c>
      <c r="I5486" s="9"/>
    </row>
    <row r="5487" spans="1:9" x14ac:dyDescent="0.25">
      <c r="A5487">
        <v>642310</v>
      </c>
      <c r="B5487">
        <v>0.85899999999999999</v>
      </c>
      <c r="C5487">
        <v>900</v>
      </c>
      <c r="D5487" s="9">
        <v>43238</v>
      </c>
      <c r="E5487" t="s">
        <v>296</v>
      </c>
      <c r="I5487" s="9"/>
    </row>
    <row r="5488" spans="1:9" x14ac:dyDescent="0.25">
      <c r="A5488">
        <v>642310</v>
      </c>
      <c r="B5488">
        <v>2.83</v>
      </c>
      <c r="C5488">
        <v>2040</v>
      </c>
      <c r="D5488" s="9">
        <v>43136</v>
      </c>
      <c r="E5488" t="s">
        <v>295</v>
      </c>
      <c r="I5488" s="9"/>
    </row>
    <row r="5489" spans="1:9" x14ac:dyDescent="0.25">
      <c r="A5489">
        <v>642310</v>
      </c>
      <c r="B5489">
        <v>0.81</v>
      </c>
      <c r="C5489">
        <v>2040</v>
      </c>
      <c r="D5489" s="9">
        <v>43136</v>
      </c>
      <c r="E5489" t="s">
        <v>296</v>
      </c>
      <c r="I5489" s="9"/>
    </row>
    <row r="5490" spans="1:9" x14ac:dyDescent="0.25">
      <c r="A5490">
        <v>642310</v>
      </c>
      <c r="B5490">
        <v>0.8</v>
      </c>
      <c r="C5490">
        <v>1872</v>
      </c>
      <c r="D5490" s="9">
        <v>43063</v>
      </c>
      <c r="E5490" t="s">
        <v>296</v>
      </c>
      <c r="I5490" s="9"/>
    </row>
    <row r="5491" spans="1:9" x14ac:dyDescent="0.25">
      <c r="A5491">
        <v>642310</v>
      </c>
      <c r="B5491">
        <v>0.81</v>
      </c>
      <c r="C5491">
        <v>1872</v>
      </c>
      <c r="D5491" s="9">
        <v>42877</v>
      </c>
      <c r="E5491" t="s">
        <v>296</v>
      </c>
      <c r="I5491" s="9"/>
    </row>
    <row r="5492" spans="1:9" x14ac:dyDescent="0.25">
      <c r="A5492">
        <v>642310</v>
      </c>
      <c r="B5492">
        <v>0.74</v>
      </c>
      <c r="C5492">
        <v>1728</v>
      </c>
      <c r="D5492" s="9">
        <v>42781</v>
      </c>
      <c r="E5492" t="s">
        <v>296</v>
      </c>
      <c r="I5492" s="9"/>
    </row>
    <row r="5493" spans="1:9" x14ac:dyDescent="0.25">
      <c r="A5493">
        <v>642310</v>
      </c>
      <c r="B5493">
        <v>0.74</v>
      </c>
      <c r="C5493">
        <v>1872</v>
      </c>
      <c r="D5493" s="9">
        <v>42617</v>
      </c>
      <c r="E5493" t="s">
        <v>296</v>
      </c>
      <c r="I5493" s="9"/>
    </row>
    <row r="5494" spans="1:9" x14ac:dyDescent="0.25">
      <c r="A5494">
        <v>642310</v>
      </c>
      <c r="B5494">
        <v>0.74</v>
      </c>
      <c r="C5494">
        <v>468</v>
      </c>
      <c r="D5494" s="9">
        <v>42530</v>
      </c>
      <c r="E5494" t="s">
        <v>296</v>
      </c>
      <c r="I5494" s="9"/>
    </row>
    <row r="5495" spans="1:9" x14ac:dyDescent="0.25">
      <c r="A5495">
        <v>642310</v>
      </c>
      <c r="B5495">
        <v>0.74</v>
      </c>
      <c r="C5495">
        <v>1152</v>
      </c>
      <c r="D5495" s="9">
        <v>42510</v>
      </c>
      <c r="E5495" t="s">
        <v>296</v>
      </c>
      <c r="I5495" s="9"/>
    </row>
    <row r="5496" spans="1:9" x14ac:dyDescent="0.25">
      <c r="A5496">
        <v>642310</v>
      </c>
      <c r="B5496">
        <v>0.76</v>
      </c>
      <c r="C5496">
        <v>1296</v>
      </c>
      <c r="D5496" s="9">
        <v>42383</v>
      </c>
      <c r="E5496" t="s">
        <v>296</v>
      </c>
      <c r="I5496" s="9"/>
    </row>
    <row r="5497" spans="1:9" x14ac:dyDescent="0.25">
      <c r="A5497">
        <v>642310</v>
      </c>
      <c r="B5497">
        <v>0.76</v>
      </c>
      <c r="C5497">
        <v>72</v>
      </c>
      <c r="D5497" s="9">
        <v>42383</v>
      </c>
      <c r="E5497" t="s">
        <v>296</v>
      </c>
      <c r="I5497" s="9"/>
    </row>
    <row r="5498" spans="1:9" x14ac:dyDescent="0.25">
      <c r="A5498">
        <v>642310</v>
      </c>
      <c r="B5498">
        <v>0.76</v>
      </c>
      <c r="C5498">
        <v>1008</v>
      </c>
      <c r="D5498" s="9">
        <v>42321</v>
      </c>
      <c r="E5498" t="s">
        <v>296</v>
      </c>
      <c r="I5498" s="9"/>
    </row>
    <row r="5499" spans="1:9" x14ac:dyDescent="0.25">
      <c r="A5499">
        <v>642310</v>
      </c>
      <c r="B5499">
        <v>0.98399999999999999</v>
      </c>
      <c r="C5499">
        <v>900</v>
      </c>
      <c r="D5499" s="9">
        <v>42177</v>
      </c>
      <c r="E5499" t="s">
        <v>296</v>
      </c>
      <c r="I5499" s="9"/>
    </row>
    <row r="5500" spans="1:9" x14ac:dyDescent="0.25">
      <c r="A5500">
        <v>642310</v>
      </c>
      <c r="B5500">
        <v>0.98399999999999999</v>
      </c>
      <c r="C5500">
        <v>864</v>
      </c>
      <c r="D5500" s="9">
        <v>41983</v>
      </c>
      <c r="E5500" t="s">
        <v>296</v>
      </c>
      <c r="I5500" s="9"/>
    </row>
    <row r="5501" spans="1:9" x14ac:dyDescent="0.25">
      <c r="A5501">
        <v>642310</v>
      </c>
      <c r="B5501">
        <v>0.98399999999999999</v>
      </c>
      <c r="C5501">
        <v>1224</v>
      </c>
      <c r="D5501" s="9">
        <v>41816</v>
      </c>
      <c r="E5501" t="s">
        <v>296</v>
      </c>
      <c r="I5501" s="9"/>
    </row>
    <row r="5502" spans="1:9" x14ac:dyDescent="0.25">
      <c r="A5502">
        <v>642310</v>
      </c>
      <c r="B5502">
        <v>0.98399999999999999</v>
      </c>
      <c r="C5502">
        <v>720</v>
      </c>
      <c r="D5502" s="9">
        <v>41782</v>
      </c>
      <c r="E5502" t="s">
        <v>296</v>
      </c>
      <c r="I5502" s="9"/>
    </row>
    <row r="5503" spans="1:9" x14ac:dyDescent="0.25">
      <c r="A5503">
        <v>642310</v>
      </c>
      <c r="B5503">
        <v>0.98399999999999999</v>
      </c>
      <c r="C5503">
        <v>720</v>
      </c>
      <c r="D5503" s="9">
        <v>41647</v>
      </c>
      <c r="E5503" t="s">
        <v>296</v>
      </c>
      <c r="I5503" s="9"/>
    </row>
    <row r="5504" spans="1:9" x14ac:dyDescent="0.25">
      <c r="A5504">
        <v>642310</v>
      </c>
      <c r="B5504">
        <v>0.98399999999999999</v>
      </c>
      <c r="C5504">
        <v>720</v>
      </c>
      <c r="D5504" s="9">
        <v>41435</v>
      </c>
      <c r="E5504" t="s">
        <v>296</v>
      </c>
      <c r="I5504" s="9"/>
    </row>
    <row r="5505" spans="1:9" x14ac:dyDescent="0.25">
      <c r="A5505">
        <v>642310</v>
      </c>
      <c r="B5505">
        <v>0.96399999999999997</v>
      </c>
      <c r="C5505">
        <v>864</v>
      </c>
      <c r="D5505" s="9">
        <v>41418</v>
      </c>
      <c r="E5505" t="s">
        <v>296</v>
      </c>
      <c r="I5505" s="9"/>
    </row>
    <row r="5506" spans="1:9" x14ac:dyDescent="0.25">
      <c r="A5506">
        <v>642900</v>
      </c>
      <c r="B5506">
        <v>0.74</v>
      </c>
      <c r="C5506">
        <v>1170</v>
      </c>
      <c r="D5506" s="9">
        <v>44110</v>
      </c>
      <c r="E5506" t="s">
        <v>295</v>
      </c>
      <c r="I5506" s="9"/>
    </row>
    <row r="5507" spans="1:9" x14ac:dyDescent="0.25">
      <c r="A5507">
        <v>642900</v>
      </c>
      <c r="B5507">
        <v>0.74</v>
      </c>
      <c r="C5507">
        <v>1116</v>
      </c>
      <c r="D5507" s="9">
        <v>43965</v>
      </c>
      <c r="E5507" t="s">
        <v>295</v>
      </c>
      <c r="I5507" s="9"/>
    </row>
    <row r="5508" spans="1:9" x14ac:dyDescent="0.25">
      <c r="A5508">
        <v>642900</v>
      </c>
      <c r="B5508">
        <v>0.74</v>
      </c>
      <c r="C5508">
        <v>1116</v>
      </c>
      <c r="D5508" s="9">
        <v>43910</v>
      </c>
      <c r="E5508" t="s">
        <v>295</v>
      </c>
      <c r="I5508" s="9"/>
    </row>
    <row r="5509" spans="1:9" x14ac:dyDescent="0.25">
      <c r="A5509">
        <v>642900</v>
      </c>
      <c r="B5509">
        <v>0.74</v>
      </c>
      <c r="C5509">
        <v>1116</v>
      </c>
      <c r="D5509" s="9">
        <v>43887</v>
      </c>
      <c r="E5509" t="s">
        <v>295</v>
      </c>
      <c r="I5509" s="9"/>
    </row>
    <row r="5510" spans="1:9" x14ac:dyDescent="0.25">
      <c r="A5510">
        <v>642900</v>
      </c>
      <c r="B5510">
        <v>0.74</v>
      </c>
      <c r="C5510">
        <v>1116</v>
      </c>
      <c r="D5510" s="9">
        <v>43857</v>
      </c>
      <c r="E5510" t="s">
        <v>295</v>
      </c>
      <c r="I5510" s="9"/>
    </row>
    <row r="5511" spans="1:9" x14ac:dyDescent="0.25">
      <c r="A5511">
        <v>642900</v>
      </c>
      <c r="B5511">
        <v>0.74</v>
      </c>
      <c r="C5511">
        <v>1134</v>
      </c>
      <c r="D5511" s="9">
        <v>43766</v>
      </c>
      <c r="E5511" t="s">
        <v>295</v>
      </c>
      <c r="I5511" s="9"/>
    </row>
    <row r="5512" spans="1:9" x14ac:dyDescent="0.25">
      <c r="A5512">
        <v>642900</v>
      </c>
      <c r="B5512">
        <v>0.74</v>
      </c>
      <c r="C5512">
        <v>1116</v>
      </c>
      <c r="D5512" s="9">
        <v>43746</v>
      </c>
      <c r="E5512" t="s">
        <v>295</v>
      </c>
      <c r="I5512" s="9"/>
    </row>
    <row r="5513" spans="1:9" x14ac:dyDescent="0.25">
      <c r="A5513">
        <v>642900</v>
      </c>
      <c r="B5513">
        <v>0.74</v>
      </c>
      <c r="C5513">
        <v>972</v>
      </c>
      <c r="D5513" s="9">
        <v>43656</v>
      </c>
      <c r="E5513" t="s">
        <v>295</v>
      </c>
      <c r="I5513" s="9"/>
    </row>
    <row r="5514" spans="1:9" x14ac:dyDescent="0.25">
      <c r="A5514">
        <v>642900</v>
      </c>
      <c r="B5514">
        <v>0.7</v>
      </c>
      <c r="C5514">
        <v>972</v>
      </c>
      <c r="D5514" s="9">
        <v>43580</v>
      </c>
      <c r="E5514" t="s">
        <v>295</v>
      </c>
      <c r="I5514" s="9"/>
    </row>
    <row r="5515" spans="1:9" x14ac:dyDescent="0.25">
      <c r="A5515">
        <v>642900</v>
      </c>
      <c r="B5515">
        <v>0.7</v>
      </c>
      <c r="C5515">
        <v>972</v>
      </c>
      <c r="D5515" s="9">
        <v>43521</v>
      </c>
      <c r="E5515" t="s">
        <v>295</v>
      </c>
      <c r="I5515" s="9"/>
    </row>
    <row r="5516" spans="1:9" x14ac:dyDescent="0.25">
      <c r="A5516">
        <v>642900</v>
      </c>
      <c r="B5516">
        <v>0.7</v>
      </c>
      <c r="C5516">
        <v>972</v>
      </c>
      <c r="D5516" s="9">
        <v>43480</v>
      </c>
      <c r="E5516" t="s">
        <v>295</v>
      </c>
      <c r="I5516" s="9"/>
    </row>
    <row r="5517" spans="1:9" x14ac:dyDescent="0.25">
      <c r="A5517">
        <v>642900</v>
      </c>
      <c r="B5517">
        <v>0.7</v>
      </c>
      <c r="C5517">
        <v>648</v>
      </c>
      <c r="D5517" s="9">
        <v>43409</v>
      </c>
      <c r="E5517" t="s">
        <v>295</v>
      </c>
      <c r="I5517" s="9"/>
    </row>
    <row r="5518" spans="1:9" x14ac:dyDescent="0.25">
      <c r="A5518">
        <v>642900</v>
      </c>
      <c r="B5518">
        <v>0.7</v>
      </c>
      <c r="C5518">
        <v>324</v>
      </c>
      <c r="D5518" s="9">
        <v>43384</v>
      </c>
      <c r="E5518" t="s">
        <v>295</v>
      </c>
      <c r="I5518" s="9"/>
    </row>
    <row r="5519" spans="1:9" x14ac:dyDescent="0.25">
      <c r="A5519">
        <v>642900</v>
      </c>
      <c r="B5519">
        <v>0.7</v>
      </c>
      <c r="C5519">
        <v>972</v>
      </c>
      <c r="D5519" s="9">
        <v>43368</v>
      </c>
      <c r="E5519" t="s">
        <v>295</v>
      </c>
      <c r="I5519" s="9"/>
    </row>
    <row r="5520" spans="1:9" x14ac:dyDescent="0.25">
      <c r="A5520">
        <v>642900</v>
      </c>
      <c r="B5520">
        <v>0.7</v>
      </c>
      <c r="C5520">
        <v>972</v>
      </c>
      <c r="D5520" s="9">
        <v>43287</v>
      </c>
      <c r="E5520" t="s">
        <v>295</v>
      </c>
      <c r="I5520" s="9"/>
    </row>
    <row r="5521" spans="1:9" x14ac:dyDescent="0.25">
      <c r="A5521">
        <v>642900</v>
      </c>
      <c r="B5521">
        <v>0.7</v>
      </c>
      <c r="C5521">
        <v>972</v>
      </c>
      <c r="D5521" s="9">
        <v>43228</v>
      </c>
      <c r="E5521" t="s">
        <v>295</v>
      </c>
      <c r="I5521" s="9"/>
    </row>
    <row r="5522" spans="1:9" x14ac:dyDescent="0.25">
      <c r="A5522">
        <v>642900</v>
      </c>
      <c r="B5522">
        <v>0.7</v>
      </c>
      <c r="C5522">
        <v>630</v>
      </c>
      <c r="D5522" s="9">
        <v>43164</v>
      </c>
      <c r="E5522" t="s">
        <v>295</v>
      </c>
      <c r="I5522" s="9"/>
    </row>
    <row r="5523" spans="1:9" x14ac:dyDescent="0.25">
      <c r="A5523">
        <v>642900</v>
      </c>
      <c r="B5523">
        <v>0.7</v>
      </c>
      <c r="C5523">
        <v>630</v>
      </c>
      <c r="D5523" s="9">
        <v>43108</v>
      </c>
      <c r="E5523" t="s">
        <v>295</v>
      </c>
      <c r="I5523" s="9"/>
    </row>
    <row r="5524" spans="1:9" x14ac:dyDescent="0.25">
      <c r="A5524">
        <v>642900</v>
      </c>
      <c r="B5524">
        <v>0.7</v>
      </c>
      <c r="C5524">
        <v>630</v>
      </c>
      <c r="D5524" s="9">
        <v>43066</v>
      </c>
      <c r="E5524" t="s">
        <v>295</v>
      </c>
      <c r="I5524" s="9"/>
    </row>
    <row r="5525" spans="1:9" x14ac:dyDescent="0.25">
      <c r="A5525">
        <v>642900</v>
      </c>
      <c r="B5525">
        <v>0.7</v>
      </c>
      <c r="C5525">
        <v>900</v>
      </c>
      <c r="D5525" s="9">
        <v>42991</v>
      </c>
      <c r="E5525" t="s">
        <v>295</v>
      </c>
      <c r="I5525" s="9"/>
    </row>
    <row r="5526" spans="1:9" x14ac:dyDescent="0.25">
      <c r="A5526">
        <v>642900</v>
      </c>
      <c r="B5526">
        <v>0.7</v>
      </c>
      <c r="C5526">
        <v>900</v>
      </c>
      <c r="D5526" s="9">
        <v>42891</v>
      </c>
      <c r="E5526" t="s">
        <v>295</v>
      </c>
      <c r="I5526" s="9"/>
    </row>
    <row r="5527" spans="1:9" x14ac:dyDescent="0.25">
      <c r="A5527">
        <v>642900</v>
      </c>
      <c r="B5527">
        <v>0.7</v>
      </c>
      <c r="C5527">
        <v>549</v>
      </c>
      <c r="D5527" s="9">
        <v>42864</v>
      </c>
      <c r="E5527" t="s">
        <v>295</v>
      </c>
      <c r="I5527" s="9"/>
    </row>
    <row r="5528" spans="1:9" x14ac:dyDescent="0.25">
      <c r="A5528">
        <v>642900</v>
      </c>
      <c r="B5528">
        <v>0.7</v>
      </c>
      <c r="C5528">
        <v>900</v>
      </c>
      <c r="D5528" s="9">
        <v>42739</v>
      </c>
      <c r="E5528" t="s">
        <v>295</v>
      </c>
      <c r="I5528" s="9"/>
    </row>
    <row r="5529" spans="1:9" x14ac:dyDescent="0.25">
      <c r="A5529">
        <v>642900</v>
      </c>
      <c r="B5529">
        <v>0.7</v>
      </c>
      <c r="C5529">
        <v>900</v>
      </c>
      <c r="D5529" s="9">
        <v>42716</v>
      </c>
      <c r="E5529" t="s">
        <v>295</v>
      </c>
      <c r="I5529" s="9"/>
    </row>
    <row r="5530" spans="1:9" x14ac:dyDescent="0.25">
      <c r="A5530">
        <v>642900</v>
      </c>
      <c r="B5530">
        <v>0.7</v>
      </c>
      <c r="C5530">
        <v>900</v>
      </c>
      <c r="D5530" s="9">
        <v>42619</v>
      </c>
      <c r="E5530" t="s">
        <v>295</v>
      </c>
      <c r="I5530" s="9"/>
    </row>
    <row r="5531" spans="1:9" x14ac:dyDescent="0.25">
      <c r="A5531">
        <v>642900</v>
      </c>
      <c r="B5531">
        <v>0.7</v>
      </c>
      <c r="C5531">
        <v>900</v>
      </c>
      <c r="D5531" s="9">
        <v>42591</v>
      </c>
      <c r="E5531" t="s">
        <v>295</v>
      </c>
      <c r="I5531" s="9"/>
    </row>
    <row r="5532" spans="1:9" x14ac:dyDescent="0.25">
      <c r="A5532">
        <v>642900</v>
      </c>
      <c r="B5532">
        <v>0.7</v>
      </c>
      <c r="C5532">
        <v>576</v>
      </c>
      <c r="D5532" s="9">
        <v>42558</v>
      </c>
      <c r="E5532" t="s">
        <v>295</v>
      </c>
      <c r="I5532" s="9"/>
    </row>
    <row r="5533" spans="1:9" x14ac:dyDescent="0.25">
      <c r="A5533">
        <v>642900</v>
      </c>
      <c r="B5533">
        <v>0.7</v>
      </c>
      <c r="C5533">
        <v>576</v>
      </c>
      <c r="D5533" s="9">
        <v>42503</v>
      </c>
      <c r="E5533" t="s">
        <v>295</v>
      </c>
      <c r="I5533" s="9"/>
    </row>
    <row r="5534" spans="1:9" x14ac:dyDescent="0.25">
      <c r="A5534">
        <v>642900</v>
      </c>
      <c r="B5534">
        <v>0.7</v>
      </c>
      <c r="C5534">
        <v>1008</v>
      </c>
      <c r="D5534" s="9">
        <v>42500</v>
      </c>
      <c r="E5534" t="s">
        <v>295</v>
      </c>
      <c r="I5534" s="9"/>
    </row>
    <row r="5535" spans="1:9" x14ac:dyDescent="0.25">
      <c r="A5535">
        <v>642900</v>
      </c>
      <c r="B5535">
        <v>0.7</v>
      </c>
      <c r="C5535">
        <v>1008</v>
      </c>
      <c r="D5535" s="9">
        <v>42439</v>
      </c>
      <c r="E5535" t="s">
        <v>295</v>
      </c>
      <c r="I5535" s="9"/>
    </row>
    <row r="5536" spans="1:9" x14ac:dyDescent="0.25">
      <c r="A5536">
        <v>642900</v>
      </c>
      <c r="B5536">
        <v>0.7</v>
      </c>
      <c r="C5536">
        <v>1008</v>
      </c>
      <c r="D5536" s="9">
        <v>42381</v>
      </c>
      <c r="E5536" t="s">
        <v>295</v>
      </c>
      <c r="I5536" s="9"/>
    </row>
    <row r="5537" spans="1:9" x14ac:dyDescent="0.25">
      <c r="A5537">
        <v>642900</v>
      </c>
      <c r="B5537">
        <v>0.7</v>
      </c>
      <c r="C5537">
        <v>1008</v>
      </c>
      <c r="D5537" s="9">
        <v>42271</v>
      </c>
      <c r="E5537" t="s">
        <v>295</v>
      </c>
      <c r="I5537" s="9"/>
    </row>
    <row r="5538" spans="1:9" x14ac:dyDescent="0.25">
      <c r="A5538">
        <v>642900</v>
      </c>
      <c r="B5538">
        <v>0.7</v>
      </c>
      <c r="C5538">
        <v>1008</v>
      </c>
      <c r="D5538" s="9">
        <v>42188</v>
      </c>
      <c r="E5538" t="s">
        <v>295</v>
      </c>
      <c r="I5538" s="9"/>
    </row>
    <row r="5539" spans="1:9" x14ac:dyDescent="0.25">
      <c r="A5539">
        <v>642900</v>
      </c>
      <c r="B5539">
        <v>0.7</v>
      </c>
      <c r="C5539">
        <v>972</v>
      </c>
      <c r="D5539" s="9">
        <v>42136</v>
      </c>
      <c r="E5539" t="s">
        <v>295</v>
      </c>
      <c r="I5539" s="9"/>
    </row>
    <row r="5540" spans="1:9" x14ac:dyDescent="0.25">
      <c r="A5540">
        <v>642900</v>
      </c>
      <c r="B5540">
        <v>0.7</v>
      </c>
      <c r="C5540">
        <v>972</v>
      </c>
      <c r="D5540" s="9">
        <v>42079</v>
      </c>
      <c r="E5540" t="s">
        <v>295</v>
      </c>
      <c r="I5540" s="9"/>
    </row>
    <row r="5541" spans="1:9" x14ac:dyDescent="0.25">
      <c r="A5541">
        <v>642900</v>
      </c>
      <c r="B5541">
        <v>0.7</v>
      </c>
      <c r="C5541">
        <v>972</v>
      </c>
      <c r="D5541" s="9">
        <v>41921</v>
      </c>
      <c r="E5541" t="s">
        <v>295</v>
      </c>
      <c r="I5541" s="9"/>
    </row>
    <row r="5542" spans="1:9" x14ac:dyDescent="0.25">
      <c r="A5542">
        <v>642900</v>
      </c>
      <c r="B5542">
        <v>0.7</v>
      </c>
      <c r="C5542">
        <v>990</v>
      </c>
      <c r="D5542" s="9">
        <v>41856</v>
      </c>
      <c r="E5542" t="s">
        <v>295</v>
      </c>
      <c r="I5542" s="9"/>
    </row>
    <row r="5543" spans="1:9" x14ac:dyDescent="0.25">
      <c r="A5543">
        <v>642900</v>
      </c>
      <c r="B5543">
        <v>0.7</v>
      </c>
      <c r="C5543">
        <v>997</v>
      </c>
      <c r="D5543" s="9">
        <v>41670</v>
      </c>
      <c r="E5543" t="s">
        <v>295</v>
      </c>
      <c r="I5543" s="9"/>
    </row>
    <row r="5544" spans="1:9" x14ac:dyDescent="0.25">
      <c r="A5544">
        <v>643400</v>
      </c>
      <c r="B5544">
        <v>7.8</v>
      </c>
      <c r="C5544">
        <v>120</v>
      </c>
      <c r="D5544" s="9">
        <v>44141</v>
      </c>
      <c r="E5544" t="s">
        <v>296</v>
      </c>
      <c r="I5544" s="9"/>
    </row>
    <row r="5545" spans="1:9" x14ac:dyDescent="0.25">
      <c r="A5545">
        <v>643400</v>
      </c>
      <c r="B5545">
        <v>7.55</v>
      </c>
      <c r="C5545">
        <v>120</v>
      </c>
      <c r="D5545" s="9">
        <v>43972</v>
      </c>
      <c r="E5545" t="s">
        <v>296</v>
      </c>
      <c r="I5545" s="9"/>
    </row>
    <row r="5546" spans="1:9" x14ac:dyDescent="0.25">
      <c r="A5546">
        <v>643400</v>
      </c>
      <c r="B5546">
        <v>7.55</v>
      </c>
      <c r="C5546">
        <v>120</v>
      </c>
      <c r="D5546" s="9">
        <v>43803</v>
      </c>
      <c r="E5546" t="s">
        <v>296</v>
      </c>
      <c r="I5546" s="9"/>
    </row>
    <row r="5547" spans="1:9" x14ac:dyDescent="0.25">
      <c r="A5547">
        <v>643400</v>
      </c>
      <c r="B5547">
        <v>7.55</v>
      </c>
      <c r="C5547">
        <v>120</v>
      </c>
      <c r="D5547" s="9">
        <v>43600</v>
      </c>
      <c r="E5547" t="s">
        <v>296</v>
      </c>
      <c r="I5547" s="9"/>
    </row>
    <row r="5548" spans="1:9" x14ac:dyDescent="0.25">
      <c r="A5548">
        <v>643400</v>
      </c>
      <c r="B5548">
        <v>7.55</v>
      </c>
      <c r="C5548">
        <v>120</v>
      </c>
      <c r="D5548" s="9">
        <v>43438</v>
      </c>
      <c r="E5548" t="s">
        <v>296</v>
      </c>
      <c r="I5548" s="9"/>
    </row>
    <row r="5549" spans="1:9" x14ac:dyDescent="0.25">
      <c r="A5549">
        <v>643400</v>
      </c>
      <c r="B5549">
        <v>25.45</v>
      </c>
      <c r="C5549">
        <v>112</v>
      </c>
      <c r="D5549" s="9">
        <v>43138</v>
      </c>
      <c r="E5549" t="s">
        <v>295</v>
      </c>
      <c r="I5549" s="9"/>
    </row>
    <row r="5550" spans="1:9" x14ac:dyDescent="0.25">
      <c r="A5550">
        <v>643400</v>
      </c>
      <c r="B5550">
        <v>7.15</v>
      </c>
      <c r="C5550">
        <v>112</v>
      </c>
      <c r="D5550" s="9">
        <v>43111</v>
      </c>
      <c r="E5550" t="s">
        <v>296</v>
      </c>
      <c r="I5550" s="9"/>
    </row>
    <row r="5551" spans="1:9" x14ac:dyDescent="0.25">
      <c r="A5551">
        <v>643400</v>
      </c>
      <c r="B5551">
        <v>7.15</v>
      </c>
      <c r="C5551">
        <v>112</v>
      </c>
      <c r="D5551" s="9">
        <v>43063</v>
      </c>
      <c r="E5551" t="s">
        <v>296</v>
      </c>
      <c r="I5551" s="9"/>
    </row>
    <row r="5552" spans="1:9" x14ac:dyDescent="0.25">
      <c r="A5552">
        <v>643400</v>
      </c>
      <c r="B5552">
        <v>6.1</v>
      </c>
      <c r="C5552">
        <v>112</v>
      </c>
      <c r="D5552" s="9">
        <v>42912</v>
      </c>
      <c r="E5552" t="s">
        <v>296</v>
      </c>
      <c r="I5552" s="9"/>
    </row>
    <row r="5553" spans="1:9" x14ac:dyDescent="0.25">
      <c r="A5553">
        <v>643400</v>
      </c>
      <c r="B5553">
        <v>5.75</v>
      </c>
      <c r="C5553">
        <v>96</v>
      </c>
      <c r="D5553" s="9">
        <v>42719</v>
      </c>
      <c r="E5553" t="s">
        <v>296</v>
      </c>
      <c r="I5553" s="9"/>
    </row>
    <row r="5554" spans="1:9" x14ac:dyDescent="0.25">
      <c r="A5554">
        <v>643400</v>
      </c>
      <c r="B5554">
        <v>5.75</v>
      </c>
      <c r="C5554">
        <v>80</v>
      </c>
      <c r="D5554" s="9">
        <v>42719</v>
      </c>
      <c r="E5554" t="s">
        <v>296</v>
      </c>
      <c r="I5554" s="9"/>
    </row>
    <row r="5555" spans="1:9" x14ac:dyDescent="0.25">
      <c r="A5555">
        <v>643400</v>
      </c>
      <c r="B5555">
        <v>5.75</v>
      </c>
      <c r="C5555">
        <v>80</v>
      </c>
      <c r="D5555" s="9">
        <v>42510</v>
      </c>
      <c r="E5555" t="s">
        <v>296</v>
      </c>
      <c r="I5555" s="9"/>
    </row>
    <row r="5556" spans="1:9" x14ac:dyDescent="0.25">
      <c r="A5556">
        <v>643400</v>
      </c>
      <c r="B5556">
        <v>6.48</v>
      </c>
      <c r="C5556">
        <v>80</v>
      </c>
      <c r="D5556" s="9">
        <v>42233</v>
      </c>
      <c r="E5556" t="s">
        <v>297</v>
      </c>
      <c r="I5556" s="9"/>
    </row>
    <row r="5557" spans="1:9" x14ac:dyDescent="0.25">
      <c r="A5557">
        <v>643400</v>
      </c>
      <c r="B5557">
        <v>6.41</v>
      </c>
      <c r="C5557">
        <v>160</v>
      </c>
      <c r="D5557" s="9">
        <v>41682</v>
      </c>
      <c r="E5557" t="s">
        <v>296</v>
      </c>
      <c r="I5557" s="9"/>
    </row>
    <row r="5558" spans="1:9" x14ac:dyDescent="0.25">
      <c r="A5558">
        <v>643400</v>
      </c>
      <c r="B5558">
        <v>7.327</v>
      </c>
      <c r="C5558">
        <v>180</v>
      </c>
      <c r="D5558" s="9">
        <v>41418</v>
      </c>
      <c r="E5558" t="s">
        <v>296</v>
      </c>
      <c r="I5558" s="9"/>
    </row>
    <row r="5559" spans="1:9" x14ac:dyDescent="0.25">
      <c r="A5559">
        <v>644000</v>
      </c>
      <c r="B5559">
        <v>11.85</v>
      </c>
      <c r="C5559">
        <v>64</v>
      </c>
      <c r="D5559" s="9">
        <v>43972</v>
      </c>
      <c r="E5559" t="s">
        <v>296</v>
      </c>
      <c r="I5559" s="9"/>
    </row>
    <row r="5560" spans="1:9" x14ac:dyDescent="0.25">
      <c r="A5560">
        <v>644000</v>
      </c>
      <c r="B5560">
        <v>11.85</v>
      </c>
      <c r="C5560">
        <v>60</v>
      </c>
      <c r="D5560" s="9">
        <v>43686</v>
      </c>
      <c r="E5560" t="s">
        <v>296</v>
      </c>
      <c r="I5560" s="9"/>
    </row>
    <row r="5561" spans="1:9" x14ac:dyDescent="0.25">
      <c r="A5561">
        <v>644000</v>
      </c>
      <c r="B5561">
        <v>11.85</v>
      </c>
      <c r="C5561">
        <v>64</v>
      </c>
      <c r="D5561" s="9">
        <v>43438</v>
      </c>
      <c r="E5561" t="s">
        <v>296</v>
      </c>
      <c r="I5561" s="9"/>
    </row>
    <row r="5562" spans="1:9" x14ac:dyDescent="0.25">
      <c r="A5562">
        <v>644000</v>
      </c>
      <c r="B5562">
        <v>11.35</v>
      </c>
      <c r="C5562">
        <v>80</v>
      </c>
      <c r="D5562" s="9">
        <v>43063</v>
      </c>
      <c r="E5562" t="s">
        <v>296</v>
      </c>
      <c r="I5562" s="9"/>
    </row>
    <row r="5563" spans="1:9" x14ac:dyDescent="0.25">
      <c r="A5563">
        <v>644000</v>
      </c>
      <c r="B5563">
        <v>11.35</v>
      </c>
      <c r="C5563">
        <v>96</v>
      </c>
      <c r="D5563" s="9">
        <v>42617</v>
      </c>
      <c r="E5563" t="s">
        <v>296</v>
      </c>
      <c r="I5563" s="9"/>
    </row>
    <row r="5564" spans="1:9" x14ac:dyDescent="0.25">
      <c r="A5564">
        <v>644000</v>
      </c>
      <c r="B5564">
        <v>11.35</v>
      </c>
      <c r="C5564">
        <v>64</v>
      </c>
      <c r="D5564" s="9">
        <v>42383</v>
      </c>
      <c r="E5564" t="s">
        <v>296</v>
      </c>
      <c r="I5564" s="9"/>
    </row>
    <row r="5565" spans="1:9" x14ac:dyDescent="0.25">
      <c r="A5565">
        <v>644000</v>
      </c>
      <c r="B5565">
        <v>11.35</v>
      </c>
      <c r="C5565">
        <v>80</v>
      </c>
      <c r="D5565" s="9">
        <v>42116</v>
      </c>
      <c r="E5565" t="s">
        <v>296</v>
      </c>
      <c r="I5565" s="9"/>
    </row>
    <row r="5566" spans="1:9" x14ac:dyDescent="0.25">
      <c r="A5566">
        <v>644000</v>
      </c>
      <c r="B5566">
        <v>54.3</v>
      </c>
      <c r="C5566">
        <v>1</v>
      </c>
      <c r="D5566" s="9">
        <v>41884</v>
      </c>
      <c r="E5566" t="s">
        <v>295</v>
      </c>
      <c r="I5566" s="9"/>
    </row>
    <row r="5567" spans="1:9" x14ac:dyDescent="0.25">
      <c r="A5567">
        <v>644000</v>
      </c>
      <c r="B5567">
        <v>40.53</v>
      </c>
      <c r="C5567">
        <v>128</v>
      </c>
      <c r="D5567" s="9">
        <v>41821</v>
      </c>
      <c r="E5567" t="s">
        <v>295</v>
      </c>
      <c r="I5567" s="9"/>
    </row>
    <row r="5568" spans="1:9" x14ac:dyDescent="0.25">
      <c r="A5568">
        <v>644000</v>
      </c>
      <c r="B5568">
        <v>13.2</v>
      </c>
      <c r="C5568">
        <v>128</v>
      </c>
      <c r="D5568" s="9">
        <v>41821</v>
      </c>
      <c r="E5568" t="s">
        <v>296</v>
      </c>
      <c r="I5568" s="9"/>
    </row>
    <row r="5569" spans="1:9" x14ac:dyDescent="0.25">
      <c r="A5569">
        <v>644006</v>
      </c>
      <c r="B5569">
        <v>15</v>
      </c>
      <c r="C5569">
        <v>100</v>
      </c>
      <c r="D5569" s="9">
        <v>43600</v>
      </c>
      <c r="E5569" t="s">
        <v>296</v>
      </c>
      <c r="I5569" s="9"/>
    </row>
    <row r="5570" spans="1:9" x14ac:dyDescent="0.25">
      <c r="A5570">
        <v>644101</v>
      </c>
      <c r="B5570">
        <v>2.15</v>
      </c>
      <c r="C5570">
        <v>50</v>
      </c>
      <c r="D5570" s="9">
        <v>43112</v>
      </c>
      <c r="E5570" t="s">
        <v>295</v>
      </c>
      <c r="I5570" s="9"/>
    </row>
    <row r="5571" spans="1:9" x14ac:dyDescent="0.25">
      <c r="A5571">
        <v>644101</v>
      </c>
      <c r="B5571">
        <v>2.09</v>
      </c>
      <c r="C5571">
        <v>50</v>
      </c>
      <c r="D5571" s="9">
        <v>42836</v>
      </c>
      <c r="E5571" t="s">
        <v>295</v>
      </c>
      <c r="I5571" s="9"/>
    </row>
    <row r="5572" spans="1:9" x14ac:dyDescent="0.25">
      <c r="A5572">
        <v>644101</v>
      </c>
      <c r="B5572">
        <v>2.09</v>
      </c>
      <c r="C5572">
        <v>50</v>
      </c>
      <c r="D5572" s="9">
        <v>42614</v>
      </c>
      <c r="E5572" t="s">
        <v>295</v>
      </c>
      <c r="I5572" s="9"/>
    </row>
    <row r="5573" spans="1:9" x14ac:dyDescent="0.25">
      <c r="A5573">
        <v>644101</v>
      </c>
      <c r="B5573">
        <v>2.09</v>
      </c>
      <c r="C5573">
        <v>50</v>
      </c>
      <c r="D5573" s="9">
        <v>42265</v>
      </c>
      <c r="E5573" t="s">
        <v>295</v>
      </c>
      <c r="I5573" s="9"/>
    </row>
    <row r="5574" spans="1:9" x14ac:dyDescent="0.25">
      <c r="A5574">
        <v>644101</v>
      </c>
      <c r="B5574">
        <v>2.09</v>
      </c>
      <c r="C5574">
        <v>50</v>
      </c>
      <c r="D5574" s="9">
        <v>41892</v>
      </c>
      <c r="E5574" t="s">
        <v>295</v>
      </c>
      <c r="I5574" s="9"/>
    </row>
    <row r="5575" spans="1:9" x14ac:dyDescent="0.25">
      <c r="A5575">
        <v>645000</v>
      </c>
      <c r="B5575">
        <v>0.41</v>
      </c>
      <c r="C5575">
        <v>1200</v>
      </c>
      <c r="D5575" s="9">
        <v>44035</v>
      </c>
      <c r="E5575" t="s">
        <v>296</v>
      </c>
      <c r="I5575" s="9"/>
    </row>
    <row r="5576" spans="1:9" x14ac:dyDescent="0.25">
      <c r="A5576">
        <v>645000</v>
      </c>
      <c r="B5576">
        <v>0.41</v>
      </c>
      <c r="C5576">
        <v>1200</v>
      </c>
      <c r="D5576" s="9">
        <v>43972</v>
      </c>
      <c r="E5576" t="s">
        <v>296</v>
      </c>
      <c r="I5576" s="9"/>
    </row>
    <row r="5577" spans="1:9" x14ac:dyDescent="0.25">
      <c r="A5577">
        <v>645000</v>
      </c>
      <c r="B5577">
        <v>0.41</v>
      </c>
      <c r="C5577">
        <v>960</v>
      </c>
      <c r="D5577" s="9">
        <v>43686</v>
      </c>
      <c r="E5577" t="s">
        <v>296</v>
      </c>
      <c r="I5577" s="9"/>
    </row>
    <row r="5578" spans="1:9" x14ac:dyDescent="0.25">
      <c r="A5578">
        <v>645000</v>
      </c>
      <c r="B5578">
        <v>1.56</v>
      </c>
      <c r="C5578">
        <v>1800</v>
      </c>
      <c r="D5578" s="9">
        <v>43298</v>
      </c>
      <c r="E5578" t="s">
        <v>295</v>
      </c>
      <c r="I5578" s="9"/>
    </row>
    <row r="5579" spans="1:9" x14ac:dyDescent="0.25">
      <c r="A5579">
        <v>645000</v>
      </c>
      <c r="B5579">
        <v>0.39</v>
      </c>
      <c r="C5579">
        <v>1800</v>
      </c>
      <c r="D5579" s="9">
        <v>43264</v>
      </c>
      <c r="E5579" t="s">
        <v>296</v>
      </c>
      <c r="I5579" s="9"/>
    </row>
    <row r="5580" spans="1:9" x14ac:dyDescent="0.25">
      <c r="A5580">
        <v>645000</v>
      </c>
      <c r="B5580">
        <v>0.37</v>
      </c>
      <c r="C5580">
        <v>1800</v>
      </c>
      <c r="D5580" s="9">
        <v>43063</v>
      </c>
      <c r="E5580" t="s">
        <v>296</v>
      </c>
      <c r="I5580" s="9"/>
    </row>
    <row r="5581" spans="1:9" x14ac:dyDescent="0.25">
      <c r="A5581">
        <v>645000</v>
      </c>
      <c r="B5581">
        <v>0.35</v>
      </c>
      <c r="C5581">
        <v>1800</v>
      </c>
      <c r="D5581" s="9">
        <v>42660</v>
      </c>
      <c r="E5581" t="s">
        <v>296</v>
      </c>
      <c r="I5581" s="9"/>
    </row>
    <row r="5582" spans="1:9" x14ac:dyDescent="0.25">
      <c r="A5582">
        <v>645000</v>
      </c>
      <c r="B5582">
        <v>0.35</v>
      </c>
      <c r="C5582">
        <v>1560</v>
      </c>
      <c r="D5582" s="9">
        <v>42510</v>
      </c>
      <c r="E5582" t="s">
        <v>296</v>
      </c>
      <c r="I5582" s="9"/>
    </row>
    <row r="5583" spans="1:9" x14ac:dyDescent="0.25">
      <c r="A5583">
        <v>645000</v>
      </c>
      <c r="B5583">
        <v>0.36</v>
      </c>
      <c r="C5583">
        <v>1440</v>
      </c>
      <c r="D5583" s="9">
        <v>42207</v>
      </c>
      <c r="E5583" t="s">
        <v>296</v>
      </c>
      <c r="I5583" s="9"/>
    </row>
    <row r="5584" spans="1:9" x14ac:dyDescent="0.25">
      <c r="A5584">
        <v>645000</v>
      </c>
      <c r="B5584">
        <v>0.46700000000000003</v>
      </c>
      <c r="C5584">
        <v>1620</v>
      </c>
      <c r="D5584" s="9">
        <v>41744</v>
      </c>
      <c r="E5584" t="s">
        <v>296</v>
      </c>
      <c r="I5584" s="9"/>
    </row>
    <row r="5585" spans="1:9" x14ac:dyDescent="0.25">
      <c r="A5585">
        <v>645000</v>
      </c>
      <c r="B5585">
        <v>0.46700000000000003</v>
      </c>
      <c r="C5585">
        <v>1440</v>
      </c>
      <c r="D5585" s="9">
        <v>41418</v>
      </c>
      <c r="E5585" t="s">
        <v>296</v>
      </c>
      <c r="I5585" s="9"/>
    </row>
    <row r="5586" spans="1:9" x14ac:dyDescent="0.25">
      <c r="A5586">
        <v>645002</v>
      </c>
      <c r="B5586">
        <v>0.81</v>
      </c>
      <c r="C5586">
        <v>200</v>
      </c>
      <c r="D5586" s="9">
        <v>44005</v>
      </c>
      <c r="E5586" t="s">
        <v>296</v>
      </c>
      <c r="I5586" s="9"/>
    </row>
    <row r="5587" spans="1:9" x14ac:dyDescent="0.25">
      <c r="A5587">
        <v>645225</v>
      </c>
      <c r="B5587">
        <v>2.2599999999999998</v>
      </c>
      <c r="C5587">
        <v>50</v>
      </c>
      <c r="D5587" s="9">
        <v>42844</v>
      </c>
      <c r="E5587" t="s">
        <v>295</v>
      </c>
      <c r="I5587" s="9"/>
    </row>
    <row r="5588" spans="1:9" x14ac:dyDescent="0.25">
      <c r="A5588">
        <v>645229</v>
      </c>
      <c r="B5588">
        <v>3.2</v>
      </c>
      <c r="C5588">
        <v>50</v>
      </c>
      <c r="D5588" s="9">
        <v>42844</v>
      </c>
      <c r="E5588" t="s">
        <v>295</v>
      </c>
      <c r="I5588" s="9"/>
    </row>
    <row r="5589" spans="1:9" x14ac:dyDescent="0.25">
      <c r="A5589">
        <v>645244</v>
      </c>
      <c r="B5589">
        <v>1.93</v>
      </c>
      <c r="C5589">
        <v>50</v>
      </c>
      <c r="D5589" s="9">
        <v>42844</v>
      </c>
      <c r="E5589" t="s">
        <v>295</v>
      </c>
      <c r="I5589" s="9"/>
    </row>
    <row r="5590" spans="1:9" x14ac:dyDescent="0.25">
      <c r="A5590">
        <v>645249</v>
      </c>
      <c r="B5590">
        <v>1.93</v>
      </c>
      <c r="C5590">
        <v>50</v>
      </c>
      <c r="D5590" s="9">
        <v>43112</v>
      </c>
      <c r="E5590" t="s">
        <v>295</v>
      </c>
      <c r="I5590" s="9"/>
    </row>
    <row r="5591" spans="1:9" x14ac:dyDescent="0.25">
      <c r="A5591">
        <v>645249</v>
      </c>
      <c r="B5591">
        <v>1.93</v>
      </c>
      <c r="C5591">
        <v>50</v>
      </c>
      <c r="D5591" s="9">
        <v>42844</v>
      </c>
      <c r="E5591" t="s">
        <v>295</v>
      </c>
      <c r="I5591" s="9"/>
    </row>
    <row r="5592" spans="1:9" x14ac:dyDescent="0.25">
      <c r="A5592">
        <v>645249</v>
      </c>
      <c r="B5592">
        <v>1.93</v>
      </c>
      <c r="C5592">
        <v>50</v>
      </c>
      <c r="D5592" s="9">
        <v>41892</v>
      </c>
      <c r="E5592" t="s">
        <v>295</v>
      </c>
      <c r="I5592" s="9"/>
    </row>
    <row r="5593" spans="1:9" x14ac:dyDescent="0.25">
      <c r="A5593">
        <v>645253</v>
      </c>
      <c r="B5593">
        <v>3.05</v>
      </c>
      <c r="C5593">
        <v>24</v>
      </c>
      <c r="D5593" s="9">
        <v>42836</v>
      </c>
      <c r="E5593" t="s">
        <v>295</v>
      </c>
      <c r="I5593" s="9"/>
    </row>
    <row r="5594" spans="1:9" x14ac:dyDescent="0.25">
      <c r="A5594">
        <v>645253</v>
      </c>
      <c r="B5594">
        <v>3.05</v>
      </c>
      <c r="C5594">
        <v>24</v>
      </c>
      <c r="D5594" s="9">
        <v>41892</v>
      </c>
      <c r="E5594" t="s">
        <v>295</v>
      </c>
      <c r="I5594" s="9"/>
    </row>
    <row r="5595" spans="1:9" x14ac:dyDescent="0.25">
      <c r="A5595">
        <v>645254</v>
      </c>
      <c r="B5595">
        <v>3.05</v>
      </c>
      <c r="C5595">
        <v>50</v>
      </c>
      <c r="D5595" s="9">
        <v>42844</v>
      </c>
      <c r="E5595" t="s">
        <v>295</v>
      </c>
      <c r="I5595" s="9"/>
    </row>
    <row r="5596" spans="1:9" x14ac:dyDescent="0.25">
      <c r="A5596">
        <v>645254</v>
      </c>
      <c r="B5596">
        <v>3.05</v>
      </c>
      <c r="C5596">
        <v>50</v>
      </c>
      <c r="D5596" s="9">
        <v>42614</v>
      </c>
      <c r="E5596" t="s">
        <v>295</v>
      </c>
      <c r="I5596" s="9"/>
    </row>
    <row r="5597" spans="1:9" x14ac:dyDescent="0.25">
      <c r="A5597">
        <v>645254</v>
      </c>
      <c r="B5597">
        <v>3.05</v>
      </c>
      <c r="C5597">
        <v>50</v>
      </c>
      <c r="D5597" s="9">
        <v>41718</v>
      </c>
      <c r="E5597" t="s">
        <v>295</v>
      </c>
      <c r="I5597" s="9"/>
    </row>
    <row r="5598" spans="1:9" x14ac:dyDescent="0.25">
      <c r="A5598">
        <v>645266</v>
      </c>
      <c r="B5598">
        <v>4</v>
      </c>
      <c r="C5598">
        <v>50</v>
      </c>
      <c r="D5598" s="9">
        <v>42836</v>
      </c>
      <c r="E5598" t="s">
        <v>295</v>
      </c>
      <c r="I5598" s="9"/>
    </row>
    <row r="5599" spans="1:9" x14ac:dyDescent="0.25">
      <c r="A5599">
        <v>645266</v>
      </c>
      <c r="B5599">
        <v>4</v>
      </c>
      <c r="C5599">
        <v>50</v>
      </c>
      <c r="D5599" s="9">
        <v>41892</v>
      </c>
      <c r="E5599" t="s">
        <v>295</v>
      </c>
      <c r="I5599" s="9"/>
    </row>
    <row r="5600" spans="1:9" x14ac:dyDescent="0.25">
      <c r="A5600">
        <v>645266</v>
      </c>
      <c r="B5600">
        <v>4</v>
      </c>
      <c r="C5600">
        <v>50</v>
      </c>
      <c r="D5600" s="9">
        <v>41718</v>
      </c>
      <c r="E5600" t="s">
        <v>295</v>
      </c>
      <c r="I5600" s="9"/>
    </row>
    <row r="5601" spans="1:9" x14ac:dyDescent="0.25">
      <c r="A5601">
        <v>645268</v>
      </c>
      <c r="B5601">
        <v>4.41</v>
      </c>
      <c r="C5601">
        <v>50</v>
      </c>
      <c r="D5601" s="9">
        <v>42943</v>
      </c>
      <c r="E5601" t="s">
        <v>295</v>
      </c>
      <c r="I5601" s="9"/>
    </row>
    <row r="5602" spans="1:9" x14ac:dyDescent="0.25">
      <c r="A5602">
        <v>645276</v>
      </c>
      <c r="B5602">
        <v>1.68</v>
      </c>
      <c r="C5602">
        <v>50</v>
      </c>
      <c r="D5602" s="9">
        <v>43112</v>
      </c>
      <c r="E5602" t="s">
        <v>295</v>
      </c>
      <c r="I5602" s="9"/>
    </row>
    <row r="5603" spans="1:9" x14ac:dyDescent="0.25">
      <c r="A5603">
        <v>645276</v>
      </c>
      <c r="B5603">
        <v>1.6</v>
      </c>
      <c r="C5603">
        <v>50</v>
      </c>
      <c r="D5603" s="9">
        <v>42844</v>
      </c>
      <c r="E5603" t="s">
        <v>295</v>
      </c>
      <c r="I5603" s="9"/>
    </row>
    <row r="5604" spans="1:9" x14ac:dyDescent="0.25">
      <c r="A5604">
        <v>645276</v>
      </c>
      <c r="B5604">
        <v>1.6</v>
      </c>
      <c r="C5604">
        <v>12</v>
      </c>
      <c r="D5604" s="9">
        <v>42836</v>
      </c>
      <c r="E5604" t="s">
        <v>295</v>
      </c>
      <c r="I5604" s="9"/>
    </row>
    <row r="5605" spans="1:9" x14ac:dyDescent="0.25">
      <c r="A5605">
        <v>645276</v>
      </c>
      <c r="B5605">
        <v>1.6</v>
      </c>
      <c r="C5605">
        <v>50</v>
      </c>
      <c r="D5605" s="9">
        <v>42614</v>
      </c>
      <c r="E5605" t="s">
        <v>295</v>
      </c>
      <c r="I5605" s="9"/>
    </row>
    <row r="5606" spans="1:9" x14ac:dyDescent="0.25">
      <c r="A5606">
        <v>645276</v>
      </c>
      <c r="B5606">
        <v>1.6</v>
      </c>
      <c r="C5606">
        <v>50</v>
      </c>
      <c r="D5606" s="9">
        <v>42265</v>
      </c>
      <c r="E5606" t="s">
        <v>295</v>
      </c>
      <c r="I5606" s="9"/>
    </row>
    <row r="5607" spans="1:9" x14ac:dyDescent="0.25">
      <c r="A5607">
        <v>645276</v>
      </c>
      <c r="B5607">
        <v>1.6</v>
      </c>
      <c r="C5607">
        <v>50</v>
      </c>
      <c r="D5607" s="9">
        <v>41899</v>
      </c>
      <c r="E5607" t="s">
        <v>295</v>
      </c>
      <c r="I5607" s="9"/>
    </row>
    <row r="5608" spans="1:9" x14ac:dyDescent="0.25">
      <c r="A5608">
        <v>645278</v>
      </c>
      <c r="B5608">
        <v>1.68</v>
      </c>
      <c r="C5608">
        <v>50</v>
      </c>
      <c r="D5608" s="9">
        <v>42943</v>
      </c>
      <c r="E5608" t="s">
        <v>295</v>
      </c>
      <c r="I5608" s="9"/>
    </row>
    <row r="5609" spans="1:9" x14ac:dyDescent="0.25">
      <c r="A5609">
        <v>645278</v>
      </c>
      <c r="B5609">
        <v>1.68</v>
      </c>
      <c r="C5609">
        <v>50</v>
      </c>
      <c r="D5609" s="9">
        <v>41718</v>
      </c>
      <c r="E5609" t="s">
        <v>295</v>
      </c>
      <c r="I5609" s="9"/>
    </row>
    <row r="5610" spans="1:9" x14ac:dyDescent="0.25">
      <c r="A5610">
        <v>645279</v>
      </c>
      <c r="B5610">
        <v>1.8</v>
      </c>
      <c r="C5610">
        <v>50</v>
      </c>
      <c r="D5610" s="9">
        <v>42844</v>
      </c>
      <c r="E5610" t="s">
        <v>295</v>
      </c>
      <c r="I5610" s="9"/>
    </row>
    <row r="5611" spans="1:9" x14ac:dyDescent="0.25">
      <c r="A5611">
        <v>645301</v>
      </c>
      <c r="B5611">
        <v>2.5499999999999998</v>
      </c>
      <c r="C5611">
        <v>810</v>
      </c>
      <c r="D5611" s="9">
        <v>44125</v>
      </c>
      <c r="E5611" t="s">
        <v>295</v>
      </c>
      <c r="I5611" s="9"/>
    </row>
    <row r="5612" spans="1:9" x14ac:dyDescent="0.25">
      <c r="A5612">
        <v>645301</v>
      </c>
      <c r="B5612">
        <v>2.5499999999999998</v>
      </c>
      <c r="C5612">
        <v>30</v>
      </c>
      <c r="D5612" s="9">
        <v>44039</v>
      </c>
      <c r="E5612" t="s">
        <v>295</v>
      </c>
      <c r="I5612" s="9"/>
    </row>
    <row r="5613" spans="1:9" x14ac:dyDescent="0.25">
      <c r="A5613">
        <v>645301</v>
      </c>
      <c r="B5613">
        <v>2.5499999999999998</v>
      </c>
      <c r="C5613">
        <v>150</v>
      </c>
      <c r="D5613" s="9">
        <v>44000</v>
      </c>
      <c r="E5613" t="s">
        <v>295</v>
      </c>
      <c r="I5613" s="9"/>
    </row>
    <row r="5614" spans="1:9" x14ac:dyDescent="0.25">
      <c r="A5614">
        <v>645301</v>
      </c>
      <c r="B5614">
        <v>2.5499999999999998</v>
      </c>
      <c r="C5614">
        <v>120</v>
      </c>
      <c r="D5614" s="9">
        <v>43903</v>
      </c>
      <c r="E5614" t="s">
        <v>295</v>
      </c>
      <c r="I5614" s="9"/>
    </row>
    <row r="5615" spans="1:9" x14ac:dyDescent="0.25">
      <c r="A5615">
        <v>645301</v>
      </c>
      <c r="B5615">
        <v>2.5499999999999998</v>
      </c>
      <c r="C5615">
        <v>400</v>
      </c>
      <c r="D5615" s="9">
        <v>43857</v>
      </c>
      <c r="E5615" t="s">
        <v>295</v>
      </c>
      <c r="I5615" s="9"/>
    </row>
    <row r="5616" spans="1:9" x14ac:dyDescent="0.25">
      <c r="A5616">
        <v>645301</v>
      </c>
      <c r="B5616">
        <v>2.5499999999999998</v>
      </c>
      <c r="C5616">
        <v>1000</v>
      </c>
      <c r="D5616" s="9">
        <v>43746</v>
      </c>
      <c r="E5616" t="s">
        <v>295</v>
      </c>
      <c r="I5616" s="9"/>
    </row>
    <row r="5617" spans="1:9" x14ac:dyDescent="0.25">
      <c r="A5617">
        <v>645301</v>
      </c>
      <c r="B5617">
        <v>2.5499999999999998</v>
      </c>
      <c r="C5617">
        <v>300</v>
      </c>
      <c r="D5617" s="9">
        <v>43656</v>
      </c>
      <c r="E5617" t="s">
        <v>295</v>
      </c>
      <c r="I5617" s="9"/>
    </row>
    <row r="5618" spans="1:9" x14ac:dyDescent="0.25">
      <c r="A5618">
        <v>645301</v>
      </c>
      <c r="B5618">
        <v>2.48</v>
      </c>
      <c r="C5618">
        <v>120</v>
      </c>
      <c r="D5618" s="9">
        <v>43640</v>
      </c>
      <c r="E5618" t="s">
        <v>295</v>
      </c>
      <c r="I5618" s="9"/>
    </row>
    <row r="5619" spans="1:9" x14ac:dyDescent="0.25">
      <c r="A5619">
        <v>645301</v>
      </c>
      <c r="B5619">
        <v>2.48</v>
      </c>
      <c r="C5619">
        <v>400</v>
      </c>
      <c r="D5619" s="9">
        <v>43580</v>
      </c>
      <c r="E5619" t="s">
        <v>295</v>
      </c>
      <c r="I5619" s="9"/>
    </row>
    <row r="5620" spans="1:9" x14ac:dyDescent="0.25">
      <c r="A5620">
        <v>645301</v>
      </c>
      <c r="B5620">
        <v>2.48</v>
      </c>
      <c r="C5620">
        <v>60</v>
      </c>
      <c r="D5620" s="9">
        <v>43556</v>
      </c>
      <c r="E5620" t="s">
        <v>295</v>
      </c>
      <c r="I5620" s="9"/>
    </row>
    <row r="5621" spans="1:9" x14ac:dyDescent="0.25">
      <c r="A5621">
        <v>645301</v>
      </c>
      <c r="B5621">
        <v>2.48</v>
      </c>
      <c r="C5621">
        <v>600</v>
      </c>
      <c r="D5621" s="9">
        <v>43518</v>
      </c>
      <c r="E5621" t="s">
        <v>295</v>
      </c>
      <c r="I5621" s="9"/>
    </row>
    <row r="5622" spans="1:9" x14ac:dyDescent="0.25">
      <c r="A5622">
        <v>645301</v>
      </c>
      <c r="B5622">
        <v>2.48</v>
      </c>
      <c r="C5622">
        <v>720</v>
      </c>
      <c r="D5622" s="9">
        <v>43448</v>
      </c>
      <c r="E5622" t="s">
        <v>295</v>
      </c>
      <c r="I5622" s="9"/>
    </row>
    <row r="5623" spans="1:9" x14ac:dyDescent="0.25">
      <c r="A5623">
        <v>645301</v>
      </c>
      <c r="B5623">
        <v>2.48</v>
      </c>
      <c r="C5623">
        <v>600</v>
      </c>
      <c r="D5623" s="9">
        <v>43287</v>
      </c>
      <c r="E5623" t="s">
        <v>295</v>
      </c>
      <c r="I5623" s="9"/>
    </row>
    <row r="5624" spans="1:9" x14ac:dyDescent="0.25">
      <c r="A5624">
        <v>645301</v>
      </c>
      <c r="B5624">
        <v>2.48</v>
      </c>
      <c r="C5624">
        <v>600</v>
      </c>
      <c r="D5624" s="9">
        <v>43229</v>
      </c>
      <c r="E5624" t="s">
        <v>295</v>
      </c>
      <c r="I5624" s="9"/>
    </row>
    <row r="5625" spans="1:9" x14ac:dyDescent="0.25">
      <c r="A5625">
        <v>645301</v>
      </c>
      <c r="B5625">
        <v>2.48</v>
      </c>
      <c r="C5625">
        <v>600</v>
      </c>
      <c r="D5625" s="9">
        <v>43164</v>
      </c>
      <c r="E5625" t="s">
        <v>295</v>
      </c>
      <c r="I5625" s="9"/>
    </row>
    <row r="5626" spans="1:9" x14ac:dyDescent="0.25">
      <c r="A5626">
        <v>645301</v>
      </c>
      <c r="B5626">
        <v>2.48</v>
      </c>
      <c r="C5626">
        <v>600</v>
      </c>
      <c r="D5626" s="9">
        <v>43066</v>
      </c>
      <c r="E5626" t="s">
        <v>295</v>
      </c>
      <c r="I5626" s="9"/>
    </row>
    <row r="5627" spans="1:9" x14ac:dyDescent="0.25">
      <c r="A5627">
        <v>645301</v>
      </c>
      <c r="B5627">
        <v>2.48</v>
      </c>
      <c r="C5627">
        <v>150</v>
      </c>
      <c r="D5627" s="9">
        <v>43019</v>
      </c>
      <c r="E5627" t="s">
        <v>295</v>
      </c>
      <c r="I5627" s="9"/>
    </row>
    <row r="5628" spans="1:9" x14ac:dyDescent="0.25">
      <c r="A5628">
        <v>645301</v>
      </c>
      <c r="B5628">
        <v>2.48</v>
      </c>
      <c r="C5628">
        <v>300</v>
      </c>
      <c r="D5628" s="9">
        <v>42978</v>
      </c>
      <c r="E5628" t="s">
        <v>295</v>
      </c>
      <c r="I5628" s="9"/>
    </row>
    <row r="5629" spans="1:9" x14ac:dyDescent="0.25">
      <c r="A5629">
        <v>645301</v>
      </c>
      <c r="B5629">
        <v>2.48</v>
      </c>
      <c r="C5629">
        <v>600</v>
      </c>
      <c r="D5629" s="9">
        <v>42935</v>
      </c>
      <c r="E5629" t="s">
        <v>295</v>
      </c>
      <c r="I5629" s="9"/>
    </row>
    <row r="5630" spans="1:9" x14ac:dyDescent="0.25">
      <c r="A5630">
        <v>645301</v>
      </c>
      <c r="B5630">
        <v>2.48</v>
      </c>
      <c r="C5630">
        <v>750</v>
      </c>
      <c r="D5630" s="9">
        <v>42836</v>
      </c>
      <c r="E5630" t="s">
        <v>295</v>
      </c>
      <c r="I5630" s="9"/>
    </row>
    <row r="5631" spans="1:9" x14ac:dyDescent="0.25">
      <c r="A5631">
        <v>645301</v>
      </c>
      <c r="B5631">
        <v>2.48</v>
      </c>
      <c r="C5631">
        <v>290</v>
      </c>
      <c r="D5631" s="9">
        <v>42818</v>
      </c>
      <c r="E5631" t="s">
        <v>295</v>
      </c>
      <c r="I5631" s="9"/>
    </row>
    <row r="5632" spans="1:9" x14ac:dyDescent="0.25">
      <c r="A5632">
        <v>645301</v>
      </c>
      <c r="B5632">
        <v>2.48</v>
      </c>
      <c r="C5632">
        <v>120</v>
      </c>
      <c r="D5632" s="9">
        <v>42745</v>
      </c>
      <c r="E5632" t="s">
        <v>295</v>
      </c>
      <c r="I5632" s="9"/>
    </row>
    <row r="5633" spans="1:9" x14ac:dyDescent="0.25">
      <c r="A5633">
        <v>645301</v>
      </c>
      <c r="B5633">
        <v>2.48</v>
      </c>
      <c r="C5633">
        <v>460</v>
      </c>
      <c r="D5633" s="9">
        <v>42709</v>
      </c>
      <c r="E5633" t="s">
        <v>295</v>
      </c>
      <c r="I5633" s="9"/>
    </row>
    <row r="5634" spans="1:9" x14ac:dyDescent="0.25">
      <c r="A5634">
        <v>645301</v>
      </c>
      <c r="B5634">
        <v>2.48</v>
      </c>
      <c r="C5634">
        <v>60</v>
      </c>
      <c r="D5634" s="9">
        <v>42654</v>
      </c>
      <c r="E5634" t="s">
        <v>295</v>
      </c>
      <c r="I5634" s="9"/>
    </row>
    <row r="5635" spans="1:9" x14ac:dyDescent="0.25">
      <c r="A5635">
        <v>645301</v>
      </c>
      <c r="B5635">
        <v>2.48</v>
      </c>
      <c r="C5635">
        <v>480</v>
      </c>
      <c r="D5635" s="9">
        <v>42619</v>
      </c>
      <c r="E5635" t="s">
        <v>295</v>
      </c>
      <c r="I5635" s="9"/>
    </row>
    <row r="5636" spans="1:9" x14ac:dyDescent="0.25">
      <c r="A5636">
        <v>645301</v>
      </c>
      <c r="B5636">
        <v>2.48</v>
      </c>
      <c r="C5636">
        <v>60</v>
      </c>
      <c r="D5636" s="9">
        <v>42549</v>
      </c>
      <c r="E5636" t="s">
        <v>295</v>
      </c>
      <c r="I5636" s="9"/>
    </row>
    <row r="5637" spans="1:9" x14ac:dyDescent="0.25">
      <c r="A5637">
        <v>645301</v>
      </c>
      <c r="B5637">
        <v>2.48</v>
      </c>
      <c r="C5637">
        <v>270</v>
      </c>
      <c r="D5637" s="9">
        <v>42451</v>
      </c>
      <c r="E5637" t="s">
        <v>295</v>
      </c>
      <c r="I5637" s="9"/>
    </row>
    <row r="5638" spans="1:9" x14ac:dyDescent="0.25">
      <c r="A5638">
        <v>645301</v>
      </c>
      <c r="B5638">
        <v>2.48</v>
      </c>
      <c r="C5638">
        <v>270</v>
      </c>
      <c r="D5638" s="9">
        <v>42439</v>
      </c>
      <c r="E5638" t="s">
        <v>295</v>
      </c>
      <c r="I5638" s="9"/>
    </row>
    <row r="5639" spans="1:9" x14ac:dyDescent="0.25">
      <c r="A5639">
        <v>645301</v>
      </c>
      <c r="B5639">
        <v>2.48</v>
      </c>
      <c r="C5639">
        <v>480</v>
      </c>
      <c r="D5639" s="9">
        <v>42388</v>
      </c>
      <c r="E5639" t="s">
        <v>295</v>
      </c>
      <c r="I5639" s="9"/>
    </row>
    <row r="5640" spans="1:9" x14ac:dyDescent="0.25">
      <c r="A5640">
        <v>645301</v>
      </c>
      <c r="B5640">
        <v>2.48</v>
      </c>
      <c r="C5640">
        <v>300</v>
      </c>
      <c r="D5640" s="9">
        <v>42341</v>
      </c>
      <c r="E5640" t="s">
        <v>295</v>
      </c>
      <c r="I5640" s="9"/>
    </row>
    <row r="5641" spans="1:9" x14ac:dyDescent="0.25">
      <c r="A5641">
        <v>645301</v>
      </c>
      <c r="B5641">
        <v>2.48</v>
      </c>
      <c r="C5641">
        <v>90</v>
      </c>
      <c r="D5641" s="9">
        <v>42326</v>
      </c>
      <c r="E5641" t="s">
        <v>295</v>
      </c>
      <c r="I5641" s="9"/>
    </row>
    <row r="5642" spans="1:9" x14ac:dyDescent="0.25">
      <c r="A5642">
        <v>645301</v>
      </c>
      <c r="B5642">
        <v>2.48</v>
      </c>
      <c r="C5642">
        <v>360</v>
      </c>
      <c r="D5642" s="9">
        <v>42285</v>
      </c>
      <c r="E5642" t="s">
        <v>295</v>
      </c>
      <c r="I5642" s="9"/>
    </row>
    <row r="5643" spans="1:9" x14ac:dyDescent="0.25">
      <c r="A5643">
        <v>645301</v>
      </c>
      <c r="B5643">
        <v>2.48</v>
      </c>
      <c r="C5643">
        <v>210</v>
      </c>
      <c r="D5643" s="9">
        <v>42265</v>
      </c>
      <c r="E5643" t="s">
        <v>295</v>
      </c>
      <c r="I5643" s="9"/>
    </row>
    <row r="5644" spans="1:9" x14ac:dyDescent="0.25">
      <c r="A5644">
        <v>645301</v>
      </c>
      <c r="B5644">
        <v>2.48</v>
      </c>
      <c r="C5644">
        <v>90</v>
      </c>
      <c r="D5644" s="9">
        <v>42212</v>
      </c>
      <c r="E5644" t="s">
        <v>295</v>
      </c>
      <c r="I5644" s="9"/>
    </row>
    <row r="5645" spans="1:9" x14ac:dyDescent="0.25">
      <c r="A5645">
        <v>645301</v>
      </c>
      <c r="B5645">
        <v>2.48</v>
      </c>
      <c r="C5645">
        <v>60</v>
      </c>
      <c r="D5645" s="9">
        <v>42174</v>
      </c>
      <c r="E5645" t="s">
        <v>295</v>
      </c>
      <c r="I5645" s="9"/>
    </row>
    <row r="5646" spans="1:9" x14ac:dyDescent="0.25">
      <c r="A5646">
        <v>645301</v>
      </c>
      <c r="B5646">
        <v>2.48</v>
      </c>
      <c r="C5646">
        <v>60</v>
      </c>
      <c r="D5646" s="9">
        <v>42128</v>
      </c>
      <c r="E5646" t="s">
        <v>295</v>
      </c>
      <c r="I5646" s="9"/>
    </row>
    <row r="5647" spans="1:9" x14ac:dyDescent="0.25">
      <c r="A5647">
        <v>645301</v>
      </c>
      <c r="B5647">
        <v>2.48</v>
      </c>
      <c r="C5647">
        <v>120</v>
      </c>
      <c r="D5647" s="9">
        <v>42080</v>
      </c>
      <c r="E5647" t="s">
        <v>295</v>
      </c>
      <c r="I5647" s="9"/>
    </row>
    <row r="5648" spans="1:9" x14ac:dyDescent="0.25">
      <c r="A5648">
        <v>645301</v>
      </c>
      <c r="B5648">
        <v>2.48</v>
      </c>
      <c r="C5648">
        <v>120</v>
      </c>
      <c r="D5648" s="9">
        <v>41935</v>
      </c>
      <c r="E5648" t="s">
        <v>295</v>
      </c>
      <c r="I5648" s="9"/>
    </row>
    <row r="5649" spans="1:9" x14ac:dyDescent="0.25">
      <c r="A5649">
        <v>645301</v>
      </c>
      <c r="B5649">
        <v>2.48</v>
      </c>
      <c r="C5649">
        <v>180</v>
      </c>
      <c r="D5649" s="9">
        <v>41892</v>
      </c>
      <c r="E5649" t="s">
        <v>295</v>
      </c>
      <c r="I5649" s="9"/>
    </row>
    <row r="5650" spans="1:9" x14ac:dyDescent="0.25">
      <c r="A5650">
        <v>645301</v>
      </c>
      <c r="B5650">
        <v>2.48</v>
      </c>
      <c r="C5650">
        <v>210</v>
      </c>
      <c r="D5650" s="9">
        <v>41731</v>
      </c>
      <c r="E5650" t="s">
        <v>295</v>
      </c>
      <c r="I5650" s="9"/>
    </row>
    <row r="5651" spans="1:9" x14ac:dyDescent="0.25">
      <c r="A5651">
        <v>645301</v>
      </c>
      <c r="B5651">
        <v>2.48</v>
      </c>
      <c r="C5651">
        <v>120</v>
      </c>
      <c r="D5651" s="9">
        <v>41718</v>
      </c>
      <c r="E5651" t="s">
        <v>295</v>
      </c>
      <c r="I5651" s="9"/>
    </row>
    <row r="5652" spans="1:9" x14ac:dyDescent="0.25">
      <c r="A5652">
        <v>645301</v>
      </c>
      <c r="B5652">
        <v>2.62</v>
      </c>
      <c r="C5652">
        <v>180</v>
      </c>
      <c r="D5652" s="9">
        <v>41647</v>
      </c>
      <c r="E5652" t="s">
        <v>295</v>
      </c>
      <c r="I5652" s="9"/>
    </row>
    <row r="5653" spans="1:9" x14ac:dyDescent="0.25">
      <c r="A5653">
        <v>645301</v>
      </c>
      <c r="B5653">
        <v>2.62</v>
      </c>
      <c r="C5653">
        <v>150</v>
      </c>
      <c r="D5653" s="9">
        <v>41577</v>
      </c>
      <c r="E5653" t="s">
        <v>295</v>
      </c>
      <c r="I5653" s="9"/>
    </row>
    <row r="5654" spans="1:9" x14ac:dyDescent="0.25">
      <c r="A5654">
        <v>645302</v>
      </c>
      <c r="B5654">
        <v>2.5099999999999998</v>
      </c>
      <c r="C5654">
        <v>90</v>
      </c>
      <c r="D5654" s="9">
        <v>44125</v>
      </c>
      <c r="E5654" t="s">
        <v>295</v>
      </c>
      <c r="I5654" s="9"/>
    </row>
    <row r="5655" spans="1:9" x14ac:dyDescent="0.25">
      <c r="A5655">
        <v>645302</v>
      </c>
      <c r="B5655">
        <v>2.5099999999999998</v>
      </c>
      <c r="C5655">
        <v>30</v>
      </c>
      <c r="D5655" s="9">
        <v>44000</v>
      </c>
      <c r="E5655" t="s">
        <v>295</v>
      </c>
      <c r="I5655" s="9"/>
    </row>
    <row r="5656" spans="1:9" x14ac:dyDescent="0.25">
      <c r="A5656">
        <v>645302</v>
      </c>
      <c r="B5656">
        <v>2.5099999999999998</v>
      </c>
      <c r="C5656">
        <v>30</v>
      </c>
      <c r="D5656" s="9">
        <v>43857</v>
      </c>
      <c r="E5656" t="s">
        <v>295</v>
      </c>
      <c r="I5656" s="9"/>
    </row>
    <row r="5657" spans="1:9" x14ac:dyDescent="0.25">
      <c r="A5657">
        <v>645302</v>
      </c>
      <c r="B5657">
        <v>2.2999999999999998</v>
      </c>
      <c r="C5657">
        <v>30</v>
      </c>
      <c r="D5657" s="9">
        <v>43797</v>
      </c>
      <c r="E5657" t="s">
        <v>295</v>
      </c>
      <c r="I5657" s="9"/>
    </row>
    <row r="5658" spans="1:9" x14ac:dyDescent="0.25">
      <c r="A5658">
        <v>645302</v>
      </c>
      <c r="B5658">
        <v>2.2999999999999998</v>
      </c>
      <c r="C5658">
        <v>60</v>
      </c>
      <c r="D5658" s="9">
        <v>43556</v>
      </c>
      <c r="E5658" t="s">
        <v>295</v>
      </c>
      <c r="I5658" s="9"/>
    </row>
    <row r="5659" spans="1:9" x14ac:dyDescent="0.25">
      <c r="A5659">
        <v>645302</v>
      </c>
      <c r="B5659">
        <v>2.2999999999999998</v>
      </c>
      <c r="C5659">
        <v>150</v>
      </c>
      <c r="D5659" s="9">
        <v>43164</v>
      </c>
      <c r="E5659" t="s">
        <v>295</v>
      </c>
      <c r="I5659" s="9"/>
    </row>
    <row r="5660" spans="1:9" x14ac:dyDescent="0.25">
      <c r="A5660">
        <v>645302</v>
      </c>
      <c r="B5660">
        <v>2.2999999999999998</v>
      </c>
      <c r="C5660">
        <v>60</v>
      </c>
      <c r="D5660" s="9">
        <v>43049</v>
      </c>
      <c r="E5660" t="s">
        <v>295</v>
      </c>
      <c r="I5660" s="9"/>
    </row>
    <row r="5661" spans="1:9" x14ac:dyDescent="0.25">
      <c r="A5661">
        <v>645302</v>
      </c>
      <c r="B5661">
        <v>2.2999999999999998</v>
      </c>
      <c r="C5661">
        <v>150</v>
      </c>
      <c r="D5661" s="9">
        <v>43027</v>
      </c>
      <c r="E5661" t="s">
        <v>295</v>
      </c>
      <c r="I5661" s="9"/>
    </row>
    <row r="5662" spans="1:9" x14ac:dyDescent="0.25">
      <c r="A5662">
        <v>645302</v>
      </c>
      <c r="B5662">
        <v>2.2999999999999998</v>
      </c>
      <c r="C5662">
        <v>690</v>
      </c>
      <c r="D5662" s="9">
        <v>42836</v>
      </c>
      <c r="E5662" t="s">
        <v>295</v>
      </c>
      <c r="I5662" s="9"/>
    </row>
    <row r="5663" spans="1:9" x14ac:dyDescent="0.25">
      <c r="A5663">
        <v>645302</v>
      </c>
      <c r="B5663">
        <v>2.2999999999999998</v>
      </c>
      <c r="C5663">
        <v>90</v>
      </c>
      <c r="D5663" s="9">
        <v>42745</v>
      </c>
      <c r="E5663" t="s">
        <v>295</v>
      </c>
      <c r="I5663" s="9"/>
    </row>
    <row r="5664" spans="1:9" x14ac:dyDescent="0.25">
      <c r="A5664">
        <v>645302</v>
      </c>
      <c r="B5664">
        <v>2.2999999999999998</v>
      </c>
      <c r="C5664">
        <v>90</v>
      </c>
      <c r="D5664" s="9">
        <v>42537</v>
      </c>
      <c r="E5664" t="s">
        <v>295</v>
      </c>
      <c r="I5664" s="9"/>
    </row>
    <row r="5665" spans="1:9" x14ac:dyDescent="0.25">
      <c r="A5665">
        <v>645302</v>
      </c>
      <c r="B5665">
        <v>2.2999999999999998</v>
      </c>
      <c r="C5665">
        <v>120</v>
      </c>
      <c r="D5665" s="9">
        <v>42451</v>
      </c>
      <c r="E5665" t="s">
        <v>295</v>
      </c>
      <c r="I5665" s="9"/>
    </row>
    <row r="5666" spans="1:9" x14ac:dyDescent="0.25">
      <c r="A5666">
        <v>645302</v>
      </c>
      <c r="B5666">
        <v>2.2999999999999998</v>
      </c>
      <c r="C5666">
        <v>90</v>
      </c>
      <c r="D5666" s="9">
        <v>42326</v>
      </c>
      <c r="E5666" t="s">
        <v>295</v>
      </c>
      <c r="I5666" s="9"/>
    </row>
    <row r="5667" spans="1:9" x14ac:dyDescent="0.25">
      <c r="A5667">
        <v>645302</v>
      </c>
      <c r="B5667">
        <v>2.2999999999999998</v>
      </c>
      <c r="C5667">
        <v>60</v>
      </c>
      <c r="D5667" s="9">
        <v>42285</v>
      </c>
      <c r="E5667" t="s">
        <v>295</v>
      </c>
      <c r="I5667" s="9"/>
    </row>
    <row r="5668" spans="1:9" x14ac:dyDescent="0.25">
      <c r="A5668">
        <v>645302</v>
      </c>
      <c r="B5668">
        <v>2.2999999999999998</v>
      </c>
      <c r="C5668">
        <v>150</v>
      </c>
      <c r="D5668" s="9">
        <v>42265</v>
      </c>
      <c r="E5668" t="s">
        <v>295</v>
      </c>
      <c r="I5668" s="9"/>
    </row>
    <row r="5669" spans="1:9" x14ac:dyDescent="0.25">
      <c r="A5669">
        <v>645302</v>
      </c>
      <c r="B5669">
        <v>2.2999999999999998</v>
      </c>
      <c r="C5669">
        <v>30</v>
      </c>
      <c r="D5669" s="9">
        <v>42174</v>
      </c>
      <c r="E5669" t="s">
        <v>295</v>
      </c>
      <c r="I5669" s="9"/>
    </row>
    <row r="5670" spans="1:9" x14ac:dyDescent="0.25">
      <c r="A5670">
        <v>645302</v>
      </c>
      <c r="B5670">
        <v>2.2999999999999998</v>
      </c>
      <c r="C5670">
        <v>60</v>
      </c>
      <c r="D5670" s="9">
        <v>42128</v>
      </c>
      <c r="E5670" t="s">
        <v>295</v>
      </c>
      <c r="I5670" s="9"/>
    </row>
    <row r="5671" spans="1:9" x14ac:dyDescent="0.25">
      <c r="A5671">
        <v>645302</v>
      </c>
      <c r="B5671">
        <v>2.2999999999999998</v>
      </c>
      <c r="C5671">
        <v>60</v>
      </c>
      <c r="D5671" s="9">
        <v>42080</v>
      </c>
      <c r="E5671" t="s">
        <v>295</v>
      </c>
      <c r="I5671" s="9"/>
    </row>
    <row r="5672" spans="1:9" x14ac:dyDescent="0.25">
      <c r="A5672">
        <v>645302</v>
      </c>
      <c r="B5672">
        <v>2.2999999999999998</v>
      </c>
      <c r="C5672">
        <v>60</v>
      </c>
      <c r="D5672" s="9">
        <v>42068</v>
      </c>
      <c r="E5672" t="s">
        <v>295</v>
      </c>
      <c r="I5672" s="9"/>
    </row>
    <row r="5673" spans="1:9" x14ac:dyDescent="0.25">
      <c r="A5673">
        <v>645302</v>
      </c>
      <c r="B5673">
        <v>2.2999999999999998</v>
      </c>
      <c r="C5673">
        <v>30</v>
      </c>
      <c r="D5673" s="9">
        <v>41935</v>
      </c>
      <c r="E5673" t="s">
        <v>295</v>
      </c>
      <c r="I5673" s="9"/>
    </row>
    <row r="5674" spans="1:9" x14ac:dyDescent="0.25">
      <c r="A5674">
        <v>645302</v>
      </c>
      <c r="B5674">
        <v>2.2999999999999998</v>
      </c>
      <c r="C5674">
        <v>60</v>
      </c>
      <c r="D5674" s="9">
        <v>41892</v>
      </c>
      <c r="E5674" t="s">
        <v>295</v>
      </c>
      <c r="I5674" s="9"/>
    </row>
    <row r="5675" spans="1:9" x14ac:dyDescent="0.25">
      <c r="A5675">
        <v>645302</v>
      </c>
      <c r="B5675">
        <v>2.4</v>
      </c>
      <c r="C5675">
        <v>60</v>
      </c>
      <c r="D5675" s="9">
        <v>41647</v>
      </c>
      <c r="E5675" t="s">
        <v>295</v>
      </c>
      <c r="I5675" s="9"/>
    </row>
    <row r="5676" spans="1:9" x14ac:dyDescent="0.25">
      <c r="A5676">
        <v>645302</v>
      </c>
      <c r="B5676">
        <v>2.4</v>
      </c>
      <c r="C5676">
        <v>240</v>
      </c>
      <c r="D5676" s="9">
        <v>41577</v>
      </c>
      <c r="E5676" t="s">
        <v>295</v>
      </c>
      <c r="I5676" s="9"/>
    </row>
    <row r="5677" spans="1:9" x14ac:dyDescent="0.25">
      <c r="A5677">
        <v>645321</v>
      </c>
      <c r="B5677">
        <v>1.73</v>
      </c>
      <c r="C5677">
        <v>100</v>
      </c>
      <c r="D5677" s="9">
        <v>43640</v>
      </c>
      <c r="E5677" t="s">
        <v>295</v>
      </c>
      <c r="I5677" s="9"/>
    </row>
    <row r="5678" spans="1:9" x14ac:dyDescent="0.25">
      <c r="A5678">
        <v>645321</v>
      </c>
      <c r="B5678">
        <v>1.89</v>
      </c>
      <c r="C5678">
        <v>30</v>
      </c>
      <c r="D5678" s="9">
        <v>42943</v>
      </c>
      <c r="E5678" t="s">
        <v>295</v>
      </c>
      <c r="I5678" s="9"/>
    </row>
    <row r="5679" spans="1:9" x14ac:dyDescent="0.25">
      <c r="A5679">
        <v>645321</v>
      </c>
      <c r="B5679">
        <v>1.89</v>
      </c>
      <c r="C5679">
        <v>50</v>
      </c>
      <c r="D5679" s="9">
        <v>42537</v>
      </c>
      <c r="E5679" t="s">
        <v>295</v>
      </c>
      <c r="I5679" s="9"/>
    </row>
    <row r="5680" spans="1:9" x14ac:dyDescent="0.25">
      <c r="A5680">
        <v>645322</v>
      </c>
      <c r="B5680">
        <v>2.9</v>
      </c>
      <c r="C5680">
        <v>10</v>
      </c>
      <c r="D5680" s="9">
        <v>43112</v>
      </c>
      <c r="E5680" t="s">
        <v>295</v>
      </c>
      <c r="I5680" s="9"/>
    </row>
    <row r="5681" spans="1:9" x14ac:dyDescent="0.25">
      <c r="A5681">
        <v>645322</v>
      </c>
      <c r="B5681">
        <v>2.9</v>
      </c>
      <c r="C5681">
        <v>10</v>
      </c>
      <c r="D5681" s="9">
        <v>42836</v>
      </c>
      <c r="E5681" t="s">
        <v>295</v>
      </c>
      <c r="I5681" s="9"/>
    </row>
    <row r="5682" spans="1:9" x14ac:dyDescent="0.25">
      <c r="A5682">
        <v>645322</v>
      </c>
      <c r="B5682">
        <v>2.9</v>
      </c>
      <c r="C5682">
        <v>30</v>
      </c>
      <c r="D5682" s="9">
        <v>42614</v>
      </c>
      <c r="E5682" t="s">
        <v>295</v>
      </c>
      <c r="I5682" s="9"/>
    </row>
    <row r="5683" spans="1:9" x14ac:dyDescent="0.25">
      <c r="A5683">
        <v>645322</v>
      </c>
      <c r="B5683">
        <v>2.9</v>
      </c>
      <c r="C5683">
        <v>20</v>
      </c>
      <c r="D5683" s="9">
        <v>42265</v>
      </c>
      <c r="E5683" t="s">
        <v>295</v>
      </c>
      <c r="I5683" s="9"/>
    </row>
    <row r="5684" spans="1:9" x14ac:dyDescent="0.25">
      <c r="A5684">
        <v>645322</v>
      </c>
      <c r="B5684">
        <v>2.9</v>
      </c>
      <c r="C5684">
        <v>40</v>
      </c>
      <c r="D5684" s="9">
        <v>41892</v>
      </c>
      <c r="E5684" t="s">
        <v>295</v>
      </c>
      <c r="I5684" s="9"/>
    </row>
    <row r="5685" spans="1:9" x14ac:dyDescent="0.25">
      <c r="A5685">
        <v>645322</v>
      </c>
      <c r="B5685">
        <v>2.9</v>
      </c>
      <c r="C5685">
        <v>20</v>
      </c>
      <c r="D5685" s="9">
        <v>41718</v>
      </c>
      <c r="E5685" t="s">
        <v>295</v>
      </c>
      <c r="I5685" s="9"/>
    </row>
    <row r="5686" spans="1:9" x14ac:dyDescent="0.25">
      <c r="A5686">
        <v>645323</v>
      </c>
      <c r="B5686">
        <v>2.92</v>
      </c>
      <c r="C5686">
        <v>100</v>
      </c>
      <c r="D5686" s="9">
        <v>43640</v>
      </c>
      <c r="E5686" t="s">
        <v>295</v>
      </c>
      <c r="I5686" s="9"/>
    </row>
    <row r="5687" spans="1:9" x14ac:dyDescent="0.25">
      <c r="A5687">
        <v>645323</v>
      </c>
      <c r="B5687">
        <v>2.76</v>
      </c>
      <c r="C5687">
        <v>50</v>
      </c>
      <c r="D5687" s="9">
        <v>42991</v>
      </c>
      <c r="E5687" t="s">
        <v>295</v>
      </c>
      <c r="I5687" s="9"/>
    </row>
    <row r="5688" spans="1:9" x14ac:dyDescent="0.25">
      <c r="A5688">
        <v>645323</v>
      </c>
      <c r="B5688">
        <v>2.76</v>
      </c>
      <c r="C5688">
        <v>10</v>
      </c>
      <c r="D5688" s="9">
        <v>42943</v>
      </c>
      <c r="E5688" t="s">
        <v>295</v>
      </c>
      <c r="I5688" s="9"/>
    </row>
    <row r="5689" spans="1:9" x14ac:dyDescent="0.25">
      <c r="A5689">
        <v>645323</v>
      </c>
      <c r="B5689">
        <v>2.76</v>
      </c>
      <c r="C5689">
        <v>30</v>
      </c>
      <c r="D5689" s="9">
        <v>42836</v>
      </c>
      <c r="E5689" t="s">
        <v>295</v>
      </c>
      <c r="I5689" s="9"/>
    </row>
    <row r="5690" spans="1:9" x14ac:dyDescent="0.25">
      <c r="A5690">
        <v>645323</v>
      </c>
      <c r="B5690">
        <v>2.76</v>
      </c>
      <c r="C5690">
        <v>50</v>
      </c>
      <c r="D5690" s="9">
        <v>42537</v>
      </c>
      <c r="E5690" t="s">
        <v>295</v>
      </c>
      <c r="I5690" s="9"/>
    </row>
    <row r="5691" spans="1:9" x14ac:dyDescent="0.25">
      <c r="A5691">
        <v>645323</v>
      </c>
      <c r="B5691">
        <v>2.76</v>
      </c>
      <c r="C5691">
        <v>30</v>
      </c>
      <c r="D5691" s="9">
        <v>42465</v>
      </c>
      <c r="E5691" t="s">
        <v>295</v>
      </c>
      <c r="I5691" s="9"/>
    </row>
    <row r="5692" spans="1:9" x14ac:dyDescent="0.25">
      <c r="A5692">
        <v>645323</v>
      </c>
      <c r="B5692">
        <v>2.76</v>
      </c>
      <c r="C5692">
        <v>40</v>
      </c>
      <c r="D5692" s="9">
        <v>42265</v>
      </c>
      <c r="E5692" t="s">
        <v>295</v>
      </c>
      <c r="I5692" s="9"/>
    </row>
    <row r="5693" spans="1:9" x14ac:dyDescent="0.25">
      <c r="A5693">
        <v>645323</v>
      </c>
      <c r="B5693">
        <v>2.76</v>
      </c>
      <c r="C5693">
        <v>40</v>
      </c>
      <c r="D5693" s="9">
        <v>41718</v>
      </c>
      <c r="E5693" t="s">
        <v>295</v>
      </c>
      <c r="I5693" s="9"/>
    </row>
    <row r="5694" spans="1:9" x14ac:dyDescent="0.25">
      <c r="A5694">
        <v>645323</v>
      </c>
      <c r="B5694">
        <v>2.9</v>
      </c>
      <c r="C5694">
        <v>30</v>
      </c>
      <c r="D5694" s="9">
        <v>41564</v>
      </c>
      <c r="E5694" t="s">
        <v>295</v>
      </c>
      <c r="I5694" s="9"/>
    </row>
    <row r="5695" spans="1:9" x14ac:dyDescent="0.25">
      <c r="A5695">
        <v>645324</v>
      </c>
      <c r="B5695">
        <v>2.92</v>
      </c>
      <c r="C5695">
        <v>10</v>
      </c>
      <c r="D5695" s="9">
        <v>42943</v>
      </c>
      <c r="E5695" t="s">
        <v>295</v>
      </c>
      <c r="I5695" s="9"/>
    </row>
    <row r="5696" spans="1:9" x14ac:dyDescent="0.25">
      <c r="A5696">
        <v>645324</v>
      </c>
      <c r="B5696">
        <v>2.92</v>
      </c>
      <c r="C5696">
        <v>10</v>
      </c>
      <c r="D5696" s="9">
        <v>42836</v>
      </c>
      <c r="E5696" t="s">
        <v>295</v>
      </c>
      <c r="I5696" s="9"/>
    </row>
    <row r="5697" spans="1:9" x14ac:dyDescent="0.25">
      <c r="A5697">
        <v>645324</v>
      </c>
      <c r="B5697">
        <v>2.92</v>
      </c>
      <c r="C5697">
        <v>30</v>
      </c>
      <c r="D5697" s="9">
        <v>42347</v>
      </c>
      <c r="E5697" t="s">
        <v>295</v>
      </c>
      <c r="I5697" s="9"/>
    </row>
    <row r="5698" spans="1:9" x14ac:dyDescent="0.25">
      <c r="A5698">
        <v>645324</v>
      </c>
      <c r="B5698">
        <v>2.92</v>
      </c>
      <c r="C5698">
        <v>20</v>
      </c>
      <c r="D5698" s="9">
        <v>42265</v>
      </c>
      <c r="E5698" t="s">
        <v>295</v>
      </c>
      <c r="I5698" s="9"/>
    </row>
    <row r="5699" spans="1:9" x14ac:dyDescent="0.25">
      <c r="A5699">
        <v>645324</v>
      </c>
      <c r="B5699">
        <v>2.92</v>
      </c>
      <c r="C5699">
        <v>40</v>
      </c>
      <c r="D5699" s="9">
        <v>41892</v>
      </c>
      <c r="E5699" t="s">
        <v>295</v>
      </c>
      <c r="I5699" s="9"/>
    </row>
    <row r="5700" spans="1:9" x14ac:dyDescent="0.25">
      <c r="A5700">
        <v>645324</v>
      </c>
      <c r="B5700">
        <v>2.92</v>
      </c>
      <c r="C5700">
        <v>20</v>
      </c>
      <c r="D5700" s="9">
        <v>41718</v>
      </c>
      <c r="E5700" t="s">
        <v>295</v>
      </c>
      <c r="I5700" s="9"/>
    </row>
    <row r="5701" spans="1:9" x14ac:dyDescent="0.25">
      <c r="A5701">
        <v>645324</v>
      </c>
      <c r="B5701">
        <v>3</v>
      </c>
      <c r="C5701">
        <v>15</v>
      </c>
      <c r="D5701" s="9">
        <v>41564</v>
      </c>
      <c r="E5701" t="s">
        <v>295</v>
      </c>
      <c r="I5701" s="9"/>
    </row>
    <row r="5702" spans="1:9" x14ac:dyDescent="0.25">
      <c r="A5702">
        <v>645325</v>
      </c>
      <c r="B5702">
        <v>3.6</v>
      </c>
      <c r="C5702">
        <v>10</v>
      </c>
      <c r="D5702" s="9">
        <v>43112</v>
      </c>
      <c r="E5702" t="s">
        <v>295</v>
      </c>
      <c r="I5702" s="9"/>
    </row>
    <row r="5703" spans="1:9" x14ac:dyDescent="0.25">
      <c r="A5703">
        <v>645325</v>
      </c>
      <c r="B5703">
        <v>3.6</v>
      </c>
      <c r="C5703">
        <v>30</v>
      </c>
      <c r="D5703" s="9">
        <v>42836</v>
      </c>
      <c r="E5703" t="s">
        <v>295</v>
      </c>
      <c r="I5703" s="9"/>
    </row>
    <row r="5704" spans="1:9" x14ac:dyDescent="0.25">
      <c r="A5704">
        <v>645325</v>
      </c>
      <c r="B5704">
        <v>3.6</v>
      </c>
      <c r="C5704">
        <v>20</v>
      </c>
      <c r="D5704" s="9">
        <v>42508</v>
      </c>
      <c r="E5704" t="s">
        <v>295</v>
      </c>
      <c r="I5704" s="9"/>
    </row>
    <row r="5705" spans="1:9" x14ac:dyDescent="0.25">
      <c r="A5705">
        <v>645325</v>
      </c>
      <c r="B5705">
        <v>3.6</v>
      </c>
      <c r="C5705">
        <v>10</v>
      </c>
      <c r="D5705" s="9">
        <v>42347</v>
      </c>
      <c r="E5705" t="s">
        <v>295</v>
      </c>
      <c r="I5705" s="9"/>
    </row>
    <row r="5706" spans="1:9" x14ac:dyDescent="0.25">
      <c r="A5706">
        <v>645325</v>
      </c>
      <c r="B5706">
        <v>3.6</v>
      </c>
      <c r="C5706">
        <v>20</v>
      </c>
      <c r="D5706" s="9">
        <v>42081</v>
      </c>
      <c r="E5706" t="s">
        <v>295</v>
      </c>
      <c r="I5706" s="9"/>
    </row>
    <row r="5707" spans="1:9" x14ac:dyDescent="0.25">
      <c r="A5707">
        <v>645325</v>
      </c>
      <c r="B5707">
        <v>3.6</v>
      </c>
      <c r="C5707">
        <v>40</v>
      </c>
      <c r="D5707" s="9">
        <v>41718</v>
      </c>
      <c r="E5707" t="s">
        <v>295</v>
      </c>
      <c r="I5707" s="9"/>
    </row>
    <row r="5708" spans="1:9" x14ac:dyDescent="0.25">
      <c r="A5708">
        <v>645332</v>
      </c>
      <c r="B5708">
        <v>1.68</v>
      </c>
      <c r="C5708">
        <v>30</v>
      </c>
      <c r="D5708" s="9">
        <v>42850</v>
      </c>
      <c r="E5708" t="s">
        <v>295</v>
      </c>
      <c r="I5708" s="9"/>
    </row>
    <row r="5709" spans="1:9" x14ac:dyDescent="0.25">
      <c r="A5709">
        <v>645332</v>
      </c>
      <c r="B5709">
        <v>0</v>
      </c>
      <c r="C5709">
        <v>30</v>
      </c>
      <c r="D5709" s="9">
        <v>42836</v>
      </c>
      <c r="E5709" t="s">
        <v>295</v>
      </c>
      <c r="I5709" s="9"/>
    </row>
    <row r="5710" spans="1:9" x14ac:dyDescent="0.25">
      <c r="A5710">
        <v>645332</v>
      </c>
      <c r="B5710">
        <v>1.68</v>
      </c>
      <c r="C5710">
        <v>30</v>
      </c>
      <c r="D5710" s="9">
        <v>42265</v>
      </c>
      <c r="E5710" t="s">
        <v>295</v>
      </c>
      <c r="I5710" s="9"/>
    </row>
    <row r="5711" spans="1:9" x14ac:dyDescent="0.25">
      <c r="A5711">
        <v>645332</v>
      </c>
      <c r="B5711">
        <v>1.68</v>
      </c>
      <c r="C5711">
        <v>30</v>
      </c>
      <c r="D5711" s="9">
        <v>41718</v>
      </c>
      <c r="E5711" t="s">
        <v>295</v>
      </c>
      <c r="I5711" s="9"/>
    </row>
    <row r="5712" spans="1:9" x14ac:dyDescent="0.25">
      <c r="A5712">
        <v>645334</v>
      </c>
      <c r="B5712">
        <v>2.52</v>
      </c>
      <c r="C5712">
        <v>30</v>
      </c>
      <c r="D5712" s="9">
        <v>42850</v>
      </c>
      <c r="E5712" t="s">
        <v>295</v>
      </c>
      <c r="I5712" s="9"/>
    </row>
    <row r="5713" spans="1:9" x14ac:dyDescent="0.25">
      <c r="A5713">
        <v>645334</v>
      </c>
      <c r="B5713">
        <v>0</v>
      </c>
      <c r="C5713">
        <v>30</v>
      </c>
      <c r="D5713" s="9">
        <v>42836</v>
      </c>
      <c r="E5713" t="s">
        <v>295</v>
      </c>
      <c r="I5713" s="9"/>
    </row>
    <row r="5714" spans="1:9" x14ac:dyDescent="0.25">
      <c r="A5714">
        <v>645334</v>
      </c>
      <c r="B5714">
        <v>2.52</v>
      </c>
      <c r="C5714">
        <v>30</v>
      </c>
      <c r="D5714" s="9">
        <v>42265</v>
      </c>
      <c r="E5714" t="s">
        <v>295</v>
      </c>
      <c r="I5714" s="9"/>
    </row>
    <row r="5715" spans="1:9" x14ac:dyDescent="0.25">
      <c r="A5715">
        <v>645334</v>
      </c>
      <c r="B5715">
        <v>2.52</v>
      </c>
      <c r="C5715">
        <v>30</v>
      </c>
      <c r="D5715" s="9">
        <v>41892</v>
      </c>
      <c r="E5715" t="s">
        <v>295</v>
      </c>
      <c r="I5715" s="9"/>
    </row>
    <row r="5716" spans="1:9" x14ac:dyDescent="0.25">
      <c r="A5716">
        <v>645334</v>
      </c>
      <c r="B5716">
        <v>2.52</v>
      </c>
      <c r="C5716">
        <v>20</v>
      </c>
      <c r="D5716" s="9">
        <v>41718</v>
      </c>
      <c r="E5716" t="s">
        <v>295</v>
      </c>
      <c r="I5716" s="9"/>
    </row>
    <row r="5717" spans="1:9" x14ac:dyDescent="0.25">
      <c r="A5717">
        <v>645336</v>
      </c>
      <c r="B5717">
        <v>3.15</v>
      </c>
      <c r="C5717">
        <v>24</v>
      </c>
      <c r="D5717" s="9">
        <v>42850</v>
      </c>
      <c r="E5717" t="s">
        <v>295</v>
      </c>
      <c r="I5717" s="9"/>
    </row>
    <row r="5718" spans="1:9" x14ac:dyDescent="0.25">
      <c r="A5718">
        <v>645336</v>
      </c>
      <c r="B5718">
        <v>0</v>
      </c>
      <c r="C5718">
        <v>24</v>
      </c>
      <c r="D5718" s="9">
        <v>42836</v>
      </c>
      <c r="E5718" t="s">
        <v>295</v>
      </c>
      <c r="I5718" s="9"/>
    </row>
    <row r="5719" spans="1:9" x14ac:dyDescent="0.25">
      <c r="A5719">
        <v>645336</v>
      </c>
      <c r="B5719">
        <v>0</v>
      </c>
      <c r="C5719">
        <v>15</v>
      </c>
      <c r="D5719" s="9">
        <v>42614</v>
      </c>
      <c r="E5719" t="s">
        <v>295</v>
      </c>
      <c r="I5719" s="9"/>
    </row>
    <row r="5720" spans="1:9" x14ac:dyDescent="0.25">
      <c r="A5720">
        <v>645401</v>
      </c>
      <c r="B5720">
        <v>5.4</v>
      </c>
      <c r="C5720">
        <v>48</v>
      </c>
      <c r="D5720" s="9">
        <v>42844</v>
      </c>
      <c r="E5720" t="s">
        <v>295</v>
      </c>
      <c r="I5720" s="9"/>
    </row>
    <row r="5721" spans="1:9" x14ac:dyDescent="0.25">
      <c r="A5721">
        <v>645416</v>
      </c>
      <c r="B5721">
        <v>5.45</v>
      </c>
      <c r="C5721">
        <v>24</v>
      </c>
      <c r="D5721" s="9">
        <v>43112</v>
      </c>
      <c r="E5721" t="s">
        <v>295</v>
      </c>
      <c r="I5721" s="9"/>
    </row>
    <row r="5722" spans="1:9" x14ac:dyDescent="0.25">
      <c r="A5722">
        <v>645416</v>
      </c>
      <c r="B5722">
        <v>5.45</v>
      </c>
      <c r="C5722">
        <v>48</v>
      </c>
      <c r="D5722" s="9">
        <v>42844</v>
      </c>
      <c r="E5722" t="s">
        <v>295</v>
      </c>
      <c r="I5722" s="9"/>
    </row>
    <row r="5723" spans="1:9" x14ac:dyDescent="0.25">
      <c r="A5723">
        <v>645416</v>
      </c>
      <c r="B5723">
        <v>5.45</v>
      </c>
      <c r="C5723">
        <v>24</v>
      </c>
      <c r="D5723" s="9">
        <v>42081</v>
      </c>
      <c r="E5723" t="s">
        <v>295</v>
      </c>
      <c r="I5723" s="9"/>
    </row>
    <row r="5724" spans="1:9" x14ac:dyDescent="0.25">
      <c r="A5724">
        <v>645419</v>
      </c>
      <c r="B5724">
        <v>5.45</v>
      </c>
      <c r="C5724">
        <v>48</v>
      </c>
      <c r="D5724" s="9">
        <v>42844</v>
      </c>
      <c r="E5724" t="s">
        <v>295</v>
      </c>
      <c r="I5724" s="9"/>
    </row>
    <row r="5725" spans="1:9" x14ac:dyDescent="0.25">
      <c r="A5725">
        <v>645422</v>
      </c>
      <c r="B5725">
        <v>3.83</v>
      </c>
      <c r="C5725">
        <v>48</v>
      </c>
      <c r="D5725" s="9">
        <v>44000</v>
      </c>
      <c r="E5725" t="s">
        <v>295</v>
      </c>
      <c r="I5725" s="9"/>
    </row>
    <row r="5726" spans="1:9" x14ac:dyDescent="0.25">
      <c r="A5726">
        <v>645422</v>
      </c>
      <c r="B5726">
        <v>3.83</v>
      </c>
      <c r="C5726">
        <v>48</v>
      </c>
      <c r="D5726" s="9">
        <v>43640</v>
      </c>
      <c r="E5726" t="s">
        <v>295</v>
      </c>
      <c r="I5726" s="9"/>
    </row>
    <row r="5727" spans="1:9" x14ac:dyDescent="0.25">
      <c r="A5727">
        <v>645422</v>
      </c>
      <c r="B5727">
        <v>3.49</v>
      </c>
      <c r="C5727">
        <v>50</v>
      </c>
      <c r="D5727" s="9">
        <v>42991</v>
      </c>
      <c r="E5727" t="s">
        <v>295</v>
      </c>
      <c r="I5727" s="9"/>
    </row>
    <row r="5728" spans="1:9" x14ac:dyDescent="0.25">
      <c r="A5728">
        <v>645422</v>
      </c>
      <c r="B5728">
        <v>3.49</v>
      </c>
      <c r="C5728">
        <v>48</v>
      </c>
      <c r="D5728" s="9">
        <v>42844</v>
      </c>
      <c r="E5728" t="s">
        <v>295</v>
      </c>
      <c r="I5728" s="9"/>
    </row>
    <row r="5729" spans="1:9" x14ac:dyDescent="0.25">
      <c r="A5729">
        <v>645422</v>
      </c>
      <c r="B5729">
        <v>3.49</v>
      </c>
      <c r="C5729">
        <v>24</v>
      </c>
      <c r="D5729" s="9">
        <v>42836</v>
      </c>
      <c r="E5729" t="s">
        <v>295</v>
      </c>
      <c r="I5729" s="9"/>
    </row>
    <row r="5730" spans="1:9" x14ac:dyDescent="0.25">
      <c r="A5730">
        <v>645422</v>
      </c>
      <c r="B5730">
        <v>3.49</v>
      </c>
      <c r="C5730">
        <v>48</v>
      </c>
      <c r="D5730" s="9">
        <v>42537</v>
      </c>
      <c r="E5730" t="s">
        <v>295</v>
      </c>
      <c r="I5730" s="9"/>
    </row>
    <row r="5731" spans="1:9" x14ac:dyDescent="0.25">
      <c r="A5731">
        <v>645422</v>
      </c>
      <c r="B5731">
        <v>3.49</v>
      </c>
      <c r="C5731">
        <v>48</v>
      </c>
      <c r="D5731" s="9">
        <v>42265</v>
      </c>
      <c r="E5731" t="s">
        <v>295</v>
      </c>
      <c r="I5731" s="9"/>
    </row>
    <row r="5732" spans="1:9" x14ac:dyDescent="0.25">
      <c r="A5732">
        <v>645422</v>
      </c>
      <c r="B5732">
        <v>3.49</v>
      </c>
      <c r="C5732">
        <v>24</v>
      </c>
      <c r="D5732" s="9">
        <v>42081</v>
      </c>
      <c r="E5732" t="s">
        <v>295</v>
      </c>
      <c r="I5732" s="9"/>
    </row>
    <row r="5733" spans="1:9" x14ac:dyDescent="0.25">
      <c r="A5733">
        <v>645422</v>
      </c>
      <c r="B5733">
        <v>3.49</v>
      </c>
      <c r="C5733">
        <v>120</v>
      </c>
      <c r="D5733" s="9">
        <v>41960</v>
      </c>
      <c r="E5733" t="s">
        <v>295</v>
      </c>
      <c r="I5733" s="9"/>
    </row>
    <row r="5734" spans="1:9" x14ac:dyDescent="0.25">
      <c r="A5734">
        <v>645422</v>
      </c>
      <c r="B5734">
        <v>3.49</v>
      </c>
      <c r="C5734">
        <v>48</v>
      </c>
      <c r="D5734" s="9">
        <v>41892</v>
      </c>
      <c r="E5734" t="s">
        <v>295</v>
      </c>
      <c r="I5734" s="9"/>
    </row>
    <row r="5735" spans="1:9" x14ac:dyDescent="0.25">
      <c r="A5735">
        <v>645424</v>
      </c>
      <c r="B5735">
        <v>7.55</v>
      </c>
      <c r="C5735">
        <v>48</v>
      </c>
      <c r="D5735" s="9">
        <v>42844</v>
      </c>
      <c r="E5735" t="s">
        <v>295</v>
      </c>
      <c r="I5735" s="9"/>
    </row>
    <row r="5736" spans="1:9" x14ac:dyDescent="0.25">
      <c r="A5736">
        <v>645432</v>
      </c>
      <c r="B5736">
        <v>6.21</v>
      </c>
      <c r="C5736">
        <v>48</v>
      </c>
      <c r="D5736" s="9">
        <v>43640</v>
      </c>
      <c r="E5736" t="s">
        <v>295</v>
      </c>
      <c r="I5736" s="9"/>
    </row>
    <row r="5737" spans="1:9" x14ac:dyDescent="0.25">
      <c r="A5737">
        <v>645432</v>
      </c>
      <c r="B5737">
        <v>5.28</v>
      </c>
      <c r="C5737">
        <v>24</v>
      </c>
      <c r="D5737" s="9">
        <v>43112</v>
      </c>
      <c r="E5737" t="s">
        <v>295</v>
      </c>
      <c r="I5737" s="9"/>
    </row>
    <row r="5738" spans="1:9" x14ac:dyDescent="0.25">
      <c r="A5738">
        <v>645432</v>
      </c>
      <c r="B5738">
        <v>5.28</v>
      </c>
      <c r="C5738">
        <v>24</v>
      </c>
      <c r="D5738" s="9">
        <v>42943</v>
      </c>
      <c r="E5738" t="s">
        <v>295</v>
      </c>
      <c r="I5738" s="9"/>
    </row>
    <row r="5739" spans="1:9" x14ac:dyDescent="0.25">
      <c r="A5739">
        <v>645432</v>
      </c>
      <c r="B5739">
        <v>5.28</v>
      </c>
      <c r="C5739">
        <v>48</v>
      </c>
      <c r="D5739" s="9">
        <v>42081</v>
      </c>
      <c r="E5739" t="s">
        <v>295</v>
      </c>
      <c r="I5739" s="9"/>
    </row>
    <row r="5740" spans="1:9" x14ac:dyDescent="0.25">
      <c r="A5740">
        <v>645432</v>
      </c>
      <c r="B5740">
        <v>5.28</v>
      </c>
      <c r="C5740">
        <v>36</v>
      </c>
      <c r="D5740" s="9">
        <v>41892</v>
      </c>
      <c r="E5740" t="s">
        <v>295</v>
      </c>
      <c r="I5740" s="9"/>
    </row>
    <row r="5741" spans="1:9" x14ac:dyDescent="0.25">
      <c r="A5741">
        <v>645432</v>
      </c>
      <c r="B5741">
        <v>5.28</v>
      </c>
      <c r="C5741">
        <v>48</v>
      </c>
      <c r="D5741" s="9">
        <v>41718</v>
      </c>
      <c r="E5741" t="s">
        <v>295</v>
      </c>
      <c r="I5741" s="9"/>
    </row>
    <row r="5742" spans="1:9" x14ac:dyDescent="0.25">
      <c r="A5742">
        <v>645433</v>
      </c>
      <c r="B5742">
        <v>7.02</v>
      </c>
      <c r="C5742">
        <v>24</v>
      </c>
      <c r="D5742" s="9">
        <v>42347</v>
      </c>
      <c r="E5742" t="s">
        <v>295</v>
      </c>
      <c r="I5742" s="9"/>
    </row>
    <row r="5743" spans="1:9" x14ac:dyDescent="0.25">
      <c r="A5743">
        <v>645433</v>
      </c>
      <c r="B5743">
        <v>7.02</v>
      </c>
      <c r="C5743">
        <v>24</v>
      </c>
      <c r="D5743" s="9">
        <v>42265</v>
      </c>
      <c r="E5743" t="s">
        <v>295</v>
      </c>
      <c r="I5743" s="9"/>
    </row>
    <row r="5744" spans="1:9" x14ac:dyDescent="0.25">
      <c r="A5744">
        <v>645433</v>
      </c>
      <c r="B5744">
        <v>7.02</v>
      </c>
      <c r="C5744">
        <v>24</v>
      </c>
      <c r="D5744" s="9">
        <v>42081</v>
      </c>
      <c r="E5744" t="s">
        <v>295</v>
      </c>
      <c r="I5744" s="9"/>
    </row>
    <row r="5745" spans="1:9" x14ac:dyDescent="0.25">
      <c r="A5745">
        <v>645433</v>
      </c>
      <c r="B5745">
        <v>7.02</v>
      </c>
      <c r="C5745">
        <v>24</v>
      </c>
      <c r="D5745" s="9">
        <v>41892</v>
      </c>
      <c r="E5745" t="s">
        <v>295</v>
      </c>
      <c r="I5745" s="9"/>
    </row>
    <row r="5746" spans="1:9" x14ac:dyDescent="0.25">
      <c r="A5746">
        <v>645433</v>
      </c>
      <c r="B5746">
        <v>7.3</v>
      </c>
      <c r="C5746">
        <v>12</v>
      </c>
      <c r="D5746" s="9">
        <v>41564</v>
      </c>
      <c r="E5746" t="s">
        <v>295</v>
      </c>
      <c r="I5746" s="9"/>
    </row>
    <row r="5747" spans="1:9" x14ac:dyDescent="0.25">
      <c r="A5747">
        <v>645434</v>
      </c>
      <c r="B5747">
        <v>8.6</v>
      </c>
      <c r="C5747">
        <v>24</v>
      </c>
      <c r="D5747" s="9">
        <v>43112</v>
      </c>
      <c r="E5747" t="s">
        <v>295</v>
      </c>
      <c r="I5747" s="9"/>
    </row>
    <row r="5748" spans="1:9" x14ac:dyDescent="0.25">
      <c r="A5748">
        <v>645434</v>
      </c>
      <c r="B5748">
        <v>8.6</v>
      </c>
      <c r="C5748">
        <v>24</v>
      </c>
      <c r="D5748" s="9">
        <v>42836</v>
      </c>
      <c r="E5748" t="s">
        <v>295</v>
      </c>
      <c r="I5748" s="9"/>
    </row>
    <row r="5749" spans="1:9" x14ac:dyDescent="0.25">
      <c r="A5749">
        <v>645434</v>
      </c>
      <c r="B5749">
        <v>8.6</v>
      </c>
      <c r="C5749">
        <v>24</v>
      </c>
      <c r="D5749" s="9">
        <v>42508</v>
      </c>
      <c r="E5749" t="s">
        <v>295</v>
      </c>
      <c r="I5749" s="9"/>
    </row>
    <row r="5750" spans="1:9" x14ac:dyDescent="0.25">
      <c r="A5750">
        <v>645434</v>
      </c>
      <c r="B5750">
        <v>8.6</v>
      </c>
      <c r="C5750">
        <v>48</v>
      </c>
      <c r="D5750" s="9">
        <v>42265</v>
      </c>
      <c r="E5750" t="s">
        <v>295</v>
      </c>
      <c r="I5750" s="9"/>
    </row>
    <row r="5751" spans="1:9" x14ac:dyDescent="0.25">
      <c r="A5751">
        <v>645434</v>
      </c>
      <c r="B5751">
        <v>8.6</v>
      </c>
      <c r="C5751">
        <v>12</v>
      </c>
      <c r="D5751" s="9">
        <v>42081</v>
      </c>
      <c r="E5751" t="s">
        <v>295</v>
      </c>
      <c r="I5751" s="9"/>
    </row>
    <row r="5752" spans="1:9" x14ac:dyDescent="0.25">
      <c r="A5752">
        <v>645434</v>
      </c>
      <c r="B5752">
        <v>8.6</v>
      </c>
      <c r="C5752">
        <v>24</v>
      </c>
      <c r="D5752" s="9">
        <v>41892</v>
      </c>
      <c r="E5752" t="s">
        <v>295</v>
      </c>
      <c r="I5752" s="9"/>
    </row>
    <row r="5753" spans="1:9" x14ac:dyDescent="0.25">
      <c r="A5753">
        <v>645434</v>
      </c>
      <c r="B5753">
        <v>8.6</v>
      </c>
      <c r="C5753">
        <v>10</v>
      </c>
      <c r="D5753" s="9">
        <v>41718</v>
      </c>
      <c r="E5753" t="s">
        <v>295</v>
      </c>
      <c r="I5753" s="9"/>
    </row>
    <row r="5754" spans="1:9" x14ac:dyDescent="0.25">
      <c r="A5754">
        <v>645435</v>
      </c>
      <c r="B5754">
        <v>9.8000000000000007</v>
      </c>
      <c r="C5754">
        <v>120</v>
      </c>
      <c r="D5754" s="9">
        <v>43049</v>
      </c>
      <c r="E5754" t="s">
        <v>295</v>
      </c>
      <c r="I5754" s="9"/>
    </row>
    <row r="5755" spans="1:9" x14ac:dyDescent="0.25">
      <c r="A5755">
        <v>645435</v>
      </c>
      <c r="B5755">
        <v>9.8000000000000007</v>
      </c>
      <c r="C5755">
        <v>24</v>
      </c>
      <c r="D5755" s="9">
        <v>42943</v>
      </c>
      <c r="E5755" t="s">
        <v>295</v>
      </c>
      <c r="I5755" s="9"/>
    </row>
    <row r="5756" spans="1:9" x14ac:dyDescent="0.25">
      <c r="A5756">
        <v>645435</v>
      </c>
      <c r="B5756">
        <v>9.8000000000000007</v>
      </c>
      <c r="C5756">
        <v>48</v>
      </c>
      <c r="D5756" s="9">
        <v>42614</v>
      </c>
      <c r="E5756" t="s">
        <v>295</v>
      </c>
      <c r="I5756" s="9"/>
    </row>
    <row r="5757" spans="1:9" x14ac:dyDescent="0.25">
      <c r="A5757">
        <v>645435</v>
      </c>
      <c r="B5757">
        <v>9.8000000000000007</v>
      </c>
      <c r="C5757">
        <v>24</v>
      </c>
      <c r="D5757" s="9">
        <v>42508</v>
      </c>
      <c r="E5757" t="s">
        <v>295</v>
      </c>
      <c r="I5757" s="9"/>
    </row>
    <row r="5758" spans="1:9" x14ac:dyDescent="0.25">
      <c r="A5758">
        <v>645435</v>
      </c>
      <c r="B5758">
        <v>9.8000000000000007</v>
      </c>
      <c r="C5758">
        <v>36</v>
      </c>
      <c r="D5758" s="9">
        <v>42265</v>
      </c>
      <c r="E5758" t="s">
        <v>295</v>
      </c>
      <c r="I5758" s="9"/>
    </row>
    <row r="5759" spans="1:9" x14ac:dyDescent="0.25">
      <c r="A5759">
        <v>645435</v>
      </c>
      <c r="B5759">
        <v>9.8000000000000007</v>
      </c>
      <c r="C5759">
        <v>24</v>
      </c>
      <c r="D5759" s="9">
        <v>41892</v>
      </c>
      <c r="E5759" t="s">
        <v>295</v>
      </c>
      <c r="I5759" s="9"/>
    </row>
    <row r="5760" spans="1:9" x14ac:dyDescent="0.25">
      <c r="A5760">
        <v>645435</v>
      </c>
      <c r="B5760">
        <v>10.1</v>
      </c>
      <c r="C5760">
        <v>24</v>
      </c>
      <c r="D5760" s="9">
        <v>41564</v>
      </c>
      <c r="E5760" t="s">
        <v>295</v>
      </c>
      <c r="I5760" s="9"/>
    </row>
    <row r="5761" spans="1:9" x14ac:dyDescent="0.25">
      <c r="A5761">
        <v>645438</v>
      </c>
      <c r="B5761">
        <v>17.850000000000001</v>
      </c>
      <c r="C5761">
        <v>48</v>
      </c>
      <c r="D5761" s="9">
        <v>43049</v>
      </c>
      <c r="E5761" t="s">
        <v>295</v>
      </c>
      <c r="I5761" s="9"/>
    </row>
    <row r="5762" spans="1:9" x14ac:dyDescent="0.25">
      <c r="A5762">
        <v>645448</v>
      </c>
      <c r="B5762">
        <v>3.94</v>
      </c>
      <c r="C5762">
        <v>48</v>
      </c>
      <c r="D5762" s="9">
        <v>44000</v>
      </c>
      <c r="E5762" t="s">
        <v>295</v>
      </c>
      <c r="I5762" s="9"/>
    </row>
    <row r="5763" spans="1:9" x14ac:dyDescent="0.25">
      <c r="A5763">
        <v>645448</v>
      </c>
      <c r="B5763">
        <v>3.94</v>
      </c>
      <c r="C5763">
        <v>48</v>
      </c>
      <c r="D5763" s="9">
        <v>43640</v>
      </c>
      <c r="E5763" t="s">
        <v>295</v>
      </c>
      <c r="I5763" s="9"/>
    </row>
    <row r="5764" spans="1:9" x14ac:dyDescent="0.25">
      <c r="A5764">
        <v>645468</v>
      </c>
      <c r="B5764">
        <v>7.62</v>
      </c>
      <c r="C5764">
        <v>24</v>
      </c>
      <c r="D5764" s="9">
        <v>42347</v>
      </c>
      <c r="E5764" t="s">
        <v>295</v>
      </c>
      <c r="I5764" s="9"/>
    </row>
    <row r="5765" spans="1:9" x14ac:dyDescent="0.25">
      <c r="A5765">
        <v>645468</v>
      </c>
      <c r="B5765">
        <v>7.62</v>
      </c>
      <c r="C5765">
        <v>18</v>
      </c>
      <c r="D5765" s="9">
        <v>42265</v>
      </c>
      <c r="E5765" t="s">
        <v>295</v>
      </c>
      <c r="I5765" s="9"/>
    </row>
    <row r="5766" spans="1:9" x14ac:dyDescent="0.25">
      <c r="A5766">
        <v>645469</v>
      </c>
      <c r="B5766">
        <v>7.62</v>
      </c>
      <c r="C5766">
        <v>24</v>
      </c>
      <c r="D5766" s="9">
        <v>43112</v>
      </c>
      <c r="E5766" t="s">
        <v>295</v>
      </c>
      <c r="I5766" s="9"/>
    </row>
    <row r="5767" spans="1:9" x14ac:dyDescent="0.25">
      <c r="A5767">
        <v>645469</v>
      </c>
      <c r="B5767">
        <v>7.62</v>
      </c>
      <c r="C5767">
        <v>24</v>
      </c>
      <c r="D5767" s="9">
        <v>42347</v>
      </c>
      <c r="E5767" t="s">
        <v>295</v>
      </c>
      <c r="I5767" s="9"/>
    </row>
    <row r="5768" spans="1:9" x14ac:dyDescent="0.25">
      <c r="A5768">
        <v>645469</v>
      </c>
      <c r="B5768">
        <v>7.87</v>
      </c>
      <c r="C5768">
        <v>12</v>
      </c>
      <c r="D5768" s="9">
        <v>41564</v>
      </c>
      <c r="E5768" t="s">
        <v>295</v>
      </c>
      <c r="I5768" s="9"/>
    </row>
    <row r="5769" spans="1:9" x14ac:dyDescent="0.25">
      <c r="A5769">
        <v>645516</v>
      </c>
      <c r="B5769">
        <v>5.36</v>
      </c>
      <c r="C5769">
        <v>24</v>
      </c>
      <c r="D5769" s="9">
        <v>42844</v>
      </c>
      <c r="E5769" t="s">
        <v>295</v>
      </c>
      <c r="I5769" s="9"/>
    </row>
    <row r="5770" spans="1:9" x14ac:dyDescent="0.25">
      <c r="A5770">
        <v>645518</v>
      </c>
      <c r="B5770">
        <v>5.36</v>
      </c>
      <c r="C5770">
        <v>12</v>
      </c>
      <c r="D5770" s="9">
        <v>43112</v>
      </c>
      <c r="E5770" t="s">
        <v>295</v>
      </c>
      <c r="I5770" s="9"/>
    </row>
    <row r="5771" spans="1:9" x14ac:dyDescent="0.25">
      <c r="A5771">
        <v>645518</v>
      </c>
      <c r="B5771">
        <v>5.36</v>
      </c>
      <c r="C5771">
        <v>24</v>
      </c>
      <c r="D5771" s="9">
        <v>42347</v>
      </c>
      <c r="E5771" t="s">
        <v>295</v>
      </c>
      <c r="I5771" s="9"/>
    </row>
    <row r="5772" spans="1:9" x14ac:dyDescent="0.25">
      <c r="A5772">
        <v>645546</v>
      </c>
      <c r="B5772">
        <v>8.7200000000000006</v>
      </c>
      <c r="C5772">
        <v>24</v>
      </c>
      <c r="D5772" s="9">
        <v>42508</v>
      </c>
      <c r="E5772" t="s">
        <v>295</v>
      </c>
      <c r="I5772" s="9"/>
    </row>
    <row r="5773" spans="1:9" x14ac:dyDescent="0.25">
      <c r="A5773">
        <v>645556</v>
      </c>
      <c r="B5773">
        <v>9.9600000000000009</v>
      </c>
      <c r="C5773">
        <v>36</v>
      </c>
      <c r="D5773" s="9">
        <v>42465</v>
      </c>
      <c r="E5773" t="s">
        <v>295</v>
      </c>
      <c r="I5773" s="9"/>
    </row>
    <row r="5774" spans="1:9" x14ac:dyDescent="0.25">
      <c r="A5774">
        <v>645556</v>
      </c>
      <c r="B5774">
        <v>9.9600000000000009</v>
      </c>
      <c r="C5774">
        <v>30</v>
      </c>
      <c r="D5774" s="9">
        <v>41718</v>
      </c>
      <c r="E5774" t="s">
        <v>295</v>
      </c>
      <c r="I5774" s="9"/>
    </row>
    <row r="5775" spans="1:9" x14ac:dyDescent="0.25">
      <c r="A5775">
        <v>646000</v>
      </c>
      <c r="B5775">
        <v>0.55000000000000004</v>
      </c>
      <c r="C5775">
        <v>4020</v>
      </c>
      <c r="D5775" s="9">
        <v>44043</v>
      </c>
      <c r="E5775" t="s">
        <v>296</v>
      </c>
      <c r="I5775" s="9"/>
    </row>
    <row r="5776" spans="1:9" x14ac:dyDescent="0.25">
      <c r="A5776">
        <v>646000</v>
      </c>
      <c r="B5776">
        <v>0.55000000000000004</v>
      </c>
      <c r="C5776">
        <v>3000</v>
      </c>
      <c r="D5776" s="9">
        <v>43839</v>
      </c>
      <c r="E5776" t="s">
        <v>296</v>
      </c>
      <c r="I5776" s="9"/>
    </row>
    <row r="5777" spans="1:9" x14ac:dyDescent="0.25">
      <c r="A5777">
        <v>646000</v>
      </c>
      <c r="B5777">
        <v>0.504</v>
      </c>
      <c r="C5777">
        <v>3360</v>
      </c>
      <c r="D5777" s="9">
        <v>43427</v>
      </c>
      <c r="E5777" t="s">
        <v>296</v>
      </c>
      <c r="I5777" s="9"/>
    </row>
    <row r="5778" spans="1:9" x14ac:dyDescent="0.25">
      <c r="A5778">
        <v>646000</v>
      </c>
      <c r="B5778">
        <v>0.4</v>
      </c>
      <c r="C5778">
        <v>2400</v>
      </c>
      <c r="D5778" s="9">
        <v>43427</v>
      </c>
      <c r="E5778" t="s">
        <v>296</v>
      </c>
      <c r="I5778" s="9"/>
    </row>
    <row r="5779" spans="1:9" x14ac:dyDescent="0.25">
      <c r="A5779">
        <v>646000</v>
      </c>
      <c r="B5779">
        <v>0.42</v>
      </c>
      <c r="C5779">
        <v>3840</v>
      </c>
      <c r="D5779" s="9">
        <v>43063</v>
      </c>
      <c r="E5779" t="s">
        <v>296</v>
      </c>
      <c r="I5779" s="9"/>
    </row>
    <row r="5780" spans="1:9" x14ac:dyDescent="0.25">
      <c r="A5780">
        <v>646000</v>
      </c>
      <c r="B5780">
        <v>2.62</v>
      </c>
      <c r="C5780">
        <v>36</v>
      </c>
      <c r="D5780" s="9">
        <v>42880</v>
      </c>
      <c r="E5780" t="s">
        <v>295</v>
      </c>
      <c r="I5780" s="9"/>
    </row>
    <row r="5781" spans="1:9" x14ac:dyDescent="0.25">
      <c r="A5781">
        <v>646000</v>
      </c>
      <c r="B5781">
        <v>0.42</v>
      </c>
      <c r="C5781">
        <v>3840</v>
      </c>
      <c r="D5781" s="9">
        <v>42753</v>
      </c>
      <c r="E5781" t="s">
        <v>296</v>
      </c>
      <c r="I5781" s="9"/>
    </row>
    <row r="5782" spans="1:9" x14ac:dyDescent="0.25">
      <c r="A5782">
        <v>646000</v>
      </c>
      <c r="B5782">
        <v>0.45900000000000002</v>
      </c>
      <c r="C5782">
        <v>3360</v>
      </c>
      <c r="D5782" s="9">
        <v>42285</v>
      </c>
      <c r="E5782" t="s">
        <v>297</v>
      </c>
      <c r="I5782" s="9"/>
    </row>
    <row r="5783" spans="1:9" x14ac:dyDescent="0.25">
      <c r="A5783">
        <v>646000</v>
      </c>
      <c r="B5783">
        <v>0.504</v>
      </c>
      <c r="C5783">
        <v>3840</v>
      </c>
      <c r="D5783" s="9">
        <v>42012</v>
      </c>
      <c r="E5783" t="s">
        <v>296</v>
      </c>
      <c r="I5783" s="9"/>
    </row>
    <row r="5784" spans="1:9" x14ac:dyDescent="0.25">
      <c r="A5784">
        <v>646000</v>
      </c>
      <c r="B5784">
        <v>1.55</v>
      </c>
      <c r="C5784">
        <v>3840</v>
      </c>
      <c r="D5784" s="9">
        <v>41821</v>
      </c>
      <c r="E5784" t="s">
        <v>295</v>
      </c>
      <c r="I5784" s="9"/>
    </row>
    <row r="5785" spans="1:9" x14ac:dyDescent="0.25">
      <c r="A5785">
        <v>646000</v>
      </c>
      <c r="B5785">
        <v>0.504</v>
      </c>
      <c r="C5785">
        <v>3840</v>
      </c>
      <c r="D5785" s="9">
        <v>41821</v>
      </c>
      <c r="E5785" t="s">
        <v>296</v>
      </c>
      <c r="I5785" s="9"/>
    </row>
    <row r="5786" spans="1:9" x14ac:dyDescent="0.25">
      <c r="A5786">
        <v>646000</v>
      </c>
      <c r="B5786">
        <v>0.504</v>
      </c>
      <c r="C5786">
        <v>3840</v>
      </c>
      <c r="D5786" s="9">
        <v>41786</v>
      </c>
      <c r="E5786" t="s">
        <v>296</v>
      </c>
      <c r="I5786" s="9"/>
    </row>
    <row r="5787" spans="1:9" x14ac:dyDescent="0.25">
      <c r="A5787">
        <v>650019</v>
      </c>
      <c r="B5787">
        <v>1.08</v>
      </c>
      <c r="C5787">
        <v>600</v>
      </c>
      <c r="D5787" s="9">
        <v>44125</v>
      </c>
      <c r="E5787" t="s">
        <v>295</v>
      </c>
      <c r="I5787" s="9"/>
    </row>
    <row r="5788" spans="1:9" x14ac:dyDescent="0.25">
      <c r="A5788">
        <v>650019</v>
      </c>
      <c r="B5788">
        <v>1.08</v>
      </c>
      <c r="C5788">
        <v>500</v>
      </c>
      <c r="D5788" s="9">
        <v>44039</v>
      </c>
      <c r="E5788" t="s">
        <v>295</v>
      </c>
      <c r="I5788" s="9"/>
    </row>
    <row r="5789" spans="1:9" x14ac:dyDescent="0.25">
      <c r="A5789">
        <v>650019</v>
      </c>
      <c r="B5789">
        <v>1.08</v>
      </c>
      <c r="C5789">
        <v>150</v>
      </c>
      <c r="D5789" s="9">
        <v>43857</v>
      </c>
      <c r="E5789" t="s">
        <v>295</v>
      </c>
      <c r="I5789" s="9"/>
    </row>
    <row r="5790" spans="1:9" x14ac:dyDescent="0.25">
      <c r="A5790">
        <v>650019</v>
      </c>
      <c r="B5790">
        <v>1.08</v>
      </c>
      <c r="C5790">
        <v>650</v>
      </c>
      <c r="D5790" s="9">
        <v>43746</v>
      </c>
      <c r="E5790" t="s">
        <v>295</v>
      </c>
      <c r="I5790" s="9"/>
    </row>
    <row r="5791" spans="1:9" x14ac:dyDescent="0.25">
      <c r="A5791">
        <v>650019</v>
      </c>
      <c r="B5791">
        <v>1.08</v>
      </c>
      <c r="C5791">
        <v>50</v>
      </c>
      <c r="D5791" s="9">
        <v>43656</v>
      </c>
      <c r="E5791" t="s">
        <v>295</v>
      </c>
      <c r="I5791" s="9"/>
    </row>
    <row r="5792" spans="1:9" x14ac:dyDescent="0.25">
      <c r="A5792">
        <v>650019</v>
      </c>
      <c r="B5792">
        <v>1</v>
      </c>
      <c r="C5792">
        <v>200</v>
      </c>
      <c r="D5792" s="9">
        <v>43556</v>
      </c>
      <c r="E5792" t="s">
        <v>295</v>
      </c>
      <c r="I5792" s="9"/>
    </row>
    <row r="5793" spans="1:9" x14ac:dyDescent="0.25">
      <c r="A5793">
        <v>650019</v>
      </c>
      <c r="B5793">
        <v>1</v>
      </c>
      <c r="C5793">
        <v>200</v>
      </c>
      <c r="D5793" s="9">
        <v>43518</v>
      </c>
      <c r="E5793" t="s">
        <v>295</v>
      </c>
      <c r="I5793" s="9"/>
    </row>
    <row r="5794" spans="1:9" x14ac:dyDescent="0.25">
      <c r="A5794">
        <v>650019</v>
      </c>
      <c r="B5794">
        <v>1</v>
      </c>
      <c r="C5794">
        <v>600</v>
      </c>
      <c r="D5794" s="9">
        <v>43448</v>
      </c>
      <c r="E5794" t="s">
        <v>295</v>
      </c>
      <c r="I5794" s="9"/>
    </row>
    <row r="5795" spans="1:9" x14ac:dyDescent="0.25">
      <c r="A5795">
        <v>650019</v>
      </c>
      <c r="B5795">
        <v>1</v>
      </c>
      <c r="C5795">
        <v>300</v>
      </c>
      <c r="D5795" s="9">
        <v>43287</v>
      </c>
      <c r="E5795" t="s">
        <v>295</v>
      </c>
      <c r="I5795" s="9"/>
    </row>
    <row r="5796" spans="1:9" x14ac:dyDescent="0.25">
      <c r="A5796">
        <v>650019</v>
      </c>
      <c r="B5796">
        <v>1</v>
      </c>
      <c r="C5796">
        <v>150</v>
      </c>
      <c r="D5796" s="9">
        <v>43229</v>
      </c>
      <c r="E5796" t="s">
        <v>295</v>
      </c>
      <c r="I5796" s="9"/>
    </row>
    <row r="5797" spans="1:9" x14ac:dyDescent="0.25">
      <c r="A5797">
        <v>650019</v>
      </c>
      <c r="B5797">
        <v>1</v>
      </c>
      <c r="C5797">
        <v>300</v>
      </c>
      <c r="D5797" s="9">
        <v>43066</v>
      </c>
      <c r="E5797" t="s">
        <v>295</v>
      </c>
      <c r="I5797" s="9"/>
    </row>
    <row r="5798" spans="1:9" x14ac:dyDescent="0.25">
      <c r="A5798">
        <v>650019</v>
      </c>
      <c r="B5798">
        <v>1</v>
      </c>
      <c r="C5798">
        <v>450</v>
      </c>
      <c r="D5798" s="9">
        <v>43019</v>
      </c>
      <c r="E5798" t="s">
        <v>295</v>
      </c>
      <c r="I5798" s="9"/>
    </row>
    <row r="5799" spans="1:9" x14ac:dyDescent="0.25">
      <c r="A5799">
        <v>650019</v>
      </c>
      <c r="B5799">
        <v>1</v>
      </c>
      <c r="C5799">
        <v>150</v>
      </c>
      <c r="D5799" s="9">
        <v>42891</v>
      </c>
      <c r="E5799" t="s">
        <v>295</v>
      </c>
      <c r="I5799" s="9"/>
    </row>
    <row r="5800" spans="1:9" x14ac:dyDescent="0.25">
      <c r="A5800">
        <v>650019</v>
      </c>
      <c r="B5800">
        <v>1</v>
      </c>
      <c r="C5800">
        <v>150</v>
      </c>
      <c r="D5800" s="9">
        <v>42844</v>
      </c>
      <c r="E5800" t="s">
        <v>295</v>
      </c>
      <c r="I5800" s="9"/>
    </row>
    <row r="5801" spans="1:9" x14ac:dyDescent="0.25">
      <c r="A5801">
        <v>650019</v>
      </c>
      <c r="B5801">
        <v>1</v>
      </c>
      <c r="C5801">
        <v>300</v>
      </c>
      <c r="D5801" s="9">
        <v>42818</v>
      </c>
      <c r="E5801" t="s">
        <v>295</v>
      </c>
      <c r="I5801" s="9"/>
    </row>
    <row r="5802" spans="1:9" x14ac:dyDescent="0.25">
      <c r="A5802">
        <v>650019</v>
      </c>
      <c r="B5802">
        <v>1.1000000000000001</v>
      </c>
      <c r="C5802">
        <v>50</v>
      </c>
      <c r="D5802" s="9">
        <v>42654</v>
      </c>
      <c r="E5802" t="s">
        <v>295</v>
      </c>
      <c r="I5802" s="9"/>
    </row>
    <row r="5803" spans="1:9" x14ac:dyDescent="0.25">
      <c r="A5803">
        <v>650021</v>
      </c>
      <c r="B5803">
        <v>1.42</v>
      </c>
      <c r="C5803">
        <v>1100</v>
      </c>
      <c r="D5803" s="9">
        <v>44125</v>
      </c>
      <c r="E5803" t="s">
        <v>295</v>
      </c>
      <c r="I5803" s="9"/>
    </row>
    <row r="5804" spans="1:9" x14ac:dyDescent="0.25">
      <c r="A5804">
        <v>650021</v>
      </c>
      <c r="B5804">
        <v>1.42</v>
      </c>
      <c r="C5804">
        <v>400</v>
      </c>
      <c r="D5804" s="9">
        <v>44039</v>
      </c>
      <c r="E5804" t="s">
        <v>295</v>
      </c>
      <c r="I5804" s="9"/>
    </row>
    <row r="5805" spans="1:9" x14ac:dyDescent="0.25">
      <c r="A5805">
        <v>650021</v>
      </c>
      <c r="B5805">
        <v>1.42</v>
      </c>
      <c r="C5805">
        <v>100</v>
      </c>
      <c r="D5805" s="9">
        <v>43903</v>
      </c>
      <c r="E5805" t="s">
        <v>295</v>
      </c>
      <c r="I5805" s="9"/>
    </row>
    <row r="5806" spans="1:9" x14ac:dyDescent="0.25">
      <c r="A5806">
        <v>650021</v>
      </c>
      <c r="B5806">
        <v>1.42</v>
      </c>
      <c r="C5806">
        <v>600</v>
      </c>
      <c r="D5806" s="9">
        <v>43857</v>
      </c>
      <c r="E5806" t="s">
        <v>295</v>
      </c>
      <c r="I5806" s="9"/>
    </row>
    <row r="5807" spans="1:9" x14ac:dyDescent="0.25">
      <c r="A5807">
        <v>650021</v>
      </c>
      <c r="B5807">
        <v>1.42</v>
      </c>
      <c r="C5807">
        <v>50</v>
      </c>
      <c r="D5807" s="9">
        <v>43797</v>
      </c>
      <c r="E5807" t="s">
        <v>295</v>
      </c>
      <c r="I5807" s="9"/>
    </row>
    <row r="5808" spans="1:9" x14ac:dyDescent="0.25">
      <c r="A5808">
        <v>650021</v>
      </c>
      <c r="B5808">
        <v>1.42</v>
      </c>
      <c r="C5808">
        <v>550</v>
      </c>
      <c r="D5808" s="9">
        <v>43746</v>
      </c>
      <c r="E5808" t="s">
        <v>295</v>
      </c>
      <c r="I5808" s="9"/>
    </row>
    <row r="5809" spans="1:9" x14ac:dyDescent="0.25">
      <c r="A5809">
        <v>650021</v>
      </c>
      <c r="B5809">
        <v>1.42</v>
      </c>
      <c r="C5809">
        <v>100</v>
      </c>
      <c r="D5809" s="9">
        <v>43656</v>
      </c>
      <c r="E5809" t="s">
        <v>295</v>
      </c>
      <c r="I5809" s="9"/>
    </row>
    <row r="5810" spans="1:9" x14ac:dyDescent="0.25">
      <c r="A5810">
        <v>650021</v>
      </c>
      <c r="B5810">
        <v>1.28</v>
      </c>
      <c r="C5810">
        <v>300</v>
      </c>
      <c r="D5810" s="9">
        <v>43580</v>
      </c>
      <c r="E5810" t="s">
        <v>295</v>
      </c>
      <c r="I5810" s="9"/>
    </row>
    <row r="5811" spans="1:9" x14ac:dyDescent="0.25">
      <c r="A5811">
        <v>650021</v>
      </c>
      <c r="B5811">
        <v>1.28</v>
      </c>
      <c r="C5811">
        <v>200</v>
      </c>
      <c r="D5811" s="9">
        <v>43556</v>
      </c>
      <c r="E5811" t="s">
        <v>295</v>
      </c>
      <c r="I5811" s="9"/>
    </row>
    <row r="5812" spans="1:9" x14ac:dyDescent="0.25">
      <c r="A5812">
        <v>650021</v>
      </c>
      <c r="B5812">
        <v>1.28</v>
      </c>
      <c r="C5812">
        <v>500</v>
      </c>
      <c r="D5812" s="9">
        <v>43448</v>
      </c>
      <c r="E5812" t="s">
        <v>295</v>
      </c>
      <c r="I5812" s="9"/>
    </row>
    <row r="5813" spans="1:9" x14ac:dyDescent="0.25">
      <c r="A5813">
        <v>650021</v>
      </c>
      <c r="B5813">
        <v>1.28</v>
      </c>
      <c r="C5813">
        <v>500</v>
      </c>
      <c r="D5813" s="9">
        <v>43374</v>
      </c>
      <c r="E5813" t="s">
        <v>295</v>
      </c>
      <c r="I5813" s="9"/>
    </row>
    <row r="5814" spans="1:9" x14ac:dyDescent="0.25">
      <c r="A5814">
        <v>650021</v>
      </c>
      <c r="B5814">
        <v>1.28</v>
      </c>
      <c r="C5814">
        <v>300</v>
      </c>
      <c r="D5814" s="9">
        <v>43287</v>
      </c>
      <c r="E5814" t="s">
        <v>295</v>
      </c>
      <c r="I5814" s="9"/>
    </row>
    <row r="5815" spans="1:9" x14ac:dyDescent="0.25">
      <c r="A5815">
        <v>650021</v>
      </c>
      <c r="B5815">
        <v>1.28</v>
      </c>
      <c r="C5815">
        <v>50</v>
      </c>
      <c r="D5815" s="9">
        <v>43164</v>
      </c>
      <c r="E5815" t="s">
        <v>295</v>
      </c>
      <c r="I5815" s="9"/>
    </row>
    <row r="5816" spans="1:9" x14ac:dyDescent="0.25">
      <c r="A5816">
        <v>650021</v>
      </c>
      <c r="B5816">
        <v>1.28</v>
      </c>
      <c r="C5816">
        <v>450</v>
      </c>
      <c r="D5816" s="9">
        <v>43066</v>
      </c>
      <c r="E5816" t="s">
        <v>295</v>
      </c>
      <c r="I5816" s="9"/>
    </row>
    <row r="5817" spans="1:9" x14ac:dyDescent="0.25">
      <c r="A5817">
        <v>650021</v>
      </c>
      <c r="B5817">
        <v>1.28</v>
      </c>
      <c r="C5817">
        <v>150</v>
      </c>
      <c r="D5817" s="9">
        <v>43019</v>
      </c>
      <c r="E5817" t="s">
        <v>295</v>
      </c>
      <c r="I5817" s="9"/>
    </row>
    <row r="5818" spans="1:9" x14ac:dyDescent="0.25">
      <c r="A5818">
        <v>650021</v>
      </c>
      <c r="B5818">
        <v>1.28</v>
      </c>
      <c r="C5818">
        <v>200</v>
      </c>
      <c r="D5818" s="9">
        <v>42991</v>
      </c>
      <c r="E5818" t="s">
        <v>295</v>
      </c>
      <c r="I5818" s="9"/>
    </row>
    <row r="5819" spans="1:9" x14ac:dyDescent="0.25">
      <c r="A5819">
        <v>650021</v>
      </c>
      <c r="B5819">
        <v>1.28</v>
      </c>
      <c r="C5819">
        <v>200</v>
      </c>
      <c r="D5819" s="9">
        <v>42935</v>
      </c>
      <c r="E5819" t="s">
        <v>295</v>
      </c>
      <c r="I5819" s="9"/>
    </row>
    <row r="5820" spans="1:9" x14ac:dyDescent="0.25">
      <c r="A5820">
        <v>650021</v>
      </c>
      <c r="B5820">
        <v>1.28</v>
      </c>
      <c r="C5820">
        <v>100</v>
      </c>
      <c r="D5820" s="9">
        <v>42891</v>
      </c>
      <c r="E5820" t="s">
        <v>295</v>
      </c>
      <c r="I5820" s="9"/>
    </row>
    <row r="5821" spans="1:9" x14ac:dyDescent="0.25">
      <c r="A5821">
        <v>650021</v>
      </c>
      <c r="B5821">
        <v>1.28</v>
      </c>
      <c r="C5821">
        <v>200</v>
      </c>
      <c r="D5821" s="9">
        <v>42818</v>
      </c>
      <c r="E5821" t="s">
        <v>295</v>
      </c>
      <c r="I5821" s="9"/>
    </row>
    <row r="5822" spans="1:9" x14ac:dyDescent="0.25">
      <c r="A5822">
        <v>650021</v>
      </c>
      <c r="B5822">
        <v>1.7</v>
      </c>
      <c r="C5822">
        <v>50</v>
      </c>
      <c r="D5822" s="9">
        <v>42654</v>
      </c>
      <c r="E5822" t="s">
        <v>295</v>
      </c>
      <c r="I5822" s="9"/>
    </row>
    <row r="5823" spans="1:9" x14ac:dyDescent="0.25">
      <c r="A5823">
        <v>650025</v>
      </c>
      <c r="B5823">
        <v>1.81</v>
      </c>
      <c r="C5823">
        <v>800</v>
      </c>
      <c r="D5823" s="9">
        <v>44125</v>
      </c>
      <c r="E5823" t="s">
        <v>295</v>
      </c>
      <c r="I5823" s="9"/>
    </row>
    <row r="5824" spans="1:9" x14ac:dyDescent="0.25">
      <c r="A5824">
        <v>650025</v>
      </c>
      <c r="B5824">
        <v>1.81</v>
      </c>
      <c r="C5824">
        <v>300</v>
      </c>
      <c r="D5824" s="9">
        <v>44039</v>
      </c>
      <c r="E5824" t="s">
        <v>295</v>
      </c>
      <c r="I5824" s="9"/>
    </row>
    <row r="5825" spans="1:9" x14ac:dyDescent="0.25">
      <c r="A5825">
        <v>650025</v>
      </c>
      <c r="B5825">
        <v>1.81</v>
      </c>
      <c r="C5825">
        <v>200</v>
      </c>
      <c r="D5825" s="9">
        <v>44000</v>
      </c>
      <c r="E5825" t="s">
        <v>295</v>
      </c>
      <c r="I5825" s="9"/>
    </row>
    <row r="5826" spans="1:9" x14ac:dyDescent="0.25">
      <c r="A5826">
        <v>650025</v>
      </c>
      <c r="B5826">
        <v>1.81</v>
      </c>
      <c r="C5826">
        <v>50</v>
      </c>
      <c r="D5826" s="9">
        <v>43903</v>
      </c>
      <c r="E5826" t="s">
        <v>295</v>
      </c>
      <c r="I5826" s="9"/>
    </row>
    <row r="5827" spans="1:9" x14ac:dyDescent="0.25">
      <c r="A5827">
        <v>650025</v>
      </c>
      <c r="B5827">
        <v>1.81</v>
      </c>
      <c r="C5827">
        <v>400</v>
      </c>
      <c r="D5827" s="9">
        <v>43857</v>
      </c>
      <c r="E5827" t="s">
        <v>295</v>
      </c>
      <c r="I5827" s="9"/>
    </row>
    <row r="5828" spans="1:9" x14ac:dyDescent="0.25">
      <c r="A5828">
        <v>650025</v>
      </c>
      <c r="B5828">
        <v>1.81</v>
      </c>
      <c r="C5828">
        <v>400</v>
      </c>
      <c r="D5828" s="9">
        <v>43746</v>
      </c>
      <c r="E5828" t="s">
        <v>295</v>
      </c>
      <c r="I5828" s="9"/>
    </row>
    <row r="5829" spans="1:9" x14ac:dyDescent="0.25">
      <c r="A5829">
        <v>650025</v>
      </c>
      <c r="B5829">
        <v>1.81</v>
      </c>
      <c r="C5829">
        <v>200</v>
      </c>
      <c r="D5829" s="9">
        <v>43656</v>
      </c>
      <c r="E5829" t="s">
        <v>295</v>
      </c>
      <c r="I5829" s="9"/>
    </row>
    <row r="5830" spans="1:9" x14ac:dyDescent="0.25">
      <c r="A5830">
        <v>650025</v>
      </c>
      <c r="B5830">
        <v>1.63</v>
      </c>
      <c r="C5830">
        <v>100</v>
      </c>
      <c r="D5830" s="9">
        <v>43580</v>
      </c>
      <c r="E5830" t="s">
        <v>295</v>
      </c>
      <c r="I5830" s="9"/>
    </row>
    <row r="5831" spans="1:9" x14ac:dyDescent="0.25">
      <c r="A5831">
        <v>650025</v>
      </c>
      <c r="B5831">
        <v>1.63</v>
      </c>
      <c r="C5831">
        <v>150</v>
      </c>
      <c r="D5831" s="9">
        <v>43556</v>
      </c>
      <c r="E5831" t="s">
        <v>295</v>
      </c>
      <c r="I5831" s="9"/>
    </row>
    <row r="5832" spans="1:9" x14ac:dyDescent="0.25">
      <c r="A5832">
        <v>650025</v>
      </c>
      <c r="B5832">
        <v>1.63</v>
      </c>
      <c r="C5832">
        <v>50</v>
      </c>
      <c r="D5832" s="9">
        <v>43518</v>
      </c>
      <c r="E5832" t="s">
        <v>295</v>
      </c>
      <c r="I5832" s="9"/>
    </row>
    <row r="5833" spans="1:9" x14ac:dyDescent="0.25">
      <c r="A5833">
        <v>650025</v>
      </c>
      <c r="B5833">
        <v>1.63</v>
      </c>
      <c r="C5833">
        <v>550</v>
      </c>
      <c r="D5833" s="9">
        <v>43448</v>
      </c>
      <c r="E5833" t="s">
        <v>295</v>
      </c>
      <c r="I5833" s="9"/>
    </row>
    <row r="5834" spans="1:9" x14ac:dyDescent="0.25">
      <c r="A5834">
        <v>650025</v>
      </c>
      <c r="B5834">
        <v>1.63</v>
      </c>
      <c r="C5834">
        <v>150</v>
      </c>
      <c r="D5834" s="9">
        <v>43374</v>
      </c>
      <c r="E5834" t="s">
        <v>295</v>
      </c>
      <c r="I5834" s="9"/>
    </row>
    <row r="5835" spans="1:9" x14ac:dyDescent="0.25">
      <c r="A5835">
        <v>650025</v>
      </c>
      <c r="B5835">
        <v>1.63</v>
      </c>
      <c r="C5835">
        <v>300</v>
      </c>
      <c r="D5835" s="9">
        <v>43287</v>
      </c>
      <c r="E5835" t="s">
        <v>295</v>
      </c>
      <c r="I5835" s="9"/>
    </row>
    <row r="5836" spans="1:9" x14ac:dyDescent="0.25">
      <c r="A5836">
        <v>650025</v>
      </c>
      <c r="B5836">
        <v>1.63</v>
      </c>
      <c r="C5836">
        <v>150</v>
      </c>
      <c r="D5836" s="9">
        <v>43229</v>
      </c>
      <c r="E5836" t="s">
        <v>295</v>
      </c>
      <c r="I5836" s="9"/>
    </row>
    <row r="5837" spans="1:9" x14ac:dyDescent="0.25">
      <c r="A5837">
        <v>650025</v>
      </c>
      <c r="B5837">
        <v>1.63</v>
      </c>
      <c r="C5837">
        <v>50</v>
      </c>
      <c r="D5837" s="9">
        <v>43164</v>
      </c>
      <c r="E5837" t="s">
        <v>295</v>
      </c>
      <c r="I5837" s="9"/>
    </row>
    <row r="5838" spans="1:9" x14ac:dyDescent="0.25">
      <c r="A5838">
        <v>650025</v>
      </c>
      <c r="B5838">
        <v>1.63</v>
      </c>
      <c r="C5838">
        <v>350</v>
      </c>
      <c r="D5838" s="9">
        <v>43066</v>
      </c>
      <c r="E5838" t="s">
        <v>295</v>
      </c>
      <c r="I5838" s="9"/>
    </row>
    <row r="5839" spans="1:9" x14ac:dyDescent="0.25">
      <c r="A5839">
        <v>650025</v>
      </c>
      <c r="B5839">
        <v>1.63</v>
      </c>
      <c r="C5839">
        <v>300</v>
      </c>
      <c r="D5839" s="9">
        <v>43019</v>
      </c>
      <c r="E5839" t="s">
        <v>295</v>
      </c>
      <c r="I5839" s="9"/>
    </row>
    <row r="5840" spans="1:9" x14ac:dyDescent="0.25">
      <c r="A5840">
        <v>650025</v>
      </c>
      <c r="B5840">
        <v>1.63</v>
      </c>
      <c r="C5840">
        <v>100</v>
      </c>
      <c r="D5840" s="9">
        <v>42978</v>
      </c>
      <c r="E5840" t="s">
        <v>295</v>
      </c>
      <c r="I5840" s="9"/>
    </row>
    <row r="5841" spans="1:9" x14ac:dyDescent="0.25">
      <c r="A5841">
        <v>650025</v>
      </c>
      <c r="B5841">
        <v>1.63</v>
      </c>
      <c r="C5841">
        <v>100</v>
      </c>
      <c r="D5841" s="9">
        <v>42891</v>
      </c>
      <c r="E5841" t="s">
        <v>295</v>
      </c>
      <c r="I5841" s="9"/>
    </row>
    <row r="5842" spans="1:9" x14ac:dyDescent="0.25">
      <c r="A5842">
        <v>650025</v>
      </c>
      <c r="B5842">
        <v>1.63</v>
      </c>
      <c r="C5842">
        <v>100</v>
      </c>
      <c r="D5842" s="9">
        <v>42844</v>
      </c>
      <c r="E5842" t="s">
        <v>295</v>
      </c>
      <c r="I5842" s="9"/>
    </row>
    <row r="5843" spans="1:9" x14ac:dyDescent="0.25">
      <c r="A5843">
        <v>650025</v>
      </c>
      <c r="B5843">
        <v>1.63</v>
      </c>
      <c r="C5843">
        <v>250</v>
      </c>
      <c r="D5843" s="9">
        <v>42818</v>
      </c>
      <c r="E5843" t="s">
        <v>295</v>
      </c>
      <c r="I5843" s="9"/>
    </row>
    <row r="5844" spans="1:9" x14ac:dyDescent="0.25">
      <c r="A5844">
        <v>650030</v>
      </c>
      <c r="B5844">
        <v>2.1800000000000002</v>
      </c>
      <c r="C5844">
        <v>1000</v>
      </c>
      <c r="D5844" s="9">
        <v>44125</v>
      </c>
      <c r="E5844" t="s">
        <v>295</v>
      </c>
      <c r="I5844" s="9"/>
    </row>
    <row r="5845" spans="1:9" x14ac:dyDescent="0.25">
      <c r="A5845">
        <v>650030</v>
      </c>
      <c r="B5845">
        <v>2.1800000000000002</v>
      </c>
      <c r="C5845">
        <v>500</v>
      </c>
      <c r="D5845" s="9">
        <v>44039</v>
      </c>
      <c r="E5845" t="s">
        <v>295</v>
      </c>
      <c r="I5845" s="9"/>
    </row>
    <row r="5846" spans="1:9" x14ac:dyDescent="0.25">
      <c r="A5846">
        <v>650030</v>
      </c>
      <c r="B5846">
        <v>2.1800000000000002</v>
      </c>
      <c r="C5846">
        <v>800</v>
      </c>
      <c r="D5846" s="9">
        <v>43857</v>
      </c>
      <c r="E5846" t="s">
        <v>295</v>
      </c>
      <c r="I5846" s="9"/>
    </row>
    <row r="5847" spans="1:9" x14ac:dyDescent="0.25">
      <c r="A5847">
        <v>650030</v>
      </c>
      <c r="B5847">
        <v>2.1800000000000002</v>
      </c>
      <c r="C5847">
        <v>800</v>
      </c>
      <c r="D5847" s="9">
        <v>43746</v>
      </c>
      <c r="E5847" t="s">
        <v>295</v>
      </c>
      <c r="I5847" s="9"/>
    </row>
    <row r="5848" spans="1:9" x14ac:dyDescent="0.25">
      <c r="A5848">
        <v>650030</v>
      </c>
      <c r="B5848">
        <v>2.1800000000000002</v>
      </c>
      <c r="C5848">
        <v>250</v>
      </c>
      <c r="D5848" s="9">
        <v>43656</v>
      </c>
      <c r="E5848" t="s">
        <v>295</v>
      </c>
      <c r="I5848" s="9"/>
    </row>
    <row r="5849" spans="1:9" x14ac:dyDescent="0.25">
      <c r="A5849">
        <v>650030</v>
      </c>
      <c r="B5849">
        <v>2.16</v>
      </c>
      <c r="C5849">
        <v>200</v>
      </c>
      <c r="D5849" s="9">
        <v>43580</v>
      </c>
      <c r="E5849" t="s">
        <v>295</v>
      </c>
      <c r="I5849" s="9"/>
    </row>
    <row r="5850" spans="1:9" x14ac:dyDescent="0.25">
      <c r="A5850">
        <v>650030</v>
      </c>
      <c r="B5850">
        <v>2.16</v>
      </c>
      <c r="C5850">
        <v>200</v>
      </c>
      <c r="D5850" s="9">
        <v>43556</v>
      </c>
      <c r="E5850" t="s">
        <v>295</v>
      </c>
      <c r="I5850" s="9"/>
    </row>
    <row r="5851" spans="1:9" x14ac:dyDescent="0.25">
      <c r="A5851">
        <v>650030</v>
      </c>
      <c r="B5851">
        <v>2.16</v>
      </c>
      <c r="C5851">
        <v>650</v>
      </c>
      <c r="D5851" s="9">
        <v>43448</v>
      </c>
      <c r="E5851" t="s">
        <v>295</v>
      </c>
      <c r="I5851" s="9"/>
    </row>
    <row r="5852" spans="1:9" x14ac:dyDescent="0.25">
      <c r="A5852">
        <v>650030</v>
      </c>
      <c r="B5852">
        <v>2.16</v>
      </c>
      <c r="C5852">
        <v>800</v>
      </c>
      <c r="D5852" s="9">
        <v>43374</v>
      </c>
      <c r="E5852" t="s">
        <v>295</v>
      </c>
      <c r="I5852" s="9"/>
    </row>
    <row r="5853" spans="1:9" x14ac:dyDescent="0.25">
      <c r="A5853">
        <v>650030</v>
      </c>
      <c r="B5853">
        <v>2.16</v>
      </c>
      <c r="C5853">
        <v>350</v>
      </c>
      <c r="D5853" s="9">
        <v>43287</v>
      </c>
      <c r="E5853" t="s">
        <v>295</v>
      </c>
      <c r="I5853" s="9"/>
    </row>
    <row r="5854" spans="1:9" x14ac:dyDescent="0.25">
      <c r="A5854">
        <v>650030</v>
      </c>
      <c r="B5854">
        <v>2.16</v>
      </c>
      <c r="C5854">
        <v>100</v>
      </c>
      <c r="D5854" s="9">
        <v>43229</v>
      </c>
      <c r="E5854" t="s">
        <v>295</v>
      </c>
      <c r="I5854" s="9"/>
    </row>
    <row r="5855" spans="1:9" x14ac:dyDescent="0.25">
      <c r="A5855">
        <v>650030</v>
      </c>
      <c r="B5855">
        <v>2.16</v>
      </c>
      <c r="C5855">
        <v>250</v>
      </c>
      <c r="D5855" s="9">
        <v>43164</v>
      </c>
      <c r="E5855" t="s">
        <v>295</v>
      </c>
      <c r="I5855" s="9"/>
    </row>
    <row r="5856" spans="1:9" x14ac:dyDescent="0.25">
      <c r="A5856">
        <v>650030</v>
      </c>
      <c r="B5856">
        <v>2.16</v>
      </c>
      <c r="C5856">
        <v>350</v>
      </c>
      <c r="D5856" s="9">
        <v>43066</v>
      </c>
      <c r="E5856" t="s">
        <v>295</v>
      </c>
      <c r="I5856" s="9"/>
    </row>
    <row r="5857" spans="1:9" x14ac:dyDescent="0.25">
      <c r="A5857">
        <v>650030</v>
      </c>
      <c r="B5857">
        <v>2.16</v>
      </c>
      <c r="C5857">
        <v>300</v>
      </c>
      <c r="D5857" s="9">
        <v>43019</v>
      </c>
      <c r="E5857" t="s">
        <v>295</v>
      </c>
      <c r="I5857" s="9"/>
    </row>
    <row r="5858" spans="1:9" x14ac:dyDescent="0.25">
      <c r="A5858">
        <v>650030</v>
      </c>
      <c r="B5858">
        <v>2.16</v>
      </c>
      <c r="C5858">
        <v>200</v>
      </c>
      <c r="D5858" s="9">
        <v>42978</v>
      </c>
      <c r="E5858" t="s">
        <v>295</v>
      </c>
      <c r="I5858" s="9"/>
    </row>
    <row r="5859" spans="1:9" x14ac:dyDescent="0.25">
      <c r="A5859">
        <v>650030</v>
      </c>
      <c r="B5859">
        <v>2.16</v>
      </c>
      <c r="C5859">
        <v>50</v>
      </c>
      <c r="D5859" s="9">
        <v>42891</v>
      </c>
      <c r="E5859" t="s">
        <v>295</v>
      </c>
      <c r="I5859" s="9"/>
    </row>
    <row r="5860" spans="1:9" x14ac:dyDescent="0.25">
      <c r="A5860">
        <v>650030</v>
      </c>
      <c r="B5860">
        <v>2.16</v>
      </c>
      <c r="C5860">
        <v>300</v>
      </c>
      <c r="D5860" s="9">
        <v>42818</v>
      </c>
      <c r="E5860" t="s">
        <v>295</v>
      </c>
      <c r="I5860" s="9"/>
    </row>
    <row r="5861" spans="1:9" x14ac:dyDescent="0.25">
      <c r="A5861">
        <v>650035</v>
      </c>
      <c r="B5861">
        <v>2.4</v>
      </c>
      <c r="C5861">
        <v>600</v>
      </c>
      <c r="D5861" s="9">
        <v>44001</v>
      </c>
      <c r="E5861" t="s">
        <v>295</v>
      </c>
      <c r="I5861" s="9"/>
    </row>
    <row r="5862" spans="1:9" x14ac:dyDescent="0.25">
      <c r="A5862">
        <v>650035</v>
      </c>
      <c r="B5862">
        <v>2.4</v>
      </c>
      <c r="C5862">
        <v>400</v>
      </c>
      <c r="D5862" s="9">
        <v>43969</v>
      </c>
      <c r="E5862" t="s">
        <v>295</v>
      </c>
      <c r="I5862" s="9"/>
    </row>
    <row r="5863" spans="1:9" x14ac:dyDescent="0.25">
      <c r="A5863">
        <v>650045</v>
      </c>
      <c r="B5863">
        <v>2.91</v>
      </c>
      <c r="C5863">
        <v>1300</v>
      </c>
      <c r="D5863" s="9">
        <v>44125</v>
      </c>
      <c r="E5863" t="s">
        <v>295</v>
      </c>
      <c r="I5863" s="9"/>
    </row>
    <row r="5864" spans="1:9" x14ac:dyDescent="0.25">
      <c r="A5864">
        <v>650045</v>
      </c>
      <c r="B5864">
        <v>2.91</v>
      </c>
      <c r="C5864">
        <v>100</v>
      </c>
      <c r="D5864" s="9">
        <v>44039</v>
      </c>
      <c r="E5864" t="s">
        <v>295</v>
      </c>
      <c r="I5864" s="9"/>
    </row>
    <row r="5865" spans="1:9" x14ac:dyDescent="0.25">
      <c r="A5865">
        <v>650045</v>
      </c>
      <c r="B5865">
        <v>2.91</v>
      </c>
      <c r="C5865">
        <v>600</v>
      </c>
      <c r="D5865" s="9">
        <v>44001</v>
      </c>
      <c r="E5865" t="s">
        <v>295</v>
      </c>
      <c r="I5865" s="9"/>
    </row>
    <row r="5866" spans="1:9" x14ac:dyDescent="0.25">
      <c r="A5866">
        <v>650045</v>
      </c>
      <c r="B5866">
        <v>2.91</v>
      </c>
      <c r="C5866">
        <v>400</v>
      </c>
      <c r="D5866" s="9">
        <v>43969</v>
      </c>
      <c r="E5866" t="s">
        <v>295</v>
      </c>
      <c r="I5866" s="9"/>
    </row>
    <row r="5867" spans="1:9" x14ac:dyDescent="0.25">
      <c r="A5867">
        <v>650045</v>
      </c>
      <c r="B5867">
        <v>2.91</v>
      </c>
      <c r="C5867">
        <v>600</v>
      </c>
      <c r="D5867" s="9">
        <v>43857</v>
      </c>
      <c r="E5867" t="s">
        <v>295</v>
      </c>
      <c r="I5867" s="9"/>
    </row>
    <row r="5868" spans="1:9" x14ac:dyDescent="0.25">
      <c r="A5868">
        <v>650045</v>
      </c>
      <c r="B5868">
        <v>2.91</v>
      </c>
      <c r="C5868">
        <v>550</v>
      </c>
      <c r="D5868" s="9">
        <v>43746</v>
      </c>
      <c r="E5868" t="s">
        <v>295</v>
      </c>
      <c r="I5868" s="9"/>
    </row>
    <row r="5869" spans="1:9" x14ac:dyDescent="0.25">
      <c r="A5869">
        <v>650045</v>
      </c>
      <c r="B5869">
        <v>2.91</v>
      </c>
      <c r="C5869">
        <v>500</v>
      </c>
      <c r="D5869" s="9">
        <v>43656</v>
      </c>
      <c r="E5869" t="s">
        <v>295</v>
      </c>
      <c r="I5869" s="9"/>
    </row>
    <row r="5870" spans="1:9" x14ac:dyDescent="0.25">
      <c r="A5870">
        <v>650045</v>
      </c>
      <c r="B5870">
        <v>2.77</v>
      </c>
      <c r="C5870">
        <v>100</v>
      </c>
      <c r="D5870" s="9">
        <v>43640</v>
      </c>
      <c r="E5870" t="s">
        <v>295</v>
      </c>
      <c r="I5870" s="9"/>
    </row>
    <row r="5871" spans="1:9" x14ac:dyDescent="0.25">
      <c r="A5871">
        <v>650045</v>
      </c>
      <c r="B5871">
        <v>2.77</v>
      </c>
      <c r="C5871">
        <v>100</v>
      </c>
      <c r="D5871" s="9">
        <v>43580</v>
      </c>
      <c r="E5871" t="s">
        <v>295</v>
      </c>
      <c r="I5871" s="9"/>
    </row>
    <row r="5872" spans="1:9" x14ac:dyDescent="0.25">
      <c r="A5872">
        <v>650045</v>
      </c>
      <c r="B5872">
        <v>2.77</v>
      </c>
      <c r="C5872">
        <v>200</v>
      </c>
      <c r="D5872" s="9">
        <v>43556</v>
      </c>
      <c r="E5872" t="s">
        <v>295</v>
      </c>
      <c r="I5872" s="9"/>
    </row>
    <row r="5873" spans="1:9" x14ac:dyDescent="0.25">
      <c r="A5873">
        <v>650045</v>
      </c>
      <c r="B5873">
        <v>2.77</v>
      </c>
      <c r="C5873">
        <v>50</v>
      </c>
      <c r="D5873" s="9">
        <v>43518</v>
      </c>
      <c r="E5873" t="s">
        <v>295</v>
      </c>
      <c r="I5873" s="9"/>
    </row>
    <row r="5874" spans="1:9" x14ac:dyDescent="0.25">
      <c r="A5874">
        <v>650045</v>
      </c>
      <c r="B5874">
        <v>2.77</v>
      </c>
      <c r="C5874">
        <v>900</v>
      </c>
      <c r="D5874" s="9">
        <v>43448</v>
      </c>
      <c r="E5874" t="s">
        <v>295</v>
      </c>
      <c r="I5874" s="9"/>
    </row>
    <row r="5875" spans="1:9" x14ac:dyDescent="0.25">
      <c r="A5875">
        <v>650045</v>
      </c>
      <c r="B5875">
        <v>2.77</v>
      </c>
      <c r="C5875">
        <v>100</v>
      </c>
      <c r="D5875" s="9">
        <v>43374</v>
      </c>
      <c r="E5875" t="s">
        <v>295</v>
      </c>
      <c r="I5875" s="9"/>
    </row>
    <row r="5876" spans="1:9" x14ac:dyDescent="0.25">
      <c r="A5876">
        <v>650045</v>
      </c>
      <c r="B5876">
        <v>2.77</v>
      </c>
      <c r="C5876">
        <v>450</v>
      </c>
      <c r="D5876" s="9">
        <v>43287</v>
      </c>
      <c r="E5876" t="s">
        <v>295</v>
      </c>
      <c r="I5876" s="9"/>
    </row>
    <row r="5877" spans="1:9" x14ac:dyDescent="0.25">
      <c r="A5877">
        <v>650045</v>
      </c>
      <c r="B5877">
        <v>2.77</v>
      </c>
      <c r="C5877">
        <v>450</v>
      </c>
      <c r="D5877" s="9">
        <v>43229</v>
      </c>
      <c r="E5877" t="s">
        <v>295</v>
      </c>
      <c r="I5877" s="9"/>
    </row>
    <row r="5878" spans="1:9" x14ac:dyDescent="0.25">
      <c r="A5878">
        <v>650045</v>
      </c>
      <c r="B5878">
        <v>2.77</v>
      </c>
      <c r="C5878">
        <v>50</v>
      </c>
      <c r="D5878" s="9">
        <v>43181</v>
      </c>
      <c r="E5878" t="s">
        <v>295</v>
      </c>
      <c r="I5878" s="9"/>
    </row>
    <row r="5879" spans="1:9" x14ac:dyDescent="0.25">
      <c r="A5879">
        <v>650045</v>
      </c>
      <c r="B5879">
        <v>2.77</v>
      </c>
      <c r="C5879">
        <v>50</v>
      </c>
      <c r="D5879" s="9">
        <v>43164</v>
      </c>
      <c r="E5879" t="s">
        <v>295</v>
      </c>
      <c r="I5879" s="9"/>
    </row>
    <row r="5880" spans="1:9" x14ac:dyDescent="0.25">
      <c r="A5880">
        <v>650045</v>
      </c>
      <c r="B5880">
        <v>2.77</v>
      </c>
      <c r="C5880">
        <v>350</v>
      </c>
      <c r="D5880" s="9">
        <v>43066</v>
      </c>
      <c r="E5880" t="s">
        <v>295</v>
      </c>
      <c r="I5880" s="9"/>
    </row>
    <row r="5881" spans="1:9" x14ac:dyDescent="0.25">
      <c r="A5881">
        <v>650045</v>
      </c>
      <c r="B5881">
        <v>2.77</v>
      </c>
      <c r="C5881">
        <v>500</v>
      </c>
      <c r="D5881" s="9">
        <v>43019</v>
      </c>
      <c r="E5881" t="s">
        <v>295</v>
      </c>
      <c r="I5881" s="9"/>
    </row>
    <row r="5882" spans="1:9" x14ac:dyDescent="0.25">
      <c r="A5882">
        <v>650045</v>
      </c>
      <c r="B5882">
        <v>2.77</v>
      </c>
      <c r="C5882">
        <v>200</v>
      </c>
      <c r="D5882" s="9">
        <v>42978</v>
      </c>
      <c r="E5882" t="s">
        <v>295</v>
      </c>
      <c r="I5882" s="9"/>
    </row>
    <row r="5883" spans="1:9" x14ac:dyDescent="0.25">
      <c r="A5883">
        <v>650045</v>
      </c>
      <c r="B5883">
        <v>2.77</v>
      </c>
      <c r="C5883">
        <v>50</v>
      </c>
      <c r="D5883" s="9">
        <v>42891</v>
      </c>
      <c r="E5883" t="s">
        <v>295</v>
      </c>
      <c r="I5883" s="9"/>
    </row>
    <row r="5884" spans="1:9" x14ac:dyDescent="0.25">
      <c r="A5884">
        <v>650045</v>
      </c>
      <c r="B5884">
        <v>2.77</v>
      </c>
      <c r="C5884">
        <v>50</v>
      </c>
      <c r="D5884" s="9">
        <v>42844</v>
      </c>
      <c r="E5884" t="s">
        <v>295</v>
      </c>
      <c r="I5884" s="9"/>
    </row>
    <row r="5885" spans="1:9" x14ac:dyDescent="0.25">
      <c r="A5885">
        <v>650045</v>
      </c>
      <c r="B5885">
        <v>2.77</v>
      </c>
      <c r="C5885">
        <v>400</v>
      </c>
      <c r="D5885" s="9">
        <v>42818</v>
      </c>
      <c r="E5885" t="s">
        <v>295</v>
      </c>
      <c r="I5885" s="9"/>
    </row>
    <row r="5886" spans="1:9" x14ac:dyDescent="0.25">
      <c r="A5886">
        <v>650045</v>
      </c>
      <c r="B5886">
        <v>3.69</v>
      </c>
      <c r="C5886">
        <v>50</v>
      </c>
      <c r="D5886" s="9">
        <v>42614</v>
      </c>
      <c r="E5886" t="s">
        <v>295</v>
      </c>
      <c r="I5886" s="9"/>
    </row>
    <row r="5887" spans="1:9" x14ac:dyDescent="0.25">
      <c r="A5887">
        <v>650045</v>
      </c>
      <c r="B5887">
        <v>3.69</v>
      </c>
      <c r="C5887">
        <v>50</v>
      </c>
      <c r="D5887" s="9">
        <v>41892</v>
      </c>
      <c r="E5887" t="s">
        <v>295</v>
      </c>
      <c r="I5887" s="9"/>
    </row>
    <row r="5888" spans="1:9" x14ac:dyDescent="0.25">
      <c r="A5888">
        <v>650045</v>
      </c>
      <c r="B5888">
        <v>3.69</v>
      </c>
      <c r="C5888">
        <v>20</v>
      </c>
      <c r="D5888" s="9">
        <v>41718</v>
      </c>
      <c r="E5888" t="s">
        <v>295</v>
      </c>
      <c r="I5888" s="9"/>
    </row>
    <row r="5889" spans="1:9" x14ac:dyDescent="0.25">
      <c r="A5889">
        <v>650061</v>
      </c>
      <c r="B5889">
        <v>4.37</v>
      </c>
      <c r="C5889">
        <v>600</v>
      </c>
      <c r="D5889" s="9">
        <v>44125</v>
      </c>
      <c r="E5889" t="s">
        <v>295</v>
      </c>
      <c r="I5889" s="9"/>
    </row>
    <row r="5890" spans="1:9" x14ac:dyDescent="0.25">
      <c r="A5890">
        <v>650061</v>
      </c>
      <c r="B5890">
        <v>4.37</v>
      </c>
      <c r="C5890">
        <v>100</v>
      </c>
      <c r="D5890" s="9">
        <v>44039</v>
      </c>
      <c r="E5890" t="s">
        <v>295</v>
      </c>
      <c r="I5890" s="9"/>
    </row>
    <row r="5891" spans="1:9" x14ac:dyDescent="0.25">
      <c r="A5891">
        <v>650061</v>
      </c>
      <c r="B5891">
        <v>4.37</v>
      </c>
      <c r="C5891">
        <v>200</v>
      </c>
      <c r="D5891" s="9">
        <v>43903</v>
      </c>
      <c r="E5891" t="s">
        <v>295</v>
      </c>
      <c r="I5891" s="9"/>
    </row>
    <row r="5892" spans="1:9" x14ac:dyDescent="0.25">
      <c r="A5892">
        <v>650061</v>
      </c>
      <c r="B5892">
        <v>4.37</v>
      </c>
      <c r="C5892">
        <v>300</v>
      </c>
      <c r="D5892" s="9">
        <v>43857</v>
      </c>
      <c r="E5892" t="s">
        <v>295</v>
      </c>
      <c r="I5892" s="9"/>
    </row>
    <row r="5893" spans="1:9" x14ac:dyDescent="0.25">
      <c r="A5893">
        <v>650061</v>
      </c>
      <c r="B5893">
        <v>4.37</v>
      </c>
      <c r="C5893">
        <v>140</v>
      </c>
      <c r="D5893" s="9">
        <v>43797</v>
      </c>
      <c r="E5893" t="s">
        <v>295</v>
      </c>
      <c r="I5893" s="9"/>
    </row>
    <row r="5894" spans="1:9" x14ac:dyDescent="0.25">
      <c r="A5894">
        <v>650061</v>
      </c>
      <c r="B5894">
        <v>4.37</v>
      </c>
      <c r="C5894">
        <v>200</v>
      </c>
      <c r="D5894" s="9">
        <v>43746</v>
      </c>
      <c r="E5894" t="s">
        <v>295</v>
      </c>
      <c r="I5894" s="9"/>
    </row>
    <row r="5895" spans="1:9" x14ac:dyDescent="0.25">
      <c r="A5895">
        <v>650061</v>
      </c>
      <c r="B5895">
        <v>4.37</v>
      </c>
      <c r="C5895">
        <v>200</v>
      </c>
      <c r="D5895" s="9">
        <v>43656</v>
      </c>
      <c r="E5895" t="s">
        <v>295</v>
      </c>
      <c r="I5895" s="9"/>
    </row>
    <row r="5896" spans="1:9" x14ac:dyDescent="0.25">
      <c r="A5896">
        <v>650061</v>
      </c>
      <c r="B5896">
        <v>3.86</v>
      </c>
      <c r="C5896">
        <v>100</v>
      </c>
      <c r="D5896" s="9">
        <v>43640</v>
      </c>
      <c r="E5896" t="s">
        <v>295</v>
      </c>
      <c r="I5896" s="9"/>
    </row>
    <row r="5897" spans="1:9" x14ac:dyDescent="0.25">
      <c r="A5897">
        <v>650061</v>
      </c>
      <c r="B5897">
        <v>3.86</v>
      </c>
      <c r="C5897">
        <v>140</v>
      </c>
      <c r="D5897" s="9">
        <v>43580</v>
      </c>
      <c r="E5897" t="s">
        <v>295</v>
      </c>
      <c r="I5897" s="9"/>
    </row>
    <row r="5898" spans="1:9" x14ac:dyDescent="0.25">
      <c r="A5898">
        <v>650061</v>
      </c>
      <c r="B5898">
        <v>3.86</v>
      </c>
      <c r="C5898">
        <v>100</v>
      </c>
      <c r="D5898" s="9">
        <v>43556</v>
      </c>
      <c r="E5898" t="s">
        <v>295</v>
      </c>
      <c r="I5898" s="9"/>
    </row>
    <row r="5899" spans="1:9" x14ac:dyDescent="0.25">
      <c r="A5899">
        <v>650061</v>
      </c>
      <c r="B5899">
        <v>3.86</v>
      </c>
      <c r="C5899">
        <v>100</v>
      </c>
      <c r="D5899" s="9">
        <v>43448</v>
      </c>
      <c r="E5899" t="s">
        <v>295</v>
      </c>
      <c r="I5899" s="9"/>
    </row>
    <row r="5900" spans="1:9" x14ac:dyDescent="0.25">
      <c r="A5900">
        <v>650061</v>
      </c>
      <c r="B5900">
        <v>3.86</v>
      </c>
      <c r="C5900">
        <v>300</v>
      </c>
      <c r="D5900" s="9">
        <v>43374</v>
      </c>
      <c r="E5900" t="s">
        <v>295</v>
      </c>
      <c r="I5900" s="9"/>
    </row>
    <row r="5901" spans="1:9" x14ac:dyDescent="0.25">
      <c r="A5901">
        <v>650061</v>
      </c>
      <c r="B5901">
        <v>3.86</v>
      </c>
      <c r="C5901">
        <v>100</v>
      </c>
      <c r="D5901" s="9">
        <v>43287</v>
      </c>
      <c r="E5901" t="s">
        <v>295</v>
      </c>
      <c r="I5901" s="9"/>
    </row>
    <row r="5902" spans="1:9" x14ac:dyDescent="0.25">
      <c r="A5902">
        <v>650061</v>
      </c>
      <c r="B5902">
        <v>3.86</v>
      </c>
      <c r="C5902">
        <v>100</v>
      </c>
      <c r="D5902" s="9">
        <v>43257</v>
      </c>
      <c r="E5902" t="s">
        <v>295</v>
      </c>
      <c r="I5902" s="9"/>
    </row>
    <row r="5903" spans="1:9" x14ac:dyDescent="0.25">
      <c r="A5903">
        <v>650061</v>
      </c>
      <c r="B5903">
        <v>3.86</v>
      </c>
      <c r="C5903">
        <v>100</v>
      </c>
      <c r="D5903" s="9">
        <v>43229</v>
      </c>
      <c r="E5903" t="s">
        <v>295</v>
      </c>
      <c r="I5903" s="9"/>
    </row>
    <row r="5904" spans="1:9" x14ac:dyDescent="0.25">
      <c r="A5904">
        <v>650061</v>
      </c>
      <c r="B5904">
        <v>3.86</v>
      </c>
      <c r="C5904">
        <v>100</v>
      </c>
      <c r="D5904" s="9">
        <v>43181</v>
      </c>
      <c r="E5904" t="s">
        <v>295</v>
      </c>
      <c r="I5904" s="9"/>
    </row>
    <row r="5905" spans="1:9" x14ac:dyDescent="0.25">
      <c r="A5905">
        <v>650061</v>
      </c>
      <c r="B5905">
        <v>3.86</v>
      </c>
      <c r="C5905">
        <v>100</v>
      </c>
      <c r="D5905" s="9">
        <v>43164</v>
      </c>
      <c r="E5905" t="s">
        <v>295</v>
      </c>
      <c r="I5905" s="9"/>
    </row>
    <row r="5906" spans="1:9" x14ac:dyDescent="0.25">
      <c r="A5906">
        <v>650061</v>
      </c>
      <c r="B5906">
        <v>3.86</v>
      </c>
      <c r="C5906">
        <v>100</v>
      </c>
      <c r="D5906" s="9">
        <v>43066</v>
      </c>
      <c r="E5906" t="s">
        <v>295</v>
      </c>
      <c r="I5906" s="9"/>
    </row>
    <row r="5907" spans="1:9" x14ac:dyDescent="0.25">
      <c r="A5907">
        <v>650061</v>
      </c>
      <c r="B5907">
        <v>3.86</v>
      </c>
      <c r="C5907">
        <v>60</v>
      </c>
      <c r="D5907" s="9">
        <v>43019</v>
      </c>
      <c r="E5907" t="s">
        <v>295</v>
      </c>
      <c r="I5907" s="9"/>
    </row>
    <row r="5908" spans="1:9" x14ac:dyDescent="0.25">
      <c r="A5908">
        <v>650061</v>
      </c>
      <c r="B5908">
        <v>3.86</v>
      </c>
      <c r="C5908">
        <v>400</v>
      </c>
      <c r="D5908" s="9">
        <v>42818</v>
      </c>
      <c r="E5908" t="s">
        <v>295</v>
      </c>
      <c r="I5908" s="9"/>
    </row>
    <row r="5909" spans="1:9" x14ac:dyDescent="0.25">
      <c r="A5909">
        <v>650104</v>
      </c>
      <c r="B5909">
        <v>1.1000000000000001</v>
      </c>
      <c r="C5909">
        <v>50</v>
      </c>
      <c r="D5909" s="9">
        <v>42853</v>
      </c>
      <c r="E5909" t="s">
        <v>295</v>
      </c>
      <c r="I5909" s="9"/>
    </row>
    <row r="5910" spans="1:9" x14ac:dyDescent="0.25">
      <c r="A5910">
        <v>650104</v>
      </c>
      <c r="B5910">
        <v>1.1499999999999999</v>
      </c>
      <c r="C5910">
        <v>50</v>
      </c>
      <c r="D5910" s="9">
        <v>42844</v>
      </c>
      <c r="E5910" t="s">
        <v>295</v>
      </c>
      <c r="I5910" s="9"/>
    </row>
    <row r="5911" spans="1:9" x14ac:dyDescent="0.25">
      <c r="A5911">
        <v>650106</v>
      </c>
      <c r="B5911">
        <v>1.1499999999999999</v>
      </c>
      <c r="C5911">
        <v>50</v>
      </c>
      <c r="D5911" s="9">
        <v>42991</v>
      </c>
      <c r="E5911" t="s">
        <v>295</v>
      </c>
      <c r="I5911" s="9"/>
    </row>
    <row r="5912" spans="1:9" x14ac:dyDescent="0.25">
      <c r="A5912">
        <v>650108</v>
      </c>
      <c r="B5912">
        <v>1.1499999999999999</v>
      </c>
      <c r="C5912">
        <v>50</v>
      </c>
      <c r="D5912" s="9">
        <v>42844</v>
      </c>
      <c r="E5912" t="s">
        <v>295</v>
      </c>
      <c r="I5912" s="9"/>
    </row>
    <row r="5913" spans="1:9" x14ac:dyDescent="0.25">
      <c r="A5913">
        <v>650206</v>
      </c>
      <c r="B5913">
        <v>1.8</v>
      </c>
      <c r="C5913">
        <v>50</v>
      </c>
      <c r="D5913" s="9">
        <v>42844</v>
      </c>
      <c r="E5913" t="s">
        <v>295</v>
      </c>
      <c r="I5913" s="9"/>
    </row>
    <row r="5914" spans="1:9" x14ac:dyDescent="0.25">
      <c r="A5914">
        <v>650308</v>
      </c>
      <c r="B5914">
        <v>1.94</v>
      </c>
      <c r="C5914">
        <v>50</v>
      </c>
      <c r="D5914" s="9">
        <v>42844</v>
      </c>
      <c r="E5914" t="s">
        <v>295</v>
      </c>
      <c r="I5914" s="9"/>
    </row>
    <row r="5915" spans="1:9" x14ac:dyDescent="0.25">
      <c r="A5915">
        <v>650441</v>
      </c>
      <c r="B5915">
        <v>0.57999999999999996</v>
      </c>
      <c r="C5915">
        <v>1000</v>
      </c>
      <c r="D5915" s="9">
        <v>44125</v>
      </c>
      <c r="E5915" t="s">
        <v>295</v>
      </c>
      <c r="I5915" s="9"/>
    </row>
    <row r="5916" spans="1:9" x14ac:dyDescent="0.25">
      <c r="A5916">
        <v>650441</v>
      </c>
      <c r="B5916">
        <v>0.57999999999999996</v>
      </c>
      <c r="C5916">
        <v>300</v>
      </c>
      <c r="D5916" s="9">
        <v>44039</v>
      </c>
      <c r="E5916" t="s">
        <v>295</v>
      </c>
      <c r="I5916" s="9"/>
    </row>
    <row r="5917" spans="1:9" x14ac:dyDescent="0.25">
      <c r="A5917">
        <v>650441</v>
      </c>
      <c r="B5917">
        <v>0.57999999999999996</v>
      </c>
      <c r="C5917">
        <v>600</v>
      </c>
      <c r="D5917" s="9">
        <v>43857</v>
      </c>
      <c r="E5917" t="s">
        <v>295</v>
      </c>
      <c r="I5917" s="9"/>
    </row>
    <row r="5918" spans="1:9" x14ac:dyDescent="0.25">
      <c r="A5918">
        <v>650441</v>
      </c>
      <c r="B5918">
        <v>0.57999999999999996</v>
      </c>
      <c r="C5918">
        <v>100</v>
      </c>
      <c r="D5918" s="9">
        <v>43797</v>
      </c>
      <c r="E5918" t="s">
        <v>295</v>
      </c>
      <c r="I5918" s="9"/>
    </row>
    <row r="5919" spans="1:9" x14ac:dyDescent="0.25">
      <c r="A5919">
        <v>650441</v>
      </c>
      <c r="B5919">
        <v>0.57999999999999996</v>
      </c>
      <c r="C5919">
        <v>560</v>
      </c>
      <c r="D5919" s="9">
        <v>43746</v>
      </c>
      <c r="E5919" t="s">
        <v>295</v>
      </c>
      <c r="I5919" s="9"/>
    </row>
    <row r="5920" spans="1:9" x14ac:dyDescent="0.25">
      <c r="A5920">
        <v>650441</v>
      </c>
      <c r="B5920">
        <v>0.57999999999999996</v>
      </c>
      <c r="C5920">
        <v>200</v>
      </c>
      <c r="D5920" s="9">
        <v>43721</v>
      </c>
      <c r="E5920" t="s">
        <v>295</v>
      </c>
      <c r="I5920" s="9"/>
    </row>
    <row r="5921" spans="1:9" x14ac:dyDescent="0.25">
      <c r="A5921">
        <v>650441</v>
      </c>
      <c r="B5921">
        <v>0.57999999999999996</v>
      </c>
      <c r="C5921">
        <v>400</v>
      </c>
      <c r="D5921" s="9">
        <v>43656</v>
      </c>
      <c r="E5921" t="s">
        <v>295</v>
      </c>
      <c r="I5921" s="9"/>
    </row>
    <row r="5922" spans="1:9" x14ac:dyDescent="0.25">
      <c r="A5922">
        <v>650441</v>
      </c>
      <c r="B5922">
        <v>0.5</v>
      </c>
      <c r="C5922">
        <v>300</v>
      </c>
      <c r="D5922" s="9">
        <v>43580</v>
      </c>
      <c r="E5922" t="s">
        <v>295</v>
      </c>
      <c r="I5922" s="9"/>
    </row>
    <row r="5923" spans="1:9" x14ac:dyDescent="0.25">
      <c r="A5923">
        <v>650441</v>
      </c>
      <c r="B5923">
        <v>0.5</v>
      </c>
      <c r="C5923">
        <v>300</v>
      </c>
      <c r="D5923" s="9">
        <v>43556</v>
      </c>
      <c r="E5923" t="s">
        <v>295</v>
      </c>
      <c r="I5923" s="9"/>
    </row>
    <row r="5924" spans="1:9" x14ac:dyDescent="0.25">
      <c r="A5924">
        <v>650441</v>
      </c>
      <c r="B5924">
        <v>0.5</v>
      </c>
      <c r="C5924">
        <v>140</v>
      </c>
      <c r="D5924" s="9">
        <v>43518</v>
      </c>
      <c r="E5924" t="s">
        <v>295</v>
      </c>
      <c r="I5924" s="9"/>
    </row>
    <row r="5925" spans="1:9" x14ac:dyDescent="0.25">
      <c r="A5925">
        <v>650441</v>
      </c>
      <c r="B5925">
        <v>0.5</v>
      </c>
      <c r="C5925">
        <v>200</v>
      </c>
      <c r="D5925" s="9">
        <v>43448</v>
      </c>
      <c r="E5925" t="s">
        <v>295</v>
      </c>
      <c r="I5925" s="9"/>
    </row>
    <row r="5926" spans="1:9" x14ac:dyDescent="0.25">
      <c r="A5926">
        <v>650441</v>
      </c>
      <c r="B5926">
        <v>0.5</v>
      </c>
      <c r="C5926">
        <v>600</v>
      </c>
      <c r="D5926" s="9">
        <v>43374</v>
      </c>
      <c r="E5926" t="s">
        <v>295</v>
      </c>
      <c r="I5926" s="9"/>
    </row>
    <row r="5927" spans="1:9" x14ac:dyDescent="0.25">
      <c r="A5927">
        <v>650441</v>
      </c>
      <c r="B5927">
        <v>0.5</v>
      </c>
      <c r="C5927">
        <v>100</v>
      </c>
      <c r="D5927" s="9">
        <v>43287</v>
      </c>
      <c r="E5927" t="s">
        <v>295</v>
      </c>
      <c r="I5927" s="9"/>
    </row>
    <row r="5928" spans="1:9" x14ac:dyDescent="0.25">
      <c r="A5928">
        <v>650441</v>
      </c>
      <c r="B5928">
        <v>0.5</v>
      </c>
      <c r="C5928">
        <v>400</v>
      </c>
      <c r="D5928" s="9">
        <v>43257</v>
      </c>
      <c r="E5928" t="s">
        <v>295</v>
      </c>
      <c r="I5928" s="9"/>
    </row>
    <row r="5929" spans="1:9" x14ac:dyDescent="0.25">
      <c r="A5929">
        <v>650441</v>
      </c>
      <c r="B5929">
        <v>0.5</v>
      </c>
      <c r="C5929">
        <v>400</v>
      </c>
      <c r="D5929" s="9">
        <v>43229</v>
      </c>
      <c r="E5929" t="s">
        <v>295</v>
      </c>
      <c r="I5929" s="9"/>
    </row>
    <row r="5930" spans="1:9" x14ac:dyDescent="0.25">
      <c r="A5930">
        <v>650441</v>
      </c>
      <c r="B5930">
        <v>0.5</v>
      </c>
      <c r="C5930">
        <v>300</v>
      </c>
      <c r="D5930" s="9">
        <v>43181</v>
      </c>
      <c r="E5930" t="s">
        <v>295</v>
      </c>
      <c r="I5930" s="9"/>
    </row>
    <row r="5931" spans="1:9" x14ac:dyDescent="0.25">
      <c r="A5931">
        <v>650441</v>
      </c>
      <c r="B5931">
        <v>0.5</v>
      </c>
      <c r="C5931">
        <v>300</v>
      </c>
      <c r="D5931" s="9">
        <v>43164</v>
      </c>
      <c r="E5931" t="s">
        <v>295</v>
      </c>
      <c r="I5931" s="9"/>
    </row>
    <row r="5932" spans="1:9" x14ac:dyDescent="0.25">
      <c r="A5932">
        <v>650441</v>
      </c>
      <c r="B5932">
        <v>0.5</v>
      </c>
      <c r="C5932">
        <v>100</v>
      </c>
      <c r="D5932" s="9">
        <v>43108</v>
      </c>
      <c r="E5932" t="s">
        <v>295</v>
      </c>
      <c r="I5932" s="9"/>
    </row>
    <row r="5933" spans="1:9" x14ac:dyDescent="0.25">
      <c r="A5933">
        <v>650441</v>
      </c>
      <c r="B5933">
        <v>0.5</v>
      </c>
      <c r="C5933">
        <v>300</v>
      </c>
      <c r="D5933" s="9">
        <v>43066</v>
      </c>
      <c r="E5933" t="s">
        <v>295</v>
      </c>
      <c r="I5933" s="9"/>
    </row>
    <row r="5934" spans="1:9" x14ac:dyDescent="0.25">
      <c r="A5934">
        <v>650441</v>
      </c>
      <c r="B5934">
        <v>0.5</v>
      </c>
      <c r="C5934">
        <v>400</v>
      </c>
      <c r="D5934" s="9">
        <v>43019</v>
      </c>
      <c r="E5934" t="s">
        <v>295</v>
      </c>
      <c r="I5934" s="9"/>
    </row>
    <row r="5935" spans="1:9" x14ac:dyDescent="0.25">
      <c r="A5935">
        <v>650441</v>
      </c>
      <c r="B5935">
        <v>0.5</v>
      </c>
      <c r="C5935">
        <v>60</v>
      </c>
      <c r="D5935" s="9">
        <v>42978</v>
      </c>
      <c r="E5935" t="s">
        <v>295</v>
      </c>
      <c r="I5935" s="9"/>
    </row>
    <row r="5936" spans="1:9" x14ac:dyDescent="0.25">
      <c r="A5936">
        <v>650441</v>
      </c>
      <c r="B5936">
        <v>0.5</v>
      </c>
      <c r="C5936">
        <v>600</v>
      </c>
      <c r="D5936" s="9">
        <v>42935</v>
      </c>
      <c r="E5936" t="s">
        <v>295</v>
      </c>
      <c r="I5936" s="9"/>
    </row>
    <row r="5937" spans="1:9" x14ac:dyDescent="0.25">
      <c r="A5937">
        <v>650441</v>
      </c>
      <c r="B5937">
        <v>0.5</v>
      </c>
      <c r="C5937">
        <v>500</v>
      </c>
      <c r="D5937" s="9">
        <v>42836</v>
      </c>
      <c r="E5937" t="s">
        <v>295</v>
      </c>
      <c r="I5937" s="9"/>
    </row>
    <row r="5938" spans="1:9" x14ac:dyDescent="0.25">
      <c r="A5938">
        <v>650441</v>
      </c>
      <c r="B5938">
        <v>0.5</v>
      </c>
      <c r="C5938">
        <v>200</v>
      </c>
      <c r="D5938" s="9">
        <v>42779</v>
      </c>
      <c r="E5938" t="s">
        <v>295</v>
      </c>
      <c r="I5938" s="9"/>
    </row>
    <row r="5939" spans="1:9" x14ac:dyDescent="0.25">
      <c r="A5939">
        <v>650441</v>
      </c>
      <c r="B5939">
        <v>0.5</v>
      </c>
      <c r="C5939">
        <v>40</v>
      </c>
      <c r="D5939" s="9">
        <v>42745</v>
      </c>
      <c r="E5939" t="s">
        <v>295</v>
      </c>
      <c r="I5939" s="9"/>
    </row>
    <row r="5940" spans="1:9" x14ac:dyDescent="0.25">
      <c r="A5940">
        <v>650441</v>
      </c>
      <c r="B5940">
        <v>0.5</v>
      </c>
      <c r="C5940">
        <v>310</v>
      </c>
      <c r="D5940" s="9">
        <v>42709</v>
      </c>
      <c r="E5940" t="s">
        <v>295</v>
      </c>
      <c r="I5940" s="9"/>
    </row>
    <row r="5941" spans="1:9" x14ac:dyDescent="0.25">
      <c r="A5941">
        <v>650441</v>
      </c>
      <c r="B5941">
        <v>0.5</v>
      </c>
      <c r="C5941">
        <v>40</v>
      </c>
      <c r="D5941" s="9">
        <v>42654</v>
      </c>
      <c r="E5941" t="s">
        <v>295</v>
      </c>
      <c r="I5941" s="9"/>
    </row>
    <row r="5942" spans="1:9" x14ac:dyDescent="0.25">
      <c r="A5942">
        <v>650441</v>
      </c>
      <c r="B5942">
        <v>0.5</v>
      </c>
      <c r="C5942">
        <v>440</v>
      </c>
      <c r="D5942" s="9">
        <v>42619</v>
      </c>
      <c r="E5942" t="s">
        <v>295</v>
      </c>
      <c r="I5942" s="9"/>
    </row>
    <row r="5943" spans="1:9" x14ac:dyDescent="0.25">
      <c r="A5943">
        <v>650441</v>
      </c>
      <c r="B5943">
        <v>0.5</v>
      </c>
      <c r="C5943">
        <v>200</v>
      </c>
      <c r="D5943" s="9">
        <v>42549</v>
      </c>
      <c r="E5943" t="s">
        <v>295</v>
      </c>
      <c r="I5943" s="9"/>
    </row>
    <row r="5944" spans="1:9" x14ac:dyDescent="0.25">
      <c r="A5944">
        <v>650441</v>
      </c>
      <c r="B5944">
        <v>0.5</v>
      </c>
      <c r="C5944">
        <v>100</v>
      </c>
      <c r="D5944" s="9">
        <v>42537</v>
      </c>
      <c r="E5944" t="s">
        <v>295</v>
      </c>
      <c r="I5944" s="9"/>
    </row>
    <row r="5945" spans="1:9" x14ac:dyDescent="0.25">
      <c r="A5945">
        <v>650441</v>
      </c>
      <c r="B5945">
        <v>0.5</v>
      </c>
      <c r="C5945">
        <v>200</v>
      </c>
      <c r="D5945" s="9">
        <v>42499</v>
      </c>
      <c r="E5945" t="s">
        <v>295</v>
      </c>
      <c r="I5945" s="9"/>
    </row>
    <row r="5946" spans="1:9" x14ac:dyDescent="0.25">
      <c r="A5946">
        <v>650441</v>
      </c>
      <c r="B5946">
        <v>0.5</v>
      </c>
      <c r="C5946">
        <v>40</v>
      </c>
      <c r="D5946" s="9">
        <v>42451</v>
      </c>
      <c r="E5946" t="s">
        <v>295</v>
      </c>
      <c r="I5946" s="9"/>
    </row>
    <row r="5947" spans="1:9" x14ac:dyDescent="0.25">
      <c r="A5947">
        <v>650441</v>
      </c>
      <c r="B5947">
        <v>0.5</v>
      </c>
      <c r="C5947">
        <v>200</v>
      </c>
      <c r="D5947" s="9">
        <v>42388</v>
      </c>
      <c r="E5947" t="s">
        <v>295</v>
      </c>
      <c r="I5947" s="9"/>
    </row>
    <row r="5948" spans="1:9" x14ac:dyDescent="0.25">
      <c r="A5948">
        <v>650441</v>
      </c>
      <c r="B5948">
        <v>0.5</v>
      </c>
      <c r="C5948">
        <v>200</v>
      </c>
      <c r="D5948" s="9">
        <v>42341</v>
      </c>
      <c r="E5948" t="s">
        <v>295</v>
      </c>
      <c r="I5948" s="9"/>
    </row>
    <row r="5949" spans="1:9" x14ac:dyDescent="0.25">
      <c r="A5949">
        <v>650441</v>
      </c>
      <c r="B5949">
        <v>0.5</v>
      </c>
      <c r="C5949">
        <v>600</v>
      </c>
      <c r="D5949" s="9">
        <v>42285</v>
      </c>
      <c r="E5949" t="s">
        <v>295</v>
      </c>
      <c r="I5949" s="9"/>
    </row>
    <row r="5950" spans="1:9" x14ac:dyDescent="0.25">
      <c r="A5950">
        <v>650441</v>
      </c>
      <c r="B5950">
        <v>0.5</v>
      </c>
      <c r="C5950">
        <v>140</v>
      </c>
      <c r="D5950" s="9">
        <v>42265</v>
      </c>
      <c r="E5950" t="s">
        <v>295</v>
      </c>
      <c r="I5950" s="9"/>
    </row>
    <row r="5951" spans="1:9" x14ac:dyDescent="0.25">
      <c r="A5951">
        <v>650441</v>
      </c>
      <c r="B5951">
        <v>0.5</v>
      </c>
      <c r="C5951">
        <v>100</v>
      </c>
      <c r="D5951" s="9">
        <v>42212</v>
      </c>
      <c r="E5951" t="s">
        <v>295</v>
      </c>
      <c r="I5951" s="9"/>
    </row>
    <row r="5952" spans="1:9" x14ac:dyDescent="0.25">
      <c r="A5952">
        <v>650441</v>
      </c>
      <c r="B5952">
        <v>0.5</v>
      </c>
      <c r="C5952">
        <v>120</v>
      </c>
      <c r="D5952" s="9">
        <v>42174</v>
      </c>
      <c r="E5952" t="s">
        <v>295</v>
      </c>
      <c r="I5952" s="9"/>
    </row>
    <row r="5953" spans="1:9" x14ac:dyDescent="0.25">
      <c r="A5953">
        <v>650441</v>
      </c>
      <c r="B5953">
        <v>0.5</v>
      </c>
      <c r="C5953">
        <v>80</v>
      </c>
      <c r="D5953" s="9">
        <v>42143</v>
      </c>
      <c r="E5953" t="s">
        <v>295</v>
      </c>
      <c r="I5953" s="9"/>
    </row>
    <row r="5954" spans="1:9" x14ac:dyDescent="0.25">
      <c r="A5954">
        <v>650441</v>
      </c>
      <c r="B5954">
        <v>0.5</v>
      </c>
      <c r="C5954">
        <v>60</v>
      </c>
      <c r="D5954" s="9">
        <v>42068</v>
      </c>
      <c r="E5954" t="s">
        <v>295</v>
      </c>
      <c r="I5954" s="9"/>
    </row>
    <row r="5955" spans="1:9" x14ac:dyDescent="0.25">
      <c r="A5955">
        <v>650441</v>
      </c>
      <c r="B5955">
        <v>0.5</v>
      </c>
      <c r="C5955">
        <v>20</v>
      </c>
      <c r="D5955" s="9">
        <v>41921</v>
      </c>
      <c r="E5955" t="s">
        <v>295</v>
      </c>
      <c r="I5955" s="9"/>
    </row>
    <row r="5956" spans="1:9" x14ac:dyDescent="0.25">
      <c r="A5956">
        <v>650441</v>
      </c>
      <c r="B5956">
        <v>0.5</v>
      </c>
      <c r="C5956">
        <v>20</v>
      </c>
      <c r="D5956" s="9">
        <v>41892</v>
      </c>
      <c r="E5956" t="s">
        <v>295</v>
      </c>
      <c r="I5956" s="9"/>
    </row>
    <row r="5957" spans="1:9" x14ac:dyDescent="0.25">
      <c r="A5957">
        <v>650441</v>
      </c>
      <c r="B5957">
        <v>0.5</v>
      </c>
      <c r="C5957">
        <v>40</v>
      </c>
      <c r="D5957" s="9">
        <v>41794</v>
      </c>
      <c r="E5957" t="s">
        <v>295</v>
      </c>
      <c r="I5957" s="9"/>
    </row>
    <row r="5958" spans="1:9" x14ac:dyDescent="0.25">
      <c r="A5958">
        <v>650441</v>
      </c>
      <c r="B5958">
        <v>0.5</v>
      </c>
      <c r="C5958">
        <v>20</v>
      </c>
      <c r="D5958" s="9">
        <v>41718</v>
      </c>
      <c r="E5958" t="s">
        <v>295</v>
      </c>
      <c r="I5958" s="9"/>
    </row>
    <row r="5959" spans="1:9" x14ac:dyDescent="0.25">
      <c r="A5959">
        <v>650461</v>
      </c>
      <c r="B5959">
        <v>0.71</v>
      </c>
      <c r="C5959">
        <v>1200</v>
      </c>
      <c r="D5959" s="9">
        <v>44125</v>
      </c>
      <c r="E5959" t="s">
        <v>295</v>
      </c>
      <c r="I5959" s="9"/>
    </row>
    <row r="5960" spans="1:9" x14ac:dyDescent="0.25">
      <c r="A5960">
        <v>650461</v>
      </c>
      <c r="B5960">
        <v>0.71</v>
      </c>
      <c r="C5960">
        <v>700</v>
      </c>
      <c r="D5960" s="9">
        <v>44039</v>
      </c>
      <c r="E5960" t="s">
        <v>295</v>
      </c>
      <c r="I5960" s="9"/>
    </row>
    <row r="5961" spans="1:9" x14ac:dyDescent="0.25">
      <c r="A5961">
        <v>650461</v>
      </c>
      <c r="B5961">
        <v>0.71</v>
      </c>
      <c r="C5961">
        <v>620</v>
      </c>
      <c r="D5961" s="9">
        <v>43857</v>
      </c>
      <c r="E5961" t="s">
        <v>295</v>
      </c>
      <c r="I5961" s="9"/>
    </row>
    <row r="5962" spans="1:9" x14ac:dyDescent="0.25">
      <c r="A5962">
        <v>650461</v>
      </c>
      <c r="B5962">
        <v>0.71</v>
      </c>
      <c r="C5962">
        <v>200</v>
      </c>
      <c r="D5962" s="9">
        <v>43797</v>
      </c>
      <c r="E5962" t="s">
        <v>295</v>
      </c>
      <c r="I5962" s="9"/>
    </row>
    <row r="5963" spans="1:9" x14ac:dyDescent="0.25">
      <c r="A5963">
        <v>650461</v>
      </c>
      <c r="B5963">
        <v>0.71</v>
      </c>
      <c r="C5963">
        <v>600</v>
      </c>
      <c r="D5963" s="9">
        <v>43746</v>
      </c>
      <c r="E5963" t="s">
        <v>295</v>
      </c>
      <c r="I5963" s="9"/>
    </row>
    <row r="5964" spans="1:9" x14ac:dyDescent="0.25">
      <c r="A5964">
        <v>650461</v>
      </c>
      <c r="B5964">
        <v>0.71</v>
      </c>
      <c r="C5964">
        <v>200</v>
      </c>
      <c r="D5964" s="9">
        <v>43721</v>
      </c>
      <c r="E5964" t="s">
        <v>295</v>
      </c>
      <c r="I5964" s="9"/>
    </row>
    <row r="5965" spans="1:9" x14ac:dyDescent="0.25">
      <c r="A5965">
        <v>650461</v>
      </c>
      <c r="B5965">
        <v>0.71</v>
      </c>
      <c r="C5965">
        <v>300</v>
      </c>
      <c r="D5965" s="9">
        <v>43656</v>
      </c>
      <c r="E5965" t="s">
        <v>295</v>
      </c>
      <c r="I5965" s="9"/>
    </row>
    <row r="5966" spans="1:9" x14ac:dyDescent="0.25">
      <c r="A5966">
        <v>650461</v>
      </c>
      <c r="B5966">
        <v>0.62</v>
      </c>
      <c r="C5966">
        <v>600</v>
      </c>
      <c r="D5966" s="9">
        <v>43580</v>
      </c>
      <c r="E5966" t="s">
        <v>295</v>
      </c>
      <c r="I5966" s="9"/>
    </row>
    <row r="5967" spans="1:9" x14ac:dyDescent="0.25">
      <c r="A5967">
        <v>650461</v>
      </c>
      <c r="B5967">
        <v>0.62</v>
      </c>
      <c r="C5967">
        <v>300</v>
      </c>
      <c r="D5967" s="9">
        <v>43556</v>
      </c>
      <c r="E5967" t="s">
        <v>295</v>
      </c>
      <c r="I5967" s="9"/>
    </row>
    <row r="5968" spans="1:9" x14ac:dyDescent="0.25">
      <c r="A5968">
        <v>650461</v>
      </c>
      <c r="B5968">
        <v>0.62</v>
      </c>
      <c r="C5968">
        <v>320</v>
      </c>
      <c r="D5968" s="9">
        <v>43518</v>
      </c>
      <c r="E5968" t="s">
        <v>295</v>
      </c>
      <c r="I5968" s="9"/>
    </row>
    <row r="5969" spans="1:9" x14ac:dyDescent="0.25">
      <c r="A5969">
        <v>650461</v>
      </c>
      <c r="B5969">
        <v>0.62</v>
      </c>
      <c r="C5969">
        <v>600</v>
      </c>
      <c r="D5969" s="9">
        <v>43448</v>
      </c>
      <c r="E5969" t="s">
        <v>295</v>
      </c>
      <c r="I5969" s="9"/>
    </row>
    <row r="5970" spans="1:9" x14ac:dyDescent="0.25">
      <c r="A5970">
        <v>650461</v>
      </c>
      <c r="B5970">
        <v>0.62</v>
      </c>
      <c r="C5970">
        <v>200</v>
      </c>
      <c r="D5970" s="9">
        <v>43287</v>
      </c>
      <c r="E5970" t="s">
        <v>295</v>
      </c>
      <c r="I5970" s="9"/>
    </row>
    <row r="5971" spans="1:9" x14ac:dyDescent="0.25">
      <c r="A5971">
        <v>650461</v>
      </c>
      <c r="B5971">
        <v>0.62</v>
      </c>
      <c r="C5971">
        <v>500</v>
      </c>
      <c r="D5971" s="9">
        <v>43257</v>
      </c>
      <c r="E5971" t="s">
        <v>295</v>
      </c>
      <c r="I5971" s="9"/>
    </row>
    <row r="5972" spans="1:9" x14ac:dyDescent="0.25">
      <c r="A5972">
        <v>650461</v>
      </c>
      <c r="B5972">
        <v>0.62</v>
      </c>
      <c r="C5972">
        <v>500</v>
      </c>
      <c r="D5972" s="9">
        <v>43229</v>
      </c>
      <c r="E5972" t="s">
        <v>295</v>
      </c>
      <c r="I5972" s="9"/>
    </row>
    <row r="5973" spans="1:9" x14ac:dyDescent="0.25">
      <c r="A5973">
        <v>650461</v>
      </c>
      <c r="B5973">
        <v>0.62</v>
      </c>
      <c r="C5973">
        <v>300</v>
      </c>
      <c r="D5973" s="9">
        <v>43181</v>
      </c>
      <c r="E5973" t="s">
        <v>295</v>
      </c>
      <c r="I5973" s="9"/>
    </row>
    <row r="5974" spans="1:9" x14ac:dyDescent="0.25">
      <c r="A5974">
        <v>650461</v>
      </c>
      <c r="B5974">
        <v>0.62</v>
      </c>
      <c r="C5974">
        <v>300</v>
      </c>
      <c r="D5974" s="9">
        <v>43164</v>
      </c>
      <c r="E5974" t="s">
        <v>295</v>
      </c>
      <c r="I5974" s="9"/>
    </row>
    <row r="5975" spans="1:9" x14ac:dyDescent="0.25">
      <c r="A5975">
        <v>650461</v>
      </c>
      <c r="B5975">
        <v>0.62</v>
      </c>
      <c r="C5975">
        <v>200</v>
      </c>
      <c r="D5975" s="9">
        <v>43108</v>
      </c>
      <c r="E5975" t="s">
        <v>295</v>
      </c>
      <c r="I5975" s="9"/>
    </row>
    <row r="5976" spans="1:9" x14ac:dyDescent="0.25">
      <c r="A5976">
        <v>650461</v>
      </c>
      <c r="B5976">
        <v>0.62</v>
      </c>
      <c r="C5976">
        <v>440</v>
      </c>
      <c r="D5976" s="9">
        <v>43066</v>
      </c>
      <c r="E5976" t="s">
        <v>295</v>
      </c>
      <c r="I5976" s="9"/>
    </row>
    <row r="5977" spans="1:9" x14ac:dyDescent="0.25">
      <c r="A5977">
        <v>650461</v>
      </c>
      <c r="B5977">
        <v>0.62</v>
      </c>
      <c r="C5977">
        <v>500</v>
      </c>
      <c r="D5977" s="9">
        <v>43019</v>
      </c>
      <c r="E5977" t="s">
        <v>295</v>
      </c>
      <c r="I5977" s="9"/>
    </row>
    <row r="5978" spans="1:9" x14ac:dyDescent="0.25">
      <c r="A5978">
        <v>650461</v>
      </c>
      <c r="B5978">
        <v>0.62</v>
      </c>
      <c r="C5978">
        <v>220</v>
      </c>
      <c r="D5978" s="9">
        <v>42978</v>
      </c>
      <c r="E5978" t="s">
        <v>295</v>
      </c>
      <c r="I5978" s="9"/>
    </row>
    <row r="5979" spans="1:9" x14ac:dyDescent="0.25">
      <c r="A5979">
        <v>650461</v>
      </c>
      <c r="B5979">
        <v>0.62</v>
      </c>
      <c r="C5979">
        <v>100</v>
      </c>
      <c r="D5979" s="9">
        <v>42943</v>
      </c>
      <c r="E5979" t="s">
        <v>295</v>
      </c>
      <c r="I5979" s="9"/>
    </row>
    <row r="5980" spans="1:9" x14ac:dyDescent="0.25">
      <c r="A5980">
        <v>650461</v>
      </c>
      <c r="B5980">
        <v>0.62</v>
      </c>
      <c r="C5980">
        <v>500</v>
      </c>
      <c r="D5980" s="9">
        <v>42935</v>
      </c>
      <c r="E5980" t="s">
        <v>295</v>
      </c>
      <c r="I5980" s="9"/>
    </row>
    <row r="5981" spans="1:9" x14ac:dyDescent="0.25">
      <c r="A5981">
        <v>650461</v>
      </c>
      <c r="B5981">
        <v>0.62</v>
      </c>
      <c r="C5981">
        <v>500</v>
      </c>
      <c r="D5981" s="9">
        <v>42836</v>
      </c>
      <c r="E5981" t="s">
        <v>295</v>
      </c>
      <c r="I5981" s="9"/>
    </row>
    <row r="5982" spans="1:9" x14ac:dyDescent="0.25">
      <c r="A5982">
        <v>650461</v>
      </c>
      <c r="B5982">
        <v>0.62</v>
      </c>
      <c r="C5982">
        <v>200</v>
      </c>
      <c r="D5982" s="9">
        <v>42779</v>
      </c>
      <c r="E5982" t="s">
        <v>295</v>
      </c>
      <c r="I5982" s="9"/>
    </row>
    <row r="5983" spans="1:9" x14ac:dyDescent="0.25">
      <c r="A5983">
        <v>650461</v>
      </c>
      <c r="B5983">
        <v>0.62</v>
      </c>
      <c r="C5983">
        <v>40</v>
      </c>
      <c r="D5983" s="9">
        <v>42745</v>
      </c>
      <c r="E5983" t="s">
        <v>295</v>
      </c>
      <c r="I5983" s="9"/>
    </row>
    <row r="5984" spans="1:9" x14ac:dyDescent="0.25">
      <c r="A5984">
        <v>650461</v>
      </c>
      <c r="B5984">
        <v>0.62</v>
      </c>
      <c r="C5984">
        <v>420</v>
      </c>
      <c r="D5984" s="9">
        <v>42709</v>
      </c>
      <c r="E5984" t="s">
        <v>295</v>
      </c>
      <c r="I5984" s="9"/>
    </row>
    <row r="5985" spans="1:9" x14ac:dyDescent="0.25">
      <c r="A5985">
        <v>650461</v>
      </c>
      <c r="B5985">
        <v>0.62</v>
      </c>
      <c r="C5985">
        <v>40</v>
      </c>
      <c r="D5985" s="9">
        <v>42654</v>
      </c>
      <c r="E5985" t="s">
        <v>295</v>
      </c>
      <c r="I5985" s="9"/>
    </row>
    <row r="5986" spans="1:9" x14ac:dyDescent="0.25">
      <c r="A5986">
        <v>650461</v>
      </c>
      <c r="B5986">
        <v>0.62</v>
      </c>
      <c r="C5986">
        <v>680</v>
      </c>
      <c r="D5986" s="9">
        <v>42619</v>
      </c>
      <c r="E5986" t="s">
        <v>295</v>
      </c>
      <c r="I5986" s="9"/>
    </row>
    <row r="5987" spans="1:9" x14ac:dyDescent="0.25">
      <c r="A5987">
        <v>650461</v>
      </c>
      <c r="B5987">
        <v>0.62</v>
      </c>
      <c r="C5987">
        <v>200</v>
      </c>
      <c r="D5987" s="9">
        <v>42549</v>
      </c>
      <c r="E5987" t="s">
        <v>295</v>
      </c>
      <c r="I5987" s="9"/>
    </row>
    <row r="5988" spans="1:9" x14ac:dyDescent="0.25">
      <c r="A5988">
        <v>650461</v>
      </c>
      <c r="B5988">
        <v>0.62</v>
      </c>
      <c r="C5988">
        <v>400</v>
      </c>
      <c r="D5988" s="9">
        <v>42499</v>
      </c>
      <c r="E5988" t="s">
        <v>295</v>
      </c>
      <c r="I5988" s="9"/>
    </row>
    <row r="5989" spans="1:9" x14ac:dyDescent="0.25">
      <c r="A5989">
        <v>650461</v>
      </c>
      <c r="B5989">
        <v>0.62</v>
      </c>
      <c r="C5989">
        <v>100</v>
      </c>
      <c r="D5989" s="9">
        <v>42451</v>
      </c>
      <c r="E5989" t="s">
        <v>295</v>
      </c>
      <c r="I5989" s="9"/>
    </row>
    <row r="5990" spans="1:9" x14ac:dyDescent="0.25">
      <c r="A5990">
        <v>650461</v>
      </c>
      <c r="B5990">
        <v>0.62</v>
      </c>
      <c r="C5990">
        <v>200</v>
      </c>
      <c r="D5990" s="9">
        <v>42341</v>
      </c>
      <c r="E5990" t="s">
        <v>295</v>
      </c>
      <c r="I5990" s="9"/>
    </row>
    <row r="5991" spans="1:9" x14ac:dyDescent="0.25">
      <c r="A5991">
        <v>650461</v>
      </c>
      <c r="B5991">
        <v>0.62</v>
      </c>
      <c r="C5991">
        <v>800</v>
      </c>
      <c r="D5991" s="9">
        <v>42285</v>
      </c>
      <c r="E5991" t="s">
        <v>295</v>
      </c>
      <c r="I5991" s="9"/>
    </row>
    <row r="5992" spans="1:9" x14ac:dyDescent="0.25">
      <c r="A5992">
        <v>650461</v>
      </c>
      <c r="B5992">
        <v>0.62</v>
      </c>
      <c r="C5992">
        <v>140</v>
      </c>
      <c r="D5992" s="9">
        <v>42265</v>
      </c>
      <c r="E5992" t="s">
        <v>295</v>
      </c>
      <c r="I5992" s="9"/>
    </row>
    <row r="5993" spans="1:9" x14ac:dyDescent="0.25">
      <c r="A5993">
        <v>650461</v>
      </c>
      <c r="B5993">
        <v>0.62</v>
      </c>
      <c r="C5993">
        <v>100</v>
      </c>
      <c r="D5993" s="9">
        <v>42212</v>
      </c>
      <c r="E5993" t="s">
        <v>295</v>
      </c>
      <c r="I5993" s="9"/>
    </row>
    <row r="5994" spans="1:9" x14ac:dyDescent="0.25">
      <c r="A5994">
        <v>650461</v>
      </c>
      <c r="B5994">
        <v>0.62</v>
      </c>
      <c r="C5994">
        <v>120</v>
      </c>
      <c r="D5994" s="9">
        <v>42174</v>
      </c>
      <c r="E5994" t="s">
        <v>295</v>
      </c>
      <c r="I5994" s="9"/>
    </row>
    <row r="5995" spans="1:9" x14ac:dyDescent="0.25">
      <c r="A5995">
        <v>650461</v>
      </c>
      <c r="B5995">
        <v>0.62</v>
      </c>
      <c r="C5995">
        <v>40</v>
      </c>
      <c r="D5995" s="9">
        <v>42143</v>
      </c>
      <c r="E5995" t="s">
        <v>295</v>
      </c>
      <c r="I5995" s="9"/>
    </row>
    <row r="5996" spans="1:9" x14ac:dyDescent="0.25">
      <c r="A5996">
        <v>650461</v>
      </c>
      <c r="B5996">
        <v>0.62</v>
      </c>
      <c r="C5996">
        <v>20</v>
      </c>
      <c r="D5996" s="9">
        <v>42081</v>
      </c>
      <c r="E5996" t="s">
        <v>295</v>
      </c>
      <c r="I5996" s="9"/>
    </row>
    <row r="5997" spans="1:9" x14ac:dyDescent="0.25">
      <c r="A5997">
        <v>650461</v>
      </c>
      <c r="B5997">
        <v>0.62</v>
      </c>
      <c r="C5997">
        <v>40</v>
      </c>
      <c r="D5997" s="9">
        <v>42080</v>
      </c>
      <c r="E5997" t="s">
        <v>295</v>
      </c>
      <c r="I5997" s="9"/>
    </row>
    <row r="5998" spans="1:9" x14ac:dyDescent="0.25">
      <c r="A5998">
        <v>650461</v>
      </c>
      <c r="B5998">
        <v>0.62</v>
      </c>
      <c r="C5998">
        <v>60</v>
      </c>
      <c r="D5998" s="9">
        <v>42068</v>
      </c>
      <c r="E5998" t="s">
        <v>295</v>
      </c>
      <c r="I5998" s="9"/>
    </row>
    <row r="5999" spans="1:9" x14ac:dyDescent="0.25">
      <c r="A5999">
        <v>650461</v>
      </c>
      <c r="B5999">
        <v>0.62</v>
      </c>
      <c r="C5999">
        <v>60</v>
      </c>
      <c r="D5999" s="9">
        <v>41921</v>
      </c>
      <c r="E5999" t="s">
        <v>295</v>
      </c>
      <c r="I5999" s="9"/>
    </row>
    <row r="6000" spans="1:9" x14ac:dyDescent="0.25">
      <c r="A6000">
        <v>650461</v>
      </c>
      <c r="B6000">
        <v>0.62</v>
      </c>
      <c r="C6000">
        <v>20</v>
      </c>
      <c r="D6000" s="9">
        <v>41892</v>
      </c>
      <c r="E6000" t="s">
        <v>295</v>
      </c>
      <c r="I6000" s="9"/>
    </row>
    <row r="6001" spans="1:9" x14ac:dyDescent="0.25">
      <c r="A6001">
        <v>650461</v>
      </c>
      <c r="B6001">
        <v>0.62</v>
      </c>
      <c r="C6001">
        <v>40</v>
      </c>
      <c r="D6001" s="9">
        <v>41794</v>
      </c>
      <c r="E6001" t="s">
        <v>295</v>
      </c>
      <c r="I6001" s="9"/>
    </row>
    <row r="6002" spans="1:9" x14ac:dyDescent="0.25">
      <c r="A6002">
        <v>650461</v>
      </c>
      <c r="B6002">
        <v>0.62</v>
      </c>
      <c r="C6002">
        <v>20</v>
      </c>
      <c r="D6002" s="9">
        <v>41718</v>
      </c>
      <c r="E6002" t="s">
        <v>295</v>
      </c>
      <c r="I6002" s="9"/>
    </row>
    <row r="6003" spans="1:9" x14ac:dyDescent="0.25">
      <c r="A6003">
        <v>650481</v>
      </c>
      <c r="B6003">
        <v>0.84</v>
      </c>
      <c r="C6003">
        <v>1300</v>
      </c>
      <c r="D6003" s="9">
        <v>44125</v>
      </c>
      <c r="E6003" t="s">
        <v>295</v>
      </c>
      <c r="I6003" s="9"/>
    </row>
    <row r="6004" spans="1:9" x14ac:dyDescent="0.25">
      <c r="A6004">
        <v>650481</v>
      </c>
      <c r="B6004">
        <v>0.84</v>
      </c>
      <c r="C6004">
        <v>300</v>
      </c>
      <c r="D6004" s="9">
        <v>44039</v>
      </c>
      <c r="E6004" t="s">
        <v>295</v>
      </c>
      <c r="I6004" s="9"/>
    </row>
    <row r="6005" spans="1:9" x14ac:dyDescent="0.25">
      <c r="A6005">
        <v>650481</v>
      </c>
      <c r="B6005">
        <v>0.84</v>
      </c>
      <c r="C6005">
        <v>200</v>
      </c>
      <c r="D6005" s="9">
        <v>43903</v>
      </c>
      <c r="E6005" t="s">
        <v>295</v>
      </c>
      <c r="I6005" s="9"/>
    </row>
    <row r="6006" spans="1:9" x14ac:dyDescent="0.25">
      <c r="A6006">
        <v>650481</v>
      </c>
      <c r="B6006">
        <v>0.84</v>
      </c>
      <c r="C6006">
        <v>520</v>
      </c>
      <c r="D6006" s="9">
        <v>43857</v>
      </c>
      <c r="E6006" t="s">
        <v>295</v>
      </c>
      <c r="I6006" s="9"/>
    </row>
    <row r="6007" spans="1:9" x14ac:dyDescent="0.25">
      <c r="A6007">
        <v>650481</v>
      </c>
      <c r="B6007">
        <v>0.84</v>
      </c>
      <c r="C6007">
        <v>200</v>
      </c>
      <c r="D6007" s="9">
        <v>43797</v>
      </c>
      <c r="E6007" t="s">
        <v>295</v>
      </c>
      <c r="I6007" s="9"/>
    </row>
    <row r="6008" spans="1:9" x14ac:dyDescent="0.25">
      <c r="A6008">
        <v>650481</v>
      </c>
      <c r="B6008">
        <v>0.84</v>
      </c>
      <c r="C6008">
        <v>1000</v>
      </c>
      <c r="D6008" s="9">
        <v>43746</v>
      </c>
      <c r="E6008" t="s">
        <v>295</v>
      </c>
      <c r="I6008" s="9"/>
    </row>
    <row r="6009" spans="1:9" x14ac:dyDescent="0.25">
      <c r="A6009">
        <v>650481</v>
      </c>
      <c r="B6009">
        <v>0.84</v>
      </c>
      <c r="C6009">
        <v>200</v>
      </c>
      <c r="D6009" s="9">
        <v>43721</v>
      </c>
      <c r="E6009" t="s">
        <v>295</v>
      </c>
      <c r="I6009" s="9"/>
    </row>
    <row r="6010" spans="1:9" x14ac:dyDescent="0.25">
      <c r="A6010">
        <v>650481</v>
      </c>
      <c r="B6010">
        <v>0.84</v>
      </c>
      <c r="C6010">
        <v>300</v>
      </c>
      <c r="D6010" s="9">
        <v>43656</v>
      </c>
      <c r="E6010" t="s">
        <v>295</v>
      </c>
      <c r="I6010" s="9"/>
    </row>
    <row r="6011" spans="1:9" x14ac:dyDescent="0.25">
      <c r="A6011">
        <v>650481</v>
      </c>
      <c r="B6011">
        <v>0.75</v>
      </c>
      <c r="C6011">
        <v>300</v>
      </c>
      <c r="D6011" s="9">
        <v>43580</v>
      </c>
      <c r="E6011" t="s">
        <v>295</v>
      </c>
      <c r="I6011" s="9"/>
    </row>
    <row r="6012" spans="1:9" x14ac:dyDescent="0.25">
      <c r="A6012">
        <v>650481</v>
      </c>
      <c r="B6012">
        <v>0.75</v>
      </c>
      <c r="C6012">
        <v>260</v>
      </c>
      <c r="D6012" s="9">
        <v>43556</v>
      </c>
      <c r="E6012" t="s">
        <v>295</v>
      </c>
      <c r="I6012" s="9"/>
    </row>
    <row r="6013" spans="1:9" x14ac:dyDescent="0.25">
      <c r="A6013">
        <v>650481</v>
      </c>
      <c r="B6013">
        <v>0.75</v>
      </c>
      <c r="C6013">
        <v>460</v>
      </c>
      <c r="D6013" s="9">
        <v>43518</v>
      </c>
      <c r="E6013" t="s">
        <v>295</v>
      </c>
      <c r="I6013" s="9"/>
    </row>
    <row r="6014" spans="1:9" x14ac:dyDescent="0.25">
      <c r="A6014">
        <v>650481</v>
      </c>
      <c r="B6014">
        <v>0.75</v>
      </c>
      <c r="C6014">
        <v>700</v>
      </c>
      <c r="D6014" s="9">
        <v>43448</v>
      </c>
      <c r="E6014" t="s">
        <v>295</v>
      </c>
      <c r="I6014" s="9"/>
    </row>
    <row r="6015" spans="1:9" x14ac:dyDescent="0.25">
      <c r="A6015">
        <v>650481</v>
      </c>
      <c r="B6015">
        <v>0.75</v>
      </c>
      <c r="C6015">
        <v>500</v>
      </c>
      <c r="D6015" s="9">
        <v>43287</v>
      </c>
      <c r="E6015" t="s">
        <v>295</v>
      </c>
      <c r="I6015" s="9"/>
    </row>
    <row r="6016" spans="1:9" x14ac:dyDescent="0.25">
      <c r="A6016">
        <v>650481</v>
      </c>
      <c r="B6016">
        <v>0.75</v>
      </c>
      <c r="C6016">
        <v>400</v>
      </c>
      <c r="D6016" s="9">
        <v>43257</v>
      </c>
      <c r="E6016" t="s">
        <v>295</v>
      </c>
      <c r="I6016" s="9"/>
    </row>
    <row r="6017" spans="1:9" x14ac:dyDescent="0.25">
      <c r="A6017">
        <v>650481</v>
      </c>
      <c r="B6017">
        <v>0.75</v>
      </c>
      <c r="C6017">
        <v>500</v>
      </c>
      <c r="D6017" s="9">
        <v>43229</v>
      </c>
      <c r="E6017" t="s">
        <v>295</v>
      </c>
      <c r="I6017" s="9"/>
    </row>
    <row r="6018" spans="1:9" x14ac:dyDescent="0.25">
      <c r="A6018">
        <v>650481</v>
      </c>
      <c r="B6018">
        <v>0.75</v>
      </c>
      <c r="C6018">
        <v>300</v>
      </c>
      <c r="D6018" s="9">
        <v>43181</v>
      </c>
      <c r="E6018" t="s">
        <v>295</v>
      </c>
      <c r="I6018" s="9"/>
    </row>
    <row r="6019" spans="1:9" x14ac:dyDescent="0.25">
      <c r="A6019">
        <v>650481</v>
      </c>
      <c r="B6019">
        <v>0.75</v>
      </c>
      <c r="C6019">
        <v>300</v>
      </c>
      <c r="D6019" s="9">
        <v>43164</v>
      </c>
      <c r="E6019" t="s">
        <v>295</v>
      </c>
      <c r="I6019" s="9"/>
    </row>
    <row r="6020" spans="1:9" x14ac:dyDescent="0.25">
      <c r="A6020">
        <v>650481</v>
      </c>
      <c r="B6020">
        <v>0.75</v>
      </c>
      <c r="C6020">
        <v>200</v>
      </c>
      <c r="D6020" s="9">
        <v>43108</v>
      </c>
      <c r="E6020" t="s">
        <v>295</v>
      </c>
      <c r="I6020" s="9"/>
    </row>
    <row r="6021" spans="1:9" x14ac:dyDescent="0.25">
      <c r="A6021">
        <v>650481</v>
      </c>
      <c r="B6021">
        <v>0.75</v>
      </c>
      <c r="C6021">
        <v>720</v>
      </c>
      <c r="D6021" s="9">
        <v>43066</v>
      </c>
      <c r="E6021" t="s">
        <v>295</v>
      </c>
      <c r="I6021" s="9"/>
    </row>
    <row r="6022" spans="1:9" x14ac:dyDescent="0.25">
      <c r="A6022">
        <v>650481</v>
      </c>
      <c r="B6022">
        <v>0.75</v>
      </c>
      <c r="C6022">
        <v>460</v>
      </c>
      <c r="D6022" s="9">
        <v>43019</v>
      </c>
      <c r="E6022" t="s">
        <v>295</v>
      </c>
      <c r="I6022" s="9"/>
    </row>
    <row r="6023" spans="1:9" x14ac:dyDescent="0.25">
      <c r="A6023">
        <v>650481</v>
      </c>
      <c r="B6023">
        <v>0.75</v>
      </c>
      <c r="C6023">
        <v>40</v>
      </c>
      <c r="D6023" s="9">
        <v>42978</v>
      </c>
      <c r="E6023" t="s">
        <v>295</v>
      </c>
      <c r="I6023" s="9"/>
    </row>
    <row r="6024" spans="1:9" x14ac:dyDescent="0.25">
      <c r="A6024">
        <v>650481</v>
      </c>
      <c r="B6024">
        <v>0.75</v>
      </c>
      <c r="C6024">
        <v>1000</v>
      </c>
      <c r="D6024" s="9">
        <v>42935</v>
      </c>
      <c r="E6024" t="s">
        <v>295</v>
      </c>
      <c r="I6024" s="9"/>
    </row>
    <row r="6025" spans="1:9" x14ac:dyDescent="0.25">
      <c r="A6025">
        <v>650481</v>
      </c>
      <c r="B6025">
        <v>0.75</v>
      </c>
      <c r="C6025">
        <v>500</v>
      </c>
      <c r="D6025" s="9">
        <v>42836</v>
      </c>
      <c r="E6025" t="s">
        <v>295</v>
      </c>
      <c r="I6025" s="9"/>
    </row>
    <row r="6026" spans="1:9" x14ac:dyDescent="0.25">
      <c r="A6026">
        <v>650481</v>
      </c>
      <c r="B6026">
        <v>0.75</v>
      </c>
      <c r="C6026">
        <v>200</v>
      </c>
      <c r="D6026" s="9">
        <v>42779</v>
      </c>
      <c r="E6026" t="s">
        <v>295</v>
      </c>
      <c r="I6026" s="9"/>
    </row>
    <row r="6027" spans="1:9" x14ac:dyDescent="0.25">
      <c r="A6027">
        <v>650481</v>
      </c>
      <c r="B6027">
        <v>0.75</v>
      </c>
      <c r="C6027">
        <v>470</v>
      </c>
      <c r="D6027" s="9">
        <v>42709</v>
      </c>
      <c r="E6027" t="s">
        <v>295</v>
      </c>
      <c r="I6027" s="9"/>
    </row>
    <row r="6028" spans="1:9" x14ac:dyDescent="0.25">
      <c r="A6028">
        <v>650481</v>
      </c>
      <c r="B6028">
        <v>0.75</v>
      </c>
      <c r="C6028">
        <v>60</v>
      </c>
      <c r="D6028" s="9">
        <v>42654</v>
      </c>
      <c r="E6028" t="s">
        <v>295</v>
      </c>
      <c r="I6028" s="9"/>
    </row>
    <row r="6029" spans="1:9" x14ac:dyDescent="0.25">
      <c r="A6029">
        <v>650481</v>
      </c>
      <c r="B6029">
        <v>0.75</v>
      </c>
      <c r="C6029">
        <v>740</v>
      </c>
      <c r="D6029" s="9">
        <v>42619</v>
      </c>
      <c r="E6029" t="s">
        <v>295</v>
      </c>
      <c r="I6029" s="9"/>
    </row>
    <row r="6030" spans="1:9" x14ac:dyDescent="0.25">
      <c r="A6030">
        <v>650481</v>
      </c>
      <c r="B6030">
        <v>0.75</v>
      </c>
      <c r="C6030">
        <v>200</v>
      </c>
      <c r="D6030" s="9">
        <v>42549</v>
      </c>
      <c r="E6030" t="s">
        <v>295</v>
      </c>
      <c r="I6030" s="9"/>
    </row>
    <row r="6031" spans="1:9" x14ac:dyDescent="0.25">
      <c r="A6031">
        <v>650481</v>
      </c>
      <c r="B6031">
        <v>0.75</v>
      </c>
      <c r="C6031">
        <v>100</v>
      </c>
      <c r="D6031" s="9">
        <v>42537</v>
      </c>
      <c r="E6031" t="s">
        <v>295</v>
      </c>
      <c r="I6031" s="9"/>
    </row>
    <row r="6032" spans="1:9" x14ac:dyDescent="0.25">
      <c r="A6032">
        <v>650481</v>
      </c>
      <c r="B6032">
        <v>0.75</v>
      </c>
      <c r="C6032">
        <v>400</v>
      </c>
      <c r="D6032" s="9">
        <v>42499</v>
      </c>
      <c r="E6032" t="s">
        <v>295</v>
      </c>
      <c r="I6032" s="9"/>
    </row>
    <row r="6033" spans="1:9" x14ac:dyDescent="0.25">
      <c r="A6033">
        <v>650481</v>
      </c>
      <c r="B6033">
        <v>0.75</v>
      </c>
      <c r="C6033">
        <v>40</v>
      </c>
      <c r="D6033" s="9">
        <v>42451</v>
      </c>
      <c r="E6033" t="s">
        <v>295</v>
      </c>
      <c r="I6033" s="9"/>
    </row>
    <row r="6034" spans="1:9" x14ac:dyDescent="0.25">
      <c r="A6034">
        <v>650481</v>
      </c>
      <c r="B6034">
        <v>0.75</v>
      </c>
      <c r="C6034">
        <v>260</v>
      </c>
      <c r="D6034" s="9">
        <v>42388</v>
      </c>
      <c r="E6034" t="s">
        <v>295</v>
      </c>
      <c r="I6034" s="9"/>
    </row>
    <row r="6035" spans="1:9" x14ac:dyDescent="0.25">
      <c r="A6035">
        <v>650481</v>
      </c>
      <c r="B6035">
        <v>0.75</v>
      </c>
      <c r="C6035">
        <v>200</v>
      </c>
      <c r="D6035" s="9">
        <v>42341</v>
      </c>
      <c r="E6035" t="s">
        <v>295</v>
      </c>
      <c r="I6035" s="9"/>
    </row>
    <row r="6036" spans="1:9" x14ac:dyDescent="0.25">
      <c r="A6036">
        <v>650481</v>
      </c>
      <c r="B6036">
        <v>0.75</v>
      </c>
      <c r="C6036">
        <v>800</v>
      </c>
      <c r="D6036" s="9">
        <v>42285</v>
      </c>
      <c r="E6036" t="s">
        <v>295</v>
      </c>
      <c r="I6036" s="9"/>
    </row>
    <row r="6037" spans="1:9" x14ac:dyDescent="0.25">
      <c r="A6037">
        <v>650481</v>
      </c>
      <c r="B6037">
        <v>0.75</v>
      </c>
      <c r="C6037">
        <v>60</v>
      </c>
      <c r="D6037" s="9">
        <v>42265</v>
      </c>
      <c r="E6037" t="s">
        <v>295</v>
      </c>
      <c r="I6037" s="9"/>
    </row>
    <row r="6038" spans="1:9" x14ac:dyDescent="0.25">
      <c r="A6038">
        <v>650481</v>
      </c>
      <c r="B6038">
        <v>0.75</v>
      </c>
      <c r="C6038">
        <v>80</v>
      </c>
      <c r="D6038" s="9">
        <v>42174</v>
      </c>
      <c r="E6038" t="s">
        <v>295</v>
      </c>
      <c r="I6038" s="9"/>
    </row>
    <row r="6039" spans="1:9" x14ac:dyDescent="0.25">
      <c r="A6039">
        <v>650481</v>
      </c>
      <c r="B6039">
        <v>0.75</v>
      </c>
      <c r="C6039">
        <v>40</v>
      </c>
      <c r="D6039" s="9">
        <v>42143</v>
      </c>
      <c r="E6039" t="s">
        <v>295</v>
      </c>
      <c r="I6039" s="9"/>
    </row>
    <row r="6040" spans="1:9" x14ac:dyDescent="0.25">
      <c r="A6040">
        <v>650481</v>
      </c>
      <c r="B6040">
        <v>0.75</v>
      </c>
      <c r="C6040">
        <v>40</v>
      </c>
      <c r="D6040" s="9">
        <v>42081</v>
      </c>
      <c r="E6040" t="s">
        <v>295</v>
      </c>
      <c r="I6040" s="9"/>
    </row>
    <row r="6041" spans="1:9" x14ac:dyDescent="0.25">
      <c r="A6041">
        <v>650481</v>
      </c>
      <c r="B6041">
        <v>0.75</v>
      </c>
      <c r="C6041">
        <v>40</v>
      </c>
      <c r="D6041" s="9">
        <v>42080</v>
      </c>
      <c r="E6041" t="s">
        <v>295</v>
      </c>
      <c r="I6041" s="9"/>
    </row>
    <row r="6042" spans="1:9" x14ac:dyDescent="0.25">
      <c r="A6042">
        <v>650481</v>
      </c>
      <c r="B6042">
        <v>0.75</v>
      </c>
      <c r="C6042">
        <v>40</v>
      </c>
      <c r="D6042" s="9">
        <v>42068</v>
      </c>
      <c r="E6042" t="s">
        <v>295</v>
      </c>
      <c r="I6042" s="9"/>
    </row>
    <row r="6043" spans="1:9" x14ac:dyDescent="0.25">
      <c r="A6043">
        <v>650481</v>
      </c>
      <c r="B6043">
        <v>0.75</v>
      </c>
      <c r="C6043">
        <v>20</v>
      </c>
      <c r="D6043" s="9">
        <v>41921</v>
      </c>
      <c r="E6043" t="s">
        <v>295</v>
      </c>
      <c r="I6043" s="9"/>
    </row>
    <row r="6044" spans="1:9" x14ac:dyDescent="0.25">
      <c r="A6044">
        <v>650481</v>
      </c>
      <c r="B6044">
        <v>0.75</v>
      </c>
      <c r="C6044">
        <v>20</v>
      </c>
      <c r="D6044" s="9">
        <v>41892</v>
      </c>
      <c r="E6044" t="s">
        <v>295</v>
      </c>
      <c r="I6044" s="9"/>
    </row>
    <row r="6045" spans="1:9" x14ac:dyDescent="0.25">
      <c r="A6045">
        <v>650481</v>
      </c>
      <c r="B6045">
        <v>0.75</v>
      </c>
      <c r="C6045">
        <v>40</v>
      </c>
      <c r="D6045" s="9">
        <v>41794</v>
      </c>
      <c r="E6045" t="s">
        <v>295</v>
      </c>
      <c r="I6045" s="9"/>
    </row>
    <row r="6046" spans="1:9" x14ac:dyDescent="0.25">
      <c r="A6046">
        <v>650481</v>
      </c>
      <c r="B6046">
        <v>0.75</v>
      </c>
      <c r="C6046">
        <v>80</v>
      </c>
      <c r="D6046" s="9">
        <v>41775</v>
      </c>
      <c r="E6046" t="s">
        <v>295</v>
      </c>
      <c r="I6046" s="9"/>
    </row>
    <row r="6047" spans="1:9" x14ac:dyDescent="0.25">
      <c r="A6047">
        <v>650481</v>
      </c>
      <c r="B6047">
        <v>0.75</v>
      </c>
      <c r="C6047">
        <v>20</v>
      </c>
      <c r="D6047" s="9">
        <v>41564</v>
      </c>
      <c r="E6047" t="s">
        <v>295</v>
      </c>
      <c r="I6047" s="9"/>
    </row>
    <row r="6048" spans="1:9" x14ac:dyDescent="0.25">
      <c r="A6048">
        <v>650499</v>
      </c>
      <c r="B6048">
        <v>1.02</v>
      </c>
      <c r="C6048">
        <v>1500</v>
      </c>
      <c r="D6048" s="9">
        <v>44125</v>
      </c>
      <c r="E6048" t="s">
        <v>295</v>
      </c>
      <c r="I6048" s="9"/>
    </row>
    <row r="6049" spans="1:9" x14ac:dyDescent="0.25">
      <c r="A6049">
        <v>650499</v>
      </c>
      <c r="B6049">
        <v>1.02</v>
      </c>
      <c r="C6049">
        <v>600</v>
      </c>
      <c r="D6049" s="9">
        <v>44039</v>
      </c>
      <c r="E6049" t="s">
        <v>295</v>
      </c>
      <c r="I6049" s="9"/>
    </row>
    <row r="6050" spans="1:9" x14ac:dyDescent="0.25">
      <c r="A6050">
        <v>650499</v>
      </c>
      <c r="B6050">
        <v>1.02</v>
      </c>
      <c r="C6050">
        <v>1300</v>
      </c>
      <c r="D6050" s="9">
        <v>43857</v>
      </c>
      <c r="E6050" t="s">
        <v>295</v>
      </c>
      <c r="I6050" s="9"/>
    </row>
    <row r="6051" spans="1:9" x14ac:dyDescent="0.25">
      <c r="A6051">
        <v>650499</v>
      </c>
      <c r="B6051">
        <v>1.02</v>
      </c>
      <c r="C6051">
        <v>1400</v>
      </c>
      <c r="D6051" s="9">
        <v>43746</v>
      </c>
      <c r="E6051" t="s">
        <v>295</v>
      </c>
      <c r="I6051" s="9"/>
    </row>
    <row r="6052" spans="1:9" x14ac:dyDescent="0.25">
      <c r="A6052">
        <v>650499</v>
      </c>
      <c r="B6052">
        <v>1.02</v>
      </c>
      <c r="C6052">
        <v>440</v>
      </c>
      <c r="D6052" s="9">
        <v>43656</v>
      </c>
      <c r="E6052" t="s">
        <v>295</v>
      </c>
      <c r="I6052" s="9"/>
    </row>
    <row r="6053" spans="1:9" x14ac:dyDescent="0.25">
      <c r="A6053">
        <v>650499</v>
      </c>
      <c r="B6053">
        <v>0.89</v>
      </c>
      <c r="C6053">
        <v>500</v>
      </c>
      <c r="D6053" s="9">
        <v>43580</v>
      </c>
      <c r="E6053" t="s">
        <v>295</v>
      </c>
      <c r="I6053" s="9"/>
    </row>
    <row r="6054" spans="1:9" x14ac:dyDescent="0.25">
      <c r="A6054">
        <v>650499</v>
      </c>
      <c r="B6054">
        <v>0.89</v>
      </c>
      <c r="C6054">
        <v>100</v>
      </c>
      <c r="D6054" s="9">
        <v>43556</v>
      </c>
      <c r="E6054" t="s">
        <v>295</v>
      </c>
      <c r="I6054" s="9"/>
    </row>
    <row r="6055" spans="1:9" x14ac:dyDescent="0.25">
      <c r="A6055">
        <v>650499</v>
      </c>
      <c r="B6055">
        <v>0.89</v>
      </c>
      <c r="C6055">
        <v>400</v>
      </c>
      <c r="D6055" s="9">
        <v>43518</v>
      </c>
      <c r="E6055" t="s">
        <v>295</v>
      </c>
      <c r="I6055" s="9"/>
    </row>
    <row r="6056" spans="1:9" x14ac:dyDescent="0.25">
      <c r="A6056">
        <v>650499</v>
      </c>
      <c r="B6056">
        <v>0.89</v>
      </c>
      <c r="C6056">
        <v>1200</v>
      </c>
      <c r="D6056" s="9">
        <v>43448</v>
      </c>
      <c r="E6056" t="s">
        <v>295</v>
      </c>
      <c r="I6056" s="9"/>
    </row>
    <row r="6057" spans="1:9" x14ac:dyDescent="0.25">
      <c r="A6057">
        <v>650499</v>
      </c>
      <c r="B6057">
        <v>0.89</v>
      </c>
      <c r="C6057">
        <v>1000</v>
      </c>
      <c r="D6057" s="9">
        <v>43374</v>
      </c>
      <c r="E6057" t="s">
        <v>295</v>
      </c>
      <c r="I6057" s="9"/>
    </row>
    <row r="6058" spans="1:9" x14ac:dyDescent="0.25">
      <c r="A6058">
        <v>650499</v>
      </c>
      <c r="B6058">
        <v>0.89</v>
      </c>
      <c r="C6058">
        <v>700</v>
      </c>
      <c r="D6058" s="9">
        <v>43287</v>
      </c>
      <c r="E6058" t="s">
        <v>295</v>
      </c>
      <c r="I6058" s="9"/>
    </row>
    <row r="6059" spans="1:9" x14ac:dyDescent="0.25">
      <c r="A6059">
        <v>650499</v>
      </c>
      <c r="B6059">
        <v>0.89</v>
      </c>
      <c r="C6059">
        <v>300</v>
      </c>
      <c r="D6059" s="9">
        <v>43257</v>
      </c>
      <c r="E6059" t="s">
        <v>295</v>
      </c>
      <c r="I6059" s="9"/>
    </row>
    <row r="6060" spans="1:9" x14ac:dyDescent="0.25">
      <c r="A6060">
        <v>650499</v>
      </c>
      <c r="B6060">
        <v>0.89</v>
      </c>
      <c r="C6060">
        <v>400</v>
      </c>
      <c r="D6060" s="9">
        <v>43229</v>
      </c>
      <c r="E6060" t="s">
        <v>295</v>
      </c>
      <c r="I6060" s="9"/>
    </row>
    <row r="6061" spans="1:9" x14ac:dyDescent="0.25">
      <c r="A6061">
        <v>650499</v>
      </c>
      <c r="B6061">
        <v>0.89</v>
      </c>
      <c r="C6061">
        <v>200</v>
      </c>
      <c r="D6061" s="9">
        <v>43181</v>
      </c>
      <c r="E6061" t="s">
        <v>295</v>
      </c>
      <c r="I6061" s="9"/>
    </row>
    <row r="6062" spans="1:9" x14ac:dyDescent="0.25">
      <c r="A6062">
        <v>650499</v>
      </c>
      <c r="B6062">
        <v>0.89</v>
      </c>
      <c r="C6062">
        <v>800</v>
      </c>
      <c r="D6062" s="9">
        <v>43164</v>
      </c>
      <c r="E6062" t="s">
        <v>295</v>
      </c>
      <c r="I6062" s="9"/>
    </row>
    <row r="6063" spans="1:9" x14ac:dyDescent="0.25">
      <c r="A6063">
        <v>650499</v>
      </c>
      <c r="B6063">
        <v>0.89</v>
      </c>
      <c r="C6063">
        <v>100</v>
      </c>
      <c r="D6063" s="9">
        <v>43108</v>
      </c>
      <c r="E6063" t="s">
        <v>295</v>
      </c>
      <c r="I6063" s="9"/>
    </row>
    <row r="6064" spans="1:9" x14ac:dyDescent="0.25">
      <c r="A6064">
        <v>650499</v>
      </c>
      <c r="B6064">
        <v>0.89</v>
      </c>
      <c r="C6064">
        <v>700</v>
      </c>
      <c r="D6064" s="9">
        <v>43066</v>
      </c>
      <c r="E6064" t="s">
        <v>295</v>
      </c>
      <c r="I6064" s="9"/>
    </row>
    <row r="6065" spans="1:9" x14ac:dyDescent="0.25">
      <c r="A6065">
        <v>650499</v>
      </c>
      <c r="B6065">
        <v>0.89</v>
      </c>
      <c r="C6065">
        <v>100</v>
      </c>
      <c r="D6065" s="9">
        <v>43027</v>
      </c>
      <c r="E6065" t="s">
        <v>295</v>
      </c>
      <c r="I6065" s="9"/>
    </row>
    <row r="6066" spans="1:9" x14ac:dyDescent="0.25">
      <c r="A6066">
        <v>650499</v>
      </c>
      <c r="B6066">
        <v>0.89</v>
      </c>
      <c r="C6066">
        <v>500</v>
      </c>
      <c r="D6066" s="9">
        <v>43019</v>
      </c>
      <c r="E6066" t="s">
        <v>295</v>
      </c>
      <c r="I6066" s="9"/>
    </row>
    <row r="6067" spans="1:9" x14ac:dyDescent="0.25">
      <c r="A6067">
        <v>650499</v>
      </c>
      <c r="B6067">
        <v>0.89</v>
      </c>
      <c r="C6067">
        <v>20</v>
      </c>
      <c r="D6067" s="9">
        <v>42978</v>
      </c>
      <c r="E6067" t="s">
        <v>295</v>
      </c>
      <c r="I6067" s="9"/>
    </row>
    <row r="6068" spans="1:9" x14ac:dyDescent="0.25">
      <c r="A6068">
        <v>650499</v>
      </c>
      <c r="B6068">
        <v>0.89</v>
      </c>
      <c r="C6068">
        <v>1100</v>
      </c>
      <c r="D6068" s="9">
        <v>42935</v>
      </c>
      <c r="E6068" t="s">
        <v>295</v>
      </c>
      <c r="I6068" s="9"/>
    </row>
    <row r="6069" spans="1:9" x14ac:dyDescent="0.25">
      <c r="A6069">
        <v>650499</v>
      </c>
      <c r="B6069">
        <v>0.89</v>
      </c>
      <c r="C6069">
        <v>50</v>
      </c>
      <c r="D6069" s="9">
        <v>42844</v>
      </c>
      <c r="E6069" t="s">
        <v>295</v>
      </c>
      <c r="I6069" s="9"/>
    </row>
    <row r="6070" spans="1:9" x14ac:dyDescent="0.25">
      <c r="A6070">
        <v>650499</v>
      </c>
      <c r="B6070">
        <v>0.89</v>
      </c>
      <c r="C6070">
        <v>600</v>
      </c>
      <c r="D6070" s="9">
        <v>42836</v>
      </c>
      <c r="E6070" t="s">
        <v>295</v>
      </c>
      <c r="I6070" s="9"/>
    </row>
    <row r="6071" spans="1:9" x14ac:dyDescent="0.25">
      <c r="A6071">
        <v>650499</v>
      </c>
      <c r="B6071">
        <v>0.89</v>
      </c>
      <c r="C6071">
        <v>300</v>
      </c>
      <c r="D6071" s="9">
        <v>42818</v>
      </c>
      <c r="E6071" t="s">
        <v>295</v>
      </c>
      <c r="I6071" s="9"/>
    </row>
    <row r="6072" spans="1:9" x14ac:dyDescent="0.25">
      <c r="A6072">
        <v>650499</v>
      </c>
      <c r="B6072">
        <v>0.89</v>
      </c>
      <c r="C6072">
        <v>200</v>
      </c>
      <c r="D6072" s="9">
        <v>42779</v>
      </c>
      <c r="E6072" t="s">
        <v>295</v>
      </c>
      <c r="I6072" s="9"/>
    </row>
    <row r="6073" spans="1:9" x14ac:dyDescent="0.25">
      <c r="A6073">
        <v>650499</v>
      </c>
      <c r="B6073">
        <v>0.89</v>
      </c>
      <c r="C6073">
        <v>40</v>
      </c>
      <c r="D6073" s="9">
        <v>42745</v>
      </c>
      <c r="E6073" t="s">
        <v>295</v>
      </c>
      <c r="I6073" s="9"/>
    </row>
    <row r="6074" spans="1:9" x14ac:dyDescent="0.25">
      <c r="A6074">
        <v>650499</v>
      </c>
      <c r="B6074">
        <v>0.89</v>
      </c>
      <c r="C6074">
        <v>1240</v>
      </c>
      <c r="D6074" s="9">
        <v>42619</v>
      </c>
      <c r="E6074" t="s">
        <v>295</v>
      </c>
      <c r="I6074" s="9"/>
    </row>
    <row r="6075" spans="1:9" x14ac:dyDescent="0.25">
      <c r="A6075">
        <v>650499</v>
      </c>
      <c r="B6075">
        <v>0.89</v>
      </c>
      <c r="C6075">
        <v>200</v>
      </c>
      <c r="D6075" s="9">
        <v>42549</v>
      </c>
      <c r="E6075" t="s">
        <v>295</v>
      </c>
      <c r="I6075" s="9"/>
    </row>
    <row r="6076" spans="1:9" x14ac:dyDescent="0.25">
      <c r="A6076">
        <v>650499</v>
      </c>
      <c r="B6076">
        <v>0.89</v>
      </c>
      <c r="C6076">
        <v>100</v>
      </c>
      <c r="D6076" s="9">
        <v>42537</v>
      </c>
      <c r="E6076" t="s">
        <v>295</v>
      </c>
      <c r="I6076" s="9"/>
    </row>
    <row r="6077" spans="1:9" x14ac:dyDescent="0.25">
      <c r="A6077">
        <v>650499</v>
      </c>
      <c r="B6077">
        <v>0.89</v>
      </c>
      <c r="C6077">
        <v>200</v>
      </c>
      <c r="D6077" s="9">
        <v>42499</v>
      </c>
      <c r="E6077" t="s">
        <v>295</v>
      </c>
      <c r="I6077" s="9"/>
    </row>
    <row r="6078" spans="1:9" x14ac:dyDescent="0.25">
      <c r="A6078">
        <v>650499</v>
      </c>
      <c r="B6078">
        <v>0.89</v>
      </c>
      <c r="C6078">
        <v>200</v>
      </c>
      <c r="D6078" s="9">
        <v>42451</v>
      </c>
      <c r="E6078" t="s">
        <v>295</v>
      </c>
      <c r="I6078" s="9"/>
    </row>
    <row r="6079" spans="1:9" x14ac:dyDescent="0.25">
      <c r="A6079">
        <v>650499</v>
      </c>
      <c r="B6079">
        <v>0.89</v>
      </c>
      <c r="C6079">
        <v>240</v>
      </c>
      <c r="D6079" s="9">
        <v>42439</v>
      </c>
      <c r="E6079" t="s">
        <v>295</v>
      </c>
      <c r="I6079" s="9"/>
    </row>
    <row r="6080" spans="1:9" x14ac:dyDescent="0.25">
      <c r="A6080">
        <v>650499</v>
      </c>
      <c r="B6080">
        <v>0.89</v>
      </c>
      <c r="C6080">
        <v>260</v>
      </c>
      <c r="D6080" s="9">
        <v>42388</v>
      </c>
      <c r="E6080" t="s">
        <v>295</v>
      </c>
      <c r="I6080" s="9"/>
    </row>
    <row r="6081" spans="1:9" x14ac:dyDescent="0.25">
      <c r="A6081">
        <v>650499</v>
      </c>
      <c r="B6081">
        <v>0.89</v>
      </c>
      <c r="C6081">
        <v>200</v>
      </c>
      <c r="D6081" s="9">
        <v>42341</v>
      </c>
      <c r="E6081" t="s">
        <v>295</v>
      </c>
      <c r="I6081" s="9"/>
    </row>
    <row r="6082" spans="1:9" x14ac:dyDescent="0.25">
      <c r="A6082">
        <v>650499</v>
      </c>
      <c r="B6082">
        <v>0.89</v>
      </c>
      <c r="C6082">
        <v>1000</v>
      </c>
      <c r="D6082" s="9">
        <v>42285</v>
      </c>
      <c r="E6082" t="s">
        <v>295</v>
      </c>
      <c r="I6082" s="9"/>
    </row>
    <row r="6083" spans="1:9" x14ac:dyDescent="0.25">
      <c r="A6083">
        <v>650499</v>
      </c>
      <c r="B6083">
        <v>0.89</v>
      </c>
      <c r="C6083">
        <v>120</v>
      </c>
      <c r="D6083" s="9">
        <v>42265</v>
      </c>
      <c r="E6083" t="s">
        <v>295</v>
      </c>
      <c r="I6083" s="9"/>
    </row>
    <row r="6084" spans="1:9" x14ac:dyDescent="0.25">
      <c r="A6084">
        <v>650499</v>
      </c>
      <c r="B6084">
        <v>0.89</v>
      </c>
      <c r="C6084">
        <v>100</v>
      </c>
      <c r="D6084" s="9">
        <v>42212</v>
      </c>
      <c r="E6084" t="s">
        <v>295</v>
      </c>
      <c r="I6084" s="9"/>
    </row>
    <row r="6085" spans="1:9" x14ac:dyDescent="0.25">
      <c r="A6085">
        <v>650499</v>
      </c>
      <c r="B6085">
        <v>0.89</v>
      </c>
      <c r="C6085">
        <v>140</v>
      </c>
      <c r="D6085" s="9">
        <v>42174</v>
      </c>
      <c r="E6085" t="s">
        <v>295</v>
      </c>
      <c r="I6085" s="9"/>
    </row>
    <row r="6086" spans="1:9" x14ac:dyDescent="0.25">
      <c r="A6086">
        <v>650499</v>
      </c>
      <c r="B6086">
        <v>0.89</v>
      </c>
      <c r="C6086">
        <v>80</v>
      </c>
      <c r="D6086" s="9">
        <v>42143</v>
      </c>
      <c r="E6086" t="s">
        <v>295</v>
      </c>
      <c r="I6086" s="9"/>
    </row>
    <row r="6087" spans="1:9" x14ac:dyDescent="0.25">
      <c r="A6087">
        <v>650499</v>
      </c>
      <c r="B6087">
        <v>0.89</v>
      </c>
      <c r="C6087">
        <v>40</v>
      </c>
      <c r="D6087" s="9">
        <v>42081</v>
      </c>
      <c r="E6087" t="s">
        <v>295</v>
      </c>
      <c r="I6087" s="9"/>
    </row>
    <row r="6088" spans="1:9" x14ac:dyDescent="0.25">
      <c r="A6088">
        <v>650499</v>
      </c>
      <c r="B6088">
        <v>0.89</v>
      </c>
      <c r="C6088">
        <v>40</v>
      </c>
      <c r="D6088" s="9">
        <v>42068</v>
      </c>
      <c r="E6088" t="s">
        <v>295</v>
      </c>
      <c r="I6088" s="9"/>
    </row>
    <row r="6089" spans="1:9" x14ac:dyDescent="0.25">
      <c r="A6089">
        <v>650499</v>
      </c>
      <c r="B6089">
        <v>0.89</v>
      </c>
      <c r="C6089">
        <v>20</v>
      </c>
      <c r="D6089" s="9">
        <v>41921</v>
      </c>
      <c r="E6089" t="s">
        <v>295</v>
      </c>
      <c r="I6089" s="9"/>
    </row>
    <row r="6090" spans="1:9" x14ac:dyDescent="0.25">
      <c r="A6090">
        <v>650499</v>
      </c>
      <c r="B6090">
        <v>0.89</v>
      </c>
      <c r="C6090">
        <v>40</v>
      </c>
      <c r="D6090" s="9">
        <v>41794</v>
      </c>
      <c r="E6090" t="s">
        <v>295</v>
      </c>
      <c r="I6090" s="9"/>
    </row>
    <row r="6091" spans="1:9" x14ac:dyDescent="0.25">
      <c r="A6091">
        <v>650499</v>
      </c>
      <c r="B6091">
        <v>0.89</v>
      </c>
      <c r="C6091">
        <v>80</v>
      </c>
      <c r="D6091" s="9">
        <v>41775</v>
      </c>
      <c r="E6091" t="s">
        <v>295</v>
      </c>
      <c r="I6091" s="9"/>
    </row>
    <row r="6092" spans="1:9" x14ac:dyDescent="0.25">
      <c r="A6092">
        <v>650499</v>
      </c>
      <c r="B6092">
        <v>0.89</v>
      </c>
      <c r="C6092">
        <v>60</v>
      </c>
      <c r="D6092" s="9">
        <v>41718</v>
      </c>
      <c r="E6092" t="s">
        <v>295</v>
      </c>
      <c r="I6092" s="9"/>
    </row>
    <row r="6093" spans="1:9" x14ac:dyDescent="0.25">
      <c r="A6093">
        <v>650499</v>
      </c>
      <c r="B6093">
        <v>0.89</v>
      </c>
      <c r="C6093">
        <v>15</v>
      </c>
      <c r="D6093" s="9">
        <v>41564</v>
      </c>
      <c r="E6093" t="s">
        <v>295</v>
      </c>
      <c r="I6093" s="9"/>
    </row>
    <row r="6094" spans="1:9" x14ac:dyDescent="0.25">
      <c r="A6094">
        <v>650515</v>
      </c>
      <c r="B6094">
        <v>1.19</v>
      </c>
      <c r="C6094">
        <v>100</v>
      </c>
      <c r="D6094" s="9">
        <v>42844</v>
      </c>
      <c r="E6094" t="s">
        <v>295</v>
      </c>
      <c r="I6094" s="9"/>
    </row>
    <row r="6095" spans="1:9" x14ac:dyDescent="0.25">
      <c r="A6095">
        <v>650525</v>
      </c>
      <c r="B6095">
        <v>1.6</v>
      </c>
      <c r="C6095">
        <v>100</v>
      </c>
      <c r="D6095" s="9">
        <v>42844</v>
      </c>
      <c r="E6095" t="s">
        <v>295</v>
      </c>
      <c r="I6095" s="9"/>
    </row>
    <row r="6096" spans="1:9" x14ac:dyDescent="0.25">
      <c r="A6096">
        <v>651000</v>
      </c>
      <c r="B6096">
        <v>2.64</v>
      </c>
      <c r="C6096">
        <v>1200</v>
      </c>
      <c r="D6096" s="9">
        <v>43551</v>
      </c>
      <c r="E6096" t="s">
        <v>295</v>
      </c>
      <c r="I6096" s="9"/>
    </row>
    <row r="6097" spans="1:9" x14ac:dyDescent="0.25">
      <c r="A6097">
        <v>651000</v>
      </c>
      <c r="B6097">
        <v>2</v>
      </c>
      <c r="C6097">
        <v>4000</v>
      </c>
      <c r="D6097" s="9">
        <v>43230</v>
      </c>
      <c r="E6097" t="s">
        <v>295</v>
      </c>
      <c r="I6097" s="9"/>
    </row>
    <row r="6098" spans="1:9" x14ac:dyDescent="0.25">
      <c r="A6098">
        <v>651000</v>
      </c>
      <c r="B6098">
        <v>0.53</v>
      </c>
      <c r="C6098">
        <v>4000</v>
      </c>
      <c r="D6098" s="9">
        <v>43199</v>
      </c>
      <c r="E6098" t="s">
        <v>296</v>
      </c>
      <c r="I6098" s="9"/>
    </row>
    <row r="6099" spans="1:9" x14ac:dyDescent="0.25">
      <c r="A6099">
        <v>651000</v>
      </c>
      <c r="B6099">
        <v>2.66</v>
      </c>
      <c r="C6099">
        <v>4480</v>
      </c>
      <c r="D6099" s="9">
        <v>43180</v>
      </c>
      <c r="E6099" t="s">
        <v>295</v>
      </c>
      <c r="I6099" s="9"/>
    </row>
    <row r="6100" spans="1:9" x14ac:dyDescent="0.25">
      <c r="A6100">
        <v>651000</v>
      </c>
      <c r="B6100">
        <v>2.5499999999999998</v>
      </c>
      <c r="C6100">
        <v>1520</v>
      </c>
      <c r="D6100" s="9">
        <v>43173</v>
      </c>
      <c r="E6100" t="s">
        <v>295</v>
      </c>
      <c r="I6100" s="9"/>
    </row>
    <row r="6101" spans="1:9" x14ac:dyDescent="0.25">
      <c r="A6101">
        <v>651000</v>
      </c>
      <c r="B6101">
        <v>2</v>
      </c>
      <c r="C6101">
        <v>2000</v>
      </c>
      <c r="D6101" s="9">
        <v>43138</v>
      </c>
      <c r="E6101" t="s">
        <v>295</v>
      </c>
      <c r="I6101" s="9"/>
    </row>
    <row r="6102" spans="1:9" x14ac:dyDescent="0.25">
      <c r="A6102">
        <v>651000</v>
      </c>
      <c r="B6102">
        <v>0.52</v>
      </c>
      <c r="C6102">
        <v>2000</v>
      </c>
      <c r="D6102" s="9">
        <v>43111</v>
      </c>
      <c r="E6102" t="s">
        <v>296</v>
      </c>
      <c r="I6102" s="9"/>
    </row>
    <row r="6103" spans="1:9" x14ac:dyDescent="0.25">
      <c r="A6103">
        <v>651000</v>
      </c>
      <c r="B6103">
        <v>0.48499999999999999</v>
      </c>
      <c r="C6103">
        <v>3000</v>
      </c>
      <c r="D6103" s="9">
        <v>43105</v>
      </c>
      <c r="E6103" t="s">
        <v>296</v>
      </c>
      <c r="I6103" s="9"/>
    </row>
    <row r="6104" spans="1:9" x14ac:dyDescent="0.25">
      <c r="A6104">
        <v>651000</v>
      </c>
      <c r="B6104">
        <v>0.5</v>
      </c>
      <c r="C6104">
        <v>5000</v>
      </c>
      <c r="D6104" s="9">
        <v>43017</v>
      </c>
      <c r="E6104" t="s">
        <v>296</v>
      </c>
      <c r="I6104" s="9"/>
    </row>
    <row r="6105" spans="1:9" x14ac:dyDescent="0.25">
      <c r="A6105">
        <v>651000</v>
      </c>
      <c r="B6105">
        <v>0.5</v>
      </c>
      <c r="C6105">
        <v>3200</v>
      </c>
      <c r="D6105" s="9">
        <v>42972</v>
      </c>
      <c r="E6105" t="s">
        <v>296</v>
      </c>
      <c r="I6105" s="9"/>
    </row>
    <row r="6106" spans="1:9" x14ac:dyDescent="0.25">
      <c r="A6106">
        <v>651000</v>
      </c>
      <c r="B6106">
        <v>3.01</v>
      </c>
      <c r="C6106">
        <v>1200</v>
      </c>
      <c r="D6106" s="9">
        <v>42954</v>
      </c>
      <c r="E6106" t="s">
        <v>295</v>
      </c>
      <c r="I6106" s="9"/>
    </row>
    <row r="6107" spans="1:9" x14ac:dyDescent="0.25">
      <c r="A6107">
        <v>651000</v>
      </c>
      <c r="B6107">
        <v>2.5499999999999998</v>
      </c>
      <c r="C6107">
        <v>2160</v>
      </c>
      <c r="D6107" s="9">
        <v>42933</v>
      </c>
      <c r="E6107" t="s">
        <v>295</v>
      </c>
      <c r="I6107" s="9"/>
    </row>
    <row r="6108" spans="1:9" x14ac:dyDescent="0.25">
      <c r="A6108">
        <v>651000</v>
      </c>
      <c r="B6108">
        <v>0.46500000000000002</v>
      </c>
      <c r="C6108">
        <v>3200</v>
      </c>
      <c r="D6108" s="9">
        <v>42905</v>
      </c>
      <c r="E6108" t="s">
        <v>296</v>
      </c>
      <c r="I6108" s="9"/>
    </row>
    <row r="6109" spans="1:9" x14ac:dyDescent="0.25">
      <c r="A6109">
        <v>651000</v>
      </c>
      <c r="B6109">
        <v>0.46500000000000002</v>
      </c>
      <c r="C6109">
        <v>1600</v>
      </c>
      <c r="D6109" s="9">
        <v>42781</v>
      </c>
      <c r="E6109" t="s">
        <v>296</v>
      </c>
      <c r="I6109" s="9"/>
    </row>
    <row r="6110" spans="1:9" x14ac:dyDescent="0.25">
      <c r="A6110">
        <v>651000</v>
      </c>
      <c r="B6110">
        <v>0.46500000000000002</v>
      </c>
      <c r="C6110">
        <v>1600</v>
      </c>
      <c r="D6110" s="9">
        <v>42781</v>
      </c>
      <c r="E6110" t="s">
        <v>296</v>
      </c>
      <c r="I6110" s="9"/>
    </row>
    <row r="6111" spans="1:9" x14ac:dyDescent="0.25">
      <c r="A6111">
        <v>651000</v>
      </c>
      <c r="B6111">
        <v>0.48</v>
      </c>
      <c r="C6111">
        <v>6000</v>
      </c>
      <c r="D6111" s="9">
        <v>42617</v>
      </c>
      <c r="E6111" t="s">
        <v>296</v>
      </c>
      <c r="I6111" s="9"/>
    </row>
    <row r="6112" spans="1:9" x14ac:dyDescent="0.25">
      <c r="A6112">
        <v>651000</v>
      </c>
      <c r="B6112">
        <v>0.49</v>
      </c>
      <c r="C6112">
        <v>7200</v>
      </c>
      <c r="D6112" s="9">
        <v>42530</v>
      </c>
      <c r="E6112" t="s">
        <v>296</v>
      </c>
      <c r="I6112" s="9"/>
    </row>
    <row r="6113" spans="1:9" x14ac:dyDescent="0.25">
      <c r="A6113">
        <v>651000</v>
      </c>
      <c r="B6113">
        <v>0.49</v>
      </c>
      <c r="C6113">
        <v>5000</v>
      </c>
      <c r="D6113" s="9">
        <v>42383</v>
      </c>
      <c r="E6113" t="s">
        <v>296</v>
      </c>
      <c r="I6113" s="9"/>
    </row>
    <row r="6114" spans="1:9" x14ac:dyDescent="0.25">
      <c r="A6114">
        <v>651000</v>
      </c>
      <c r="B6114">
        <v>0.49</v>
      </c>
      <c r="C6114">
        <v>2000</v>
      </c>
      <c r="D6114" s="9">
        <v>42321</v>
      </c>
      <c r="E6114" t="s">
        <v>296</v>
      </c>
      <c r="I6114" s="9"/>
    </row>
    <row r="6115" spans="1:9" x14ac:dyDescent="0.25">
      <c r="A6115">
        <v>651000</v>
      </c>
      <c r="B6115">
        <v>0.60599999999999998</v>
      </c>
      <c r="C6115">
        <v>2000</v>
      </c>
      <c r="D6115" s="9">
        <v>42233</v>
      </c>
      <c r="E6115" t="s">
        <v>297</v>
      </c>
      <c r="I6115" s="9"/>
    </row>
    <row r="6116" spans="1:9" x14ac:dyDescent="0.25">
      <c r="A6116">
        <v>651000</v>
      </c>
      <c r="B6116">
        <v>0.49</v>
      </c>
      <c r="C6116">
        <v>2000</v>
      </c>
      <c r="D6116" s="9">
        <v>42207</v>
      </c>
      <c r="E6116" t="s">
        <v>296</v>
      </c>
      <c r="I6116" s="9"/>
    </row>
    <row r="6117" spans="1:9" x14ac:dyDescent="0.25">
      <c r="A6117">
        <v>651000</v>
      </c>
      <c r="B6117">
        <v>0.67</v>
      </c>
      <c r="C6117">
        <v>4000</v>
      </c>
      <c r="D6117" s="9">
        <v>42206</v>
      </c>
      <c r="E6117" t="s">
        <v>297</v>
      </c>
      <c r="I6117" s="9"/>
    </row>
    <row r="6118" spans="1:9" x14ac:dyDescent="0.25">
      <c r="A6118">
        <v>651000</v>
      </c>
      <c r="B6118">
        <v>0.6</v>
      </c>
      <c r="C6118">
        <v>2000</v>
      </c>
      <c r="D6118" s="9">
        <v>42191</v>
      </c>
      <c r="E6118" t="s">
        <v>296</v>
      </c>
      <c r="I6118" s="9"/>
    </row>
    <row r="6119" spans="1:9" x14ac:dyDescent="0.25">
      <c r="A6119">
        <v>651000</v>
      </c>
      <c r="B6119">
        <v>0.6</v>
      </c>
      <c r="C6119">
        <v>2000</v>
      </c>
      <c r="D6119" s="9">
        <v>42144</v>
      </c>
      <c r="E6119" t="s">
        <v>296</v>
      </c>
      <c r="I6119" s="9"/>
    </row>
    <row r="6120" spans="1:9" x14ac:dyDescent="0.25">
      <c r="A6120">
        <v>651000</v>
      </c>
      <c r="B6120">
        <v>0.65900000000000003</v>
      </c>
      <c r="C6120">
        <v>4000</v>
      </c>
      <c r="D6120" s="9">
        <v>42012</v>
      </c>
      <c r="E6120" t="s">
        <v>296</v>
      </c>
      <c r="I6120" s="9"/>
    </row>
    <row r="6121" spans="1:9" x14ac:dyDescent="0.25">
      <c r="A6121">
        <v>651000</v>
      </c>
      <c r="B6121">
        <v>0.61</v>
      </c>
      <c r="C6121">
        <v>4000</v>
      </c>
      <c r="D6121" s="9">
        <v>41813</v>
      </c>
      <c r="E6121" t="s">
        <v>296</v>
      </c>
      <c r="I6121" s="9"/>
    </row>
    <row r="6122" spans="1:9" x14ac:dyDescent="0.25">
      <c r="A6122">
        <v>651000</v>
      </c>
      <c r="B6122">
        <v>0.61</v>
      </c>
      <c r="C6122">
        <v>6000</v>
      </c>
      <c r="D6122" s="9">
        <v>41789</v>
      </c>
      <c r="E6122" t="s">
        <v>296</v>
      </c>
      <c r="I6122" s="9"/>
    </row>
    <row r="6123" spans="1:9" x14ac:dyDescent="0.25">
      <c r="A6123">
        <v>651000</v>
      </c>
      <c r="B6123">
        <v>0.65900000000000003</v>
      </c>
      <c r="C6123">
        <v>5000</v>
      </c>
      <c r="D6123" s="9">
        <v>41744</v>
      </c>
      <c r="E6123" t="s">
        <v>296</v>
      </c>
      <c r="I6123" s="9"/>
    </row>
    <row r="6124" spans="1:9" x14ac:dyDescent="0.25">
      <c r="A6124">
        <v>651000</v>
      </c>
      <c r="B6124">
        <v>0.64500000000000002</v>
      </c>
      <c r="C6124">
        <v>3600</v>
      </c>
      <c r="D6124" s="9">
        <v>41718</v>
      </c>
      <c r="E6124" t="s">
        <v>296</v>
      </c>
      <c r="I6124" s="9"/>
    </row>
    <row r="6125" spans="1:9" x14ac:dyDescent="0.25">
      <c r="A6125">
        <v>651000</v>
      </c>
      <c r="B6125">
        <v>0.65</v>
      </c>
      <c r="C6125">
        <v>3600</v>
      </c>
      <c r="D6125" s="9">
        <v>41618</v>
      </c>
      <c r="E6125" t="s">
        <v>296</v>
      </c>
      <c r="I6125" s="9"/>
    </row>
    <row r="6126" spans="1:9" x14ac:dyDescent="0.25">
      <c r="A6126">
        <v>651000</v>
      </c>
      <c r="B6126">
        <v>0.68</v>
      </c>
      <c r="C6126">
        <v>2100</v>
      </c>
      <c r="D6126" s="9">
        <v>41592</v>
      </c>
      <c r="E6126" t="s">
        <v>296</v>
      </c>
      <c r="I6126" s="9"/>
    </row>
    <row r="6127" spans="1:9" x14ac:dyDescent="0.25">
      <c r="A6127">
        <v>651000</v>
      </c>
      <c r="B6127">
        <v>0.64</v>
      </c>
      <c r="C6127">
        <v>2600</v>
      </c>
      <c r="D6127" s="9">
        <v>41571</v>
      </c>
      <c r="E6127" t="s">
        <v>296</v>
      </c>
      <c r="I6127" s="9"/>
    </row>
    <row r="6128" spans="1:9" x14ac:dyDescent="0.25">
      <c r="A6128">
        <v>651000</v>
      </c>
      <c r="B6128">
        <v>0.68</v>
      </c>
      <c r="C6128">
        <v>1100</v>
      </c>
      <c r="D6128" s="9">
        <v>41571</v>
      </c>
      <c r="E6128" t="s">
        <v>296</v>
      </c>
      <c r="I6128" s="9"/>
    </row>
    <row r="6129" spans="1:9" x14ac:dyDescent="0.25">
      <c r="A6129">
        <v>651000</v>
      </c>
      <c r="B6129">
        <v>0.65</v>
      </c>
      <c r="C6129">
        <v>2600</v>
      </c>
      <c r="D6129" s="9">
        <v>41417</v>
      </c>
      <c r="E6129" t="s">
        <v>296</v>
      </c>
      <c r="I6129" s="9"/>
    </row>
    <row r="6130" spans="1:9" x14ac:dyDescent="0.25">
      <c r="A6130">
        <v>651000</v>
      </c>
      <c r="B6130">
        <v>0.65</v>
      </c>
      <c r="C6130">
        <v>1600</v>
      </c>
      <c r="D6130" s="9">
        <v>41366</v>
      </c>
      <c r="E6130" t="s">
        <v>296</v>
      </c>
      <c r="I6130" s="9"/>
    </row>
    <row r="6131" spans="1:9" x14ac:dyDescent="0.25">
      <c r="A6131">
        <v>651000</v>
      </c>
      <c r="B6131">
        <v>0.65</v>
      </c>
      <c r="C6131">
        <v>1950</v>
      </c>
      <c r="D6131" s="9">
        <v>41281</v>
      </c>
      <c r="E6131" t="s">
        <v>296</v>
      </c>
      <c r="I6131" s="9"/>
    </row>
    <row r="6132" spans="1:9" x14ac:dyDescent="0.25">
      <c r="A6132">
        <v>651100</v>
      </c>
      <c r="B6132">
        <v>0.47</v>
      </c>
      <c r="C6132">
        <v>4000</v>
      </c>
      <c r="D6132" s="9">
        <v>44039</v>
      </c>
      <c r="E6132" t="s">
        <v>296</v>
      </c>
      <c r="I6132" s="9"/>
    </row>
    <row r="6133" spans="1:9" x14ac:dyDescent="0.25">
      <c r="A6133">
        <v>651100</v>
      </c>
      <c r="B6133">
        <v>0.47</v>
      </c>
      <c r="C6133">
        <v>1600</v>
      </c>
      <c r="D6133" s="9">
        <v>43998</v>
      </c>
      <c r="E6133" t="s">
        <v>296</v>
      </c>
      <c r="I6133" s="9"/>
    </row>
    <row r="6134" spans="1:9" x14ac:dyDescent="0.25">
      <c r="A6134">
        <v>651100</v>
      </c>
      <c r="B6134">
        <v>0.5</v>
      </c>
      <c r="C6134">
        <v>4680</v>
      </c>
      <c r="D6134" s="9">
        <v>43955</v>
      </c>
      <c r="E6134" t="s">
        <v>296</v>
      </c>
      <c r="I6134" s="9"/>
    </row>
    <row r="6135" spans="1:9" x14ac:dyDescent="0.25">
      <c r="A6135">
        <v>651100</v>
      </c>
      <c r="B6135">
        <v>3.44</v>
      </c>
      <c r="C6135">
        <v>129</v>
      </c>
      <c r="D6135" s="9">
        <v>43913</v>
      </c>
      <c r="E6135" t="s">
        <v>295</v>
      </c>
      <c r="I6135" s="9"/>
    </row>
    <row r="6136" spans="1:9" x14ac:dyDescent="0.25">
      <c r="A6136">
        <v>651100</v>
      </c>
      <c r="B6136">
        <v>0.5</v>
      </c>
      <c r="C6136">
        <v>4680</v>
      </c>
      <c r="D6136" s="9">
        <v>43837</v>
      </c>
      <c r="E6136" t="s">
        <v>296</v>
      </c>
      <c r="I6136" s="9"/>
    </row>
    <row r="6137" spans="1:9" x14ac:dyDescent="0.25">
      <c r="A6137">
        <v>651100</v>
      </c>
      <c r="B6137">
        <v>0.5</v>
      </c>
      <c r="C6137">
        <v>3200</v>
      </c>
      <c r="D6137" s="9">
        <v>43760</v>
      </c>
      <c r="E6137" t="s">
        <v>296</v>
      </c>
      <c r="I6137" s="9"/>
    </row>
    <row r="6138" spans="1:9" x14ac:dyDescent="0.25">
      <c r="A6138">
        <v>651100</v>
      </c>
      <c r="B6138">
        <v>0.5</v>
      </c>
      <c r="C6138">
        <v>4000</v>
      </c>
      <c r="D6138" s="9">
        <v>43760</v>
      </c>
      <c r="E6138" t="s">
        <v>296</v>
      </c>
      <c r="I6138" s="9"/>
    </row>
    <row r="6139" spans="1:9" x14ac:dyDescent="0.25">
      <c r="A6139">
        <v>651100</v>
      </c>
      <c r="B6139">
        <v>0.5</v>
      </c>
      <c r="C6139">
        <v>2080</v>
      </c>
      <c r="D6139" s="9">
        <v>43598</v>
      </c>
      <c r="E6139" t="s">
        <v>296</v>
      </c>
      <c r="I6139" s="9"/>
    </row>
    <row r="6140" spans="1:9" x14ac:dyDescent="0.25">
      <c r="A6140">
        <v>651100</v>
      </c>
      <c r="B6140">
        <v>0.5</v>
      </c>
      <c r="C6140">
        <v>3920</v>
      </c>
      <c r="D6140" s="9">
        <v>43592</v>
      </c>
      <c r="E6140" t="s">
        <v>296</v>
      </c>
      <c r="I6140" s="9"/>
    </row>
    <row r="6141" spans="1:9" x14ac:dyDescent="0.25">
      <c r="A6141">
        <v>651100</v>
      </c>
      <c r="B6141">
        <v>0.5</v>
      </c>
      <c r="C6141">
        <v>4000</v>
      </c>
      <c r="D6141" s="9">
        <v>43284</v>
      </c>
      <c r="E6141" t="s">
        <v>296</v>
      </c>
      <c r="I6141" s="9"/>
    </row>
    <row r="6142" spans="1:9" x14ac:dyDescent="0.25">
      <c r="A6142">
        <v>651100</v>
      </c>
      <c r="B6142">
        <v>0.5</v>
      </c>
      <c r="C6142">
        <v>4000</v>
      </c>
      <c r="D6142" s="9">
        <v>43284</v>
      </c>
      <c r="E6142" t="s">
        <v>296</v>
      </c>
      <c r="I6142" s="9"/>
    </row>
    <row r="6143" spans="1:9" x14ac:dyDescent="0.25">
      <c r="A6143">
        <v>651100</v>
      </c>
      <c r="B6143">
        <v>0.505</v>
      </c>
      <c r="C6143">
        <v>3600</v>
      </c>
      <c r="D6143" s="9">
        <v>43244</v>
      </c>
      <c r="E6143" t="s">
        <v>296</v>
      </c>
      <c r="I6143" s="9"/>
    </row>
    <row r="6144" spans="1:9" x14ac:dyDescent="0.25">
      <c r="A6144">
        <v>651100</v>
      </c>
      <c r="B6144">
        <v>2.75</v>
      </c>
      <c r="C6144">
        <v>1600</v>
      </c>
      <c r="D6144" s="9">
        <v>43143</v>
      </c>
      <c r="E6144" t="s">
        <v>295</v>
      </c>
      <c r="I6144" s="9"/>
    </row>
    <row r="6145" spans="1:9" x14ac:dyDescent="0.25">
      <c r="A6145">
        <v>651100</v>
      </c>
      <c r="B6145">
        <v>0.48499999999999999</v>
      </c>
      <c r="C6145">
        <v>3600</v>
      </c>
      <c r="D6145" s="9">
        <v>43063</v>
      </c>
      <c r="E6145" t="s">
        <v>296</v>
      </c>
      <c r="I6145" s="9"/>
    </row>
    <row r="6146" spans="1:9" x14ac:dyDescent="0.25">
      <c r="A6146">
        <v>651100</v>
      </c>
      <c r="B6146">
        <v>0.505</v>
      </c>
      <c r="C6146">
        <v>480</v>
      </c>
      <c r="D6146" s="9">
        <v>42905</v>
      </c>
      <c r="E6146" t="s">
        <v>296</v>
      </c>
      <c r="I6146" s="9"/>
    </row>
    <row r="6147" spans="1:9" x14ac:dyDescent="0.25">
      <c r="A6147">
        <v>651100</v>
      </c>
      <c r="B6147">
        <v>0.48499999999999999</v>
      </c>
      <c r="C6147">
        <v>2880</v>
      </c>
      <c r="D6147" s="9">
        <v>42860</v>
      </c>
      <c r="E6147" t="s">
        <v>296</v>
      </c>
      <c r="I6147" s="9"/>
    </row>
    <row r="6148" spans="1:9" x14ac:dyDescent="0.25">
      <c r="A6148">
        <v>651100</v>
      </c>
      <c r="B6148">
        <v>0.60399999999999998</v>
      </c>
      <c r="C6148">
        <v>1400</v>
      </c>
      <c r="D6148" s="9">
        <v>42676</v>
      </c>
      <c r="E6148" t="s">
        <v>297</v>
      </c>
      <c r="I6148" s="9"/>
    </row>
    <row r="6149" spans="1:9" x14ac:dyDescent="0.25">
      <c r="A6149">
        <v>651100</v>
      </c>
      <c r="B6149">
        <v>0.505</v>
      </c>
      <c r="C6149">
        <v>2400</v>
      </c>
      <c r="D6149" s="9">
        <v>42656</v>
      </c>
      <c r="E6149" t="s">
        <v>296</v>
      </c>
      <c r="I6149" s="9"/>
    </row>
    <row r="6150" spans="1:9" x14ac:dyDescent="0.25">
      <c r="A6150">
        <v>651100</v>
      </c>
      <c r="B6150">
        <v>0.60399999999999998</v>
      </c>
      <c r="C6150">
        <v>3000</v>
      </c>
      <c r="D6150" s="9">
        <v>42285</v>
      </c>
      <c r="E6150" t="s">
        <v>297</v>
      </c>
      <c r="I6150" s="9"/>
    </row>
    <row r="6151" spans="1:9" x14ac:dyDescent="0.25">
      <c r="A6151">
        <v>651100</v>
      </c>
      <c r="B6151">
        <v>2.21</v>
      </c>
      <c r="C6151">
        <v>2000</v>
      </c>
      <c r="D6151" s="9">
        <v>41957</v>
      </c>
      <c r="E6151" t="s">
        <v>295</v>
      </c>
      <c r="I6151" s="9"/>
    </row>
    <row r="6152" spans="1:9" x14ac:dyDescent="0.25">
      <c r="A6152">
        <v>651100</v>
      </c>
      <c r="B6152">
        <v>2.21</v>
      </c>
      <c r="C6152">
        <v>2000</v>
      </c>
      <c r="D6152" s="9">
        <v>41957</v>
      </c>
      <c r="E6152" t="s">
        <v>295</v>
      </c>
      <c r="I6152" s="9"/>
    </row>
    <row r="6153" spans="1:9" x14ac:dyDescent="0.25">
      <c r="A6153">
        <v>651100</v>
      </c>
      <c r="B6153">
        <v>0.66400000000000003</v>
      </c>
      <c r="C6153">
        <v>2000</v>
      </c>
      <c r="D6153" s="9">
        <v>41912</v>
      </c>
      <c r="E6153" t="s">
        <v>296</v>
      </c>
      <c r="I6153" s="9"/>
    </row>
    <row r="6154" spans="1:9" x14ac:dyDescent="0.25">
      <c r="A6154">
        <v>651100</v>
      </c>
      <c r="B6154">
        <v>0.66400000000000003</v>
      </c>
      <c r="C6154">
        <v>2000</v>
      </c>
      <c r="D6154" s="9">
        <v>41912</v>
      </c>
      <c r="E6154" t="s">
        <v>296</v>
      </c>
      <c r="I6154" s="9"/>
    </row>
    <row r="6155" spans="1:9" x14ac:dyDescent="0.25">
      <c r="A6155">
        <v>651100</v>
      </c>
      <c r="B6155">
        <v>0.66500000000000004</v>
      </c>
      <c r="C6155">
        <v>1600</v>
      </c>
      <c r="D6155" s="9">
        <v>41718</v>
      </c>
      <c r="E6155" t="s">
        <v>296</v>
      </c>
      <c r="I6155" s="9"/>
    </row>
    <row r="6156" spans="1:9" x14ac:dyDescent="0.25">
      <c r="A6156">
        <v>651100</v>
      </c>
      <c r="B6156">
        <v>0.67</v>
      </c>
      <c r="C6156">
        <v>1600</v>
      </c>
      <c r="D6156" s="9">
        <v>41618</v>
      </c>
      <c r="E6156" t="s">
        <v>296</v>
      </c>
      <c r="I6156" s="9"/>
    </row>
    <row r="6157" spans="1:9" x14ac:dyDescent="0.25">
      <c r="A6157">
        <v>651100</v>
      </c>
      <c r="B6157">
        <v>0.67</v>
      </c>
      <c r="C6157">
        <v>1600</v>
      </c>
      <c r="D6157" s="9">
        <v>41571</v>
      </c>
      <c r="E6157" t="s">
        <v>296</v>
      </c>
      <c r="I6157" s="9"/>
    </row>
    <row r="6158" spans="1:9" x14ac:dyDescent="0.25">
      <c r="A6158">
        <v>651100</v>
      </c>
      <c r="B6158">
        <v>0.67</v>
      </c>
      <c r="C6158">
        <v>2600</v>
      </c>
      <c r="D6158" s="9">
        <v>41366</v>
      </c>
      <c r="E6158" t="s">
        <v>296</v>
      </c>
      <c r="I6158" s="9"/>
    </row>
    <row r="6159" spans="1:9" x14ac:dyDescent="0.25">
      <c r="A6159">
        <v>651100</v>
      </c>
      <c r="B6159">
        <v>0.67</v>
      </c>
      <c r="C6159">
        <v>3200</v>
      </c>
      <c r="D6159" s="9">
        <v>41281</v>
      </c>
      <c r="E6159" t="s">
        <v>296</v>
      </c>
      <c r="I6159" s="9"/>
    </row>
    <row r="6160" spans="1:9" x14ac:dyDescent="0.25">
      <c r="A6160">
        <v>651101</v>
      </c>
      <c r="B6160">
        <v>0.85</v>
      </c>
      <c r="C6160">
        <v>1200</v>
      </c>
      <c r="D6160" s="9">
        <v>43627</v>
      </c>
      <c r="E6160" t="s">
        <v>296</v>
      </c>
      <c r="I6160" s="9"/>
    </row>
    <row r="6161" spans="1:9" x14ac:dyDescent="0.25">
      <c r="A6161">
        <v>651101</v>
      </c>
      <c r="B6161">
        <v>0.85</v>
      </c>
      <c r="C6161">
        <v>1176</v>
      </c>
      <c r="D6161" s="9">
        <v>43489</v>
      </c>
      <c r="E6161" t="s">
        <v>296</v>
      </c>
      <c r="I6161" s="9"/>
    </row>
    <row r="6162" spans="1:9" x14ac:dyDescent="0.25">
      <c r="A6162">
        <v>651101</v>
      </c>
      <c r="B6162">
        <v>0.76</v>
      </c>
      <c r="C6162">
        <v>1200</v>
      </c>
      <c r="D6162" s="9">
        <v>43250</v>
      </c>
      <c r="E6162" t="s">
        <v>296</v>
      </c>
      <c r="I6162" s="9"/>
    </row>
    <row r="6163" spans="1:9" x14ac:dyDescent="0.25">
      <c r="A6163">
        <v>651105</v>
      </c>
      <c r="B6163">
        <v>0.78</v>
      </c>
      <c r="C6163">
        <v>1440</v>
      </c>
      <c r="D6163" s="9">
        <v>44068</v>
      </c>
      <c r="E6163" t="s">
        <v>296</v>
      </c>
      <c r="I6163" s="9"/>
    </row>
    <row r="6164" spans="1:9" x14ac:dyDescent="0.25">
      <c r="A6164">
        <v>651105</v>
      </c>
      <c r="B6164">
        <v>0.78</v>
      </c>
      <c r="C6164">
        <v>1680</v>
      </c>
      <c r="D6164" s="9">
        <v>43819</v>
      </c>
      <c r="E6164" t="s">
        <v>296</v>
      </c>
      <c r="I6164" s="9"/>
    </row>
    <row r="6165" spans="1:9" x14ac:dyDescent="0.25">
      <c r="A6165">
        <v>651105</v>
      </c>
      <c r="B6165">
        <v>0.8</v>
      </c>
      <c r="C6165">
        <v>2000</v>
      </c>
      <c r="D6165" s="9">
        <v>43381</v>
      </c>
      <c r="E6165" t="s">
        <v>296</v>
      </c>
      <c r="I6165" s="9"/>
    </row>
    <row r="6166" spans="1:9" x14ac:dyDescent="0.25">
      <c r="A6166">
        <v>651105</v>
      </c>
      <c r="B6166">
        <v>0.8</v>
      </c>
      <c r="C6166">
        <v>2000</v>
      </c>
      <c r="D6166" s="9">
        <v>43250</v>
      </c>
      <c r="E6166" t="s">
        <v>296</v>
      </c>
      <c r="I6166" s="9"/>
    </row>
    <row r="6167" spans="1:9" x14ac:dyDescent="0.25">
      <c r="A6167">
        <v>651105</v>
      </c>
      <c r="B6167">
        <v>0.8</v>
      </c>
      <c r="C6167">
        <v>1000</v>
      </c>
      <c r="D6167" s="9">
        <v>43228</v>
      </c>
      <c r="E6167" t="s">
        <v>296</v>
      </c>
      <c r="I6167" s="9"/>
    </row>
    <row r="6168" spans="1:9" x14ac:dyDescent="0.25">
      <c r="A6168">
        <v>651105</v>
      </c>
      <c r="B6168">
        <v>2.88</v>
      </c>
      <c r="C6168">
        <v>600</v>
      </c>
      <c r="D6168" s="9">
        <v>43123</v>
      </c>
      <c r="E6168" t="s">
        <v>295</v>
      </c>
      <c r="I6168" s="9"/>
    </row>
    <row r="6169" spans="1:9" x14ac:dyDescent="0.25">
      <c r="A6169">
        <v>651105</v>
      </c>
      <c r="B6169">
        <v>0.77</v>
      </c>
      <c r="C6169">
        <v>600</v>
      </c>
      <c r="D6169" s="9">
        <v>43067</v>
      </c>
      <c r="E6169" t="s">
        <v>296</v>
      </c>
      <c r="I6169" s="9"/>
    </row>
    <row r="6170" spans="1:9" x14ac:dyDescent="0.25">
      <c r="A6170">
        <v>651200</v>
      </c>
      <c r="B6170">
        <v>0.75</v>
      </c>
      <c r="C6170">
        <v>2880</v>
      </c>
      <c r="D6170" s="9">
        <v>44140</v>
      </c>
      <c r="E6170" t="s">
        <v>296</v>
      </c>
      <c r="I6170" s="9"/>
    </row>
    <row r="6171" spans="1:9" x14ac:dyDescent="0.25">
      <c r="A6171">
        <v>651200</v>
      </c>
      <c r="B6171">
        <v>0.73499999999999999</v>
      </c>
      <c r="C6171">
        <v>3520</v>
      </c>
      <c r="D6171" s="9">
        <v>44117</v>
      </c>
      <c r="E6171" t="s">
        <v>296</v>
      </c>
      <c r="I6171" s="9"/>
    </row>
    <row r="6172" spans="1:9" x14ac:dyDescent="0.25">
      <c r="A6172">
        <v>651200</v>
      </c>
      <c r="B6172">
        <v>0.73499999999999999</v>
      </c>
      <c r="C6172">
        <v>4760</v>
      </c>
      <c r="D6172" s="9">
        <v>43837</v>
      </c>
      <c r="E6172" t="s">
        <v>296</v>
      </c>
      <c r="I6172" s="9"/>
    </row>
    <row r="6173" spans="1:9" x14ac:dyDescent="0.25">
      <c r="A6173">
        <v>651200</v>
      </c>
      <c r="B6173">
        <v>0.73499999999999999</v>
      </c>
      <c r="C6173">
        <v>2800</v>
      </c>
      <c r="D6173" s="9">
        <v>43819</v>
      </c>
      <c r="E6173" t="s">
        <v>296</v>
      </c>
      <c r="I6173" s="9"/>
    </row>
    <row r="6174" spans="1:9" x14ac:dyDescent="0.25">
      <c r="A6174">
        <v>651200</v>
      </c>
      <c r="B6174">
        <v>0.73499999999999999</v>
      </c>
      <c r="C6174">
        <v>3400</v>
      </c>
      <c r="D6174" s="9">
        <v>43592</v>
      </c>
      <c r="E6174" t="s">
        <v>296</v>
      </c>
      <c r="I6174" s="9"/>
    </row>
    <row r="6175" spans="1:9" x14ac:dyDescent="0.25">
      <c r="A6175">
        <v>651200</v>
      </c>
      <c r="B6175">
        <v>0.7</v>
      </c>
      <c r="C6175">
        <v>2960</v>
      </c>
      <c r="D6175" s="9">
        <v>43409</v>
      </c>
      <c r="E6175" t="s">
        <v>296</v>
      </c>
      <c r="I6175" s="9"/>
    </row>
    <row r="6176" spans="1:9" x14ac:dyDescent="0.25">
      <c r="A6176">
        <v>651200</v>
      </c>
      <c r="B6176">
        <v>0.73499999999999999</v>
      </c>
      <c r="C6176">
        <v>3400</v>
      </c>
      <c r="D6176" s="9">
        <v>43250</v>
      </c>
      <c r="E6176" t="s">
        <v>296</v>
      </c>
      <c r="I6176" s="9"/>
    </row>
    <row r="6177" spans="1:9" x14ac:dyDescent="0.25">
      <c r="A6177">
        <v>651200</v>
      </c>
      <c r="B6177">
        <v>0.745</v>
      </c>
      <c r="C6177">
        <v>1400</v>
      </c>
      <c r="D6177" s="9">
        <v>43228</v>
      </c>
      <c r="E6177" t="s">
        <v>296</v>
      </c>
      <c r="I6177" s="9"/>
    </row>
    <row r="6178" spans="1:9" x14ac:dyDescent="0.25">
      <c r="A6178">
        <v>651200</v>
      </c>
      <c r="B6178">
        <v>0.67700000000000005</v>
      </c>
      <c r="C6178">
        <v>1200</v>
      </c>
      <c r="D6178" s="9">
        <v>43116</v>
      </c>
      <c r="E6178" t="s">
        <v>296</v>
      </c>
      <c r="I6178" s="9"/>
    </row>
    <row r="6179" spans="1:9" x14ac:dyDescent="0.25">
      <c r="A6179">
        <v>651200</v>
      </c>
      <c r="B6179">
        <v>0.745</v>
      </c>
      <c r="C6179">
        <v>1400</v>
      </c>
      <c r="D6179" s="9">
        <v>43105</v>
      </c>
      <c r="E6179" t="s">
        <v>296</v>
      </c>
      <c r="I6179" s="9"/>
    </row>
    <row r="6180" spans="1:9" x14ac:dyDescent="0.25">
      <c r="A6180">
        <v>651200</v>
      </c>
      <c r="B6180">
        <v>0.745</v>
      </c>
      <c r="C6180">
        <v>1400</v>
      </c>
      <c r="D6180" s="9">
        <v>42976</v>
      </c>
      <c r="E6180" t="s">
        <v>296</v>
      </c>
      <c r="I6180" s="9"/>
    </row>
    <row r="6181" spans="1:9" x14ac:dyDescent="0.25">
      <c r="A6181">
        <v>651200</v>
      </c>
      <c r="B6181">
        <v>0.745</v>
      </c>
      <c r="C6181">
        <v>1400</v>
      </c>
      <c r="D6181" s="9">
        <v>42905</v>
      </c>
      <c r="E6181" t="s">
        <v>296</v>
      </c>
      <c r="I6181" s="9"/>
    </row>
    <row r="6182" spans="1:9" x14ac:dyDescent="0.25">
      <c r="A6182">
        <v>651200</v>
      </c>
      <c r="B6182">
        <v>0.745</v>
      </c>
      <c r="C6182">
        <v>2600</v>
      </c>
      <c r="D6182" s="9">
        <v>42781</v>
      </c>
      <c r="E6182" t="s">
        <v>296</v>
      </c>
      <c r="I6182" s="9"/>
    </row>
    <row r="6183" spans="1:9" x14ac:dyDescent="0.25">
      <c r="A6183">
        <v>651200</v>
      </c>
      <c r="B6183">
        <v>0.745</v>
      </c>
      <c r="C6183">
        <v>3124</v>
      </c>
      <c r="D6183" s="9">
        <v>42494</v>
      </c>
      <c r="E6183" t="s">
        <v>296</v>
      </c>
      <c r="I6183" s="9"/>
    </row>
    <row r="6184" spans="1:9" x14ac:dyDescent="0.25">
      <c r="A6184">
        <v>651200</v>
      </c>
      <c r="B6184">
        <v>0.78</v>
      </c>
      <c r="C6184">
        <v>2400</v>
      </c>
      <c r="D6184" s="9">
        <v>42397</v>
      </c>
      <c r="E6184" t="s">
        <v>296</v>
      </c>
      <c r="I6184" s="9"/>
    </row>
    <row r="6185" spans="1:9" x14ac:dyDescent="0.25">
      <c r="A6185">
        <v>651200</v>
      </c>
      <c r="B6185">
        <v>0.78</v>
      </c>
      <c r="C6185">
        <v>4000</v>
      </c>
      <c r="D6185" s="9">
        <v>42139</v>
      </c>
      <c r="E6185" t="s">
        <v>296</v>
      </c>
      <c r="I6185" s="9"/>
    </row>
    <row r="6186" spans="1:9" x14ac:dyDescent="0.25">
      <c r="A6186">
        <v>651200</v>
      </c>
      <c r="B6186">
        <v>0.80200000000000005</v>
      </c>
      <c r="C6186">
        <v>520</v>
      </c>
      <c r="D6186" s="9">
        <v>41961</v>
      </c>
      <c r="E6186" t="s">
        <v>296</v>
      </c>
      <c r="I6186" s="9"/>
    </row>
    <row r="6187" spans="1:9" x14ac:dyDescent="0.25">
      <c r="A6187">
        <v>651200</v>
      </c>
      <c r="B6187">
        <v>0.80200000000000005</v>
      </c>
      <c r="C6187">
        <v>4000</v>
      </c>
      <c r="D6187" s="9">
        <v>41961</v>
      </c>
      <c r="E6187" t="s">
        <v>296</v>
      </c>
      <c r="I6187" s="9"/>
    </row>
    <row r="6188" spans="1:9" x14ac:dyDescent="0.25">
      <c r="A6188">
        <v>651200</v>
      </c>
      <c r="B6188">
        <v>2.67</v>
      </c>
      <c r="C6188">
        <v>3480</v>
      </c>
      <c r="D6188" s="9">
        <v>41957</v>
      </c>
      <c r="E6188" t="s">
        <v>295</v>
      </c>
      <c r="I6188" s="9"/>
    </row>
    <row r="6189" spans="1:9" x14ac:dyDescent="0.25">
      <c r="A6189">
        <v>651200</v>
      </c>
      <c r="B6189">
        <v>0.80200000000000005</v>
      </c>
      <c r="C6189">
        <v>3480</v>
      </c>
      <c r="D6189" s="9">
        <v>41912</v>
      </c>
      <c r="E6189" t="s">
        <v>296</v>
      </c>
      <c r="I6189" s="9"/>
    </row>
    <row r="6190" spans="1:9" x14ac:dyDescent="0.25">
      <c r="A6190">
        <v>651200</v>
      </c>
      <c r="B6190">
        <v>0.80200000000000005</v>
      </c>
      <c r="C6190">
        <v>4000</v>
      </c>
      <c r="D6190" s="9">
        <v>41786</v>
      </c>
      <c r="E6190" t="s">
        <v>296</v>
      </c>
      <c r="I6190" s="9"/>
    </row>
    <row r="6191" spans="1:9" x14ac:dyDescent="0.25">
      <c r="A6191">
        <v>651200</v>
      </c>
      <c r="B6191">
        <v>0.78600000000000003</v>
      </c>
      <c r="C6191">
        <v>4000</v>
      </c>
      <c r="D6191" s="9">
        <v>41682</v>
      </c>
      <c r="E6191" t="s">
        <v>296</v>
      </c>
      <c r="I6191" s="9"/>
    </row>
    <row r="6192" spans="1:9" x14ac:dyDescent="0.25">
      <c r="A6192">
        <v>651200</v>
      </c>
      <c r="B6192">
        <v>0.78</v>
      </c>
      <c r="C6192">
        <v>3000</v>
      </c>
      <c r="D6192" s="9">
        <v>41571</v>
      </c>
      <c r="E6192" t="s">
        <v>296</v>
      </c>
      <c r="I6192" s="9"/>
    </row>
    <row r="6193" spans="1:9" x14ac:dyDescent="0.25">
      <c r="A6193">
        <v>651200</v>
      </c>
      <c r="B6193">
        <v>0.78</v>
      </c>
      <c r="C6193">
        <v>4000</v>
      </c>
      <c r="D6193" s="9">
        <v>41366</v>
      </c>
      <c r="E6193" t="s">
        <v>296</v>
      </c>
      <c r="I6193" s="9"/>
    </row>
    <row r="6194" spans="1:9" x14ac:dyDescent="0.25">
      <c r="A6194">
        <v>651200</v>
      </c>
      <c r="B6194">
        <v>0.78</v>
      </c>
      <c r="C6194">
        <v>4800</v>
      </c>
      <c r="D6194" s="9">
        <v>41281</v>
      </c>
      <c r="E6194" t="s">
        <v>296</v>
      </c>
      <c r="I6194" s="9"/>
    </row>
    <row r="6195" spans="1:9" x14ac:dyDescent="0.25">
      <c r="A6195">
        <v>651201</v>
      </c>
      <c r="B6195">
        <v>1.1000000000000001</v>
      </c>
      <c r="C6195">
        <v>600</v>
      </c>
      <c r="D6195" s="9">
        <v>44117</v>
      </c>
      <c r="E6195" t="s">
        <v>296</v>
      </c>
      <c r="I6195" s="9"/>
    </row>
    <row r="6196" spans="1:9" x14ac:dyDescent="0.25">
      <c r="A6196">
        <v>651201</v>
      </c>
      <c r="B6196">
        <v>1.1499999999999999</v>
      </c>
      <c r="C6196">
        <v>600</v>
      </c>
      <c r="D6196" s="9">
        <v>43250</v>
      </c>
      <c r="E6196" t="s">
        <v>296</v>
      </c>
      <c r="I6196" s="9"/>
    </row>
    <row r="6197" spans="1:9" x14ac:dyDescent="0.25">
      <c r="A6197">
        <v>651201</v>
      </c>
      <c r="B6197">
        <v>1.08</v>
      </c>
      <c r="C6197">
        <v>600</v>
      </c>
      <c r="D6197" s="9">
        <v>42696</v>
      </c>
      <c r="E6197" t="s">
        <v>296</v>
      </c>
      <c r="I6197" s="9"/>
    </row>
    <row r="6198" spans="1:9" x14ac:dyDescent="0.25">
      <c r="A6198">
        <v>651207</v>
      </c>
      <c r="B6198">
        <v>0.63</v>
      </c>
      <c r="C6198">
        <v>1152</v>
      </c>
      <c r="D6198" s="9">
        <v>43845</v>
      </c>
      <c r="E6198" t="s">
        <v>296</v>
      </c>
      <c r="I6198" s="9"/>
    </row>
    <row r="6199" spans="1:9" x14ac:dyDescent="0.25">
      <c r="A6199">
        <v>651207</v>
      </c>
      <c r="B6199">
        <v>0.63</v>
      </c>
      <c r="C6199">
        <v>2160</v>
      </c>
      <c r="D6199" s="9">
        <v>43592</v>
      </c>
      <c r="E6199" t="s">
        <v>296</v>
      </c>
      <c r="I6199" s="9"/>
    </row>
    <row r="6200" spans="1:9" x14ac:dyDescent="0.25">
      <c r="A6200">
        <v>651207</v>
      </c>
      <c r="B6200">
        <v>0.63</v>
      </c>
      <c r="C6200">
        <v>1512</v>
      </c>
      <c r="D6200" s="9">
        <v>43489</v>
      </c>
      <c r="E6200" t="s">
        <v>296</v>
      </c>
      <c r="I6200" s="9"/>
    </row>
    <row r="6201" spans="1:9" x14ac:dyDescent="0.25">
      <c r="A6201">
        <v>651207</v>
      </c>
      <c r="B6201">
        <v>0.63</v>
      </c>
      <c r="C6201">
        <v>2100</v>
      </c>
      <c r="D6201" s="9">
        <v>43250</v>
      </c>
      <c r="E6201" t="s">
        <v>296</v>
      </c>
      <c r="I6201" s="9"/>
    </row>
    <row r="6202" spans="1:9" x14ac:dyDescent="0.25">
      <c r="A6202">
        <v>651207</v>
      </c>
      <c r="B6202">
        <v>0.58499999999999996</v>
      </c>
      <c r="C6202">
        <v>2400</v>
      </c>
      <c r="D6202" s="9">
        <v>42781</v>
      </c>
      <c r="E6202" t="s">
        <v>296</v>
      </c>
      <c r="I6202" s="9"/>
    </row>
    <row r="6203" spans="1:9" x14ac:dyDescent="0.25">
      <c r="A6203">
        <v>651300</v>
      </c>
      <c r="B6203">
        <v>1.9</v>
      </c>
      <c r="C6203">
        <v>1440</v>
      </c>
      <c r="D6203" s="9">
        <v>44140</v>
      </c>
      <c r="E6203" t="s">
        <v>296</v>
      </c>
      <c r="I6203" s="9"/>
    </row>
    <row r="6204" spans="1:9" x14ac:dyDescent="0.25">
      <c r="A6204">
        <v>651300</v>
      </c>
      <c r="B6204">
        <v>1.85</v>
      </c>
      <c r="C6204">
        <v>1700</v>
      </c>
      <c r="D6204" s="9">
        <v>44039</v>
      </c>
      <c r="E6204" t="s">
        <v>296</v>
      </c>
      <c r="I6204" s="9"/>
    </row>
    <row r="6205" spans="1:9" x14ac:dyDescent="0.25">
      <c r="A6205">
        <v>651300</v>
      </c>
      <c r="B6205">
        <v>1.85</v>
      </c>
      <c r="C6205">
        <v>1200</v>
      </c>
      <c r="D6205" s="9">
        <v>43991</v>
      </c>
      <c r="E6205" t="s">
        <v>296</v>
      </c>
      <c r="I6205" s="9"/>
    </row>
    <row r="6206" spans="1:9" x14ac:dyDescent="0.25">
      <c r="A6206">
        <v>651300</v>
      </c>
      <c r="B6206">
        <v>1.85</v>
      </c>
      <c r="C6206">
        <v>500</v>
      </c>
      <c r="D6206" s="9">
        <v>43769</v>
      </c>
      <c r="E6206" t="s">
        <v>296</v>
      </c>
      <c r="I6206" s="9"/>
    </row>
    <row r="6207" spans="1:9" x14ac:dyDescent="0.25">
      <c r="A6207">
        <v>651300</v>
      </c>
      <c r="B6207">
        <v>1.95</v>
      </c>
      <c r="C6207">
        <v>800</v>
      </c>
      <c r="D6207" s="9">
        <v>43684</v>
      </c>
      <c r="E6207" t="s">
        <v>296</v>
      </c>
      <c r="I6207" s="9"/>
    </row>
    <row r="6208" spans="1:9" x14ac:dyDescent="0.25">
      <c r="A6208">
        <v>651300</v>
      </c>
      <c r="B6208">
        <v>1.95</v>
      </c>
      <c r="C6208">
        <v>1600</v>
      </c>
      <c r="D6208" s="9">
        <v>43592</v>
      </c>
      <c r="E6208" t="s">
        <v>296</v>
      </c>
      <c r="I6208" s="9"/>
    </row>
    <row r="6209" spans="1:9" x14ac:dyDescent="0.25">
      <c r="A6209">
        <v>651300</v>
      </c>
      <c r="B6209">
        <v>1.85</v>
      </c>
      <c r="C6209">
        <v>800</v>
      </c>
      <c r="D6209" s="9">
        <v>43409</v>
      </c>
      <c r="E6209" t="s">
        <v>296</v>
      </c>
      <c r="I6209" s="9"/>
    </row>
    <row r="6210" spans="1:9" x14ac:dyDescent="0.25">
      <c r="A6210">
        <v>651300</v>
      </c>
      <c r="B6210">
        <v>1.85</v>
      </c>
      <c r="C6210">
        <v>800</v>
      </c>
      <c r="D6210" s="9">
        <v>43391</v>
      </c>
      <c r="E6210" t="s">
        <v>296</v>
      </c>
      <c r="I6210" s="9"/>
    </row>
    <row r="6211" spans="1:9" x14ac:dyDescent="0.25">
      <c r="A6211">
        <v>651300</v>
      </c>
      <c r="B6211">
        <v>1.95</v>
      </c>
      <c r="C6211">
        <v>1600</v>
      </c>
      <c r="D6211" s="9">
        <v>43381</v>
      </c>
      <c r="E6211" t="s">
        <v>296</v>
      </c>
      <c r="I6211" s="9"/>
    </row>
    <row r="6212" spans="1:9" x14ac:dyDescent="0.25">
      <c r="A6212">
        <v>651300</v>
      </c>
      <c r="B6212">
        <v>1.95</v>
      </c>
      <c r="C6212">
        <v>1400</v>
      </c>
      <c r="D6212" s="9">
        <v>43284</v>
      </c>
      <c r="E6212" t="s">
        <v>296</v>
      </c>
      <c r="I6212" s="9"/>
    </row>
    <row r="6213" spans="1:9" x14ac:dyDescent="0.25">
      <c r="A6213">
        <v>651300</v>
      </c>
      <c r="B6213">
        <v>1.98</v>
      </c>
      <c r="C6213">
        <v>1400</v>
      </c>
      <c r="D6213" s="9">
        <v>43228</v>
      </c>
      <c r="E6213" t="s">
        <v>296</v>
      </c>
      <c r="I6213" s="9"/>
    </row>
    <row r="6214" spans="1:9" x14ac:dyDescent="0.25">
      <c r="A6214">
        <v>651300</v>
      </c>
      <c r="B6214">
        <v>7.32</v>
      </c>
      <c r="C6214">
        <v>1400</v>
      </c>
      <c r="D6214" s="9">
        <v>43123</v>
      </c>
      <c r="E6214" t="s">
        <v>295</v>
      </c>
      <c r="I6214" s="9"/>
    </row>
    <row r="6215" spans="1:9" x14ac:dyDescent="0.25">
      <c r="A6215">
        <v>651300</v>
      </c>
      <c r="B6215">
        <v>1.98</v>
      </c>
      <c r="C6215">
        <v>1400</v>
      </c>
      <c r="D6215" s="9">
        <v>43116</v>
      </c>
      <c r="E6215" t="s">
        <v>296</v>
      </c>
      <c r="I6215" s="9"/>
    </row>
    <row r="6216" spans="1:9" x14ac:dyDescent="0.25">
      <c r="A6216">
        <v>651300</v>
      </c>
      <c r="B6216">
        <v>1.98</v>
      </c>
      <c r="C6216">
        <v>1400</v>
      </c>
      <c r="D6216" s="9">
        <v>43067</v>
      </c>
      <c r="E6216" t="s">
        <v>296</v>
      </c>
      <c r="I6216" s="9"/>
    </row>
    <row r="6217" spans="1:9" x14ac:dyDescent="0.25">
      <c r="A6217">
        <v>651300</v>
      </c>
      <c r="B6217">
        <v>1.9</v>
      </c>
      <c r="C6217">
        <v>1400</v>
      </c>
      <c r="D6217" s="9">
        <v>42976</v>
      </c>
      <c r="E6217" t="s">
        <v>296</v>
      </c>
      <c r="I6217" s="9"/>
    </row>
    <row r="6218" spans="1:9" x14ac:dyDescent="0.25">
      <c r="A6218">
        <v>651300</v>
      </c>
      <c r="B6218">
        <v>1.9</v>
      </c>
      <c r="C6218">
        <v>1400</v>
      </c>
      <c r="D6218" s="9">
        <v>42836</v>
      </c>
      <c r="E6218" t="s">
        <v>296</v>
      </c>
      <c r="I6218" s="9"/>
    </row>
    <row r="6219" spans="1:9" x14ac:dyDescent="0.25">
      <c r="A6219">
        <v>651300</v>
      </c>
      <c r="B6219">
        <v>1.9</v>
      </c>
      <c r="C6219">
        <v>320</v>
      </c>
      <c r="D6219" s="9">
        <v>42585</v>
      </c>
      <c r="E6219" t="s">
        <v>296</v>
      </c>
      <c r="I6219" s="9"/>
    </row>
    <row r="6220" spans="1:9" x14ac:dyDescent="0.25">
      <c r="A6220">
        <v>651300</v>
      </c>
      <c r="B6220">
        <v>1.9</v>
      </c>
      <c r="C6220">
        <v>600</v>
      </c>
      <c r="D6220" s="9">
        <v>42585</v>
      </c>
      <c r="E6220" t="s">
        <v>296</v>
      </c>
      <c r="I6220" s="9"/>
    </row>
    <row r="6221" spans="1:9" x14ac:dyDescent="0.25">
      <c r="A6221">
        <v>651300</v>
      </c>
      <c r="B6221">
        <v>1.9</v>
      </c>
      <c r="C6221">
        <v>320</v>
      </c>
      <c r="D6221" s="9">
        <v>42573</v>
      </c>
      <c r="E6221" t="s">
        <v>296</v>
      </c>
      <c r="I6221" s="9"/>
    </row>
    <row r="6222" spans="1:9" x14ac:dyDescent="0.25">
      <c r="A6222">
        <v>651300</v>
      </c>
      <c r="B6222">
        <v>1.96</v>
      </c>
      <c r="C6222">
        <v>1000</v>
      </c>
      <c r="D6222" s="9">
        <v>42494</v>
      </c>
      <c r="E6222" t="s">
        <v>296</v>
      </c>
      <c r="I6222" s="9"/>
    </row>
    <row r="6223" spans="1:9" x14ac:dyDescent="0.25">
      <c r="A6223">
        <v>651300</v>
      </c>
      <c r="B6223">
        <v>2.08</v>
      </c>
      <c r="C6223">
        <v>1200</v>
      </c>
      <c r="D6223" s="9">
        <v>42325</v>
      </c>
      <c r="E6223" t="s">
        <v>296</v>
      </c>
      <c r="I6223" s="9"/>
    </row>
    <row r="6224" spans="1:9" x14ac:dyDescent="0.25">
      <c r="A6224">
        <v>651300</v>
      </c>
      <c r="B6224">
        <v>2.0830000000000002</v>
      </c>
      <c r="C6224">
        <v>1200</v>
      </c>
      <c r="D6224" s="9">
        <v>42285</v>
      </c>
      <c r="E6224" t="s">
        <v>297</v>
      </c>
      <c r="I6224" s="9"/>
    </row>
    <row r="6225" spans="1:9" x14ac:dyDescent="0.25">
      <c r="A6225">
        <v>651300</v>
      </c>
      <c r="B6225">
        <v>2.13</v>
      </c>
      <c r="C6225">
        <v>360</v>
      </c>
      <c r="D6225" s="9">
        <v>42191</v>
      </c>
      <c r="E6225" t="s">
        <v>296</v>
      </c>
      <c r="I6225" s="9"/>
    </row>
    <row r="6226" spans="1:9" x14ac:dyDescent="0.25">
      <c r="A6226">
        <v>651300</v>
      </c>
      <c r="B6226">
        <v>2.13</v>
      </c>
      <c r="C6226">
        <v>960</v>
      </c>
      <c r="D6226" s="9">
        <v>42144</v>
      </c>
      <c r="E6226" t="s">
        <v>296</v>
      </c>
      <c r="I6226" s="9"/>
    </row>
    <row r="6227" spans="1:9" x14ac:dyDescent="0.25">
      <c r="A6227">
        <v>651300</v>
      </c>
      <c r="B6227">
        <v>2.2890000000000001</v>
      </c>
      <c r="C6227">
        <v>1200</v>
      </c>
      <c r="D6227" s="9">
        <v>42012</v>
      </c>
      <c r="E6227" t="s">
        <v>296</v>
      </c>
      <c r="I6227" s="9"/>
    </row>
    <row r="6228" spans="1:9" x14ac:dyDescent="0.25">
      <c r="A6228">
        <v>651300</v>
      </c>
      <c r="B6228">
        <v>2.2890000000000001</v>
      </c>
      <c r="C6228">
        <v>1440</v>
      </c>
      <c r="D6228" s="9">
        <v>41786</v>
      </c>
      <c r="E6228" t="s">
        <v>296</v>
      </c>
      <c r="I6228" s="9"/>
    </row>
    <row r="6229" spans="1:9" x14ac:dyDescent="0.25">
      <c r="A6229">
        <v>651300</v>
      </c>
      <c r="B6229">
        <v>2.2440000000000002</v>
      </c>
      <c r="C6229">
        <v>624</v>
      </c>
      <c r="D6229" s="9">
        <v>41682</v>
      </c>
      <c r="E6229" t="s">
        <v>296</v>
      </c>
      <c r="I6229" s="9"/>
    </row>
    <row r="6230" spans="1:9" x14ac:dyDescent="0.25">
      <c r="A6230">
        <v>651300</v>
      </c>
      <c r="B6230">
        <v>2.1789999999999998</v>
      </c>
      <c r="C6230">
        <v>720</v>
      </c>
      <c r="D6230" s="9">
        <v>41682</v>
      </c>
      <c r="E6230" t="s">
        <v>296</v>
      </c>
      <c r="I6230" s="9"/>
    </row>
    <row r="6231" spans="1:9" x14ac:dyDescent="0.25">
      <c r="A6231">
        <v>651300</v>
      </c>
      <c r="B6231">
        <v>2.15</v>
      </c>
      <c r="C6231">
        <v>720</v>
      </c>
      <c r="D6231" s="9">
        <v>41571</v>
      </c>
      <c r="E6231" t="s">
        <v>296</v>
      </c>
      <c r="I6231" s="9"/>
    </row>
    <row r="6232" spans="1:9" x14ac:dyDescent="0.25">
      <c r="A6232">
        <v>651300</v>
      </c>
      <c r="B6232">
        <v>2.1520000000000001</v>
      </c>
      <c r="C6232">
        <v>720</v>
      </c>
      <c r="D6232" s="9">
        <v>41417</v>
      </c>
      <c r="E6232" t="s">
        <v>296</v>
      </c>
      <c r="I6232" s="9"/>
    </row>
    <row r="6233" spans="1:9" x14ac:dyDescent="0.25">
      <c r="A6233">
        <v>651300</v>
      </c>
      <c r="B6233">
        <v>2.15</v>
      </c>
      <c r="C6233">
        <v>720</v>
      </c>
      <c r="D6233" s="9">
        <v>41366</v>
      </c>
      <c r="E6233" t="s">
        <v>296</v>
      </c>
      <c r="I6233" s="9"/>
    </row>
    <row r="6234" spans="1:9" x14ac:dyDescent="0.25">
      <c r="A6234">
        <v>651300</v>
      </c>
      <c r="B6234">
        <v>2.1520000000000001</v>
      </c>
      <c r="C6234">
        <v>720</v>
      </c>
      <c r="D6234" s="9">
        <v>41281</v>
      </c>
      <c r="E6234" t="s">
        <v>296</v>
      </c>
      <c r="I6234" s="9"/>
    </row>
    <row r="6235" spans="1:9" x14ac:dyDescent="0.25">
      <c r="A6235">
        <v>651300</v>
      </c>
      <c r="B6235">
        <v>2.1520000000000001</v>
      </c>
      <c r="C6235">
        <v>720</v>
      </c>
      <c r="D6235" s="9">
        <v>41281</v>
      </c>
      <c r="E6235" t="s">
        <v>296</v>
      </c>
      <c r="I6235" s="9"/>
    </row>
    <row r="6236" spans="1:9" x14ac:dyDescent="0.25">
      <c r="A6236">
        <v>651401</v>
      </c>
      <c r="B6236">
        <v>1.42</v>
      </c>
      <c r="C6236">
        <v>1080</v>
      </c>
      <c r="D6236" s="9">
        <v>44097</v>
      </c>
      <c r="E6236" t="s">
        <v>296</v>
      </c>
      <c r="I6236" s="9"/>
    </row>
    <row r="6237" spans="1:9" x14ac:dyDescent="0.25">
      <c r="A6237">
        <v>651401</v>
      </c>
      <c r="B6237">
        <v>1.42</v>
      </c>
      <c r="C6237">
        <v>1608</v>
      </c>
      <c r="D6237" s="9">
        <v>43941</v>
      </c>
      <c r="E6237" t="s">
        <v>296</v>
      </c>
      <c r="I6237" s="9"/>
    </row>
    <row r="6238" spans="1:9" x14ac:dyDescent="0.25">
      <c r="A6238">
        <v>651401</v>
      </c>
      <c r="B6238">
        <v>1.42</v>
      </c>
      <c r="C6238">
        <v>1080</v>
      </c>
      <c r="D6238" s="9">
        <v>43769</v>
      </c>
      <c r="E6238" t="s">
        <v>296</v>
      </c>
      <c r="I6238" s="9"/>
    </row>
    <row r="6239" spans="1:9" x14ac:dyDescent="0.25">
      <c r="A6239">
        <v>651401</v>
      </c>
      <c r="B6239">
        <v>1.45</v>
      </c>
      <c r="C6239">
        <v>1080</v>
      </c>
      <c r="D6239" s="9">
        <v>43592</v>
      </c>
      <c r="E6239" t="s">
        <v>296</v>
      </c>
      <c r="I6239" s="9"/>
    </row>
    <row r="6240" spans="1:9" x14ac:dyDescent="0.25">
      <c r="A6240">
        <v>651401</v>
      </c>
      <c r="B6240">
        <v>1.45</v>
      </c>
      <c r="C6240">
        <v>720</v>
      </c>
      <c r="D6240" s="9">
        <v>43489</v>
      </c>
      <c r="E6240" t="s">
        <v>296</v>
      </c>
      <c r="I6240" s="9"/>
    </row>
    <row r="6241" spans="1:9" x14ac:dyDescent="0.25">
      <c r="A6241">
        <v>651401</v>
      </c>
      <c r="B6241">
        <v>1.45</v>
      </c>
      <c r="C6241">
        <v>720</v>
      </c>
      <c r="D6241" s="9">
        <v>43381</v>
      </c>
      <c r="E6241" t="s">
        <v>296</v>
      </c>
      <c r="I6241" s="9"/>
    </row>
    <row r="6242" spans="1:9" x14ac:dyDescent="0.25">
      <c r="A6242">
        <v>651401</v>
      </c>
      <c r="B6242">
        <v>1.45</v>
      </c>
      <c r="C6242">
        <v>720</v>
      </c>
      <c r="D6242" s="9">
        <v>43228</v>
      </c>
      <c r="E6242" t="s">
        <v>296</v>
      </c>
      <c r="I6242" s="9"/>
    </row>
    <row r="6243" spans="1:9" x14ac:dyDescent="0.25">
      <c r="A6243">
        <v>651401</v>
      </c>
      <c r="B6243">
        <v>1.54</v>
      </c>
      <c r="C6243">
        <v>576</v>
      </c>
      <c r="D6243" s="9">
        <v>43116</v>
      </c>
      <c r="E6243" t="s">
        <v>296</v>
      </c>
      <c r="I6243" s="9"/>
    </row>
    <row r="6244" spans="1:9" x14ac:dyDescent="0.25">
      <c r="A6244">
        <v>651401</v>
      </c>
      <c r="B6244">
        <v>1.45</v>
      </c>
      <c r="C6244">
        <v>576</v>
      </c>
      <c r="D6244" s="9">
        <v>43116</v>
      </c>
      <c r="E6244" t="s">
        <v>296</v>
      </c>
      <c r="I6244" s="9"/>
    </row>
    <row r="6245" spans="1:9" x14ac:dyDescent="0.25">
      <c r="A6245">
        <v>651401</v>
      </c>
      <c r="B6245">
        <v>7.57</v>
      </c>
      <c r="C6245">
        <v>6</v>
      </c>
      <c r="D6245" s="9">
        <v>42998</v>
      </c>
      <c r="E6245" t="s">
        <v>295</v>
      </c>
      <c r="I6245" s="9"/>
    </row>
    <row r="6246" spans="1:9" x14ac:dyDescent="0.25">
      <c r="A6246">
        <v>651401</v>
      </c>
      <c r="B6246">
        <v>1.45</v>
      </c>
      <c r="C6246">
        <v>288</v>
      </c>
      <c r="D6246" s="9">
        <v>42905</v>
      </c>
      <c r="E6246" t="s">
        <v>296</v>
      </c>
      <c r="I6246" s="9"/>
    </row>
    <row r="6247" spans="1:9" x14ac:dyDescent="0.25">
      <c r="A6247">
        <v>651401</v>
      </c>
      <c r="B6247">
        <v>1.45</v>
      </c>
      <c r="C6247">
        <v>984</v>
      </c>
      <c r="D6247" s="9">
        <v>42836</v>
      </c>
      <c r="E6247" t="s">
        <v>296</v>
      </c>
      <c r="I6247" s="9"/>
    </row>
    <row r="6248" spans="1:9" x14ac:dyDescent="0.25">
      <c r="A6248">
        <v>651401</v>
      </c>
      <c r="B6248">
        <v>1.45</v>
      </c>
      <c r="C6248">
        <v>312</v>
      </c>
      <c r="D6248" s="9">
        <v>42585</v>
      </c>
      <c r="E6248" t="s">
        <v>296</v>
      </c>
      <c r="I6248" s="9"/>
    </row>
    <row r="6249" spans="1:9" x14ac:dyDescent="0.25">
      <c r="A6249">
        <v>651401</v>
      </c>
      <c r="B6249">
        <v>1.45</v>
      </c>
      <c r="C6249">
        <v>480</v>
      </c>
      <c r="D6249" s="9">
        <v>42573</v>
      </c>
      <c r="E6249" t="s">
        <v>296</v>
      </c>
      <c r="I6249" s="9"/>
    </row>
    <row r="6250" spans="1:9" x14ac:dyDescent="0.25">
      <c r="A6250">
        <v>651401</v>
      </c>
      <c r="B6250">
        <v>1.5</v>
      </c>
      <c r="C6250">
        <v>240</v>
      </c>
      <c r="D6250" s="9">
        <v>42494</v>
      </c>
      <c r="E6250" t="s">
        <v>296</v>
      </c>
      <c r="I6250" s="9"/>
    </row>
    <row r="6251" spans="1:9" x14ac:dyDescent="0.25">
      <c r="A6251">
        <v>651401</v>
      </c>
      <c r="B6251">
        <v>1.5</v>
      </c>
      <c r="C6251">
        <v>360</v>
      </c>
      <c r="D6251" s="9">
        <v>42482</v>
      </c>
      <c r="E6251" t="s">
        <v>296</v>
      </c>
      <c r="I6251" s="9"/>
    </row>
    <row r="6252" spans="1:9" x14ac:dyDescent="0.25">
      <c r="A6252">
        <v>651401</v>
      </c>
      <c r="B6252">
        <v>1.6</v>
      </c>
      <c r="C6252">
        <v>696</v>
      </c>
      <c r="D6252" s="9">
        <v>42325</v>
      </c>
      <c r="E6252" t="s">
        <v>296</v>
      </c>
      <c r="I6252" s="9"/>
    </row>
    <row r="6253" spans="1:9" x14ac:dyDescent="0.25">
      <c r="A6253">
        <v>651401</v>
      </c>
      <c r="B6253">
        <v>1.6</v>
      </c>
      <c r="C6253">
        <v>1200</v>
      </c>
      <c r="D6253" s="9">
        <v>42270</v>
      </c>
      <c r="E6253" t="s">
        <v>296</v>
      </c>
      <c r="I6253" s="9"/>
    </row>
    <row r="6254" spans="1:9" x14ac:dyDescent="0.25">
      <c r="A6254">
        <v>651401</v>
      </c>
      <c r="B6254">
        <v>1.6</v>
      </c>
      <c r="C6254">
        <v>288</v>
      </c>
      <c r="D6254" s="9">
        <v>42191</v>
      </c>
      <c r="E6254" t="s">
        <v>296</v>
      </c>
      <c r="I6254" s="9"/>
    </row>
    <row r="6255" spans="1:9" x14ac:dyDescent="0.25">
      <c r="A6255">
        <v>651401</v>
      </c>
      <c r="B6255">
        <v>1.6</v>
      </c>
      <c r="C6255">
        <v>312</v>
      </c>
      <c r="D6255" s="9">
        <v>42139</v>
      </c>
      <c r="E6255" t="s">
        <v>296</v>
      </c>
      <c r="I6255" s="9"/>
    </row>
    <row r="6256" spans="1:9" x14ac:dyDescent="0.25">
      <c r="A6256">
        <v>651401</v>
      </c>
      <c r="B6256">
        <v>1.6</v>
      </c>
      <c r="C6256">
        <v>1050</v>
      </c>
      <c r="D6256" s="9">
        <v>41877</v>
      </c>
      <c r="E6256" t="s">
        <v>296</v>
      </c>
      <c r="I6256" s="9"/>
    </row>
    <row r="6257" spans="1:9" x14ac:dyDescent="0.25">
      <c r="A6257">
        <v>651401</v>
      </c>
      <c r="B6257">
        <v>1.6</v>
      </c>
      <c r="C6257">
        <v>300</v>
      </c>
      <c r="D6257" s="9">
        <v>41813</v>
      </c>
      <c r="E6257" t="s">
        <v>296</v>
      </c>
      <c r="I6257" s="9"/>
    </row>
    <row r="6258" spans="1:9" x14ac:dyDescent="0.25">
      <c r="A6258">
        <v>651401</v>
      </c>
      <c r="B6258">
        <v>1.65</v>
      </c>
      <c r="C6258">
        <v>600</v>
      </c>
      <c r="D6258" s="9">
        <v>41746</v>
      </c>
      <c r="E6258" t="s">
        <v>296</v>
      </c>
      <c r="I6258" s="9"/>
    </row>
    <row r="6259" spans="1:9" x14ac:dyDescent="0.25">
      <c r="A6259">
        <v>651401</v>
      </c>
      <c r="B6259">
        <v>1.62</v>
      </c>
      <c r="C6259">
        <v>576</v>
      </c>
      <c r="D6259" s="9">
        <v>41571</v>
      </c>
      <c r="E6259" t="s">
        <v>296</v>
      </c>
      <c r="I6259" s="9"/>
    </row>
    <row r="6260" spans="1:9" x14ac:dyDescent="0.25">
      <c r="A6260">
        <v>651401</v>
      </c>
      <c r="B6260">
        <v>1.6</v>
      </c>
      <c r="C6260">
        <v>864</v>
      </c>
      <c r="D6260" s="9">
        <v>41417</v>
      </c>
      <c r="E6260" t="s">
        <v>296</v>
      </c>
      <c r="I6260" s="9"/>
    </row>
    <row r="6261" spans="1:9" x14ac:dyDescent="0.25">
      <c r="A6261">
        <v>651402</v>
      </c>
      <c r="B6261">
        <v>1.35</v>
      </c>
      <c r="C6261">
        <v>2400</v>
      </c>
      <c r="D6261" s="9">
        <v>44140</v>
      </c>
      <c r="E6261" t="s">
        <v>296</v>
      </c>
      <c r="I6261" s="9"/>
    </row>
    <row r="6262" spans="1:9" x14ac:dyDescent="0.25">
      <c r="A6262">
        <v>651402</v>
      </c>
      <c r="B6262">
        <v>1.23</v>
      </c>
      <c r="C6262">
        <v>2160</v>
      </c>
      <c r="D6262" s="9">
        <v>44117</v>
      </c>
      <c r="E6262" t="s">
        <v>296</v>
      </c>
      <c r="I6262" s="9"/>
    </row>
    <row r="6263" spans="1:9" x14ac:dyDescent="0.25">
      <c r="A6263">
        <v>651402</v>
      </c>
      <c r="B6263">
        <v>1.23</v>
      </c>
      <c r="C6263">
        <v>2112</v>
      </c>
      <c r="D6263" s="9">
        <v>43941</v>
      </c>
      <c r="E6263" t="s">
        <v>296</v>
      </c>
      <c r="I6263" s="9"/>
    </row>
    <row r="6264" spans="1:9" x14ac:dyDescent="0.25">
      <c r="A6264">
        <v>651402</v>
      </c>
      <c r="B6264">
        <v>1.23</v>
      </c>
      <c r="C6264">
        <v>2304</v>
      </c>
      <c r="D6264" s="9">
        <v>43941</v>
      </c>
      <c r="E6264" t="s">
        <v>296</v>
      </c>
      <c r="I6264" s="9"/>
    </row>
    <row r="6265" spans="1:9" x14ac:dyDescent="0.25">
      <c r="A6265">
        <v>651402</v>
      </c>
      <c r="B6265">
        <v>1.23</v>
      </c>
      <c r="C6265">
        <v>2160</v>
      </c>
      <c r="D6265" s="9">
        <v>43819</v>
      </c>
      <c r="E6265" t="s">
        <v>296</v>
      </c>
      <c r="I6265" s="9"/>
    </row>
    <row r="6266" spans="1:9" x14ac:dyDescent="0.25">
      <c r="A6266">
        <v>651402</v>
      </c>
      <c r="B6266">
        <v>1.22</v>
      </c>
      <c r="C6266">
        <v>2544</v>
      </c>
      <c r="D6266" s="9">
        <v>43627</v>
      </c>
      <c r="E6266" t="s">
        <v>296</v>
      </c>
      <c r="I6266" s="9"/>
    </row>
    <row r="6267" spans="1:9" x14ac:dyDescent="0.25">
      <c r="A6267">
        <v>651402</v>
      </c>
      <c r="B6267">
        <v>1.22</v>
      </c>
      <c r="C6267">
        <v>4800</v>
      </c>
      <c r="D6267" s="9">
        <v>43391</v>
      </c>
      <c r="E6267" t="s">
        <v>296</v>
      </c>
      <c r="I6267" s="9"/>
    </row>
    <row r="6268" spans="1:9" x14ac:dyDescent="0.25">
      <c r="A6268">
        <v>651402</v>
      </c>
      <c r="B6268">
        <v>1.32</v>
      </c>
      <c r="C6268">
        <v>4800</v>
      </c>
      <c r="D6268" s="9">
        <v>43284</v>
      </c>
      <c r="E6268" t="s">
        <v>296</v>
      </c>
      <c r="I6268" s="9"/>
    </row>
    <row r="6269" spans="1:9" x14ac:dyDescent="0.25">
      <c r="A6269">
        <v>651402</v>
      </c>
      <c r="B6269">
        <v>1.28</v>
      </c>
      <c r="C6269">
        <v>1920</v>
      </c>
      <c r="D6269" s="9">
        <v>43228</v>
      </c>
      <c r="E6269" t="s">
        <v>296</v>
      </c>
      <c r="I6269" s="9"/>
    </row>
    <row r="6270" spans="1:9" x14ac:dyDescent="0.25">
      <c r="A6270">
        <v>651402</v>
      </c>
      <c r="B6270">
        <v>1.37</v>
      </c>
      <c r="C6270">
        <v>1200</v>
      </c>
      <c r="D6270" s="9">
        <v>43228</v>
      </c>
      <c r="E6270" t="s">
        <v>296</v>
      </c>
      <c r="I6270" s="9"/>
    </row>
    <row r="6271" spans="1:9" x14ac:dyDescent="0.25">
      <c r="A6271">
        <v>651402</v>
      </c>
      <c r="B6271">
        <v>1.37</v>
      </c>
      <c r="C6271">
        <v>1200</v>
      </c>
      <c r="D6271" s="9">
        <v>43131</v>
      </c>
      <c r="E6271" t="s">
        <v>296</v>
      </c>
      <c r="I6271" s="9"/>
    </row>
    <row r="6272" spans="1:9" x14ac:dyDescent="0.25">
      <c r="A6272">
        <v>651402</v>
      </c>
      <c r="B6272">
        <v>1.37</v>
      </c>
      <c r="C6272">
        <v>1200</v>
      </c>
      <c r="D6272" s="9">
        <v>43116</v>
      </c>
      <c r="E6272" t="s">
        <v>296</v>
      </c>
      <c r="I6272" s="9"/>
    </row>
    <row r="6273" spans="1:9" x14ac:dyDescent="0.25">
      <c r="A6273">
        <v>651402</v>
      </c>
      <c r="B6273">
        <v>1.37</v>
      </c>
      <c r="C6273">
        <v>1152</v>
      </c>
      <c r="D6273" s="9">
        <v>43116</v>
      </c>
      <c r="E6273" t="s">
        <v>296</v>
      </c>
      <c r="I6273" s="9"/>
    </row>
    <row r="6274" spans="1:9" x14ac:dyDescent="0.25">
      <c r="A6274">
        <v>651402</v>
      </c>
      <c r="B6274">
        <v>1.37</v>
      </c>
      <c r="C6274">
        <v>2400</v>
      </c>
      <c r="D6274" s="9">
        <v>43105</v>
      </c>
      <c r="E6274" t="s">
        <v>296</v>
      </c>
      <c r="I6274" s="9"/>
    </row>
    <row r="6275" spans="1:9" x14ac:dyDescent="0.25">
      <c r="A6275">
        <v>651402</v>
      </c>
      <c r="B6275">
        <v>1.37</v>
      </c>
      <c r="C6275">
        <v>1920</v>
      </c>
      <c r="D6275" s="9">
        <v>42976</v>
      </c>
      <c r="E6275" t="s">
        <v>296</v>
      </c>
      <c r="I6275" s="9"/>
    </row>
    <row r="6276" spans="1:9" x14ac:dyDescent="0.25">
      <c r="A6276">
        <v>651402</v>
      </c>
      <c r="B6276">
        <v>1.37</v>
      </c>
      <c r="C6276">
        <v>1920</v>
      </c>
      <c r="D6276" s="9">
        <v>42836</v>
      </c>
      <c r="E6276" t="s">
        <v>296</v>
      </c>
      <c r="I6276" s="9"/>
    </row>
    <row r="6277" spans="1:9" x14ac:dyDescent="0.25">
      <c r="A6277">
        <v>651402</v>
      </c>
      <c r="B6277">
        <v>1.37</v>
      </c>
      <c r="C6277">
        <v>720</v>
      </c>
      <c r="D6277" s="9">
        <v>42585</v>
      </c>
      <c r="E6277" t="s">
        <v>296</v>
      </c>
      <c r="I6277" s="9"/>
    </row>
    <row r="6278" spans="1:9" x14ac:dyDescent="0.25">
      <c r="A6278">
        <v>651402</v>
      </c>
      <c r="B6278">
        <v>1.37</v>
      </c>
      <c r="C6278">
        <v>480</v>
      </c>
      <c r="D6278" s="9">
        <v>42573</v>
      </c>
      <c r="E6278" t="s">
        <v>296</v>
      </c>
      <c r="I6278" s="9"/>
    </row>
    <row r="6279" spans="1:9" x14ac:dyDescent="0.25">
      <c r="A6279">
        <v>651402</v>
      </c>
      <c r="B6279">
        <v>1.45</v>
      </c>
      <c r="C6279">
        <v>528</v>
      </c>
      <c r="D6279" s="9">
        <v>42494</v>
      </c>
      <c r="E6279" t="s">
        <v>296</v>
      </c>
      <c r="I6279" s="9"/>
    </row>
    <row r="6280" spans="1:9" x14ac:dyDescent="0.25">
      <c r="A6280">
        <v>651402</v>
      </c>
      <c r="B6280">
        <v>1.45</v>
      </c>
      <c r="C6280">
        <v>360</v>
      </c>
      <c r="D6280" s="9">
        <v>42482</v>
      </c>
      <c r="E6280" t="s">
        <v>296</v>
      </c>
      <c r="I6280" s="9"/>
    </row>
    <row r="6281" spans="1:9" x14ac:dyDescent="0.25">
      <c r="A6281">
        <v>651402</v>
      </c>
      <c r="B6281">
        <v>1.54</v>
      </c>
      <c r="C6281">
        <v>1200</v>
      </c>
      <c r="D6281" s="9">
        <v>42325</v>
      </c>
      <c r="E6281" t="s">
        <v>296</v>
      </c>
      <c r="I6281" s="9"/>
    </row>
    <row r="6282" spans="1:9" x14ac:dyDescent="0.25">
      <c r="A6282">
        <v>651402</v>
      </c>
      <c r="B6282">
        <v>1.54</v>
      </c>
      <c r="C6282">
        <v>1200</v>
      </c>
      <c r="D6282" s="9">
        <v>42191</v>
      </c>
      <c r="E6282" t="s">
        <v>296</v>
      </c>
      <c r="I6282" s="9"/>
    </row>
    <row r="6283" spans="1:9" x14ac:dyDescent="0.25">
      <c r="A6283">
        <v>651402</v>
      </c>
      <c r="B6283">
        <v>7.18</v>
      </c>
      <c r="C6283">
        <v>360</v>
      </c>
      <c r="D6283" s="9">
        <v>42188</v>
      </c>
      <c r="E6283" t="s">
        <v>295</v>
      </c>
      <c r="I6283" s="9"/>
    </row>
    <row r="6284" spans="1:9" x14ac:dyDescent="0.25">
      <c r="A6284">
        <v>651402</v>
      </c>
      <c r="B6284">
        <v>5.43</v>
      </c>
      <c r="C6284">
        <v>1200</v>
      </c>
      <c r="D6284" s="9">
        <v>42011</v>
      </c>
      <c r="E6284" t="s">
        <v>295</v>
      </c>
      <c r="I6284" s="9"/>
    </row>
    <row r="6285" spans="1:9" x14ac:dyDescent="0.25">
      <c r="A6285">
        <v>651402</v>
      </c>
      <c r="B6285">
        <v>1.54</v>
      </c>
      <c r="C6285">
        <v>1200</v>
      </c>
      <c r="D6285" s="9">
        <v>41961</v>
      </c>
      <c r="E6285" t="s">
        <v>296</v>
      </c>
      <c r="I6285" s="9"/>
    </row>
    <row r="6286" spans="1:9" x14ac:dyDescent="0.25">
      <c r="A6286">
        <v>651402</v>
      </c>
      <c r="B6286">
        <v>1.55</v>
      </c>
      <c r="C6286">
        <v>850</v>
      </c>
      <c r="D6286" s="9">
        <v>41877</v>
      </c>
      <c r="E6286" t="s">
        <v>296</v>
      </c>
      <c r="I6286" s="9"/>
    </row>
    <row r="6287" spans="1:9" x14ac:dyDescent="0.25">
      <c r="A6287">
        <v>651402</v>
      </c>
      <c r="B6287">
        <v>1.55</v>
      </c>
      <c r="C6287">
        <v>350</v>
      </c>
      <c r="D6287" s="9">
        <v>41813</v>
      </c>
      <c r="E6287" t="s">
        <v>296</v>
      </c>
      <c r="I6287" s="9"/>
    </row>
    <row r="6288" spans="1:9" x14ac:dyDescent="0.25">
      <c r="A6288">
        <v>651402</v>
      </c>
      <c r="B6288">
        <v>1.55</v>
      </c>
      <c r="C6288">
        <v>1200</v>
      </c>
      <c r="D6288" s="9">
        <v>41746</v>
      </c>
      <c r="E6288" t="s">
        <v>296</v>
      </c>
      <c r="I6288" s="9"/>
    </row>
    <row r="6289" spans="1:9" x14ac:dyDescent="0.25">
      <c r="A6289">
        <v>651402</v>
      </c>
      <c r="B6289">
        <v>1.5</v>
      </c>
      <c r="C6289">
        <v>1200</v>
      </c>
      <c r="D6289" s="9">
        <v>41571</v>
      </c>
      <c r="E6289" t="s">
        <v>296</v>
      </c>
      <c r="I6289" s="9"/>
    </row>
    <row r="6290" spans="1:9" x14ac:dyDescent="0.25">
      <c r="A6290">
        <v>651402</v>
      </c>
      <c r="B6290">
        <v>1.694</v>
      </c>
      <c r="C6290">
        <v>540</v>
      </c>
      <c r="D6290" s="9">
        <v>41435</v>
      </c>
      <c r="E6290" t="s">
        <v>296</v>
      </c>
      <c r="I6290" s="9"/>
    </row>
    <row r="6291" spans="1:9" x14ac:dyDescent="0.25">
      <c r="A6291">
        <v>651402</v>
      </c>
      <c r="B6291">
        <v>1.714</v>
      </c>
      <c r="C6291">
        <v>900</v>
      </c>
      <c r="D6291" s="9">
        <v>41435</v>
      </c>
      <c r="E6291" t="s">
        <v>296</v>
      </c>
      <c r="I6291" s="9"/>
    </row>
    <row r="6292" spans="1:9" x14ac:dyDescent="0.25">
      <c r="A6292">
        <v>651404</v>
      </c>
      <c r="B6292">
        <v>2.6920000000000002</v>
      </c>
      <c r="C6292">
        <v>504</v>
      </c>
      <c r="D6292" s="9">
        <v>44095</v>
      </c>
      <c r="E6292" t="s">
        <v>296</v>
      </c>
      <c r="I6292" s="9"/>
    </row>
    <row r="6293" spans="1:9" x14ac:dyDescent="0.25">
      <c r="A6293">
        <v>651404</v>
      </c>
      <c r="B6293">
        <v>3.65</v>
      </c>
      <c r="C6293">
        <v>480</v>
      </c>
      <c r="D6293" s="9">
        <v>43250</v>
      </c>
      <c r="E6293" t="s">
        <v>296</v>
      </c>
      <c r="I6293" s="9"/>
    </row>
    <row r="6294" spans="1:9" x14ac:dyDescent="0.25">
      <c r="A6294">
        <v>651404</v>
      </c>
      <c r="B6294">
        <v>2.97</v>
      </c>
      <c r="C6294">
        <v>492</v>
      </c>
      <c r="D6294" s="9">
        <v>42976</v>
      </c>
      <c r="E6294" t="s">
        <v>296</v>
      </c>
      <c r="I6294" s="9"/>
    </row>
    <row r="6295" spans="1:9" x14ac:dyDescent="0.25">
      <c r="A6295">
        <v>651404</v>
      </c>
      <c r="B6295">
        <v>2.97</v>
      </c>
      <c r="C6295">
        <v>8</v>
      </c>
      <c r="D6295" s="9">
        <v>42976</v>
      </c>
      <c r="E6295" t="s">
        <v>296</v>
      </c>
      <c r="I6295" s="9"/>
    </row>
    <row r="6296" spans="1:9" x14ac:dyDescent="0.25">
      <c r="A6296">
        <v>651404</v>
      </c>
      <c r="B6296">
        <v>2.85</v>
      </c>
      <c r="C6296">
        <v>600</v>
      </c>
      <c r="D6296" s="9">
        <v>42696</v>
      </c>
      <c r="E6296" t="s">
        <v>296</v>
      </c>
      <c r="I6296" s="9"/>
    </row>
    <row r="6297" spans="1:9" x14ac:dyDescent="0.25">
      <c r="A6297">
        <v>652050</v>
      </c>
      <c r="B6297">
        <v>2.8420000000000001</v>
      </c>
      <c r="C6297">
        <v>2000</v>
      </c>
      <c r="D6297" s="9">
        <v>44070</v>
      </c>
      <c r="E6297" t="s">
        <v>296</v>
      </c>
      <c r="I6297" s="9"/>
    </row>
    <row r="6298" spans="1:9" x14ac:dyDescent="0.25">
      <c r="A6298">
        <v>652050</v>
      </c>
      <c r="B6298">
        <v>2.85</v>
      </c>
      <c r="C6298">
        <v>2500</v>
      </c>
      <c r="D6298" s="9">
        <v>44068</v>
      </c>
      <c r="E6298" t="s">
        <v>296</v>
      </c>
      <c r="I6298" s="9"/>
    </row>
    <row r="6299" spans="1:9" x14ac:dyDescent="0.25">
      <c r="A6299">
        <v>652050</v>
      </c>
      <c r="B6299">
        <v>2.85</v>
      </c>
      <c r="C6299">
        <v>2800</v>
      </c>
      <c r="D6299" s="9">
        <v>43969</v>
      </c>
      <c r="E6299" t="s">
        <v>296</v>
      </c>
      <c r="I6299" s="9"/>
    </row>
    <row r="6300" spans="1:9" x14ac:dyDescent="0.25">
      <c r="A6300">
        <v>652050</v>
      </c>
      <c r="B6300">
        <v>2.85</v>
      </c>
      <c r="C6300">
        <v>3600</v>
      </c>
      <c r="D6300" s="9">
        <v>43627</v>
      </c>
      <c r="E6300" t="s">
        <v>296</v>
      </c>
      <c r="I6300" s="9"/>
    </row>
    <row r="6301" spans="1:9" x14ac:dyDescent="0.25">
      <c r="A6301">
        <v>652050</v>
      </c>
      <c r="B6301">
        <v>2.8</v>
      </c>
      <c r="C6301">
        <v>5000</v>
      </c>
      <c r="D6301" s="9">
        <v>43391</v>
      </c>
      <c r="E6301" t="s">
        <v>296</v>
      </c>
      <c r="I6301" s="9"/>
    </row>
    <row r="6302" spans="1:9" x14ac:dyDescent="0.25">
      <c r="A6302">
        <v>652050</v>
      </c>
      <c r="B6302">
        <v>2.95</v>
      </c>
      <c r="C6302">
        <v>1400</v>
      </c>
      <c r="D6302" s="9">
        <v>43340</v>
      </c>
      <c r="E6302" t="s">
        <v>296</v>
      </c>
      <c r="I6302" s="9"/>
    </row>
    <row r="6303" spans="1:9" x14ac:dyDescent="0.25">
      <c r="A6303">
        <v>652050</v>
      </c>
      <c r="B6303">
        <v>10.96</v>
      </c>
      <c r="C6303">
        <v>3000</v>
      </c>
      <c r="D6303" s="9">
        <v>43285</v>
      </c>
      <c r="E6303" t="s">
        <v>295</v>
      </c>
      <c r="I6303" s="9"/>
    </row>
    <row r="6304" spans="1:9" x14ac:dyDescent="0.25">
      <c r="A6304">
        <v>652050</v>
      </c>
      <c r="B6304">
        <v>2.92</v>
      </c>
      <c r="C6304">
        <v>3000</v>
      </c>
      <c r="D6304" s="9">
        <v>43284</v>
      </c>
      <c r="E6304" t="s">
        <v>296</v>
      </c>
      <c r="I6304" s="9"/>
    </row>
    <row r="6305" spans="1:9" x14ac:dyDescent="0.25">
      <c r="A6305">
        <v>652050</v>
      </c>
      <c r="B6305">
        <v>2.92</v>
      </c>
      <c r="C6305">
        <v>3000</v>
      </c>
      <c r="D6305" s="9">
        <v>43234</v>
      </c>
      <c r="E6305" t="s">
        <v>296</v>
      </c>
      <c r="I6305" s="9"/>
    </row>
    <row r="6306" spans="1:9" x14ac:dyDescent="0.25">
      <c r="A6306">
        <v>652050</v>
      </c>
      <c r="B6306">
        <v>2.95</v>
      </c>
      <c r="C6306">
        <v>4000</v>
      </c>
      <c r="D6306" s="9">
        <v>42919</v>
      </c>
      <c r="E6306" t="s">
        <v>296</v>
      </c>
      <c r="I6306" s="9"/>
    </row>
    <row r="6307" spans="1:9" x14ac:dyDescent="0.25">
      <c r="A6307">
        <v>652050</v>
      </c>
      <c r="B6307">
        <v>2.8</v>
      </c>
      <c r="C6307">
        <v>1000</v>
      </c>
      <c r="D6307" s="9">
        <v>42905</v>
      </c>
      <c r="E6307" t="s">
        <v>296</v>
      </c>
      <c r="I6307" s="9"/>
    </row>
    <row r="6308" spans="1:9" x14ac:dyDescent="0.25">
      <c r="A6308">
        <v>652050</v>
      </c>
      <c r="B6308">
        <v>2.8</v>
      </c>
      <c r="C6308">
        <v>1000</v>
      </c>
      <c r="D6308" s="9">
        <v>42873</v>
      </c>
      <c r="E6308" t="s">
        <v>296</v>
      </c>
      <c r="I6308" s="9"/>
    </row>
    <row r="6309" spans="1:9" x14ac:dyDescent="0.25">
      <c r="A6309">
        <v>652050</v>
      </c>
      <c r="B6309">
        <v>3.04</v>
      </c>
      <c r="C6309">
        <v>1800</v>
      </c>
      <c r="D6309" s="9">
        <v>42781</v>
      </c>
      <c r="E6309" t="s">
        <v>296</v>
      </c>
      <c r="I6309" s="9"/>
    </row>
    <row r="6310" spans="1:9" x14ac:dyDescent="0.25">
      <c r="A6310">
        <v>652050</v>
      </c>
      <c r="B6310">
        <v>3.03</v>
      </c>
      <c r="C6310">
        <v>300</v>
      </c>
      <c r="D6310" s="9">
        <v>42781</v>
      </c>
      <c r="E6310" t="s">
        <v>296</v>
      </c>
      <c r="I6310" s="9"/>
    </row>
    <row r="6311" spans="1:9" x14ac:dyDescent="0.25">
      <c r="A6311">
        <v>652050</v>
      </c>
      <c r="B6311">
        <v>2.95</v>
      </c>
      <c r="C6311">
        <v>3000</v>
      </c>
      <c r="D6311" s="9">
        <v>42753</v>
      </c>
      <c r="E6311" t="s">
        <v>296</v>
      </c>
      <c r="I6311" s="9"/>
    </row>
    <row r="6312" spans="1:9" x14ac:dyDescent="0.25">
      <c r="A6312">
        <v>652050</v>
      </c>
      <c r="B6312">
        <v>3.03</v>
      </c>
      <c r="C6312">
        <v>1040</v>
      </c>
      <c r="D6312" s="9">
        <v>42696</v>
      </c>
      <c r="E6312" t="s">
        <v>296</v>
      </c>
      <c r="I6312" s="9"/>
    </row>
    <row r="6313" spans="1:9" x14ac:dyDescent="0.25">
      <c r="A6313">
        <v>652050</v>
      </c>
      <c r="B6313">
        <v>3.06</v>
      </c>
      <c r="C6313">
        <v>1000</v>
      </c>
      <c r="D6313" s="9">
        <v>42660</v>
      </c>
      <c r="E6313" t="s">
        <v>296</v>
      </c>
      <c r="I6313" s="9"/>
    </row>
    <row r="6314" spans="1:9" x14ac:dyDescent="0.25">
      <c r="A6314">
        <v>652050</v>
      </c>
      <c r="B6314">
        <v>3.03</v>
      </c>
      <c r="C6314">
        <v>1000</v>
      </c>
      <c r="D6314" s="9">
        <v>42656</v>
      </c>
      <c r="E6314" t="s">
        <v>296</v>
      </c>
      <c r="I6314" s="9"/>
    </row>
    <row r="6315" spans="1:9" x14ac:dyDescent="0.25">
      <c r="A6315">
        <v>652050</v>
      </c>
      <c r="B6315">
        <v>3.06</v>
      </c>
      <c r="C6315">
        <v>2400</v>
      </c>
      <c r="D6315" s="9">
        <v>42617</v>
      </c>
      <c r="E6315" t="s">
        <v>296</v>
      </c>
      <c r="I6315" s="9"/>
    </row>
    <row r="6316" spans="1:9" x14ac:dyDescent="0.25">
      <c r="A6316">
        <v>652050</v>
      </c>
      <c r="B6316">
        <v>3.04</v>
      </c>
      <c r="C6316">
        <v>1000</v>
      </c>
      <c r="D6316" s="9">
        <v>42585</v>
      </c>
      <c r="E6316" t="s">
        <v>296</v>
      </c>
      <c r="I6316" s="9"/>
    </row>
    <row r="6317" spans="1:9" x14ac:dyDescent="0.25">
      <c r="A6317">
        <v>652050</v>
      </c>
      <c r="B6317">
        <v>3.06</v>
      </c>
      <c r="C6317">
        <v>2000</v>
      </c>
      <c r="D6317" s="9">
        <v>42530</v>
      </c>
      <c r="E6317" t="s">
        <v>296</v>
      </c>
      <c r="I6317" s="9"/>
    </row>
    <row r="6318" spans="1:9" x14ac:dyDescent="0.25">
      <c r="A6318">
        <v>652050</v>
      </c>
      <c r="B6318">
        <v>3.2</v>
      </c>
      <c r="C6318">
        <v>2000</v>
      </c>
      <c r="D6318" s="9">
        <v>42482</v>
      </c>
      <c r="E6318" t="s">
        <v>296</v>
      </c>
      <c r="I6318" s="9"/>
    </row>
    <row r="6319" spans="1:9" x14ac:dyDescent="0.25">
      <c r="A6319">
        <v>652050</v>
      </c>
      <c r="B6319">
        <v>3.5</v>
      </c>
      <c r="C6319">
        <v>1500</v>
      </c>
      <c r="D6319" s="9">
        <v>42397</v>
      </c>
      <c r="E6319" t="s">
        <v>296</v>
      </c>
      <c r="I6319" s="9"/>
    </row>
    <row r="6320" spans="1:9" x14ac:dyDescent="0.25">
      <c r="A6320">
        <v>652050</v>
      </c>
      <c r="B6320">
        <v>3.22</v>
      </c>
      <c r="C6320">
        <v>1500</v>
      </c>
      <c r="D6320" s="9">
        <v>42321</v>
      </c>
      <c r="E6320" t="s">
        <v>296</v>
      </c>
      <c r="I6320" s="9"/>
    </row>
    <row r="6321" spans="1:9" x14ac:dyDescent="0.25">
      <c r="A6321">
        <v>652050</v>
      </c>
      <c r="B6321">
        <v>3.7</v>
      </c>
      <c r="C6321">
        <v>1500</v>
      </c>
      <c r="D6321" s="9">
        <v>42229</v>
      </c>
      <c r="E6321" t="s">
        <v>296</v>
      </c>
      <c r="I6321" s="9"/>
    </row>
    <row r="6322" spans="1:9" x14ac:dyDescent="0.25">
      <c r="A6322">
        <v>652050</v>
      </c>
      <c r="B6322">
        <v>3.22</v>
      </c>
      <c r="C6322">
        <v>1500</v>
      </c>
      <c r="D6322" s="9">
        <v>42207</v>
      </c>
      <c r="E6322" t="s">
        <v>296</v>
      </c>
      <c r="I6322" s="9"/>
    </row>
    <row r="6323" spans="1:9" x14ac:dyDescent="0.25">
      <c r="A6323">
        <v>652050</v>
      </c>
      <c r="B6323">
        <v>3.7</v>
      </c>
      <c r="C6323">
        <v>3000</v>
      </c>
      <c r="D6323" s="9">
        <v>42144</v>
      </c>
      <c r="E6323" t="s">
        <v>296</v>
      </c>
      <c r="I6323" s="9"/>
    </row>
    <row r="6324" spans="1:9" x14ac:dyDescent="0.25">
      <c r="A6324">
        <v>652050</v>
      </c>
      <c r="B6324">
        <v>3.9969999999999999</v>
      </c>
      <c r="C6324">
        <v>800</v>
      </c>
      <c r="D6324" s="9">
        <v>42129</v>
      </c>
      <c r="E6324" t="s">
        <v>296</v>
      </c>
      <c r="I6324" s="9"/>
    </row>
    <row r="6325" spans="1:9" x14ac:dyDescent="0.25">
      <c r="A6325">
        <v>652050</v>
      </c>
      <c r="B6325">
        <v>3.7</v>
      </c>
      <c r="C6325">
        <v>800</v>
      </c>
      <c r="D6325" s="9">
        <v>41982</v>
      </c>
      <c r="E6325" t="s">
        <v>296</v>
      </c>
      <c r="I6325" s="9"/>
    </row>
    <row r="6326" spans="1:9" x14ac:dyDescent="0.25">
      <c r="A6326">
        <v>652050</v>
      </c>
      <c r="B6326">
        <v>3.9969999999999999</v>
      </c>
      <c r="C6326">
        <v>1060</v>
      </c>
      <c r="D6326" s="9">
        <v>41912</v>
      </c>
      <c r="E6326" t="s">
        <v>296</v>
      </c>
      <c r="I6326" s="9"/>
    </row>
    <row r="6327" spans="1:9" x14ac:dyDescent="0.25">
      <c r="A6327">
        <v>652050</v>
      </c>
      <c r="B6327">
        <v>3.9969999999999999</v>
      </c>
      <c r="C6327">
        <v>2000</v>
      </c>
      <c r="D6327" s="9">
        <v>41821</v>
      </c>
      <c r="E6327" t="s">
        <v>296</v>
      </c>
      <c r="I6327" s="9"/>
    </row>
    <row r="6328" spans="1:9" x14ac:dyDescent="0.25">
      <c r="A6328">
        <v>652050</v>
      </c>
      <c r="B6328">
        <v>3.9969999999999999</v>
      </c>
      <c r="C6328">
        <v>940</v>
      </c>
      <c r="D6328" s="9">
        <v>41821</v>
      </c>
      <c r="E6328" t="s">
        <v>296</v>
      </c>
      <c r="I6328" s="9"/>
    </row>
    <row r="6329" spans="1:9" x14ac:dyDescent="0.25">
      <c r="A6329">
        <v>652050</v>
      </c>
      <c r="B6329">
        <v>3.9969999999999999</v>
      </c>
      <c r="C6329">
        <v>2400</v>
      </c>
      <c r="D6329" s="9">
        <v>41786</v>
      </c>
      <c r="E6329" t="s">
        <v>296</v>
      </c>
      <c r="I6329" s="9"/>
    </row>
    <row r="6330" spans="1:9" x14ac:dyDescent="0.25">
      <c r="A6330">
        <v>652050</v>
      </c>
      <c r="B6330">
        <v>3.919</v>
      </c>
      <c r="C6330">
        <v>2400</v>
      </c>
      <c r="D6330" s="9">
        <v>41682</v>
      </c>
      <c r="E6330" t="s">
        <v>296</v>
      </c>
      <c r="I6330" s="9"/>
    </row>
    <row r="6331" spans="1:9" x14ac:dyDescent="0.25">
      <c r="A6331">
        <v>652050</v>
      </c>
      <c r="B6331">
        <v>3.919</v>
      </c>
      <c r="C6331">
        <v>2400</v>
      </c>
      <c r="D6331" s="9">
        <v>41617</v>
      </c>
      <c r="E6331" t="s">
        <v>296</v>
      </c>
      <c r="I6331" s="9"/>
    </row>
    <row r="6332" spans="1:9" x14ac:dyDescent="0.25">
      <c r="A6332">
        <v>652050</v>
      </c>
      <c r="B6332">
        <v>3.8420000000000001</v>
      </c>
      <c r="C6332">
        <v>1280</v>
      </c>
      <c r="D6332" s="9">
        <v>41535</v>
      </c>
      <c r="E6332" t="s">
        <v>296</v>
      </c>
      <c r="I6332" s="9"/>
    </row>
    <row r="6333" spans="1:9" x14ac:dyDescent="0.25">
      <c r="A6333">
        <v>652050</v>
      </c>
      <c r="B6333">
        <v>3.8420000000000001</v>
      </c>
      <c r="C6333">
        <v>1600</v>
      </c>
      <c r="D6333" s="9">
        <v>41535</v>
      </c>
      <c r="E6333" t="s">
        <v>296</v>
      </c>
      <c r="I6333" s="9"/>
    </row>
    <row r="6334" spans="1:9" x14ac:dyDescent="0.25">
      <c r="A6334">
        <v>652050</v>
      </c>
      <c r="B6334">
        <v>3.8420000000000001</v>
      </c>
      <c r="C6334">
        <v>1280</v>
      </c>
      <c r="D6334" s="9">
        <v>41418</v>
      </c>
      <c r="E6334" t="s">
        <v>296</v>
      </c>
      <c r="I6334" s="9"/>
    </row>
    <row r="6335" spans="1:9" x14ac:dyDescent="0.25">
      <c r="A6335">
        <v>652050</v>
      </c>
      <c r="B6335">
        <v>3.75</v>
      </c>
      <c r="C6335">
        <v>1600</v>
      </c>
      <c r="D6335" s="9">
        <v>41330</v>
      </c>
      <c r="E6335" t="s">
        <v>296</v>
      </c>
      <c r="I6335" s="9"/>
    </row>
    <row r="6336" spans="1:9" x14ac:dyDescent="0.25">
      <c r="A6336">
        <v>652050</v>
      </c>
      <c r="B6336">
        <v>3.8420000000000001</v>
      </c>
      <c r="C6336">
        <v>1000</v>
      </c>
      <c r="D6336" s="9">
        <v>41295</v>
      </c>
      <c r="E6336" t="s">
        <v>296</v>
      </c>
      <c r="I6336" s="9"/>
    </row>
    <row r="6337" spans="1:9" x14ac:dyDescent="0.25">
      <c r="A6337">
        <v>652050</v>
      </c>
      <c r="B6337">
        <v>3.8420000000000001</v>
      </c>
      <c r="C6337">
        <v>1000</v>
      </c>
      <c r="D6337" s="9">
        <v>41295</v>
      </c>
      <c r="E6337" t="s">
        <v>296</v>
      </c>
      <c r="I6337" s="9"/>
    </row>
    <row r="6338" spans="1:9" x14ac:dyDescent="0.25">
      <c r="A6338">
        <v>652051</v>
      </c>
      <c r="B6338">
        <v>2.5950000000000002</v>
      </c>
      <c r="C6338">
        <v>500</v>
      </c>
      <c r="D6338" s="9">
        <v>44070</v>
      </c>
      <c r="E6338" t="s">
        <v>296</v>
      </c>
      <c r="I6338" s="9"/>
    </row>
    <row r="6339" spans="1:9" x14ac:dyDescent="0.25">
      <c r="A6339">
        <v>652051</v>
      </c>
      <c r="B6339">
        <v>2.7</v>
      </c>
      <c r="C6339">
        <v>500</v>
      </c>
      <c r="D6339" s="9">
        <v>44043</v>
      </c>
      <c r="E6339" t="s">
        <v>296</v>
      </c>
      <c r="I6339" s="9"/>
    </row>
    <row r="6340" spans="1:9" x14ac:dyDescent="0.25">
      <c r="A6340">
        <v>652051</v>
      </c>
      <c r="B6340">
        <v>2.2599999999999998</v>
      </c>
      <c r="C6340">
        <v>600</v>
      </c>
      <c r="D6340" s="9">
        <v>43959</v>
      </c>
      <c r="E6340" t="s">
        <v>296</v>
      </c>
      <c r="I6340" s="9"/>
    </row>
    <row r="6341" spans="1:9" x14ac:dyDescent="0.25">
      <c r="A6341">
        <v>652051</v>
      </c>
      <c r="B6341">
        <v>2.7</v>
      </c>
      <c r="C6341">
        <v>1000</v>
      </c>
      <c r="D6341" s="9">
        <v>43438</v>
      </c>
      <c r="E6341" t="s">
        <v>296</v>
      </c>
      <c r="I6341" s="9"/>
    </row>
    <row r="6342" spans="1:9" x14ac:dyDescent="0.25">
      <c r="A6342">
        <v>652051</v>
      </c>
      <c r="B6342">
        <v>2.7</v>
      </c>
      <c r="C6342">
        <v>500</v>
      </c>
      <c r="D6342" s="9">
        <v>43305</v>
      </c>
      <c r="E6342" t="s">
        <v>296</v>
      </c>
      <c r="I6342" s="9"/>
    </row>
    <row r="6343" spans="1:9" x14ac:dyDescent="0.25">
      <c r="A6343">
        <v>652051</v>
      </c>
      <c r="B6343">
        <v>2.6</v>
      </c>
      <c r="C6343">
        <v>1000</v>
      </c>
      <c r="D6343" s="9">
        <v>43111</v>
      </c>
      <c r="E6343" t="s">
        <v>296</v>
      </c>
      <c r="I6343" s="9"/>
    </row>
    <row r="6344" spans="1:9" x14ac:dyDescent="0.25">
      <c r="A6344">
        <v>652051</v>
      </c>
      <c r="B6344">
        <v>2.4500000000000002</v>
      </c>
      <c r="C6344">
        <v>1000</v>
      </c>
      <c r="D6344" s="9">
        <v>42972</v>
      </c>
      <c r="E6344" t="s">
        <v>296</v>
      </c>
      <c r="I6344" s="9"/>
    </row>
    <row r="6345" spans="1:9" x14ac:dyDescent="0.25">
      <c r="A6345">
        <v>652051</v>
      </c>
      <c r="B6345">
        <v>2.4500000000000002</v>
      </c>
      <c r="C6345">
        <v>960</v>
      </c>
      <c r="D6345" s="9">
        <v>42781</v>
      </c>
      <c r="E6345" t="s">
        <v>296</v>
      </c>
      <c r="I6345" s="9"/>
    </row>
    <row r="6346" spans="1:9" x14ac:dyDescent="0.25">
      <c r="A6346">
        <v>652052</v>
      </c>
      <c r="B6346">
        <v>9.35</v>
      </c>
      <c r="C6346">
        <v>54</v>
      </c>
      <c r="D6346" s="9">
        <v>44133</v>
      </c>
      <c r="E6346" t="s">
        <v>295</v>
      </c>
      <c r="I6346" s="9"/>
    </row>
    <row r="6347" spans="1:9" x14ac:dyDescent="0.25">
      <c r="A6347">
        <v>652052</v>
      </c>
      <c r="B6347">
        <v>1.61</v>
      </c>
      <c r="C6347">
        <v>3240</v>
      </c>
      <c r="D6347" s="9">
        <v>44039</v>
      </c>
      <c r="E6347" t="s">
        <v>296</v>
      </c>
      <c r="I6347" s="9"/>
    </row>
    <row r="6348" spans="1:9" x14ac:dyDescent="0.25">
      <c r="A6348">
        <v>652052</v>
      </c>
      <c r="B6348">
        <v>1.61</v>
      </c>
      <c r="C6348">
        <v>2880</v>
      </c>
      <c r="D6348" s="9">
        <v>43819</v>
      </c>
      <c r="E6348" t="s">
        <v>296</v>
      </c>
      <c r="I6348" s="9"/>
    </row>
    <row r="6349" spans="1:9" x14ac:dyDescent="0.25">
      <c r="A6349">
        <v>652052</v>
      </c>
      <c r="B6349">
        <v>1.61</v>
      </c>
      <c r="C6349">
        <v>2700</v>
      </c>
      <c r="D6349" s="9">
        <v>43760</v>
      </c>
      <c r="E6349" t="s">
        <v>296</v>
      </c>
      <c r="I6349" s="9"/>
    </row>
    <row r="6350" spans="1:9" x14ac:dyDescent="0.25">
      <c r="A6350">
        <v>652052</v>
      </c>
      <c r="B6350">
        <v>1.7</v>
      </c>
      <c r="C6350">
        <v>2160</v>
      </c>
      <c r="D6350" s="9">
        <v>43598</v>
      </c>
      <c r="E6350" t="s">
        <v>296</v>
      </c>
      <c r="I6350" s="9"/>
    </row>
    <row r="6351" spans="1:9" x14ac:dyDescent="0.25">
      <c r="A6351">
        <v>652052</v>
      </c>
      <c r="B6351">
        <v>1.7</v>
      </c>
      <c r="C6351">
        <v>2880</v>
      </c>
      <c r="D6351" s="9">
        <v>43473</v>
      </c>
      <c r="E6351" t="s">
        <v>296</v>
      </c>
      <c r="I6351" s="9"/>
    </row>
    <row r="6352" spans="1:9" x14ac:dyDescent="0.25">
      <c r="A6352">
        <v>652052</v>
      </c>
      <c r="B6352">
        <v>1.7</v>
      </c>
      <c r="C6352">
        <v>2880</v>
      </c>
      <c r="D6352" s="9">
        <v>43391</v>
      </c>
      <c r="E6352" t="s">
        <v>296</v>
      </c>
      <c r="I6352" s="9"/>
    </row>
    <row r="6353" spans="1:9" x14ac:dyDescent="0.25">
      <c r="A6353">
        <v>652052</v>
      </c>
      <c r="B6353">
        <v>6.76</v>
      </c>
      <c r="C6353">
        <v>2880</v>
      </c>
      <c r="D6353" s="9">
        <v>43285</v>
      </c>
      <c r="E6353" t="s">
        <v>295</v>
      </c>
      <c r="I6353" s="9"/>
    </row>
    <row r="6354" spans="1:9" x14ac:dyDescent="0.25">
      <c r="A6354">
        <v>652052</v>
      </c>
      <c r="B6354">
        <v>1.78</v>
      </c>
      <c r="C6354">
        <v>2880</v>
      </c>
      <c r="D6354" s="9">
        <v>43284</v>
      </c>
      <c r="E6354" t="s">
        <v>296</v>
      </c>
      <c r="I6354" s="9"/>
    </row>
    <row r="6355" spans="1:9" x14ac:dyDescent="0.25">
      <c r="A6355">
        <v>652052</v>
      </c>
      <c r="B6355">
        <v>1.78</v>
      </c>
      <c r="C6355">
        <v>2880</v>
      </c>
      <c r="D6355" s="9">
        <v>43234</v>
      </c>
      <c r="E6355" t="s">
        <v>296</v>
      </c>
      <c r="I6355" s="9"/>
    </row>
    <row r="6356" spans="1:9" x14ac:dyDescent="0.25">
      <c r="A6356">
        <v>652052</v>
      </c>
      <c r="B6356">
        <v>1.78</v>
      </c>
      <c r="C6356">
        <v>2160</v>
      </c>
      <c r="D6356" s="9">
        <v>43105</v>
      </c>
      <c r="E6356" t="s">
        <v>296</v>
      </c>
      <c r="I6356" s="9"/>
    </row>
    <row r="6357" spans="1:9" x14ac:dyDescent="0.25">
      <c r="A6357">
        <v>652052</v>
      </c>
      <c r="B6357">
        <v>1.9</v>
      </c>
      <c r="C6357">
        <v>2160</v>
      </c>
      <c r="D6357" s="9">
        <v>43017</v>
      </c>
      <c r="E6357" t="s">
        <v>296</v>
      </c>
      <c r="I6357" s="9"/>
    </row>
    <row r="6358" spans="1:9" x14ac:dyDescent="0.25">
      <c r="A6358">
        <v>652052</v>
      </c>
      <c r="B6358">
        <v>1.7</v>
      </c>
      <c r="C6358">
        <v>1512</v>
      </c>
      <c r="D6358" s="9">
        <v>42919</v>
      </c>
      <c r="E6358" t="s">
        <v>296</v>
      </c>
      <c r="I6358" s="9"/>
    </row>
    <row r="6359" spans="1:9" x14ac:dyDescent="0.25">
      <c r="A6359">
        <v>652052</v>
      </c>
      <c r="B6359">
        <v>1.7</v>
      </c>
      <c r="C6359">
        <v>1296</v>
      </c>
      <c r="D6359" s="9">
        <v>42753</v>
      </c>
      <c r="E6359" t="s">
        <v>296</v>
      </c>
      <c r="I6359" s="9"/>
    </row>
    <row r="6360" spans="1:9" x14ac:dyDescent="0.25">
      <c r="A6360">
        <v>652052</v>
      </c>
      <c r="B6360">
        <v>1.85</v>
      </c>
      <c r="C6360">
        <v>4176</v>
      </c>
      <c r="D6360" s="9">
        <v>42482</v>
      </c>
      <c r="E6360" t="s">
        <v>296</v>
      </c>
      <c r="I6360" s="9"/>
    </row>
    <row r="6361" spans="1:9" x14ac:dyDescent="0.25">
      <c r="A6361">
        <v>652052</v>
      </c>
      <c r="B6361">
        <v>2.02</v>
      </c>
      <c r="C6361">
        <v>2520</v>
      </c>
      <c r="D6361" s="9">
        <v>42397</v>
      </c>
      <c r="E6361" t="s">
        <v>296</v>
      </c>
      <c r="I6361" s="9"/>
    </row>
    <row r="6362" spans="1:9" x14ac:dyDescent="0.25">
      <c r="A6362">
        <v>652052</v>
      </c>
      <c r="B6362">
        <v>2.02</v>
      </c>
      <c r="C6362">
        <v>1440</v>
      </c>
      <c r="D6362" s="9">
        <v>42325</v>
      </c>
      <c r="E6362" t="s">
        <v>296</v>
      </c>
      <c r="I6362" s="9"/>
    </row>
    <row r="6363" spans="1:9" x14ac:dyDescent="0.25">
      <c r="A6363">
        <v>652052</v>
      </c>
      <c r="B6363">
        <v>2.0499999999999998</v>
      </c>
      <c r="C6363">
        <v>1800</v>
      </c>
      <c r="D6363" s="9">
        <v>42229</v>
      </c>
      <c r="E6363" t="s">
        <v>296</v>
      </c>
      <c r="I6363" s="9"/>
    </row>
    <row r="6364" spans="1:9" x14ac:dyDescent="0.25">
      <c r="A6364">
        <v>652052</v>
      </c>
      <c r="B6364">
        <v>2.0499999999999998</v>
      </c>
      <c r="C6364">
        <v>2160</v>
      </c>
      <c r="D6364" s="9">
        <v>42144</v>
      </c>
      <c r="E6364" t="s">
        <v>296</v>
      </c>
      <c r="I6364" s="9"/>
    </row>
    <row r="6365" spans="1:9" x14ac:dyDescent="0.25">
      <c r="A6365">
        <v>652052</v>
      </c>
      <c r="B6365">
        <v>2.3969999999999998</v>
      </c>
      <c r="C6365">
        <v>576</v>
      </c>
      <c r="D6365" s="9">
        <v>42129</v>
      </c>
      <c r="E6365" t="s">
        <v>296</v>
      </c>
      <c r="I6365" s="9"/>
    </row>
    <row r="6366" spans="1:9" x14ac:dyDescent="0.25">
      <c r="A6366">
        <v>652052</v>
      </c>
      <c r="B6366">
        <v>2.0499999999999998</v>
      </c>
      <c r="C6366">
        <v>504</v>
      </c>
      <c r="D6366" s="9">
        <v>41982</v>
      </c>
      <c r="E6366" t="s">
        <v>296</v>
      </c>
      <c r="I6366" s="9"/>
    </row>
    <row r="6367" spans="1:9" x14ac:dyDescent="0.25">
      <c r="A6367">
        <v>652052</v>
      </c>
      <c r="B6367">
        <v>2.3969999999999998</v>
      </c>
      <c r="C6367">
        <v>5400</v>
      </c>
      <c r="D6367" s="9">
        <v>41786</v>
      </c>
      <c r="E6367" t="s">
        <v>296</v>
      </c>
      <c r="I6367" s="9"/>
    </row>
    <row r="6368" spans="1:9" x14ac:dyDescent="0.25">
      <c r="A6368">
        <v>652052</v>
      </c>
      <c r="B6368">
        <v>2.35</v>
      </c>
      <c r="C6368">
        <v>4680</v>
      </c>
      <c r="D6368" s="9">
        <v>41682</v>
      </c>
      <c r="E6368" t="s">
        <v>296</v>
      </c>
      <c r="I6368" s="9"/>
    </row>
    <row r="6369" spans="1:9" x14ac:dyDescent="0.25">
      <c r="A6369">
        <v>652052</v>
      </c>
      <c r="B6369">
        <v>2.0499999999999998</v>
      </c>
      <c r="C6369">
        <v>4608</v>
      </c>
      <c r="D6369" s="9">
        <v>41526</v>
      </c>
      <c r="E6369" t="s">
        <v>296</v>
      </c>
      <c r="I6369" s="9"/>
    </row>
    <row r="6370" spans="1:9" x14ac:dyDescent="0.25">
      <c r="A6370">
        <v>652052</v>
      </c>
      <c r="B6370">
        <v>2.0499999999999998</v>
      </c>
      <c r="C6370">
        <v>2304</v>
      </c>
      <c r="D6370" s="9">
        <v>41417</v>
      </c>
      <c r="E6370" t="s">
        <v>296</v>
      </c>
      <c r="I6370" s="9"/>
    </row>
    <row r="6371" spans="1:9" x14ac:dyDescent="0.25">
      <c r="A6371">
        <v>652052</v>
      </c>
      <c r="B6371">
        <v>2.0499999999999998</v>
      </c>
      <c r="C6371">
        <v>2880</v>
      </c>
      <c r="D6371" s="9">
        <v>41417</v>
      </c>
      <c r="E6371" t="s">
        <v>296</v>
      </c>
      <c r="I6371" s="9"/>
    </row>
    <row r="6372" spans="1:9" x14ac:dyDescent="0.25">
      <c r="A6372">
        <v>652052</v>
      </c>
      <c r="B6372">
        <v>2.0499999999999998</v>
      </c>
      <c r="C6372">
        <v>2304</v>
      </c>
      <c r="D6372" s="9">
        <v>41330</v>
      </c>
      <c r="E6372" t="s">
        <v>296</v>
      </c>
      <c r="I6372" s="9"/>
    </row>
    <row r="6373" spans="1:9" x14ac:dyDescent="0.25">
      <c r="A6373">
        <v>652058</v>
      </c>
      <c r="B6373">
        <v>0.57999999999999996</v>
      </c>
      <c r="C6373">
        <v>1200</v>
      </c>
      <c r="D6373" s="9">
        <v>44068</v>
      </c>
      <c r="E6373" t="s">
        <v>296</v>
      </c>
      <c r="I6373" s="9"/>
    </row>
    <row r="6374" spans="1:9" x14ac:dyDescent="0.25">
      <c r="A6374">
        <v>652058</v>
      </c>
      <c r="B6374">
        <v>0.57999999999999996</v>
      </c>
      <c r="C6374">
        <v>1200</v>
      </c>
      <c r="D6374" s="9">
        <v>43959</v>
      </c>
      <c r="E6374" t="s">
        <v>296</v>
      </c>
      <c r="I6374" s="9"/>
    </row>
    <row r="6375" spans="1:9" x14ac:dyDescent="0.25">
      <c r="A6375">
        <v>652058</v>
      </c>
      <c r="B6375">
        <v>0.47299999999999998</v>
      </c>
      <c r="C6375">
        <v>2000</v>
      </c>
      <c r="D6375" s="9">
        <v>43340</v>
      </c>
      <c r="E6375" t="s">
        <v>296</v>
      </c>
      <c r="I6375" s="9"/>
    </row>
    <row r="6376" spans="1:9" x14ac:dyDescent="0.25">
      <c r="A6376">
        <v>652058</v>
      </c>
      <c r="B6376">
        <v>0.45</v>
      </c>
      <c r="C6376">
        <v>4320</v>
      </c>
      <c r="D6376" s="9">
        <v>42753</v>
      </c>
      <c r="E6376" t="s">
        <v>296</v>
      </c>
      <c r="I6376" s="9"/>
    </row>
    <row r="6377" spans="1:9" x14ac:dyDescent="0.25">
      <c r="A6377">
        <v>652060</v>
      </c>
      <c r="B6377">
        <v>4.6559999999999997</v>
      </c>
      <c r="C6377">
        <v>1000</v>
      </c>
      <c r="D6377" s="9">
        <v>44070</v>
      </c>
      <c r="E6377" t="s">
        <v>296</v>
      </c>
      <c r="I6377" s="9"/>
    </row>
    <row r="6378" spans="1:9" x14ac:dyDescent="0.25">
      <c r="A6378">
        <v>652060</v>
      </c>
      <c r="B6378">
        <v>4.7</v>
      </c>
      <c r="C6378">
        <v>800</v>
      </c>
      <c r="D6378" s="9">
        <v>44043</v>
      </c>
      <c r="E6378" t="s">
        <v>296</v>
      </c>
      <c r="I6378" s="9"/>
    </row>
    <row r="6379" spans="1:9" x14ac:dyDescent="0.25">
      <c r="A6379">
        <v>652060</v>
      </c>
      <c r="B6379">
        <v>4.7</v>
      </c>
      <c r="C6379">
        <v>840</v>
      </c>
      <c r="D6379" s="9">
        <v>43839</v>
      </c>
      <c r="E6379" t="s">
        <v>296</v>
      </c>
      <c r="I6379" s="9"/>
    </row>
    <row r="6380" spans="1:9" x14ac:dyDescent="0.25">
      <c r="A6380">
        <v>652060</v>
      </c>
      <c r="B6380">
        <v>4.7</v>
      </c>
      <c r="C6380">
        <v>800</v>
      </c>
      <c r="D6380" s="9">
        <v>43686</v>
      </c>
      <c r="E6380" t="s">
        <v>296</v>
      </c>
      <c r="I6380" s="9"/>
    </row>
    <row r="6381" spans="1:9" x14ac:dyDescent="0.25">
      <c r="A6381">
        <v>652060</v>
      </c>
      <c r="B6381">
        <v>4.7590000000000003</v>
      </c>
      <c r="C6381">
        <v>800</v>
      </c>
      <c r="D6381" s="9">
        <v>43427</v>
      </c>
      <c r="E6381" t="s">
        <v>296</v>
      </c>
      <c r="I6381" s="9"/>
    </row>
    <row r="6382" spans="1:9" x14ac:dyDescent="0.25">
      <c r="A6382">
        <v>652060</v>
      </c>
      <c r="B6382">
        <v>5.2</v>
      </c>
      <c r="C6382">
        <v>800</v>
      </c>
      <c r="D6382" s="9">
        <v>43409</v>
      </c>
      <c r="E6382" t="s">
        <v>296</v>
      </c>
      <c r="I6382" s="9"/>
    </row>
    <row r="6383" spans="1:9" x14ac:dyDescent="0.25">
      <c r="A6383">
        <v>652060</v>
      </c>
      <c r="B6383">
        <v>4.7590000000000003</v>
      </c>
      <c r="C6383">
        <v>800</v>
      </c>
      <c r="D6383" s="9">
        <v>43340</v>
      </c>
      <c r="E6383" t="s">
        <v>296</v>
      </c>
      <c r="I6383" s="9"/>
    </row>
    <row r="6384" spans="1:9" x14ac:dyDescent="0.25">
      <c r="A6384">
        <v>652060</v>
      </c>
      <c r="B6384">
        <v>4.532</v>
      </c>
      <c r="C6384">
        <v>800</v>
      </c>
      <c r="D6384" s="9">
        <v>43244</v>
      </c>
      <c r="E6384" t="s">
        <v>296</v>
      </c>
      <c r="I6384" s="9"/>
    </row>
    <row r="6385" spans="1:9" x14ac:dyDescent="0.25">
      <c r="A6385">
        <v>652060</v>
      </c>
      <c r="B6385">
        <v>4.4000000000000004</v>
      </c>
      <c r="C6385">
        <v>420</v>
      </c>
      <c r="D6385" s="9">
        <v>43063</v>
      </c>
      <c r="E6385" t="s">
        <v>296</v>
      </c>
      <c r="I6385" s="9"/>
    </row>
    <row r="6386" spans="1:9" x14ac:dyDescent="0.25">
      <c r="A6386">
        <v>652060</v>
      </c>
      <c r="B6386">
        <v>4.4000000000000004</v>
      </c>
      <c r="C6386">
        <v>580</v>
      </c>
      <c r="D6386" s="9">
        <v>42976</v>
      </c>
      <c r="E6386" t="s">
        <v>296</v>
      </c>
      <c r="I6386" s="9"/>
    </row>
    <row r="6387" spans="1:9" x14ac:dyDescent="0.25">
      <c r="A6387">
        <v>652060</v>
      </c>
      <c r="B6387">
        <v>4.4000000000000004</v>
      </c>
      <c r="C6387">
        <v>1000</v>
      </c>
      <c r="D6387" s="9">
        <v>42919</v>
      </c>
      <c r="E6387" t="s">
        <v>296</v>
      </c>
      <c r="I6387" s="9"/>
    </row>
    <row r="6388" spans="1:9" x14ac:dyDescent="0.25">
      <c r="A6388">
        <v>652060</v>
      </c>
      <c r="B6388">
        <v>4.4000000000000004</v>
      </c>
      <c r="C6388">
        <v>1000</v>
      </c>
      <c r="D6388" s="9">
        <v>42753</v>
      </c>
      <c r="E6388" t="s">
        <v>296</v>
      </c>
      <c r="I6388" s="9"/>
    </row>
    <row r="6389" spans="1:9" x14ac:dyDescent="0.25">
      <c r="A6389">
        <v>652060</v>
      </c>
      <c r="B6389">
        <v>4.8499999999999996</v>
      </c>
      <c r="C6389">
        <v>600</v>
      </c>
      <c r="D6389" s="9">
        <v>42573</v>
      </c>
      <c r="E6389" t="s">
        <v>296</v>
      </c>
      <c r="I6389" s="9"/>
    </row>
    <row r="6390" spans="1:9" x14ac:dyDescent="0.25">
      <c r="A6390">
        <v>652060</v>
      </c>
      <c r="B6390">
        <v>5.05</v>
      </c>
      <c r="C6390">
        <v>600</v>
      </c>
      <c r="D6390" s="9">
        <v>42482</v>
      </c>
      <c r="E6390" t="s">
        <v>296</v>
      </c>
      <c r="I6390" s="9"/>
    </row>
    <row r="6391" spans="1:9" x14ac:dyDescent="0.25">
      <c r="A6391">
        <v>652060</v>
      </c>
      <c r="B6391">
        <v>5.3</v>
      </c>
      <c r="C6391">
        <v>800</v>
      </c>
      <c r="D6391" s="9">
        <v>42397</v>
      </c>
      <c r="E6391" t="s">
        <v>296</v>
      </c>
      <c r="I6391" s="9"/>
    </row>
    <row r="6392" spans="1:9" x14ac:dyDescent="0.25">
      <c r="A6392">
        <v>652060</v>
      </c>
      <c r="B6392">
        <v>5.3</v>
      </c>
      <c r="C6392">
        <v>1000</v>
      </c>
      <c r="D6392" s="9">
        <v>42229</v>
      </c>
      <c r="E6392" t="s">
        <v>296</v>
      </c>
      <c r="I6392" s="9"/>
    </row>
    <row r="6393" spans="1:9" x14ac:dyDescent="0.25">
      <c r="A6393">
        <v>652060</v>
      </c>
      <c r="B6393">
        <v>5.3</v>
      </c>
      <c r="C6393">
        <v>1000</v>
      </c>
      <c r="D6393" s="9">
        <v>42144</v>
      </c>
      <c r="E6393" t="s">
        <v>296</v>
      </c>
      <c r="I6393" s="9"/>
    </row>
    <row r="6394" spans="1:9" x14ac:dyDescent="0.25">
      <c r="A6394">
        <v>652060</v>
      </c>
      <c r="B6394">
        <v>5.7</v>
      </c>
      <c r="C6394">
        <v>600</v>
      </c>
      <c r="D6394" s="9">
        <v>41982</v>
      </c>
      <c r="E6394" t="s">
        <v>296</v>
      </c>
      <c r="I6394" s="9"/>
    </row>
    <row r="6395" spans="1:9" x14ac:dyDescent="0.25">
      <c r="A6395">
        <v>652060</v>
      </c>
      <c r="B6395">
        <v>6</v>
      </c>
      <c r="C6395">
        <v>800</v>
      </c>
      <c r="D6395" s="9">
        <v>41837</v>
      </c>
      <c r="E6395" t="s">
        <v>296</v>
      </c>
      <c r="I6395" s="9"/>
    </row>
    <row r="6396" spans="1:9" x14ac:dyDescent="0.25">
      <c r="A6396">
        <v>652060</v>
      </c>
      <c r="B6396">
        <v>6</v>
      </c>
      <c r="C6396">
        <v>600</v>
      </c>
      <c r="D6396" s="9">
        <v>41747</v>
      </c>
      <c r="E6396" t="s">
        <v>296</v>
      </c>
      <c r="I6396" s="9"/>
    </row>
    <row r="6397" spans="1:9" x14ac:dyDescent="0.25">
      <c r="A6397">
        <v>652060</v>
      </c>
      <c r="B6397">
        <v>6</v>
      </c>
      <c r="C6397">
        <v>800</v>
      </c>
      <c r="D6397" s="9">
        <v>41718</v>
      </c>
      <c r="E6397" t="s">
        <v>296</v>
      </c>
      <c r="I6397" s="9"/>
    </row>
    <row r="6398" spans="1:9" x14ac:dyDescent="0.25">
      <c r="A6398">
        <v>652060</v>
      </c>
      <c r="B6398">
        <v>6</v>
      </c>
      <c r="C6398">
        <v>360</v>
      </c>
      <c r="D6398" s="9">
        <v>41618</v>
      </c>
      <c r="E6398" t="s">
        <v>296</v>
      </c>
      <c r="I6398" s="9"/>
    </row>
    <row r="6399" spans="1:9" x14ac:dyDescent="0.25">
      <c r="A6399">
        <v>652062</v>
      </c>
      <c r="B6399">
        <v>5.15</v>
      </c>
      <c r="C6399">
        <v>500</v>
      </c>
      <c r="D6399" s="9">
        <v>43760</v>
      </c>
      <c r="E6399" t="s">
        <v>296</v>
      </c>
      <c r="I6399" s="9"/>
    </row>
    <row r="6400" spans="1:9" x14ac:dyDescent="0.25">
      <c r="A6400">
        <v>652062</v>
      </c>
      <c r="B6400">
        <v>5.45</v>
      </c>
      <c r="C6400">
        <v>500</v>
      </c>
      <c r="D6400" s="9">
        <v>43489</v>
      </c>
      <c r="E6400" t="s">
        <v>296</v>
      </c>
      <c r="I6400" s="9"/>
    </row>
    <row r="6401" spans="1:9" x14ac:dyDescent="0.25">
      <c r="A6401">
        <v>652070</v>
      </c>
      <c r="B6401">
        <v>7.2</v>
      </c>
      <c r="C6401">
        <v>240</v>
      </c>
      <c r="D6401" s="9">
        <v>43784</v>
      </c>
      <c r="E6401" t="s">
        <v>296</v>
      </c>
      <c r="I6401" s="9"/>
    </row>
    <row r="6402" spans="1:9" x14ac:dyDescent="0.25">
      <c r="A6402">
        <v>652070</v>
      </c>
      <c r="B6402">
        <v>7.2</v>
      </c>
      <c r="C6402">
        <v>240</v>
      </c>
      <c r="D6402" s="9">
        <v>43612</v>
      </c>
      <c r="E6402" t="s">
        <v>296</v>
      </c>
      <c r="I6402" s="9"/>
    </row>
    <row r="6403" spans="1:9" x14ac:dyDescent="0.25">
      <c r="A6403">
        <v>652070</v>
      </c>
      <c r="B6403">
        <v>6.15</v>
      </c>
      <c r="C6403">
        <v>200</v>
      </c>
      <c r="D6403" s="9">
        <v>42859</v>
      </c>
      <c r="E6403" t="s">
        <v>296</v>
      </c>
      <c r="I6403" s="9"/>
    </row>
    <row r="6404" spans="1:9" x14ac:dyDescent="0.25">
      <c r="A6404">
        <v>654100</v>
      </c>
      <c r="B6404">
        <v>0.17</v>
      </c>
      <c r="C6404">
        <v>1000</v>
      </c>
      <c r="D6404" s="9">
        <v>42031</v>
      </c>
      <c r="E6404" t="s">
        <v>296</v>
      </c>
      <c r="I6404" s="9"/>
    </row>
    <row r="6405" spans="1:9" x14ac:dyDescent="0.25">
      <c r="A6405">
        <v>654230</v>
      </c>
      <c r="B6405">
        <v>0.1</v>
      </c>
      <c r="C6405">
        <v>20000</v>
      </c>
      <c r="D6405" s="9">
        <v>42144</v>
      </c>
      <c r="E6405" t="s">
        <v>296</v>
      </c>
      <c r="I6405" s="9"/>
    </row>
    <row r="6406" spans="1:9" x14ac:dyDescent="0.25">
      <c r="A6406">
        <v>654233</v>
      </c>
      <c r="B6406">
        <v>0.12</v>
      </c>
      <c r="C6406">
        <v>20000</v>
      </c>
      <c r="D6406" s="9">
        <v>42144</v>
      </c>
      <c r="E6406" t="s">
        <v>296</v>
      </c>
      <c r="I6406" s="9"/>
    </row>
    <row r="6407" spans="1:9" x14ac:dyDescent="0.25">
      <c r="A6407">
        <v>654382</v>
      </c>
      <c r="B6407">
        <v>0.12</v>
      </c>
      <c r="C6407">
        <v>10000</v>
      </c>
      <c r="D6407" s="9">
        <v>41877</v>
      </c>
      <c r="E6407" t="s">
        <v>296</v>
      </c>
      <c r="I6407" s="9"/>
    </row>
    <row r="6408" spans="1:9" x14ac:dyDescent="0.25">
      <c r="A6408">
        <v>654384</v>
      </c>
      <c r="B6408">
        <v>0.13</v>
      </c>
      <c r="C6408">
        <v>10000</v>
      </c>
      <c r="D6408" s="9">
        <v>41877</v>
      </c>
      <c r="E6408" t="s">
        <v>296</v>
      </c>
      <c r="I6408" s="9"/>
    </row>
    <row r="6409" spans="1:9" x14ac:dyDescent="0.25">
      <c r="A6409">
        <v>654385</v>
      </c>
      <c r="B6409">
        <v>0.13</v>
      </c>
      <c r="C6409">
        <v>10000</v>
      </c>
      <c r="D6409" s="9">
        <v>41746</v>
      </c>
      <c r="E6409" t="s">
        <v>296</v>
      </c>
      <c r="I6409" s="9"/>
    </row>
    <row r="6410" spans="1:9" x14ac:dyDescent="0.25">
      <c r="A6410">
        <v>654386</v>
      </c>
      <c r="B6410">
        <v>1.2</v>
      </c>
      <c r="C6410">
        <v>500</v>
      </c>
      <c r="D6410" s="9">
        <v>41877</v>
      </c>
      <c r="E6410" t="s">
        <v>296</v>
      </c>
      <c r="I6410" s="9"/>
    </row>
    <row r="6411" spans="1:9" x14ac:dyDescent="0.25">
      <c r="A6411">
        <v>654386</v>
      </c>
      <c r="B6411">
        <v>1.2</v>
      </c>
      <c r="C6411">
        <v>50</v>
      </c>
      <c r="D6411" s="9">
        <v>41746</v>
      </c>
      <c r="E6411" t="s">
        <v>296</v>
      </c>
      <c r="I6411" s="9"/>
    </row>
    <row r="6412" spans="1:9" x14ac:dyDescent="0.25">
      <c r="A6412">
        <v>654387</v>
      </c>
      <c r="B6412">
        <v>0.7</v>
      </c>
      <c r="C6412">
        <v>500</v>
      </c>
      <c r="D6412" s="9">
        <v>41877</v>
      </c>
      <c r="E6412" t="s">
        <v>296</v>
      </c>
      <c r="I6412" s="9"/>
    </row>
    <row r="6413" spans="1:9" x14ac:dyDescent="0.25">
      <c r="A6413">
        <v>654390</v>
      </c>
      <c r="B6413">
        <v>0.02</v>
      </c>
      <c r="C6413">
        <v>10000</v>
      </c>
      <c r="D6413" s="9">
        <v>42031</v>
      </c>
      <c r="E6413" t="s">
        <v>296</v>
      </c>
      <c r="I6413" s="9"/>
    </row>
    <row r="6414" spans="1:9" x14ac:dyDescent="0.25">
      <c r="A6414">
        <v>654391</v>
      </c>
      <c r="B6414">
        <v>0.19</v>
      </c>
      <c r="C6414">
        <v>10000</v>
      </c>
      <c r="D6414" s="9">
        <v>42031</v>
      </c>
      <c r="E6414" t="s">
        <v>296</v>
      </c>
      <c r="I6414" s="9"/>
    </row>
    <row r="6415" spans="1:9" x14ac:dyDescent="0.25">
      <c r="A6415">
        <v>654391</v>
      </c>
      <c r="B6415">
        <v>0.19</v>
      </c>
      <c r="C6415">
        <v>10000</v>
      </c>
      <c r="D6415" s="9">
        <v>41877</v>
      </c>
      <c r="E6415" t="s">
        <v>296</v>
      </c>
      <c r="I6415" s="9"/>
    </row>
    <row r="6416" spans="1:9" x14ac:dyDescent="0.25">
      <c r="A6416">
        <v>654392</v>
      </c>
      <c r="B6416">
        <v>0.14000000000000001</v>
      </c>
      <c r="C6416">
        <v>10000</v>
      </c>
      <c r="D6416" s="9">
        <v>42031</v>
      </c>
      <c r="E6416" t="s">
        <v>296</v>
      </c>
      <c r="I6416" s="9"/>
    </row>
    <row r="6417" spans="1:9" x14ac:dyDescent="0.25">
      <c r="A6417">
        <v>654392</v>
      </c>
      <c r="B6417">
        <v>0.14000000000000001</v>
      </c>
      <c r="C6417">
        <v>30000</v>
      </c>
      <c r="D6417" s="9">
        <v>41877</v>
      </c>
      <c r="E6417" t="s">
        <v>296</v>
      </c>
      <c r="I6417" s="9"/>
    </row>
    <row r="6418" spans="1:9" x14ac:dyDescent="0.25">
      <c r="A6418">
        <v>654393</v>
      </c>
      <c r="B6418">
        <v>0.105</v>
      </c>
      <c r="C6418">
        <v>10000</v>
      </c>
      <c r="D6418" s="9">
        <v>41877</v>
      </c>
      <c r="E6418" t="s">
        <v>296</v>
      </c>
      <c r="I6418" s="9"/>
    </row>
    <row r="6419" spans="1:9" x14ac:dyDescent="0.25">
      <c r="A6419">
        <v>654394</v>
      </c>
      <c r="B6419">
        <v>0.11</v>
      </c>
      <c r="C6419">
        <v>20000</v>
      </c>
      <c r="D6419" s="9">
        <v>42144</v>
      </c>
      <c r="E6419" t="s">
        <v>296</v>
      </c>
      <c r="I6419" s="9"/>
    </row>
    <row r="6420" spans="1:9" x14ac:dyDescent="0.25">
      <c r="A6420">
        <v>660036</v>
      </c>
      <c r="B6420">
        <v>0.82</v>
      </c>
      <c r="C6420">
        <v>13600</v>
      </c>
      <c r="D6420" s="9">
        <v>44011</v>
      </c>
      <c r="E6420" t="s">
        <v>295</v>
      </c>
      <c r="I6420" s="9"/>
    </row>
    <row r="6421" spans="1:9" x14ac:dyDescent="0.25">
      <c r="A6421">
        <v>660050</v>
      </c>
      <c r="B6421">
        <v>0.47899999999999998</v>
      </c>
      <c r="C6421">
        <v>1536</v>
      </c>
      <c r="D6421" s="9">
        <v>44018</v>
      </c>
      <c r="E6421" t="s">
        <v>296</v>
      </c>
      <c r="I6421" s="9"/>
    </row>
    <row r="6422" spans="1:9" x14ac:dyDescent="0.25">
      <c r="A6422">
        <v>660050</v>
      </c>
      <c r="B6422">
        <v>0.47899999999999998</v>
      </c>
      <c r="C6422">
        <v>1200</v>
      </c>
      <c r="D6422" s="9">
        <v>43829</v>
      </c>
      <c r="E6422" t="s">
        <v>296</v>
      </c>
      <c r="I6422" s="9"/>
    </row>
    <row r="6423" spans="1:9" x14ac:dyDescent="0.25">
      <c r="A6423">
        <v>660050</v>
      </c>
      <c r="B6423">
        <v>0.5</v>
      </c>
      <c r="C6423">
        <v>1536</v>
      </c>
      <c r="D6423" s="9">
        <v>43760</v>
      </c>
      <c r="E6423" t="s">
        <v>296</v>
      </c>
      <c r="I6423" s="9"/>
    </row>
    <row r="6424" spans="1:9" x14ac:dyDescent="0.25">
      <c r="A6424">
        <v>660050</v>
      </c>
      <c r="B6424">
        <v>0.501</v>
      </c>
      <c r="C6424">
        <v>1536</v>
      </c>
      <c r="D6424" s="9">
        <v>43598</v>
      </c>
      <c r="E6424" t="s">
        <v>296</v>
      </c>
      <c r="I6424" s="9"/>
    </row>
    <row r="6425" spans="1:9" x14ac:dyDescent="0.25">
      <c r="A6425">
        <v>660050</v>
      </c>
      <c r="B6425">
        <v>0.43</v>
      </c>
      <c r="C6425">
        <v>2700</v>
      </c>
      <c r="D6425" s="9">
        <v>42976</v>
      </c>
      <c r="E6425" t="s">
        <v>296</v>
      </c>
      <c r="I6425" s="9"/>
    </row>
    <row r="6426" spans="1:9" x14ac:dyDescent="0.25">
      <c r="A6426">
        <v>660050</v>
      </c>
      <c r="B6426">
        <v>0.42499999999999999</v>
      </c>
      <c r="C6426">
        <v>2400</v>
      </c>
      <c r="D6426" s="9">
        <v>42676</v>
      </c>
      <c r="E6426" t="s">
        <v>297</v>
      </c>
      <c r="I6426" s="9"/>
    </row>
    <row r="6427" spans="1:9" x14ac:dyDescent="0.25">
      <c r="A6427">
        <v>660050</v>
      </c>
      <c r="B6427">
        <v>0.39500000000000002</v>
      </c>
      <c r="C6427">
        <v>2500</v>
      </c>
      <c r="D6427" s="9">
        <v>42233</v>
      </c>
      <c r="E6427" t="s">
        <v>297</v>
      </c>
      <c r="I6427" s="9"/>
    </row>
    <row r="6428" spans="1:9" x14ac:dyDescent="0.25">
      <c r="A6428">
        <v>660050</v>
      </c>
      <c r="B6428">
        <v>0.44700000000000001</v>
      </c>
      <c r="C6428">
        <v>2400</v>
      </c>
      <c r="D6428" s="9">
        <v>41786</v>
      </c>
      <c r="E6428" t="s">
        <v>296</v>
      </c>
      <c r="I6428" s="9"/>
    </row>
    <row r="6429" spans="1:9" x14ac:dyDescent="0.25">
      <c r="A6429">
        <v>660050</v>
      </c>
      <c r="B6429">
        <v>0.6</v>
      </c>
      <c r="C6429">
        <v>1440</v>
      </c>
      <c r="D6429" s="9">
        <v>41592</v>
      </c>
      <c r="E6429" t="s">
        <v>296</v>
      </c>
      <c r="I6429" s="9"/>
    </row>
    <row r="6430" spans="1:9" x14ac:dyDescent="0.25">
      <c r="A6430">
        <v>660050</v>
      </c>
      <c r="B6430">
        <v>0.60499999999999998</v>
      </c>
      <c r="C6430">
        <v>1536</v>
      </c>
      <c r="D6430" s="9">
        <v>41281</v>
      </c>
      <c r="E6430" t="s">
        <v>296</v>
      </c>
      <c r="I6430" s="9"/>
    </row>
    <row r="6431" spans="1:9" x14ac:dyDescent="0.25">
      <c r="A6431">
        <v>660100</v>
      </c>
      <c r="B6431">
        <v>0.88700000000000001</v>
      </c>
      <c r="C6431">
        <v>1536</v>
      </c>
      <c r="D6431" s="9">
        <v>43944</v>
      </c>
      <c r="E6431" t="s">
        <v>296</v>
      </c>
      <c r="I6431" s="9"/>
    </row>
    <row r="6432" spans="1:9" x14ac:dyDescent="0.25">
      <c r="A6432">
        <v>660100</v>
      </c>
      <c r="B6432">
        <v>0.88700000000000001</v>
      </c>
      <c r="C6432">
        <v>1920</v>
      </c>
      <c r="D6432" s="9">
        <v>43598</v>
      </c>
      <c r="E6432" t="s">
        <v>296</v>
      </c>
      <c r="I6432" s="9"/>
    </row>
    <row r="6433" spans="1:9" x14ac:dyDescent="0.25">
      <c r="A6433">
        <v>660100</v>
      </c>
      <c r="B6433">
        <v>0.86499999999999999</v>
      </c>
      <c r="C6433">
        <v>2880</v>
      </c>
      <c r="D6433" s="9">
        <v>41961</v>
      </c>
      <c r="E6433" t="s">
        <v>296</v>
      </c>
      <c r="I6433" s="9"/>
    </row>
    <row r="6434" spans="1:9" x14ac:dyDescent="0.25">
      <c r="A6434">
        <v>660100</v>
      </c>
      <c r="B6434">
        <v>0.86499999999999999</v>
      </c>
      <c r="C6434">
        <v>1920</v>
      </c>
      <c r="D6434" s="9">
        <v>41786</v>
      </c>
      <c r="E6434" t="s">
        <v>296</v>
      </c>
      <c r="I6434" s="9"/>
    </row>
    <row r="6435" spans="1:9" x14ac:dyDescent="0.25">
      <c r="A6435">
        <v>660100</v>
      </c>
      <c r="B6435">
        <v>0.88</v>
      </c>
      <c r="C6435">
        <v>2400</v>
      </c>
      <c r="D6435" s="9">
        <v>41765</v>
      </c>
      <c r="E6435" t="s">
        <v>296</v>
      </c>
      <c r="I6435" s="9"/>
    </row>
    <row r="6436" spans="1:9" x14ac:dyDescent="0.25">
      <c r="A6436">
        <v>660100</v>
      </c>
      <c r="B6436">
        <v>0.98</v>
      </c>
      <c r="C6436">
        <v>1536</v>
      </c>
      <c r="D6436" s="9">
        <v>41592</v>
      </c>
      <c r="E6436" t="s">
        <v>296</v>
      </c>
      <c r="I6436" s="9"/>
    </row>
    <row r="6437" spans="1:9" x14ac:dyDescent="0.25">
      <c r="A6437">
        <v>660100</v>
      </c>
      <c r="B6437">
        <v>0.96</v>
      </c>
      <c r="C6437">
        <v>864</v>
      </c>
      <c r="D6437" s="9">
        <v>41592</v>
      </c>
      <c r="E6437" t="s">
        <v>296</v>
      </c>
      <c r="I6437" s="9"/>
    </row>
    <row r="6438" spans="1:9" x14ac:dyDescent="0.25">
      <c r="A6438">
        <v>660100</v>
      </c>
      <c r="B6438">
        <v>0.94499999999999995</v>
      </c>
      <c r="C6438">
        <v>960</v>
      </c>
      <c r="D6438" s="9">
        <v>41281</v>
      </c>
      <c r="E6438" t="s">
        <v>296</v>
      </c>
      <c r="I6438" s="9"/>
    </row>
    <row r="6439" spans="1:9" x14ac:dyDescent="0.25">
      <c r="A6439">
        <v>660111</v>
      </c>
      <c r="B6439">
        <v>1.47</v>
      </c>
      <c r="C6439">
        <v>120</v>
      </c>
      <c r="D6439" s="9">
        <v>44148</v>
      </c>
      <c r="E6439" t="s">
        <v>295</v>
      </c>
      <c r="I6439" s="9"/>
    </row>
    <row r="6440" spans="1:9" x14ac:dyDescent="0.25">
      <c r="A6440">
        <v>660111</v>
      </c>
      <c r="B6440">
        <v>1.37</v>
      </c>
      <c r="C6440">
        <v>120</v>
      </c>
      <c r="D6440" s="9">
        <v>43664</v>
      </c>
      <c r="E6440" t="s">
        <v>295</v>
      </c>
      <c r="I6440" s="9"/>
    </row>
    <row r="6441" spans="1:9" x14ac:dyDescent="0.25">
      <c r="A6441">
        <v>660111</v>
      </c>
      <c r="B6441">
        <v>1.37</v>
      </c>
      <c r="C6441">
        <v>240</v>
      </c>
      <c r="D6441" s="9">
        <v>43444</v>
      </c>
      <c r="E6441" t="s">
        <v>295</v>
      </c>
      <c r="I6441" s="9"/>
    </row>
    <row r="6442" spans="1:9" x14ac:dyDescent="0.25">
      <c r="A6442">
        <v>660111</v>
      </c>
      <c r="B6442">
        <v>1.37</v>
      </c>
      <c r="C6442">
        <v>120</v>
      </c>
      <c r="D6442" s="9">
        <v>43123</v>
      </c>
      <c r="E6442" t="s">
        <v>295</v>
      </c>
      <c r="I6442" s="9"/>
    </row>
    <row r="6443" spans="1:9" x14ac:dyDescent="0.25">
      <c r="A6443">
        <v>660111</v>
      </c>
      <c r="B6443">
        <v>1.37</v>
      </c>
      <c r="C6443">
        <v>60</v>
      </c>
      <c r="D6443" s="9">
        <v>43047</v>
      </c>
      <c r="E6443" t="s">
        <v>295</v>
      </c>
      <c r="I6443" s="9"/>
    </row>
    <row r="6444" spans="1:9" x14ac:dyDescent="0.25">
      <c r="A6444">
        <v>660111</v>
      </c>
      <c r="B6444">
        <v>1.37</v>
      </c>
      <c r="C6444">
        <v>60</v>
      </c>
      <c r="D6444" s="9">
        <v>42891</v>
      </c>
      <c r="E6444" t="s">
        <v>295</v>
      </c>
      <c r="I6444" s="9"/>
    </row>
    <row r="6445" spans="1:9" x14ac:dyDescent="0.25">
      <c r="A6445">
        <v>660111</v>
      </c>
      <c r="B6445">
        <v>1.37</v>
      </c>
      <c r="C6445">
        <v>60</v>
      </c>
      <c r="D6445" s="9">
        <v>42836</v>
      </c>
      <c r="E6445" t="s">
        <v>295</v>
      </c>
      <c r="I6445" s="9"/>
    </row>
    <row r="6446" spans="1:9" x14ac:dyDescent="0.25">
      <c r="A6446">
        <v>660111</v>
      </c>
      <c r="B6446">
        <v>1.37</v>
      </c>
      <c r="C6446">
        <v>120</v>
      </c>
      <c r="D6446" s="9">
        <v>42614</v>
      </c>
      <c r="E6446" t="s">
        <v>295</v>
      </c>
      <c r="I6446" s="9"/>
    </row>
    <row r="6447" spans="1:9" x14ac:dyDescent="0.25">
      <c r="A6447">
        <v>660111</v>
      </c>
      <c r="B6447">
        <v>1.37</v>
      </c>
      <c r="C6447">
        <v>60</v>
      </c>
      <c r="D6447" s="9">
        <v>42508</v>
      </c>
      <c r="E6447" t="s">
        <v>295</v>
      </c>
      <c r="I6447" s="9"/>
    </row>
    <row r="6448" spans="1:9" x14ac:dyDescent="0.25">
      <c r="A6448">
        <v>660111</v>
      </c>
      <c r="B6448">
        <v>1.3</v>
      </c>
      <c r="C6448">
        <v>20</v>
      </c>
      <c r="D6448" s="9">
        <v>42347</v>
      </c>
      <c r="E6448" t="s">
        <v>295</v>
      </c>
      <c r="I6448" s="9"/>
    </row>
    <row r="6449" spans="1:9" x14ac:dyDescent="0.25">
      <c r="A6449">
        <v>660111</v>
      </c>
      <c r="B6449">
        <v>1.25</v>
      </c>
      <c r="C6449">
        <v>48</v>
      </c>
      <c r="D6449" s="9">
        <v>42265</v>
      </c>
      <c r="E6449" t="s">
        <v>295</v>
      </c>
      <c r="I6449" s="9"/>
    </row>
    <row r="6450" spans="1:9" x14ac:dyDescent="0.25">
      <c r="A6450">
        <v>660111</v>
      </c>
      <c r="B6450">
        <v>0</v>
      </c>
      <c r="C6450">
        <v>48</v>
      </c>
      <c r="D6450" s="9">
        <v>42081</v>
      </c>
      <c r="E6450" t="s">
        <v>295</v>
      </c>
      <c r="I6450" s="9"/>
    </row>
    <row r="6451" spans="1:9" x14ac:dyDescent="0.25">
      <c r="A6451">
        <v>660111</v>
      </c>
      <c r="B6451">
        <v>1.34</v>
      </c>
      <c r="C6451">
        <v>70</v>
      </c>
      <c r="D6451" s="9">
        <v>41892</v>
      </c>
      <c r="E6451" t="s">
        <v>295</v>
      </c>
      <c r="I6451" s="9"/>
    </row>
    <row r="6452" spans="1:9" x14ac:dyDescent="0.25">
      <c r="A6452">
        <v>660115</v>
      </c>
      <c r="B6452">
        <v>1.63</v>
      </c>
      <c r="C6452">
        <v>120</v>
      </c>
      <c r="D6452" s="9">
        <v>44148</v>
      </c>
      <c r="E6452" t="s">
        <v>295</v>
      </c>
      <c r="I6452" s="9"/>
    </row>
    <row r="6453" spans="1:9" x14ac:dyDescent="0.25">
      <c r="A6453">
        <v>660115</v>
      </c>
      <c r="B6453">
        <v>1.52</v>
      </c>
      <c r="C6453">
        <v>240</v>
      </c>
      <c r="D6453" s="9">
        <v>43444</v>
      </c>
      <c r="E6453" t="s">
        <v>295</v>
      </c>
      <c r="I6453" s="9"/>
    </row>
    <row r="6454" spans="1:9" x14ac:dyDescent="0.25">
      <c r="A6454">
        <v>660115</v>
      </c>
      <c r="B6454">
        <v>1.52</v>
      </c>
      <c r="C6454">
        <v>120</v>
      </c>
      <c r="D6454" s="9">
        <v>43123</v>
      </c>
      <c r="E6454" t="s">
        <v>295</v>
      </c>
      <c r="I6454" s="9"/>
    </row>
    <row r="6455" spans="1:9" x14ac:dyDescent="0.25">
      <c r="A6455">
        <v>660115</v>
      </c>
      <c r="B6455">
        <v>1.52</v>
      </c>
      <c r="C6455">
        <v>120</v>
      </c>
      <c r="D6455" s="9">
        <v>43047</v>
      </c>
      <c r="E6455" t="s">
        <v>295</v>
      </c>
      <c r="I6455" s="9"/>
    </row>
    <row r="6456" spans="1:9" x14ac:dyDescent="0.25">
      <c r="A6456">
        <v>660115</v>
      </c>
      <c r="B6456">
        <v>1.52</v>
      </c>
      <c r="C6456">
        <v>60</v>
      </c>
      <c r="D6456" s="9">
        <v>42891</v>
      </c>
      <c r="E6456" t="s">
        <v>295</v>
      </c>
      <c r="I6456" s="9"/>
    </row>
    <row r="6457" spans="1:9" x14ac:dyDescent="0.25">
      <c r="A6457">
        <v>660115</v>
      </c>
      <c r="B6457">
        <v>1.52</v>
      </c>
      <c r="C6457">
        <v>120</v>
      </c>
      <c r="D6457" s="9">
        <v>42836</v>
      </c>
      <c r="E6457" t="s">
        <v>295</v>
      </c>
      <c r="I6457" s="9"/>
    </row>
    <row r="6458" spans="1:9" x14ac:dyDescent="0.25">
      <c r="A6458">
        <v>660115</v>
      </c>
      <c r="B6458">
        <v>1.52</v>
      </c>
      <c r="C6458">
        <v>60</v>
      </c>
      <c r="D6458" s="9">
        <v>42614</v>
      </c>
      <c r="E6458" t="s">
        <v>295</v>
      </c>
      <c r="I6458" s="9"/>
    </row>
    <row r="6459" spans="1:9" x14ac:dyDescent="0.25">
      <c r="A6459">
        <v>660115</v>
      </c>
      <c r="B6459">
        <v>1.52</v>
      </c>
      <c r="C6459">
        <v>60</v>
      </c>
      <c r="D6459" s="9">
        <v>42508</v>
      </c>
      <c r="E6459" t="s">
        <v>295</v>
      </c>
      <c r="I6459" s="9"/>
    </row>
    <row r="6460" spans="1:9" x14ac:dyDescent="0.25">
      <c r="A6460">
        <v>660115</v>
      </c>
      <c r="B6460">
        <v>1.45</v>
      </c>
      <c r="C6460">
        <v>48</v>
      </c>
      <c r="D6460" s="9">
        <v>42347</v>
      </c>
      <c r="E6460" t="s">
        <v>295</v>
      </c>
      <c r="I6460" s="9"/>
    </row>
    <row r="6461" spans="1:9" x14ac:dyDescent="0.25">
      <c r="A6461">
        <v>660115</v>
      </c>
      <c r="B6461">
        <v>1.73</v>
      </c>
      <c r="C6461">
        <v>100</v>
      </c>
      <c r="D6461" s="9">
        <v>41892</v>
      </c>
      <c r="E6461" t="s">
        <v>295</v>
      </c>
      <c r="I6461" s="9"/>
    </row>
    <row r="6462" spans="1:9" x14ac:dyDescent="0.25">
      <c r="A6462">
        <v>660121</v>
      </c>
      <c r="B6462">
        <v>1.85</v>
      </c>
      <c r="C6462">
        <v>120</v>
      </c>
      <c r="D6462" s="9">
        <v>44148</v>
      </c>
      <c r="E6462" t="s">
        <v>295</v>
      </c>
      <c r="I6462" s="9"/>
    </row>
    <row r="6463" spans="1:9" x14ac:dyDescent="0.25">
      <c r="A6463">
        <v>660121</v>
      </c>
      <c r="B6463">
        <v>1.73</v>
      </c>
      <c r="C6463">
        <v>120</v>
      </c>
      <c r="D6463" s="9">
        <v>43838</v>
      </c>
      <c r="E6463" t="s">
        <v>295</v>
      </c>
      <c r="I6463" s="9"/>
    </row>
    <row r="6464" spans="1:9" x14ac:dyDescent="0.25">
      <c r="A6464">
        <v>660121</v>
      </c>
      <c r="B6464">
        <v>1.73</v>
      </c>
      <c r="C6464">
        <v>120</v>
      </c>
      <c r="D6464" s="9">
        <v>43511</v>
      </c>
      <c r="E6464" t="s">
        <v>295</v>
      </c>
      <c r="I6464" s="9"/>
    </row>
    <row r="6465" spans="1:9" x14ac:dyDescent="0.25">
      <c r="A6465">
        <v>660121</v>
      </c>
      <c r="B6465">
        <v>1.73</v>
      </c>
      <c r="C6465">
        <v>300</v>
      </c>
      <c r="D6465" s="9">
        <v>43444</v>
      </c>
      <c r="E6465" t="s">
        <v>295</v>
      </c>
      <c r="I6465" s="9"/>
    </row>
    <row r="6466" spans="1:9" x14ac:dyDescent="0.25">
      <c r="A6466">
        <v>660121</v>
      </c>
      <c r="B6466">
        <v>1.73</v>
      </c>
      <c r="C6466">
        <v>120</v>
      </c>
      <c r="D6466" s="9">
        <v>43207</v>
      </c>
      <c r="E6466" t="s">
        <v>295</v>
      </c>
      <c r="I6466" s="9"/>
    </row>
    <row r="6467" spans="1:9" x14ac:dyDescent="0.25">
      <c r="A6467">
        <v>660121</v>
      </c>
      <c r="B6467">
        <v>1.73</v>
      </c>
      <c r="C6467">
        <v>120</v>
      </c>
      <c r="D6467" s="9">
        <v>43123</v>
      </c>
      <c r="E6467" t="s">
        <v>295</v>
      </c>
      <c r="I6467" s="9"/>
    </row>
    <row r="6468" spans="1:9" x14ac:dyDescent="0.25">
      <c r="A6468">
        <v>660121</v>
      </c>
      <c r="B6468">
        <v>1.73</v>
      </c>
      <c r="C6468">
        <v>180</v>
      </c>
      <c r="D6468" s="9">
        <v>43047</v>
      </c>
      <c r="E6468" t="s">
        <v>295</v>
      </c>
      <c r="I6468" s="9"/>
    </row>
    <row r="6469" spans="1:9" x14ac:dyDescent="0.25">
      <c r="A6469">
        <v>660121</v>
      </c>
      <c r="B6469">
        <v>1.73</v>
      </c>
      <c r="C6469">
        <v>120</v>
      </c>
      <c r="D6469" s="9">
        <v>42943</v>
      </c>
      <c r="E6469" t="s">
        <v>295</v>
      </c>
      <c r="I6469" s="9"/>
    </row>
    <row r="6470" spans="1:9" x14ac:dyDescent="0.25">
      <c r="A6470">
        <v>660121</v>
      </c>
      <c r="B6470">
        <v>1.73</v>
      </c>
      <c r="C6470">
        <v>60</v>
      </c>
      <c r="D6470" s="9">
        <v>42891</v>
      </c>
      <c r="E6470" t="s">
        <v>295</v>
      </c>
      <c r="I6470" s="9"/>
    </row>
    <row r="6471" spans="1:9" x14ac:dyDescent="0.25">
      <c r="A6471">
        <v>660121</v>
      </c>
      <c r="B6471">
        <v>1.73</v>
      </c>
      <c r="C6471">
        <v>240</v>
      </c>
      <c r="D6471" s="9">
        <v>42619</v>
      </c>
      <c r="E6471" t="s">
        <v>295</v>
      </c>
      <c r="I6471" s="9"/>
    </row>
    <row r="6472" spans="1:9" x14ac:dyDescent="0.25">
      <c r="A6472">
        <v>660121</v>
      </c>
      <c r="B6472">
        <v>1.73</v>
      </c>
      <c r="C6472">
        <v>240</v>
      </c>
      <c r="D6472" s="9">
        <v>42614</v>
      </c>
      <c r="E6472" t="s">
        <v>295</v>
      </c>
      <c r="I6472" s="9"/>
    </row>
    <row r="6473" spans="1:9" x14ac:dyDescent="0.25">
      <c r="A6473">
        <v>660121</v>
      </c>
      <c r="B6473">
        <v>1.73</v>
      </c>
      <c r="C6473">
        <v>60</v>
      </c>
      <c r="D6473" s="9">
        <v>42465</v>
      </c>
      <c r="E6473" t="s">
        <v>295</v>
      </c>
      <c r="I6473" s="9"/>
    </row>
    <row r="6474" spans="1:9" x14ac:dyDescent="0.25">
      <c r="A6474">
        <v>660121</v>
      </c>
      <c r="B6474">
        <v>1.9</v>
      </c>
      <c r="C6474">
        <v>36</v>
      </c>
      <c r="D6474" s="9">
        <v>42265</v>
      </c>
      <c r="E6474" t="s">
        <v>295</v>
      </c>
      <c r="I6474" s="9"/>
    </row>
    <row r="6475" spans="1:9" x14ac:dyDescent="0.25">
      <c r="A6475">
        <v>660121</v>
      </c>
      <c r="B6475">
        <v>2.1</v>
      </c>
      <c r="C6475">
        <v>70</v>
      </c>
      <c r="D6475" s="9">
        <v>41892</v>
      </c>
      <c r="E6475" t="s">
        <v>295</v>
      </c>
      <c r="I6475" s="9"/>
    </row>
    <row r="6476" spans="1:9" x14ac:dyDescent="0.25">
      <c r="A6476">
        <v>660121</v>
      </c>
      <c r="B6476">
        <v>2.1</v>
      </c>
      <c r="C6476">
        <v>120</v>
      </c>
      <c r="D6476" s="9">
        <v>41718</v>
      </c>
      <c r="E6476" t="s">
        <v>295</v>
      </c>
      <c r="I6476" s="9"/>
    </row>
    <row r="6477" spans="1:9" x14ac:dyDescent="0.25">
      <c r="A6477">
        <v>660121</v>
      </c>
      <c r="B6477">
        <v>1.75</v>
      </c>
      <c r="C6477">
        <v>100</v>
      </c>
      <c r="D6477" s="9">
        <v>41564</v>
      </c>
      <c r="E6477" t="s">
        <v>295</v>
      </c>
      <c r="I6477" s="9"/>
    </row>
    <row r="6478" spans="1:9" x14ac:dyDescent="0.25">
      <c r="A6478">
        <v>660125</v>
      </c>
      <c r="B6478">
        <v>2.4700000000000002</v>
      </c>
      <c r="C6478">
        <v>120</v>
      </c>
      <c r="D6478" s="9">
        <v>44148</v>
      </c>
      <c r="E6478" t="s">
        <v>295</v>
      </c>
      <c r="I6478" s="9"/>
    </row>
    <row r="6479" spans="1:9" x14ac:dyDescent="0.25">
      <c r="A6479">
        <v>660125</v>
      </c>
      <c r="B6479">
        <v>2.31</v>
      </c>
      <c r="C6479">
        <v>120</v>
      </c>
      <c r="D6479" s="9">
        <v>43664</v>
      </c>
      <c r="E6479" t="s">
        <v>295</v>
      </c>
      <c r="I6479" s="9"/>
    </row>
    <row r="6480" spans="1:9" x14ac:dyDescent="0.25">
      <c r="A6480">
        <v>660125</v>
      </c>
      <c r="B6480">
        <v>2.31</v>
      </c>
      <c r="C6480">
        <v>300</v>
      </c>
      <c r="D6480" s="9">
        <v>43444</v>
      </c>
      <c r="E6480" t="s">
        <v>295</v>
      </c>
      <c r="I6480" s="9"/>
    </row>
    <row r="6481" spans="1:9" x14ac:dyDescent="0.25">
      <c r="A6481">
        <v>660125</v>
      </c>
      <c r="B6481">
        <v>2.31</v>
      </c>
      <c r="C6481">
        <v>120</v>
      </c>
      <c r="D6481" s="9">
        <v>43123</v>
      </c>
      <c r="E6481" t="s">
        <v>295</v>
      </c>
      <c r="I6481" s="9"/>
    </row>
    <row r="6482" spans="1:9" x14ac:dyDescent="0.25">
      <c r="A6482">
        <v>660125</v>
      </c>
      <c r="B6482">
        <v>2.31</v>
      </c>
      <c r="C6482">
        <v>60</v>
      </c>
      <c r="D6482" s="9">
        <v>43047</v>
      </c>
      <c r="E6482" t="s">
        <v>295</v>
      </c>
      <c r="I6482" s="9"/>
    </row>
    <row r="6483" spans="1:9" x14ac:dyDescent="0.25">
      <c r="A6483">
        <v>660125</v>
      </c>
      <c r="B6483">
        <v>2.31</v>
      </c>
      <c r="C6483">
        <v>60</v>
      </c>
      <c r="D6483" s="9">
        <v>42891</v>
      </c>
      <c r="E6483" t="s">
        <v>295</v>
      </c>
      <c r="I6483" s="9"/>
    </row>
    <row r="6484" spans="1:9" x14ac:dyDescent="0.25">
      <c r="A6484">
        <v>660125</v>
      </c>
      <c r="B6484">
        <v>2.31</v>
      </c>
      <c r="C6484">
        <v>240</v>
      </c>
      <c r="D6484" s="9">
        <v>42614</v>
      </c>
      <c r="E6484" t="s">
        <v>295</v>
      </c>
      <c r="I6484" s="9"/>
    </row>
    <row r="6485" spans="1:9" x14ac:dyDescent="0.25">
      <c r="A6485">
        <v>660125</v>
      </c>
      <c r="B6485">
        <v>2.31</v>
      </c>
      <c r="C6485">
        <v>60</v>
      </c>
      <c r="D6485" s="9">
        <v>42465</v>
      </c>
      <c r="E6485" t="s">
        <v>295</v>
      </c>
      <c r="I6485" s="9"/>
    </row>
    <row r="6486" spans="1:9" x14ac:dyDescent="0.25">
      <c r="A6486">
        <v>660125</v>
      </c>
      <c r="B6486">
        <v>2.52</v>
      </c>
      <c r="C6486">
        <v>36</v>
      </c>
      <c r="D6486" s="9">
        <v>42265</v>
      </c>
      <c r="E6486" t="s">
        <v>295</v>
      </c>
      <c r="I6486" s="9"/>
    </row>
    <row r="6487" spans="1:9" x14ac:dyDescent="0.25">
      <c r="A6487">
        <v>660125</v>
      </c>
      <c r="B6487">
        <v>2.78</v>
      </c>
      <c r="C6487">
        <v>100</v>
      </c>
      <c r="D6487" s="9">
        <v>41892</v>
      </c>
      <c r="E6487" t="s">
        <v>295</v>
      </c>
      <c r="I6487" s="9"/>
    </row>
    <row r="6488" spans="1:9" x14ac:dyDescent="0.25">
      <c r="A6488">
        <v>660125</v>
      </c>
      <c r="B6488">
        <v>2.33</v>
      </c>
      <c r="C6488">
        <v>200</v>
      </c>
      <c r="D6488" s="9">
        <v>41564</v>
      </c>
      <c r="E6488" t="s">
        <v>295</v>
      </c>
      <c r="I6488" s="9"/>
    </row>
    <row r="6489" spans="1:9" x14ac:dyDescent="0.25">
      <c r="A6489">
        <v>660131</v>
      </c>
      <c r="B6489">
        <v>3.03</v>
      </c>
      <c r="C6489">
        <v>120</v>
      </c>
      <c r="D6489" s="9">
        <v>44148</v>
      </c>
      <c r="E6489" t="s">
        <v>295</v>
      </c>
      <c r="I6489" s="9"/>
    </row>
    <row r="6490" spans="1:9" x14ac:dyDescent="0.25">
      <c r="A6490">
        <v>660131</v>
      </c>
      <c r="B6490">
        <v>3.03</v>
      </c>
      <c r="C6490">
        <v>120</v>
      </c>
      <c r="D6490" s="9">
        <v>43894</v>
      </c>
      <c r="E6490" t="s">
        <v>295</v>
      </c>
      <c r="I6490" s="9"/>
    </row>
    <row r="6491" spans="1:9" x14ac:dyDescent="0.25">
      <c r="A6491">
        <v>660131</v>
      </c>
      <c r="B6491">
        <v>2.83</v>
      </c>
      <c r="C6491">
        <v>120</v>
      </c>
      <c r="D6491" s="9">
        <v>43664</v>
      </c>
      <c r="E6491" t="s">
        <v>295</v>
      </c>
      <c r="I6491" s="9"/>
    </row>
    <row r="6492" spans="1:9" x14ac:dyDescent="0.25">
      <c r="A6492">
        <v>660131</v>
      </c>
      <c r="B6492">
        <v>2.83</v>
      </c>
      <c r="C6492">
        <v>120</v>
      </c>
      <c r="D6492" s="9">
        <v>43123</v>
      </c>
      <c r="E6492" t="s">
        <v>295</v>
      </c>
      <c r="I6492" s="9"/>
    </row>
    <row r="6493" spans="1:9" x14ac:dyDescent="0.25">
      <c r="A6493">
        <v>660131</v>
      </c>
      <c r="B6493">
        <v>2.83</v>
      </c>
      <c r="C6493">
        <v>120</v>
      </c>
      <c r="D6493" s="9">
        <v>42943</v>
      </c>
      <c r="E6493" t="s">
        <v>295</v>
      </c>
      <c r="I6493" s="9"/>
    </row>
    <row r="6494" spans="1:9" x14ac:dyDescent="0.25">
      <c r="A6494">
        <v>660131</v>
      </c>
      <c r="B6494">
        <v>2.83</v>
      </c>
      <c r="C6494">
        <v>60</v>
      </c>
      <c r="D6494" s="9">
        <v>42891</v>
      </c>
      <c r="E6494" t="s">
        <v>295</v>
      </c>
      <c r="I6494" s="9"/>
    </row>
    <row r="6495" spans="1:9" x14ac:dyDescent="0.25">
      <c r="A6495">
        <v>660131</v>
      </c>
      <c r="B6495">
        <v>2.83</v>
      </c>
      <c r="C6495">
        <v>60</v>
      </c>
      <c r="D6495" s="9">
        <v>42508</v>
      </c>
      <c r="E6495" t="s">
        <v>295</v>
      </c>
      <c r="I6495" s="9"/>
    </row>
    <row r="6496" spans="1:9" x14ac:dyDescent="0.25">
      <c r="A6496">
        <v>660131</v>
      </c>
      <c r="B6496">
        <v>3.25</v>
      </c>
      <c r="C6496">
        <v>48</v>
      </c>
      <c r="D6496" s="9">
        <v>42265</v>
      </c>
      <c r="E6496" t="s">
        <v>295</v>
      </c>
      <c r="I6496" s="9"/>
    </row>
    <row r="6497" spans="1:9" x14ac:dyDescent="0.25">
      <c r="A6497">
        <v>660131</v>
      </c>
      <c r="B6497">
        <v>3.48</v>
      </c>
      <c r="C6497">
        <v>80</v>
      </c>
      <c r="D6497" s="9">
        <v>41892</v>
      </c>
      <c r="E6497" t="s">
        <v>295</v>
      </c>
      <c r="I6497" s="9"/>
    </row>
    <row r="6498" spans="1:9" x14ac:dyDescent="0.25">
      <c r="A6498">
        <v>660131</v>
      </c>
      <c r="B6498">
        <v>2.8</v>
      </c>
      <c r="C6498">
        <v>104</v>
      </c>
      <c r="D6498" s="9">
        <v>41564</v>
      </c>
      <c r="E6498" t="s">
        <v>295</v>
      </c>
      <c r="I6498" s="9"/>
    </row>
    <row r="6499" spans="1:9" x14ac:dyDescent="0.25">
      <c r="A6499">
        <v>660135</v>
      </c>
      <c r="B6499">
        <v>3.42</v>
      </c>
      <c r="C6499">
        <v>60</v>
      </c>
      <c r="D6499" s="9">
        <v>42838</v>
      </c>
      <c r="E6499" t="s">
        <v>295</v>
      </c>
      <c r="I6499" s="9"/>
    </row>
    <row r="6500" spans="1:9" x14ac:dyDescent="0.25">
      <c r="A6500">
        <v>660135</v>
      </c>
      <c r="B6500">
        <v>3.42</v>
      </c>
      <c r="C6500">
        <v>60</v>
      </c>
      <c r="D6500" s="9">
        <v>42465</v>
      </c>
      <c r="E6500" t="s">
        <v>295</v>
      </c>
      <c r="I6500" s="9"/>
    </row>
    <row r="6501" spans="1:9" x14ac:dyDescent="0.25">
      <c r="A6501">
        <v>660141</v>
      </c>
      <c r="B6501">
        <v>3.69</v>
      </c>
      <c r="C6501">
        <v>48</v>
      </c>
      <c r="D6501" s="9">
        <v>42943</v>
      </c>
      <c r="E6501" t="s">
        <v>295</v>
      </c>
      <c r="I6501" s="9"/>
    </row>
    <row r="6502" spans="1:9" x14ac:dyDescent="0.25">
      <c r="A6502">
        <v>660141</v>
      </c>
      <c r="B6502">
        <v>3.69</v>
      </c>
      <c r="C6502">
        <v>18</v>
      </c>
      <c r="D6502" s="9">
        <v>42838</v>
      </c>
      <c r="E6502" t="s">
        <v>295</v>
      </c>
      <c r="I6502" s="9"/>
    </row>
    <row r="6503" spans="1:9" x14ac:dyDescent="0.25">
      <c r="A6503">
        <v>660141</v>
      </c>
      <c r="B6503">
        <v>3.45</v>
      </c>
      <c r="C6503">
        <v>24</v>
      </c>
      <c r="D6503" s="9">
        <v>42347</v>
      </c>
      <c r="E6503" t="s">
        <v>295</v>
      </c>
      <c r="I6503" s="9"/>
    </row>
    <row r="6504" spans="1:9" x14ac:dyDescent="0.25">
      <c r="A6504">
        <v>660141</v>
      </c>
      <c r="B6504">
        <v>0</v>
      </c>
      <c r="C6504">
        <v>12</v>
      </c>
      <c r="D6504" s="9">
        <v>42081</v>
      </c>
      <c r="E6504" t="s">
        <v>295</v>
      </c>
      <c r="I6504" s="9"/>
    </row>
    <row r="6505" spans="1:9" x14ac:dyDescent="0.25">
      <c r="A6505">
        <v>660141</v>
      </c>
      <c r="B6505">
        <v>5.76</v>
      </c>
      <c r="C6505">
        <v>20</v>
      </c>
      <c r="D6505" s="9">
        <v>41892</v>
      </c>
      <c r="E6505" t="s">
        <v>295</v>
      </c>
      <c r="I6505" s="9"/>
    </row>
    <row r="6506" spans="1:9" x14ac:dyDescent="0.25">
      <c r="A6506">
        <v>661050</v>
      </c>
      <c r="B6506">
        <v>0.69799999999999995</v>
      </c>
      <c r="C6506">
        <v>960</v>
      </c>
      <c r="D6506" s="9">
        <v>44028</v>
      </c>
      <c r="E6506" t="s">
        <v>296</v>
      </c>
      <c r="I6506" s="9"/>
    </row>
    <row r="6507" spans="1:9" x14ac:dyDescent="0.25">
      <c r="A6507">
        <v>661050</v>
      </c>
      <c r="B6507">
        <v>0.69799999999999995</v>
      </c>
      <c r="C6507">
        <v>960</v>
      </c>
      <c r="D6507" s="9">
        <v>43969</v>
      </c>
      <c r="E6507" t="s">
        <v>296</v>
      </c>
      <c r="I6507" s="9"/>
    </row>
    <row r="6508" spans="1:9" x14ac:dyDescent="0.25">
      <c r="A6508">
        <v>661050</v>
      </c>
      <c r="B6508">
        <v>0.69799999999999995</v>
      </c>
      <c r="C6508">
        <v>960</v>
      </c>
      <c r="D6508" s="9">
        <v>43598</v>
      </c>
      <c r="E6508" t="s">
        <v>296</v>
      </c>
      <c r="I6508" s="9"/>
    </row>
    <row r="6509" spans="1:9" x14ac:dyDescent="0.25">
      <c r="A6509">
        <v>661050</v>
      </c>
      <c r="B6509">
        <v>0.65</v>
      </c>
      <c r="C6509">
        <v>2040</v>
      </c>
      <c r="D6509" s="9">
        <v>42976</v>
      </c>
      <c r="E6509" t="s">
        <v>296</v>
      </c>
      <c r="I6509" s="9"/>
    </row>
    <row r="6510" spans="1:9" x14ac:dyDescent="0.25">
      <c r="A6510">
        <v>661050</v>
      </c>
      <c r="B6510">
        <v>0.55000000000000004</v>
      </c>
      <c r="C6510">
        <v>1800</v>
      </c>
      <c r="D6510" s="9">
        <v>42520</v>
      </c>
      <c r="E6510" t="s">
        <v>297</v>
      </c>
      <c r="I6510" s="9"/>
    </row>
    <row r="6511" spans="1:9" x14ac:dyDescent="0.25">
      <c r="A6511">
        <v>661050</v>
      </c>
      <c r="B6511">
        <v>2.41</v>
      </c>
      <c r="C6511">
        <v>900</v>
      </c>
      <c r="D6511" s="9">
        <v>42520</v>
      </c>
      <c r="E6511" t="s">
        <v>295</v>
      </c>
      <c r="I6511" s="9"/>
    </row>
    <row r="6512" spans="1:9" x14ac:dyDescent="0.25">
      <c r="A6512">
        <v>661050</v>
      </c>
      <c r="B6512">
        <v>0.60399999999999998</v>
      </c>
      <c r="C6512">
        <v>2040</v>
      </c>
      <c r="D6512" s="9">
        <v>42012</v>
      </c>
      <c r="E6512" t="s">
        <v>296</v>
      </c>
      <c r="I6512" s="9"/>
    </row>
    <row r="6513" spans="1:9" x14ac:dyDescent="0.25">
      <c r="A6513">
        <v>661050</v>
      </c>
      <c r="B6513">
        <v>0.64</v>
      </c>
      <c r="C6513">
        <v>960</v>
      </c>
      <c r="D6513" s="9">
        <v>41765</v>
      </c>
      <c r="E6513" t="s">
        <v>296</v>
      </c>
      <c r="I6513" s="9"/>
    </row>
    <row r="6514" spans="1:9" x14ac:dyDescent="0.25">
      <c r="A6514">
        <v>661050</v>
      </c>
      <c r="B6514">
        <v>0.7</v>
      </c>
      <c r="C6514">
        <v>960</v>
      </c>
      <c r="D6514" s="9">
        <v>41592</v>
      </c>
      <c r="E6514" t="s">
        <v>296</v>
      </c>
      <c r="I6514" s="9"/>
    </row>
    <row r="6515" spans="1:9" x14ac:dyDescent="0.25">
      <c r="A6515">
        <v>661050</v>
      </c>
      <c r="B6515">
        <v>0.71</v>
      </c>
      <c r="C6515">
        <v>960</v>
      </c>
      <c r="D6515" s="9">
        <v>41281</v>
      </c>
      <c r="E6515" t="s">
        <v>296</v>
      </c>
      <c r="I6515" s="9"/>
    </row>
    <row r="6516" spans="1:9" x14ac:dyDescent="0.25">
      <c r="A6516">
        <v>661150</v>
      </c>
      <c r="B6516">
        <v>0.56999999999999995</v>
      </c>
      <c r="C6516">
        <v>1440</v>
      </c>
      <c r="D6516" s="9">
        <v>44034</v>
      </c>
      <c r="E6516" t="s">
        <v>296</v>
      </c>
      <c r="I6516" s="9"/>
    </row>
    <row r="6517" spans="1:9" x14ac:dyDescent="0.25">
      <c r="A6517">
        <v>661150</v>
      </c>
      <c r="B6517">
        <v>0.56999999999999995</v>
      </c>
      <c r="C6517">
        <v>1440</v>
      </c>
      <c r="D6517" s="9">
        <v>43829</v>
      </c>
      <c r="E6517" t="s">
        <v>296</v>
      </c>
      <c r="I6517" s="9"/>
    </row>
    <row r="6518" spans="1:9" x14ac:dyDescent="0.25">
      <c r="A6518">
        <v>661150</v>
      </c>
      <c r="B6518">
        <v>0.56999999999999995</v>
      </c>
      <c r="C6518">
        <v>1440</v>
      </c>
      <c r="D6518" s="9">
        <v>43381</v>
      </c>
      <c r="E6518" t="s">
        <v>296</v>
      </c>
      <c r="I6518" s="9"/>
    </row>
    <row r="6519" spans="1:9" x14ac:dyDescent="0.25">
      <c r="A6519">
        <v>661150</v>
      </c>
      <c r="B6519">
        <v>0.56999999999999995</v>
      </c>
      <c r="C6519">
        <v>3264</v>
      </c>
      <c r="D6519" s="9">
        <v>43305</v>
      </c>
      <c r="E6519" t="s">
        <v>296</v>
      </c>
      <c r="I6519" s="9"/>
    </row>
    <row r="6520" spans="1:9" x14ac:dyDescent="0.25">
      <c r="A6520">
        <v>661150</v>
      </c>
      <c r="B6520">
        <v>1.86</v>
      </c>
      <c r="C6520">
        <v>1920</v>
      </c>
      <c r="D6520" s="9">
        <v>43230</v>
      </c>
      <c r="E6520" t="s">
        <v>295</v>
      </c>
      <c r="I6520" s="9"/>
    </row>
    <row r="6521" spans="1:9" x14ac:dyDescent="0.25">
      <c r="A6521">
        <v>661150</v>
      </c>
      <c r="B6521">
        <v>0.53</v>
      </c>
      <c r="C6521">
        <v>1920</v>
      </c>
      <c r="D6521" s="9">
        <v>43199</v>
      </c>
      <c r="E6521" t="s">
        <v>296</v>
      </c>
      <c r="I6521" s="9"/>
    </row>
    <row r="6522" spans="1:9" x14ac:dyDescent="0.25">
      <c r="A6522">
        <v>661150</v>
      </c>
      <c r="B6522">
        <v>0.51</v>
      </c>
      <c r="C6522">
        <v>1536</v>
      </c>
      <c r="D6522" s="9">
        <v>42972</v>
      </c>
      <c r="E6522" t="s">
        <v>296</v>
      </c>
      <c r="I6522" s="9"/>
    </row>
    <row r="6523" spans="1:9" x14ac:dyDescent="0.25">
      <c r="A6523">
        <v>661150</v>
      </c>
      <c r="B6523">
        <v>0.5</v>
      </c>
      <c r="C6523">
        <v>1536</v>
      </c>
      <c r="D6523" s="9">
        <v>42781</v>
      </c>
      <c r="E6523" t="s">
        <v>296</v>
      </c>
      <c r="I6523" s="9"/>
    </row>
    <row r="6524" spans="1:9" x14ac:dyDescent="0.25">
      <c r="A6524">
        <v>661150</v>
      </c>
      <c r="B6524">
        <v>0.51</v>
      </c>
      <c r="C6524">
        <v>1536</v>
      </c>
      <c r="D6524" s="9">
        <v>41765</v>
      </c>
      <c r="E6524" t="s">
        <v>296</v>
      </c>
      <c r="I6524" s="9"/>
    </row>
    <row r="6525" spans="1:9" x14ac:dyDescent="0.25">
      <c r="A6525">
        <v>661150</v>
      </c>
      <c r="B6525">
        <v>0.65</v>
      </c>
      <c r="C6525">
        <v>1536</v>
      </c>
      <c r="D6525" s="9">
        <v>41618</v>
      </c>
      <c r="E6525" t="s">
        <v>296</v>
      </c>
      <c r="I6525" s="9"/>
    </row>
    <row r="6526" spans="1:9" x14ac:dyDescent="0.25">
      <c r="A6526">
        <v>661170</v>
      </c>
      <c r="B6526">
        <v>0.76500000000000001</v>
      </c>
      <c r="C6526">
        <v>1440</v>
      </c>
      <c r="D6526" s="9">
        <v>43829</v>
      </c>
      <c r="E6526" t="s">
        <v>296</v>
      </c>
      <c r="I6526" s="9"/>
    </row>
    <row r="6527" spans="1:9" x14ac:dyDescent="0.25">
      <c r="A6527">
        <v>661170</v>
      </c>
      <c r="B6527">
        <v>0.76500000000000001</v>
      </c>
      <c r="C6527">
        <v>1440</v>
      </c>
      <c r="D6527" s="9">
        <v>43760</v>
      </c>
      <c r="E6527" t="s">
        <v>296</v>
      </c>
      <c r="I6527" s="9"/>
    </row>
    <row r="6528" spans="1:9" x14ac:dyDescent="0.25">
      <c r="A6528">
        <v>661170</v>
      </c>
      <c r="B6528">
        <v>0.79</v>
      </c>
      <c r="C6528">
        <v>1536</v>
      </c>
      <c r="D6528" s="9">
        <v>43063</v>
      </c>
      <c r="E6528" t="s">
        <v>296</v>
      </c>
      <c r="I6528" s="9"/>
    </row>
    <row r="6529" spans="1:9" x14ac:dyDescent="0.25">
      <c r="A6529">
        <v>661170</v>
      </c>
      <c r="B6529">
        <v>0.75</v>
      </c>
      <c r="C6529">
        <v>1536</v>
      </c>
      <c r="D6529" s="9">
        <v>42912</v>
      </c>
      <c r="E6529" t="s">
        <v>296</v>
      </c>
      <c r="I6529" s="9"/>
    </row>
    <row r="6530" spans="1:9" x14ac:dyDescent="0.25">
      <c r="A6530">
        <v>661170</v>
      </c>
      <c r="B6530">
        <v>3.34</v>
      </c>
      <c r="C6530">
        <v>960</v>
      </c>
      <c r="D6530" s="9">
        <v>42520</v>
      </c>
      <c r="E6530" t="s">
        <v>295</v>
      </c>
      <c r="I6530" s="9"/>
    </row>
    <row r="6531" spans="1:9" x14ac:dyDescent="0.25">
      <c r="A6531">
        <v>661170</v>
      </c>
      <c r="B6531">
        <v>0.76</v>
      </c>
      <c r="C6531">
        <v>960</v>
      </c>
      <c r="D6531" s="9">
        <v>42520</v>
      </c>
      <c r="E6531" t="s">
        <v>297</v>
      </c>
      <c r="I6531" s="9"/>
    </row>
    <row r="6532" spans="1:9" x14ac:dyDescent="0.25">
      <c r="A6532">
        <v>661170</v>
      </c>
      <c r="B6532">
        <v>0.82599999999999996</v>
      </c>
      <c r="C6532">
        <v>1440</v>
      </c>
      <c r="D6532" s="9">
        <v>42285</v>
      </c>
      <c r="E6532" t="s">
        <v>296</v>
      </c>
      <c r="I6532" s="9"/>
    </row>
    <row r="6533" spans="1:9" x14ac:dyDescent="0.25">
      <c r="A6533">
        <v>661170</v>
      </c>
      <c r="B6533">
        <v>0.82599999999999996</v>
      </c>
      <c r="C6533">
        <v>1200</v>
      </c>
      <c r="D6533" s="9">
        <v>41821</v>
      </c>
      <c r="E6533" t="s">
        <v>296</v>
      </c>
      <c r="I6533" s="9"/>
    </row>
    <row r="6534" spans="1:9" x14ac:dyDescent="0.25">
      <c r="A6534">
        <v>661170</v>
      </c>
      <c r="B6534">
        <v>2.54</v>
      </c>
      <c r="C6534">
        <v>1200</v>
      </c>
      <c r="D6534" s="9">
        <v>41821</v>
      </c>
      <c r="E6534" t="s">
        <v>295</v>
      </c>
      <c r="I6534" s="9"/>
    </row>
    <row r="6535" spans="1:9" x14ac:dyDescent="0.25">
      <c r="A6535">
        <v>661170</v>
      </c>
      <c r="B6535">
        <v>0.81</v>
      </c>
      <c r="C6535">
        <v>1200</v>
      </c>
      <c r="D6535" s="9">
        <v>41618</v>
      </c>
      <c r="E6535" t="s">
        <v>296</v>
      </c>
      <c r="I6535" s="9"/>
    </row>
    <row r="6536" spans="1:9" x14ac:dyDescent="0.25">
      <c r="A6536">
        <v>661171</v>
      </c>
      <c r="B6536">
        <v>1.0900000000000001</v>
      </c>
      <c r="C6536">
        <v>864</v>
      </c>
      <c r="D6536" s="9">
        <v>43760</v>
      </c>
      <c r="E6536" t="s">
        <v>296</v>
      </c>
      <c r="I6536" s="9"/>
    </row>
    <row r="6537" spans="1:9" x14ac:dyDescent="0.25">
      <c r="A6537">
        <v>661230</v>
      </c>
      <c r="B6537">
        <v>0.72</v>
      </c>
      <c r="C6537">
        <v>1080</v>
      </c>
      <c r="D6537" s="9">
        <v>43305</v>
      </c>
      <c r="E6537" t="s">
        <v>296</v>
      </c>
      <c r="I6537" s="9"/>
    </row>
    <row r="6538" spans="1:9" x14ac:dyDescent="0.25">
      <c r="A6538">
        <v>661230</v>
      </c>
      <c r="B6538">
        <v>2.19</v>
      </c>
      <c r="C6538">
        <v>1200</v>
      </c>
      <c r="D6538" s="9">
        <v>41821</v>
      </c>
      <c r="E6538" t="s">
        <v>295</v>
      </c>
      <c r="I6538" s="9"/>
    </row>
    <row r="6539" spans="1:9" x14ac:dyDescent="0.25">
      <c r="A6539">
        <v>661230</v>
      </c>
      <c r="B6539">
        <v>0.71199999999999997</v>
      </c>
      <c r="C6539">
        <v>1200</v>
      </c>
      <c r="D6539" s="9">
        <v>41821</v>
      </c>
      <c r="E6539" t="s">
        <v>296</v>
      </c>
      <c r="I6539" s="9"/>
    </row>
    <row r="6540" spans="1:9" x14ac:dyDescent="0.25">
      <c r="A6540">
        <v>661230</v>
      </c>
      <c r="B6540">
        <v>0.82</v>
      </c>
      <c r="C6540">
        <v>1008</v>
      </c>
      <c r="D6540" s="9">
        <v>41618</v>
      </c>
      <c r="E6540" t="s">
        <v>296</v>
      </c>
      <c r="I6540" s="9"/>
    </row>
    <row r="6541" spans="1:9" x14ac:dyDescent="0.25">
      <c r="A6541">
        <v>662073</v>
      </c>
      <c r="B6541">
        <v>2.59</v>
      </c>
      <c r="C6541">
        <v>80</v>
      </c>
      <c r="D6541" s="9">
        <v>44148</v>
      </c>
      <c r="E6541" t="s">
        <v>295</v>
      </c>
      <c r="I6541" s="9"/>
    </row>
    <row r="6542" spans="1:9" x14ac:dyDescent="0.25">
      <c r="A6542">
        <v>662073</v>
      </c>
      <c r="B6542">
        <v>2.59</v>
      </c>
      <c r="C6542">
        <v>80</v>
      </c>
      <c r="D6542" s="9">
        <v>43962</v>
      </c>
      <c r="E6542" t="s">
        <v>295</v>
      </c>
      <c r="I6542" s="9"/>
    </row>
    <row r="6543" spans="1:9" x14ac:dyDescent="0.25">
      <c r="A6543">
        <v>662073</v>
      </c>
      <c r="B6543">
        <v>2.4</v>
      </c>
      <c r="C6543">
        <v>80</v>
      </c>
      <c r="D6543" s="9">
        <v>43838</v>
      </c>
      <c r="E6543" t="s">
        <v>295</v>
      </c>
      <c r="I6543" s="9"/>
    </row>
    <row r="6544" spans="1:9" x14ac:dyDescent="0.25">
      <c r="A6544">
        <v>662073</v>
      </c>
      <c r="B6544">
        <v>2.4</v>
      </c>
      <c r="C6544">
        <v>80</v>
      </c>
      <c r="D6544" s="9">
        <v>43664</v>
      </c>
      <c r="E6544" t="s">
        <v>295</v>
      </c>
      <c r="I6544" s="9"/>
    </row>
    <row r="6545" spans="1:9" x14ac:dyDescent="0.25">
      <c r="A6545">
        <v>662073</v>
      </c>
      <c r="B6545">
        <v>2.4</v>
      </c>
      <c r="C6545">
        <v>160</v>
      </c>
      <c r="D6545" s="9">
        <v>43056</v>
      </c>
      <c r="E6545" t="s">
        <v>295</v>
      </c>
      <c r="I6545" s="9"/>
    </row>
    <row r="6546" spans="1:9" x14ac:dyDescent="0.25">
      <c r="A6546">
        <v>662073</v>
      </c>
      <c r="B6546">
        <v>2.4</v>
      </c>
      <c r="C6546">
        <v>33</v>
      </c>
      <c r="D6546" s="9">
        <v>43003</v>
      </c>
      <c r="E6546" t="s">
        <v>295</v>
      </c>
      <c r="I6546" s="9"/>
    </row>
    <row r="6547" spans="1:9" x14ac:dyDescent="0.25">
      <c r="A6547">
        <v>662073</v>
      </c>
      <c r="B6547">
        <v>2.4</v>
      </c>
      <c r="C6547">
        <v>80</v>
      </c>
      <c r="D6547" s="9">
        <v>42891</v>
      </c>
      <c r="E6547" t="s">
        <v>295</v>
      </c>
      <c r="I6547" s="9"/>
    </row>
    <row r="6548" spans="1:9" x14ac:dyDescent="0.25">
      <c r="A6548">
        <v>662073</v>
      </c>
      <c r="B6548">
        <v>2.4</v>
      </c>
      <c r="C6548">
        <v>240</v>
      </c>
      <c r="D6548" s="9">
        <v>42836</v>
      </c>
      <c r="E6548" t="s">
        <v>295</v>
      </c>
      <c r="I6548" s="9"/>
    </row>
    <row r="6549" spans="1:9" x14ac:dyDescent="0.25">
      <c r="A6549">
        <v>662073</v>
      </c>
      <c r="B6549">
        <v>2.4</v>
      </c>
      <c r="C6549">
        <v>80</v>
      </c>
      <c r="D6549" s="9">
        <v>42647</v>
      </c>
      <c r="E6549" t="s">
        <v>295</v>
      </c>
      <c r="I6549" s="9"/>
    </row>
    <row r="6550" spans="1:9" x14ac:dyDescent="0.25">
      <c r="A6550">
        <v>662073</v>
      </c>
      <c r="B6550">
        <v>2.4</v>
      </c>
      <c r="C6550">
        <v>80</v>
      </c>
      <c r="D6550" s="9">
        <v>42612</v>
      </c>
      <c r="E6550" t="s">
        <v>295</v>
      </c>
      <c r="I6550" s="9"/>
    </row>
    <row r="6551" spans="1:9" x14ac:dyDescent="0.25">
      <c r="A6551">
        <v>662073</v>
      </c>
      <c r="B6551">
        <v>2.25</v>
      </c>
      <c r="C6551">
        <v>80</v>
      </c>
      <c r="D6551" s="9">
        <v>42067</v>
      </c>
      <c r="E6551" t="s">
        <v>295</v>
      </c>
      <c r="I6551" s="9"/>
    </row>
    <row r="6552" spans="1:9" x14ac:dyDescent="0.25">
      <c r="A6552">
        <v>662073</v>
      </c>
      <c r="B6552">
        <v>2.25</v>
      </c>
      <c r="C6552">
        <v>40</v>
      </c>
      <c r="D6552" s="9">
        <v>41961</v>
      </c>
      <c r="E6552" t="s">
        <v>295</v>
      </c>
      <c r="I6552" s="9"/>
    </row>
    <row r="6553" spans="1:9" x14ac:dyDescent="0.25">
      <c r="A6553">
        <v>662073</v>
      </c>
      <c r="B6553">
        <v>2.5</v>
      </c>
      <c r="C6553">
        <v>40</v>
      </c>
      <c r="D6553" s="9">
        <v>41961</v>
      </c>
      <c r="E6553" t="s">
        <v>295</v>
      </c>
      <c r="I6553" s="9"/>
    </row>
    <row r="6554" spans="1:9" x14ac:dyDescent="0.25">
      <c r="A6554">
        <v>662073</v>
      </c>
      <c r="B6554">
        <v>2.68</v>
      </c>
      <c r="C6554">
        <v>40</v>
      </c>
      <c r="D6554" s="9">
        <v>41794</v>
      </c>
      <c r="E6554" t="s">
        <v>295</v>
      </c>
      <c r="I6554" s="9"/>
    </row>
    <row r="6555" spans="1:9" x14ac:dyDescent="0.25">
      <c r="A6555">
        <v>662090</v>
      </c>
      <c r="B6555">
        <v>0.67600000000000005</v>
      </c>
      <c r="C6555">
        <v>1920</v>
      </c>
      <c r="D6555" s="9">
        <v>44095</v>
      </c>
      <c r="E6555" t="s">
        <v>296</v>
      </c>
      <c r="I6555" s="9"/>
    </row>
    <row r="6556" spans="1:9" x14ac:dyDescent="0.25">
      <c r="A6556">
        <v>662090</v>
      </c>
      <c r="B6556">
        <v>0.67600000000000005</v>
      </c>
      <c r="C6556">
        <v>1600</v>
      </c>
      <c r="D6556" s="9">
        <v>44068</v>
      </c>
      <c r="E6556" t="s">
        <v>296</v>
      </c>
      <c r="I6556" s="9"/>
    </row>
    <row r="6557" spans="1:9" x14ac:dyDescent="0.25">
      <c r="A6557">
        <v>662090</v>
      </c>
      <c r="B6557">
        <v>0.67600000000000005</v>
      </c>
      <c r="C6557">
        <v>1920</v>
      </c>
      <c r="D6557" s="9">
        <v>43784</v>
      </c>
      <c r="E6557" t="s">
        <v>296</v>
      </c>
      <c r="I6557" s="9"/>
    </row>
    <row r="6558" spans="1:9" x14ac:dyDescent="0.25">
      <c r="A6558">
        <v>662090</v>
      </c>
      <c r="B6558">
        <v>0.67600000000000005</v>
      </c>
      <c r="C6558">
        <v>1920</v>
      </c>
      <c r="D6558" s="9">
        <v>43403</v>
      </c>
      <c r="E6558" t="s">
        <v>296</v>
      </c>
      <c r="I6558" s="9"/>
    </row>
    <row r="6559" spans="1:9" x14ac:dyDescent="0.25">
      <c r="A6559">
        <v>662090</v>
      </c>
      <c r="B6559">
        <v>2.34</v>
      </c>
      <c r="C6559">
        <v>2400</v>
      </c>
      <c r="D6559" s="9">
        <v>43238</v>
      </c>
      <c r="E6559" t="s">
        <v>295</v>
      </c>
      <c r="I6559" s="9"/>
    </row>
    <row r="6560" spans="1:9" x14ac:dyDescent="0.25">
      <c r="A6560">
        <v>662090</v>
      </c>
      <c r="B6560">
        <v>0.61799999999999999</v>
      </c>
      <c r="C6560">
        <v>2400</v>
      </c>
      <c r="D6560" s="9">
        <v>43238</v>
      </c>
      <c r="E6560" t="s">
        <v>296</v>
      </c>
      <c r="I6560" s="9"/>
    </row>
    <row r="6561" spans="1:9" x14ac:dyDescent="0.25">
      <c r="A6561">
        <v>662090</v>
      </c>
      <c r="B6561">
        <v>0.61799999999999999</v>
      </c>
      <c r="C6561">
        <v>2400</v>
      </c>
      <c r="D6561" s="9">
        <v>43054</v>
      </c>
      <c r="E6561" t="s">
        <v>296</v>
      </c>
      <c r="I6561" s="9"/>
    </row>
    <row r="6562" spans="1:9" x14ac:dyDescent="0.25">
      <c r="A6562">
        <v>662090</v>
      </c>
      <c r="B6562">
        <v>0.58699999999999997</v>
      </c>
      <c r="C6562">
        <v>2560</v>
      </c>
      <c r="D6562" s="9">
        <v>42877</v>
      </c>
      <c r="E6562" t="s">
        <v>296</v>
      </c>
      <c r="I6562" s="9"/>
    </row>
    <row r="6563" spans="1:9" x14ac:dyDescent="0.25">
      <c r="A6563">
        <v>662090</v>
      </c>
      <c r="B6563">
        <v>0.58699999999999997</v>
      </c>
      <c r="C6563">
        <v>2560</v>
      </c>
      <c r="D6563" s="9">
        <v>42641</v>
      </c>
      <c r="E6563" t="s">
        <v>296</v>
      </c>
      <c r="I6563" s="9"/>
    </row>
    <row r="6564" spans="1:9" x14ac:dyDescent="0.25">
      <c r="A6564">
        <v>662090</v>
      </c>
      <c r="B6564">
        <v>0.58699999999999997</v>
      </c>
      <c r="C6564">
        <v>2560</v>
      </c>
      <c r="D6564" s="9">
        <v>42641</v>
      </c>
      <c r="E6564" t="s">
        <v>296</v>
      </c>
      <c r="I6564" s="9"/>
    </row>
    <row r="6565" spans="1:9" x14ac:dyDescent="0.25">
      <c r="A6565">
        <v>662090</v>
      </c>
      <c r="B6565">
        <v>0.58699999999999997</v>
      </c>
      <c r="C6565">
        <v>2560</v>
      </c>
      <c r="D6565" s="9">
        <v>42326</v>
      </c>
      <c r="E6565" t="s">
        <v>296</v>
      </c>
      <c r="I6565" s="9"/>
    </row>
    <row r="6566" spans="1:9" x14ac:dyDescent="0.25">
      <c r="A6566">
        <v>662090</v>
      </c>
      <c r="B6566">
        <v>0.57499999999999996</v>
      </c>
      <c r="C6566">
        <v>2400</v>
      </c>
      <c r="D6566" s="9">
        <v>42177</v>
      </c>
      <c r="E6566" t="s">
        <v>296</v>
      </c>
      <c r="I6566" s="9"/>
    </row>
    <row r="6567" spans="1:9" x14ac:dyDescent="0.25">
      <c r="A6567">
        <v>662090</v>
      </c>
      <c r="B6567">
        <v>0.56999999999999995</v>
      </c>
      <c r="C6567">
        <v>3200</v>
      </c>
      <c r="D6567" s="9">
        <v>41816</v>
      </c>
      <c r="E6567" t="s">
        <v>296</v>
      </c>
      <c r="I6567" s="9"/>
    </row>
    <row r="6568" spans="1:9" x14ac:dyDescent="0.25">
      <c r="A6568">
        <v>662090</v>
      </c>
      <c r="B6568">
        <v>0.19800000000000001</v>
      </c>
      <c r="C6568">
        <v>2240</v>
      </c>
      <c r="D6568" s="9">
        <v>41526</v>
      </c>
      <c r="E6568" t="s">
        <v>296</v>
      </c>
      <c r="I6568" s="9"/>
    </row>
    <row r="6569" spans="1:9" x14ac:dyDescent="0.25">
      <c r="A6569">
        <v>662090</v>
      </c>
      <c r="B6569">
        <v>0.495</v>
      </c>
      <c r="C6569">
        <v>2240</v>
      </c>
      <c r="D6569" s="9">
        <v>41375</v>
      </c>
      <c r="E6569" t="s">
        <v>296</v>
      </c>
      <c r="I6569" s="9"/>
    </row>
    <row r="6570" spans="1:9" x14ac:dyDescent="0.25">
      <c r="A6570">
        <v>662090</v>
      </c>
      <c r="B6570">
        <v>0.495</v>
      </c>
      <c r="C6570">
        <v>2240</v>
      </c>
      <c r="D6570" s="9">
        <v>41281</v>
      </c>
      <c r="E6570" t="s">
        <v>296</v>
      </c>
      <c r="I6570" s="9"/>
    </row>
    <row r="6571" spans="1:9" x14ac:dyDescent="0.25">
      <c r="A6571">
        <v>662093</v>
      </c>
      <c r="B6571">
        <v>2.75</v>
      </c>
      <c r="C6571">
        <v>160</v>
      </c>
      <c r="D6571" s="9">
        <v>44148</v>
      </c>
      <c r="E6571" t="s">
        <v>295</v>
      </c>
      <c r="I6571" s="9"/>
    </row>
    <row r="6572" spans="1:9" x14ac:dyDescent="0.25">
      <c r="A6572">
        <v>662093</v>
      </c>
      <c r="B6572">
        <v>2.75</v>
      </c>
      <c r="C6572">
        <v>160</v>
      </c>
      <c r="D6572" s="9">
        <v>43664</v>
      </c>
      <c r="E6572" t="s">
        <v>295</v>
      </c>
      <c r="I6572" s="9"/>
    </row>
    <row r="6573" spans="1:9" x14ac:dyDescent="0.25">
      <c r="A6573">
        <v>662093</v>
      </c>
      <c r="B6573">
        <v>2.75</v>
      </c>
      <c r="C6573">
        <v>80</v>
      </c>
      <c r="D6573" s="9">
        <v>43164</v>
      </c>
      <c r="E6573" t="s">
        <v>295</v>
      </c>
      <c r="I6573" s="9"/>
    </row>
    <row r="6574" spans="1:9" x14ac:dyDescent="0.25">
      <c r="A6574">
        <v>662093</v>
      </c>
      <c r="B6574">
        <v>2.75</v>
      </c>
      <c r="C6574">
        <v>80</v>
      </c>
      <c r="D6574" s="9">
        <v>43104</v>
      </c>
      <c r="E6574" t="s">
        <v>295</v>
      </c>
      <c r="I6574" s="9"/>
    </row>
    <row r="6575" spans="1:9" x14ac:dyDescent="0.25">
      <c r="A6575">
        <v>662093</v>
      </c>
      <c r="B6575">
        <v>2.75</v>
      </c>
      <c r="C6575">
        <v>80</v>
      </c>
      <c r="D6575" s="9">
        <v>43056</v>
      </c>
      <c r="E6575" t="s">
        <v>295</v>
      </c>
      <c r="I6575" s="9"/>
    </row>
    <row r="6576" spans="1:9" x14ac:dyDescent="0.25">
      <c r="A6576">
        <v>662093</v>
      </c>
      <c r="B6576">
        <v>2.75</v>
      </c>
      <c r="C6576">
        <v>80</v>
      </c>
      <c r="D6576" s="9">
        <v>42891</v>
      </c>
      <c r="E6576" t="s">
        <v>295</v>
      </c>
      <c r="I6576" s="9"/>
    </row>
    <row r="6577" spans="1:9" x14ac:dyDescent="0.25">
      <c r="A6577">
        <v>662093</v>
      </c>
      <c r="B6577">
        <v>2.75</v>
      </c>
      <c r="C6577">
        <v>320</v>
      </c>
      <c r="D6577" s="9">
        <v>42836</v>
      </c>
      <c r="E6577" t="s">
        <v>295</v>
      </c>
      <c r="I6577" s="9"/>
    </row>
    <row r="6578" spans="1:9" x14ac:dyDescent="0.25">
      <c r="A6578">
        <v>662093</v>
      </c>
      <c r="B6578">
        <v>2.75</v>
      </c>
      <c r="C6578">
        <v>80</v>
      </c>
      <c r="D6578" s="9">
        <v>42647</v>
      </c>
      <c r="E6578" t="s">
        <v>295</v>
      </c>
      <c r="I6578" s="9"/>
    </row>
    <row r="6579" spans="1:9" x14ac:dyDescent="0.25">
      <c r="A6579">
        <v>662093</v>
      </c>
      <c r="B6579">
        <v>2.75</v>
      </c>
      <c r="C6579">
        <v>80</v>
      </c>
      <c r="D6579" s="9">
        <v>42612</v>
      </c>
      <c r="E6579" t="s">
        <v>295</v>
      </c>
      <c r="I6579" s="9"/>
    </row>
    <row r="6580" spans="1:9" x14ac:dyDescent="0.25">
      <c r="A6580">
        <v>662093</v>
      </c>
      <c r="B6580">
        <v>2.57</v>
      </c>
      <c r="C6580">
        <v>80</v>
      </c>
      <c r="D6580" s="9">
        <v>42430</v>
      </c>
      <c r="E6580" t="s">
        <v>295</v>
      </c>
      <c r="I6580" s="9"/>
    </row>
    <row r="6581" spans="1:9" x14ac:dyDescent="0.25">
      <c r="A6581">
        <v>662093</v>
      </c>
      <c r="B6581">
        <v>2.4</v>
      </c>
      <c r="C6581">
        <v>80</v>
      </c>
      <c r="D6581" s="9">
        <v>42271</v>
      </c>
      <c r="E6581" t="s">
        <v>295</v>
      </c>
      <c r="I6581" s="9"/>
    </row>
    <row r="6582" spans="1:9" x14ac:dyDescent="0.25">
      <c r="A6582">
        <v>662093</v>
      </c>
      <c r="B6582">
        <v>2.4</v>
      </c>
      <c r="C6582">
        <v>80</v>
      </c>
      <c r="D6582" s="9">
        <v>42067</v>
      </c>
      <c r="E6582" t="s">
        <v>295</v>
      </c>
      <c r="I6582" s="9"/>
    </row>
    <row r="6583" spans="1:9" x14ac:dyDescent="0.25">
      <c r="A6583">
        <v>662093</v>
      </c>
      <c r="B6583">
        <v>2.4</v>
      </c>
      <c r="C6583">
        <v>80</v>
      </c>
      <c r="D6583" s="9">
        <v>41961</v>
      </c>
      <c r="E6583" t="s">
        <v>295</v>
      </c>
      <c r="I6583" s="9"/>
    </row>
    <row r="6584" spans="1:9" x14ac:dyDescent="0.25">
      <c r="A6584">
        <v>662093</v>
      </c>
      <c r="B6584">
        <v>2.89</v>
      </c>
      <c r="C6584">
        <v>40</v>
      </c>
      <c r="D6584" s="9">
        <v>41794</v>
      </c>
      <c r="E6584" t="s">
        <v>295</v>
      </c>
      <c r="I6584" s="9"/>
    </row>
    <row r="6585" spans="1:9" x14ac:dyDescent="0.25">
      <c r="A6585">
        <v>662103</v>
      </c>
      <c r="B6585">
        <v>3.35</v>
      </c>
      <c r="C6585">
        <v>120</v>
      </c>
      <c r="D6585" s="9">
        <v>43962</v>
      </c>
      <c r="E6585" t="s">
        <v>295</v>
      </c>
      <c r="I6585" s="9"/>
    </row>
    <row r="6586" spans="1:9" x14ac:dyDescent="0.25">
      <c r="A6586">
        <v>662103</v>
      </c>
      <c r="B6586">
        <v>3.05</v>
      </c>
      <c r="C6586">
        <v>120</v>
      </c>
      <c r="D6586" s="9">
        <v>43838</v>
      </c>
      <c r="E6586" t="s">
        <v>295</v>
      </c>
      <c r="I6586" s="9"/>
    </row>
    <row r="6587" spans="1:9" x14ac:dyDescent="0.25">
      <c r="A6587">
        <v>662103</v>
      </c>
      <c r="B6587">
        <v>3.05</v>
      </c>
      <c r="C6587">
        <v>120</v>
      </c>
      <c r="D6587" s="9">
        <v>43164</v>
      </c>
      <c r="E6587" t="s">
        <v>295</v>
      </c>
      <c r="I6587" s="9"/>
    </row>
    <row r="6588" spans="1:9" x14ac:dyDescent="0.25">
      <c r="A6588">
        <v>662103</v>
      </c>
      <c r="B6588">
        <v>3.05</v>
      </c>
      <c r="C6588">
        <v>120</v>
      </c>
      <c r="D6588" s="9">
        <v>43104</v>
      </c>
      <c r="E6588" t="s">
        <v>295</v>
      </c>
      <c r="I6588" s="9"/>
    </row>
    <row r="6589" spans="1:9" x14ac:dyDescent="0.25">
      <c r="A6589">
        <v>662103</v>
      </c>
      <c r="B6589">
        <v>3.05</v>
      </c>
      <c r="C6589">
        <v>120</v>
      </c>
      <c r="D6589" s="9">
        <v>43056</v>
      </c>
      <c r="E6589" t="s">
        <v>295</v>
      </c>
      <c r="I6589" s="9"/>
    </row>
    <row r="6590" spans="1:9" x14ac:dyDescent="0.25">
      <c r="A6590">
        <v>662103</v>
      </c>
      <c r="B6590">
        <v>3.05</v>
      </c>
      <c r="C6590">
        <v>120</v>
      </c>
      <c r="D6590" s="9">
        <v>42836</v>
      </c>
      <c r="E6590" t="s">
        <v>295</v>
      </c>
      <c r="I6590" s="9"/>
    </row>
    <row r="6591" spans="1:9" x14ac:dyDescent="0.25">
      <c r="A6591">
        <v>662103</v>
      </c>
      <c r="B6591">
        <v>3.05</v>
      </c>
      <c r="C6591">
        <v>120</v>
      </c>
      <c r="D6591" s="9">
        <v>42537</v>
      </c>
      <c r="E6591" t="s">
        <v>295</v>
      </c>
      <c r="I6591" s="9"/>
    </row>
    <row r="6592" spans="1:9" x14ac:dyDescent="0.25">
      <c r="A6592">
        <v>662103</v>
      </c>
      <c r="B6592">
        <v>2.9</v>
      </c>
      <c r="C6592">
        <v>120</v>
      </c>
      <c r="D6592" s="9">
        <v>42534</v>
      </c>
      <c r="E6592" t="s">
        <v>295</v>
      </c>
      <c r="I6592" s="9"/>
    </row>
    <row r="6593" spans="1:9" x14ac:dyDescent="0.25">
      <c r="A6593">
        <v>662103</v>
      </c>
      <c r="B6593">
        <v>2.9</v>
      </c>
      <c r="C6593">
        <v>240</v>
      </c>
      <c r="D6593" s="9">
        <v>42145</v>
      </c>
      <c r="E6593" t="s">
        <v>295</v>
      </c>
      <c r="I6593" s="9"/>
    </row>
    <row r="6594" spans="1:9" x14ac:dyDescent="0.25">
      <c r="A6594">
        <v>662103</v>
      </c>
      <c r="B6594">
        <v>2.9</v>
      </c>
      <c r="C6594">
        <v>80</v>
      </c>
      <c r="D6594" s="9">
        <v>42067</v>
      </c>
      <c r="E6594" t="s">
        <v>295</v>
      </c>
      <c r="I6594" s="9"/>
    </row>
    <row r="6595" spans="1:9" x14ac:dyDescent="0.25">
      <c r="A6595">
        <v>662103</v>
      </c>
      <c r="B6595">
        <v>3.08</v>
      </c>
      <c r="C6595">
        <v>80</v>
      </c>
      <c r="D6595" s="9">
        <v>41961</v>
      </c>
      <c r="E6595" t="s">
        <v>295</v>
      </c>
      <c r="I6595" s="9"/>
    </row>
    <row r="6596" spans="1:9" x14ac:dyDescent="0.25">
      <c r="A6596">
        <v>662103</v>
      </c>
      <c r="B6596">
        <v>3.3</v>
      </c>
      <c r="C6596">
        <v>40</v>
      </c>
      <c r="D6596" s="9">
        <v>41775</v>
      </c>
      <c r="E6596" t="s">
        <v>295</v>
      </c>
      <c r="I6596" s="9"/>
    </row>
    <row r="6597" spans="1:9" x14ac:dyDescent="0.25">
      <c r="A6597">
        <v>662120</v>
      </c>
      <c r="B6597">
        <v>0.68899999999999995</v>
      </c>
      <c r="C6597">
        <v>1920</v>
      </c>
      <c r="D6597" s="9">
        <v>44068</v>
      </c>
      <c r="E6597" t="s">
        <v>296</v>
      </c>
      <c r="I6597" s="9"/>
    </row>
    <row r="6598" spans="1:9" x14ac:dyDescent="0.25">
      <c r="A6598">
        <v>662120</v>
      </c>
      <c r="B6598">
        <v>0.67600000000000005</v>
      </c>
      <c r="C6598">
        <v>1600</v>
      </c>
      <c r="D6598" s="9">
        <v>43784</v>
      </c>
      <c r="E6598" t="s">
        <v>296</v>
      </c>
      <c r="I6598" s="9"/>
    </row>
    <row r="6599" spans="1:9" x14ac:dyDescent="0.25">
      <c r="A6599">
        <v>662120</v>
      </c>
      <c r="B6599">
        <v>0.67600000000000005</v>
      </c>
      <c r="C6599">
        <v>2560</v>
      </c>
      <c r="D6599" s="9">
        <v>43403</v>
      </c>
      <c r="E6599" t="s">
        <v>296</v>
      </c>
      <c r="I6599" s="9"/>
    </row>
    <row r="6600" spans="1:9" x14ac:dyDescent="0.25">
      <c r="A6600">
        <v>662120</v>
      </c>
      <c r="B6600">
        <v>0.64800000000000002</v>
      </c>
      <c r="C6600">
        <v>1600</v>
      </c>
      <c r="D6600" s="9">
        <v>43238</v>
      </c>
      <c r="E6600" t="s">
        <v>296</v>
      </c>
      <c r="I6600" s="9"/>
    </row>
    <row r="6601" spans="1:9" x14ac:dyDescent="0.25">
      <c r="A6601">
        <v>662120</v>
      </c>
      <c r="B6601">
        <v>2.44</v>
      </c>
      <c r="C6601">
        <v>1600</v>
      </c>
      <c r="D6601" s="9">
        <v>43238</v>
      </c>
      <c r="E6601" t="s">
        <v>295</v>
      </c>
      <c r="I6601" s="9"/>
    </row>
    <row r="6602" spans="1:9" x14ac:dyDescent="0.25">
      <c r="A6602">
        <v>662120</v>
      </c>
      <c r="B6602">
        <v>0.64800000000000002</v>
      </c>
      <c r="C6602">
        <v>1920</v>
      </c>
      <c r="D6602" s="9">
        <v>42976</v>
      </c>
      <c r="E6602" t="s">
        <v>296</v>
      </c>
      <c r="I6602" s="9"/>
    </row>
    <row r="6603" spans="1:9" x14ac:dyDescent="0.25">
      <c r="A6603">
        <v>662120</v>
      </c>
      <c r="B6603">
        <v>0.61599999999999999</v>
      </c>
      <c r="C6603">
        <v>1920</v>
      </c>
      <c r="D6603" s="9">
        <v>42641</v>
      </c>
      <c r="E6603" t="s">
        <v>296</v>
      </c>
      <c r="I6603" s="9"/>
    </row>
    <row r="6604" spans="1:9" x14ac:dyDescent="0.25">
      <c r="A6604">
        <v>662120</v>
      </c>
      <c r="B6604">
        <v>0.61599999999999999</v>
      </c>
      <c r="C6604">
        <v>1920</v>
      </c>
      <c r="D6604" s="9">
        <v>42641</v>
      </c>
      <c r="E6604" t="s">
        <v>296</v>
      </c>
      <c r="I6604" s="9"/>
    </row>
    <row r="6605" spans="1:9" x14ac:dyDescent="0.25">
      <c r="A6605">
        <v>662120</v>
      </c>
      <c r="B6605">
        <v>0.64800000000000002</v>
      </c>
      <c r="C6605">
        <v>2240</v>
      </c>
      <c r="D6605" s="9">
        <v>42326</v>
      </c>
      <c r="E6605" t="s">
        <v>296</v>
      </c>
      <c r="I6605" s="9"/>
    </row>
    <row r="6606" spans="1:9" x14ac:dyDescent="0.25">
      <c r="A6606">
        <v>662120</v>
      </c>
      <c r="B6606">
        <v>0.64800000000000002</v>
      </c>
      <c r="C6606">
        <v>2240</v>
      </c>
      <c r="D6606" s="9">
        <v>42271</v>
      </c>
      <c r="E6606" t="s">
        <v>296</v>
      </c>
      <c r="I6606" s="9"/>
    </row>
    <row r="6607" spans="1:9" x14ac:dyDescent="0.25">
      <c r="A6607">
        <v>662120</v>
      </c>
      <c r="B6607">
        <v>0.629</v>
      </c>
      <c r="C6607">
        <v>2240</v>
      </c>
      <c r="D6607" s="9">
        <v>41983</v>
      </c>
      <c r="E6607" t="s">
        <v>296</v>
      </c>
      <c r="I6607" s="9"/>
    </row>
    <row r="6608" spans="1:9" x14ac:dyDescent="0.25">
      <c r="A6608">
        <v>662120</v>
      </c>
      <c r="B6608">
        <v>0.629</v>
      </c>
      <c r="C6608">
        <v>1600</v>
      </c>
      <c r="D6608" s="9">
        <v>41816</v>
      </c>
      <c r="E6608" t="s">
        <v>296</v>
      </c>
      <c r="I6608" s="9"/>
    </row>
    <row r="6609" spans="1:9" x14ac:dyDescent="0.25">
      <c r="A6609">
        <v>662120</v>
      </c>
      <c r="B6609">
        <v>0.629</v>
      </c>
      <c r="C6609">
        <v>1600</v>
      </c>
      <c r="D6609" s="9">
        <v>41647</v>
      </c>
      <c r="E6609" t="s">
        <v>296</v>
      </c>
      <c r="I6609" s="9"/>
    </row>
    <row r="6610" spans="1:9" x14ac:dyDescent="0.25">
      <c r="A6610">
        <v>662120</v>
      </c>
      <c r="B6610">
        <v>0.629</v>
      </c>
      <c r="C6610">
        <v>1600</v>
      </c>
      <c r="D6610" s="9">
        <v>41505</v>
      </c>
      <c r="E6610" t="s">
        <v>296</v>
      </c>
      <c r="I6610" s="9"/>
    </row>
    <row r="6611" spans="1:9" x14ac:dyDescent="0.25">
      <c r="A6611">
        <v>662120</v>
      </c>
      <c r="B6611">
        <v>0.621</v>
      </c>
      <c r="C6611">
        <v>1600</v>
      </c>
      <c r="D6611" s="9">
        <v>41362</v>
      </c>
      <c r="E6611" t="s">
        <v>296</v>
      </c>
      <c r="I6611" s="9"/>
    </row>
    <row r="6612" spans="1:9" x14ac:dyDescent="0.25">
      <c r="A6612">
        <v>662125</v>
      </c>
      <c r="B6612">
        <v>0.64600000000000002</v>
      </c>
      <c r="C6612">
        <v>1728</v>
      </c>
      <c r="D6612" s="9">
        <v>43969</v>
      </c>
      <c r="E6612" t="s">
        <v>296</v>
      </c>
      <c r="I6612" s="9"/>
    </row>
    <row r="6613" spans="1:9" x14ac:dyDescent="0.25">
      <c r="A6613">
        <v>662125</v>
      </c>
      <c r="B6613">
        <v>0.64600000000000002</v>
      </c>
      <c r="C6613">
        <v>1440</v>
      </c>
      <c r="D6613" s="9">
        <v>43969</v>
      </c>
      <c r="E6613" t="s">
        <v>296</v>
      </c>
      <c r="I6613" s="9"/>
    </row>
    <row r="6614" spans="1:9" x14ac:dyDescent="0.25">
      <c r="A6614">
        <v>662125</v>
      </c>
      <c r="B6614">
        <v>0.64600000000000002</v>
      </c>
      <c r="C6614">
        <v>1728</v>
      </c>
      <c r="D6614" s="9">
        <v>43829</v>
      </c>
      <c r="E6614" t="s">
        <v>296</v>
      </c>
      <c r="I6614" s="9"/>
    </row>
    <row r="6615" spans="1:9" x14ac:dyDescent="0.25">
      <c r="A6615">
        <v>662125</v>
      </c>
      <c r="B6615">
        <v>0.7</v>
      </c>
      <c r="C6615">
        <v>1152</v>
      </c>
      <c r="D6615" s="9">
        <v>43760</v>
      </c>
      <c r="E6615" t="s">
        <v>296</v>
      </c>
      <c r="I6615" s="9"/>
    </row>
    <row r="6616" spans="1:9" x14ac:dyDescent="0.25">
      <c r="A6616">
        <v>662125</v>
      </c>
      <c r="B6616">
        <v>0.7</v>
      </c>
      <c r="C6616">
        <v>1152</v>
      </c>
      <c r="D6616" s="9">
        <v>43250</v>
      </c>
      <c r="E6616" t="s">
        <v>296</v>
      </c>
      <c r="I6616" s="9"/>
    </row>
    <row r="6617" spans="1:9" x14ac:dyDescent="0.25">
      <c r="A6617">
        <v>662125</v>
      </c>
      <c r="B6617">
        <v>0.68</v>
      </c>
      <c r="C6617">
        <v>1152</v>
      </c>
      <c r="D6617" s="9">
        <v>43131</v>
      </c>
      <c r="E6617" t="s">
        <v>296</v>
      </c>
      <c r="I6617" s="9"/>
    </row>
    <row r="6618" spans="1:9" x14ac:dyDescent="0.25">
      <c r="A6618">
        <v>662125</v>
      </c>
      <c r="B6618">
        <v>0.64</v>
      </c>
      <c r="C6618">
        <v>1440</v>
      </c>
      <c r="D6618" s="9">
        <v>42864</v>
      </c>
      <c r="E6618" t="s">
        <v>296</v>
      </c>
      <c r="I6618" s="9"/>
    </row>
    <row r="6619" spans="1:9" x14ac:dyDescent="0.25">
      <c r="A6619">
        <v>662125</v>
      </c>
      <c r="B6619">
        <v>0.64</v>
      </c>
      <c r="C6619">
        <v>1728</v>
      </c>
      <c r="D6619" s="9">
        <v>42655</v>
      </c>
      <c r="E6619" t="s">
        <v>296</v>
      </c>
      <c r="I6619" s="9"/>
    </row>
    <row r="6620" spans="1:9" x14ac:dyDescent="0.25">
      <c r="A6620">
        <v>662125</v>
      </c>
      <c r="B6620">
        <v>0.64</v>
      </c>
      <c r="C6620">
        <v>1728</v>
      </c>
      <c r="D6620" s="9">
        <v>42655</v>
      </c>
      <c r="E6620" t="s">
        <v>296</v>
      </c>
      <c r="I6620" s="9"/>
    </row>
    <row r="6621" spans="1:9" x14ac:dyDescent="0.25">
      <c r="A6621">
        <v>662125</v>
      </c>
      <c r="B6621">
        <v>0.64</v>
      </c>
      <c r="C6621">
        <v>1152</v>
      </c>
      <c r="D6621" s="9">
        <v>42325</v>
      </c>
      <c r="E6621" t="s">
        <v>296</v>
      </c>
      <c r="I6621" s="9"/>
    </row>
    <row r="6622" spans="1:9" x14ac:dyDescent="0.25">
      <c r="A6622">
        <v>662125</v>
      </c>
      <c r="B6622">
        <v>0.64</v>
      </c>
      <c r="C6622">
        <v>1152</v>
      </c>
      <c r="D6622" s="9">
        <v>41934</v>
      </c>
      <c r="E6622" t="s">
        <v>296</v>
      </c>
      <c r="I6622" s="9"/>
    </row>
    <row r="6623" spans="1:9" x14ac:dyDescent="0.25">
      <c r="A6623">
        <v>662133</v>
      </c>
      <c r="B6623">
        <v>3.91</v>
      </c>
      <c r="C6623">
        <v>80</v>
      </c>
      <c r="D6623" s="9">
        <v>44148</v>
      </c>
      <c r="E6623" t="s">
        <v>295</v>
      </c>
      <c r="I6623" s="9"/>
    </row>
    <row r="6624" spans="1:9" x14ac:dyDescent="0.25">
      <c r="A6624">
        <v>662133</v>
      </c>
      <c r="B6624">
        <v>3.91</v>
      </c>
      <c r="C6624">
        <v>80</v>
      </c>
      <c r="D6624" s="9">
        <v>43962</v>
      </c>
      <c r="E6624" t="s">
        <v>295</v>
      </c>
      <c r="I6624" s="9"/>
    </row>
    <row r="6625" spans="1:9" x14ac:dyDescent="0.25">
      <c r="A6625">
        <v>662133</v>
      </c>
      <c r="B6625">
        <v>3.3</v>
      </c>
      <c r="C6625">
        <v>80</v>
      </c>
      <c r="D6625" s="9">
        <v>43374</v>
      </c>
      <c r="E6625" t="s">
        <v>295</v>
      </c>
      <c r="I6625" s="9"/>
    </row>
    <row r="6626" spans="1:9" x14ac:dyDescent="0.25">
      <c r="A6626">
        <v>662133</v>
      </c>
      <c r="B6626">
        <v>3.3</v>
      </c>
      <c r="C6626">
        <v>80</v>
      </c>
      <c r="D6626" s="9">
        <v>43104</v>
      </c>
      <c r="E6626" t="s">
        <v>295</v>
      </c>
      <c r="I6626" s="9"/>
    </row>
    <row r="6627" spans="1:9" x14ac:dyDescent="0.25">
      <c r="A6627">
        <v>662133</v>
      </c>
      <c r="B6627">
        <v>3.3</v>
      </c>
      <c r="C6627">
        <v>80</v>
      </c>
      <c r="D6627" s="9">
        <v>43056</v>
      </c>
      <c r="E6627" t="s">
        <v>295</v>
      </c>
      <c r="I6627" s="9"/>
    </row>
    <row r="6628" spans="1:9" x14ac:dyDescent="0.25">
      <c r="A6628">
        <v>662133</v>
      </c>
      <c r="B6628">
        <v>3.3</v>
      </c>
      <c r="C6628">
        <v>160</v>
      </c>
      <c r="D6628" s="9">
        <v>42836</v>
      </c>
      <c r="E6628" t="s">
        <v>295</v>
      </c>
      <c r="I6628" s="9"/>
    </row>
    <row r="6629" spans="1:9" x14ac:dyDescent="0.25">
      <c r="A6629">
        <v>662133</v>
      </c>
      <c r="B6629">
        <v>3.3</v>
      </c>
      <c r="C6629">
        <v>80</v>
      </c>
      <c r="D6629" s="9">
        <v>42745</v>
      </c>
      <c r="E6629" t="s">
        <v>295</v>
      </c>
      <c r="I6629" s="9"/>
    </row>
    <row r="6630" spans="1:9" x14ac:dyDescent="0.25">
      <c r="A6630">
        <v>662133</v>
      </c>
      <c r="B6630">
        <v>3.3</v>
      </c>
      <c r="C6630">
        <v>40</v>
      </c>
      <c r="D6630" s="9">
        <v>42534</v>
      </c>
      <c r="E6630" t="s">
        <v>295</v>
      </c>
      <c r="I6630" s="9"/>
    </row>
    <row r="6631" spans="1:9" x14ac:dyDescent="0.25">
      <c r="A6631">
        <v>662133</v>
      </c>
      <c r="B6631">
        <v>3.3</v>
      </c>
      <c r="C6631">
        <v>160</v>
      </c>
      <c r="D6631" s="9">
        <v>42471</v>
      </c>
      <c r="E6631" t="s">
        <v>295</v>
      </c>
      <c r="I6631" s="9"/>
    </row>
    <row r="6632" spans="1:9" x14ac:dyDescent="0.25">
      <c r="A6632">
        <v>662133</v>
      </c>
      <c r="B6632">
        <v>3.3</v>
      </c>
      <c r="C6632">
        <v>80</v>
      </c>
      <c r="D6632" s="9">
        <v>42271</v>
      </c>
      <c r="E6632" t="s">
        <v>295</v>
      </c>
      <c r="I6632" s="9"/>
    </row>
    <row r="6633" spans="1:9" x14ac:dyDescent="0.25">
      <c r="A6633">
        <v>662133</v>
      </c>
      <c r="B6633">
        <v>3.3</v>
      </c>
      <c r="C6633">
        <v>80</v>
      </c>
      <c r="D6633" s="9">
        <v>42067</v>
      </c>
      <c r="E6633" t="s">
        <v>295</v>
      </c>
      <c r="I6633" s="9"/>
    </row>
    <row r="6634" spans="1:9" x14ac:dyDescent="0.25">
      <c r="A6634">
        <v>662133</v>
      </c>
      <c r="B6634">
        <v>3.36</v>
      </c>
      <c r="C6634">
        <v>80</v>
      </c>
      <c r="D6634" s="9">
        <v>41961</v>
      </c>
      <c r="E6634" t="s">
        <v>295</v>
      </c>
      <c r="I6634" s="9"/>
    </row>
    <row r="6635" spans="1:9" x14ac:dyDescent="0.25">
      <c r="A6635">
        <v>662133</v>
      </c>
      <c r="B6635">
        <v>3.6</v>
      </c>
      <c r="C6635">
        <v>40</v>
      </c>
      <c r="D6635" s="9">
        <v>41794</v>
      </c>
      <c r="E6635" t="s">
        <v>295</v>
      </c>
      <c r="I6635" s="9"/>
    </row>
    <row r="6636" spans="1:9" x14ac:dyDescent="0.25">
      <c r="A6636">
        <v>662133</v>
      </c>
      <c r="B6636">
        <v>3.6</v>
      </c>
      <c r="C6636">
        <v>40</v>
      </c>
      <c r="D6636" s="9">
        <v>41775</v>
      </c>
      <c r="E6636" t="s">
        <v>295</v>
      </c>
      <c r="I6636" s="9"/>
    </row>
    <row r="6637" spans="1:9" x14ac:dyDescent="0.25">
      <c r="A6637">
        <v>662144</v>
      </c>
      <c r="B6637">
        <v>5.0999999999999996</v>
      </c>
      <c r="C6637">
        <v>80</v>
      </c>
      <c r="D6637" s="9">
        <v>44148</v>
      </c>
      <c r="E6637" t="s">
        <v>295</v>
      </c>
      <c r="I6637" s="9"/>
    </row>
    <row r="6638" spans="1:9" x14ac:dyDescent="0.25">
      <c r="A6638">
        <v>662144</v>
      </c>
      <c r="B6638">
        <v>5.0999999999999996</v>
      </c>
      <c r="C6638">
        <v>80</v>
      </c>
      <c r="D6638" s="9">
        <v>43664</v>
      </c>
      <c r="E6638" t="s">
        <v>295</v>
      </c>
      <c r="I6638" s="9"/>
    </row>
    <row r="6639" spans="1:9" x14ac:dyDescent="0.25">
      <c r="A6639">
        <v>662144</v>
      </c>
      <c r="B6639">
        <v>5.0999999999999996</v>
      </c>
      <c r="C6639">
        <v>80</v>
      </c>
      <c r="D6639" s="9">
        <v>43207</v>
      </c>
      <c r="E6639" t="s">
        <v>295</v>
      </c>
      <c r="I6639" s="9"/>
    </row>
    <row r="6640" spans="1:9" x14ac:dyDescent="0.25">
      <c r="A6640">
        <v>662144</v>
      </c>
      <c r="B6640">
        <v>4.92</v>
      </c>
      <c r="C6640">
        <v>80</v>
      </c>
      <c r="D6640" s="9">
        <v>43056</v>
      </c>
      <c r="E6640" t="s">
        <v>295</v>
      </c>
      <c r="I6640" s="9"/>
    </row>
    <row r="6641" spans="1:9" x14ac:dyDescent="0.25">
      <c r="A6641">
        <v>662144</v>
      </c>
      <c r="B6641">
        <v>4.92</v>
      </c>
      <c r="C6641">
        <v>80</v>
      </c>
      <c r="D6641" s="9">
        <v>42838</v>
      </c>
      <c r="E6641" t="s">
        <v>295</v>
      </c>
      <c r="I6641" s="9"/>
    </row>
    <row r="6642" spans="1:9" x14ac:dyDescent="0.25">
      <c r="A6642">
        <v>662144</v>
      </c>
      <c r="B6642">
        <v>4.55</v>
      </c>
      <c r="C6642">
        <v>80</v>
      </c>
      <c r="D6642" s="9">
        <v>42745</v>
      </c>
      <c r="E6642" t="s">
        <v>295</v>
      </c>
      <c r="I6642" s="9"/>
    </row>
    <row r="6643" spans="1:9" x14ac:dyDescent="0.25">
      <c r="A6643">
        <v>662144</v>
      </c>
      <c r="B6643">
        <v>4.55</v>
      </c>
      <c r="C6643">
        <v>80</v>
      </c>
      <c r="D6643" s="9">
        <v>42271</v>
      </c>
      <c r="E6643" t="s">
        <v>295</v>
      </c>
      <c r="I6643" s="9"/>
    </row>
    <row r="6644" spans="1:9" x14ac:dyDescent="0.25">
      <c r="A6644">
        <v>662144</v>
      </c>
      <c r="B6644">
        <v>4.55</v>
      </c>
      <c r="C6644">
        <v>80</v>
      </c>
      <c r="D6644" s="9">
        <v>42067</v>
      </c>
      <c r="E6644" t="s">
        <v>295</v>
      </c>
      <c r="I6644" s="9"/>
    </row>
    <row r="6645" spans="1:9" x14ac:dyDescent="0.25">
      <c r="A6645">
        <v>662144</v>
      </c>
      <c r="B6645">
        <v>4.55</v>
      </c>
      <c r="C6645">
        <v>80</v>
      </c>
      <c r="D6645" s="9">
        <v>41961</v>
      </c>
      <c r="E6645" t="s">
        <v>295</v>
      </c>
      <c r="I6645" s="9"/>
    </row>
    <row r="6646" spans="1:9" x14ac:dyDescent="0.25">
      <c r="A6646">
        <v>662144</v>
      </c>
      <c r="B6646">
        <v>5.96</v>
      </c>
      <c r="C6646">
        <v>40</v>
      </c>
      <c r="D6646" s="9">
        <v>41775</v>
      </c>
      <c r="E6646" t="s">
        <v>295</v>
      </c>
      <c r="I6646" s="9"/>
    </row>
    <row r="6647" spans="1:9" x14ac:dyDescent="0.25">
      <c r="A6647">
        <v>662155</v>
      </c>
      <c r="B6647">
        <v>6.74</v>
      </c>
      <c r="C6647">
        <v>70</v>
      </c>
      <c r="D6647" s="9">
        <v>44148</v>
      </c>
      <c r="E6647" t="s">
        <v>295</v>
      </c>
      <c r="I6647" s="9"/>
    </row>
    <row r="6648" spans="1:9" x14ac:dyDescent="0.25">
      <c r="A6648">
        <v>662155</v>
      </c>
      <c r="B6648">
        <v>6.74</v>
      </c>
      <c r="C6648">
        <v>70</v>
      </c>
      <c r="D6648" s="9">
        <v>44019</v>
      </c>
      <c r="E6648" t="s">
        <v>295</v>
      </c>
      <c r="I6648" s="9"/>
    </row>
    <row r="6649" spans="1:9" x14ac:dyDescent="0.25">
      <c r="A6649">
        <v>662155</v>
      </c>
      <c r="B6649">
        <v>6.3</v>
      </c>
      <c r="C6649">
        <v>70</v>
      </c>
      <c r="D6649" s="9">
        <v>43838</v>
      </c>
      <c r="E6649" t="s">
        <v>295</v>
      </c>
      <c r="I6649" s="9"/>
    </row>
    <row r="6650" spans="1:9" x14ac:dyDescent="0.25">
      <c r="A6650">
        <v>662155</v>
      </c>
      <c r="B6650">
        <v>6.3</v>
      </c>
      <c r="C6650">
        <v>140</v>
      </c>
      <c r="D6650" s="9">
        <v>43664</v>
      </c>
      <c r="E6650" t="s">
        <v>295</v>
      </c>
      <c r="I6650" s="9"/>
    </row>
    <row r="6651" spans="1:9" x14ac:dyDescent="0.25">
      <c r="A6651">
        <v>662155</v>
      </c>
      <c r="B6651">
        <v>6.3</v>
      </c>
      <c r="C6651">
        <v>70</v>
      </c>
      <c r="D6651" s="9">
        <v>43207</v>
      </c>
      <c r="E6651" t="s">
        <v>295</v>
      </c>
      <c r="I6651" s="9"/>
    </row>
    <row r="6652" spans="1:9" x14ac:dyDescent="0.25">
      <c r="A6652">
        <v>662155</v>
      </c>
      <c r="B6652">
        <v>6.3</v>
      </c>
      <c r="C6652">
        <v>140</v>
      </c>
      <c r="D6652" s="9">
        <v>43104</v>
      </c>
      <c r="E6652" t="s">
        <v>295</v>
      </c>
      <c r="I6652" s="9"/>
    </row>
    <row r="6653" spans="1:9" x14ac:dyDescent="0.25">
      <c r="A6653">
        <v>662155</v>
      </c>
      <c r="B6653">
        <v>6.1</v>
      </c>
      <c r="C6653">
        <v>70</v>
      </c>
      <c r="D6653" s="9">
        <v>43056</v>
      </c>
      <c r="E6653" t="s">
        <v>295</v>
      </c>
      <c r="I6653" s="9"/>
    </row>
    <row r="6654" spans="1:9" x14ac:dyDescent="0.25">
      <c r="A6654">
        <v>662155</v>
      </c>
      <c r="B6654">
        <v>6.1</v>
      </c>
      <c r="C6654">
        <v>70</v>
      </c>
      <c r="D6654" s="9">
        <v>42891</v>
      </c>
      <c r="E6654" t="s">
        <v>295</v>
      </c>
      <c r="I6654" s="9"/>
    </row>
    <row r="6655" spans="1:9" x14ac:dyDescent="0.25">
      <c r="A6655">
        <v>662155</v>
      </c>
      <c r="B6655">
        <v>6.1</v>
      </c>
      <c r="C6655">
        <v>35</v>
      </c>
      <c r="D6655" s="9">
        <v>42836</v>
      </c>
      <c r="E6655" t="s">
        <v>295</v>
      </c>
      <c r="I6655" s="9"/>
    </row>
    <row r="6656" spans="1:9" x14ac:dyDescent="0.25">
      <c r="A6656">
        <v>662155</v>
      </c>
      <c r="B6656">
        <v>6.1</v>
      </c>
      <c r="C6656">
        <v>70</v>
      </c>
      <c r="D6656" s="9">
        <v>42745</v>
      </c>
      <c r="E6656" t="s">
        <v>295</v>
      </c>
      <c r="I6656" s="9"/>
    </row>
    <row r="6657" spans="1:9" x14ac:dyDescent="0.25">
      <c r="A6657">
        <v>662155</v>
      </c>
      <c r="B6657">
        <v>6.1</v>
      </c>
      <c r="C6657">
        <v>150</v>
      </c>
      <c r="D6657" s="9">
        <v>42430</v>
      </c>
      <c r="E6657" t="s">
        <v>295</v>
      </c>
      <c r="I6657" s="9"/>
    </row>
    <row r="6658" spans="1:9" x14ac:dyDescent="0.25">
      <c r="A6658">
        <v>662155</v>
      </c>
      <c r="B6658">
        <v>5.65</v>
      </c>
      <c r="C6658">
        <v>60</v>
      </c>
      <c r="D6658" s="9">
        <v>42271</v>
      </c>
      <c r="E6658" t="s">
        <v>295</v>
      </c>
      <c r="I6658" s="9"/>
    </row>
    <row r="6659" spans="1:9" x14ac:dyDescent="0.25">
      <c r="A6659">
        <v>662155</v>
      </c>
      <c r="B6659">
        <v>5.65</v>
      </c>
      <c r="C6659">
        <v>60</v>
      </c>
      <c r="D6659" s="9">
        <v>42067</v>
      </c>
      <c r="E6659" t="s">
        <v>295</v>
      </c>
      <c r="I6659" s="9"/>
    </row>
    <row r="6660" spans="1:9" x14ac:dyDescent="0.25">
      <c r="A6660">
        <v>662155</v>
      </c>
      <c r="B6660">
        <v>5.65</v>
      </c>
      <c r="C6660">
        <v>80</v>
      </c>
      <c r="D6660" s="9">
        <v>41961</v>
      </c>
      <c r="E6660" t="s">
        <v>295</v>
      </c>
      <c r="I6660" s="9"/>
    </row>
    <row r="6661" spans="1:9" x14ac:dyDescent="0.25">
      <c r="A6661">
        <v>662305</v>
      </c>
      <c r="B6661">
        <v>0.5</v>
      </c>
      <c r="C6661">
        <v>1200</v>
      </c>
      <c r="D6661" s="9">
        <v>43829</v>
      </c>
      <c r="E6661" t="s">
        <v>296</v>
      </c>
      <c r="I6661" s="9"/>
    </row>
    <row r="6662" spans="1:9" x14ac:dyDescent="0.25">
      <c r="A6662">
        <v>662320</v>
      </c>
      <c r="B6662">
        <v>1.1100000000000001</v>
      </c>
      <c r="C6662">
        <v>800</v>
      </c>
      <c r="D6662" s="9">
        <v>43483</v>
      </c>
      <c r="E6662" t="s">
        <v>296</v>
      </c>
      <c r="I6662" s="9"/>
    </row>
    <row r="6663" spans="1:9" x14ac:dyDescent="0.25">
      <c r="A6663">
        <v>662320</v>
      </c>
      <c r="B6663">
        <v>0.97499999999999998</v>
      </c>
      <c r="C6663">
        <v>800</v>
      </c>
      <c r="D6663" s="9">
        <v>42976</v>
      </c>
      <c r="E6663" t="s">
        <v>297</v>
      </c>
      <c r="I6663" s="9"/>
    </row>
    <row r="6664" spans="1:9" x14ac:dyDescent="0.25">
      <c r="A6664">
        <v>662320</v>
      </c>
      <c r="B6664">
        <v>1.08</v>
      </c>
      <c r="C6664">
        <v>1000</v>
      </c>
      <c r="D6664" s="9">
        <v>42912</v>
      </c>
      <c r="E6664" t="s">
        <v>296</v>
      </c>
      <c r="I6664" s="9"/>
    </row>
    <row r="6665" spans="1:9" x14ac:dyDescent="0.25">
      <c r="A6665">
        <v>662320</v>
      </c>
      <c r="B6665">
        <v>4.28</v>
      </c>
      <c r="C6665">
        <v>400</v>
      </c>
      <c r="D6665" s="9">
        <v>42520</v>
      </c>
      <c r="E6665" t="s">
        <v>295</v>
      </c>
      <c r="I6665" s="9"/>
    </row>
    <row r="6666" spans="1:9" x14ac:dyDescent="0.25">
      <c r="A6666">
        <v>662320</v>
      </c>
      <c r="B6666">
        <v>0.97499999999999998</v>
      </c>
      <c r="C6666">
        <v>800</v>
      </c>
      <c r="D6666" s="9">
        <v>42520</v>
      </c>
      <c r="E6666" t="s">
        <v>297</v>
      </c>
      <c r="I6666" s="9"/>
    </row>
    <row r="6667" spans="1:9" x14ac:dyDescent="0.25">
      <c r="A6667">
        <v>662320</v>
      </c>
      <c r="B6667">
        <v>1.026</v>
      </c>
      <c r="C6667">
        <v>800</v>
      </c>
      <c r="D6667" s="9">
        <v>42129</v>
      </c>
      <c r="E6667" t="s">
        <v>296</v>
      </c>
      <c r="I6667" s="9"/>
    </row>
    <row r="6668" spans="1:9" x14ac:dyDescent="0.25">
      <c r="A6668">
        <v>662320</v>
      </c>
      <c r="B6668">
        <v>1.026</v>
      </c>
      <c r="C6668">
        <v>800</v>
      </c>
      <c r="D6668" s="9">
        <v>41786</v>
      </c>
      <c r="E6668" t="s">
        <v>296</v>
      </c>
      <c r="I6668" s="9"/>
    </row>
    <row r="6669" spans="1:9" x14ac:dyDescent="0.25">
      <c r="A6669">
        <v>662320</v>
      </c>
      <c r="B6669">
        <v>1.006</v>
      </c>
      <c r="C6669">
        <v>800</v>
      </c>
      <c r="D6669" s="9">
        <v>41617</v>
      </c>
      <c r="E6669" t="s">
        <v>296</v>
      </c>
      <c r="I6669" s="9"/>
    </row>
    <row r="6670" spans="1:9" x14ac:dyDescent="0.25">
      <c r="A6670">
        <v>662320</v>
      </c>
      <c r="B6670">
        <v>0.98599999999999999</v>
      </c>
      <c r="C6670">
        <v>1024</v>
      </c>
      <c r="D6670" s="9">
        <v>41456</v>
      </c>
      <c r="E6670" t="s">
        <v>296</v>
      </c>
      <c r="I6670" s="9"/>
    </row>
    <row r="6671" spans="1:9" x14ac:dyDescent="0.25">
      <c r="A6671">
        <v>662320</v>
      </c>
      <c r="B6671">
        <v>0.98599999999999999</v>
      </c>
      <c r="C6671">
        <v>480</v>
      </c>
      <c r="D6671" s="9">
        <v>41309</v>
      </c>
      <c r="E6671" t="s">
        <v>296</v>
      </c>
      <c r="I6671" s="9"/>
    </row>
    <row r="6672" spans="1:9" x14ac:dyDescent="0.25">
      <c r="A6672">
        <v>662321</v>
      </c>
      <c r="B6672">
        <v>0.51</v>
      </c>
      <c r="C6672">
        <v>800</v>
      </c>
      <c r="D6672" s="9">
        <v>43483</v>
      </c>
      <c r="E6672" t="s">
        <v>296</v>
      </c>
      <c r="I6672" s="9"/>
    </row>
    <row r="6673" spans="1:9" x14ac:dyDescent="0.25">
      <c r="A6673">
        <v>662321</v>
      </c>
      <c r="B6673">
        <v>0.5</v>
      </c>
      <c r="C6673">
        <v>1200</v>
      </c>
      <c r="D6673" s="9">
        <v>43427</v>
      </c>
      <c r="E6673" t="s">
        <v>296</v>
      </c>
      <c r="I6673" s="9"/>
    </row>
    <row r="6674" spans="1:9" x14ac:dyDescent="0.25">
      <c r="A6674">
        <v>662321</v>
      </c>
      <c r="B6674">
        <v>0.5</v>
      </c>
      <c r="C6674">
        <v>1200</v>
      </c>
      <c r="D6674" s="9">
        <v>42976</v>
      </c>
      <c r="E6674" t="s">
        <v>296</v>
      </c>
      <c r="I6674" s="9"/>
    </row>
    <row r="6675" spans="1:9" x14ac:dyDescent="0.25">
      <c r="A6675">
        <v>662321</v>
      </c>
      <c r="B6675">
        <v>0.53600000000000003</v>
      </c>
      <c r="C6675">
        <v>1200</v>
      </c>
      <c r="D6675" s="9">
        <v>42607</v>
      </c>
      <c r="E6675" t="s">
        <v>297</v>
      </c>
      <c r="I6675" s="9"/>
    </row>
    <row r="6676" spans="1:9" x14ac:dyDescent="0.25">
      <c r="A6676">
        <v>662321</v>
      </c>
      <c r="B6676">
        <v>0.53600000000000003</v>
      </c>
      <c r="C6676">
        <v>1200</v>
      </c>
      <c r="D6676" s="9">
        <v>42285</v>
      </c>
      <c r="E6676" t="s">
        <v>297</v>
      </c>
      <c r="I6676" s="9"/>
    </row>
    <row r="6677" spans="1:9" x14ac:dyDescent="0.25">
      <c r="A6677">
        <v>662321</v>
      </c>
      <c r="B6677">
        <v>0.58899999999999997</v>
      </c>
      <c r="C6677">
        <v>1440</v>
      </c>
      <c r="D6677" s="9">
        <v>41786</v>
      </c>
      <c r="E6677" t="s">
        <v>296</v>
      </c>
      <c r="I6677" s="9"/>
    </row>
    <row r="6678" spans="1:9" x14ac:dyDescent="0.25">
      <c r="A6678">
        <v>662321</v>
      </c>
      <c r="B6678">
        <v>0.57699999999999996</v>
      </c>
      <c r="C6678">
        <v>1500</v>
      </c>
      <c r="D6678" s="9">
        <v>41456</v>
      </c>
      <c r="E6678" t="s">
        <v>296</v>
      </c>
      <c r="I6678" s="9"/>
    </row>
    <row r="6679" spans="1:9" x14ac:dyDescent="0.25">
      <c r="A6679">
        <v>662321</v>
      </c>
      <c r="B6679">
        <v>0.57699999999999996</v>
      </c>
      <c r="C6679">
        <v>1500</v>
      </c>
      <c r="D6679" s="9">
        <v>41309</v>
      </c>
      <c r="E6679" t="s">
        <v>296</v>
      </c>
      <c r="I6679" s="9"/>
    </row>
    <row r="6680" spans="1:9" x14ac:dyDescent="0.25">
      <c r="A6680">
        <v>662350</v>
      </c>
      <c r="B6680">
        <v>0.67600000000000005</v>
      </c>
      <c r="C6680">
        <v>1008</v>
      </c>
      <c r="D6680" s="9">
        <v>44040</v>
      </c>
      <c r="E6680" t="s">
        <v>296</v>
      </c>
      <c r="I6680" s="9"/>
    </row>
    <row r="6681" spans="1:9" x14ac:dyDescent="0.25">
      <c r="A6681">
        <v>662350</v>
      </c>
      <c r="B6681">
        <v>0.67600000000000005</v>
      </c>
      <c r="C6681">
        <v>1008</v>
      </c>
      <c r="D6681" s="9">
        <v>43969</v>
      </c>
      <c r="E6681" t="s">
        <v>296</v>
      </c>
      <c r="I6681" s="9"/>
    </row>
    <row r="6682" spans="1:9" x14ac:dyDescent="0.25">
      <c r="A6682">
        <v>662350</v>
      </c>
      <c r="B6682">
        <v>0.67600000000000005</v>
      </c>
      <c r="C6682">
        <v>1296</v>
      </c>
      <c r="D6682" s="9">
        <v>43829</v>
      </c>
      <c r="E6682" t="s">
        <v>296</v>
      </c>
      <c r="I6682" s="9"/>
    </row>
    <row r="6683" spans="1:9" x14ac:dyDescent="0.25">
      <c r="A6683">
        <v>662350</v>
      </c>
      <c r="B6683">
        <v>0.55000000000000004</v>
      </c>
      <c r="C6683">
        <v>432</v>
      </c>
      <c r="D6683" s="9">
        <v>43600</v>
      </c>
      <c r="E6683" t="s">
        <v>296</v>
      </c>
      <c r="I6683" s="9"/>
    </row>
    <row r="6684" spans="1:9" x14ac:dyDescent="0.25">
      <c r="A6684">
        <v>662350</v>
      </c>
      <c r="B6684">
        <v>0.55000000000000004</v>
      </c>
      <c r="C6684">
        <v>792</v>
      </c>
      <c r="D6684" s="9">
        <v>43483</v>
      </c>
      <c r="E6684" t="s">
        <v>296</v>
      </c>
      <c r="I6684" s="9"/>
    </row>
    <row r="6685" spans="1:9" x14ac:dyDescent="0.25">
      <c r="A6685">
        <v>662350</v>
      </c>
      <c r="B6685">
        <v>0.50800000000000001</v>
      </c>
      <c r="C6685">
        <v>1296</v>
      </c>
      <c r="D6685" s="9">
        <v>43427</v>
      </c>
      <c r="E6685" t="s">
        <v>296</v>
      </c>
      <c r="I6685" s="9"/>
    </row>
    <row r="6686" spans="1:9" x14ac:dyDescent="0.25">
      <c r="A6686">
        <v>662350</v>
      </c>
      <c r="B6686">
        <v>0.55000000000000004</v>
      </c>
      <c r="C6686">
        <v>1296</v>
      </c>
      <c r="D6686" s="9">
        <v>42781</v>
      </c>
      <c r="E6686" t="s">
        <v>296</v>
      </c>
      <c r="I6686" s="9"/>
    </row>
    <row r="6687" spans="1:9" x14ac:dyDescent="0.25">
      <c r="A6687">
        <v>662350</v>
      </c>
      <c r="B6687">
        <v>0.55000000000000004</v>
      </c>
      <c r="C6687">
        <v>1152</v>
      </c>
      <c r="D6687" s="9">
        <v>42719</v>
      </c>
      <c r="E6687" t="s">
        <v>296</v>
      </c>
      <c r="I6687" s="9"/>
    </row>
    <row r="6688" spans="1:9" x14ac:dyDescent="0.25">
      <c r="A6688">
        <v>662350</v>
      </c>
      <c r="B6688">
        <v>0.55000000000000004</v>
      </c>
      <c r="C6688">
        <v>1296</v>
      </c>
      <c r="D6688" s="9">
        <v>42660</v>
      </c>
      <c r="E6688" t="s">
        <v>296</v>
      </c>
      <c r="I6688" s="9"/>
    </row>
    <row r="6689" spans="1:9" x14ac:dyDescent="0.25">
      <c r="A6689">
        <v>662350</v>
      </c>
      <c r="B6689">
        <v>0.5</v>
      </c>
      <c r="C6689">
        <v>1296</v>
      </c>
      <c r="D6689" s="9">
        <v>42383</v>
      </c>
      <c r="E6689" t="s">
        <v>296</v>
      </c>
      <c r="I6689" s="9"/>
    </row>
    <row r="6690" spans="1:9" x14ac:dyDescent="0.25">
      <c r="A6690">
        <v>662350</v>
      </c>
      <c r="B6690">
        <v>0.63600000000000001</v>
      </c>
      <c r="C6690">
        <v>1296</v>
      </c>
      <c r="D6690" s="9">
        <v>42129</v>
      </c>
      <c r="E6690" t="s">
        <v>296</v>
      </c>
      <c r="I6690" s="9"/>
    </row>
    <row r="6691" spans="1:9" x14ac:dyDescent="0.25">
      <c r="A6691">
        <v>662350</v>
      </c>
      <c r="B6691">
        <v>0.63600000000000001</v>
      </c>
      <c r="C6691">
        <v>1440</v>
      </c>
      <c r="D6691" s="9">
        <v>41786</v>
      </c>
      <c r="E6691" t="s">
        <v>296</v>
      </c>
      <c r="I6691" s="9"/>
    </row>
    <row r="6692" spans="1:9" x14ac:dyDescent="0.25">
      <c r="A6692">
        <v>662350</v>
      </c>
      <c r="B6692">
        <v>0.624</v>
      </c>
      <c r="C6692">
        <v>1728</v>
      </c>
      <c r="D6692" s="9">
        <v>41617</v>
      </c>
      <c r="E6692" t="s">
        <v>296</v>
      </c>
      <c r="I6692" s="9"/>
    </row>
    <row r="6693" spans="1:9" x14ac:dyDescent="0.25">
      <c r="A6693">
        <v>662353</v>
      </c>
      <c r="B6693">
        <v>1.2889999999999999</v>
      </c>
      <c r="C6693">
        <v>960</v>
      </c>
      <c r="D6693" s="9">
        <v>43829</v>
      </c>
      <c r="E6693" t="s">
        <v>296</v>
      </c>
      <c r="I6693" s="9"/>
    </row>
    <row r="6694" spans="1:9" x14ac:dyDescent="0.25">
      <c r="A6694">
        <v>662353</v>
      </c>
      <c r="B6694">
        <v>1.1200000000000001</v>
      </c>
      <c r="C6694">
        <v>816</v>
      </c>
      <c r="D6694" s="9">
        <v>43483</v>
      </c>
      <c r="E6694" t="s">
        <v>296</v>
      </c>
      <c r="I6694" s="9"/>
    </row>
    <row r="6695" spans="1:9" x14ac:dyDescent="0.25">
      <c r="A6695">
        <v>662353</v>
      </c>
      <c r="B6695">
        <v>1.0660000000000001</v>
      </c>
      <c r="C6695">
        <v>960</v>
      </c>
      <c r="D6695" s="9">
        <v>43427</v>
      </c>
      <c r="E6695" t="s">
        <v>296</v>
      </c>
      <c r="I6695" s="9"/>
    </row>
    <row r="6696" spans="1:9" x14ac:dyDescent="0.25">
      <c r="A6696">
        <v>662353</v>
      </c>
      <c r="B6696">
        <v>1.0660000000000001</v>
      </c>
      <c r="C6696">
        <v>720</v>
      </c>
      <c r="D6696" s="9">
        <v>42976</v>
      </c>
      <c r="E6696" t="s">
        <v>296</v>
      </c>
      <c r="I6696" s="9"/>
    </row>
    <row r="6697" spans="1:9" x14ac:dyDescent="0.25">
      <c r="A6697">
        <v>662353</v>
      </c>
      <c r="B6697">
        <v>1.0660000000000001</v>
      </c>
      <c r="C6697">
        <v>720</v>
      </c>
      <c r="D6697" s="9">
        <v>42607</v>
      </c>
      <c r="E6697" t="s">
        <v>297</v>
      </c>
      <c r="I6697" s="9"/>
    </row>
    <row r="6698" spans="1:9" x14ac:dyDescent="0.25">
      <c r="A6698">
        <v>662353</v>
      </c>
      <c r="B6698">
        <v>1.0660000000000001</v>
      </c>
      <c r="C6698">
        <v>720</v>
      </c>
      <c r="D6698" s="9">
        <v>42285</v>
      </c>
      <c r="E6698" t="s">
        <v>297</v>
      </c>
      <c r="I6698" s="9"/>
    </row>
    <row r="6699" spans="1:9" x14ac:dyDescent="0.25">
      <c r="A6699">
        <v>662381</v>
      </c>
      <c r="B6699">
        <v>3.18</v>
      </c>
      <c r="C6699">
        <v>60</v>
      </c>
      <c r="D6699" s="9">
        <v>42844</v>
      </c>
      <c r="E6699" t="s">
        <v>295</v>
      </c>
      <c r="I6699" s="9"/>
    </row>
    <row r="6700" spans="1:9" x14ac:dyDescent="0.25">
      <c r="A6700">
        <v>662383</v>
      </c>
      <c r="B6700">
        <v>3.84</v>
      </c>
      <c r="C6700">
        <v>60</v>
      </c>
      <c r="D6700" s="9">
        <v>42844</v>
      </c>
      <c r="E6700" t="s">
        <v>295</v>
      </c>
      <c r="I6700" s="9"/>
    </row>
    <row r="6701" spans="1:9" x14ac:dyDescent="0.25">
      <c r="A6701">
        <v>662396</v>
      </c>
      <c r="B6701">
        <v>5.56</v>
      </c>
      <c r="C6701">
        <v>48</v>
      </c>
      <c r="D6701" s="9">
        <v>44019</v>
      </c>
      <c r="E6701" t="s">
        <v>295</v>
      </c>
      <c r="I6701" s="9"/>
    </row>
    <row r="6702" spans="1:9" x14ac:dyDescent="0.25">
      <c r="A6702">
        <v>662396</v>
      </c>
      <c r="B6702">
        <v>5.56</v>
      </c>
      <c r="C6702">
        <v>50</v>
      </c>
      <c r="D6702" s="9">
        <v>43962</v>
      </c>
      <c r="E6702" t="s">
        <v>295</v>
      </c>
      <c r="I6702" s="9"/>
    </row>
    <row r="6703" spans="1:9" x14ac:dyDescent="0.25">
      <c r="A6703">
        <v>662396</v>
      </c>
      <c r="B6703">
        <v>5.56</v>
      </c>
      <c r="C6703">
        <v>24</v>
      </c>
      <c r="D6703" s="9">
        <v>43894</v>
      </c>
      <c r="E6703" t="s">
        <v>295</v>
      </c>
      <c r="I6703" s="9"/>
    </row>
    <row r="6704" spans="1:9" x14ac:dyDescent="0.25">
      <c r="A6704">
        <v>662396</v>
      </c>
      <c r="B6704">
        <v>5</v>
      </c>
      <c r="C6704">
        <v>48</v>
      </c>
      <c r="D6704" s="9">
        <v>43746</v>
      </c>
      <c r="E6704" t="s">
        <v>295</v>
      </c>
      <c r="I6704" s="9"/>
    </row>
    <row r="6705" spans="1:9" x14ac:dyDescent="0.25">
      <c r="A6705">
        <v>662396</v>
      </c>
      <c r="B6705">
        <v>5</v>
      </c>
      <c r="C6705">
        <v>48</v>
      </c>
      <c r="D6705" s="9">
        <v>43691</v>
      </c>
      <c r="E6705" t="s">
        <v>295</v>
      </c>
      <c r="I6705" s="9"/>
    </row>
    <row r="6706" spans="1:9" x14ac:dyDescent="0.25">
      <c r="A6706">
        <v>662396</v>
      </c>
      <c r="B6706">
        <v>5.61</v>
      </c>
      <c r="C6706">
        <v>48</v>
      </c>
      <c r="D6706" s="9">
        <v>42844</v>
      </c>
      <c r="E6706" t="s">
        <v>295</v>
      </c>
      <c r="I6706" s="9"/>
    </row>
    <row r="6707" spans="1:9" x14ac:dyDescent="0.25">
      <c r="A6707">
        <v>662397</v>
      </c>
      <c r="B6707">
        <v>7.92</v>
      </c>
      <c r="C6707">
        <v>120</v>
      </c>
      <c r="D6707" s="9">
        <v>44019</v>
      </c>
      <c r="E6707" t="s">
        <v>295</v>
      </c>
      <c r="I6707" s="9"/>
    </row>
    <row r="6708" spans="1:9" x14ac:dyDescent="0.25">
      <c r="A6708">
        <v>662397</v>
      </c>
      <c r="B6708">
        <v>7.92</v>
      </c>
      <c r="C6708">
        <v>24</v>
      </c>
      <c r="D6708" s="9">
        <v>43894</v>
      </c>
      <c r="E6708" t="s">
        <v>295</v>
      </c>
      <c r="I6708" s="9"/>
    </row>
    <row r="6709" spans="1:9" x14ac:dyDescent="0.25">
      <c r="A6709">
        <v>662397</v>
      </c>
      <c r="B6709">
        <v>7.1</v>
      </c>
      <c r="C6709">
        <v>72</v>
      </c>
      <c r="D6709" s="9">
        <v>43857</v>
      </c>
      <c r="E6709" t="s">
        <v>295</v>
      </c>
      <c r="I6709" s="9"/>
    </row>
    <row r="6710" spans="1:9" x14ac:dyDescent="0.25">
      <c r="A6710">
        <v>662397</v>
      </c>
      <c r="B6710">
        <v>7.1</v>
      </c>
      <c r="C6710">
        <v>48</v>
      </c>
      <c r="D6710" s="9">
        <v>43691</v>
      </c>
      <c r="E6710" t="s">
        <v>295</v>
      </c>
      <c r="I6710" s="9"/>
    </row>
    <row r="6711" spans="1:9" x14ac:dyDescent="0.25">
      <c r="A6711">
        <v>662397</v>
      </c>
      <c r="B6711">
        <v>7.81</v>
      </c>
      <c r="C6711">
        <v>48</v>
      </c>
      <c r="D6711" s="9">
        <v>42844</v>
      </c>
      <c r="E6711" t="s">
        <v>295</v>
      </c>
      <c r="I6711" s="9"/>
    </row>
    <row r="6712" spans="1:9" x14ac:dyDescent="0.25">
      <c r="A6712">
        <v>662405</v>
      </c>
      <c r="B6712">
        <v>4.21</v>
      </c>
      <c r="C6712">
        <v>12</v>
      </c>
      <c r="D6712" s="9">
        <v>42508</v>
      </c>
      <c r="E6712" t="s">
        <v>295</v>
      </c>
      <c r="I6712" s="9"/>
    </row>
    <row r="6713" spans="1:9" x14ac:dyDescent="0.25">
      <c r="A6713">
        <v>662405</v>
      </c>
      <c r="B6713">
        <v>3.9</v>
      </c>
      <c r="C6713">
        <v>4</v>
      </c>
      <c r="D6713" s="9">
        <v>42347</v>
      </c>
      <c r="E6713" t="s">
        <v>295</v>
      </c>
      <c r="I6713" s="9"/>
    </row>
    <row r="6714" spans="1:9" x14ac:dyDescent="0.25">
      <c r="A6714">
        <v>662405</v>
      </c>
      <c r="B6714">
        <v>5.2</v>
      </c>
      <c r="C6714">
        <v>12</v>
      </c>
      <c r="D6714" s="9">
        <v>41718</v>
      </c>
      <c r="E6714" t="s">
        <v>295</v>
      </c>
      <c r="I6714" s="9"/>
    </row>
    <row r="6715" spans="1:9" x14ac:dyDescent="0.25">
      <c r="A6715">
        <v>662417</v>
      </c>
      <c r="B6715">
        <v>3.22</v>
      </c>
      <c r="C6715">
        <v>110</v>
      </c>
      <c r="D6715" s="9">
        <v>42265</v>
      </c>
      <c r="E6715" t="s">
        <v>295</v>
      </c>
      <c r="I6715" s="9"/>
    </row>
    <row r="6716" spans="1:9" x14ac:dyDescent="0.25">
      <c r="A6716">
        <v>662417</v>
      </c>
      <c r="B6716">
        <v>3.48</v>
      </c>
      <c r="C6716">
        <v>15</v>
      </c>
      <c r="D6716" s="9">
        <v>41794</v>
      </c>
      <c r="E6716" t="s">
        <v>295</v>
      </c>
      <c r="I6716" s="9"/>
    </row>
    <row r="6717" spans="1:9" x14ac:dyDescent="0.25">
      <c r="A6717">
        <v>662417</v>
      </c>
      <c r="B6717">
        <v>3.48</v>
      </c>
      <c r="C6717">
        <v>32</v>
      </c>
      <c r="D6717" s="9">
        <v>41718</v>
      </c>
      <c r="E6717" t="s">
        <v>295</v>
      </c>
      <c r="I6717" s="9"/>
    </row>
    <row r="6718" spans="1:9" x14ac:dyDescent="0.25">
      <c r="A6718">
        <v>662426</v>
      </c>
      <c r="B6718">
        <v>5.94</v>
      </c>
      <c r="C6718">
        <v>192</v>
      </c>
      <c r="D6718" s="9">
        <v>42836</v>
      </c>
      <c r="E6718" t="s">
        <v>295</v>
      </c>
      <c r="I6718" s="9"/>
    </row>
    <row r="6719" spans="1:9" x14ac:dyDescent="0.25">
      <c r="A6719">
        <v>662426</v>
      </c>
      <c r="B6719">
        <v>5.94</v>
      </c>
      <c r="C6719">
        <v>158</v>
      </c>
      <c r="D6719" s="9">
        <v>42265</v>
      </c>
      <c r="E6719" t="s">
        <v>295</v>
      </c>
      <c r="I6719" s="9"/>
    </row>
    <row r="6720" spans="1:9" x14ac:dyDescent="0.25">
      <c r="A6720">
        <v>662426</v>
      </c>
      <c r="B6720">
        <v>0</v>
      </c>
      <c r="C6720">
        <v>24</v>
      </c>
      <c r="D6720" s="9">
        <v>42081</v>
      </c>
      <c r="E6720" t="s">
        <v>295</v>
      </c>
      <c r="I6720" s="9"/>
    </row>
    <row r="6721" spans="1:9" x14ac:dyDescent="0.25">
      <c r="A6721">
        <v>662426</v>
      </c>
      <c r="B6721">
        <v>6.44</v>
      </c>
      <c r="C6721">
        <v>12</v>
      </c>
      <c r="D6721" s="9">
        <v>41892</v>
      </c>
      <c r="E6721" t="s">
        <v>295</v>
      </c>
      <c r="I6721" s="9"/>
    </row>
    <row r="6722" spans="1:9" x14ac:dyDescent="0.25">
      <c r="A6722">
        <v>662426</v>
      </c>
      <c r="B6722">
        <v>6.44</v>
      </c>
      <c r="C6722">
        <v>48</v>
      </c>
      <c r="D6722" s="9">
        <v>41794</v>
      </c>
      <c r="E6722" t="s">
        <v>295</v>
      </c>
      <c r="I6722" s="9"/>
    </row>
    <row r="6723" spans="1:9" x14ac:dyDescent="0.25">
      <c r="A6723">
        <v>662426</v>
      </c>
      <c r="B6723">
        <v>6.44</v>
      </c>
      <c r="C6723">
        <v>40</v>
      </c>
      <c r="D6723" s="9">
        <v>41718</v>
      </c>
      <c r="E6723" t="s">
        <v>295</v>
      </c>
      <c r="I6723" s="9"/>
    </row>
    <row r="6724" spans="1:9" x14ac:dyDescent="0.25">
      <c r="A6724">
        <v>662426</v>
      </c>
      <c r="B6724">
        <v>6.44</v>
      </c>
      <c r="C6724">
        <v>24</v>
      </c>
      <c r="D6724" s="9">
        <v>41718</v>
      </c>
      <c r="E6724" t="s">
        <v>295</v>
      </c>
      <c r="I6724" s="9"/>
    </row>
    <row r="6725" spans="1:9" x14ac:dyDescent="0.25">
      <c r="A6725">
        <v>662431</v>
      </c>
      <c r="B6725">
        <v>6.37</v>
      </c>
      <c r="C6725">
        <v>12</v>
      </c>
      <c r="D6725" s="9">
        <v>41892</v>
      </c>
      <c r="E6725" t="s">
        <v>295</v>
      </c>
      <c r="I6725" s="9"/>
    </row>
    <row r="6726" spans="1:9" x14ac:dyDescent="0.25">
      <c r="A6726">
        <v>662530</v>
      </c>
      <c r="B6726">
        <v>0.72299999999999998</v>
      </c>
      <c r="C6726">
        <v>800</v>
      </c>
      <c r="D6726" s="9">
        <v>43969</v>
      </c>
      <c r="E6726" t="s">
        <v>296</v>
      </c>
      <c r="I6726" s="9"/>
    </row>
    <row r="6727" spans="1:9" x14ac:dyDescent="0.25">
      <c r="A6727">
        <v>662530</v>
      </c>
      <c r="B6727">
        <v>0.72299999999999998</v>
      </c>
      <c r="C6727">
        <v>960</v>
      </c>
      <c r="D6727" s="9">
        <v>43969</v>
      </c>
      <c r="E6727" t="s">
        <v>296</v>
      </c>
      <c r="I6727" s="9"/>
    </row>
    <row r="6728" spans="1:9" x14ac:dyDescent="0.25">
      <c r="A6728">
        <v>662530</v>
      </c>
      <c r="B6728">
        <v>0.72299999999999998</v>
      </c>
      <c r="C6728">
        <v>1000</v>
      </c>
      <c r="D6728" s="9">
        <v>43829</v>
      </c>
      <c r="E6728" t="s">
        <v>296</v>
      </c>
      <c r="I6728" s="9"/>
    </row>
    <row r="6729" spans="1:9" x14ac:dyDescent="0.25">
      <c r="A6729">
        <v>662545</v>
      </c>
      <c r="B6729">
        <v>0.5</v>
      </c>
      <c r="C6729">
        <v>1152</v>
      </c>
      <c r="D6729" s="9">
        <v>43985</v>
      </c>
      <c r="E6729" t="s">
        <v>296</v>
      </c>
      <c r="I6729" s="9"/>
    </row>
    <row r="6730" spans="1:9" x14ac:dyDescent="0.25">
      <c r="A6730">
        <v>662545</v>
      </c>
      <c r="B6730">
        <v>0.5</v>
      </c>
      <c r="C6730">
        <v>1440</v>
      </c>
      <c r="D6730" s="9">
        <v>43829</v>
      </c>
      <c r="E6730" t="s">
        <v>296</v>
      </c>
      <c r="I6730" s="9"/>
    </row>
    <row r="6731" spans="1:9" x14ac:dyDescent="0.25">
      <c r="A6731">
        <v>662545</v>
      </c>
      <c r="B6731">
        <v>0.55000000000000004</v>
      </c>
      <c r="C6731">
        <v>1728</v>
      </c>
      <c r="D6731" s="9">
        <v>43250</v>
      </c>
      <c r="E6731" t="s">
        <v>296</v>
      </c>
      <c r="I6731" s="9"/>
    </row>
    <row r="6732" spans="1:9" x14ac:dyDescent="0.25">
      <c r="A6732">
        <v>662545</v>
      </c>
      <c r="B6732">
        <v>0.53</v>
      </c>
      <c r="C6732">
        <v>1440</v>
      </c>
      <c r="D6732" s="9">
        <v>43039</v>
      </c>
      <c r="E6732" t="s">
        <v>296</v>
      </c>
      <c r="I6732" s="9"/>
    </row>
    <row r="6733" spans="1:9" x14ac:dyDescent="0.25">
      <c r="A6733">
        <v>662545</v>
      </c>
      <c r="B6733">
        <v>0.51</v>
      </c>
      <c r="C6733">
        <v>1440</v>
      </c>
      <c r="D6733" s="9">
        <v>42530</v>
      </c>
      <c r="E6733" t="s">
        <v>296</v>
      </c>
      <c r="I6733" s="9"/>
    </row>
    <row r="6734" spans="1:9" x14ac:dyDescent="0.25">
      <c r="A6734">
        <v>662545</v>
      </c>
      <c r="B6734">
        <v>0.55000000000000004</v>
      </c>
      <c r="C6734">
        <v>1440</v>
      </c>
      <c r="D6734" s="9">
        <v>42325</v>
      </c>
      <c r="E6734" t="s">
        <v>296</v>
      </c>
      <c r="I6734" s="9"/>
    </row>
    <row r="6735" spans="1:9" x14ac:dyDescent="0.25">
      <c r="A6735">
        <v>662545</v>
      </c>
      <c r="B6735">
        <v>0.55000000000000004</v>
      </c>
      <c r="C6735">
        <v>1728</v>
      </c>
      <c r="D6735" s="9">
        <v>42031</v>
      </c>
      <c r="E6735" t="s">
        <v>296</v>
      </c>
      <c r="I6735" s="9"/>
    </row>
    <row r="6736" spans="1:9" x14ac:dyDescent="0.25">
      <c r="A6736">
        <v>662545</v>
      </c>
      <c r="B6736">
        <v>0.53</v>
      </c>
      <c r="C6736">
        <v>2016</v>
      </c>
      <c r="D6736" s="9">
        <v>41592</v>
      </c>
      <c r="E6736" t="s">
        <v>296</v>
      </c>
      <c r="I6736" s="9"/>
    </row>
    <row r="6737" spans="1:9" x14ac:dyDescent="0.25">
      <c r="A6737">
        <v>662550</v>
      </c>
      <c r="B6737">
        <v>0.93</v>
      </c>
      <c r="C6737">
        <v>1200</v>
      </c>
      <c r="D6737" s="9">
        <v>44140</v>
      </c>
      <c r="E6737" t="s">
        <v>296</v>
      </c>
      <c r="I6737" s="9"/>
    </row>
    <row r="6738" spans="1:9" x14ac:dyDescent="0.25">
      <c r="A6738">
        <v>662550</v>
      </c>
      <c r="B6738">
        <v>0.91500000000000004</v>
      </c>
      <c r="C6738">
        <v>700</v>
      </c>
      <c r="D6738" s="9">
        <v>44034</v>
      </c>
      <c r="E6738" t="s">
        <v>296</v>
      </c>
      <c r="I6738" s="9"/>
    </row>
    <row r="6739" spans="1:9" x14ac:dyDescent="0.25">
      <c r="A6739">
        <v>662550</v>
      </c>
      <c r="B6739">
        <v>0.91500000000000004</v>
      </c>
      <c r="C6739">
        <v>700</v>
      </c>
      <c r="D6739" s="9">
        <v>43969</v>
      </c>
      <c r="E6739" t="s">
        <v>296</v>
      </c>
      <c r="I6739" s="9"/>
    </row>
    <row r="6740" spans="1:9" x14ac:dyDescent="0.25">
      <c r="A6740">
        <v>662550</v>
      </c>
      <c r="B6740">
        <v>0.91500000000000004</v>
      </c>
      <c r="C6740">
        <v>800</v>
      </c>
      <c r="D6740" s="9">
        <v>43760</v>
      </c>
      <c r="E6740" t="s">
        <v>296</v>
      </c>
      <c r="I6740" s="9"/>
    </row>
    <row r="6741" spans="1:9" x14ac:dyDescent="0.25">
      <c r="A6741">
        <v>662550</v>
      </c>
      <c r="B6741">
        <v>0.91500000000000004</v>
      </c>
      <c r="C6741">
        <v>1000</v>
      </c>
      <c r="D6741" s="9">
        <v>43592</v>
      </c>
      <c r="E6741" t="s">
        <v>296</v>
      </c>
      <c r="I6741" s="9"/>
    </row>
    <row r="6742" spans="1:9" x14ac:dyDescent="0.25">
      <c r="A6742">
        <v>662550</v>
      </c>
      <c r="B6742">
        <v>0.91500000000000004</v>
      </c>
      <c r="C6742">
        <v>1000</v>
      </c>
      <c r="D6742" s="9">
        <v>43250</v>
      </c>
      <c r="E6742" t="s">
        <v>296</v>
      </c>
      <c r="I6742" s="9"/>
    </row>
    <row r="6743" spans="1:9" x14ac:dyDescent="0.25">
      <c r="A6743">
        <v>662550</v>
      </c>
      <c r="B6743">
        <v>0.87</v>
      </c>
      <c r="C6743">
        <v>1000</v>
      </c>
      <c r="D6743" s="9">
        <v>43131</v>
      </c>
      <c r="E6743" t="s">
        <v>296</v>
      </c>
      <c r="I6743" s="9"/>
    </row>
    <row r="6744" spans="1:9" x14ac:dyDescent="0.25">
      <c r="A6744">
        <v>662550</v>
      </c>
      <c r="B6744">
        <v>0.87</v>
      </c>
      <c r="C6744">
        <v>1000</v>
      </c>
      <c r="D6744" s="9">
        <v>43039</v>
      </c>
      <c r="E6744" t="s">
        <v>296</v>
      </c>
      <c r="I6744" s="9"/>
    </row>
    <row r="6745" spans="1:9" x14ac:dyDescent="0.25">
      <c r="A6745">
        <v>662550</v>
      </c>
      <c r="B6745">
        <v>0.87</v>
      </c>
      <c r="C6745">
        <v>1400</v>
      </c>
      <c r="D6745" s="9">
        <v>42585</v>
      </c>
      <c r="E6745" t="s">
        <v>296</v>
      </c>
      <c r="I6745" s="9"/>
    </row>
    <row r="6746" spans="1:9" x14ac:dyDescent="0.25">
      <c r="A6746">
        <v>662550</v>
      </c>
      <c r="B6746">
        <v>0.87</v>
      </c>
      <c r="C6746">
        <v>1000</v>
      </c>
      <c r="D6746" s="9">
        <v>42530</v>
      </c>
      <c r="E6746" t="s">
        <v>296</v>
      </c>
      <c r="I6746" s="9"/>
    </row>
    <row r="6747" spans="1:9" x14ac:dyDescent="0.25">
      <c r="A6747">
        <v>662550</v>
      </c>
      <c r="B6747">
        <v>0.96</v>
      </c>
      <c r="C6747">
        <v>1200</v>
      </c>
      <c r="D6747" s="9">
        <v>42325</v>
      </c>
      <c r="E6747" t="s">
        <v>296</v>
      </c>
      <c r="I6747" s="9"/>
    </row>
    <row r="6748" spans="1:9" x14ac:dyDescent="0.25">
      <c r="A6748">
        <v>662550</v>
      </c>
      <c r="B6748">
        <v>0.96</v>
      </c>
      <c r="C6748">
        <v>1000</v>
      </c>
      <c r="D6748" s="9">
        <v>42031</v>
      </c>
      <c r="E6748" t="s">
        <v>296</v>
      </c>
      <c r="I6748" s="9"/>
    </row>
    <row r="6749" spans="1:9" x14ac:dyDescent="0.25">
      <c r="A6749">
        <v>662550</v>
      </c>
      <c r="B6749">
        <v>0.96</v>
      </c>
      <c r="C6749">
        <v>1200</v>
      </c>
      <c r="D6749" s="9">
        <v>41789</v>
      </c>
      <c r="E6749" t="s">
        <v>296</v>
      </c>
      <c r="I6749" s="9"/>
    </row>
    <row r="6750" spans="1:9" x14ac:dyDescent="0.25">
      <c r="A6750">
        <v>662550</v>
      </c>
      <c r="B6750">
        <v>0.96</v>
      </c>
      <c r="C6750">
        <v>1000</v>
      </c>
      <c r="D6750" s="9">
        <v>41592</v>
      </c>
      <c r="E6750" t="s">
        <v>296</v>
      </c>
      <c r="I6750" s="9"/>
    </row>
    <row r="6751" spans="1:9" x14ac:dyDescent="0.25">
      <c r="A6751">
        <v>662550</v>
      </c>
      <c r="B6751">
        <v>0.95</v>
      </c>
      <c r="C6751">
        <v>1200</v>
      </c>
      <c r="D6751" s="9">
        <v>41281</v>
      </c>
      <c r="E6751" t="s">
        <v>296</v>
      </c>
      <c r="I6751" s="9"/>
    </row>
    <row r="6752" spans="1:9" x14ac:dyDescent="0.25">
      <c r="A6752">
        <v>662623</v>
      </c>
      <c r="B6752">
        <v>6.57</v>
      </c>
      <c r="C6752">
        <v>25</v>
      </c>
      <c r="D6752" s="9">
        <v>42844</v>
      </c>
      <c r="E6752" t="s">
        <v>295</v>
      </c>
      <c r="I6752" s="9"/>
    </row>
    <row r="6753" spans="1:9" x14ac:dyDescent="0.25">
      <c r="A6753">
        <v>662625</v>
      </c>
      <c r="B6753">
        <v>3.05</v>
      </c>
      <c r="C6753">
        <v>150</v>
      </c>
      <c r="D6753" s="9">
        <v>43493</v>
      </c>
      <c r="E6753" t="s">
        <v>295</v>
      </c>
      <c r="I6753" s="9"/>
    </row>
    <row r="6754" spans="1:9" x14ac:dyDescent="0.25">
      <c r="A6754">
        <v>662625</v>
      </c>
      <c r="B6754">
        <v>7.02</v>
      </c>
      <c r="C6754">
        <v>25</v>
      </c>
      <c r="D6754" s="9">
        <v>42844</v>
      </c>
      <c r="E6754" t="s">
        <v>295</v>
      </c>
      <c r="I6754" s="9"/>
    </row>
    <row r="6755" spans="1:9" x14ac:dyDescent="0.25">
      <c r="A6755">
        <v>662633</v>
      </c>
      <c r="B6755">
        <v>5.95</v>
      </c>
      <c r="C6755">
        <v>25</v>
      </c>
      <c r="D6755" s="9">
        <v>42844</v>
      </c>
      <c r="E6755" t="s">
        <v>295</v>
      </c>
      <c r="I6755" s="9"/>
    </row>
    <row r="6756" spans="1:9" x14ac:dyDescent="0.25">
      <c r="A6756">
        <v>662635</v>
      </c>
      <c r="B6756">
        <v>6.93</v>
      </c>
      <c r="C6756">
        <v>25</v>
      </c>
      <c r="D6756" s="9">
        <v>42844</v>
      </c>
      <c r="E6756" t="s">
        <v>295</v>
      </c>
      <c r="I6756" s="9"/>
    </row>
    <row r="6757" spans="1:9" x14ac:dyDescent="0.25">
      <c r="A6757">
        <v>662659</v>
      </c>
      <c r="B6757">
        <v>6.81</v>
      </c>
      <c r="C6757">
        <v>24</v>
      </c>
      <c r="D6757" s="9">
        <v>42265</v>
      </c>
      <c r="E6757" t="s">
        <v>295</v>
      </c>
      <c r="I6757" s="9"/>
    </row>
    <row r="6758" spans="1:9" x14ac:dyDescent="0.25">
      <c r="A6758">
        <v>664800</v>
      </c>
      <c r="B6758">
        <v>0.75</v>
      </c>
      <c r="C6758">
        <v>1344</v>
      </c>
      <c r="D6758" s="9">
        <v>44035</v>
      </c>
      <c r="E6758" t="s">
        <v>296</v>
      </c>
      <c r="I6758" s="9"/>
    </row>
    <row r="6759" spans="1:9" x14ac:dyDescent="0.25">
      <c r="A6759">
        <v>664800</v>
      </c>
      <c r="B6759">
        <v>0.75</v>
      </c>
      <c r="C6759">
        <v>1344</v>
      </c>
      <c r="D6759" s="9">
        <v>43972</v>
      </c>
      <c r="E6759" t="s">
        <v>296</v>
      </c>
      <c r="I6759" s="9"/>
    </row>
    <row r="6760" spans="1:9" x14ac:dyDescent="0.25">
      <c r="A6760">
        <v>664800</v>
      </c>
      <c r="B6760">
        <v>0.75</v>
      </c>
      <c r="C6760">
        <v>1344</v>
      </c>
      <c r="D6760" s="9">
        <v>43784</v>
      </c>
      <c r="E6760" t="s">
        <v>296</v>
      </c>
      <c r="I6760" s="9"/>
    </row>
    <row r="6761" spans="1:9" x14ac:dyDescent="0.25">
      <c r="A6761">
        <v>664800</v>
      </c>
      <c r="B6761">
        <v>0.75</v>
      </c>
      <c r="C6761">
        <v>1440</v>
      </c>
      <c r="D6761" s="9">
        <v>43567</v>
      </c>
      <c r="E6761" t="s">
        <v>296</v>
      </c>
      <c r="I6761" s="9"/>
    </row>
    <row r="6762" spans="1:9" x14ac:dyDescent="0.25">
      <c r="A6762">
        <v>664800</v>
      </c>
      <c r="B6762">
        <v>0.75</v>
      </c>
      <c r="C6762">
        <v>1440</v>
      </c>
      <c r="D6762" s="9">
        <v>43452</v>
      </c>
      <c r="E6762" t="s">
        <v>296</v>
      </c>
      <c r="I6762" s="9"/>
    </row>
    <row r="6763" spans="1:9" x14ac:dyDescent="0.25">
      <c r="A6763">
        <v>664800</v>
      </c>
      <c r="B6763">
        <v>0.72</v>
      </c>
      <c r="C6763">
        <v>1440</v>
      </c>
      <c r="D6763" s="9">
        <v>43238</v>
      </c>
      <c r="E6763" t="s">
        <v>296</v>
      </c>
      <c r="I6763" s="9"/>
    </row>
    <row r="6764" spans="1:9" x14ac:dyDescent="0.25">
      <c r="A6764">
        <v>664800</v>
      </c>
      <c r="B6764">
        <v>0.63500000000000001</v>
      </c>
      <c r="C6764">
        <v>1440</v>
      </c>
      <c r="D6764" s="9">
        <v>43136</v>
      </c>
      <c r="E6764" t="s">
        <v>296</v>
      </c>
      <c r="I6764" s="9"/>
    </row>
    <row r="6765" spans="1:9" x14ac:dyDescent="0.25">
      <c r="A6765">
        <v>664800</v>
      </c>
      <c r="B6765">
        <v>2.23</v>
      </c>
      <c r="C6765">
        <v>1440</v>
      </c>
      <c r="D6765" s="9">
        <v>43136</v>
      </c>
      <c r="E6765" t="s">
        <v>295</v>
      </c>
      <c r="I6765" s="9"/>
    </row>
    <row r="6766" spans="1:9" x14ac:dyDescent="0.25">
      <c r="A6766">
        <v>664800</v>
      </c>
      <c r="B6766">
        <v>0.56000000000000005</v>
      </c>
      <c r="C6766">
        <v>1440</v>
      </c>
      <c r="D6766" s="9">
        <v>42976</v>
      </c>
      <c r="E6766" t="s">
        <v>296</v>
      </c>
      <c r="I6766" s="9"/>
    </row>
    <row r="6767" spans="1:9" x14ac:dyDescent="0.25">
      <c r="A6767">
        <v>664800</v>
      </c>
      <c r="B6767">
        <v>0.56000000000000005</v>
      </c>
      <c r="C6767">
        <v>1440</v>
      </c>
      <c r="D6767" s="9">
        <v>42877</v>
      </c>
      <c r="E6767" t="s">
        <v>296</v>
      </c>
      <c r="I6767" s="9"/>
    </row>
    <row r="6768" spans="1:9" x14ac:dyDescent="0.25">
      <c r="A6768">
        <v>664800</v>
      </c>
      <c r="B6768">
        <v>2.1800000000000002</v>
      </c>
      <c r="C6768">
        <v>1920</v>
      </c>
      <c r="D6768" s="9">
        <v>42508</v>
      </c>
      <c r="E6768" t="s">
        <v>295</v>
      </c>
      <c r="I6768" s="9"/>
    </row>
    <row r="6769" spans="1:9" x14ac:dyDescent="0.25">
      <c r="A6769">
        <v>664800</v>
      </c>
      <c r="B6769">
        <v>0.56000000000000005</v>
      </c>
      <c r="C6769">
        <v>1920</v>
      </c>
      <c r="D6769" s="9">
        <v>42508</v>
      </c>
      <c r="E6769" t="s">
        <v>296</v>
      </c>
      <c r="I6769" s="9"/>
    </row>
    <row r="6770" spans="1:9" x14ac:dyDescent="0.25">
      <c r="A6770">
        <v>664800</v>
      </c>
      <c r="B6770">
        <v>0.56000000000000005</v>
      </c>
      <c r="C6770">
        <v>2112</v>
      </c>
      <c r="D6770" s="9">
        <v>42440</v>
      </c>
      <c r="E6770" t="s">
        <v>296</v>
      </c>
      <c r="I6770" s="9"/>
    </row>
    <row r="6771" spans="1:9" x14ac:dyDescent="0.25">
      <c r="A6771">
        <v>664800</v>
      </c>
      <c r="B6771">
        <v>2.2799999999999998</v>
      </c>
      <c r="C6771">
        <v>240</v>
      </c>
      <c r="D6771" s="9">
        <v>42429</v>
      </c>
      <c r="E6771" t="s">
        <v>295</v>
      </c>
      <c r="I6771" s="9"/>
    </row>
    <row r="6772" spans="1:9" x14ac:dyDescent="0.25">
      <c r="A6772">
        <v>664800</v>
      </c>
      <c r="B6772">
        <v>0.42</v>
      </c>
      <c r="C6772">
        <v>1920</v>
      </c>
      <c r="D6772" s="9">
        <v>42207</v>
      </c>
      <c r="E6772" t="s">
        <v>296</v>
      </c>
      <c r="I6772" s="9"/>
    </row>
    <row r="6773" spans="1:9" x14ac:dyDescent="0.25">
      <c r="A6773">
        <v>664800</v>
      </c>
      <c r="B6773">
        <v>0.56699999999999995</v>
      </c>
      <c r="C6773">
        <v>2400</v>
      </c>
      <c r="D6773" s="9">
        <v>41647</v>
      </c>
      <c r="E6773" t="s">
        <v>296</v>
      </c>
      <c r="I6773" s="9"/>
    </row>
    <row r="6774" spans="1:9" x14ac:dyDescent="0.25">
      <c r="A6774">
        <v>664800</v>
      </c>
      <c r="B6774">
        <v>2.2000000000000002</v>
      </c>
      <c r="C6774">
        <v>1776</v>
      </c>
      <c r="D6774" s="9">
        <v>41625</v>
      </c>
      <c r="E6774" t="s">
        <v>295</v>
      </c>
      <c r="I6774" s="9"/>
    </row>
    <row r="6775" spans="1:9" x14ac:dyDescent="0.25">
      <c r="A6775">
        <v>664800</v>
      </c>
      <c r="B6775">
        <v>2.2000000000000002</v>
      </c>
      <c r="C6775">
        <v>1776</v>
      </c>
      <c r="D6775" s="9">
        <v>41625</v>
      </c>
      <c r="E6775" t="s">
        <v>295</v>
      </c>
      <c r="I6775" s="9"/>
    </row>
    <row r="6776" spans="1:9" x14ac:dyDescent="0.25">
      <c r="A6776">
        <v>664800</v>
      </c>
      <c r="B6776">
        <v>0.57699999999999996</v>
      </c>
      <c r="C6776">
        <v>1728</v>
      </c>
      <c r="D6776" s="9">
        <v>41505</v>
      </c>
      <c r="E6776" t="s">
        <v>296</v>
      </c>
      <c r="I6776" s="9"/>
    </row>
    <row r="6777" spans="1:9" x14ac:dyDescent="0.25">
      <c r="A6777">
        <v>664800</v>
      </c>
      <c r="B6777">
        <v>0.56200000000000006</v>
      </c>
      <c r="C6777">
        <v>1728</v>
      </c>
      <c r="D6777" s="9">
        <v>41418</v>
      </c>
      <c r="E6777" t="s">
        <v>296</v>
      </c>
      <c r="I6777" s="9"/>
    </row>
    <row r="6778" spans="1:9" x14ac:dyDescent="0.25">
      <c r="A6778">
        <v>664810</v>
      </c>
      <c r="B6778">
        <v>1.25</v>
      </c>
      <c r="C6778">
        <v>1000</v>
      </c>
      <c r="D6778" s="9">
        <v>44125</v>
      </c>
      <c r="E6778" t="s">
        <v>296</v>
      </c>
      <c r="I6778" s="9"/>
    </row>
    <row r="6779" spans="1:9" x14ac:dyDescent="0.25">
      <c r="A6779">
        <v>664810</v>
      </c>
      <c r="B6779">
        <v>0.85199999999999998</v>
      </c>
      <c r="C6779">
        <v>960</v>
      </c>
      <c r="D6779" s="9">
        <v>43427</v>
      </c>
      <c r="E6779" t="s">
        <v>296</v>
      </c>
      <c r="I6779" s="9"/>
    </row>
    <row r="6780" spans="1:9" x14ac:dyDescent="0.25">
      <c r="A6780">
        <v>664810</v>
      </c>
      <c r="B6780">
        <v>0.85199999999999998</v>
      </c>
      <c r="C6780">
        <v>960</v>
      </c>
      <c r="D6780" s="9">
        <v>43427</v>
      </c>
      <c r="E6780" t="s">
        <v>296</v>
      </c>
      <c r="I6780" s="9"/>
    </row>
    <row r="6781" spans="1:9" x14ac:dyDescent="0.25">
      <c r="A6781">
        <v>664810</v>
      </c>
      <c r="B6781">
        <v>3.17</v>
      </c>
      <c r="C6781">
        <v>720</v>
      </c>
      <c r="D6781" s="9">
        <v>43132</v>
      </c>
      <c r="E6781" t="s">
        <v>295</v>
      </c>
      <c r="I6781" s="9"/>
    </row>
    <row r="6782" spans="1:9" x14ac:dyDescent="0.25">
      <c r="A6782">
        <v>664810</v>
      </c>
      <c r="B6782">
        <v>0.85199999999999998</v>
      </c>
      <c r="C6782">
        <v>720</v>
      </c>
      <c r="D6782" s="9">
        <v>43132</v>
      </c>
      <c r="E6782" t="s">
        <v>296</v>
      </c>
      <c r="I6782" s="9"/>
    </row>
    <row r="6783" spans="1:9" x14ac:dyDescent="0.25">
      <c r="A6783">
        <v>664810</v>
      </c>
      <c r="B6783">
        <v>0.99399999999999999</v>
      </c>
      <c r="C6783">
        <v>840</v>
      </c>
      <c r="D6783" s="9">
        <v>42607</v>
      </c>
      <c r="E6783" t="s">
        <v>297</v>
      </c>
      <c r="I6783" s="9"/>
    </row>
    <row r="6784" spans="1:9" x14ac:dyDescent="0.25">
      <c r="A6784">
        <v>664810</v>
      </c>
      <c r="B6784">
        <v>0.99399999999999999</v>
      </c>
      <c r="C6784">
        <v>600</v>
      </c>
      <c r="D6784" s="9">
        <v>42401</v>
      </c>
      <c r="E6784" t="s">
        <v>297</v>
      </c>
      <c r="I6784" s="9"/>
    </row>
    <row r="6785" spans="1:9" x14ac:dyDescent="0.25">
      <c r="A6785">
        <v>664810</v>
      </c>
      <c r="B6785">
        <v>1.046</v>
      </c>
      <c r="C6785">
        <v>768</v>
      </c>
      <c r="D6785" s="9">
        <v>42012</v>
      </c>
      <c r="E6785" t="s">
        <v>296</v>
      </c>
      <c r="I6785" s="9"/>
    </row>
    <row r="6786" spans="1:9" x14ac:dyDescent="0.25">
      <c r="A6786">
        <v>664810</v>
      </c>
      <c r="B6786">
        <v>1.046</v>
      </c>
      <c r="C6786">
        <v>768</v>
      </c>
      <c r="D6786" s="9">
        <v>41682</v>
      </c>
      <c r="E6786" t="s">
        <v>296</v>
      </c>
      <c r="I6786" s="9"/>
    </row>
    <row r="6787" spans="1:9" x14ac:dyDescent="0.25">
      <c r="A6787">
        <v>664810</v>
      </c>
      <c r="B6787">
        <v>1.046</v>
      </c>
      <c r="C6787">
        <v>960</v>
      </c>
      <c r="D6787" s="9">
        <v>41418</v>
      </c>
      <c r="E6787" t="s">
        <v>296</v>
      </c>
      <c r="I6787" s="9"/>
    </row>
    <row r="6788" spans="1:9" x14ac:dyDescent="0.25">
      <c r="A6788">
        <v>664812</v>
      </c>
      <c r="B6788">
        <v>0.85</v>
      </c>
      <c r="C6788">
        <v>1400</v>
      </c>
      <c r="D6788" s="9">
        <v>44083</v>
      </c>
      <c r="E6788" t="s">
        <v>296</v>
      </c>
      <c r="I6788" s="9"/>
    </row>
    <row r="6789" spans="1:9" x14ac:dyDescent="0.25">
      <c r="A6789">
        <v>664812</v>
      </c>
      <c r="B6789">
        <v>1.25</v>
      </c>
      <c r="C6789">
        <v>800</v>
      </c>
      <c r="D6789" s="9">
        <v>43760</v>
      </c>
      <c r="E6789" t="s">
        <v>296</v>
      </c>
      <c r="I6789" s="9"/>
    </row>
    <row r="6790" spans="1:9" x14ac:dyDescent="0.25">
      <c r="A6790">
        <v>664812</v>
      </c>
      <c r="B6790">
        <v>1.248</v>
      </c>
      <c r="C6790">
        <v>720</v>
      </c>
      <c r="D6790" s="9">
        <v>42676</v>
      </c>
      <c r="E6790" t="s">
        <v>297</v>
      </c>
      <c r="I6790" s="9"/>
    </row>
    <row r="6791" spans="1:9" x14ac:dyDescent="0.25">
      <c r="A6791">
        <v>664812</v>
      </c>
      <c r="B6791">
        <v>1.248</v>
      </c>
      <c r="C6791">
        <v>720</v>
      </c>
      <c r="D6791" s="9">
        <v>42607</v>
      </c>
      <c r="E6791" t="s">
        <v>297</v>
      </c>
      <c r="I6791" s="9"/>
    </row>
    <row r="6792" spans="1:9" x14ac:dyDescent="0.25">
      <c r="A6792">
        <v>664812</v>
      </c>
      <c r="B6792">
        <v>1.248</v>
      </c>
      <c r="C6792">
        <v>600</v>
      </c>
      <c r="D6792" s="9">
        <v>42401</v>
      </c>
      <c r="E6792" t="s">
        <v>297</v>
      </c>
      <c r="I6792" s="9"/>
    </row>
    <row r="6793" spans="1:9" x14ac:dyDescent="0.25">
      <c r="A6793">
        <v>664812</v>
      </c>
      <c r="B6793">
        <v>0.66</v>
      </c>
      <c r="C6793">
        <v>600</v>
      </c>
      <c r="D6793" s="9">
        <v>42207</v>
      </c>
      <c r="E6793" t="s">
        <v>296</v>
      </c>
      <c r="I6793" s="9"/>
    </row>
    <row r="6794" spans="1:9" x14ac:dyDescent="0.25">
      <c r="A6794">
        <v>664812</v>
      </c>
      <c r="B6794">
        <v>5.84</v>
      </c>
      <c r="C6794">
        <v>1</v>
      </c>
      <c r="D6794" s="9">
        <v>41884</v>
      </c>
      <c r="E6794" t="s">
        <v>295</v>
      </c>
      <c r="I6794" s="9"/>
    </row>
    <row r="6795" spans="1:9" x14ac:dyDescent="0.25">
      <c r="A6795">
        <v>664812</v>
      </c>
      <c r="B6795">
        <v>4.03</v>
      </c>
      <c r="C6795">
        <v>720</v>
      </c>
      <c r="D6795" s="9">
        <v>41821</v>
      </c>
      <c r="E6795" t="s">
        <v>295</v>
      </c>
      <c r="I6795" s="9"/>
    </row>
    <row r="6796" spans="1:9" x14ac:dyDescent="0.25">
      <c r="A6796">
        <v>664812</v>
      </c>
      <c r="B6796">
        <v>1.3140000000000001</v>
      </c>
      <c r="C6796">
        <v>720</v>
      </c>
      <c r="D6796" s="9">
        <v>41821</v>
      </c>
      <c r="E6796" t="s">
        <v>296</v>
      </c>
      <c r="I6796" s="9"/>
    </row>
    <row r="6797" spans="1:9" x14ac:dyDescent="0.25">
      <c r="A6797">
        <v>664812</v>
      </c>
      <c r="B6797">
        <v>1.276</v>
      </c>
      <c r="C6797">
        <v>768</v>
      </c>
      <c r="D6797" s="9">
        <v>41418</v>
      </c>
      <c r="E6797" t="s">
        <v>296</v>
      </c>
      <c r="I6797" s="9"/>
    </row>
    <row r="6798" spans="1:9" x14ac:dyDescent="0.25">
      <c r="A6798">
        <v>664830</v>
      </c>
      <c r="B6798">
        <v>1.72</v>
      </c>
      <c r="C6798">
        <v>240</v>
      </c>
      <c r="D6798" s="9">
        <v>44035</v>
      </c>
      <c r="E6798" t="s">
        <v>296</v>
      </c>
      <c r="I6798" s="9"/>
    </row>
    <row r="6799" spans="1:9" x14ac:dyDescent="0.25">
      <c r="A6799">
        <v>664830</v>
      </c>
      <c r="B6799">
        <v>1.72</v>
      </c>
      <c r="C6799">
        <v>240</v>
      </c>
      <c r="D6799" s="9">
        <v>43972</v>
      </c>
      <c r="E6799" t="s">
        <v>296</v>
      </c>
      <c r="I6799" s="9"/>
    </row>
    <row r="6800" spans="1:9" x14ac:dyDescent="0.25">
      <c r="A6800">
        <v>664830</v>
      </c>
      <c r="B6800">
        <v>1.72</v>
      </c>
      <c r="C6800">
        <v>240</v>
      </c>
      <c r="D6800" s="9">
        <v>43784</v>
      </c>
      <c r="E6800" t="s">
        <v>296</v>
      </c>
      <c r="I6800" s="9"/>
    </row>
    <row r="6801" spans="1:9" x14ac:dyDescent="0.25">
      <c r="A6801">
        <v>664830</v>
      </c>
      <c r="B6801">
        <v>1.72</v>
      </c>
      <c r="C6801">
        <v>432</v>
      </c>
      <c r="D6801" s="9">
        <v>43452</v>
      </c>
      <c r="E6801" t="s">
        <v>296</v>
      </c>
      <c r="I6801" s="9"/>
    </row>
    <row r="6802" spans="1:9" x14ac:dyDescent="0.25">
      <c r="A6802">
        <v>664830</v>
      </c>
      <c r="B6802">
        <v>1.45</v>
      </c>
      <c r="C6802">
        <v>1008</v>
      </c>
      <c r="D6802" s="9">
        <v>42836</v>
      </c>
      <c r="E6802" t="s">
        <v>296</v>
      </c>
      <c r="I6802" s="9"/>
    </row>
    <row r="6803" spans="1:9" x14ac:dyDescent="0.25">
      <c r="A6803">
        <v>664830</v>
      </c>
      <c r="B6803">
        <v>1.67</v>
      </c>
      <c r="C6803">
        <v>600</v>
      </c>
      <c r="D6803" s="9">
        <v>41751</v>
      </c>
      <c r="E6803" t="s">
        <v>296</v>
      </c>
      <c r="I6803" s="9"/>
    </row>
    <row r="6804" spans="1:9" x14ac:dyDescent="0.25">
      <c r="A6804">
        <v>664830</v>
      </c>
      <c r="B6804">
        <v>1.44</v>
      </c>
      <c r="C6804">
        <v>480</v>
      </c>
      <c r="D6804" s="9">
        <v>41647</v>
      </c>
      <c r="E6804" t="s">
        <v>296</v>
      </c>
      <c r="I6804" s="9"/>
    </row>
    <row r="6805" spans="1:9" x14ac:dyDescent="0.25">
      <c r="A6805">
        <v>664834</v>
      </c>
      <c r="B6805">
        <v>4.18</v>
      </c>
      <c r="C6805">
        <v>1000</v>
      </c>
      <c r="D6805" s="9">
        <v>44144</v>
      </c>
      <c r="E6805" t="s">
        <v>295</v>
      </c>
      <c r="I6805" s="9"/>
    </row>
    <row r="6806" spans="1:9" x14ac:dyDescent="0.25">
      <c r="A6806">
        <v>664834</v>
      </c>
      <c r="B6806">
        <v>4.18</v>
      </c>
      <c r="C6806">
        <v>500</v>
      </c>
      <c r="D6806" s="9">
        <v>44110</v>
      </c>
      <c r="E6806" t="s">
        <v>295</v>
      </c>
      <c r="I6806" s="9"/>
    </row>
    <row r="6807" spans="1:9" x14ac:dyDescent="0.25">
      <c r="A6807">
        <v>664834</v>
      </c>
      <c r="B6807">
        <v>4.18</v>
      </c>
      <c r="C6807">
        <v>350</v>
      </c>
      <c r="D6807" s="9">
        <v>44027</v>
      </c>
      <c r="E6807" t="s">
        <v>295</v>
      </c>
      <c r="I6807" s="9"/>
    </row>
    <row r="6808" spans="1:9" x14ac:dyDescent="0.25">
      <c r="A6808">
        <v>664834</v>
      </c>
      <c r="B6808">
        <v>4.18</v>
      </c>
      <c r="C6808">
        <v>100</v>
      </c>
      <c r="D6808" s="9">
        <v>44000</v>
      </c>
      <c r="E6808" t="s">
        <v>295</v>
      </c>
      <c r="I6808" s="9"/>
    </row>
    <row r="6809" spans="1:9" x14ac:dyDescent="0.25">
      <c r="A6809">
        <v>664834</v>
      </c>
      <c r="B6809">
        <v>4.18</v>
      </c>
      <c r="C6809">
        <v>350</v>
      </c>
      <c r="D6809" s="9">
        <v>43857</v>
      </c>
      <c r="E6809" t="s">
        <v>295</v>
      </c>
      <c r="I6809" s="9"/>
    </row>
    <row r="6810" spans="1:9" x14ac:dyDescent="0.25">
      <c r="A6810">
        <v>664834</v>
      </c>
      <c r="B6810">
        <v>4.18</v>
      </c>
      <c r="C6810">
        <v>760</v>
      </c>
      <c r="D6810" s="9">
        <v>43746</v>
      </c>
      <c r="E6810" t="s">
        <v>295</v>
      </c>
      <c r="I6810" s="9"/>
    </row>
    <row r="6811" spans="1:9" x14ac:dyDescent="0.25">
      <c r="A6811">
        <v>664834</v>
      </c>
      <c r="B6811">
        <v>4.18</v>
      </c>
      <c r="C6811">
        <v>300</v>
      </c>
      <c r="D6811" s="9">
        <v>43656</v>
      </c>
      <c r="E6811" t="s">
        <v>295</v>
      </c>
      <c r="I6811" s="9"/>
    </row>
    <row r="6812" spans="1:9" x14ac:dyDescent="0.25">
      <c r="A6812">
        <v>664834</v>
      </c>
      <c r="B6812">
        <v>3.51</v>
      </c>
      <c r="C6812">
        <v>100</v>
      </c>
      <c r="D6812" s="9">
        <v>43640</v>
      </c>
      <c r="E6812" t="s">
        <v>295</v>
      </c>
      <c r="I6812" s="9"/>
    </row>
    <row r="6813" spans="1:9" x14ac:dyDescent="0.25">
      <c r="A6813">
        <v>664834</v>
      </c>
      <c r="B6813">
        <v>3.51</v>
      </c>
      <c r="C6813">
        <v>160</v>
      </c>
      <c r="D6813" s="9">
        <v>43580</v>
      </c>
      <c r="E6813" t="s">
        <v>295</v>
      </c>
      <c r="I6813" s="9"/>
    </row>
    <row r="6814" spans="1:9" x14ac:dyDescent="0.25">
      <c r="A6814">
        <v>664834</v>
      </c>
      <c r="B6814">
        <v>3.51</v>
      </c>
      <c r="C6814">
        <v>50</v>
      </c>
      <c r="D6814" s="9">
        <v>43518</v>
      </c>
      <c r="E6814" t="s">
        <v>295</v>
      </c>
      <c r="I6814" s="9"/>
    </row>
    <row r="6815" spans="1:9" x14ac:dyDescent="0.25">
      <c r="A6815">
        <v>664834</v>
      </c>
      <c r="B6815">
        <v>3.51</v>
      </c>
      <c r="C6815">
        <v>200</v>
      </c>
      <c r="D6815" s="9">
        <v>43448</v>
      </c>
      <c r="E6815" t="s">
        <v>295</v>
      </c>
      <c r="I6815" s="9"/>
    </row>
    <row r="6816" spans="1:9" x14ac:dyDescent="0.25">
      <c r="A6816">
        <v>664834</v>
      </c>
      <c r="B6816">
        <v>3.51</v>
      </c>
      <c r="C6816">
        <v>500</v>
      </c>
      <c r="D6816" s="9">
        <v>43287</v>
      </c>
      <c r="E6816" t="s">
        <v>295</v>
      </c>
      <c r="I6816" s="9"/>
    </row>
    <row r="6817" spans="1:9" x14ac:dyDescent="0.25">
      <c r="A6817">
        <v>664834</v>
      </c>
      <c r="B6817">
        <v>3.51</v>
      </c>
      <c r="C6817">
        <v>300</v>
      </c>
      <c r="D6817" s="9">
        <v>43257</v>
      </c>
      <c r="E6817" t="s">
        <v>295</v>
      </c>
      <c r="I6817" s="9"/>
    </row>
    <row r="6818" spans="1:9" x14ac:dyDescent="0.25">
      <c r="A6818">
        <v>664834</v>
      </c>
      <c r="B6818">
        <v>3.51</v>
      </c>
      <c r="C6818">
        <v>200</v>
      </c>
      <c r="D6818" s="9">
        <v>43181</v>
      </c>
      <c r="E6818" t="s">
        <v>295</v>
      </c>
      <c r="I6818" s="9"/>
    </row>
    <row r="6819" spans="1:9" x14ac:dyDescent="0.25">
      <c r="A6819">
        <v>664834</v>
      </c>
      <c r="B6819">
        <v>3.51</v>
      </c>
      <c r="C6819">
        <v>300</v>
      </c>
      <c r="D6819" s="9">
        <v>43164</v>
      </c>
      <c r="E6819" t="s">
        <v>295</v>
      </c>
      <c r="I6819" s="9"/>
    </row>
    <row r="6820" spans="1:9" x14ac:dyDescent="0.25">
      <c r="A6820">
        <v>664834</v>
      </c>
      <c r="B6820">
        <v>3.51</v>
      </c>
      <c r="C6820">
        <v>200</v>
      </c>
      <c r="D6820" s="9">
        <v>43108</v>
      </c>
      <c r="E6820" t="s">
        <v>295</v>
      </c>
      <c r="I6820" s="9"/>
    </row>
    <row r="6821" spans="1:9" x14ac:dyDescent="0.25">
      <c r="A6821">
        <v>664834</v>
      </c>
      <c r="B6821">
        <v>3.31</v>
      </c>
      <c r="C6821">
        <v>200</v>
      </c>
      <c r="D6821" s="9">
        <v>43066</v>
      </c>
      <c r="E6821" t="s">
        <v>295</v>
      </c>
      <c r="I6821" s="9"/>
    </row>
    <row r="6822" spans="1:9" x14ac:dyDescent="0.25">
      <c r="A6822">
        <v>664834</v>
      </c>
      <c r="B6822">
        <v>3.31</v>
      </c>
      <c r="C6822">
        <v>400</v>
      </c>
      <c r="D6822" s="9">
        <v>43027</v>
      </c>
      <c r="E6822" t="s">
        <v>295</v>
      </c>
      <c r="I6822" s="9"/>
    </row>
    <row r="6823" spans="1:9" x14ac:dyDescent="0.25">
      <c r="A6823">
        <v>664834</v>
      </c>
      <c r="B6823">
        <v>3.31</v>
      </c>
      <c r="C6823">
        <v>500</v>
      </c>
      <c r="D6823" s="9">
        <v>43019</v>
      </c>
      <c r="E6823" t="s">
        <v>295</v>
      </c>
      <c r="I6823" s="9"/>
    </row>
    <row r="6824" spans="1:9" x14ac:dyDescent="0.25">
      <c r="A6824">
        <v>664834</v>
      </c>
      <c r="B6824">
        <v>3.31</v>
      </c>
      <c r="C6824">
        <v>150</v>
      </c>
      <c r="D6824" s="9">
        <v>42991</v>
      </c>
      <c r="E6824" t="s">
        <v>295</v>
      </c>
      <c r="I6824" s="9"/>
    </row>
    <row r="6825" spans="1:9" x14ac:dyDescent="0.25">
      <c r="A6825">
        <v>664834</v>
      </c>
      <c r="B6825">
        <v>3.31</v>
      </c>
      <c r="C6825">
        <v>170</v>
      </c>
      <c r="D6825" s="9">
        <v>42978</v>
      </c>
      <c r="E6825" t="s">
        <v>295</v>
      </c>
      <c r="I6825" s="9"/>
    </row>
    <row r="6826" spans="1:9" x14ac:dyDescent="0.25">
      <c r="A6826">
        <v>664834</v>
      </c>
      <c r="B6826">
        <v>0</v>
      </c>
      <c r="C6826">
        <v>440</v>
      </c>
      <c r="D6826" s="9">
        <v>42935</v>
      </c>
      <c r="E6826" t="s">
        <v>295</v>
      </c>
      <c r="I6826" s="9"/>
    </row>
    <row r="6827" spans="1:9" x14ac:dyDescent="0.25">
      <c r="A6827">
        <v>664834</v>
      </c>
      <c r="B6827">
        <v>3.31</v>
      </c>
      <c r="C6827">
        <v>100</v>
      </c>
      <c r="D6827" s="9">
        <v>42891</v>
      </c>
      <c r="E6827" t="s">
        <v>295</v>
      </c>
      <c r="I6827" s="9"/>
    </row>
    <row r="6828" spans="1:9" x14ac:dyDescent="0.25">
      <c r="A6828">
        <v>664834</v>
      </c>
      <c r="B6828">
        <v>3.31</v>
      </c>
      <c r="C6828">
        <v>100</v>
      </c>
      <c r="D6828" s="9">
        <v>42853</v>
      </c>
      <c r="E6828" t="s">
        <v>295</v>
      </c>
      <c r="I6828" s="9"/>
    </row>
    <row r="6829" spans="1:9" x14ac:dyDescent="0.25">
      <c r="A6829">
        <v>664834</v>
      </c>
      <c r="B6829">
        <v>3.31</v>
      </c>
      <c r="C6829">
        <v>100</v>
      </c>
      <c r="D6829" s="9">
        <v>42818</v>
      </c>
      <c r="E6829" t="s">
        <v>295</v>
      </c>
      <c r="I6829" s="9"/>
    </row>
    <row r="6830" spans="1:9" x14ac:dyDescent="0.25">
      <c r="A6830">
        <v>664834</v>
      </c>
      <c r="B6830">
        <v>3.31</v>
      </c>
      <c r="C6830">
        <v>160</v>
      </c>
      <c r="D6830" s="9">
        <v>42745</v>
      </c>
      <c r="E6830" t="s">
        <v>295</v>
      </c>
      <c r="I6830" s="9"/>
    </row>
    <row r="6831" spans="1:9" x14ac:dyDescent="0.25">
      <c r="A6831">
        <v>664834</v>
      </c>
      <c r="B6831">
        <v>3.31</v>
      </c>
      <c r="C6831">
        <v>430</v>
      </c>
      <c r="D6831" s="9">
        <v>42709</v>
      </c>
      <c r="E6831" t="s">
        <v>295</v>
      </c>
      <c r="I6831" s="9"/>
    </row>
    <row r="6832" spans="1:9" x14ac:dyDescent="0.25">
      <c r="A6832">
        <v>664834</v>
      </c>
      <c r="B6832">
        <v>3.31</v>
      </c>
      <c r="C6832">
        <v>160</v>
      </c>
      <c r="D6832" s="9">
        <v>42619</v>
      </c>
      <c r="E6832" t="s">
        <v>295</v>
      </c>
      <c r="I6832" s="9"/>
    </row>
    <row r="6833" spans="1:9" x14ac:dyDescent="0.25">
      <c r="A6833">
        <v>664834</v>
      </c>
      <c r="B6833">
        <v>3.31</v>
      </c>
      <c r="C6833">
        <v>120</v>
      </c>
      <c r="D6833" s="9">
        <v>42614</v>
      </c>
      <c r="E6833" t="s">
        <v>295</v>
      </c>
      <c r="I6833" s="9"/>
    </row>
    <row r="6834" spans="1:9" x14ac:dyDescent="0.25">
      <c r="A6834">
        <v>664834</v>
      </c>
      <c r="B6834">
        <v>3.31</v>
      </c>
      <c r="C6834">
        <v>140</v>
      </c>
      <c r="D6834" s="9">
        <v>42549</v>
      </c>
      <c r="E6834" t="s">
        <v>295</v>
      </c>
      <c r="I6834" s="9"/>
    </row>
    <row r="6835" spans="1:9" x14ac:dyDescent="0.25">
      <c r="A6835">
        <v>664834</v>
      </c>
      <c r="B6835">
        <v>3.31</v>
      </c>
      <c r="C6835">
        <v>80</v>
      </c>
      <c r="D6835" s="9">
        <v>42537</v>
      </c>
      <c r="E6835" t="s">
        <v>295</v>
      </c>
      <c r="I6835" s="9"/>
    </row>
    <row r="6836" spans="1:9" x14ac:dyDescent="0.25">
      <c r="A6836">
        <v>664834</v>
      </c>
      <c r="B6836">
        <v>3.31</v>
      </c>
      <c r="C6836">
        <v>120</v>
      </c>
      <c r="D6836" s="9">
        <v>42499</v>
      </c>
      <c r="E6836" t="s">
        <v>295</v>
      </c>
      <c r="I6836" s="9"/>
    </row>
    <row r="6837" spans="1:9" x14ac:dyDescent="0.25">
      <c r="A6837">
        <v>664834</v>
      </c>
      <c r="B6837">
        <v>3.31</v>
      </c>
      <c r="C6837">
        <v>80</v>
      </c>
      <c r="D6837" s="9">
        <v>42451</v>
      </c>
      <c r="E6837" t="s">
        <v>295</v>
      </c>
      <c r="I6837" s="9"/>
    </row>
    <row r="6838" spans="1:9" x14ac:dyDescent="0.25">
      <c r="A6838">
        <v>664834</v>
      </c>
      <c r="B6838">
        <v>3.31</v>
      </c>
      <c r="C6838">
        <v>100</v>
      </c>
      <c r="D6838" s="9">
        <v>42388</v>
      </c>
      <c r="E6838" t="s">
        <v>295</v>
      </c>
      <c r="I6838" s="9"/>
    </row>
    <row r="6839" spans="1:9" x14ac:dyDescent="0.25">
      <c r="A6839">
        <v>664834</v>
      </c>
      <c r="B6839">
        <v>3.31</v>
      </c>
      <c r="C6839">
        <v>300</v>
      </c>
      <c r="D6839" s="9">
        <v>42341</v>
      </c>
      <c r="E6839" t="s">
        <v>295</v>
      </c>
      <c r="I6839" s="9"/>
    </row>
    <row r="6840" spans="1:9" x14ac:dyDescent="0.25">
      <c r="A6840">
        <v>664834</v>
      </c>
      <c r="B6840">
        <v>3.31</v>
      </c>
      <c r="C6840">
        <v>140</v>
      </c>
      <c r="D6840" s="9">
        <v>42326</v>
      </c>
      <c r="E6840" t="s">
        <v>295</v>
      </c>
      <c r="I6840" s="9"/>
    </row>
    <row r="6841" spans="1:9" x14ac:dyDescent="0.25">
      <c r="A6841">
        <v>664834</v>
      </c>
      <c r="B6841">
        <v>3.31</v>
      </c>
      <c r="C6841">
        <v>300</v>
      </c>
      <c r="D6841" s="9">
        <v>42285</v>
      </c>
      <c r="E6841" t="s">
        <v>295</v>
      </c>
      <c r="I6841" s="9"/>
    </row>
    <row r="6842" spans="1:9" x14ac:dyDescent="0.25">
      <c r="A6842">
        <v>664834</v>
      </c>
      <c r="B6842">
        <v>3.31</v>
      </c>
      <c r="C6842">
        <v>100</v>
      </c>
      <c r="D6842" s="9">
        <v>42265</v>
      </c>
      <c r="E6842" t="s">
        <v>295</v>
      </c>
      <c r="I6842" s="9"/>
    </row>
    <row r="6843" spans="1:9" x14ac:dyDescent="0.25">
      <c r="A6843">
        <v>664834</v>
      </c>
      <c r="B6843">
        <v>3.31</v>
      </c>
      <c r="C6843">
        <v>120</v>
      </c>
      <c r="D6843" s="9">
        <v>42212</v>
      </c>
      <c r="E6843" t="s">
        <v>295</v>
      </c>
      <c r="I6843" s="9"/>
    </row>
    <row r="6844" spans="1:9" x14ac:dyDescent="0.25">
      <c r="A6844">
        <v>664834</v>
      </c>
      <c r="B6844">
        <v>3.31</v>
      </c>
      <c r="C6844">
        <v>120</v>
      </c>
      <c r="D6844" s="9">
        <v>42174</v>
      </c>
      <c r="E6844" t="s">
        <v>295</v>
      </c>
      <c r="I6844" s="9"/>
    </row>
    <row r="6845" spans="1:9" x14ac:dyDescent="0.25">
      <c r="A6845">
        <v>664834</v>
      </c>
      <c r="B6845">
        <v>3.31</v>
      </c>
      <c r="C6845">
        <v>120</v>
      </c>
      <c r="D6845" s="9">
        <v>42128</v>
      </c>
      <c r="E6845" t="s">
        <v>295</v>
      </c>
      <c r="I6845" s="9"/>
    </row>
    <row r="6846" spans="1:9" x14ac:dyDescent="0.25">
      <c r="A6846">
        <v>664834</v>
      </c>
      <c r="B6846">
        <v>3.31</v>
      </c>
      <c r="C6846">
        <v>80</v>
      </c>
      <c r="D6846" s="9">
        <v>42068</v>
      </c>
      <c r="E6846" t="s">
        <v>295</v>
      </c>
      <c r="I6846" s="9"/>
    </row>
    <row r="6847" spans="1:9" x14ac:dyDescent="0.25">
      <c r="A6847">
        <v>664834</v>
      </c>
      <c r="B6847">
        <v>3.31</v>
      </c>
      <c r="C6847">
        <v>80</v>
      </c>
      <c r="D6847" s="9">
        <v>41960</v>
      </c>
      <c r="E6847" t="s">
        <v>295</v>
      </c>
      <c r="I6847" s="9"/>
    </row>
    <row r="6848" spans="1:9" x14ac:dyDescent="0.25">
      <c r="A6848">
        <v>664834</v>
      </c>
      <c r="B6848">
        <v>3.31</v>
      </c>
      <c r="C6848">
        <v>80</v>
      </c>
      <c r="D6848" s="9">
        <v>41935</v>
      </c>
      <c r="E6848" t="s">
        <v>295</v>
      </c>
      <c r="I6848" s="9"/>
    </row>
    <row r="6849" spans="1:9" x14ac:dyDescent="0.25">
      <c r="A6849">
        <v>664834</v>
      </c>
      <c r="B6849">
        <v>3.31</v>
      </c>
      <c r="C6849">
        <v>40</v>
      </c>
      <c r="D6849" s="9">
        <v>41921</v>
      </c>
      <c r="E6849" t="s">
        <v>295</v>
      </c>
      <c r="I6849" s="9"/>
    </row>
    <row r="6850" spans="1:9" x14ac:dyDescent="0.25">
      <c r="A6850">
        <v>664834</v>
      </c>
      <c r="B6850">
        <v>3.31</v>
      </c>
      <c r="C6850">
        <v>40</v>
      </c>
      <c r="D6850" s="9">
        <v>41775</v>
      </c>
      <c r="E6850" t="s">
        <v>295</v>
      </c>
      <c r="I6850" s="9"/>
    </row>
    <row r="6851" spans="1:9" x14ac:dyDescent="0.25">
      <c r="A6851">
        <v>664834</v>
      </c>
      <c r="B6851">
        <v>3.41</v>
      </c>
      <c r="C6851">
        <v>80</v>
      </c>
      <c r="D6851" s="9">
        <v>41647</v>
      </c>
      <c r="E6851" t="s">
        <v>295</v>
      </c>
      <c r="I6851" s="9"/>
    </row>
    <row r="6852" spans="1:9" x14ac:dyDescent="0.25">
      <c r="A6852">
        <v>664834</v>
      </c>
      <c r="B6852">
        <v>3.41</v>
      </c>
      <c r="C6852">
        <v>120</v>
      </c>
      <c r="D6852" s="9">
        <v>41564</v>
      </c>
      <c r="E6852" t="s">
        <v>295</v>
      </c>
      <c r="I6852" s="9"/>
    </row>
    <row r="6853" spans="1:9" x14ac:dyDescent="0.25">
      <c r="A6853">
        <v>664836</v>
      </c>
      <c r="B6853">
        <v>4.78</v>
      </c>
      <c r="C6853">
        <v>500</v>
      </c>
      <c r="D6853" s="9">
        <v>44144</v>
      </c>
      <c r="E6853" t="s">
        <v>295</v>
      </c>
      <c r="I6853" s="9"/>
    </row>
    <row r="6854" spans="1:9" x14ac:dyDescent="0.25">
      <c r="A6854">
        <v>664836</v>
      </c>
      <c r="B6854">
        <v>4.78</v>
      </c>
      <c r="C6854">
        <v>220</v>
      </c>
      <c r="D6854" s="9">
        <v>44110</v>
      </c>
      <c r="E6854" t="s">
        <v>295</v>
      </c>
      <c r="I6854" s="9"/>
    </row>
    <row r="6855" spans="1:9" x14ac:dyDescent="0.25">
      <c r="A6855">
        <v>664836</v>
      </c>
      <c r="B6855">
        <v>4.78</v>
      </c>
      <c r="C6855">
        <v>500</v>
      </c>
      <c r="D6855" s="9">
        <v>44090</v>
      </c>
      <c r="E6855" t="s">
        <v>295</v>
      </c>
      <c r="I6855" s="9"/>
    </row>
    <row r="6856" spans="1:9" x14ac:dyDescent="0.25">
      <c r="A6856">
        <v>664836</v>
      </c>
      <c r="B6856">
        <v>4.78</v>
      </c>
      <c r="C6856">
        <v>500</v>
      </c>
      <c r="D6856" s="9">
        <v>44049</v>
      </c>
      <c r="E6856" t="s">
        <v>295</v>
      </c>
      <c r="I6856" s="9"/>
    </row>
    <row r="6857" spans="1:9" x14ac:dyDescent="0.25">
      <c r="A6857">
        <v>664836</v>
      </c>
      <c r="B6857">
        <v>4.78</v>
      </c>
      <c r="C6857">
        <v>460</v>
      </c>
      <c r="D6857" s="9">
        <v>44027</v>
      </c>
      <c r="E6857" t="s">
        <v>295</v>
      </c>
      <c r="I6857" s="9"/>
    </row>
    <row r="6858" spans="1:9" x14ac:dyDescent="0.25">
      <c r="A6858">
        <v>664836</v>
      </c>
      <c r="B6858">
        <v>4.78</v>
      </c>
      <c r="C6858">
        <v>600</v>
      </c>
      <c r="D6858" s="9">
        <v>44015</v>
      </c>
      <c r="E6858" t="s">
        <v>295</v>
      </c>
      <c r="I6858" s="9"/>
    </row>
    <row r="6859" spans="1:9" x14ac:dyDescent="0.25">
      <c r="A6859">
        <v>664836</v>
      </c>
      <c r="B6859">
        <v>4.78</v>
      </c>
      <c r="C6859">
        <v>600</v>
      </c>
      <c r="D6859" s="9">
        <v>43976</v>
      </c>
      <c r="E6859" t="s">
        <v>295</v>
      </c>
      <c r="I6859" s="9"/>
    </row>
    <row r="6860" spans="1:9" x14ac:dyDescent="0.25">
      <c r="A6860">
        <v>664836</v>
      </c>
      <c r="B6860">
        <v>4.78</v>
      </c>
      <c r="C6860">
        <v>500</v>
      </c>
      <c r="D6860" s="9">
        <v>43908</v>
      </c>
      <c r="E6860" t="s">
        <v>295</v>
      </c>
      <c r="I6860" s="9"/>
    </row>
    <row r="6861" spans="1:9" x14ac:dyDescent="0.25">
      <c r="A6861">
        <v>664836</v>
      </c>
      <c r="B6861">
        <v>4.78</v>
      </c>
      <c r="C6861">
        <v>120</v>
      </c>
      <c r="D6861" s="9">
        <v>43903</v>
      </c>
      <c r="E6861" t="s">
        <v>295</v>
      </c>
      <c r="I6861" s="9"/>
    </row>
    <row r="6862" spans="1:9" x14ac:dyDescent="0.25">
      <c r="A6862">
        <v>664836</v>
      </c>
      <c r="B6862">
        <v>4.78</v>
      </c>
      <c r="C6862">
        <v>100</v>
      </c>
      <c r="D6862" s="9">
        <v>43857</v>
      </c>
      <c r="E6862" t="s">
        <v>295</v>
      </c>
      <c r="I6862" s="9"/>
    </row>
    <row r="6863" spans="1:9" x14ac:dyDescent="0.25">
      <c r="A6863">
        <v>664836</v>
      </c>
      <c r="B6863">
        <v>4.78</v>
      </c>
      <c r="C6863">
        <v>700</v>
      </c>
      <c r="D6863" s="9">
        <v>43797</v>
      </c>
      <c r="E6863" t="s">
        <v>295</v>
      </c>
      <c r="I6863" s="9"/>
    </row>
    <row r="6864" spans="1:9" x14ac:dyDescent="0.25">
      <c r="A6864">
        <v>664836</v>
      </c>
      <c r="B6864">
        <v>4.78</v>
      </c>
      <c r="C6864">
        <v>320</v>
      </c>
      <c r="D6864" s="9">
        <v>43746</v>
      </c>
      <c r="E6864" t="s">
        <v>295</v>
      </c>
      <c r="I6864" s="9"/>
    </row>
    <row r="6865" spans="1:9" x14ac:dyDescent="0.25">
      <c r="A6865">
        <v>664836</v>
      </c>
      <c r="B6865">
        <v>4.78</v>
      </c>
      <c r="C6865">
        <v>200</v>
      </c>
      <c r="D6865" s="9">
        <v>43656</v>
      </c>
      <c r="E6865" t="s">
        <v>295</v>
      </c>
      <c r="I6865" s="9"/>
    </row>
    <row r="6866" spans="1:9" x14ac:dyDescent="0.25">
      <c r="A6866">
        <v>664836</v>
      </c>
      <c r="B6866">
        <v>4.6500000000000004</v>
      </c>
      <c r="C6866">
        <v>160</v>
      </c>
      <c r="D6866" s="9">
        <v>43640</v>
      </c>
      <c r="E6866" t="s">
        <v>295</v>
      </c>
      <c r="I6866" s="9"/>
    </row>
    <row r="6867" spans="1:9" x14ac:dyDescent="0.25">
      <c r="A6867">
        <v>664836</v>
      </c>
      <c r="B6867">
        <v>4.6500000000000004</v>
      </c>
      <c r="C6867">
        <v>80</v>
      </c>
      <c r="D6867" s="9">
        <v>43580</v>
      </c>
      <c r="E6867" t="s">
        <v>295</v>
      </c>
      <c r="I6867" s="9"/>
    </row>
    <row r="6868" spans="1:9" x14ac:dyDescent="0.25">
      <c r="A6868">
        <v>664836</v>
      </c>
      <c r="B6868">
        <v>4.6500000000000004</v>
      </c>
      <c r="C6868">
        <v>400</v>
      </c>
      <c r="D6868" s="9">
        <v>43287</v>
      </c>
      <c r="E6868" t="s">
        <v>295</v>
      </c>
      <c r="I6868" s="9"/>
    </row>
    <row r="6869" spans="1:9" x14ac:dyDescent="0.25">
      <c r="A6869">
        <v>664836</v>
      </c>
      <c r="B6869">
        <v>4.6500000000000004</v>
      </c>
      <c r="C6869">
        <v>240</v>
      </c>
      <c r="D6869" s="9">
        <v>43257</v>
      </c>
      <c r="E6869" t="s">
        <v>295</v>
      </c>
      <c r="I6869" s="9"/>
    </row>
    <row r="6870" spans="1:9" x14ac:dyDescent="0.25">
      <c r="A6870">
        <v>664836</v>
      </c>
      <c r="B6870">
        <v>4.6500000000000004</v>
      </c>
      <c r="C6870">
        <v>120</v>
      </c>
      <c r="D6870" s="9">
        <v>43229</v>
      </c>
      <c r="E6870" t="s">
        <v>295</v>
      </c>
      <c r="I6870" s="9"/>
    </row>
    <row r="6871" spans="1:9" x14ac:dyDescent="0.25">
      <c r="A6871">
        <v>664836</v>
      </c>
      <c r="B6871">
        <v>4.6500000000000004</v>
      </c>
      <c r="C6871">
        <v>160</v>
      </c>
      <c r="D6871" s="9">
        <v>43181</v>
      </c>
      <c r="E6871" t="s">
        <v>295</v>
      </c>
      <c r="I6871" s="9"/>
    </row>
    <row r="6872" spans="1:9" x14ac:dyDescent="0.25">
      <c r="A6872">
        <v>664836</v>
      </c>
      <c r="B6872">
        <v>4.3899999999999997</v>
      </c>
      <c r="C6872">
        <v>300</v>
      </c>
      <c r="D6872" s="9">
        <v>43066</v>
      </c>
      <c r="E6872" t="s">
        <v>295</v>
      </c>
      <c r="I6872" s="9"/>
    </row>
    <row r="6873" spans="1:9" x14ac:dyDescent="0.25">
      <c r="A6873">
        <v>664836</v>
      </c>
      <c r="B6873">
        <v>4.3899999999999997</v>
      </c>
      <c r="C6873">
        <v>120</v>
      </c>
      <c r="D6873" s="9">
        <v>43027</v>
      </c>
      <c r="E6873" t="s">
        <v>295</v>
      </c>
      <c r="I6873" s="9"/>
    </row>
    <row r="6874" spans="1:9" x14ac:dyDescent="0.25">
      <c r="A6874">
        <v>664836</v>
      </c>
      <c r="B6874">
        <v>4.3899999999999997</v>
      </c>
      <c r="C6874">
        <v>180</v>
      </c>
      <c r="D6874" s="9">
        <v>43019</v>
      </c>
      <c r="E6874" t="s">
        <v>295</v>
      </c>
      <c r="I6874" s="9"/>
    </row>
    <row r="6875" spans="1:9" x14ac:dyDescent="0.25">
      <c r="A6875">
        <v>664836</v>
      </c>
      <c r="B6875">
        <v>4.3899999999999997</v>
      </c>
      <c r="C6875">
        <v>80</v>
      </c>
      <c r="D6875" s="9">
        <v>42991</v>
      </c>
      <c r="E6875" t="s">
        <v>295</v>
      </c>
      <c r="I6875" s="9"/>
    </row>
    <row r="6876" spans="1:9" x14ac:dyDescent="0.25">
      <c r="A6876">
        <v>664836</v>
      </c>
      <c r="B6876">
        <v>4.3899999999999997</v>
      </c>
      <c r="C6876">
        <v>40</v>
      </c>
      <c r="D6876" s="9">
        <v>42978</v>
      </c>
      <c r="E6876" t="s">
        <v>295</v>
      </c>
      <c r="I6876" s="9"/>
    </row>
    <row r="6877" spans="1:9" x14ac:dyDescent="0.25">
      <c r="A6877">
        <v>664836</v>
      </c>
      <c r="B6877">
        <v>4.3899999999999997</v>
      </c>
      <c r="C6877">
        <v>200</v>
      </c>
      <c r="D6877" s="9">
        <v>42935</v>
      </c>
      <c r="E6877" t="s">
        <v>295</v>
      </c>
      <c r="I6877" s="9"/>
    </row>
    <row r="6878" spans="1:9" x14ac:dyDescent="0.25">
      <c r="A6878">
        <v>664836</v>
      </c>
      <c r="B6878">
        <v>4.3899999999999997</v>
      </c>
      <c r="C6878">
        <v>120</v>
      </c>
      <c r="D6878" s="9">
        <v>42853</v>
      </c>
      <c r="E6878" t="s">
        <v>295</v>
      </c>
      <c r="I6878" s="9"/>
    </row>
    <row r="6879" spans="1:9" x14ac:dyDescent="0.25">
      <c r="A6879">
        <v>664836</v>
      </c>
      <c r="B6879">
        <v>4.3899999999999997</v>
      </c>
      <c r="C6879">
        <v>100</v>
      </c>
      <c r="D6879" s="9">
        <v>42818</v>
      </c>
      <c r="E6879" t="s">
        <v>295</v>
      </c>
      <c r="I6879" s="9"/>
    </row>
    <row r="6880" spans="1:9" x14ac:dyDescent="0.25">
      <c r="A6880">
        <v>664836</v>
      </c>
      <c r="B6880">
        <v>4.3899999999999997</v>
      </c>
      <c r="C6880">
        <v>250</v>
      </c>
      <c r="D6880" s="9">
        <v>42709</v>
      </c>
      <c r="E6880" t="s">
        <v>295</v>
      </c>
      <c r="I6880" s="9"/>
    </row>
    <row r="6881" spans="1:9" x14ac:dyDescent="0.25">
      <c r="A6881">
        <v>664836</v>
      </c>
      <c r="B6881">
        <v>4.3899999999999997</v>
      </c>
      <c r="C6881">
        <v>80</v>
      </c>
      <c r="D6881" s="9">
        <v>42654</v>
      </c>
      <c r="E6881" t="s">
        <v>295</v>
      </c>
      <c r="I6881" s="9"/>
    </row>
    <row r="6882" spans="1:9" x14ac:dyDescent="0.25">
      <c r="A6882">
        <v>664836</v>
      </c>
      <c r="B6882">
        <v>4.3899999999999997</v>
      </c>
      <c r="C6882">
        <v>80</v>
      </c>
      <c r="D6882" s="9">
        <v>42619</v>
      </c>
      <c r="E6882" t="s">
        <v>295</v>
      </c>
      <c r="I6882" s="9"/>
    </row>
    <row r="6883" spans="1:9" x14ac:dyDescent="0.25">
      <c r="A6883">
        <v>664836</v>
      </c>
      <c r="B6883">
        <v>4.3899999999999997</v>
      </c>
      <c r="C6883">
        <v>40</v>
      </c>
      <c r="D6883" s="9">
        <v>42614</v>
      </c>
      <c r="E6883" t="s">
        <v>295</v>
      </c>
      <c r="I6883" s="9"/>
    </row>
    <row r="6884" spans="1:9" x14ac:dyDescent="0.25">
      <c r="A6884">
        <v>664836</v>
      </c>
      <c r="B6884">
        <v>4.3899999999999997</v>
      </c>
      <c r="C6884">
        <v>120</v>
      </c>
      <c r="D6884" s="9">
        <v>42549</v>
      </c>
      <c r="E6884" t="s">
        <v>295</v>
      </c>
      <c r="I6884" s="9"/>
    </row>
    <row r="6885" spans="1:9" x14ac:dyDescent="0.25">
      <c r="A6885">
        <v>664836</v>
      </c>
      <c r="B6885">
        <v>4.3899999999999997</v>
      </c>
      <c r="C6885">
        <v>80</v>
      </c>
      <c r="D6885" s="9">
        <v>42537</v>
      </c>
      <c r="E6885" t="s">
        <v>295</v>
      </c>
      <c r="I6885" s="9"/>
    </row>
    <row r="6886" spans="1:9" x14ac:dyDescent="0.25">
      <c r="A6886">
        <v>664836</v>
      </c>
      <c r="B6886">
        <v>4.3899999999999997</v>
      </c>
      <c r="C6886">
        <v>40</v>
      </c>
      <c r="D6886" s="9">
        <v>42499</v>
      </c>
      <c r="E6886" t="s">
        <v>295</v>
      </c>
      <c r="I6886" s="9"/>
    </row>
    <row r="6887" spans="1:9" x14ac:dyDescent="0.25">
      <c r="A6887">
        <v>664836</v>
      </c>
      <c r="B6887">
        <v>4.3899999999999997</v>
      </c>
      <c r="C6887">
        <v>120</v>
      </c>
      <c r="D6887" s="9">
        <v>42388</v>
      </c>
      <c r="E6887" t="s">
        <v>295</v>
      </c>
      <c r="I6887" s="9"/>
    </row>
    <row r="6888" spans="1:9" x14ac:dyDescent="0.25">
      <c r="A6888">
        <v>664836</v>
      </c>
      <c r="B6888">
        <v>4.3899999999999997</v>
      </c>
      <c r="C6888">
        <v>320</v>
      </c>
      <c r="D6888" s="9">
        <v>42341</v>
      </c>
      <c r="E6888" t="s">
        <v>295</v>
      </c>
      <c r="I6888" s="9"/>
    </row>
    <row r="6889" spans="1:9" x14ac:dyDescent="0.25">
      <c r="A6889">
        <v>664836</v>
      </c>
      <c r="B6889">
        <v>4.3899999999999997</v>
      </c>
      <c r="C6889">
        <v>200</v>
      </c>
      <c r="D6889" s="9">
        <v>42326</v>
      </c>
      <c r="E6889" t="s">
        <v>295</v>
      </c>
      <c r="I6889" s="9"/>
    </row>
    <row r="6890" spans="1:9" x14ac:dyDescent="0.25">
      <c r="A6890">
        <v>664836</v>
      </c>
      <c r="B6890">
        <v>4.3899999999999997</v>
      </c>
      <c r="C6890">
        <v>200</v>
      </c>
      <c r="D6890" s="9">
        <v>42285</v>
      </c>
      <c r="E6890" t="s">
        <v>295</v>
      </c>
      <c r="I6890" s="9"/>
    </row>
    <row r="6891" spans="1:9" x14ac:dyDescent="0.25">
      <c r="A6891">
        <v>664836</v>
      </c>
      <c r="B6891">
        <v>4.3899999999999997</v>
      </c>
      <c r="C6891">
        <v>120</v>
      </c>
      <c r="D6891" s="9">
        <v>42265</v>
      </c>
      <c r="E6891" t="s">
        <v>295</v>
      </c>
      <c r="I6891" s="9"/>
    </row>
    <row r="6892" spans="1:9" x14ac:dyDescent="0.25">
      <c r="A6892">
        <v>664836</v>
      </c>
      <c r="B6892">
        <v>4.3899999999999997</v>
      </c>
      <c r="C6892">
        <v>80</v>
      </c>
      <c r="D6892" s="9">
        <v>42212</v>
      </c>
      <c r="E6892" t="s">
        <v>295</v>
      </c>
      <c r="I6892" s="9"/>
    </row>
    <row r="6893" spans="1:9" x14ac:dyDescent="0.25">
      <c r="A6893">
        <v>664836</v>
      </c>
      <c r="B6893">
        <v>4.3899999999999997</v>
      </c>
      <c r="C6893">
        <v>120</v>
      </c>
      <c r="D6893" s="9">
        <v>42174</v>
      </c>
      <c r="E6893" t="s">
        <v>295</v>
      </c>
      <c r="I6893" s="9"/>
    </row>
    <row r="6894" spans="1:9" x14ac:dyDescent="0.25">
      <c r="A6894">
        <v>664836</v>
      </c>
      <c r="B6894">
        <v>4.3899999999999997</v>
      </c>
      <c r="C6894">
        <v>120</v>
      </c>
      <c r="D6894" s="9">
        <v>42128</v>
      </c>
      <c r="E6894" t="s">
        <v>295</v>
      </c>
      <c r="I6894" s="9"/>
    </row>
    <row r="6895" spans="1:9" x14ac:dyDescent="0.25">
      <c r="A6895">
        <v>664836</v>
      </c>
      <c r="B6895">
        <v>4.3899999999999997</v>
      </c>
      <c r="C6895">
        <v>280</v>
      </c>
      <c r="D6895" s="9">
        <v>42068</v>
      </c>
      <c r="E6895" t="s">
        <v>295</v>
      </c>
      <c r="I6895" s="9"/>
    </row>
    <row r="6896" spans="1:9" x14ac:dyDescent="0.25">
      <c r="A6896">
        <v>664836</v>
      </c>
      <c r="B6896">
        <v>4.3899999999999997</v>
      </c>
      <c r="C6896">
        <v>40</v>
      </c>
      <c r="D6896" s="9">
        <v>41960</v>
      </c>
      <c r="E6896" t="s">
        <v>295</v>
      </c>
      <c r="I6896" s="9"/>
    </row>
    <row r="6897" spans="1:9" x14ac:dyDescent="0.25">
      <c r="A6897">
        <v>664836</v>
      </c>
      <c r="B6897">
        <v>4.3899999999999997</v>
      </c>
      <c r="C6897">
        <v>80</v>
      </c>
      <c r="D6897" s="9">
        <v>41935</v>
      </c>
      <c r="E6897" t="s">
        <v>295</v>
      </c>
      <c r="I6897" s="9"/>
    </row>
    <row r="6898" spans="1:9" x14ac:dyDescent="0.25">
      <c r="A6898">
        <v>664836</v>
      </c>
      <c r="B6898">
        <v>4.3899999999999997</v>
      </c>
      <c r="C6898">
        <v>40</v>
      </c>
      <c r="D6898" s="9">
        <v>41921</v>
      </c>
      <c r="E6898" t="s">
        <v>295</v>
      </c>
      <c r="I6898" s="9"/>
    </row>
    <row r="6899" spans="1:9" x14ac:dyDescent="0.25">
      <c r="A6899">
        <v>664836</v>
      </c>
      <c r="B6899">
        <v>4.3899999999999997</v>
      </c>
      <c r="C6899">
        <v>40</v>
      </c>
      <c r="D6899" s="9">
        <v>41794</v>
      </c>
      <c r="E6899" t="s">
        <v>295</v>
      </c>
      <c r="I6899" s="9"/>
    </row>
    <row r="6900" spans="1:9" x14ac:dyDescent="0.25">
      <c r="A6900">
        <v>664836</v>
      </c>
      <c r="B6900">
        <v>4.3899999999999997</v>
      </c>
      <c r="C6900">
        <v>40</v>
      </c>
      <c r="D6900" s="9">
        <v>41775</v>
      </c>
      <c r="E6900" t="s">
        <v>295</v>
      </c>
      <c r="I6900" s="9"/>
    </row>
    <row r="6901" spans="1:9" x14ac:dyDescent="0.25">
      <c r="A6901">
        <v>664836</v>
      </c>
      <c r="B6901">
        <v>4.3899999999999997</v>
      </c>
      <c r="C6901">
        <v>40</v>
      </c>
      <c r="D6901" s="9">
        <v>41731</v>
      </c>
      <c r="E6901" t="s">
        <v>295</v>
      </c>
      <c r="I6901" s="9"/>
    </row>
    <row r="6902" spans="1:9" x14ac:dyDescent="0.25">
      <c r="A6902">
        <v>664836</v>
      </c>
      <c r="B6902">
        <v>4.3899999999999997</v>
      </c>
      <c r="C6902">
        <v>80</v>
      </c>
      <c r="D6902" s="9">
        <v>41718</v>
      </c>
      <c r="E6902" t="s">
        <v>295</v>
      </c>
      <c r="I6902" s="9"/>
    </row>
    <row r="6903" spans="1:9" x14ac:dyDescent="0.25">
      <c r="A6903">
        <v>664836</v>
      </c>
      <c r="B6903">
        <v>4.49</v>
      </c>
      <c r="C6903">
        <v>120</v>
      </c>
      <c r="D6903" s="9">
        <v>41647</v>
      </c>
      <c r="E6903" t="s">
        <v>295</v>
      </c>
      <c r="I6903" s="9"/>
    </row>
    <row r="6904" spans="1:9" x14ac:dyDescent="0.25">
      <c r="A6904">
        <v>664836</v>
      </c>
      <c r="B6904">
        <v>4.49</v>
      </c>
      <c r="C6904">
        <v>160</v>
      </c>
      <c r="D6904" s="9">
        <v>41564</v>
      </c>
      <c r="E6904" t="s">
        <v>295</v>
      </c>
      <c r="I6904" s="9"/>
    </row>
    <row r="6905" spans="1:9" x14ac:dyDescent="0.25">
      <c r="A6905">
        <v>664902</v>
      </c>
      <c r="B6905">
        <v>2.38</v>
      </c>
      <c r="C6905">
        <v>240</v>
      </c>
      <c r="D6905" s="9">
        <v>42411</v>
      </c>
      <c r="E6905" t="s">
        <v>295</v>
      </c>
      <c r="I6905" s="9"/>
    </row>
    <row r="6906" spans="1:9" x14ac:dyDescent="0.25">
      <c r="A6906">
        <v>664903</v>
      </c>
      <c r="B6906">
        <v>3</v>
      </c>
      <c r="C6906">
        <v>240</v>
      </c>
      <c r="D6906" s="9">
        <v>42411</v>
      </c>
      <c r="E6906" t="s">
        <v>295</v>
      </c>
      <c r="I6906" s="9"/>
    </row>
    <row r="6907" spans="1:9" x14ac:dyDescent="0.25">
      <c r="A6907">
        <v>664904</v>
      </c>
      <c r="B6907">
        <v>4.37</v>
      </c>
      <c r="C6907">
        <v>120</v>
      </c>
      <c r="D6907" s="9">
        <v>42411</v>
      </c>
      <c r="E6907" t="s">
        <v>295</v>
      </c>
      <c r="I6907" s="9"/>
    </row>
    <row r="6908" spans="1:9" x14ac:dyDescent="0.25">
      <c r="A6908">
        <v>664905</v>
      </c>
      <c r="B6908">
        <v>5.52</v>
      </c>
      <c r="C6908">
        <v>96</v>
      </c>
      <c r="D6908" s="9">
        <v>42411</v>
      </c>
      <c r="E6908" t="s">
        <v>295</v>
      </c>
      <c r="I6908" s="9"/>
    </row>
    <row r="6909" spans="1:9" x14ac:dyDescent="0.25">
      <c r="A6909">
        <v>664912</v>
      </c>
      <c r="B6909">
        <v>2.36</v>
      </c>
      <c r="C6909">
        <v>240</v>
      </c>
      <c r="D6909" s="9">
        <v>42432</v>
      </c>
      <c r="E6909" t="s">
        <v>295</v>
      </c>
      <c r="I6909" s="9"/>
    </row>
    <row r="6910" spans="1:9" x14ac:dyDescent="0.25">
      <c r="A6910">
        <v>664912</v>
      </c>
      <c r="B6910">
        <v>0</v>
      </c>
      <c r="C6910">
        <v>240</v>
      </c>
      <c r="D6910" s="9">
        <v>42411</v>
      </c>
      <c r="E6910" t="s">
        <v>295</v>
      </c>
      <c r="I6910" s="9"/>
    </row>
    <row r="6911" spans="1:9" x14ac:dyDescent="0.25">
      <c r="A6911">
        <v>664913</v>
      </c>
      <c r="B6911">
        <v>2.98</v>
      </c>
      <c r="C6911">
        <v>240</v>
      </c>
      <c r="D6911" s="9">
        <v>42432</v>
      </c>
      <c r="E6911" t="s">
        <v>295</v>
      </c>
      <c r="I6911" s="9"/>
    </row>
    <row r="6912" spans="1:9" x14ac:dyDescent="0.25">
      <c r="A6912">
        <v>664913</v>
      </c>
      <c r="B6912">
        <v>0</v>
      </c>
      <c r="C6912">
        <v>240</v>
      </c>
      <c r="D6912" s="9">
        <v>42411</v>
      </c>
      <c r="E6912" t="s">
        <v>295</v>
      </c>
      <c r="I6912" s="9"/>
    </row>
    <row r="6913" spans="1:9" x14ac:dyDescent="0.25">
      <c r="A6913">
        <v>664914</v>
      </c>
      <c r="B6913">
        <v>5.42</v>
      </c>
      <c r="C6913">
        <v>119</v>
      </c>
      <c r="D6913" s="9">
        <v>42432</v>
      </c>
      <c r="E6913" t="s">
        <v>295</v>
      </c>
      <c r="I6913" s="9"/>
    </row>
    <row r="6914" spans="1:9" x14ac:dyDescent="0.25">
      <c r="A6914">
        <v>664914</v>
      </c>
      <c r="B6914">
        <v>0</v>
      </c>
      <c r="C6914">
        <v>120</v>
      </c>
      <c r="D6914" s="9">
        <v>42411</v>
      </c>
      <c r="E6914" t="s">
        <v>295</v>
      </c>
      <c r="I6914" s="9"/>
    </row>
    <row r="6915" spans="1:9" x14ac:dyDescent="0.25">
      <c r="A6915">
        <v>664915</v>
      </c>
      <c r="B6915">
        <v>6.67</v>
      </c>
      <c r="C6915">
        <v>144</v>
      </c>
      <c r="D6915" s="9">
        <v>44089</v>
      </c>
      <c r="E6915" t="s">
        <v>295</v>
      </c>
      <c r="I6915" s="9"/>
    </row>
    <row r="6916" spans="1:9" x14ac:dyDescent="0.25">
      <c r="A6916">
        <v>664915</v>
      </c>
      <c r="B6916">
        <v>6.67</v>
      </c>
      <c r="C6916">
        <v>168</v>
      </c>
      <c r="D6916" s="9">
        <v>43998</v>
      </c>
      <c r="E6916" t="s">
        <v>295</v>
      </c>
      <c r="I6916" s="9"/>
    </row>
    <row r="6917" spans="1:9" x14ac:dyDescent="0.25">
      <c r="A6917">
        <v>664915</v>
      </c>
      <c r="B6917">
        <v>6.84</v>
      </c>
      <c r="C6917">
        <v>144</v>
      </c>
      <c r="D6917" s="9">
        <v>42432</v>
      </c>
      <c r="E6917" t="s">
        <v>295</v>
      </c>
      <c r="I6917" s="9"/>
    </row>
    <row r="6918" spans="1:9" x14ac:dyDescent="0.25">
      <c r="A6918">
        <v>664915</v>
      </c>
      <c r="B6918">
        <v>0</v>
      </c>
      <c r="C6918">
        <v>120</v>
      </c>
      <c r="D6918" s="9">
        <v>42411</v>
      </c>
      <c r="E6918" t="s">
        <v>295</v>
      </c>
      <c r="I6918" s="9"/>
    </row>
    <row r="6919" spans="1:9" x14ac:dyDescent="0.25">
      <c r="A6919">
        <v>664918</v>
      </c>
      <c r="B6919">
        <v>0.82</v>
      </c>
      <c r="C6919">
        <v>528</v>
      </c>
      <c r="D6919" s="9">
        <v>43494</v>
      </c>
      <c r="E6919" t="s">
        <v>295</v>
      </c>
      <c r="I6919" s="9"/>
    </row>
    <row r="6920" spans="1:9" x14ac:dyDescent="0.25">
      <c r="A6920">
        <v>664918</v>
      </c>
      <c r="B6920">
        <v>0.82</v>
      </c>
      <c r="C6920">
        <v>528</v>
      </c>
      <c r="D6920" s="9">
        <v>43104</v>
      </c>
      <c r="E6920" t="s">
        <v>295</v>
      </c>
      <c r="I6920" s="9"/>
    </row>
    <row r="6921" spans="1:9" x14ac:dyDescent="0.25">
      <c r="A6921">
        <v>664918</v>
      </c>
      <c r="B6921">
        <v>0.82</v>
      </c>
      <c r="C6921">
        <v>480</v>
      </c>
      <c r="D6921" s="9">
        <v>42836</v>
      </c>
      <c r="E6921" t="s">
        <v>295</v>
      </c>
      <c r="I6921" s="9"/>
    </row>
    <row r="6922" spans="1:9" x14ac:dyDescent="0.25">
      <c r="A6922">
        <v>664918</v>
      </c>
      <c r="B6922">
        <v>0.82</v>
      </c>
      <c r="C6922">
        <v>480</v>
      </c>
      <c r="D6922" s="9">
        <v>42745</v>
      </c>
      <c r="E6922" t="s">
        <v>295</v>
      </c>
      <c r="I6922" s="9"/>
    </row>
    <row r="6923" spans="1:9" x14ac:dyDescent="0.25">
      <c r="A6923">
        <v>664918</v>
      </c>
      <c r="B6923">
        <v>0.82</v>
      </c>
      <c r="C6923">
        <v>288</v>
      </c>
      <c r="D6923" s="9">
        <v>42334</v>
      </c>
      <c r="E6923" t="s">
        <v>295</v>
      </c>
      <c r="I6923" s="9"/>
    </row>
    <row r="6924" spans="1:9" x14ac:dyDescent="0.25">
      <c r="A6924">
        <v>664918</v>
      </c>
      <c r="B6924">
        <v>0.9</v>
      </c>
      <c r="C6924">
        <v>240</v>
      </c>
      <c r="D6924" s="9">
        <v>42188</v>
      </c>
      <c r="E6924" t="s">
        <v>295</v>
      </c>
      <c r="I6924" s="9"/>
    </row>
    <row r="6925" spans="1:9" x14ac:dyDescent="0.25">
      <c r="A6925">
        <v>664918</v>
      </c>
      <c r="B6925">
        <v>0.9</v>
      </c>
      <c r="C6925">
        <v>288</v>
      </c>
      <c r="D6925" s="9">
        <v>41844</v>
      </c>
      <c r="E6925" t="s">
        <v>295</v>
      </c>
      <c r="I6925" s="9"/>
    </row>
    <row r="6926" spans="1:9" x14ac:dyDescent="0.25">
      <c r="A6926">
        <v>664918</v>
      </c>
      <c r="B6926">
        <v>0.9</v>
      </c>
      <c r="C6926">
        <v>240</v>
      </c>
      <c r="D6926" s="9">
        <v>41774</v>
      </c>
      <c r="E6926" t="s">
        <v>295</v>
      </c>
      <c r="I6926" s="9"/>
    </row>
    <row r="6927" spans="1:9" x14ac:dyDescent="0.25">
      <c r="A6927">
        <v>664918</v>
      </c>
      <c r="B6927">
        <v>0.94</v>
      </c>
      <c r="C6927">
        <v>240</v>
      </c>
      <c r="D6927" s="9">
        <v>41717</v>
      </c>
      <c r="E6927" t="s">
        <v>295</v>
      </c>
      <c r="I6927" s="9"/>
    </row>
    <row r="6928" spans="1:9" x14ac:dyDescent="0.25">
      <c r="A6928">
        <v>664918</v>
      </c>
      <c r="B6928">
        <v>0</v>
      </c>
      <c r="C6928">
        <v>240</v>
      </c>
      <c r="D6928" s="9">
        <v>41654</v>
      </c>
      <c r="E6928" t="s">
        <v>295</v>
      </c>
      <c r="I6928" s="9"/>
    </row>
    <row r="6929" spans="1:9" x14ac:dyDescent="0.25">
      <c r="A6929">
        <v>664918</v>
      </c>
      <c r="B6929">
        <v>0</v>
      </c>
      <c r="C6929">
        <v>240</v>
      </c>
      <c r="D6929" s="9">
        <v>41646</v>
      </c>
      <c r="E6929" t="s">
        <v>295</v>
      </c>
      <c r="I6929" s="9"/>
    </row>
    <row r="6930" spans="1:9" x14ac:dyDescent="0.25">
      <c r="A6930">
        <v>664919</v>
      </c>
      <c r="B6930">
        <v>0.48</v>
      </c>
      <c r="C6930">
        <v>504</v>
      </c>
      <c r="D6930" s="9">
        <v>44019</v>
      </c>
      <c r="E6930" t="s">
        <v>295</v>
      </c>
      <c r="I6930" s="9"/>
    </row>
    <row r="6931" spans="1:9" x14ac:dyDescent="0.25">
      <c r="A6931">
        <v>664919</v>
      </c>
      <c r="B6931">
        <v>0.44</v>
      </c>
      <c r="C6931">
        <v>576</v>
      </c>
      <c r="D6931" s="9">
        <v>43542</v>
      </c>
      <c r="E6931" t="s">
        <v>295</v>
      </c>
      <c r="I6931" s="9"/>
    </row>
    <row r="6932" spans="1:9" x14ac:dyDescent="0.25">
      <c r="A6932">
        <v>664919</v>
      </c>
      <c r="B6932">
        <v>0.44</v>
      </c>
      <c r="C6932">
        <v>528</v>
      </c>
      <c r="D6932" s="9">
        <v>43209</v>
      </c>
      <c r="E6932" t="s">
        <v>295</v>
      </c>
      <c r="I6932" s="9"/>
    </row>
    <row r="6933" spans="1:9" x14ac:dyDescent="0.25">
      <c r="A6933">
        <v>664919</v>
      </c>
      <c r="B6933">
        <v>0.43</v>
      </c>
      <c r="C6933">
        <v>576</v>
      </c>
      <c r="D6933" s="9">
        <v>42891</v>
      </c>
      <c r="E6933" t="s">
        <v>295</v>
      </c>
      <c r="I6933" s="9"/>
    </row>
    <row r="6934" spans="1:9" x14ac:dyDescent="0.25">
      <c r="A6934">
        <v>664919</v>
      </c>
      <c r="B6934">
        <v>0.43</v>
      </c>
      <c r="C6934">
        <v>576</v>
      </c>
      <c r="D6934" s="9">
        <v>42872</v>
      </c>
      <c r="E6934" t="s">
        <v>295</v>
      </c>
      <c r="I6934" s="9"/>
    </row>
    <row r="6935" spans="1:9" x14ac:dyDescent="0.25">
      <c r="A6935">
        <v>664919</v>
      </c>
      <c r="B6935">
        <v>0.43</v>
      </c>
      <c r="C6935">
        <v>576</v>
      </c>
      <c r="D6935" s="9">
        <v>42818</v>
      </c>
      <c r="E6935" t="s">
        <v>295</v>
      </c>
      <c r="I6935" s="9"/>
    </row>
    <row r="6936" spans="1:9" x14ac:dyDescent="0.25">
      <c r="A6936">
        <v>664919</v>
      </c>
      <c r="B6936">
        <v>0.43</v>
      </c>
      <c r="C6936">
        <v>528</v>
      </c>
      <c r="D6936" s="9">
        <v>42780</v>
      </c>
      <c r="E6936" t="s">
        <v>295</v>
      </c>
      <c r="I6936" s="9"/>
    </row>
    <row r="6937" spans="1:9" x14ac:dyDescent="0.25">
      <c r="A6937">
        <v>664919</v>
      </c>
      <c r="B6937">
        <v>0.43</v>
      </c>
      <c r="C6937">
        <v>528</v>
      </c>
      <c r="D6937" s="9">
        <v>42558</v>
      </c>
      <c r="E6937" t="s">
        <v>295</v>
      </c>
      <c r="I6937" s="9"/>
    </row>
    <row r="6938" spans="1:9" x14ac:dyDescent="0.25">
      <c r="A6938">
        <v>664919</v>
      </c>
      <c r="B6938">
        <v>0.43</v>
      </c>
      <c r="C6938">
        <v>528</v>
      </c>
      <c r="D6938" s="9">
        <v>42334</v>
      </c>
      <c r="E6938" t="s">
        <v>295</v>
      </c>
      <c r="I6938" s="9"/>
    </row>
    <row r="6939" spans="1:9" x14ac:dyDescent="0.25">
      <c r="A6939">
        <v>664919</v>
      </c>
      <c r="B6939">
        <v>0.48</v>
      </c>
      <c r="C6939">
        <v>1296</v>
      </c>
      <c r="D6939" s="9">
        <v>41743</v>
      </c>
      <c r="E6939" t="s">
        <v>295</v>
      </c>
      <c r="I6939" s="9"/>
    </row>
    <row r="6940" spans="1:9" x14ac:dyDescent="0.25">
      <c r="A6940">
        <v>664919</v>
      </c>
      <c r="B6940">
        <v>0</v>
      </c>
      <c r="C6940">
        <v>1200</v>
      </c>
      <c r="D6940" s="9">
        <v>41731</v>
      </c>
      <c r="E6940" t="s">
        <v>295</v>
      </c>
      <c r="I6940" s="9"/>
    </row>
    <row r="6941" spans="1:9" x14ac:dyDescent="0.25">
      <c r="A6941">
        <v>664924</v>
      </c>
      <c r="B6941">
        <v>1.19</v>
      </c>
      <c r="C6941">
        <v>720</v>
      </c>
      <c r="D6941" s="9">
        <v>44019</v>
      </c>
      <c r="E6941" t="s">
        <v>295</v>
      </c>
      <c r="I6941" s="9"/>
    </row>
    <row r="6942" spans="1:9" x14ac:dyDescent="0.25">
      <c r="A6942">
        <v>664924</v>
      </c>
      <c r="B6942">
        <v>1.1399999999999999</v>
      </c>
      <c r="C6942">
        <v>540</v>
      </c>
      <c r="D6942" s="9">
        <v>43837</v>
      </c>
      <c r="E6942" t="s">
        <v>295</v>
      </c>
      <c r="I6942" s="9"/>
    </row>
    <row r="6943" spans="1:9" x14ac:dyDescent="0.25">
      <c r="A6943">
        <v>664924</v>
      </c>
      <c r="B6943">
        <v>1.1000000000000001</v>
      </c>
      <c r="C6943">
        <v>432</v>
      </c>
      <c r="D6943" s="9">
        <v>43494</v>
      </c>
      <c r="E6943" t="s">
        <v>295</v>
      </c>
      <c r="I6943" s="9"/>
    </row>
    <row r="6944" spans="1:9" x14ac:dyDescent="0.25">
      <c r="A6944">
        <v>664924</v>
      </c>
      <c r="B6944">
        <v>1.1000000000000001</v>
      </c>
      <c r="C6944">
        <v>432</v>
      </c>
      <c r="D6944" s="9">
        <v>43381</v>
      </c>
      <c r="E6944" t="s">
        <v>295</v>
      </c>
      <c r="I6944" s="9"/>
    </row>
    <row r="6945" spans="1:9" x14ac:dyDescent="0.25">
      <c r="A6945">
        <v>664924</v>
      </c>
      <c r="B6945">
        <v>1.08</v>
      </c>
      <c r="C6945">
        <v>432</v>
      </c>
      <c r="D6945" s="9">
        <v>43104</v>
      </c>
      <c r="E6945" t="s">
        <v>295</v>
      </c>
      <c r="I6945" s="9"/>
    </row>
    <row r="6946" spans="1:9" x14ac:dyDescent="0.25">
      <c r="A6946">
        <v>664924</v>
      </c>
      <c r="B6946">
        <v>1.08</v>
      </c>
      <c r="C6946">
        <v>648</v>
      </c>
      <c r="D6946" s="9">
        <v>43045</v>
      </c>
      <c r="E6946" t="s">
        <v>295</v>
      </c>
      <c r="I6946" s="9"/>
    </row>
    <row r="6947" spans="1:9" x14ac:dyDescent="0.25">
      <c r="A6947">
        <v>664924</v>
      </c>
      <c r="B6947">
        <v>1.08</v>
      </c>
      <c r="C6947">
        <v>432</v>
      </c>
      <c r="D6947" s="9">
        <v>43027</v>
      </c>
      <c r="E6947" t="s">
        <v>295</v>
      </c>
      <c r="I6947" s="9"/>
    </row>
    <row r="6948" spans="1:9" x14ac:dyDescent="0.25">
      <c r="A6948">
        <v>664924</v>
      </c>
      <c r="B6948">
        <v>1.08</v>
      </c>
      <c r="C6948">
        <v>360</v>
      </c>
      <c r="D6948" s="9">
        <v>42745</v>
      </c>
      <c r="E6948" t="s">
        <v>295</v>
      </c>
      <c r="I6948" s="9"/>
    </row>
    <row r="6949" spans="1:9" x14ac:dyDescent="0.25">
      <c r="A6949">
        <v>664924</v>
      </c>
      <c r="B6949">
        <v>1.08</v>
      </c>
      <c r="C6949">
        <v>396</v>
      </c>
      <c r="D6949" s="9">
        <v>42496</v>
      </c>
      <c r="E6949" t="s">
        <v>295</v>
      </c>
      <c r="I6949" s="9"/>
    </row>
    <row r="6950" spans="1:9" x14ac:dyDescent="0.25">
      <c r="A6950">
        <v>664924</v>
      </c>
      <c r="B6950">
        <v>1.08</v>
      </c>
      <c r="C6950">
        <v>396</v>
      </c>
      <c r="D6950" s="9">
        <v>42381</v>
      </c>
      <c r="E6950" t="s">
        <v>295</v>
      </c>
      <c r="I6950" s="9"/>
    </row>
    <row r="6951" spans="1:9" x14ac:dyDescent="0.25">
      <c r="A6951">
        <v>664924</v>
      </c>
      <c r="B6951">
        <v>1.08</v>
      </c>
      <c r="C6951">
        <v>360</v>
      </c>
      <c r="D6951" s="9">
        <v>42334</v>
      </c>
      <c r="E6951" t="s">
        <v>295</v>
      </c>
      <c r="I6951" s="9"/>
    </row>
    <row r="6952" spans="1:9" x14ac:dyDescent="0.25">
      <c r="A6952">
        <v>664924</v>
      </c>
      <c r="B6952">
        <v>1.08</v>
      </c>
      <c r="C6952">
        <v>396</v>
      </c>
      <c r="D6952" s="9">
        <v>42254</v>
      </c>
      <c r="E6952" t="s">
        <v>295</v>
      </c>
      <c r="I6952" s="9"/>
    </row>
    <row r="6953" spans="1:9" x14ac:dyDescent="0.25">
      <c r="A6953">
        <v>664924</v>
      </c>
      <c r="B6953">
        <v>1.08</v>
      </c>
      <c r="C6953">
        <v>396</v>
      </c>
      <c r="D6953" s="9">
        <v>42178</v>
      </c>
      <c r="E6953" t="s">
        <v>295</v>
      </c>
      <c r="I6953" s="9"/>
    </row>
    <row r="6954" spans="1:9" x14ac:dyDescent="0.25">
      <c r="A6954">
        <v>664924</v>
      </c>
      <c r="B6954">
        <v>1.08</v>
      </c>
      <c r="C6954">
        <v>360</v>
      </c>
      <c r="D6954" s="9">
        <v>42174</v>
      </c>
      <c r="E6954" t="s">
        <v>295</v>
      </c>
      <c r="I6954" s="9"/>
    </row>
    <row r="6955" spans="1:9" x14ac:dyDescent="0.25">
      <c r="A6955">
        <v>664924</v>
      </c>
      <c r="B6955">
        <v>1.08</v>
      </c>
      <c r="C6955">
        <v>396</v>
      </c>
      <c r="D6955" s="9">
        <v>41948</v>
      </c>
      <c r="E6955" t="s">
        <v>295</v>
      </c>
      <c r="I6955" s="9"/>
    </row>
    <row r="6956" spans="1:9" x14ac:dyDescent="0.25">
      <c r="A6956">
        <v>664924</v>
      </c>
      <c r="B6956">
        <v>1.08</v>
      </c>
      <c r="C6956">
        <v>360</v>
      </c>
      <c r="D6956" s="9">
        <v>41925</v>
      </c>
      <c r="E6956" t="s">
        <v>295</v>
      </c>
      <c r="I6956" s="9"/>
    </row>
    <row r="6957" spans="1:9" x14ac:dyDescent="0.25">
      <c r="A6957">
        <v>664924</v>
      </c>
      <c r="B6957">
        <v>1.19</v>
      </c>
      <c r="C6957">
        <v>396</v>
      </c>
      <c r="D6957" s="9">
        <v>41911</v>
      </c>
      <c r="E6957" t="s">
        <v>295</v>
      </c>
      <c r="I6957" s="9"/>
    </row>
    <row r="6958" spans="1:9" x14ac:dyDescent="0.25">
      <c r="A6958">
        <v>664924</v>
      </c>
      <c r="B6958">
        <v>1.19</v>
      </c>
      <c r="C6958">
        <v>396</v>
      </c>
      <c r="D6958" s="9">
        <v>41844</v>
      </c>
      <c r="E6958" t="s">
        <v>295</v>
      </c>
      <c r="I6958" s="9"/>
    </row>
    <row r="6959" spans="1:9" x14ac:dyDescent="0.25">
      <c r="A6959">
        <v>664924</v>
      </c>
      <c r="B6959">
        <v>1.24</v>
      </c>
      <c r="C6959">
        <v>396</v>
      </c>
      <c r="D6959" s="9">
        <v>41646</v>
      </c>
      <c r="E6959" t="s">
        <v>295</v>
      </c>
      <c r="I6959" s="9"/>
    </row>
    <row r="6960" spans="1:9" x14ac:dyDescent="0.25">
      <c r="A6960">
        <v>664925</v>
      </c>
      <c r="B6960">
        <v>0.57999999999999996</v>
      </c>
      <c r="C6960">
        <v>3240</v>
      </c>
      <c r="D6960" s="9">
        <v>43648</v>
      </c>
      <c r="E6960" t="s">
        <v>295</v>
      </c>
      <c r="I6960" s="9"/>
    </row>
    <row r="6961" spans="1:9" x14ac:dyDescent="0.25">
      <c r="A6961">
        <v>664925</v>
      </c>
      <c r="B6961">
        <v>0.57999999999999996</v>
      </c>
      <c r="C6961">
        <v>6444</v>
      </c>
      <c r="D6961" s="9">
        <v>43542</v>
      </c>
      <c r="E6961" t="s">
        <v>295</v>
      </c>
      <c r="I6961" s="9"/>
    </row>
    <row r="6962" spans="1:9" x14ac:dyDescent="0.25">
      <c r="A6962">
        <v>664925</v>
      </c>
      <c r="B6962">
        <v>0.57999999999999996</v>
      </c>
      <c r="C6962">
        <v>6480</v>
      </c>
      <c r="D6962" s="9">
        <v>43494</v>
      </c>
      <c r="E6962" t="s">
        <v>295</v>
      </c>
      <c r="I6962" s="9"/>
    </row>
    <row r="6963" spans="1:9" x14ac:dyDescent="0.25">
      <c r="A6963">
        <v>664925</v>
      </c>
      <c r="B6963">
        <v>0.57999999999999996</v>
      </c>
      <c r="C6963">
        <v>4284</v>
      </c>
      <c r="D6963" s="9">
        <v>43431</v>
      </c>
      <c r="E6963" t="s">
        <v>295</v>
      </c>
      <c r="I6963" s="9"/>
    </row>
    <row r="6964" spans="1:9" x14ac:dyDescent="0.25">
      <c r="A6964">
        <v>664925</v>
      </c>
      <c r="B6964">
        <v>0.57999999999999996</v>
      </c>
      <c r="C6964">
        <v>1440</v>
      </c>
      <c r="D6964" s="9">
        <v>43381</v>
      </c>
      <c r="E6964" t="s">
        <v>295</v>
      </c>
      <c r="I6964" s="9"/>
    </row>
    <row r="6965" spans="1:9" x14ac:dyDescent="0.25">
      <c r="A6965">
        <v>664925</v>
      </c>
      <c r="B6965">
        <v>0.57999999999999996</v>
      </c>
      <c r="C6965">
        <v>4320</v>
      </c>
      <c r="D6965" s="9">
        <v>43294</v>
      </c>
      <c r="E6965" t="s">
        <v>295</v>
      </c>
      <c r="I6965" s="9"/>
    </row>
    <row r="6966" spans="1:9" x14ac:dyDescent="0.25">
      <c r="A6966">
        <v>664925</v>
      </c>
      <c r="B6966">
        <v>0.57999999999999996</v>
      </c>
      <c r="C6966">
        <v>2160</v>
      </c>
      <c r="D6966" s="9">
        <v>43285</v>
      </c>
      <c r="E6966" t="s">
        <v>295</v>
      </c>
      <c r="I6966" s="9"/>
    </row>
    <row r="6967" spans="1:9" x14ac:dyDescent="0.25">
      <c r="A6967">
        <v>664925</v>
      </c>
      <c r="B6967">
        <v>0.57999999999999996</v>
      </c>
      <c r="C6967">
        <v>6480</v>
      </c>
      <c r="D6967" s="9">
        <v>43255</v>
      </c>
      <c r="E6967" t="s">
        <v>295</v>
      </c>
      <c r="I6967" s="9"/>
    </row>
    <row r="6968" spans="1:9" x14ac:dyDescent="0.25">
      <c r="A6968">
        <v>664925</v>
      </c>
      <c r="B6968">
        <v>0.57999999999999996</v>
      </c>
      <c r="C6968">
        <v>756</v>
      </c>
      <c r="D6968" s="9">
        <v>43209</v>
      </c>
      <c r="E6968" t="s">
        <v>295</v>
      </c>
      <c r="I6968" s="9"/>
    </row>
    <row r="6969" spans="1:9" x14ac:dyDescent="0.25">
      <c r="A6969">
        <v>664925</v>
      </c>
      <c r="B6969">
        <v>0.56000000000000005</v>
      </c>
      <c r="C6969">
        <v>1116</v>
      </c>
      <c r="D6969" s="9">
        <v>43187</v>
      </c>
      <c r="E6969" t="s">
        <v>295</v>
      </c>
      <c r="I6969" s="9"/>
    </row>
    <row r="6970" spans="1:9" x14ac:dyDescent="0.25">
      <c r="A6970">
        <v>664925</v>
      </c>
      <c r="B6970">
        <v>0.56000000000000005</v>
      </c>
      <c r="C6970">
        <v>756</v>
      </c>
      <c r="D6970" s="9">
        <v>43104</v>
      </c>
      <c r="E6970" t="s">
        <v>295</v>
      </c>
      <c r="I6970" s="9"/>
    </row>
    <row r="6971" spans="1:9" x14ac:dyDescent="0.25">
      <c r="A6971">
        <v>664925</v>
      </c>
      <c r="B6971">
        <v>0.56000000000000005</v>
      </c>
      <c r="C6971">
        <v>756</v>
      </c>
      <c r="D6971" s="9">
        <v>43027</v>
      </c>
      <c r="E6971" t="s">
        <v>295</v>
      </c>
      <c r="I6971" s="9"/>
    </row>
    <row r="6972" spans="1:9" x14ac:dyDescent="0.25">
      <c r="A6972">
        <v>664925</v>
      </c>
      <c r="B6972">
        <v>0.56000000000000005</v>
      </c>
      <c r="C6972">
        <v>756</v>
      </c>
      <c r="D6972" s="9">
        <v>42872</v>
      </c>
      <c r="E6972" t="s">
        <v>295</v>
      </c>
      <c r="I6972" s="9"/>
    </row>
    <row r="6973" spans="1:9" x14ac:dyDescent="0.25">
      <c r="A6973">
        <v>664925</v>
      </c>
      <c r="B6973">
        <v>0.56000000000000005</v>
      </c>
      <c r="C6973">
        <v>720</v>
      </c>
      <c r="D6973" s="9">
        <v>42836</v>
      </c>
      <c r="E6973" t="s">
        <v>295</v>
      </c>
      <c r="I6973" s="9"/>
    </row>
    <row r="6974" spans="1:9" x14ac:dyDescent="0.25">
      <c r="A6974">
        <v>664925</v>
      </c>
      <c r="B6974">
        <v>0.56000000000000005</v>
      </c>
      <c r="C6974">
        <v>756</v>
      </c>
      <c r="D6974" s="9">
        <v>42818</v>
      </c>
      <c r="E6974" t="s">
        <v>295</v>
      </c>
      <c r="I6974" s="9"/>
    </row>
    <row r="6975" spans="1:9" x14ac:dyDescent="0.25">
      <c r="A6975">
        <v>664925</v>
      </c>
      <c r="B6975">
        <v>0.56000000000000005</v>
      </c>
      <c r="C6975">
        <v>540</v>
      </c>
      <c r="D6975" s="9">
        <v>42780</v>
      </c>
      <c r="E6975" t="s">
        <v>295</v>
      </c>
      <c r="I6975" s="9"/>
    </row>
    <row r="6976" spans="1:9" x14ac:dyDescent="0.25">
      <c r="A6976">
        <v>664925</v>
      </c>
      <c r="B6976">
        <v>0.56000000000000005</v>
      </c>
      <c r="C6976">
        <v>540</v>
      </c>
      <c r="D6976" s="9">
        <v>42502</v>
      </c>
      <c r="E6976" t="s">
        <v>295</v>
      </c>
      <c r="I6976" s="9"/>
    </row>
    <row r="6977" spans="1:9" x14ac:dyDescent="0.25">
      <c r="A6977">
        <v>664925</v>
      </c>
      <c r="B6977">
        <v>0.56000000000000005</v>
      </c>
      <c r="C6977">
        <v>1080</v>
      </c>
      <c r="D6977" s="9">
        <v>42496</v>
      </c>
      <c r="E6977" t="s">
        <v>295</v>
      </c>
      <c r="I6977" s="9"/>
    </row>
    <row r="6978" spans="1:9" x14ac:dyDescent="0.25">
      <c r="A6978">
        <v>664925</v>
      </c>
      <c r="B6978">
        <v>0.56000000000000005</v>
      </c>
      <c r="C6978">
        <v>1800</v>
      </c>
      <c r="D6978" s="9">
        <v>42334</v>
      </c>
      <c r="E6978" t="s">
        <v>295</v>
      </c>
      <c r="I6978" s="9"/>
    </row>
    <row r="6979" spans="1:9" x14ac:dyDescent="0.25">
      <c r="A6979">
        <v>664925</v>
      </c>
      <c r="B6979">
        <v>0.56000000000000005</v>
      </c>
      <c r="C6979">
        <v>2160</v>
      </c>
      <c r="D6979" s="9">
        <v>42188</v>
      </c>
      <c r="E6979" t="s">
        <v>295</v>
      </c>
      <c r="I6979" s="9"/>
    </row>
    <row r="6980" spans="1:9" x14ac:dyDescent="0.25">
      <c r="A6980">
        <v>664925</v>
      </c>
      <c r="B6980">
        <v>0.56000000000000005</v>
      </c>
      <c r="C6980">
        <v>1836</v>
      </c>
      <c r="D6980" s="9">
        <v>42145</v>
      </c>
      <c r="E6980" t="s">
        <v>295</v>
      </c>
      <c r="I6980" s="9"/>
    </row>
    <row r="6981" spans="1:9" x14ac:dyDescent="0.25">
      <c r="A6981">
        <v>664925</v>
      </c>
      <c r="B6981">
        <v>0.56000000000000005</v>
      </c>
      <c r="C6981">
        <v>2196</v>
      </c>
      <c r="D6981" s="9">
        <v>42060</v>
      </c>
      <c r="E6981" t="s">
        <v>295</v>
      </c>
      <c r="I6981" s="9"/>
    </row>
    <row r="6982" spans="1:9" x14ac:dyDescent="0.25">
      <c r="A6982">
        <v>664925</v>
      </c>
      <c r="B6982">
        <v>0.56000000000000005</v>
      </c>
      <c r="C6982">
        <v>2196</v>
      </c>
      <c r="D6982" s="9">
        <v>41925</v>
      </c>
      <c r="E6982" t="s">
        <v>295</v>
      </c>
      <c r="I6982" s="9"/>
    </row>
    <row r="6983" spans="1:9" x14ac:dyDescent="0.25">
      <c r="A6983">
        <v>664925</v>
      </c>
      <c r="B6983">
        <v>0.61</v>
      </c>
      <c r="C6983">
        <v>2196</v>
      </c>
      <c r="D6983" s="9">
        <v>41820</v>
      </c>
      <c r="E6983" t="s">
        <v>295</v>
      </c>
      <c r="I6983" s="9"/>
    </row>
    <row r="6984" spans="1:9" x14ac:dyDescent="0.25">
      <c r="A6984">
        <v>664925</v>
      </c>
      <c r="B6984">
        <v>0.61</v>
      </c>
      <c r="C6984">
        <v>2160</v>
      </c>
      <c r="D6984" s="9">
        <v>41807</v>
      </c>
      <c r="E6984" t="s">
        <v>295</v>
      </c>
      <c r="I6984" s="9"/>
    </row>
    <row r="6985" spans="1:9" x14ac:dyDescent="0.25">
      <c r="A6985">
        <v>664925</v>
      </c>
      <c r="B6985">
        <v>0.61</v>
      </c>
      <c r="C6985">
        <v>2268</v>
      </c>
      <c r="D6985" s="9">
        <v>41793</v>
      </c>
      <c r="E6985" t="s">
        <v>295</v>
      </c>
      <c r="I6985" s="9"/>
    </row>
    <row r="6986" spans="1:9" x14ac:dyDescent="0.25">
      <c r="A6986">
        <v>664925</v>
      </c>
      <c r="B6986">
        <v>0.63</v>
      </c>
      <c r="C6986">
        <v>2196</v>
      </c>
      <c r="D6986" s="9">
        <v>41731</v>
      </c>
      <c r="E6986" t="s">
        <v>295</v>
      </c>
      <c r="I6986" s="9"/>
    </row>
    <row r="6987" spans="1:9" x14ac:dyDescent="0.25">
      <c r="A6987">
        <v>664925</v>
      </c>
      <c r="B6987">
        <v>0.63</v>
      </c>
      <c r="C6987">
        <v>2160</v>
      </c>
      <c r="D6987" s="9">
        <v>41663</v>
      </c>
      <c r="E6987" t="s">
        <v>295</v>
      </c>
      <c r="I6987" s="9"/>
    </row>
    <row r="6988" spans="1:9" x14ac:dyDescent="0.25">
      <c r="A6988">
        <v>664925</v>
      </c>
      <c r="B6988">
        <v>0.66</v>
      </c>
      <c r="C6988">
        <v>2160</v>
      </c>
      <c r="D6988" s="9">
        <v>41558</v>
      </c>
      <c r="E6988" t="s">
        <v>295</v>
      </c>
      <c r="I6988" s="9"/>
    </row>
    <row r="6989" spans="1:9" x14ac:dyDescent="0.25">
      <c r="A6989">
        <v>664937</v>
      </c>
      <c r="B6989">
        <v>1.73</v>
      </c>
      <c r="C6989">
        <v>480</v>
      </c>
      <c r="D6989" s="9">
        <v>44089</v>
      </c>
      <c r="E6989" t="s">
        <v>295</v>
      </c>
      <c r="I6989" s="9"/>
    </row>
    <row r="6990" spans="1:9" x14ac:dyDescent="0.25">
      <c r="A6990">
        <v>664937</v>
      </c>
      <c r="B6990">
        <v>1.73</v>
      </c>
      <c r="C6990">
        <v>480</v>
      </c>
      <c r="D6990" s="9">
        <v>43837</v>
      </c>
      <c r="E6990" t="s">
        <v>295</v>
      </c>
      <c r="I6990" s="9"/>
    </row>
    <row r="6991" spans="1:9" x14ac:dyDescent="0.25">
      <c r="A6991">
        <v>664937</v>
      </c>
      <c r="B6991">
        <v>1.63</v>
      </c>
      <c r="C6991">
        <v>624</v>
      </c>
      <c r="D6991" s="9">
        <v>43104</v>
      </c>
      <c r="E6991" t="s">
        <v>295</v>
      </c>
      <c r="I6991" s="9"/>
    </row>
    <row r="6992" spans="1:9" x14ac:dyDescent="0.25">
      <c r="A6992">
        <v>664937</v>
      </c>
      <c r="B6992">
        <v>1.63</v>
      </c>
      <c r="C6992">
        <v>816</v>
      </c>
      <c r="D6992" s="9">
        <v>43045</v>
      </c>
      <c r="E6992" t="s">
        <v>295</v>
      </c>
      <c r="I6992" s="9"/>
    </row>
    <row r="6993" spans="1:9" x14ac:dyDescent="0.25">
      <c r="A6993">
        <v>664937</v>
      </c>
      <c r="B6993">
        <v>1.63</v>
      </c>
      <c r="C6993">
        <v>768</v>
      </c>
      <c r="D6993" s="9">
        <v>43027</v>
      </c>
      <c r="E6993" t="s">
        <v>295</v>
      </c>
      <c r="I6993" s="9"/>
    </row>
    <row r="6994" spans="1:9" x14ac:dyDescent="0.25">
      <c r="A6994">
        <v>664937</v>
      </c>
      <c r="B6994">
        <v>1.63</v>
      </c>
      <c r="C6994">
        <v>528</v>
      </c>
      <c r="D6994" s="9">
        <v>42891</v>
      </c>
      <c r="E6994" t="s">
        <v>295</v>
      </c>
      <c r="I6994" s="9"/>
    </row>
    <row r="6995" spans="1:9" x14ac:dyDescent="0.25">
      <c r="A6995">
        <v>664937</v>
      </c>
      <c r="B6995">
        <v>1.63</v>
      </c>
      <c r="C6995">
        <v>480</v>
      </c>
      <c r="D6995" s="9">
        <v>42836</v>
      </c>
      <c r="E6995" t="s">
        <v>295</v>
      </c>
      <c r="I6995" s="9"/>
    </row>
    <row r="6996" spans="1:9" x14ac:dyDescent="0.25">
      <c r="A6996">
        <v>664937</v>
      </c>
      <c r="B6996">
        <v>1.63</v>
      </c>
      <c r="C6996">
        <v>648</v>
      </c>
      <c r="D6996" s="9">
        <v>42619</v>
      </c>
      <c r="E6996" t="s">
        <v>295</v>
      </c>
      <c r="I6996" s="9"/>
    </row>
    <row r="6997" spans="1:9" x14ac:dyDescent="0.25">
      <c r="A6997">
        <v>664937</v>
      </c>
      <c r="B6997">
        <v>1.63</v>
      </c>
      <c r="C6997">
        <v>240</v>
      </c>
      <c r="D6997" s="9">
        <v>42502</v>
      </c>
      <c r="E6997" t="s">
        <v>295</v>
      </c>
      <c r="I6997" s="9"/>
    </row>
    <row r="6998" spans="1:9" x14ac:dyDescent="0.25">
      <c r="A6998">
        <v>664937</v>
      </c>
      <c r="B6998">
        <v>1.63</v>
      </c>
      <c r="C6998">
        <v>960</v>
      </c>
      <c r="D6998" s="9">
        <v>42496</v>
      </c>
      <c r="E6998" t="s">
        <v>295</v>
      </c>
      <c r="I6998" s="9"/>
    </row>
    <row r="6999" spans="1:9" x14ac:dyDescent="0.25">
      <c r="A6999">
        <v>664937</v>
      </c>
      <c r="B6999">
        <v>1.63</v>
      </c>
      <c r="C6999">
        <v>360</v>
      </c>
      <c r="D6999" s="9">
        <v>42334</v>
      </c>
      <c r="E6999" t="s">
        <v>295</v>
      </c>
      <c r="I6999" s="9"/>
    </row>
    <row r="7000" spans="1:9" x14ac:dyDescent="0.25">
      <c r="A7000">
        <v>664937</v>
      </c>
      <c r="B7000">
        <v>1.63</v>
      </c>
      <c r="C7000">
        <v>360</v>
      </c>
      <c r="D7000" s="9">
        <v>42254</v>
      </c>
      <c r="E7000" t="s">
        <v>295</v>
      </c>
      <c r="I7000" s="9"/>
    </row>
    <row r="7001" spans="1:9" x14ac:dyDescent="0.25">
      <c r="A7001">
        <v>664937</v>
      </c>
      <c r="B7001">
        <v>1.63</v>
      </c>
      <c r="C7001">
        <v>360</v>
      </c>
      <c r="D7001" s="9">
        <v>42145</v>
      </c>
      <c r="E7001" t="s">
        <v>295</v>
      </c>
      <c r="I7001" s="9"/>
    </row>
    <row r="7002" spans="1:9" x14ac:dyDescent="0.25">
      <c r="A7002">
        <v>664937</v>
      </c>
      <c r="B7002">
        <v>1.63</v>
      </c>
      <c r="C7002">
        <v>240</v>
      </c>
      <c r="D7002" s="9">
        <v>42128</v>
      </c>
      <c r="E7002" t="s">
        <v>295</v>
      </c>
      <c r="I7002" s="9"/>
    </row>
    <row r="7003" spans="1:9" x14ac:dyDescent="0.25">
      <c r="A7003">
        <v>664937</v>
      </c>
      <c r="B7003">
        <v>1.63</v>
      </c>
      <c r="C7003">
        <v>600</v>
      </c>
      <c r="D7003" s="9">
        <v>41960</v>
      </c>
      <c r="E7003" t="s">
        <v>295</v>
      </c>
      <c r="I7003" s="9"/>
    </row>
    <row r="7004" spans="1:9" x14ac:dyDescent="0.25">
      <c r="A7004">
        <v>664937</v>
      </c>
      <c r="B7004">
        <v>1.63</v>
      </c>
      <c r="C7004">
        <v>360</v>
      </c>
      <c r="D7004" s="9">
        <v>41948</v>
      </c>
      <c r="E7004" t="s">
        <v>295</v>
      </c>
      <c r="I7004" s="9"/>
    </row>
    <row r="7005" spans="1:9" x14ac:dyDescent="0.25">
      <c r="A7005">
        <v>664937</v>
      </c>
      <c r="B7005">
        <v>1.63</v>
      </c>
      <c r="C7005">
        <v>240</v>
      </c>
      <c r="D7005" s="9">
        <v>41906</v>
      </c>
      <c r="E7005" t="s">
        <v>295</v>
      </c>
      <c r="I7005" s="9"/>
    </row>
    <row r="7006" spans="1:9" x14ac:dyDescent="0.25">
      <c r="A7006">
        <v>664937</v>
      </c>
      <c r="B7006">
        <v>1.81</v>
      </c>
      <c r="C7006">
        <v>240</v>
      </c>
      <c r="D7006" s="9">
        <v>41844</v>
      </c>
      <c r="E7006" t="s">
        <v>295</v>
      </c>
      <c r="I7006" s="9"/>
    </row>
    <row r="7007" spans="1:9" x14ac:dyDescent="0.25">
      <c r="A7007">
        <v>664937</v>
      </c>
      <c r="B7007">
        <v>1.81</v>
      </c>
      <c r="C7007">
        <v>240</v>
      </c>
      <c r="D7007" s="9">
        <v>41774</v>
      </c>
      <c r="E7007" t="s">
        <v>295</v>
      </c>
      <c r="I7007" s="9"/>
    </row>
    <row r="7008" spans="1:9" x14ac:dyDescent="0.25">
      <c r="A7008">
        <v>664937</v>
      </c>
      <c r="B7008">
        <v>1.88</v>
      </c>
      <c r="C7008">
        <v>240</v>
      </c>
      <c r="D7008" s="9">
        <v>41646</v>
      </c>
      <c r="E7008" t="s">
        <v>295</v>
      </c>
      <c r="I7008" s="9"/>
    </row>
    <row r="7009" spans="1:9" x14ac:dyDescent="0.25">
      <c r="A7009">
        <v>664938</v>
      </c>
      <c r="B7009">
        <v>0.95</v>
      </c>
      <c r="C7009">
        <v>768</v>
      </c>
      <c r="D7009" s="9">
        <v>44019</v>
      </c>
      <c r="E7009" t="s">
        <v>295</v>
      </c>
      <c r="I7009" s="9"/>
    </row>
    <row r="7010" spans="1:9" x14ac:dyDescent="0.25">
      <c r="A7010">
        <v>664938</v>
      </c>
      <c r="B7010">
        <v>0.9</v>
      </c>
      <c r="C7010">
        <v>768</v>
      </c>
      <c r="D7010" s="9">
        <v>43837</v>
      </c>
      <c r="E7010" t="s">
        <v>295</v>
      </c>
      <c r="I7010" s="9"/>
    </row>
    <row r="7011" spans="1:9" x14ac:dyDescent="0.25">
      <c r="A7011">
        <v>664938</v>
      </c>
      <c r="B7011">
        <v>0.87</v>
      </c>
      <c r="C7011">
        <v>744</v>
      </c>
      <c r="D7011" s="9">
        <v>43530</v>
      </c>
      <c r="E7011" t="s">
        <v>295</v>
      </c>
      <c r="I7011" s="9"/>
    </row>
    <row r="7012" spans="1:9" x14ac:dyDescent="0.25">
      <c r="A7012">
        <v>664938</v>
      </c>
      <c r="B7012">
        <v>0.87</v>
      </c>
      <c r="C7012">
        <v>744</v>
      </c>
      <c r="D7012" s="9">
        <v>43209</v>
      </c>
      <c r="E7012" t="s">
        <v>295</v>
      </c>
      <c r="I7012" s="9"/>
    </row>
    <row r="7013" spans="1:9" x14ac:dyDescent="0.25">
      <c r="A7013">
        <v>664938</v>
      </c>
      <c r="B7013">
        <v>0.86</v>
      </c>
      <c r="C7013">
        <v>696</v>
      </c>
      <c r="D7013" s="9">
        <v>43187</v>
      </c>
      <c r="E7013" t="s">
        <v>295</v>
      </c>
      <c r="I7013" s="9"/>
    </row>
    <row r="7014" spans="1:9" x14ac:dyDescent="0.25">
      <c r="A7014">
        <v>664938</v>
      </c>
      <c r="B7014">
        <v>0.86</v>
      </c>
      <c r="C7014">
        <v>624</v>
      </c>
      <c r="D7014" s="9">
        <v>43104</v>
      </c>
      <c r="E7014" t="s">
        <v>295</v>
      </c>
      <c r="I7014" s="9"/>
    </row>
    <row r="7015" spans="1:9" x14ac:dyDescent="0.25">
      <c r="A7015">
        <v>664938</v>
      </c>
      <c r="B7015">
        <v>0.86</v>
      </c>
      <c r="C7015">
        <v>672</v>
      </c>
      <c r="D7015" s="9">
        <v>43045</v>
      </c>
      <c r="E7015" t="s">
        <v>295</v>
      </c>
      <c r="I7015" s="9"/>
    </row>
    <row r="7016" spans="1:9" x14ac:dyDescent="0.25">
      <c r="A7016">
        <v>664938</v>
      </c>
      <c r="B7016">
        <v>0.86</v>
      </c>
      <c r="C7016">
        <v>600</v>
      </c>
      <c r="D7016" s="9">
        <v>42836</v>
      </c>
      <c r="E7016" t="s">
        <v>295</v>
      </c>
      <c r="I7016" s="9"/>
    </row>
    <row r="7017" spans="1:9" x14ac:dyDescent="0.25">
      <c r="A7017">
        <v>664938</v>
      </c>
      <c r="B7017">
        <v>0.86</v>
      </c>
      <c r="C7017">
        <v>624</v>
      </c>
      <c r="D7017" s="9">
        <v>42818</v>
      </c>
      <c r="E7017" t="s">
        <v>295</v>
      </c>
      <c r="I7017" s="9"/>
    </row>
    <row r="7018" spans="1:9" x14ac:dyDescent="0.25">
      <c r="A7018">
        <v>664938</v>
      </c>
      <c r="B7018">
        <v>0.86</v>
      </c>
      <c r="C7018">
        <v>600</v>
      </c>
      <c r="D7018" s="9">
        <v>42754</v>
      </c>
      <c r="E7018" t="s">
        <v>295</v>
      </c>
      <c r="I7018" s="9"/>
    </row>
    <row r="7019" spans="1:9" x14ac:dyDescent="0.25">
      <c r="A7019">
        <v>664938</v>
      </c>
      <c r="B7019">
        <v>0.86</v>
      </c>
      <c r="C7019">
        <v>480</v>
      </c>
      <c r="D7019" s="9">
        <v>42745</v>
      </c>
      <c r="E7019" t="s">
        <v>295</v>
      </c>
      <c r="I7019" s="9"/>
    </row>
    <row r="7020" spans="1:9" x14ac:dyDescent="0.25">
      <c r="A7020">
        <v>664938</v>
      </c>
      <c r="B7020">
        <v>0.86</v>
      </c>
      <c r="C7020">
        <v>936</v>
      </c>
      <c r="D7020" s="9">
        <v>42563</v>
      </c>
      <c r="E7020" t="s">
        <v>295</v>
      </c>
      <c r="I7020" s="9"/>
    </row>
    <row r="7021" spans="1:9" x14ac:dyDescent="0.25">
      <c r="A7021">
        <v>664938</v>
      </c>
      <c r="B7021">
        <v>0.86</v>
      </c>
      <c r="C7021">
        <v>936</v>
      </c>
      <c r="D7021" s="9">
        <v>42558</v>
      </c>
      <c r="E7021" t="s">
        <v>295</v>
      </c>
      <c r="I7021" s="9"/>
    </row>
    <row r="7022" spans="1:9" x14ac:dyDescent="0.25">
      <c r="A7022">
        <v>664938</v>
      </c>
      <c r="B7022">
        <v>0.86</v>
      </c>
      <c r="C7022">
        <v>360</v>
      </c>
      <c r="D7022" s="9">
        <v>42502</v>
      </c>
      <c r="E7022" t="s">
        <v>295</v>
      </c>
      <c r="I7022" s="9"/>
    </row>
    <row r="7023" spans="1:9" x14ac:dyDescent="0.25">
      <c r="A7023">
        <v>664938</v>
      </c>
      <c r="B7023">
        <v>0.86</v>
      </c>
      <c r="C7023">
        <v>936</v>
      </c>
      <c r="D7023" s="9">
        <v>42496</v>
      </c>
      <c r="E7023" t="s">
        <v>295</v>
      </c>
      <c r="I7023" s="9"/>
    </row>
    <row r="7024" spans="1:9" x14ac:dyDescent="0.25">
      <c r="A7024">
        <v>664938</v>
      </c>
      <c r="B7024">
        <v>0.86</v>
      </c>
      <c r="C7024">
        <v>2160</v>
      </c>
      <c r="D7024" s="9">
        <v>42188</v>
      </c>
      <c r="E7024" t="s">
        <v>295</v>
      </c>
      <c r="I7024" s="9"/>
    </row>
    <row r="7025" spans="1:9" x14ac:dyDescent="0.25">
      <c r="A7025">
        <v>664938</v>
      </c>
      <c r="B7025">
        <v>0.86</v>
      </c>
      <c r="C7025">
        <v>2160</v>
      </c>
      <c r="D7025" s="9">
        <v>42128</v>
      </c>
      <c r="E7025" t="s">
        <v>295</v>
      </c>
      <c r="I7025" s="9"/>
    </row>
    <row r="7026" spans="1:9" x14ac:dyDescent="0.25">
      <c r="A7026">
        <v>664938</v>
      </c>
      <c r="B7026">
        <v>0</v>
      </c>
      <c r="C7026">
        <v>2088</v>
      </c>
      <c r="D7026" s="9">
        <v>42081</v>
      </c>
      <c r="E7026" t="s">
        <v>295</v>
      </c>
      <c r="I7026" s="9"/>
    </row>
    <row r="7027" spans="1:9" x14ac:dyDescent="0.25">
      <c r="A7027">
        <v>664938</v>
      </c>
      <c r="B7027">
        <v>0.86</v>
      </c>
      <c r="C7027">
        <v>2112</v>
      </c>
      <c r="D7027" s="9">
        <v>41948</v>
      </c>
      <c r="E7027" t="s">
        <v>295</v>
      </c>
      <c r="I7027" s="9"/>
    </row>
    <row r="7028" spans="1:9" x14ac:dyDescent="0.25">
      <c r="A7028">
        <v>664938</v>
      </c>
      <c r="B7028">
        <v>0.86</v>
      </c>
      <c r="C7028">
        <v>2088</v>
      </c>
      <c r="D7028" s="9">
        <v>41906</v>
      </c>
      <c r="E7028" t="s">
        <v>295</v>
      </c>
      <c r="I7028" s="9"/>
    </row>
    <row r="7029" spans="1:9" x14ac:dyDescent="0.25">
      <c r="A7029">
        <v>664938</v>
      </c>
      <c r="B7029">
        <v>0.93</v>
      </c>
      <c r="C7029">
        <v>2160</v>
      </c>
      <c r="D7029" s="9">
        <v>41807</v>
      </c>
      <c r="E7029" t="s">
        <v>295</v>
      </c>
      <c r="I7029" s="9"/>
    </row>
    <row r="7030" spans="1:9" x14ac:dyDescent="0.25">
      <c r="A7030">
        <v>664938</v>
      </c>
      <c r="B7030">
        <v>0.93</v>
      </c>
      <c r="C7030">
        <v>1896</v>
      </c>
      <c r="D7030" s="9">
        <v>41793</v>
      </c>
      <c r="E7030" t="s">
        <v>295</v>
      </c>
      <c r="I7030" s="9"/>
    </row>
    <row r="7031" spans="1:9" x14ac:dyDescent="0.25">
      <c r="A7031">
        <v>664938</v>
      </c>
      <c r="B7031">
        <v>0.96</v>
      </c>
      <c r="C7031">
        <v>1920</v>
      </c>
      <c r="D7031" s="9">
        <v>41731</v>
      </c>
      <c r="E7031" t="s">
        <v>295</v>
      </c>
      <c r="I7031" s="9"/>
    </row>
    <row r="7032" spans="1:9" x14ac:dyDescent="0.25">
      <c r="A7032">
        <v>664938</v>
      </c>
      <c r="B7032">
        <v>0.96</v>
      </c>
      <c r="C7032">
        <v>1992</v>
      </c>
      <c r="D7032" s="9">
        <v>41663</v>
      </c>
      <c r="E7032" t="s">
        <v>295</v>
      </c>
      <c r="I7032" s="9"/>
    </row>
    <row r="7033" spans="1:9" x14ac:dyDescent="0.25">
      <c r="A7033">
        <v>664938</v>
      </c>
      <c r="B7033">
        <v>1</v>
      </c>
      <c r="C7033">
        <v>2016</v>
      </c>
      <c r="D7033" s="9">
        <v>41558</v>
      </c>
      <c r="E7033" t="s">
        <v>295</v>
      </c>
      <c r="I7033" s="9"/>
    </row>
    <row r="7034" spans="1:9" x14ac:dyDescent="0.25">
      <c r="A7034">
        <v>664945</v>
      </c>
      <c r="B7034">
        <v>4.1500000000000004</v>
      </c>
      <c r="C7034">
        <v>243</v>
      </c>
      <c r="D7034" s="9">
        <v>44019</v>
      </c>
      <c r="E7034" t="s">
        <v>295</v>
      </c>
      <c r="I7034" s="9"/>
    </row>
    <row r="7035" spans="1:9" x14ac:dyDescent="0.25">
      <c r="A7035">
        <v>664945</v>
      </c>
      <c r="B7035">
        <v>3.96</v>
      </c>
      <c r="C7035">
        <v>259</v>
      </c>
      <c r="D7035" s="9">
        <v>43837</v>
      </c>
      <c r="E7035" t="s">
        <v>295</v>
      </c>
      <c r="I7035" s="9"/>
    </row>
    <row r="7036" spans="1:9" x14ac:dyDescent="0.25">
      <c r="A7036">
        <v>664945</v>
      </c>
      <c r="B7036">
        <v>3.96</v>
      </c>
      <c r="C7036">
        <v>240</v>
      </c>
      <c r="D7036" s="9">
        <v>43727</v>
      </c>
      <c r="E7036" t="s">
        <v>295</v>
      </c>
      <c r="I7036" s="9"/>
    </row>
    <row r="7037" spans="1:9" x14ac:dyDescent="0.25">
      <c r="A7037">
        <v>664945</v>
      </c>
      <c r="B7037">
        <v>3.96</v>
      </c>
      <c r="C7037">
        <v>120</v>
      </c>
      <c r="D7037" s="9">
        <v>43571</v>
      </c>
      <c r="E7037" t="s">
        <v>295</v>
      </c>
      <c r="I7037" s="9"/>
    </row>
    <row r="7038" spans="1:9" x14ac:dyDescent="0.25">
      <c r="A7038">
        <v>664945</v>
      </c>
      <c r="B7038">
        <v>4.8</v>
      </c>
      <c r="C7038">
        <v>48</v>
      </c>
      <c r="D7038" s="9">
        <v>43161</v>
      </c>
      <c r="E7038" t="s">
        <v>295</v>
      </c>
      <c r="I7038" s="9"/>
    </row>
    <row r="7039" spans="1:9" x14ac:dyDescent="0.25">
      <c r="A7039">
        <v>664945</v>
      </c>
      <c r="B7039">
        <v>4.8</v>
      </c>
      <c r="C7039">
        <v>48</v>
      </c>
      <c r="D7039" s="9">
        <v>43104</v>
      </c>
      <c r="E7039" t="s">
        <v>295</v>
      </c>
      <c r="I7039" s="9"/>
    </row>
    <row r="7040" spans="1:9" x14ac:dyDescent="0.25">
      <c r="A7040">
        <v>664945</v>
      </c>
      <c r="B7040">
        <v>4.8</v>
      </c>
      <c r="C7040">
        <v>48</v>
      </c>
      <c r="D7040" s="9">
        <v>42891</v>
      </c>
      <c r="E7040" t="s">
        <v>295</v>
      </c>
      <c r="I7040" s="9"/>
    </row>
    <row r="7041" spans="1:9" x14ac:dyDescent="0.25">
      <c r="A7041">
        <v>664945</v>
      </c>
      <c r="B7041">
        <v>4.8</v>
      </c>
      <c r="C7041">
        <v>24</v>
      </c>
      <c r="D7041" s="9">
        <v>42836</v>
      </c>
      <c r="E7041" t="s">
        <v>295</v>
      </c>
      <c r="I7041" s="9"/>
    </row>
    <row r="7042" spans="1:9" x14ac:dyDescent="0.25">
      <c r="A7042">
        <v>664945</v>
      </c>
      <c r="B7042">
        <v>4.8</v>
      </c>
      <c r="C7042">
        <v>96</v>
      </c>
      <c r="D7042" s="9">
        <v>41960</v>
      </c>
      <c r="E7042" t="s">
        <v>295</v>
      </c>
      <c r="I7042" s="9"/>
    </row>
    <row r="7043" spans="1:9" x14ac:dyDescent="0.25">
      <c r="A7043">
        <v>664946</v>
      </c>
      <c r="B7043">
        <v>2.08</v>
      </c>
      <c r="C7043">
        <v>239</v>
      </c>
      <c r="D7043" s="9">
        <v>44019</v>
      </c>
      <c r="E7043" t="s">
        <v>295</v>
      </c>
      <c r="I7043" s="9"/>
    </row>
    <row r="7044" spans="1:9" x14ac:dyDescent="0.25">
      <c r="A7044">
        <v>664946</v>
      </c>
      <c r="B7044">
        <v>1.98</v>
      </c>
      <c r="C7044">
        <v>263</v>
      </c>
      <c r="D7044" s="9">
        <v>43837</v>
      </c>
      <c r="E7044" t="s">
        <v>295</v>
      </c>
      <c r="I7044" s="9"/>
    </row>
    <row r="7045" spans="1:9" x14ac:dyDescent="0.25">
      <c r="A7045">
        <v>664946</v>
      </c>
      <c r="B7045">
        <v>2.4</v>
      </c>
      <c r="C7045">
        <v>120</v>
      </c>
      <c r="D7045" s="9">
        <v>43265</v>
      </c>
      <c r="E7045" t="s">
        <v>295</v>
      </c>
      <c r="I7045" s="9"/>
    </row>
    <row r="7046" spans="1:9" x14ac:dyDescent="0.25">
      <c r="A7046">
        <v>664946</v>
      </c>
      <c r="B7046">
        <v>2.4</v>
      </c>
      <c r="C7046">
        <v>288</v>
      </c>
      <c r="D7046" s="9">
        <v>43255</v>
      </c>
      <c r="E7046" t="s">
        <v>295</v>
      </c>
      <c r="I7046" s="9"/>
    </row>
    <row r="7047" spans="1:9" x14ac:dyDescent="0.25">
      <c r="A7047">
        <v>664946</v>
      </c>
      <c r="B7047">
        <v>2.4</v>
      </c>
      <c r="C7047">
        <v>240</v>
      </c>
      <c r="D7047" s="9">
        <v>42836</v>
      </c>
      <c r="E7047" t="s">
        <v>295</v>
      </c>
      <c r="I7047" s="9"/>
    </row>
    <row r="7048" spans="1:9" x14ac:dyDescent="0.25">
      <c r="A7048">
        <v>664946</v>
      </c>
      <c r="B7048">
        <v>2.4</v>
      </c>
      <c r="C7048">
        <v>504</v>
      </c>
      <c r="D7048" s="9">
        <v>42818</v>
      </c>
      <c r="E7048" t="s">
        <v>295</v>
      </c>
      <c r="I7048" s="9"/>
    </row>
    <row r="7049" spans="1:9" x14ac:dyDescent="0.25">
      <c r="A7049">
        <v>664946</v>
      </c>
      <c r="B7049">
        <v>2.4</v>
      </c>
      <c r="C7049">
        <v>144</v>
      </c>
      <c r="D7049" s="9">
        <v>42619</v>
      </c>
      <c r="E7049" t="s">
        <v>295</v>
      </c>
      <c r="I7049" s="9"/>
    </row>
    <row r="7050" spans="1:9" x14ac:dyDescent="0.25">
      <c r="A7050">
        <v>664946</v>
      </c>
      <c r="B7050">
        <v>2.4</v>
      </c>
      <c r="C7050">
        <v>288</v>
      </c>
      <c r="D7050" s="9">
        <v>42496</v>
      </c>
      <c r="E7050" t="s">
        <v>295</v>
      </c>
      <c r="I7050" s="9"/>
    </row>
    <row r="7051" spans="1:9" x14ac:dyDescent="0.25">
      <c r="A7051">
        <v>664946</v>
      </c>
      <c r="B7051">
        <v>2.4</v>
      </c>
      <c r="C7051">
        <v>240</v>
      </c>
      <c r="D7051" s="9">
        <v>42178</v>
      </c>
      <c r="E7051" t="s">
        <v>295</v>
      </c>
      <c r="I7051" s="9"/>
    </row>
    <row r="7052" spans="1:9" x14ac:dyDescent="0.25">
      <c r="A7052">
        <v>664946</v>
      </c>
      <c r="B7052">
        <v>2.4</v>
      </c>
      <c r="C7052">
        <v>480</v>
      </c>
      <c r="D7052" s="9">
        <v>42174</v>
      </c>
      <c r="E7052" t="s">
        <v>295</v>
      </c>
      <c r="I7052" s="9"/>
    </row>
    <row r="7053" spans="1:9" x14ac:dyDescent="0.25">
      <c r="A7053">
        <v>664946</v>
      </c>
      <c r="B7053">
        <v>2.9</v>
      </c>
      <c r="C7053">
        <v>480</v>
      </c>
      <c r="D7053" s="9">
        <v>41717</v>
      </c>
      <c r="E7053" t="s">
        <v>295</v>
      </c>
      <c r="I7053" s="9"/>
    </row>
    <row r="7054" spans="1:9" x14ac:dyDescent="0.25">
      <c r="A7054">
        <v>664946</v>
      </c>
      <c r="B7054">
        <v>0</v>
      </c>
      <c r="C7054">
        <v>420</v>
      </c>
      <c r="D7054" s="9">
        <v>41663</v>
      </c>
      <c r="E7054" t="s">
        <v>295</v>
      </c>
      <c r="I7054" s="9"/>
    </row>
    <row r="7055" spans="1:9" x14ac:dyDescent="0.25">
      <c r="A7055">
        <v>664946</v>
      </c>
      <c r="B7055">
        <v>0</v>
      </c>
      <c r="C7055">
        <v>420</v>
      </c>
      <c r="D7055" s="9">
        <v>41654</v>
      </c>
      <c r="E7055" t="s">
        <v>295</v>
      </c>
      <c r="I7055" s="9"/>
    </row>
    <row r="7056" spans="1:9" x14ac:dyDescent="0.25">
      <c r="A7056">
        <v>664946</v>
      </c>
      <c r="B7056">
        <v>0</v>
      </c>
      <c r="C7056">
        <v>420</v>
      </c>
      <c r="D7056" s="9">
        <v>41646</v>
      </c>
      <c r="E7056" t="s">
        <v>295</v>
      </c>
      <c r="I7056" s="9"/>
    </row>
    <row r="7057" spans="1:9" x14ac:dyDescent="0.25">
      <c r="A7057">
        <v>664947</v>
      </c>
      <c r="B7057">
        <v>2.23</v>
      </c>
      <c r="C7057">
        <v>720</v>
      </c>
      <c r="D7057" s="9">
        <v>44110</v>
      </c>
      <c r="E7057" t="s">
        <v>295</v>
      </c>
      <c r="I7057" s="9"/>
    </row>
    <row r="7058" spans="1:9" x14ac:dyDescent="0.25">
      <c r="A7058">
        <v>664947</v>
      </c>
      <c r="B7058">
        <v>2.23</v>
      </c>
      <c r="C7058">
        <v>754</v>
      </c>
      <c r="D7058" s="9">
        <v>44019</v>
      </c>
      <c r="E7058" t="s">
        <v>295</v>
      </c>
      <c r="I7058" s="9"/>
    </row>
    <row r="7059" spans="1:9" x14ac:dyDescent="0.25">
      <c r="A7059">
        <v>664947</v>
      </c>
      <c r="B7059">
        <v>2.14</v>
      </c>
      <c r="C7059">
        <v>744</v>
      </c>
      <c r="D7059" s="9">
        <v>43837</v>
      </c>
      <c r="E7059" t="s">
        <v>295</v>
      </c>
      <c r="I7059" s="9"/>
    </row>
    <row r="7060" spans="1:9" x14ac:dyDescent="0.25">
      <c r="A7060">
        <v>664947</v>
      </c>
      <c r="B7060">
        <v>2.14</v>
      </c>
      <c r="C7060">
        <v>744</v>
      </c>
      <c r="D7060" s="9">
        <v>43727</v>
      </c>
      <c r="E7060" t="s">
        <v>295</v>
      </c>
      <c r="I7060" s="9"/>
    </row>
    <row r="7061" spans="1:9" x14ac:dyDescent="0.25">
      <c r="A7061">
        <v>664947</v>
      </c>
      <c r="B7061">
        <v>2.06</v>
      </c>
      <c r="C7061">
        <v>768</v>
      </c>
      <c r="D7061" s="9">
        <v>43629</v>
      </c>
      <c r="E7061" t="s">
        <v>295</v>
      </c>
      <c r="I7061" s="9"/>
    </row>
    <row r="7062" spans="1:9" x14ac:dyDescent="0.25">
      <c r="A7062">
        <v>664947</v>
      </c>
      <c r="B7062">
        <v>2.06</v>
      </c>
      <c r="C7062">
        <v>720</v>
      </c>
      <c r="D7062" s="9">
        <v>43567</v>
      </c>
      <c r="E7062" t="s">
        <v>295</v>
      </c>
      <c r="I7062" s="9"/>
    </row>
    <row r="7063" spans="1:9" x14ac:dyDescent="0.25">
      <c r="A7063">
        <v>664947</v>
      </c>
      <c r="B7063">
        <v>2.06</v>
      </c>
      <c r="C7063">
        <v>768</v>
      </c>
      <c r="D7063" s="9">
        <v>43542</v>
      </c>
      <c r="E7063" t="s">
        <v>295</v>
      </c>
      <c r="I7063" s="9"/>
    </row>
    <row r="7064" spans="1:9" x14ac:dyDescent="0.25">
      <c r="A7064">
        <v>664947</v>
      </c>
      <c r="B7064">
        <v>2.06</v>
      </c>
      <c r="C7064">
        <v>504</v>
      </c>
      <c r="D7064" s="9">
        <v>43494</v>
      </c>
      <c r="E7064" t="s">
        <v>295</v>
      </c>
      <c r="I7064" s="9"/>
    </row>
    <row r="7065" spans="1:9" x14ac:dyDescent="0.25">
      <c r="A7065">
        <v>664947</v>
      </c>
      <c r="B7065">
        <v>2.06</v>
      </c>
      <c r="C7065">
        <v>504</v>
      </c>
      <c r="D7065" s="9">
        <v>43381</v>
      </c>
      <c r="E7065" t="s">
        <v>295</v>
      </c>
      <c r="I7065" s="9"/>
    </row>
    <row r="7066" spans="1:9" x14ac:dyDescent="0.25">
      <c r="A7066">
        <v>664947</v>
      </c>
      <c r="B7066">
        <v>2.02</v>
      </c>
      <c r="C7066">
        <v>744</v>
      </c>
      <c r="D7066" s="9">
        <v>43104</v>
      </c>
      <c r="E7066" t="s">
        <v>295</v>
      </c>
      <c r="I7066" s="9"/>
    </row>
    <row r="7067" spans="1:9" x14ac:dyDescent="0.25">
      <c r="A7067">
        <v>664947</v>
      </c>
      <c r="B7067">
        <v>2.02</v>
      </c>
      <c r="C7067">
        <v>984</v>
      </c>
      <c r="D7067" s="9">
        <v>43045</v>
      </c>
      <c r="E7067" t="s">
        <v>295</v>
      </c>
      <c r="I7067" s="9"/>
    </row>
    <row r="7068" spans="1:9" x14ac:dyDescent="0.25">
      <c r="A7068">
        <v>664947</v>
      </c>
      <c r="B7068">
        <v>2.02</v>
      </c>
      <c r="C7068">
        <v>1008</v>
      </c>
      <c r="D7068" s="9">
        <v>43027</v>
      </c>
      <c r="E7068" t="s">
        <v>295</v>
      </c>
      <c r="I7068" s="9"/>
    </row>
    <row r="7069" spans="1:9" x14ac:dyDescent="0.25">
      <c r="A7069">
        <v>664947</v>
      </c>
      <c r="B7069">
        <v>2.02</v>
      </c>
      <c r="C7069">
        <v>552</v>
      </c>
      <c r="D7069" s="9">
        <v>42982</v>
      </c>
      <c r="E7069" t="s">
        <v>295</v>
      </c>
      <c r="I7069" s="9"/>
    </row>
    <row r="7070" spans="1:9" x14ac:dyDescent="0.25">
      <c r="A7070">
        <v>664947</v>
      </c>
      <c r="B7070">
        <v>2.02</v>
      </c>
      <c r="C7070">
        <v>504</v>
      </c>
      <c r="D7070" s="9">
        <v>42836</v>
      </c>
      <c r="E7070" t="s">
        <v>295</v>
      </c>
      <c r="I7070" s="9"/>
    </row>
    <row r="7071" spans="1:9" x14ac:dyDescent="0.25">
      <c r="A7071">
        <v>664947</v>
      </c>
      <c r="B7071">
        <v>2.02</v>
      </c>
      <c r="C7071">
        <v>480</v>
      </c>
      <c r="D7071" s="9">
        <v>42745</v>
      </c>
      <c r="E7071" t="s">
        <v>295</v>
      </c>
      <c r="I7071" s="9"/>
    </row>
    <row r="7072" spans="1:9" x14ac:dyDescent="0.25">
      <c r="A7072">
        <v>664947</v>
      </c>
      <c r="B7072">
        <v>2.02</v>
      </c>
      <c r="C7072">
        <v>720</v>
      </c>
      <c r="D7072" s="9">
        <v>42558</v>
      </c>
      <c r="E7072" t="s">
        <v>295</v>
      </c>
      <c r="I7072" s="9"/>
    </row>
    <row r="7073" spans="1:9" x14ac:dyDescent="0.25">
      <c r="A7073">
        <v>664947</v>
      </c>
      <c r="B7073">
        <v>2.02</v>
      </c>
      <c r="C7073">
        <v>720</v>
      </c>
      <c r="D7073" s="9">
        <v>42536</v>
      </c>
      <c r="E7073" t="s">
        <v>295</v>
      </c>
      <c r="I7073" s="9"/>
    </row>
    <row r="7074" spans="1:9" x14ac:dyDescent="0.25">
      <c r="A7074">
        <v>664947</v>
      </c>
      <c r="B7074">
        <v>2.02</v>
      </c>
      <c r="C7074">
        <v>2424</v>
      </c>
      <c r="D7074" s="9">
        <v>42334</v>
      </c>
      <c r="E7074" t="s">
        <v>295</v>
      </c>
      <c r="I7074" s="9"/>
    </row>
    <row r="7075" spans="1:9" x14ac:dyDescent="0.25">
      <c r="A7075">
        <v>664947</v>
      </c>
      <c r="B7075">
        <v>2.02</v>
      </c>
      <c r="C7075">
        <v>2400</v>
      </c>
      <c r="D7075" s="9">
        <v>42298</v>
      </c>
      <c r="E7075" t="s">
        <v>295</v>
      </c>
      <c r="I7075" s="9"/>
    </row>
    <row r="7076" spans="1:9" x14ac:dyDescent="0.25">
      <c r="A7076">
        <v>664947</v>
      </c>
      <c r="B7076">
        <v>2.02</v>
      </c>
      <c r="C7076">
        <v>504</v>
      </c>
      <c r="D7076" s="9">
        <v>42254</v>
      </c>
      <c r="E7076" t="s">
        <v>295</v>
      </c>
      <c r="I7076" s="9"/>
    </row>
    <row r="7077" spans="1:9" x14ac:dyDescent="0.25">
      <c r="A7077">
        <v>664947</v>
      </c>
      <c r="B7077">
        <v>2.02</v>
      </c>
      <c r="C7077">
        <v>504</v>
      </c>
      <c r="D7077" s="9">
        <v>42145</v>
      </c>
      <c r="E7077" t="s">
        <v>295</v>
      </c>
      <c r="I7077" s="9"/>
    </row>
    <row r="7078" spans="1:9" x14ac:dyDescent="0.25">
      <c r="A7078">
        <v>664947</v>
      </c>
      <c r="B7078">
        <v>0</v>
      </c>
      <c r="C7078">
        <v>504</v>
      </c>
      <c r="D7078" s="9">
        <v>42081</v>
      </c>
      <c r="E7078" t="s">
        <v>295</v>
      </c>
      <c r="I7078" s="9"/>
    </row>
    <row r="7079" spans="1:9" x14ac:dyDescent="0.25">
      <c r="A7079">
        <v>664947</v>
      </c>
      <c r="B7079">
        <v>2.02</v>
      </c>
      <c r="C7079">
        <v>480</v>
      </c>
      <c r="D7079" s="9">
        <v>41960</v>
      </c>
      <c r="E7079" t="s">
        <v>295</v>
      </c>
      <c r="I7079" s="9"/>
    </row>
    <row r="7080" spans="1:9" x14ac:dyDescent="0.25">
      <c r="A7080">
        <v>664947</v>
      </c>
      <c r="B7080">
        <v>2.02</v>
      </c>
      <c r="C7080">
        <v>480</v>
      </c>
      <c r="D7080" s="9">
        <v>41911</v>
      </c>
      <c r="E7080" t="s">
        <v>295</v>
      </c>
      <c r="I7080" s="9"/>
    </row>
    <row r="7081" spans="1:9" x14ac:dyDescent="0.25">
      <c r="A7081">
        <v>664947</v>
      </c>
      <c r="B7081">
        <v>2.38</v>
      </c>
      <c r="C7081">
        <v>1032</v>
      </c>
      <c r="D7081" s="9">
        <v>41752</v>
      </c>
      <c r="E7081" t="s">
        <v>295</v>
      </c>
      <c r="I7081" s="9"/>
    </row>
    <row r="7082" spans="1:9" x14ac:dyDescent="0.25">
      <c r="A7082">
        <v>664947</v>
      </c>
      <c r="B7082">
        <v>2.38</v>
      </c>
      <c r="C7082">
        <v>504</v>
      </c>
      <c r="D7082" s="9">
        <v>41717</v>
      </c>
      <c r="E7082" t="s">
        <v>295</v>
      </c>
      <c r="I7082" s="9"/>
    </row>
    <row r="7083" spans="1:9" x14ac:dyDescent="0.25">
      <c r="A7083">
        <v>664947</v>
      </c>
      <c r="B7083">
        <v>0</v>
      </c>
      <c r="C7083">
        <v>504</v>
      </c>
      <c r="D7083" s="9">
        <v>41717</v>
      </c>
      <c r="E7083" t="s">
        <v>295</v>
      </c>
      <c r="I7083" s="9"/>
    </row>
    <row r="7084" spans="1:9" x14ac:dyDescent="0.25">
      <c r="A7084">
        <v>664947</v>
      </c>
      <c r="B7084">
        <v>2.38</v>
      </c>
      <c r="C7084">
        <v>504</v>
      </c>
      <c r="D7084" s="9">
        <v>41663</v>
      </c>
      <c r="E7084" t="s">
        <v>295</v>
      </c>
      <c r="I7084" s="9"/>
    </row>
    <row r="7085" spans="1:9" x14ac:dyDescent="0.25">
      <c r="A7085">
        <v>664947</v>
      </c>
      <c r="B7085">
        <v>2.52</v>
      </c>
      <c r="C7085">
        <v>240</v>
      </c>
      <c r="D7085" s="9">
        <v>41558</v>
      </c>
      <c r="E7085" t="s">
        <v>295</v>
      </c>
      <c r="I7085" s="9"/>
    </row>
    <row r="7086" spans="1:9" x14ac:dyDescent="0.25">
      <c r="A7086">
        <v>664948</v>
      </c>
      <c r="B7086">
        <v>1.18</v>
      </c>
      <c r="C7086">
        <v>768</v>
      </c>
      <c r="D7086" s="9">
        <v>44089</v>
      </c>
      <c r="E7086" t="s">
        <v>295</v>
      </c>
      <c r="I7086" s="9"/>
    </row>
    <row r="7087" spans="1:9" x14ac:dyDescent="0.25">
      <c r="A7087">
        <v>664948</v>
      </c>
      <c r="B7087">
        <v>1.18</v>
      </c>
      <c r="C7087">
        <v>725</v>
      </c>
      <c r="D7087" s="9">
        <v>44019</v>
      </c>
      <c r="E7087" t="s">
        <v>295</v>
      </c>
      <c r="I7087" s="9"/>
    </row>
    <row r="7088" spans="1:9" x14ac:dyDescent="0.25">
      <c r="A7088">
        <v>664948</v>
      </c>
      <c r="B7088">
        <v>1.1200000000000001</v>
      </c>
      <c r="C7088">
        <v>744</v>
      </c>
      <c r="D7088" s="9">
        <v>43837</v>
      </c>
      <c r="E7088" t="s">
        <v>295</v>
      </c>
      <c r="I7088" s="9"/>
    </row>
    <row r="7089" spans="1:9" x14ac:dyDescent="0.25">
      <c r="A7089">
        <v>664948</v>
      </c>
      <c r="B7089">
        <v>1.08</v>
      </c>
      <c r="C7089">
        <v>864</v>
      </c>
      <c r="D7089" s="9">
        <v>43542</v>
      </c>
      <c r="E7089" t="s">
        <v>295</v>
      </c>
      <c r="I7089" s="9"/>
    </row>
    <row r="7090" spans="1:9" x14ac:dyDescent="0.25">
      <c r="A7090">
        <v>664948</v>
      </c>
      <c r="B7090">
        <v>1.08</v>
      </c>
      <c r="C7090">
        <v>864</v>
      </c>
      <c r="D7090" s="9">
        <v>43209</v>
      </c>
      <c r="E7090" t="s">
        <v>295</v>
      </c>
      <c r="I7090" s="9"/>
    </row>
    <row r="7091" spans="1:9" x14ac:dyDescent="0.25">
      <c r="A7091">
        <v>664948</v>
      </c>
      <c r="B7091">
        <v>1.06</v>
      </c>
      <c r="C7091">
        <v>840</v>
      </c>
      <c r="D7091" s="9">
        <v>43104</v>
      </c>
      <c r="E7091" t="s">
        <v>295</v>
      </c>
      <c r="I7091" s="9"/>
    </row>
    <row r="7092" spans="1:9" x14ac:dyDescent="0.25">
      <c r="A7092">
        <v>664948</v>
      </c>
      <c r="B7092">
        <v>1.06</v>
      </c>
      <c r="C7092">
        <v>1008</v>
      </c>
      <c r="D7092" s="9">
        <v>43027</v>
      </c>
      <c r="E7092" t="s">
        <v>295</v>
      </c>
      <c r="I7092" s="9"/>
    </row>
    <row r="7093" spans="1:9" x14ac:dyDescent="0.25">
      <c r="A7093">
        <v>664948</v>
      </c>
      <c r="B7093">
        <v>1.06</v>
      </c>
      <c r="C7093">
        <v>744</v>
      </c>
      <c r="D7093" s="9">
        <v>42872</v>
      </c>
      <c r="E7093" t="s">
        <v>295</v>
      </c>
      <c r="I7093" s="9"/>
    </row>
    <row r="7094" spans="1:9" x14ac:dyDescent="0.25">
      <c r="A7094">
        <v>664948</v>
      </c>
      <c r="B7094">
        <v>1.06</v>
      </c>
      <c r="C7094">
        <v>720</v>
      </c>
      <c r="D7094" s="9">
        <v>42818</v>
      </c>
      <c r="E7094" t="s">
        <v>295</v>
      </c>
      <c r="I7094" s="9"/>
    </row>
    <row r="7095" spans="1:9" x14ac:dyDescent="0.25">
      <c r="A7095">
        <v>664948</v>
      </c>
      <c r="B7095">
        <v>1.06</v>
      </c>
      <c r="C7095">
        <v>1104</v>
      </c>
      <c r="D7095" s="9">
        <v>42754</v>
      </c>
      <c r="E7095" t="s">
        <v>295</v>
      </c>
      <c r="I7095" s="9"/>
    </row>
    <row r="7096" spans="1:9" x14ac:dyDescent="0.25">
      <c r="A7096">
        <v>664948</v>
      </c>
      <c r="B7096">
        <v>1.06</v>
      </c>
      <c r="C7096">
        <v>480</v>
      </c>
      <c r="D7096" s="9">
        <v>42745</v>
      </c>
      <c r="E7096" t="s">
        <v>295</v>
      </c>
      <c r="I7096" s="9"/>
    </row>
    <row r="7097" spans="1:9" x14ac:dyDescent="0.25">
      <c r="A7097">
        <v>664948</v>
      </c>
      <c r="B7097">
        <v>1.06</v>
      </c>
      <c r="C7097">
        <v>1560</v>
      </c>
      <c r="D7097" s="9">
        <v>42381</v>
      </c>
      <c r="E7097" t="s">
        <v>295</v>
      </c>
      <c r="I7097" s="9"/>
    </row>
    <row r="7098" spans="1:9" x14ac:dyDescent="0.25">
      <c r="A7098">
        <v>664948</v>
      </c>
      <c r="B7098">
        <v>1.06</v>
      </c>
      <c r="C7098">
        <v>2832</v>
      </c>
      <c r="D7098" s="9">
        <v>42188</v>
      </c>
      <c r="E7098" t="s">
        <v>295</v>
      </c>
      <c r="I7098" s="9"/>
    </row>
    <row r="7099" spans="1:9" x14ac:dyDescent="0.25">
      <c r="A7099">
        <v>664948</v>
      </c>
      <c r="B7099">
        <v>1.06</v>
      </c>
      <c r="C7099">
        <v>2832</v>
      </c>
      <c r="D7099" s="9">
        <v>42178</v>
      </c>
      <c r="E7099" t="s">
        <v>295</v>
      </c>
      <c r="I7099" s="9"/>
    </row>
    <row r="7100" spans="1:9" x14ac:dyDescent="0.25">
      <c r="A7100">
        <v>664948</v>
      </c>
      <c r="B7100">
        <v>1.06</v>
      </c>
      <c r="C7100">
        <v>2808</v>
      </c>
      <c r="D7100" s="9">
        <v>42174</v>
      </c>
      <c r="E7100" t="s">
        <v>295</v>
      </c>
      <c r="I7100" s="9"/>
    </row>
    <row r="7101" spans="1:9" x14ac:dyDescent="0.25">
      <c r="A7101">
        <v>664948</v>
      </c>
      <c r="B7101">
        <v>1.06</v>
      </c>
      <c r="C7101">
        <v>2592</v>
      </c>
      <c r="D7101" s="9">
        <v>42108</v>
      </c>
      <c r="E7101" t="s">
        <v>295</v>
      </c>
      <c r="I7101" s="9"/>
    </row>
    <row r="7102" spans="1:9" x14ac:dyDescent="0.25">
      <c r="A7102">
        <v>664948</v>
      </c>
      <c r="B7102">
        <v>1.06</v>
      </c>
      <c r="C7102">
        <v>2808</v>
      </c>
      <c r="D7102" s="9">
        <v>42060</v>
      </c>
      <c r="E7102" t="s">
        <v>295</v>
      </c>
      <c r="I7102" s="9"/>
    </row>
    <row r="7103" spans="1:9" x14ac:dyDescent="0.25">
      <c r="A7103">
        <v>664948</v>
      </c>
      <c r="B7103">
        <v>1.06</v>
      </c>
      <c r="C7103">
        <v>2904</v>
      </c>
      <c r="D7103" s="9">
        <v>41960</v>
      </c>
      <c r="E7103" t="s">
        <v>295</v>
      </c>
      <c r="I7103" s="9"/>
    </row>
    <row r="7104" spans="1:9" x14ac:dyDescent="0.25">
      <c r="A7104">
        <v>664948</v>
      </c>
      <c r="B7104">
        <v>1.06</v>
      </c>
      <c r="C7104">
        <v>2808</v>
      </c>
      <c r="D7104" s="9">
        <v>41925</v>
      </c>
      <c r="E7104" t="s">
        <v>295</v>
      </c>
      <c r="I7104" s="9"/>
    </row>
    <row r="7105" spans="1:9" x14ac:dyDescent="0.25">
      <c r="A7105">
        <v>664948</v>
      </c>
      <c r="B7105">
        <v>1.06</v>
      </c>
      <c r="C7105">
        <v>2880</v>
      </c>
      <c r="D7105" s="9">
        <v>41906</v>
      </c>
      <c r="E7105" t="s">
        <v>295</v>
      </c>
      <c r="I7105" s="9"/>
    </row>
    <row r="7106" spans="1:9" x14ac:dyDescent="0.25">
      <c r="A7106">
        <v>664948</v>
      </c>
      <c r="B7106">
        <v>1.18</v>
      </c>
      <c r="C7106">
        <v>2904</v>
      </c>
      <c r="D7106" s="9">
        <v>41844</v>
      </c>
      <c r="E7106" t="s">
        <v>295</v>
      </c>
      <c r="I7106" s="9"/>
    </row>
    <row r="7107" spans="1:9" x14ac:dyDescent="0.25">
      <c r="A7107">
        <v>664948</v>
      </c>
      <c r="B7107">
        <v>1.18</v>
      </c>
      <c r="C7107">
        <v>2160</v>
      </c>
      <c r="D7107" s="9">
        <v>41820</v>
      </c>
      <c r="E7107" t="s">
        <v>295</v>
      </c>
      <c r="I7107" s="9"/>
    </row>
    <row r="7108" spans="1:9" x14ac:dyDescent="0.25">
      <c r="A7108">
        <v>664948</v>
      </c>
      <c r="B7108">
        <v>1.18</v>
      </c>
      <c r="C7108">
        <v>2160</v>
      </c>
      <c r="D7108" s="9">
        <v>41807</v>
      </c>
      <c r="E7108" t="s">
        <v>295</v>
      </c>
      <c r="I7108" s="9"/>
    </row>
    <row r="7109" spans="1:9" x14ac:dyDescent="0.25">
      <c r="A7109">
        <v>664948</v>
      </c>
      <c r="B7109">
        <v>1.18</v>
      </c>
      <c r="C7109">
        <v>2064</v>
      </c>
      <c r="D7109" s="9">
        <v>41774</v>
      </c>
      <c r="E7109" t="s">
        <v>295</v>
      </c>
      <c r="I7109" s="9"/>
    </row>
    <row r="7110" spans="1:9" x14ac:dyDescent="0.25">
      <c r="A7110">
        <v>664948</v>
      </c>
      <c r="B7110">
        <v>1.21</v>
      </c>
      <c r="C7110">
        <v>1920</v>
      </c>
      <c r="D7110" s="9">
        <v>41752</v>
      </c>
      <c r="E7110" t="s">
        <v>295</v>
      </c>
      <c r="I7110" s="9"/>
    </row>
    <row r="7111" spans="1:9" x14ac:dyDescent="0.25">
      <c r="A7111">
        <v>664948</v>
      </c>
      <c r="B7111">
        <v>1.21</v>
      </c>
      <c r="C7111">
        <v>2880</v>
      </c>
      <c r="D7111" s="9">
        <v>41717</v>
      </c>
      <c r="E7111" t="s">
        <v>295</v>
      </c>
      <c r="I7111" s="9"/>
    </row>
    <row r="7112" spans="1:9" x14ac:dyDescent="0.25">
      <c r="A7112">
        <v>664948</v>
      </c>
      <c r="B7112">
        <v>1.21</v>
      </c>
      <c r="C7112">
        <v>2064</v>
      </c>
      <c r="D7112" s="9">
        <v>41687</v>
      </c>
      <c r="E7112" t="s">
        <v>295</v>
      </c>
      <c r="I7112" s="9"/>
    </row>
    <row r="7113" spans="1:9" x14ac:dyDescent="0.25">
      <c r="A7113">
        <v>664948</v>
      </c>
      <c r="B7113">
        <v>1.21</v>
      </c>
      <c r="C7113">
        <v>2016</v>
      </c>
      <c r="D7113" s="9">
        <v>41663</v>
      </c>
      <c r="E7113" t="s">
        <v>295</v>
      </c>
      <c r="I7113" s="9"/>
    </row>
    <row r="7114" spans="1:9" x14ac:dyDescent="0.25">
      <c r="A7114">
        <v>664948</v>
      </c>
      <c r="B7114">
        <v>1.21</v>
      </c>
      <c r="C7114">
        <v>2016</v>
      </c>
      <c r="D7114" s="9">
        <v>41646</v>
      </c>
      <c r="E7114" t="s">
        <v>295</v>
      </c>
      <c r="I7114" s="9"/>
    </row>
    <row r="7115" spans="1:9" x14ac:dyDescent="0.25">
      <c r="A7115">
        <v>664948</v>
      </c>
      <c r="B7115">
        <v>1.26</v>
      </c>
      <c r="C7115">
        <v>2016</v>
      </c>
      <c r="D7115" s="9">
        <v>41558</v>
      </c>
      <c r="E7115" t="s">
        <v>295</v>
      </c>
      <c r="I7115" s="9"/>
    </row>
    <row r="7116" spans="1:9" x14ac:dyDescent="0.25">
      <c r="A7116">
        <v>665012</v>
      </c>
      <c r="B7116">
        <v>1.75</v>
      </c>
      <c r="C7116">
        <v>1000</v>
      </c>
      <c r="D7116" s="9">
        <v>43773</v>
      </c>
      <c r="E7116" t="s">
        <v>295</v>
      </c>
      <c r="I7116" s="9"/>
    </row>
    <row r="7117" spans="1:9" x14ac:dyDescent="0.25">
      <c r="A7117">
        <v>665012</v>
      </c>
      <c r="B7117">
        <v>1.75</v>
      </c>
      <c r="C7117">
        <v>1000</v>
      </c>
      <c r="D7117" s="9">
        <v>43755</v>
      </c>
      <c r="E7117" t="s">
        <v>295</v>
      </c>
      <c r="I7117" s="9"/>
    </row>
    <row r="7118" spans="1:9" x14ac:dyDescent="0.25">
      <c r="A7118">
        <v>665012</v>
      </c>
      <c r="B7118">
        <v>1.75</v>
      </c>
      <c r="C7118">
        <v>1000</v>
      </c>
      <c r="D7118" s="9">
        <v>43633</v>
      </c>
      <c r="E7118" t="s">
        <v>295</v>
      </c>
      <c r="I7118" s="9"/>
    </row>
    <row r="7119" spans="1:9" x14ac:dyDescent="0.25">
      <c r="A7119">
        <v>665012</v>
      </c>
      <c r="B7119">
        <v>1.75</v>
      </c>
      <c r="C7119">
        <v>1000</v>
      </c>
      <c r="D7119" s="9">
        <v>43556</v>
      </c>
      <c r="E7119" t="s">
        <v>295</v>
      </c>
      <c r="I7119" s="9"/>
    </row>
    <row r="7120" spans="1:9" x14ac:dyDescent="0.25">
      <c r="A7120">
        <v>665012</v>
      </c>
      <c r="B7120">
        <v>1.75</v>
      </c>
      <c r="C7120">
        <v>1000</v>
      </c>
      <c r="D7120" s="9">
        <v>43546</v>
      </c>
      <c r="E7120" t="s">
        <v>295</v>
      </c>
      <c r="I7120" s="9"/>
    </row>
    <row r="7121" spans="1:9" x14ac:dyDescent="0.25">
      <c r="A7121">
        <v>665012</v>
      </c>
      <c r="B7121">
        <v>1.75</v>
      </c>
      <c r="C7121">
        <v>1000</v>
      </c>
      <c r="D7121" s="9">
        <v>43475</v>
      </c>
      <c r="E7121" t="s">
        <v>295</v>
      </c>
      <c r="I7121" s="9"/>
    </row>
    <row r="7122" spans="1:9" x14ac:dyDescent="0.25">
      <c r="A7122">
        <v>665012</v>
      </c>
      <c r="B7122">
        <v>1.75</v>
      </c>
      <c r="C7122">
        <v>1000</v>
      </c>
      <c r="D7122" s="9">
        <v>43390</v>
      </c>
      <c r="E7122" t="s">
        <v>295</v>
      </c>
      <c r="I7122" s="9"/>
    </row>
    <row r="7123" spans="1:9" x14ac:dyDescent="0.25">
      <c r="A7123">
        <v>665012</v>
      </c>
      <c r="B7123">
        <v>1.75</v>
      </c>
      <c r="C7123">
        <v>1000</v>
      </c>
      <c r="D7123" s="9">
        <v>43384</v>
      </c>
      <c r="E7123" t="s">
        <v>295</v>
      </c>
      <c r="I7123" s="9"/>
    </row>
    <row r="7124" spans="1:9" x14ac:dyDescent="0.25">
      <c r="A7124">
        <v>665012</v>
      </c>
      <c r="B7124">
        <v>1.75</v>
      </c>
      <c r="C7124">
        <v>1000</v>
      </c>
      <c r="D7124" s="9">
        <v>43294</v>
      </c>
      <c r="E7124" t="s">
        <v>295</v>
      </c>
      <c r="I7124" s="9"/>
    </row>
    <row r="7125" spans="1:9" x14ac:dyDescent="0.25">
      <c r="A7125">
        <v>665012</v>
      </c>
      <c r="B7125">
        <v>1.75</v>
      </c>
      <c r="C7125">
        <v>1000</v>
      </c>
      <c r="D7125" s="9">
        <v>43257</v>
      </c>
      <c r="E7125" t="s">
        <v>295</v>
      </c>
      <c r="I7125" s="9"/>
    </row>
    <row r="7126" spans="1:9" x14ac:dyDescent="0.25">
      <c r="A7126">
        <v>665012</v>
      </c>
      <c r="B7126">
        <v>1.75</v>
      </c>
      <c r="C7126">
        <v>1000</v>
      </c>
      <c r="D7126" s="9">
        <v>43229</v>
      </c>
      <c r="E7126" t="s">
        <v>295</v>
      </c>
      <c r="I7126" s="9"/>
    </row>
    <row r="7127" spans="1:9" x14ac:dyDescent="0.25">
      <c r="A7127">
        <v>665012</v>
      </c>
      <c r="B7127">
        <v>1.75</v>
      </c>
      <c r="C7127">
        <v>800</v>
      </c>
      <c r="D7127" s="9">
        <v>43123</v>
      </c>
      <c r="E7127" t="s">
        <v>295</v>
      </c>
      <c r="I7127" s="9"/>
    </row>
    <row r="7128" spans="1:9" x14ac:dyDescent="0.25">
      <c r="A7128">
        <v>665012</v>
      </c>
      <c r="B7128">
        <v>1.75</v>
      </c>
      <c r="C7128">
        <v>800</v>
      </c>
      <c r="D7128" s="9">
        <v>43073</v>
      </c>
      <c r="E7128" t="s">
        <v>295</v>
      </c>
      <c r="I7128" s="9"/>
    </row>
    <row r="7129" spans="1:9" x14ac:dyDescent="0.25">
      <c r="A7129">
        <v>665012</v>
      </c>
      <c r="B7129">
        <v>1.75</v>
      </c>
      <c r="C7129">
        <v>800</v>
      </c>
      <c r="D7129" s="9">
        <v>43045</v>
      </c>
      <c r="E7129" t="s">
        <v>295</v>
      </c>
      <c r="I7129" s="9"/>
    </row>
    <row r="7130" spans="1:9" x14ac:dyDescent="0.25">
      <c r="A7130">
        <v>665012</v>
      </c>
      <c r="B7130">
        <v>1.75</v>
      </c>
      <c r="C7130">
        <v>800</v>
      </c>
      <c r="D7130" s="9">
        <v>43027</v>
      </c>
      <c r="E7130" t="s">
        <v>295</v>
      </c>
      <c r="I7130" s="9"/>
    </row>
    <row r="7131" spans="1:9" x14ac:dyDescent="0.25">
      <c r="A7131">
        <v>665012</v>
      </c>
      <c r="B7131">
        <v>1.75</v>
      </c>
      <c r="C7131">
        <v>800</v>
      </c>
      <c r="D7131" s="9">
        <v>42978</v>
      </c>
      <c r="E7131" t="s">
        <v>295</v>
      </c>
      <c r="I7131" s="9"/>
    </row>
    <row r="7132" spans="1:9" x14ac:dyDescent="0.25">
      <c r="A7132">
        <v>665012</v>
      </c>
      <c r="B7132">
        <v>1.75</v>
      </c>
      <c r="C7132">
        <v>800</v>
      </c>
      <c r="D7132" s="9">
        <v>42958</v>
      </c>
      <c r="E7132" t="s">
        <v>295</v>
      </c>
      <c r="I7132" s="9"/>
    </row>
    <row r="7133" spans="1:9" x14ac:dyDescent="0.25">
      <c r="A7133">
        <v>665012</v>
      </c>
      <c r="B7133">
        <v>1.75</v>
      </c>
      <c r="C7133">
        <v>800</v>
      </c>
      <c r="D7133" s="9">
        <v>42872</v>
      </c>
      <c r="E7133" t="s">
        <v>295</v>
      </c>
      <c r="I7133" s="9"/>
    </row>
    <row r="7134" spans="1:9" x14ac:dyDescent="0.25">
      <c r="A7134">
        <v>665012</v>
      </c>
      <c r="B7134">
        <v>1.75</v>
      </c>
      <c r="C7134">
        <v>800</v>
      </c>
      <c r="D7134" s="9">
        <v>42836</v>
      </c>
      <c r="E7134" t="s">
        <v>295</v>
      </c>
      <c r="I7134" s="9"/>
    </row>
    <row r="7135" spans="1:9" x14ac:dyDescent="0.25">
      <c r="A7135">
        <v>665012</v>
      </c>
      <c r="B7135">
        <v>1.75</v>
      </c>
      <c r="C7135">
        <v>800</v>
      </c>
      <c r="D7135" s="9">
        <v>42804</v>
      </c>
      <c r="E7135" t="s">
        <v>295</v>
      </c>
      <c r="I7135" s="9"/>
    </row>
    <row r="7136" spans="1:9" x14ac:dyDescent="0.25">
      <c r="A7136">
        <v>665012</v>
      </c>
      <c r="B7136">
        <v>1.75</v>
      </c>
      <c r="C7136">
        <v>800</v>
      </c>
      <c r="D7136" s="9">
        <v>42786</v>
      </c>
      <c r="E7136" t="s">
        <v>295</v>
      </c>
      <c r="I7136" s="9"/>
    </row>
    <row r="7137" spans="1:9" x14ac:dyDescent="0.25">
      <c r="A7137">
        <v>665012</v>
      </c>
      <c r="B7137">
        <v>1.75</v>
      </c>
      <c r="C7137">
        <v>800</v>
      </c>
      <c r="D7137" s="9">
        <v>42662</v>
      </c>
      <c r="E7137" t="s">
        <v>295</v>
      </c>
      <c r="I7137" s="9"/>
    </row>
    <row r="7138" spans="1:9" x14ac:dyDescent="0.25">
      <c r="A7138">
        <v>665012</v>
      </c>
      <c r="B7138">
        <v>1.75</v>
      </c>
      <c r="C7138">
        <v>800</v>
      </c>
      <c r="D7138" s="9">
        <v>42649</v>
      </c>
      <c r="E7138" t="s">
        <v>295</v>
      </c>
      <c r="I7138" s="9"/>
    </row>
    <row r="7139" spans="1:9" x14ac:dyDescent="0.25">
      <c r="A7139">
        <v>665012</v>
      </c>
      <c r="B7139">
        <v>1.75</v>
      </c>
      <c r="C7139">
        <v>800</v>
      </c>
      <c r="D7139" s="9">
        <v>42576</v>
      </c>
      <c r="E7139" t="s">
        <v>295</v>
      </c>
      <c r="I7139" s="9"/>
    </row>
    <row r="7140" spans="1:9" x14ac:dyDescent="0.25">
      <c r="A7140">
        <v>665012</v>
      </c>
      <c r="B7140">
        <v>1.75</v>
      </c>
      <c r="C7140">
        <v>800</v>
      </c>
      <c r="D7140" s="9">
        <v>42524</v>
      </c>
      <c r="E7140" t="s">
        <v>295</v>
      </c>
      <c r="I7140" s="9"/>
    </row>
    <row r="7141" spans="1:9" x14ac:dyDescent="0.25">
      <c r="A7141">
        <v>665012</v>
      </c>
      <c r="B7141">
        <v>1.75</v>
      </c>
      <c r="C7141">
        <v>800</v>
      </c>
      <c r="D7141" s="9">
        <v>42513</v>
      </c>
      <c r="E7141" t="s">
        <v>295</v>
      </c>
      <c r="I7141" s="9"/>
    </row>
    <row r="7142" spans="1:9" x14ac:dyDescent="0.25">
      <c r="A7142">
        <v>665012</v>
      </c>
      <c r="B7142">
        <v>1.75</v>
      </c>
      <c r="C7142">
        <v>800</v>
      </c>
      <c r="D7142" s="9">
        <v>42471</v>
      </c>
      <c r="E7142" t="s">
        <v>295</v>
      </c>
      <c r="I7142" s="9"/>
    </row>
    <row r="7143" spans="1:9" x14ac:dyDescent="0.25">
      <c r="A7143">
        <v>665012</v>
      </c>
      <c r="B7143">
        <v>1.75</v>
      </c>
      <c r="C7143">
        <v>1600</v>
      </c>
      <c r="D7143" s="9">
        <v>42381</v>
      </c>
      <c r="E7143" t="s">
        <v>295</v>
      </c>
      <c r="I7143" s="9"/>
    </row>
    <row r="7144" spans="1:9" x14ac:dyDescent="0.25">
      <c r="A7144">
        <v>665012</v>
      </c>
      <c r="B7144">
        <v>1.75</v>
      </c>
      <c r="C7144">
        <v>800</v>
      </c>
      <c r="D7144" s="9">
        <v>42305</v>
      </c>
      <c r="E7144" t="s">
        <v>295</v>
      </c>
      <c r="I7144" s="9"/>
    </row>
    <row r="7145" spans="1:9" x14ac:dyDescent="0.25">
      <c r="A7145">
        <v>665012</v>
      </c>
      <c r="B7145">
        <v>1.75</v>
      </c>
      <c r="C7145">
        <v>800</v>
      </c>
      <c r="D7145" s="9">
        <v>42254</v>
      </c>
      <c r="E7145" t="s">
        <v>295</v>
      </c>
      <c r="I7145" s="9"/>
    </row>
    <row r="7146" spans="1:9" x14ac:dyDescent="0.25">
      <c r="A7146">
        <v>665012</v>
      </c>
      <c r="B7146">
        <v>1.75</v>
      </c>
      <c r="C7146">
        <v>800</v>
      </c>
      <c r="D7146" s="9">
        <v>42233</v>
      </c>
      <c r="E7146" t="s">
        <v>295</v>
      </c>
      <c r="I7146" s="9"/>
    </row>
    <row r="7147" spans="1:9" x14ac:dyDescent="0.25">
      <c r="A7147">
        <v>665012</v>
      </c>
      <c r="B7147">
        <v>1.75</v>
      </c>
      <c r="C7147">
        <v>800</v>
      </c>
      <c r="D7147" s="9">
        <v>42188</v>
      </c>
      <c r="E7147" t="s">
        <v>295</v>
      </c>
      <c r="I7147" s="9"/>
    </row>
    <row r="7148" spans="1:9" x14ac:dyDescent="0.25">
      <c r="A7148">
        <v>665012</v>
      </c>
      <c r="B7148">
        <v>1.75</v>
      </c>
      <c r="C7148">
        <v>800</v>
      </c>
      <c r="D7148" s="9">
        <v>42174</v>
      </c>
      <c r="E7148" t="s">
        <v>295</v>
      </c>
      <c r="I7148" s="9"/>
    </row>
    <row r="7149" spans="1:9" x14ac:dyDescent="0.25">
      <c r="A7149">
        <v>665012</v>
      </c>
      <c r="B7149">
        <v>1.75</v>
      </c>
      <c r="C7149">
        <v>800</v>
      </c>
      <c r="D7149" s="9">
        <v>42130</v>
      </c>
      <c r="E7149" t="s">
        <v>295</v>
      </c>
      <c r="I7149" s="9"/>
    </row>
    <row r="7150" spans="1:9" x14ac:dyDescent="0.25">
      <c r="A7150">
        <v>665012</v>
      </c>
      <c r="B7150">
        <v>1.75</v>
      </c>
      <c r="C7150">
        <v>800</v>
      </c>
      <c r="D7150" s="9">
        <v>42121</v>
      </c>
      <c r="E7150" t="s">
        <v>295</v>
      </c>
      <c r="I7150" s="9"/>
    </row>
    <row r="7151" spans="1:9" x14ac:dyDescent="0.25">
      <c r="A7151">
        <v>665012</v>
      </c>
      <c r="B7151">
        <v>0</v>
      </c>
      <c r="C7151">
        <v>800</v>
      </c>
      <c r="D7151" s="9">
        <v>42068</v>
      </c>
      <c r="E7151" t="s">
        <v>295</v>
      </c>
      <c r="I7151" s="9"/>
    </row>
    <row r="7152" spans="1:9" x14ac:dyDescent="0.25">
      <c r="A7152">
        <v>665012</v>
      </c>
      <c r="B7152">
        <v>1.75</v>
      </c>
      <c r="C7152">
        <v>800</v>
      </c>
      <c r="D7152" s="9">
        <v>42032</v>
      </c>
      <c r="E7152" t="s">
        <v>295</v>
      </c>
      <c r="I7152" s="9"/>
    </row>
    <row r="7153" spans="1:9" x14ac:dyDescent="0.25">
      <c r="A7153">
        <v>665012</v>
      </c>
      <c r="B7153">
        <v>1.75</v>
      </c>
      <c r="C7153">
        <v>800</v>
      </c>
      <c r="D7153" s="9">
        <v>41934</v>
      </c>
      <c r="E7153" t="s">
        <v>295</v>
      </c>
      <c r="I7153" s="9"/>
    </row>
    <row r="7154" spans="1:9" x14ac:dyDescent="0.25">
      <c r="A7154">
        <v>665012</v>
      </c>
      <c r="B7154">
        <v>1.75</v>
      </c>
      <c r="C7154">
        <v>800</v>
      </c>
      <c r="D7154" s="9">
        <v>41919</v>
      </c>
      <c r="E7154" t="s">
        <v>295</v>
      </c>
      <c r="I7154" s="9"/>
    </row>
    <row r="7155" spans="1:9" x14ac:dyDescent="0.25">
      <c r="A7155">
        <v>665012</v>
      </c>
      <c r="B7155">
        <v>1.75</v>
      </c>
      <c r="C7155">
        <v>800</v>
      </c>
      <c r="D7155" s="9">
        <v>41877</v>
      </c>
      <c r="E7155" t="s">
        <v>295</v>
      </c>
      <c r="I7155" s="9"/>
    </row>
    <row r="7156" spans="1:9" x14ac:dyDescent="0.25">
      <c r="A7156">
        <v>665012</v>
      </c>
      <c r="B7156">
        <v>1.75</v>
      </c>
      <c r="C7156">
        <v>800</v>
      </c>
      <c r="D7156" s="9">
        <v>41732</v>
      </c>
      <c r="E7156" t="s">
        <v>295</v>
      </c>
      <c r="I7156" s="9"/>
    </row>
    <row r="7157" spans="1:9" x14ac:dyDescent="0.25">
      <c r="A7157">
        <v>665012</v>
      </c>
      <c r="B7157">
        <v>1.75</v>
      </c>
      <c r="C7157">
        <v>800</v>
      </c>
      <c r="D7157" s="9">
        <v>41711</v>
      </c>
      <c r="E7157" t="s">
        <v>295</v>
      </c>
      <c r="I7157" s="9"/>
    </row>
    <row r="7158" spans="1:9" x14ac:dyDescent="0.25">
      <c r="A7158">
        <v>665012</v>
      </c>
      <c r="B7158">
        <v>1.75</v>
      </c>
      <c r="C7158">
        <v>1000</v>
      </c>
      <c r="D7158" s="9">
        <v>41612</v>
      </c>
      <c r="E7158" t="s">
        <v>295</v>
      </c>
      <c r="I7158" s="9"/>
    </row>
    <row r="7159" spans="1:9" x14ac:dyDescent="0.25">
      <c r="A7159">
        <v>665012</v>
      </c>
      <c r="B7159">
        <v>1.75</v>
      </c>
      <c r="C7159">
        <v>1600</v>
      </c>
      <c r="D7159" s="9">
        <v>41584</v>
      </c>
      <c r="E7159" t="s">
        <v>295</v>
      </c>
      <c r="I7159" s="9"/>
    </row>
    <row r="7160" spans="1:9" x14ac:dyDescent="0.25">
      <c r="A7160">
        <v>665012</v>
      </c>
      <c r="B7160">
        <v>1.75</v>
      </c>
      <c r="C7160">
        <v>400</v>
      </c>
      <c r="D7160" s="9">
        <v>41558</v>
      </c>
      <c r="E7160" t="s">
        <v>295</v>
      </c>
      <c r="I7160" s="9"/>
    </row>
    <row r="7161" spans="1:9" x14ac:dyDescent="0.25">
      <c r="A7161">
        <v>665016</v>
      </c>
      <c r="B7161">
        <v>2.65</v>
      </c>
      <c r="C7161">
        <v>500</v>
      </c>
      <c r="D7161" s="9">
        <v>44118</v>
      </c>
      <c r="E7161" t="s">
        <v>295</v>
      </c>
      <c r="I7161" s="9"/>
    </row>
    <row r="7162" spans="1:9" x14ac:dyDescent="0.25">
      <c r="A7162">
        <v>665016</v>
      </c>
      <c r="B7162">
        <v>2.65</v>
      </c>
      <c r="C7162">
        <v>500</v>
      </c>
      <c r="D7162" s="9">
        <v>43784</v>
      </c>
      <c r="E7162" t="s">
        <v>295</v>
      </c>
      <c r="I7162" s="9"/>
    </row>
    <row r="7163" spans="1:9" x14ac:dyDescent="0.25">
      <c r="A7163">
        <v>665016</v>
      </c>
      <c r="B7163">
        <v>2.65</v>
      </c>
      <c r="C7163">
        <v>500</v>
      </c>
      <c r="D7163" s="9">
        <v>43727</v>
      </c>
      <c r="E7163" t="s">
        <v>295</v>
      </c>
      <c r="I7163" s="9"/>
    </row>
    <row r="7164" spans="1:9" x14ac:dyDescent="0.25">
      <c r="A7164">
        <v>665016</v>
      </c>
      <c r="B7164">
        <v>2.65</v>
      </c>
      <c r="C7164">
        <v>500</v>
      </c>
      <c r="D7164" s="9">
        <v>43528</v>
      </c>
      <c r="E7164" t="s">
        <v>295</v>
      </c>
      <c r="I7164" s="9"/>
    </row>
    <row r="7165" spans="1:9" x14ac:dyDescent="0.25">
      <c r="A7165">
        <v>665016</v>
      </c>
      <c r="B7165">
        <v>2.65</v>
      </c>
      <c r="C7165">
        <v>500</v>
      </c>
      <c r="D7165" s="9">
        <v>43475</v>
      </c>
      <c r="E7165" t="s">
        <v>295</v>
      </c>
      <c r="I7165" s="9"/>
    </row>
    <row r="7166" spans="1:9" x14ac:dyDescent="0.25">
      <c r="A7166">
        <v>665016</v>
      </c>
      <c r="B7166">
        <v>2.65</v>
      </c>
      <c r="C7166">
        <v>500</v>
      </c>
      <c r="D7166" s="9">
        <v>43396</v>
      </c>
      <c r="E7166" t="s">
        <v>295</v>
      </c>
      <c r="I7166" s="9"/>
    </row>
    <row r="7167" spans="1:9" x14ac:dyDescent="0.25">
      <c r="A7167">
        <v>665016</v>
      </c>
      <c r="B7167">
        <v>2.65</v>
      </c>
      <c r="C7167">
        <v>500</v>
      </c>
      <c r="D7167" s="9">
        <v>43301</v>
      </c>
      <c r="E7167" t="s">
        <v>295</v>
      </c>
      <c r="I7167" s="9"/>
    </row>
    <row r="7168" spans="1:9" x14ac:dyDescent="0.25">
      <c r="A7168">
        <v>665016</v>
      </c>
      <c r="B7168">
        <v>2.65</v>
      </c>
      <c r="C7168">
        <v>500</v>
      </c>
      <c r="D7168" s="9">
        <v>43294</v>
      </c>
      <c r="E7168" t="s">
        <v>295</v>
      </c>
      <c r="I7168" s="9"/>
    </row>
    <row r="7169" spans="1:9" x14ac:dyDescent="0.25">
      <c r="A7169">
        <v>665016</v>
      </c>
      <c r="B7169">
        <v>2.65</v>
      </c>
      <c r="C7169">
        <v>500</v>
      </c>
      <c r="D7169" s="9">
        <v>43161</v>
      </c>
      <c r="E7169" t="s">
        <v>295</v>
      </c>
      <c r="I7169" s="9"/>
    </row>
    <row r="7170" spans="1:9" x14ac:dyDescent="0.25">
      <c r="A7170">
        <v>665016</v>
      </c>
      <c r="B7170">
        <v>2.65</v>
      </c>
      <c r="C7170">
        <v>500</v>
      </c>
      <c r="D7170" s="9">
        <v>43073</v>
      </c>
      <c r="E7170" t="s">
        <v>295</v>
      </c>
      <c r="I7170" s="9"/>
    </row>
    <row r="7171" spans="1:9" x14ac:dyDescent="0.25">
      <c r="A7171">
        <v>665016</v>
      </c>
      <c r="B7171">
        <v>2.65</v>
      </c>
      <c r="C7171">
        <v>500</v>
      </c>
      <c r="D7171" s="9">
        <v>43027</v>
      </c>
      <c r="E7171" t="s">
        <v>295</v>
      </c>
      <c r="I7171" s="9"/>
    </row>
    <row r="7172" spans="1:9" x14ac:dyDescent="0.25">
      <c r="A7172">
        <v>665016</v>
      </c>
      <c r="B7172">
        <v>2.65</v>
      </c>
      <c r="C7172">
        <v>500</v>
      </c>
      <c r="D7172" s="9">
        <v>43007</v>
      </c>
      <c r="E7172" t="s">
        <v>295</v>
      </c>
      <c r="I7172" s="9"/>
    </row>
    <row r="7173" spans="1:9" x14ac:dyDescent="0.25">
      <c r="A7173">
        <v>665016</v>
      </c>
      <c r="B7173">
        <v>2.65</v>
      </c>
      <c r="C7173">
        <v>450</v>
      </c>
      <c r="D7173" s="9">
        <v>42923</v>
      </c>
      <c r="E7173" t="s">
        <v>295</v>
      </c>
      <c r="I7173" s="9"/>
    </row>
    <row r="7174" spans="1:9" x14ac:dyDescent="0.25">
      <c r="A7174">
        <v>665016</v>
      </c>
      <c r="B7174">
        <v>2.65</v>
      </c>
      <c r="C7174">
        <v>450</v>
      </c>
      <c r="D7174" s="9">
        <v>42745</v>
      </c>
      <c r="E7174" t="s">
        <v>295</v>
      </c>
      <c r="I7174" s="9"/>
    </row>
    <row r="7175" spans="1:9" x14ac:dyDescent="0.25">
      <c r="A7175">
        <v>665016</v>
      </c>
      <c r="B7175">
        <v>2.65</v>
      </c>
      <c r="C7175">
        <v>450</v>
      </c>
      <c r="D7175" s="9">
        <v>42720</v>
      </c>
      <c r="E7175" t="s">
        <v>295</v>
      </c>
      <c r="I7175" s="9"/>
    </row>
    <row r="7176" spans="1:9" x14ac:dyDescent="0.25">
      <c r="A7176">
        <v>665016</v>
      </c>
      <c r="B7176">
        <v>2.65</v>
      </c>
      <c r="C7176">
        <v>900</v>
      </c>
      <c r="D7176" s="9">
        <v>42649</v>
      </c>
      <c r="E7176" t="s">
        <v>295</v>
      </c>
      <c r="I7176" s="9"/>
    </row>
    <row r="7177" spans="1:9" x14ac:dyDescent="0.25">
      <c r="A7177">
        <v>665016</v>
      </c>
      <c r="B7177">
        <v>2.65</v>
      </c>
      <c r="C7177">
        <v>450</v>
      </c>
      <c r="D7177" s="9">
        <v>42558</v>
      </c>
      <c r="E7177" t="s">
        <v>295</v>
      </c>
      <c r="I7177" s="9"/>
    </row>
    <row r="7178" spans="1:9" x14ac:dyDescent="0.25">
      <c r="A7178">
        <v>665016</v>
      </c>
      <c r="B7178">
        <v>2.65</v>
      </c>
      <c r="C7178">
        <v>450</v>
      </c>
      <c r="D7178" s="9">
        <v>42381</v>
      </c>
      <c r="E7178" t="s">
        <v>295</v>
      </c>
      <c r="I7178" s="9"/>
    </row>
    <row r="7179" spans="1:9" x14ac:dyDescent="0.25">
      <c r="A7179">
        <v>665016</v>
      </c>
      <c r="B7179">
        <v>2.65</v>
      </c>
      <c r="C7179">
        <v>450</v>
      </c>
      <c r="D7179" s="9">
        <v>42233</v>
      </c>
      <c r="E7179" t="s">
        <v>295</v>
      </c>
      <c r="I7179" s="9"/>
    </row>
    <row r="7180" spans="1:9" x14ac:dyDescent="0.25">
      <c r="A7180">
        <v>665016</v>
      </c>
      <c r="B7180">
        <v>2.65</v>
      </c>
      <c r="C7180">
        <v>450</v>
      </c>
      <c r="D7180" s="9">
        <v>42180</v>
      </c>
      <c r="E7180" t="s">
        <v>295</v>
      </c>
      <c r="I7180" s="9"/>
    </row>
    <row r="7181" spans="1:9" x14ac:dyDescent="0.25">
      <c r="A7181">
        <v>665016</v>
      </c>
      <c r="B7181">
        <v>2.65</v>
      </c>
      <c r="C7181">
        <v>450</v>
      </c>
      <c r="D7181" s="9">
        <v>42121</v>
      </c>
      <c r="E7181" t="s">
        <v>295</v>
      </c>
      <c r="I7181" s="9"/>
    </row>
    <row r="7182" spans="1:9" x14ac:dyDescent="0.25">
      <c r="A7182">
        <v>665016</v>
      </c>
      <c r="B7182">
        <v>2.65</v>
      </c>
      <c r="C7182">
        <v>450</v>
      </c>
      <c r="D7182" s="9">
        <v>42032</v>
      </c>
      <c r="E7182" t="s">
        <v>295</v>
      </c>
      <c r="I7182" s="9"/>
    </row>
    <row r="7183" spans="1:9" x14ac:dyDescent="0.25">
      <c r="A7183">
        <v>665016</v>
      </c>
      <c r="B7183">
        <v>2.65</v>
      </c>
      <c r="C7183">
        <v>450</v>
      </c>
      <c r="D7183" s="9">
        <v>41960</v>
      </c>
      <c r="E7183" t="s">
        <v>295</v>
      </c>
      <c r="I7183" s="9"/>
    </row>
    <row r="7184" spans="1:9" x14ac:dyDescent="0.25">
      <c r="A7184">
        <v>665016</v>
      </c>
      <c r="B7184">
        <v>2.65</v>
      </c>
      <c r="C7184">
        <v>450</v>
      </c>
      <c r="D7184" s="9">
        <v>41913</v>
      </c>
      <c r="E7184" t="s">
        <v>295</v>
      </c>
      <c r="I7184" s="9"/>
    </row>
    <row r="7185" spans="1:9" x14ac:dyDescent="0.25">
      <c r="A7185">
        <v>665016</v>
      </c>
      <c r="B7185">
        <v>2.65</v>
      </c>
      <c r="C7185">
        <v>900</v>
      </c>
      <c r="D7185" s="9">
        <v>41732</v>
      </c>
      <c r="E7185" t="s">
        <v>295</v>
      </c>
      <c r="I7185" s="9"/>
    </row>
    <row r="7186" spans="1:9" x14ac:dyDescent="0.25">
      <c r="A7186">
        <v>665016</v>
      </c>
      <c r="B7186">
        <v>2.65</v>
      </c>
      <c r="C7186">
        <v>200</v>
      </c>
      <c r="D7186" s="9">
        <v>41676</v>
      </c>
      <c r="E7186" t="s">
        <v>295</v>
      </c>
      <c r="I7186" s="9"/>
    </row>
    <row r="7187" spans="1:9" x14ac:dyDescent="0.25">
      <c r="A7187">
        <v>665016</v>
      </c>
      <c r="B7187">
        <v>2.65</v>
      </c>
      <c r="C7187">
        <v>700</v>
      </c>
      <c r="D7187" s="9">
        <v>41558</v>
      </c>
      <c r="E7187" t="s">
        <v>295</v>
      </c>
      <c r="I7187" s="9"/>
    </row>
    <row r="7188" spans="1:9" x14ac:dyDescent="0.25">
      <c r="A7188">
        <v>665020</v>
      </c>
      <c r="B7188">
        <v>3.1</v>
      </c>
      <c r="C7188">
        <v>600</v>
      </c>
      <c r="D7188" s="9">
        <v>44110</v>
      </c>
      <c r="E7188" t="s">
        <v>295</v>
      </c>
      <c r="I7188" s="9"/>
    </row>
    <row r="7189" spans="1:9" x14ac:dyDescent="0.25">
      <c r="A7189">
        <v>665020</v>
      </c>
      <c r="B7189">
        <v>3.1</v>
      </c>
      <c r="C7189">
        <v>600</v>
      </c>
      <c r="D7189" s="9">
        <v>44033</v>
      </c>
      <c r="E7189" t="s">
        <v>295</v>
      </c>
      <c r="I7189" s="9"/>
    </row>
    <row r="7190" spans="1:9" x14ac:dyDescent="0.25">
      <c r="A7190">
        <v>665020</v>
      </c>
      <c r="B7190">
        <v>3.1</v>
      </c>
      <c r="C7190">
        <v>600</v>
      </c>
      <c r="D7190" s="9">
        <v>43791</v>
      </c>
      <c r="E7190" t="s">
        <v>295</v>
      </c>
      <c r="I7190" s="9"/>
    </row>
    <row r="7191" spans="1:9" x14ac:dyDescent="0.25">
      <c r="A7191">
        <v>665020</v>
      </c>
      <c r="B7191">
        <v>3.1</v>
      </c>
      <c r="C7191">
        <v>600</v>
      </c>
      <c r="D7191" s="9">
        <v>43731</v>
      </c>
      <c r="E7191" t="s">
        <v>295</v>
      </c>
      <c r="I7191" s="9"/>
    </row>
    <row r="7192" spans="1:9" x14ac:dyDescent="0.25">
      <c r="A7192">
        <v>665020</v>
      </c>
      <c r="B7192">
        <v>3.1</v>
      </c>
      <c r="C7192">
        <v>600</v>
      </c>
      <c r="D7192" s="9">
        <v>43664</v>
      </c>
      <c r="E7192" t="s">
        <v>295</v>
      </c>
      <c r="I7192" s="9"/>
    </row>
    <row r="7193" spans="1:9" x14ac:dyDescent="0.25">
      <c r="A7193">
        <v>665020</v>
      </c>
      <c r="B7193">
        <v>3.1</v>
      </c>
      <c r="C7193">
        <v>600</v>
      </c>
      <c r="D7193" s="9">
        <v>43528</v>
      </c>
      <c r="E7193" t="s">
        <v>295</v>
      </c>
      <c r="I7193" s="9"/>
    </row>
    <row r="7194" spans="1:9" x14ac:dyDescent="0.25">
      <c r="A7194">
        <v>665020</v>
      </c>
      <c r="B7194">
        <v>3.1</v>
      </c>
      <c r="C7194">
        <v>600</v>
      </c>
      <c r="D7194" s="9">
        <v>43390</v>
      </c>
      <c r="E7194" t="s">
        <v>295</v>
      </c>
      <c r="I7194" s="9"/>
    </row>
    <row r="7195" spans="1:9" x14ac:dyDescent="0.25">
      <c r="A7195">
        <v>665020</v>
      </c>
      <c r="B7195">
        <v>3.1</v>
      </c>
      <c r="C7195">
        <v>500</v>
      </c>
      <c r="D7195" s="9">
        <v>43384</v>
      </c>
      <c r="E7195" t="s">
        <v>295</v>
      </c>
      <c r="I7195" s="9"/>
    </row>
    <row r="7196" spans="1:9" x14ac:dyDescent="0.25">
      <c r="A7196">
        <v>665020</v>
      </c>
      <c r="B7196">
        <v>3.1</v>
      </c>
      <c r="C7196">
        <v>500</v>
      </c>
      <c r="D7196" s="9">
        <v>43257</v>
      </c>
      <c r="E7196" t="s">
        <v>295</v>
      </c>
      <c r="I7196" s="9"/>
    </row>
    <row r="7197" spans="1:9" x14ac:dyDescent="0.25">
      <c r="A7197">
        <v>665020</v>
      </c>
      <c r="B7197">
        <v>3.1</v>
      </c>
      <c r="C7197">
        <v>500</v>
      </c>
      <c r="D7197" s="9">
        <v>43187</v>
      </c>
      <c r="E7197" t="s">
        <v>295</v>
      </c>
      <c r="I7197" s="9"/>
    </row>
    <row r="7198" spans="1:9" x14ac:dyDescent="0.25">
      <c r="A7198">
        <v>665020</v>
      </c>
      <c r="B7198">
        <v>3.1</v>
      </c>
      <c r="C7198">
        <v>500</v>
      </c>
      <c r="D7198" s="9">
        <v>43161</v>
      </c>
      <c r="E7198" t="s">
        <v>295</v>
      </c>
      <c r="I7198" s="9"/>
    </row>
    <row r="7199" spans="1:9" x14ac:dyDescent="0.25">
      <c r="A7199">
        <v>665020</v>
      </c>
      <c r="B7199">
        <v>3.1</v>
      </c>
      <c r="C7199">
        <v>500</v>
      </c>
      <c r="D7199" s="9">
        <v>43108</v>
      </c>
      <c r="E7199" t="s">
        <v>295</v>
      </c>
      <c r="I7199" s="9"/>
    </row>
    <row r="7200" spans="1:9" x14ac:dyDescent="0.25">
      <c r="A7200">
        <v>665020</v>
      </c>
      <c r="B7200">
        <v>3.1</v>
      </c>
      <c r="C7200">
        <v>500</v>
      </c>
      <c r="D7200" s="9">
        <v>43073</v>
      </c>
      <c r="E7200" t="s">
        <v>295</v>
      </c>
      <c r="I7200" s="9"/>
    </row>
    <row r="7201" spans="1:9" x14ac:dyDescent="0.25">
      <c r="A7201">
        <v>665020</v>
      </c>
      <c r="B7201">
        <v>3.1</v>
      </c>
      <c r="C7201">
        <v>500</v>
      </c>
      <c r="D7201" s="9">
        <v>43053</v>
      </c>
      <c r="E7201" t="s">
        <v>295</v>
      </c>
      <c r="I7201" s="9"/>
    </row>
    <row r="7202" spans="1:9" x14ac:dyDescent="0.25">
      <c r="A7202">
        <v>665020</v>
      </c>
      <c r="B7202">
        <v>3.1</v>
      </c>
      <c r="C7202">
        <v>500</v>
      </c>
      <c r="D7202" s="9">
        <v>43027</v>
      </c>
      <c r="E7202" t="s">
        <v>295</v>
      </c>
      <c r="I7202" s="9"/>
    </row>
    <row r="7203" spans="1:9" x14ac:dyDescent="0.25">
      <c r="A7203">
        <v>665020</v>
      </c>
      <c r="B7203">
        <v>3.1</v>
      </c>
      <c r="C7203">
        <v>500</v>
      </c>
      <c r="D7203" s="9">
        <v>43007</v>
      </c>
      <c r="E7203" t="s">
        <v>295</v>
      </c>
      <c r="I7203" s="9"/>
    </row>
    <row r="7204" spans="1:9" x14ac:dyDescent="0.25">
      <c r="A7204">
        <v>665020</v>
      </c>
      <c r="B7204">
        <v>3.1</v>
      </c>
      <c r="C7204">
        <v>450</v>
      </c>
      <c r="D7204" s="9">
        <v>42943</v>
      </c>
      <c r="E7204" t="s">
        <v>295</v>
      </c>
      <c r="I7204" s="9"/>
    </row>
    <row r="7205" spans="1:9" x14ac:dyDescent="0.25">
      <c r="A7205">
        <v>665020</v>
      </c>
      <c r="B7205">
        <v>3.1</v>
      </c>
      <c r="C7205">
        <v>450</v>
      </c>
      <c r="D7205" s="9">
        <v>42923</v>
      </c>
      <c r="E7205" t="s">
        <v>295</v>
      </c>
      <c r="I7205" s="9"/>
    </row>
    <row r="7206" spans="1:9" x14ac:dyDescent="0.25">
      <c r="A7206">
        <v>665020</v>
      </c>
      <c r="B7206">
        <v>3.1</v>
      </c>
      <c r="C7206">
        <v>450</v>
      </c>
      <c r="D7206" s="9">
        <v>42891</v>
      </c>
      <c r="E7206" t="s">
        <v>295</v>
      </c>
      <c r="I7206" s="9"/>
    </row>
    <row r="7207" spans="1:9" x14ac:dyDescent="0.25">
      <c r="A7207">
        <v>665020</v>
      </c>
      <c r="B7207">
        <v>3.1</v>
      </c>
      <c r="C7207">
        <v>450</v>
      </c>
      <c r="D7207" s="9">
        <v>42836</v>
      </c>
      <c r="E7207" t="s">
        <v>295</v>
      </c>
      <c r="I7207" s="9"/>
    </row>
    <row r="7208" spans="1:9" x14ac:dyDescent="0.25">
      <c r="A7208">
        <v>665020</v>
      </c>
      <c r="B7208">
        <v>3.1</v>
      </c>
      <c r="C7208">
        <v>450</v>
      </c>
      <c r="D7208" s="9">
        <v>42818</v>
      </c>
      <c r="E7208" t="s">
        <v>295</v>
      </c>
      <c r="I7208" s="9"/>
    </row>
    <row r="7209" spans="1:9" x14ac:dyDescent="0.25">
      <c r="A7209">
        <v>665020</v>
      </c>
      <c r="B7209">
        <v>3.1</v>
      </c>
      <c r="C7209">
        <v>450</v>
      </c>
      <c r="D7209" s="9">
        <v>42745</v>
      </c>
      <c r="E7209" t="s">
        <v>295</v>
      </c>
      <c r="I7209" s="9"/>
    </row>
    <row r="7210" spans="1:9" x14ac:dyDescent="0.25">
      <c r="A7210">
        <v>665020</v>
      </c>
      <c r="B7210">
        <v>3.1</v>
      </c>
      <c r="C7210">
        <v>450</v>
      </c>
      <c r="D7210" s="9">
        <v>42662</v>
      </c>
      <c r="E7210" t="s">
        <v>295</v>
      </c>
      <c r="I7210" s="9"/>
    </row>
    <row r="7211" spans="1:9" x14ac:dyDescent="0.25">
      <c r="A7211">
        <v>665020</v>
      </c>
      <c r="B7211">
        <v>3.1</v>
      </c>
      <c r="C7211">
        <v>450</v>
      </c>
      <c r="D7211" s="9">
        <v>42649</v>
      </c>
      <c r="E7211" t="s">
        <v>295</v>
      </c>
      <c r="I7211" s="9"/>
    </row>
    <row r="7212" spans="1:9" x14ac:dyDescent="0.25">
      <c r="A7212">
        <v>665020</v>
      </c>
      <c r="B7212">
        <v>3.1</v>
      </c>
      <c r="C7212">
        <v>450</v>
      </c>
      <c r="D7212" s="9">
        <v>42576</v>
      </c>
      <c r="E7212" t="s">
        <v>295</v>
      </c>
      <c r="I7212" s="9"/>
    </row>
    <row r="7213" spans="1:9" x14ac:dyDescent="0.25">
      <c r="A7213">
        <v>665020</v>
      </c>
      <c r="B7213">
        <v>3.1</v>
      </c>
      <c r="C7213">
        <v>450</v>
      </c>
      <c r="D7213" s="9">
        <v>42558</v>
      </c>
      <c r="E7213" t="s">
        <v>295</v>
      </c>
      <c r="I7213" s="9"/>
    </row>
    <row r="7214" spans="1:9" x14ac:dyDescent="0.25">
      <c r="A7214">
        <v>665020</v>
      </c>
      <c r="B7214">
        <v>3.1</v>
      </c>
      <c r="C7214">
        <v>450</v>
      </c>
      <c r="D7214" s="9">
        <v>42524</v>
      </c>
      <c r="E7214" t="s">
        <v>295</v>
      </c>
      <c r="I7214" s="9"/>
    </row>
    <row r="7215" spans="1:9" x14ac:dyDescent="0.25">
      <c r="A7215">
        <v>665020</v>
      </c>
      <c r="B7215">
        <v>3.1</v>
      </c>
      <c r="C7215">
        <v>450</v>
      </c>
      <c r="D7215" s="9">
        <v>42451</v>
      </c>
      <c r="E7215" t="s">
        <v>295</v>
      </c>
      <c r="I7215" s="9"/>
    </row>
    <row r="7216" spans="1:9" x14ac:dyDescent="0.25">
      <c r="A7216">
        <v>665020</v>
      </c>
      <c r="B7216">
        <v>3.1</v>
      </c>
      <c r="C7216">
        <v>450</v>
      </c>
      <c r="D7216" s="9">
        <v>42381</v>
      </c>
      <c r="E7216" t="s">
        <v>295</v>
      </c>
      <c r="I7216" s="9"/>
    </row>
    <row r="7217" spans="1:9" x14ac:dyDescent="0.25">
      <c r="A7217">
        <v>665020</v>
      </c>
      <c r="B7217">
        <v>3.1</v>
      </c>
      <c r="C7217">
        <v>450</v>
      </c>
      <c r="D7217" s="9">
        <v>42305</v>
      </c>
      <c r="E7217" t="s">
        <v>295</v>
      </c>
      <c r="I7217" s="9"/>
    </row>
    <row r="7218" spans="1:9" x14ac:dyDescent="0.25">
      <c r="A7218">
        <v>665020</v>
      </c>
      <c r="B7218">
        <v>3.1</v>
      </c>
      <c r="C7218">
        <v>450</v>
      </c>
      <c r="D7218" s="9">
        <v>42233</v>
      </c>
      <c r="E7218" t="s">
        <v>295</v>
      </c>
      <c r="I7218" s="9"/>
    </row>
    <row r="7219" spans="1:9" x14ac:dyDescent="0.25">
      <c r="A7219">
        <v>665020</v>
      </c>
      <c r="B7219">
        <v>3.1</v>
      </c>
      <c r="C7219">
        <v>450</v>
      </c>
      <c r="D7219" s="9">
        <v>42212</v>
      </c>
      <c r="E7219" t="s">
        <v>295</v>
      </c>
      <c r="I7219" s="9"/>
    </row>
    <row r="7220" spans="1:9" x14ac:dyDescent="0.25">
      <c r="A7220">
        <v>665020</v>
      </c>
      <c r="B7220">
        <v>3.1</v>
      </c>
      <c r="C7220">
        <v>450</v>
      </c>
      <c r="D7220" s="9">
        <v>42157</v>
      </c>
      <c r="E7220" t="s">
        <v>295</v>
      </c>
      <c r="I7220" s="9"/>
    </row>
    <row r="7221" spans="1:9" x14ac:dyDescent="0.25">
      <c r="A7221">
        <v>665020</v>
      </c>
      <c r="B7221">
        <v>0</v>
      </c>
      <c r="C7221">
        <v>450</v>
      </c>
      <c r="D7221" s="9">
        <v>42081</v>
      </c>
      <c r="E7221" t="s">
        <v>295</v>
      </c>
      <c r="I7221" s="9"/>
    </row>
    <row r="7222" spans="1:9" x14ac:dyDescent="0.25">
      <c r="A7222">
        <v>665020</v>
      </c>
      <c r="B7222">
        <v>0</v>
      </c>
      <c r="C7222">
        <v>450</v>
      </c>
      <c r="D7222" s="9">
        <v>42068</v>
      </c>
      <c r="E7222" t="s">
        <v>295</v>
      </c>
      <c r="I7222" s="9"/>
    </row>
    <row r="7223" spans="1:9" x14ac:dyDescent="0.25">
      <c r="A7223">
        <v>665020</v>
      </c>
      <c r="B7223">
        <v>3.1</v>
      </c>
      <c r="C7223">
        <v>450</v>
      </c>
      <c r="D7223" s="9">
        <v>42032</v>
      </c>
      <c r="E7223" t="s">
        <v>295</v>
      </c>
      <c r="I7223" s="9"/>
    </row>
    <row r="7224" spans="1:9" x14ac:dyDescent="0.25">
      <c r="A7224">
        <v>665020</v>
      </c>
      <c r="B7224">
        <v>3.1</v>
      </c>
      <c r="C7224">
        <v>450</v>
      </c>
      <c r="D7224" s="9">
        <v>41960</v>
      </c>
      <c r="E7224" t="s">
        <v>295</v>
      </c>
      <c r="I7224" s="9"/>
    </row>
    <row r="7225" spans="1:9" x14ac:dyDescent="0.25">
      <c r="A7225">
        <v>665020</v>
      </c>
      <c r="B7225">
        <v>3.1</v>
      </c>
      <c r="C7225">
        <v>450</v>
      </c>
      <c r="D7225" s="9">
        <v>41934</v>
      </c>
      <c r="E7225" t="s">
        <v>295</v>
      </c>
      <c r="I7225" s="9"/>
    </row>
    <row r="7226" spans="1:9" x14ac:dyDescent="0.25">
      <c r="A7226">
        <v>665020</v>
      </c>
      <c r="B7226">
        <v>3.1</v>
      </c>
      <c r="C7226">
        <v>450</v>
      </c>
      <c r="D7226" s="9">
        <v>41913</v>
      </c>
      <c r="E7226" t="s">
        <v>295</v>
      </c>
      <c r="I7226" s="9"/>
    </row>
    <row r="7227" spans="1:9" x14ac:dyDescent="0.25">
      <c r="A7227">
        <v>665020</v>
      </c>
      <c r="B7227">
        <v>3.1</v>
      </c>
      <c r="C7227">
        <v>450</v>
      </c>
      <c r="D7227" s="9">
        <v>41892</v>
      </c>
      <c r="E7227" t="s">
        <v>295</v>
      </c>
      <c r="I7227" s="9"/>
    </row>
    <row r="7228" spans="1:9" x14ac:dyDescent="0.25">
      <c r="A7228">
        <v>665020</v>
      </c>
      <c r="B7228">
        <v>3.1</v>
      </c>
      <c r="C7228">
        <v>450</v>
      </c>
      <c r="D7228" s="9">
        <v>41877</v>
      </c>
      <c r="E7228" t="s">
        <v>295</v>
      </c>
      <c r="I7228" s="9"/>
    </row>
    <row r="7229" spans="1:9" x14ac:dyDescent="0.25">
      <c r="A7229">
        <v>665020</v>
      </c>
      <c r="B7229">
        <v>3.1</v>
      </c>
      <c r="C7229">
        <v>450</v>
      </c>
      <c r="D7229" s="9">
        <v>41820</v>
      </c>
      <c r="E7229" t="s">
        <v>295</v>
      </c>
      <c r="I7229" s="9"/>
    </row>
    <row r="7230" spans="1:9" x14ac:dyDescent="0.25">
      <c r="A7230">
        <v>665020</v>
      </c>
      <c r="B7230">
        <v>3.1</v>
      </c>
      <c r="C7230">
        <v>900</v>
      </c>
      <c r="D7230" s="9">
        <v>41732</v>
      </c>
      <c r="E7230" t="s">
        <v>295</v>
      </c>
      <c r="I7230" s="9"/>
    </row>
    <row r="7231" spans="1:9" x14ac:dyDescent="0.25">
      <c r="A7231">
        <v>665020</v>
      </c>
      <c r="B7231">
        <v>3.1</v>
      </c>
      <c r="C7231">
        <v>600</v>
      </c>
      <c r="D7231" s="9">
        <v>41676</v>
      </c>
      <c r="E7231" t="s">
        <v>295</v>
      </c>
      <c r="I7231" s="9"/>
    </row>
    <row r="7232" spans="1:9" x14ac:dyDescent="0.25">
      <c r="A7232">
        <v>665020</v>
      </c>
      <c r="B7232">
        <v>3.1</v>
      </c>
      <c r="C7232">
        <v>300</v>
      </c>
      <c r="D7232" s="9">
        <v>41612</v>
      </c>
      <c r="E7232" t="s">
        <v>295</v>
      </c>
      <c r="I7232" s="9"/>
    </row>
    <row r="7233" spans="1:9" x14ac:dyDescent="0.25">
      <c r="A7233">
        <v>665020</v>
      </c>
      <c r="B7233">
        <v>3.1</v>
      </c>
      <c r="C7233">
        <v>400</v>
      </c>
      <c r="D7233" s="9">
        <v>41584</v>
      </c>
      <c r="E7233" t="s">
        <v>295</v>
      </c>
      <c r="I7233" s="9"/>
    </row>
    <row r="7234" spans="1:9" x14ac:dyDescent="0.25">
      <c r="A7234">
        <v>665020</v>
      </c>
      <c r="B7234">
        <v>3.1</v>
      </c>
      <c r="C7234">
        <v>400</v>
      </c>
      <c r="D7234" s="9">
        <v>41558</v>
      </c>
      <c r="E7234" t="s">
        <v>295</v>
      </c>
      <c r="I7234" s="9"/>
    </row>
    <row r="7235" spans="1:9" x14ac:dyDescent="0.25">
      <c r="A7235">
        <v>665040</v>
      </c>
      <c r="B7235">
        <v>6.6</v>
      </c>
      <c r="C7235">
        <v>20</v>
      </c>
      <c r="D7235" s="9">
        <v>44084</v>
      </c>
      <c r="E7235" t="s">
        <v>295</v>
      </c>
      <c r="I7235" s="9"/>
    </row>
    <row r="7236" spans="1:9" x14ac:dyDescent="0.25">
      <c r="A7236">
        <v>665040</v>
      </c>
      <c r="B7236">
        <v>6.6</v>
      </c>
      <c r="C7236">
        <v>500</v>
      </c>
      <c r="D7236" s="9">
        <v>43595</v>
      </c>
      <c r="E7236" t="s">
        <v>295</v>
      </c>
      <c r="I7236" s="9"/>
    </row>
    <row r="7237" spans="1:9" x14ac:dyDescent="0.25">
      <c r="A7237">
        <v>665040</v>
      </c>
      <c r="B7237">
        <v>6.6</v>
      </c>
      <c r="C7237">
        <v>100</v>
      </c>
      <c r="D7237" s="9">
        <v>43528</v>
      </c>
      <c r="E7237" t="s">
        <v>295</v>
      </c>
      <c r="I7237" s="9"/>
    </row>
    <row r="7238" spans="1:9" x14ac:dyDescent="0.25">
      <c r="A7238">
        <v>665040</v>
      </c>
      <c r="B7238">
        <v>6.6</v>
      </c>
      <c r="C7238">
        <v>50</v>
      </c>
      <c r="D7238" s="9">
        <v>43384</v>
      </c>
      <c r="E7238" t="s">
        <v>295</v>
      </c>
      <c r="I7238" s="9"/>
    </row>
    <row r="7239" spans="1:9" x14ac:dyDescent="0.25">
      <c r="A7239">
        <v>665040</v>
      </c>
      <c r="B7239">
        <v>6.6</v>
      </c>
      <c r="C7239">
        <v>200</v>
      </c>
      <c r="D7239" s="9">
        <v>43300</v>
      </c>
      <c r="E7239" t="s">
        <v>295</v>
      </c>
      <c r="I7239" s="9"/>
    </row>
    <row r="7240" spans="1:9" x14ac:dyDescent="0.25">
      <c r="A7240">
        <v>665040</v>
      </c>
      <c r="B7240">
        <v>6.6</v>
      </c>
      <c r="C7240">
        <v>50</v>
      </c>
      <c r="D7240" s="9">
        <v>43209</v>
      </c>
      <c r="E7240" t="s">
        <v>295</v>
      </c>
      <c r="I7240" s="9"/>
    </row>
    <row r="7241" spans="1:9" x14ac:dyDescent="0.25">
      <c r="A7241">
        <v>665040</v>
      </c>
      <c r="B7241">
        <v>6.6</v>
      </c>
      <c r="C7241">
        <v>300</v>
      </c>
      <c r="D7241" s="9">
        <v>43187</v>
      </c>
      <c r="E7241" t="s">
        <v>295</v>
      </c>
      <c r="I7241" s="9"/>
    </row>
    <row r="7242" spans="1:9" x14ac:dyDescent="0.25">
      <c r="A7242">
        <v>665040</v>
      </c>
      <c r="B7242">
        <v>6.6</v>
      </c>
      <c r="C7242">
        <v>230</v>
      </c>
      <c r="D7242" s="9">
        <v>43139</v>
      </c>
      <c r="E7242" t="s">
        <v>295</v>
      </c>
      <c r="I7242" s="9"/>
    </row>
    <row r="7243" spans="1:9" x14ac:dyDescent="0.25">
      <c r="A7243">
        <v>665040</v>
      </c>
      <c r="B7243">
        <v>6.6</v>
      </c>
      <c r="C7243">
        <v>100</v>
      </c>
      <c r="D7243" s="9">
        <v>43070</v>
      </c>
      <c r="E7243" t="s">
        <v>295</v>
      </c>
      <c r="I7243" s="9"/>
    </row>
    <row r="7244" spans="1:9" x14ac:dyDescent="0.25">
      <c r="A7244">
        <v>665040</v>
      </c>
      <c r="B7244">
        <v>7.7</v>
      </c>
      <c r="C7244">
        <v>100</v>
      </c>
      <c r="D7244" s="9">
        <v>42835</v>
      </c>
      <c r="E7244" t="s">
        <v>295</v>
      </c>
      <c r="I7244" s="9"/>
    </row>
    <row r="7245" spans="1:9" x14ac:dyDescent="0.25">
      <c r="A7245">
        <v>665040</v>
      </c>
      <c r="B7245">
        <v>7.7</v>
      </c>
      <c r="C7245">
        <v>50</v>
      </c>
      <c r="D7245" s="9">
        <v>42779</v>
      </c>
      <c r="E7245" t="s">
        <v>295</v>
      </c>
      <c r="I7245" s="9"/>
    </row>
    <row r="7246" spans="1:9" x14ac:dyDescent="0.25">
      <c r="A7246">
        <v>665040</v>
      </c>
      <c r="B7246">
        <v>7.7</v>
      </c>
      <c r="C7246">
        <v>20</v>
      </c>
      <c r="D7246" s="9">
        <v>42670</v>
      </c>
      <c r="E7246" t="s">
        <v>295</v>
      </c>
      <c r="I7246" s="9"/>
    </row>
    <row r="7247" spans="1:9" x14ac:dyDescent="0.25">
      <c r="A7247">
        <v>665040</v>
      </c>
      <c r="B7247">
        <v>7.7</v>
      </c>
      <c r="C7247">
        <v>100</v>
      </c>
      <c r="D7247" s="9">
        <v>42178</v>
      </c>
      <c r="E7247" t="s">
        <v>295</v>
      </c>
      <c r="I7247" s="9"/>
    </row>
    <row r="7248" spans="1:9" x14ac:dyDescent="0.25">
      <c r="A7248">
        <v>665040</v>
      </c>
      <c r="B7248">
        <v>7.7</v>
      </c>
      <c r="C7248">
        <v>210</v>
      </c>
      <c r="D7248" s="9">
        <v>42081</v>
      </c>
      <c r="E7248" t="s">
        <v>295</v>
      </c>
      <c r="I7248" s="9"/>
    </row>
    <row r="7249" spans="1:9" x14ac:dyDescent="0.25">
      <c r="A7249">
        <v>665040</v>
      </c>
      <c r="B7249">
        <v>7.7</v>
      </c>
      <c r="C7249">
        <v>50</v>
      </c>
      <c r="D7249" s="9">
        <v>41877</v>
      </c>
      <c r="E7249" t="s">
        <v>295</v>
      </c>
      <c r="I7249" s="9"/>
    </row>
    <row r="7250" spans="1:9" x14ac:dyDescent="0.25">
      <c r="A7250">
        <v>665040</v>
      </c>
      <c r="B7250">
        <v>7.7</v>
      </c>
      <c r="C7250">
        <v>50</v>
      </c>
      <c r="D7250" s="9">
        <v>41842</v>
      </c>
      <c r="E7250" t="s">
        <v>295</v>
      </c>
      <c r="I7250" s="9"/>
    </row>
    <row r="7251" spans="1:9" x14ac:dyDescent="0.25">
      <c r="A7251">
        <v>665065</v>
      </c>
      <c r="B7251">
        <v>7.6</v>
      </c>
      <c r="C7251">
        <v>40</v>
      </c>
      <c r="D7251" s="9">
        <v>44084</v>
      </c>
      <c r="E7251" t="s">
        <v>295</v>
      </c>
      <c r="I7251" s="9"/>
    </row>
    <row r="7252" spans="1:9" x14ac:dyDescent="0.25">
      <c r="A7252">
        <v>665065</v>
      </c>
      <c r="B7252">
        <v>7.6</v>
      </c>
      <c r="C7252">
        <v>20</v>
      </c>
      <c r="D7252" s="9">
        <v>43910</v>
      </c>
      <c r="E7252" t="s">
        <v>295</v>
      </c>
      <c r="I7252" s="9"/>
    </row>
    <row r="7253" spans="1:9" x14ac:dyDescent="0.25">
      <c r="A7253">
        <v>665065</v>
      </c>
      <c r="B7253">
        <v>7.6</v>
      </c>
      <c r="C7253">
        <v>100</v>
      </c>
      <c r="D7253" s="9">
        <v>43731</v>
      </c>
      <c r="E7253" t="s">
        <v>295</v>
      </c>
      <c r="I7253" s="9"/>
    </row>
    <row r="7254" spans="1:9" x14ac:dyDescent="0.25">
      <c r="A7254">
        <v>665065</v>
      </c>
      <c r="B7254">
        <v>7.6</v>
      </c>
      <c r="C7254">
        <v>50</v>
      </c>
      <c r="D7254" s="9">
        <v>43557</v>
      </c>
      <c r="E7254" t="s">
        <v>295</v>
      </c>
      <c r="I7254" s="9"/>
    </row>
    <row r="7255" spans="1:9" x14ac:dyDescent="0.25">
      <c r="A7255">
        <v>665065</v>
      </c>
      <c r="B7255">
        <v>7.6</v>
      </c>
      <c r="C7255">
        <v>100</v>
      </c>
      <c r="D7255" s="9">
        <v>43528</v>
      </c>
      <c r="E7255" t="s">
        <v>295</v>
      </c>
      <c r="I7255" s="9"/>
    </row>
    <row r="7256" spans="1:9" x14ac:dyDescent="0.25">
      <c r="A7256">
        <v>665065</v>
      </c>
      <c r="B7256">
        <v>7.6</v>
      </c>
      <c r="C7256">
        <v>20</v>
      </c>
      <c r="D7256" s="9">
        <v>43384</v>
      </c>
      <c r="E7256" t="s">
        <v>295</v>
      </c>
      <c r="I7256" s="9"/>
    </row>
    <row r="7257" spans="1:9" x14ac:dyDescent="0.25">
      <c r="A7257">
        <v>665065</v>
      </c>
      <c r="B7257">
        <v>7.6</v>
      </c>
      <c r="C7257">
        <v>50</v>
      </c>
      <c r="D7257" s="9">
        <v>43209</v>
      </c>
      <c r="E7257" t="s">
        <v>295</v>
      </c>
      <c r="I7257" s="9"/>
    </row>
    <row r="7258" spans="1:9" x14ac:dyDescent="0.25">
      <c r="A7258">
        <v>665065</v>
      </c>
      <c r="B7258">
        <v>7.6</v>
      </c>
      <c r="C7258">
        <v>120</v>
      </c>
      <c r="D7258" s="9">
        <v>43070</v>
      </c>
      <c r="E7258" t="s">
        <v>295</v>
      </c>
      <c r="I7258" s="9"/>
    </row>
    <row r="7259" spans="1:9" x14ac:dyDescent="0.25">
      <c r="A7259">
        <v>665065</v>
      </c>
      <c r="B7259">
        <v>7.6</v>
      </c>
      <c r="C7259">
        <v>300</v>
      </c>
      <c r="D7259" s="9">
        <v>43053</v>
      </c>
      <c r="E7259" t="s">
        <v>295</v>
      </c>
      <c r="I7259" s="9"/>
    </row>
    <row r="7260" spans="1:9" x14ac:dyDescent="0.25">
      <c r="A7260">
        <v>665065</v>
      </c>
      <c r="B7260">
        <v>8.6999999999999993</v>
      </c>
      <c r="C7260">
        <v>100</v>
      </c>
      <c r="D7260" s="9">
        <v>42835</v>
      </c>
      <c r="E7260" t="s">
        <v>295</v>
      </c>
      <c r="I7260" s="9"/>
    </row>
    <row r="7261" spans="1:9" x14ac:dyDescent="0.25">
      <c r="A7261">
        <v>665065</v>
      </c>
      <c r="B7261">
        <v>8.6999999999999993</v>
      </c>
      <c r="C7261">
        <v>50</v>
      </c>
      <c r="D7261" s="9">
        <v>42779</v>
      </c>
      <c r="E7261" t="s">
        <v>295</v>
      </c>
      <c r="I7261" s="9"/>
    </row>
    <row r="7262" spans="1:9" x14ac:dyDescent="0.25">
      <c r="A7262">
        <v>665065</v>
      </c>
      <c r="B7262">
        <v>8.6999999999999993</v>
      </c>
      <c r="C7262">
        <v>20</v>
      </c>
      <c r="D7262" s="9">
        <v>42745</v>
      </c>
      <c r="E7262" t="s">
        <v>295</v>
      </c>
      <c r="I7262" s="9"/>
    </row>
    <row r="7263" spans="1:9" x14ac:dyDescent="0.25">
      <c r="A7263">
        <v>665065</v>
      </c>
      <c r="B7263">
        <v>8.6999999999999993</v>
      </c>
      <c r="C7263">
        <v>30</v>
      </c>
      <c r="D7263" s="9">
        <v>42670</v>
      </c>
      <c r="E7263" t="s">
        <v>295</v>
      </c>
      <c r="I7263" s="9"/>
    </row>
    <row r="7264" spans="1:9" x14ac:dyDescent="0.25">
      <c r="A7264">
        <v>665065</v>
      </c>
      <c r="B7264">
        <v>8.6999999999999993</v>
      </c>
      <c r="C7264">
        <v>50</v>
      </c>
      <c r="D7264" s="9">
        <v>42436</v>
      </c>
      <c r="E7264" t="s">
        <v>295</v>
      </c>
      <c r="I7264" s="9"/>
    </row>
    <row r="7265" spans="1:9" x14ac:dyDescent="0.25">
      <c r="A7265">
        <v>665065</v>
      </c>
      <c r="B7265">
        <v>8.6999999999999993</v>
      </c>
      <c r="C7265">
        <v>100</v>
      </c>
      <c r="D7265" s="9">
        <v>42249</v>
      </c>
      <c r="E7265" t="s">
        <v>295</v>
      </c>
      <c r="I7265" s="9"/>
    </row>
    <row r="7266" spans="1:9" x14ac:dyDescent="0.25">
      <c r="A7266">
        <v>665065</v>
      </c>
      <c r="B7266">
        <v>8.6999999999999993</v>
      </c>
      <c r="C7266">
        <v>210</v>
      </c>
      <c r="D7266" s="9">
        <v>42178</v>
      </c>
      <c r="E7266" t="s">
        <v>295</v>
      </c>
      <c r="I7266" s="9"/>
    </row>
    <row r="7267" spans="1:9" x14ac:dyDescent="0.25">
      <c r="A7267">
        <v>665065</v>
      </c>
      <c r="B7267">
        <v>8.6999999999999993</v>
      </c>
      <c r="C7267">
        <v>360</v>
      </c>
      <c r="D7267" s="9">
        <v>41877</v>
      </c>
      <c r="E7267" t="s">
        <v>295</v>
      </c>
      <c r="I7267" s="9"/>
    </row>
    <row r="7268" spans="1:9" x14ac:dyDescent="0.25">
      <c r="A7268">
        <v>665065</v>
      </c>
      <c r="B7268">
        <v>8.6999999999999993</v>
      </c>
      <c r="C7268">
        <v>200</v>
      </c>
      <c r="D7268" s="9">
        <v>41752</v>
      </c>
      <c r="E7268" t="s">
        <v>295</v>
      </c>
      <c r="I7268" s="9"/>
    </row>
    <row r="7269" spans="1:9" x14ac:dyDescent="0.25">
      <c r="A7269">
        <v>665090</v>
      </c>
      <c r="B7269">
        <v>9.6</v>
      </c>
      <c r="C7269">
        <v>140</v>
      </c>
      <c r="D7269" s="9">
        <v>44084</v>
      </c>
      <c r="E7269" t="s">
        <v>295</v>
      </c>
      <c r="I7269" s="9"/>
    </row>
    <row r="7270" spans="1:9" x14ac:dyDescent="0.25">
      <c r="A7270">
        <v>665090</v>
      </c>
      <c r="B7270">
        <v>9.6</v>
      </c>
      <c r="C7270">
        <v>180</v>
      </c>
      <c r="D7270" s="9">
        <v>43910</v>
      </c>
      <c r="E7270" t="s">
        <v>295</v>
      </c>
      <c r="I7270" s="9"/>
    </row>
    <row r="7271" spans="1:9" x14ac:dyDescent="0.25">
      <c r="A7271">
        <v>665090</v>
      </c>
      <c r="B7271">
        <v>9.6</v>
      </c>
      <c r="C7271">
        <v>140</v>
      </c>
      <c r="D7271" s="9">
        <v>43731</v>
      </c>
      <c r="E7271" t="s">
        <v>295</v>
      </c>
      <c r="I7271" s="9"/>
    </row>
    <row r="7272" spans="1:9" x14ac:dyDescent="0.25">
      <c r="A7272">
        <v>665090</v>
      </c>
      <c r="B7272">
        <v>9.6</v>
      </c>
      <c r="C7272">
        <v>50</v>
      </c>
      <c r="D7272" s="9">
        <v>43595</v>
      </c>
      <c r="E7272" t="s">
        <v>295</v>
      </c>
      <c r="I7272" s="9"/>
    </row>
    <row r="7273" spans="1:9" x14ac:dyDescent="0.25">
      <c r="A7273">
        <v>665090</v>
      </c>
      <c r="B7273">
        <v>9.6</v>
      </c>
      <c r="C7273">
        <v>150</v>
      </c>
      <c r="D7273" s="9">
        <v>43557</v>
      </c>
      <c r="E7273" t="s">
        <v>295</v>
      </c>
      <c r="I7273" s="9"/>
    </row>
    <row r="7274" spans="1:9" x14ac:dyDescent="0.25">
      <c r="A7274">
        <v>665090</v>
      </c>
      <c r="B7274">
        <v>9.6</v>
      </c>
      <c r="C7274">
        <v>100</v>
      </c>
      <c r="D7274" s="9">
        <v>43528</v>
      </c>
      <c r="E7274" t="s">
        <v>295</v>
      </c>
      <c r="I7274" s="9"/>
    </row>
    <row r="7275" spans="1:9" x14ac:dyDescent="0.25">
      <c r="A7275">
        <v>665090</v>
      </c>
      <c r="B7275">
        <v>9.6</v>
      </c>
      <c r="C7275">
        <v>130</v>
      </c>
      <c r="D7275" s="9">
        <v>43384</v>
      </c>
      <c r="E7275" t="s">
        <v>295</v>
      </c>
      <c r="I7275" s="9"/>
    </row>
    <row r="7276" spans="1:9" x14ac:dyDescent="0.25">
      <c r="A7276">
        <v>665090</v>
      </c>
      <c r="B7276">
        <v>9.6</v>
      </c>
      <c r="C7276">
        <v>100</v>
      </c>
      <c r="D7276" s="9">
        <v>43300</v>
      </c>
      <c r="E7276" t="s">
        <v>295</v>
      </c>
      <c r="I7276" s="9"/>
    </row>
    <row r="7277" spans="1:9" x14ac:dyDescent="0.25">
      <c r="A7277">
        <v>665090</v>
      </c>
      <c r="B7277">
        <v>9.6</v>
      </c>
      <c r="C7277">
        <v>120</v>
      </c>
      <c r="D7277" s="9">
        <v>43209</v>
      </c>
      <c r="E7277" t="s">
        <v>295</v>
      </c>
      <c r="I7277" s="9"/>
    </row>
    <row r="7278" spans="1:9" x14ac:dyDescent="0.25">
      <c r="A7278">
        <v>665090</v>
      </c>
      <c r="B7278">
        <v>9.6</v>
      </c>
      <c r="C7278">
        <v>120</v>
      </c>
      <c r="D7278" s="9">
        <v>43139</v>
      </c>
      <c r="E7278" t="s">
        <v>295</v>
      </c>
      <c r="I7278" s="9"/>
    </row>
    <row r="7279" spans="1:9" x14ac:dyDescent="0.25">
      <c r="A7279">
        <v>665090</v>
      </c>
      <c r="B7279">
        <v>9.6</v>
      </c>
      <c r="C7279">
        <v>120</v>
      </c>
      <c r="D7279" s="9">
        <v>43108</v>
      </c>
      <c r="E7279" t="s">
        <v>295</v>
      </c>
      <c r="I7279" s="9"/>
    </row>
    <row r="7280" spans="1:9" x14ac:dyDescent="0.25">
      <c r="A7280">
        <v>665090</v>
      </c>
      <c r="B7280">
        <v>11</v>
      </c>
      <c r="C7280">
        <v>100</v>
      </c>
      <c r="D7280" s="9">
        <v>42906</v>
      </c>
      <c r="E7280" t="s">
        <v>295</v>
      </c>
      <c r="I7280" s="9"/>
    </row>
    <row r="7281" spans="1:9" x14ac:dyDescent="0.25">
      <c r="A7281">
        <v>665090</v>
      </c>
      <c r="B7281">
        <v>11</v>
      </c>
      <c r="C7281">
        <v>100</v>
      </c>
      <c r="D7281" s="9">
        <v>42835</v>
      </c>
      <c r="E7281" t="s">
        <v>295</v>
      </c>
      <c r="I7281" s="9"/>
    </row>
    <row r="7282" spans="1:9" x14ac:dyDescent="0.25">
      <c r="A7282">
        <v>665090</v>
      </c>
      <c r="B7282">
        <v>11</v>
      </c>
      <c r="C7282">
        <v>80</v>
      </c>
      <c r="D7282" s="9">
        <v>42670</v>
      </c>
      <c r="E7282" t="s">
        <v>295</v>
      </c>
      <c r="I7282" s="9"/>
    </row>
    <row r="7283" spans="1:9" x14ac:dyDescent="0.25">
      <c r="A7283">
        <v>665090</v>
      </c>
      <c r="B7283">
        <v>11</v>
      </c>
      <c r="C7283">
        <v>60</v>
      </c>
      <c r="D7283" s="9">
        <v>42594</v>
      </c>
      <c r="E7283" t="s">
        <v>295</v>
      </c>
      <c r="I7283" s="9"/>
    </row>
    <row r="7284" spans="1:9" x14ac:dyDescent="0.25">
      <c r="A7284">
        <v>665090</v>
      </c>
      <c r="B7284">
        <v>11</v>
      </c>
      <c r="C7284">
        <v>60</v>
      </c>
      <c r="D7284" s="9">
        <v>42537</v>
      </c>
      <c r="E7284" t="s">
        <v>295</v>
      </c>
      <c r="I7284" s="9"/>
    </row>
    <row r="7285" spans="1:9" x14ac:dyDescent="0.25">
      <c r="A7285">
        <v>665090</v>
      </c>
      <c r="B7285">
        <v>11</v>
      </c>
      <c r="C7285">
        <v>130</v>
      </c>
      <c r="D7285" s="9">
        <v>42403</v>
      </c>
      <c r="E7285" t="s">
        <v>295</v>
      </c>
      <c r="I7285" s="9"/>
    </row>
    <row r="7286" spans="1:9" x14ac:dyDescent="0.25">
      <c r="A7286">
        <v>665090</v>
      </c>
      <c r="B7286">
        <v>11</v>
      </c>
      <c r="C7286">
        <v>60</v>
      </c>
      <c r="D7286" s="9">
        <v>42249</v>
      </c>
      <c r="E7286" t="s">
        <v>295</v>
      </c>
      <c r="I7286" s="9"/>
    </row>
    <row r="7287" spans="1:9" x14ac:dyDescent="0.25">
      <c r="A7287">
        <v>665090</v>
      </c>
      <c r="B7287">
        <v>11</v>
      </c>
      <c r="C7287">
        <v>60</v>
      </c>
      <c r="D7287" s="9">
        <v>42178</v>
      </c>
      <c r="E7287" t="s">
        <v>295</v>
      </c>
      <c r="I7287" s="9"/>
    </row>
    <row r="7288" spans="1:9" x14ac:dyDescent="0.25">
      <c r="A7288">
        <v>665090</v>
      </c>
      <c r="B7288">
        <v>11</v>
      </c>
      <c r="C7288">
        <v>130</v>
      </c>
      <c r="D7288" s="9">
        <v>42081</v>
      </c>
      <c r="E7288" t="s">
        <v>295</v>
      </c>
      <c r="I7288" s="9"/>
    </row>
    <row r="7289" spans="1:9" x14ac:dyDescent="0.25">
      <c r="A7289">
        <v>665090</v>
      </c>
      <c r="B7289">
        <v>0</v>
      </c>
      <c r="C7289">
        <v>120</v>
      </c>
      <c r="D7289" s="9">
        <v>42079</v>
      </c>
      <c r="E7289" t="s">
        <v>295</v>
      </c>
      <c r="I7289" s="9"/>
    </row>
    <row r="7290" spans="1:9" x14ac:dyDescent="0.25">
      <c r="A7290">
        <v>665090</v>
      </c>
      <c r="B7290">
        <v>11</v>
      </c>
      <c r="C7290">
        <v>240</v>
      </c>
      <c r="D7290" s="9">
        <v>41877</v>
      </c>
      <c r="E7290" t="s">
        <v>295</v>
      </c>
      <c r="I7290" s="9"/>
    </row>
    <row r="7291" spans="1:9" x14ac:dyDescent="0.25">
      <c r="A7291">
        <v>665090</v>
      </c>
      <c r="B7291">
        <v>11</v>
      </c>
      <c r="C7291">
        <v>300</v>
      </c>
      <c r="D7291" s="9">
        <v>41842</v>
      </c>
      <c r="E7291" t="s">
        <v>295</v>
      </c>
      <c r="I7291" s="9"/>
    </row>
    <row r="7292" spans="1:9" x14ac:dyDescent="0.25">
      <c r="A7292">
        <v>665090</v>
      </c>
      <c r="B7292">
        <v>11</v>
      </c>
      <c r="C7292">
        <v>120</v>
      </c>
      <c r="D7292" s="9">
        <v>41794</v>
      </c>
      <c r="E7292" t="s">
        <v>295</v>
      </c>
      <c r="I7292" s="9"/>
    </row>
    <row r="7293" spans="1:9" x14ac:dyDescent="0.25">
      <c r="A7293">
        <v>665090</v>
      </c>
      <c r="B7293">
        <v>11</v>
      </c>
      <c r="C7293">
        <v>130</v>
      </c>
      <c r="D7293" s="9">
        <v>41752</v>
      </c>
      <c r="E7293" t="s">
        <v>295</v>
      </c>
      <c r="I7293" s="9"/>
    </row>
    <row r="7294" spans="1:9" x14ac:dyDescent="0.25">
      <c r="A7294">
        <v>665090</v>
      </c>
      <c r="B7294">
        <v>11</v>
      </c>
      <c r="C7294">
        <v>120</v>
      </c>
      <c r="D7294" s="9">
        <v>41704</v>
      </c>
      <c r="E7294" t="s">
        <v>295</v>
      </c>
      <c r="I7294" s="9"/>
    </row>
    <row r="7295" spans="1:9" x14ac:dyDescent="0.25">
      <c r="A7295">
        <v>665090</v>
      </c>
      <c r="B7295">
        <v>11</v>
      </c>
      <c r="C7295">
        <v>130</v>
      </c>
      <c r="D7295" s="9">
        <v>41590</v>
      </c>
      <c r="E7295" t="s">
        <v>295</v>
      </c>
      <c r="I7295" s="9"/>
    </row>
    <row r="7296" spans="1:9" x14ac:dyDescent="0.25">
      <c r="A7296">
        <v>665090</v>
      </c>
      <c r="B7296">
        <v>11</v>
      </c>
      <c r="C7296">
        <v>130</v>
      </c>
      <c r="D7296" s="9">
        <v>41565</v>
      </c>
      <c r="E7296" t="s">
        <v>295</v>
      </c>
      <c r="I7296" s="9"/>
    </row>
    <row r="7297" spans="1:9" x14ac:dyDescent="0.25">
      <c r="A7297">
        <v>665140</v>
      </c>
      <c r="B7297">
        <v>6.7</v>
      </c>
      <c r="C7297">
        <v>70</v>
      </c>
      <c r="D7297" s="9">
        <v>43557</v>
      </c>
      <c r="E7297" t="s">
        <v>295</v>
      </c>
      <c r="I7297" s="9"/>
    </row>
    <row r="7298" spans="1:9" x14ac:dyDescent="0.25">
      <c r="A7298">
        <v>665140</v>
      </c>
      <c r="B7298">
        <v>6.7</v>
      </c>
      <c r="C7298">
        <v>90</v>
      </c>
      <c r="D7298" s="9">
        <v>43161</v>
      </c>
      <c r="E7298" t="s">
        <v>295</v>
      </c>
      <c r="I7298" s="9"/>
    </row>
    <row r="7299" spans="1:9" x14ac:dyDescent="0.25">
      <c r="A7299">
        <v>665140</v>
      </c>
      <c r="B7299">
        <v>6.7</v>
      </c>
      <c r="C7299">
        <v>100</v>
      </c>
      <c r="D7299" s="9">
        <v>43070</v>
      </c>
      <c r="E7299" t="s">
        <v>295</v>
      </c>
      <c r="I7299" s="9"/>
    </row>
    <row r="7300" spans="1:9" x14ac:dyDescent="0.25">
      <c r="A7300">
        <v>665165</v>
      </c>
      <c r="B7300">
        <v>7.8</v>
      </c>
      <c r="C7300">
        <v>70</v>
      </c>
      <c r="D7300" s="9">
        <v>44104</v>
      </c>
      <c r="E7300" t="s">
        <v>295</v>
      </c>
      <c r="I7300" s="9"/>
    </row>
    <row r="7301" spans="1:9" x14ac:dyDescent="0.25">
      <c r="A7301">
        <v>665165</v>
      </c>
      <c r="B7301">
        <v>7.8</v>
      </c>
      <c r="C7301">
        <v>65</v>
      </c>
      <c r="D7301" s="9">
        <v>43557</v>
      </c>
      <c r="E7301" t="s">
        <v>295</v>
      </c>
      <c r="I7301" s="9"/>
    </row>
    <row r="7302" spans="1:9" x14ac:dyDescent="0.25">
      <c r="A7302">
        <v>665165</v>
      </c>
      <c r="B7302">
        <v>7.8</v>
      </c>
      <c r="C7302">
        <v>50</v>
      </c>
      <c r="D7302" s="9">
        <v>43536</v>
      </c>
      <c r="E7302" t="s">
        <v>295</v>
      </c>
      <c r="I7302" s="9"/>
    </row>
    <row r="7303" spans="1:9" x14ac:dyDescent="0.25">
      <c r="A7303">
        <v>665165</v>
      </c>
      <c r="B7303">
        <v>7.8</v>
      </c>
      <c r="C7303">
        <v>50</v>
      </c>
      <c r="D7303" s="9">
        <v>43528</v>
      </c>
      <c r="E7303" t="s">
        <v>295</v>
      </c>
      <c r="I7303" s="9"/>
    </row>
    <row r="7304" spans="1:9" x14ac:dyDescent="0.25">
      <c r="A7304">
        <v>665165</v>
      </c>
      <c r="B7304">
        <v>7.8</v>
      </c>
      <c r="C7304">
        <v>80</v>
      </c>
      <c r="D7304" s="9">
        <v>43161</v>
      </c>
      <c r="E7304" t="s">
        <v>295</v>
      </c>
      <c r="I7304" s="9"/>
    </row>
    <row r="7305" spans="1:9" x14ac:dyDescent="0.25">
      <c r="A7305">
        <v>665165</v>
      </c>
      <c r="B7305">
        <v>7.8</v>
      </c>
      <c r="C7305">
        <v>60</v>
      </c>
      <c r="D7305" s="9">
        <v>43070</v>
      </c>
      <c r="E7305" t="s">
        <v>295</v>
      </c>
      <c r="I7305" s="9"/>
    </row>
    <row r="7306" spans="1:9" x14ac:dyDescent="0.25">
      <c r="A7306">
        <v>665190</v>
      </c>
      <c r="B7306">
        <v>10.1</v>
      </c>
      <c r="C7306">
        <v>100</v>
      </c>
      <c r="D7306" s="9">
        <v>44104</v>
      </c>
      <c r="E7306" t="s">
        <v>295</v>
      </c>
      <c r="I7306" s="9"/>
    </row>
    <row r="7307" spans="1:9" x14ac:dyDescent="0.25">
      <c r="A7307">
        <v>665190</v>
      </c>
      <c r="B7307">
        <v>10.1</v>
      </c>
      <c r="C7307">
        <v>50</v>
      </c>
      <c r="D7307" s="9">
        <v>43557</v>
      </c>
      <c r="E7307" t="s">
        <v>295</v>
      </c>
      <c r="I7307" s="9"/>
    </row>
    <row r="7308" spans="1:9" x14ac:dyDescent="0.25">
      <c r="A7308">
        <v>665190</v>
      </c>
      <c r="B7308">
        <v>10.1</v>
      </c>
      <c r="C7308">
        <v>30</v>
      </c>
      <c r="D7308" s="9">
        <v>43161</v>
      </c>
      <c r="E7308" t="s">
        <v>295</v>
      </c>
      <c r="I7308" s="9"/>
    </row>
    <row r="7309" spans="1:9" x14ac:dyDescent="0.25">
      <c r="A7309">
        <v>665190</v>
      </c>
      <c r="B7309">
        <v>10.1</v>
      </c>
      <c r="C7309">
        <v>50</v>
      </c>
      <c r="D7309" s="9">
        <v>43070</v>
      </c>
      <c r="E7309" t="s">
        <v>295</v>
      </c>
      <c r="I7309" s="9"/>
    </row>
    <row r="7310" spans="1:9" x14ac:dyDescent="0.25">
      <c r="A7310">
        <v>667005</v>
      </c>
      <c r="B7310">
        <v>5.8</v>
      </c>
      <c r="C7310">
        <v>30</v>
      </c>
      <c r="D7310" s="9">
        <v>44132</v>
      </c>
      <c r="E7310" t="s">
        <v>295</v>
      </c>
      <c r="I7310" s="9"/>
    </row>
    <row r="7311" spans="1:9" x14ac:dyDescent="0.25">
      <c r="A7311">
        <v>667005</v>
      </c>
      <c r="B7311">
        <v>5.8</v>
      </c>
      <c r="C7311">
        <v>100</v>
      </c>
      <c r="D7311" s="9">
        <v>44089</v>
      </c>
      <c r="E7311" t="s">
        <v>295</v>
      </c>
      <c r="I7311" s="9"/>
    </row>
    <row r="7312" spans="1:9" x14ac:dyDescent="0.25">
      <c r="A7312">
        <v>667005</v>
      </c>
      <c r="B7312">
        <v>5.8</v>
      </c>
      <c r="C7312">
        <v>100</v>
      </c>
      <c r="D7312" s="9">
        <v>44035</v>
      </c>
      <c r="E7312" t="s">
        <v>295</v>
      </c>
      <c r="I7312" s="9"/>
    </row>
    <row r="7313" spans="1:9" x14ac:dyDescent="0.25">
      <c r="A7313">
        <v>667005</v>
      </c>
      <c r="B7313">
        <v>5.4</v>
      </c>
      <c r="C7313">
        <v>100</v>
      </c>
      <c r="D7313" s="9">
        <v>43880</v>
      </c>
      <c r="E7313" t="s">
        <v>295</v>
      </c>
      <c r="I7313" s="9"/>
    </row>
    <row r="7314" spans="1:9" x14ac:dyDescent="0.25">
      <c r="A7314">
        <v>667005</v>
      </c>
      <c r="B7314">
        <v>5.4</v>
      </c>
      <c r="C7314">
        <v>20</v>
      </c>
      <c r="D7314" s="9">
        <v>43784</v>
      </c>
      <c r="E7314" t="s">
        <v>295</v>
      </c>
      <c r="I7314" s="9"/>
    </row>
    <row r="7315" spans="1:9" x14ac:dyDescent="0.25">
      <c r="A7315">
        <v>667005</v>
      </c>
      <c r="B7315">
        <v>5.4</v>
      </c>
      <c r="C7315">
        <v>100</v>
      </c>
      <c r="D7315" s="9">
        <v>43728</v>
      </c>
      <c r="E7315" t="s">
        <v>295</v>
      </c>
      <c r="I7315" s="9"/>
    </row>
    <row r="7316" spans="1:9" x14ac:dyDescent="0.25">
      <c r="A7316">
        <v>667005</v>
      </c>
      <c r="B7316">
        <v>5.4</v>
      </c>
      <c r="C7316">
        <v>150</v>
      </c>
      <c r="D7316" s="9">
        <v>43633</v>
      </c>
      <c r="E7316" t="s">
        <v>295</v>
      </c>
      <c r="I7316" s="9"/>
    </row>
    <row r="7317" spans="1:9" x14ac:dyDescent="0.25">
      <c r="A7317">
        <v>667005</v>
      </c>
      <c r="B7317">
        <v>5.4</v>
      </c>
      <c r="C7317">
        <v>40</v>
      </c>
      <c r="D7317" s="9">
        <v>43494</v>
      </c>
      <c r="E7317" t="s">
        <v>295</v>
      </c>
      <c r="I7317" s="9"/>
    </row>
    <row r="7318" spans="1:9" x14ac:dyDescent="0.25">
      <c r="A7318">
        <v>667005</v>
      </c>
      <c r="B7318">
        <v>5.4</v>
      </c>
      <c r="C7318">
        <v>40</v>
      </c>
      <c r="D7318" s="9">
        <v>43391</v>
      </c>
      <c r="E7318" t="s">
        <v>295</v>
      </c>
      <c r="I7318" s="9"/>
    </row>
    <row r="7319" spans="1:9" x14ac:dyDescent="0.25">
      <c r="A7319">
        <v>667005</v>
      </c>
      <c r="B7319">
        <v>5.4</v>
      </c>
      <c r="C7319">
        <v>50</v>
      </c>
      <c r="D7319" s="9">
        <v>43284</v>
      </c>
      <c r="E7319" t="s">
        <v>295</v>
      </c>
      <c r="I7319" s="9"/>
    </row>
    <row r="7320" spans="1:9" x14ac:dyDescent="0.25">
      <c r="A7320">
        <v>667005</v>
      </c>
      <c r="B7320">
        <v>5.4</v>
      </c>
      <c r="C7320">
        <v>30</v>
      </c>
      <c r="D7320" s="9">
        <v>43181</v>
      </c>
      <c r="E7320" t="s">
        <v>295</v>
      </c>
      <c r="I7320" s="9"/>
    </row>
    <row r="7321" spans="1:9" x14ac:dyDescent="0.25">
      <c r="A7321">
        <v>667005</v>
      </c>
      <c r="B7321">
        <v>5.4</v>
      </c>
      <c r="C7321">
        <v>50</v>
      </c>
      <c r="D7321" s="9">
        <v>43123</v>
      </c>
      <c r="E7321" t="s">
        <v>295</v>
      </c>
      <c r="I7321" s="9"/>
    </row>
    <row r="7322" spans="1:9" x14ac:dyDescent="0.25">
      <c r="A7322">
        <v>667005</v>
      </c>
      <c r="B7322">
        <v>5.4</v>
      </c>
      <c r="C7322">
        <v>50</v>
      </c>
      <c r="D7322" s="9">
        <v>43108</v>
      </c>
      <c r="E7322" t="s">
        <v>295</v>
      </c>
      <c r="I7322" s="9"/>
    </row>
    <row r="7323" spans="1:9" x14ac:dyDescent="0.25">
      <c r="A7323">
        <v>667005</v>
      </c>
      <c r="B7323">
        <v>5.4</v>
      </c>
      <c r="C7323">
        <v>30</v>
      </c>
      <c r="D7323" s="9">
        <v>43073</v>
      </c>
      <c r="E7323" t="s">
        <v>295</v>
      </c>
      <c r="I7323" s="9"/>
    </row>
    <row r="7324" spans="1:9" x14ac:dyDescent="0.25">
      <c r="A7324">
        <v>667005</v>
      </c>
      <c r="B7324">
        <v>5.4</v>
      </c>
      <c r="C7324">
        <v>30</v>
      </c>
      <c r="D7324" s="9">
        <v>42921</v>
      </c>
      <c r="E7324" t="s">
        <v>295</v>
      </c>
      <c r="I7324" s="9"/>
    </row>
    <row r="7325" spans="1:9" x14ac:dyDescent="0.25">
      <c r="A7325">
        <v>667005</v>
      </c>
      <c r="B7325">
        <v>5.4</v>
      </c>
      <c r="C7325">
        <v>150</v>
      </c>
      <c r="D7325" s="9">
        <v>42863</v>
      </c>
      <c r="E7325" t="s">
        <v>295</v>
      </c>
      <c r="I7325" s="9"/>
    </row>
    <row r="7326" spans="1:9" x14ac:dyDescent="0.25">
      <c r="A7326">
        <v>667005</v>
      </c>
      <c r="B7326">
        <v>5.4</v>
      </c>
      <c r="C7326">
        <v>150</v>
      </c>
      <c r="D7326" s="9">
        <v>42836</v>
      </c>
      <c r="E7326" t="s">
        <v>295</v>
      </c>
      <c r="I7326" s="9"/>
    </row>
    <row r="7327" spans="1:9" x14ac:dyDescent="0.25">
      <c r="A7327">
        <v>667005</v>
      </c>
      <c r="B7327">
        <v>5.4</v>
      </c>
      <c r="C7327">
        <v>80</v>
      </c>
      <c r="D7327" s="9">
        <v>42779</v>
      </c>
      <c r="E7327" t="s">
        <v>295</v>
      </c>
      <c r="I7327" s="9"/>
    </row>
    <row r="7328" spans="1:9" x14ac:dyDescent="0.25">
      <c r="A7328">
        <v>667005</v>
      </c>
      <c r="B7328">
        <v>5.4</v>
      </c>
      <c r="C7328">
        <v>20</v>
      </c>
      <c r="D7328" s="9">
        <v>42744</v>
      </c>
      <c r="E7328" t="s">
        <v>295</v>
      </c>
      <c r="I7328" s="9"/>
    </row>
    <row r="7329" spans="1:9" x14ac:dyDescent="0.25">
      <c r="A7329">
        <v>667005</v>
      </c>
      <c r="B7329">
        <v>5.4</v>
      </c>
      <c r="C7329">
        <v>50</v>
      </c>
      <c r="D7329" s="9">
        <v>42684</v>
      </c>
      <c r="E7329" t="s">
        <v>295</v>
      </c>
      <c r="I7329" s="9"/>
    </row>
    <row r="7330" spans="1:9" x14ac:dyDescent="0.25">
      <c r="A7330">
        <v>667005</v>
      </c>
      <c r="B7330">
        <v>5.4</v>
      </c>
      <c r="C7330">
        <v>80</v>
      </c>
      <c r="D7330" s="9">
        <v>42649</v>
      </c>
      <c r="E7330" t="s">
        <v>295</v>
      </c>
      <c r="I7330" s="9"/>
    </row>
    <row r="7331" spans="1:9" x14ac:dyDescent="0.25">
      <c r="A7331">
        <v>667005</v>
      </c>
      <c r="B7331">
        <v>5.4</v>
      </c>
      <c r="C7331">
        <v>30</v>
      </c>
      <c r="D7331" s="9">
        <v>42632</v>
      </c>
      <c r="E7331" t="s">
        <v>295</v>
      </c>
      <c r="I7331" s="9"/>
    </row>
    <row r="7332" spans="1:9" x14ac:dyDescent="0.25">
      <c r="A7332">
        <v>667005</v>
      </c>
      <c r="B7332">
        <v>5.4</v>
      </c>
      <c r="C7332">
        <v>30</v>
      </c>
      <c r="D7332" s="9">
        <v>42605</v>
      </c>
      <c r="E7332" t="s">
        <v>295</v>
      </c>
      <c r="I7332" s="9"/>
    </row>
    <row r="7333" spans="1:9" x14ac:dyDescent="0.25">
      <c r="A7333">
        <v>667005</v>
      </c>
      <c r="B7333">
        <v>5.4</v>
      </c>
      <c r="C7333">
        <v>30</v>
      </c>
      <c r="D7333" s="9">
        <v>42530</v>
      </c>
      <c r="E7333" t="s">
        <v>295</v>
      </c>
      <c r="I7333" s="9"/>
    </row>
    <row r="7334" spans="1:9" x14ac:dyDescent="0.25">
      <c r="A7334">
        <v>667005</v>
      </c>
      <c r="B7334">
        <v>5.4</v>
      </c>
      <c r="C7334">
        <v>60</v>
      </c>
      <c r="D7334" s="9">
        <v>42508</v>
      </c>
      <c r="E7334" t="s">
        <v>295</v>
      </c>
      <c r="I7334" s="9"/>
    </row>
    <row r="7335" spans="1:9" x14ac:dyDescent="0.25">
      <c r="A7335">
        <v>667005</v>
      </c>
      <c r="B7335">
        <v>5.4</v>
      </c>
      <c r="C7335">
        <v>30</v>
      </c>
      <c r="D7335" s="9">
        <v>42479</v>
      </c>
      <c r="E7335" t="s">
        <v>295</v>
      </c>
      <c r="I7335" s="9"/>
    </row>
    <row r="7336" spans="1:9" x14ac:dyDescent="0.25">
      <c r="A7336">
        <v>667005</v>
      </c>
      <c r="B7336">
        <v>5.4</v>
      </c>
      <c r="C7336">
        <v>50</v>
      </c>
      <c r="D7336" s="9">
        <v>42471</v>
      </c>
      <c r="E7336" t="s">
        <v>295</v>
      </c>
      <c r="I7336" s="9"/>
    </row>
    <row r="7337" spans="1:9" x14ac:dyDescent="0.25">
      <c r="A7337">
        <v>667005</v>
      </c>
      <c r="B7337">
        <v>5.4</v>
      </c>
      <c r="C7337">
        <v>100</v>
      </c>
      <c r="D7337" s="9">
        <v>42349</v>
      </c>
      <c r="E7337" t="s">
        <v>295</v>
      </c>
      <c r="I7337" s="9"/>
    </row>
    <row r="7338" spans="1:9" x14ac:dyDescent="0.25">
      <c r="A7338">
        <v>667005</v>
      </c>
      <c r="B7338">
        <v>0</v>
      </c>
      <c r="C7338">
        <v>80</v>
      </c>
      <c r="D7338" s="9">
        <v>42284</v>
      </c>
      <c r="E7338" t="s">
        <v>295</v>
      </c>
      <c r="I7338" s="9"/>
    </row>
    <row r="7339" spans="1:9" x14ac:dyDescent="0.25">
      <c r="A7339">
        <v>667007</v>
      </c>
      <c r="B7339">
        <v>5.9</v>
      </c>
      <c r="C7339">
        <v>60</v>
      </c>
      <c r="D7339" s="9">
        <v>44089</v>
      </c>
      <c r="E7339" t="s">
        <v>295</v>
      </c>
      <c r="I7339" s="9"/>
    </row>
    <row r="7340" spans="1:9" x14ac:dyDescent="0.25">
      <c r="A7340">
        <v>667007</v>
      </c>
      <c r="B7340">
        <v>5.9</v>
      </c>
      <c r="C7340">
        <v>100</v>
      </c>
      <c r="D7340" s="9">
        <v>43910</v>
      </c>
      <c r="E7340" t="s">
        <v>295</v>
      </c>
      <c r="I7340" s="9"/>
    </row>
    <row r="7341" spans="1:9" x14ac:dyDescent="0.25">
      <c r="A7341">
        <v>667007</v>
      </c>
      <c r="B7341">
        <v>5.9</v>
      </c>
      <c r="C7341">
        <v>200</v>
      </c>
      <c r="D7341" s="9">
        <v>43784</v>
      </c>
      <c r="E7341" t="s">
        <v>295</v>
      </c>
      <c r="I7341" s="9"/>
    </row>
    <row r="7342" spans="1:9" x14ac:dyDescent="0.25">
      <c r="A7342">
        <v>667007</v>
      </c>
      <c r="B7342">
        <v>5.9</v>
      </c>
      <c r="C7342">
        <v>250</v>
      </c>
      <c r="D7342" s="9">
        <v>43753</v>
      </c>
      <c r="E7342" t="s">
        <v>295</v>
      </c>
      <c r="I7342" s="9"/>
    </row>
    <row r="7343" spans="1:9" x14ac:dyDescent="0.25">
      <c r="A7343">
        <v>667007</v>
      </c>
      <c r="B7343">
        <v>5.9</v>
      </c>
      <c r="C7343">
        <v>200</v>
      </c>
      <c r="D7343" s="9">
        <v>43728</v>
      </c>
      <c r="E7343" t="s">
        <v>295</v>
      </c>
      <c r="I7343" s="9"/>
    </row>
    <row r="7344" spans="1:9" x14ac:dyDescent="0.25">
      <c r="A7344">
        <v>667007</v>
      </c>
      <c r="B7344">
        <v>5.9</v>
      </c>
      <c r="C7344">
        <v>100</v>
      </c>
      <c r="D7344" s="9">
        <v>43664</v>
      </c>
      <c r="E7344" t="s">
        <v>295</v>
      </c>
      <c r="I7344" s="9"/>
    </row>
    <row r="7345" spans="1:9" x14ac:dyDescent="0.25">
      <c r="A7345">
        <v>667007</v>
      </c>
      <c r="B7345">
        <v>5.9</v>
      </c>
      <c r="C7345">
        <v>150</v>
      </c>
      <c r="D7345" s="9">
        <v>43633</v>
      </c>
      <c r="E7345" t="s">
        <v>295</v>
      </c>
      <c r="I7345" s="9"/>
    </row>
    <row r="7346" spans="1:9" x14ac:dyDescent="0.25">
      <c r="A7346">
        <v>667007</v>
      </c>
      <c r="B7346">
        <v>5.9</v>
      </c>
      <c r="C7346">
        <v>100</v>
      </c>
      <c r="D7346" s="9">
        <v>43530</v>
      </c>
      <c r="E7346" t="s">
        <v>295</v>
      </c>
      <c r="I7346" s="9"/>
    </row>
    <row r="7347" spans="1:9" x14ac:dyDescent="0.25">
      <c r="A7347">
        <v>667007</v>
      </c>
      <c r="B7347">
        <v>5.9</v>
      </c>
      <c r="C7347">
        <v>200</v>
      </c>
      <c r="D7347" s="9">
        <v>43494</v>
      </c>
      <c r="E7347" t="s">
        <v>295</v>
      </c>
      <c r="I7347" s="9"/>
    </row>
    <row r="7348" spans="1:9" x14ac:dyDescent="0.25">
      <c r="A7348">
        <v>667007</v>
      </c>
      <c r="B7348">
        <v>5.9</v>
      </c>
      <c r="C7348">
        <v>300</v>
      </c>
      <c r="D7348" s="9">
        <v>43368</v>
      </c>
      <c r="E7348" t="s">
        <v>295</v>
      </c>
      <c r="I7348" s="9"/>
    </row>
    <row r="7349" spans="1:9" x14ac:dyDescent="0.25">
      <c r="A7349">
        <v>667007</v>
      </c>
      <c r="B7349">
        <v>5.9</v>
      </c>
      <c r="C7349">
        <v>200</v>
      </c>
      <c r="D7349" s="9">
        <v>43284</v>
      </c>
      <c r="E7349" t="s">
        <v>295</v>
      </c>
      <c r="I7349" s="9"/>
    </row>
    <row r="7350" spans="1:9" x14ac:dyDescent="0.25">
      <c r="A7350">
        <v>667007</v>
      </c>
      <c r="B7350">
        <v>5.9</v>
      </c>
      <c r="C7350">
        <v>250</v>
      </c>
      <c r="D7350" s="9">
        <v>43229</v>
      </c>
      <c r="E7350" t="s">
        <v>295</v>
      </c>
      <c r="I7350" s="9"/>
    </row>
    <row r="7351" spans="1:9" x14ac:dyDescent="0.25">
      <c r="A7351">
        <v>667007</v>
      </c>
      <c r="B7351">
        <v>5.9</v>
      </c>
      <c r="C7351">
        <v>150</v>
      </c>
      <c r="D7351" s="9">
        <v>43196</v>
      </c>
      <c r="E7351" t="s">
        <v>295</v>
      </c>
      <c r="I7351" s="9"/>
    </row>
    <row r="7352" spans="1:9" x14ac:dyDescent="0.25">
      <c r="A7352">
        <v>667007</v>
      </c>
      <c r="B7352">
        <v>5.9</v>
      </c>
      <c r="C7352">
        <v>50</v>
      </c>
      <c r="D7352" s="9">
        <v>43181</v>
      </c>
      <c r="E7352" t="s">
        <v>295</v>
      </c>
      <c r="I7352" s="9"/>
    </row>
    <row r="7353" spans="1:9" x14ac:dyDescent="0.25">
      <c r="A7353">
        <v>667007</v>
      </c>
      <c r="B7353">
        <v>5.9</v>
      </c>
      <c r="C7353">
        <v>150</v>
      </c>
      <c r="D7353" s="9">
        <v>43108</v>
      </c>
      <c r="E7353" t="s">
        <v>295</v>
      </c>
      <c r="I7353" s="9"/>
    </row>
    <row r="7354" spans="1:9" x14ac:dyDescent="0.25">
      <c r="A7354">
        <v>667007</v>
      </c>
      <c r="B7354">
        <v>5.9</v>
      </c>
      <c r="C7354">
        <v>200</v>
      </c>
      <c r="D7354" s="9">
        <v>43073</v>
      </c>
      <c r="E7354" t="s">
        <v>295</v>
      </c>
      <c r="I7354" s="9"/>
    </row>
    <row r="7355" spans="1:9" x14ac:dyDescent="0.25">
      <c r="A7355">
        <v>667007</v>
      </c>
      <c r="B7355">
        <v>5.9</v>
      </c>
      <c r="C7355">
        <v>200</v>
      </c>
      <c r="D7355" s="9">
        <v>43054</v>
      </c>
      <c r="E7355" t="s">
        <v>295</v>
      </c>
      <c r="I7355" s="9"/>
    </row>
    <row r="7356" spans="1:9" x14ac:dyDescent="0.25">
      <c r="A7356">
        <v>667007</v>
      </c>
      <c r="B7356">
        <v>5.9</v>
      </c>
      <c r="C7356">
        <v>260</v>
      </c>
      <c r="D7356" s="9">
        <v>43027</v>
      </c>
      <c r="E7356" t="s">
        <v>295</v>
      </c>
      <c r="I7356" s="9"/>
    </row>
    <row r="7357" spans="1:9" x14ac:dyDescent="0.25">
      <c r="A7357">
        <v>667007</v>
      </c>
      <c r="B7357">
        <v>5.9</v>
      </c>
      <c r="C7357">
        <v>200</v>
      </c>
      <c r="D7357" s="9">
        <v>42996</v>
      </c>
      <c r="E7357" t="s">
        <v>295</v>
      </c>
      <c r="I7357" s="9"/>
    </row>
    <row r="7358" spans="1:9" x14ac:dyDescent="0.25">
      <c r="A7358">
        <v>667007</v>
      </c>
      <c r="B7358">
        <v>5.9</v>
      </c>
      <c r="C7358">
        <v>300</v>
      </c>
      <c r="D7358" s="9">
        <v>42921</v>
      </c>
      <c r="E7358" t="s">
        <v>295</v>
      </c>
      <c r="I7358" s="9"/>
    </row>
    <row r="7359" spans="1:9" x14ac:dyDescent="0.25">
      <c r="A7359">
        <v>667007</v>
      </c>
      <c r="B7359">
        <v>5.9</v>
      </c>
      <c r="C7359">
        <v>200</v>
      </c>
      <c r="D7359" s="9">
        <v>42877</v>
      </c>
      <c r="E7359" t="s">
        <v>295</v>
      </c>
      <c r="I7359" s="9"/>
    </row>
    <row r="7360" spans="1:9" x14ac:dyDescent="0.25">
      <c r="A7360">
        <v>667007</v>
      </c>
      <c r="B7360">
        <v>5.9</v>
      </c>
      <c r="C7360">
        <v>300</v>
      </c>
      <c r="D7360" s="9">
        <v>42863</v>
      </c>
      <c r="E7360" t="s">
        <v>295</v>
      </c>
      <c r="I7360" s="9"/>
    </row>
    <row r="7361" spans="1:9" x14ac:dyDescent="0.25">
      <c r="A7361">
        <v>667007</v>
      </c>
      <c r="B7361">
        <v>5.9</v>
      </c>
      <c r="C7361">
        <v>510</v>
      </c>
      <c r="D7361" s="9">
        <v>42850</v>
      </c>
      <c r="E7361" t="s">
        <v>295</v>
      </c>
      <c r="I7361" s="9"/>
    </row>
    <row r="7362" spans="1:9" x14ac:dyDescent="0.25">
      <c r="A7362">
        <v>667007</v>
      </c>
      <c r="B7362">
        <v>5.9</v>
      </c>
      <c r="C7362">
        <v>120</v>
      </c>
      <c r="D7362" s="9">
        <v>42836</v>
      </c>
      <c r="E7362" t="s">
        <v>295</v>
      </c>
      <c r="I7362" s="9"/>
    </row>
    <row r="7363" spans="1:9" x14ac:dyDescent="0.25">
      <c r="A7363">
        <v>667007</v>
      </c>
      <c r="B7363">
        <v>5.8</v>
      </c>
      <c r="C7363">
        <v>300</v>
      </c>
      <c r="D7363" s="9">
        <v>42828</v>
      </c>
      <c r="E7363" t="s">
        <v>295</v>
      </c>
      <c r="I7363" s="9"/>
    </row>
    <row r="7364" spans="1:9" x14ac:dyDescent="0.25">
      <c r="A7364">
        <v>667007</v>
      </c>
      <c r="B7364">
        <v>5.8</v>
      </c>
      <c r="C7364">
        <v>100</v>
      </c>
      <c r="D7364" s="9">
        <v>42779</v>
      </c>
      <c r="E7364" t="s">
        <v>295</v>
      </c>
      <c r="I7364" s="9"/>
    </row>
    <row r="7365" spans="1:9" x14ac:dyDescent="0.25">
      <c r="A7365">
        <v>667007</v>
      </c>
      <c r="B7365">
        <v>5.8</v>
      </c>
      <c r="C7365">
        <v>900</v>
      </c>
      <c r="D7365" s="9">
        <v>42703</v>
      </c>
      <c r="E7365" t="s">
        <v>295</v>
      </c>
      <c r="I7365" s="9"/>
    </row>
    <row r="7366" spans="1:9" x14ac:dyDescent="0.25">
      <c r="A7366">
        <v>667007</v>
      </c>
      <c r="B7366">
        <v>5.9</v>
      </c>
      <c r="C7366">
        <v>30</v>
      </c>
      <c r="D7366" s="9">
        <v>42684</v>
      </c>
      <c r="E7366" t="s">
        <v>295</v>
      </c>
      <c r="I7366" s="9"/>
    </row>
    <row r="7367" spans="1:9" x14ac:dyDescent="0.25">
      <c r="A7367">
        <v>667007</v>
      </c>
      <c r="B7367">
        <v>5.9</v>
      </c>
      <c r="C7367">
        <v>260</v>
      </c>
      <c r="D7367" s="9">
        <v>42649</v>
      </c>
      <c r="E7367" t="s">
        <v>295</v>
      </c>
      <c r="I7367" s="9"/>
    </row>
    <row r="7368" spans="1:9" x14ac:dyDescent="0.25">
      <c r="A7368">
        <v>667007</v>
      </c>
      <c r="B7368">
        <v>5.9</v>
      </c>
      <c r="C7368">
        <v>60</v>
      </c>
      <c r="D7368" s="9">
        <v>42632</v>
      </c>
      <c r="E7368" t="s">
        <v>295</v>
      </c>
      <c r="I7368" s="9"/>
    </row>
    <row r="7369" spans="1:9" x14ac:dyDescent="0.25">
      <c r="A7369">
        <v>667007</v>
      </c>
      <c r="B7369">
        <v>5.9</v>
      </c>
      <c r="C7369">
        <v>50</v>
      </c>
      <c r="D7369" s="9">
        <v>42625</v>
      </c>
      <c r="E7369" t="s">
        <v>295</v>
      </c>
      <c r="I7369" s="9"/>
    </row>
    <row r="7370" spans="1:9" x14ac:dyDescent="0.25">
      <c r="A7370">
        <v>667007</v>
      </c>
      <c r="B7370">
        <v>5.9</v>
      </c>
      <c r="C7370">
        <v>150</v>
      </c>
      <c r="D7370" s="9">
        <v>42605</v>
      </c>
      <c r="E7370" t="s">
        <v>295</v>
      </c>
      <c r="I7370" s="9"/>
    </row>
    <row r="7371" spans="1:9" x14ac:dyDescent="0.25">
      <c r="A7371">
        <v>667007</v>
      </c>
      <c r="B7371">
        <v>5.9</v>
      </c>
      <c r="C7371">
        <v>200</v>
      </c>
      <c r="D7371" s="9">
        <v>42530</v>
      </c>
      <c r="E7371" t="s">
        <v>295</v>
      </c>
      <c r="I7371" s="9"/>
    </row>
    <row r="7372" spans="1:9" x14ac:dyDescent="0.25">
      <c r="A7372">
        <v>667007</v>
      </c>
      <c r="B7372">
        <v>5.9</v>
      </c>
      <c r="C7372">
        <v>140</v>
      </c>
      <c r="D7372" s="9">
        <v>42520</v>
      </c>
      <c r="E7372" t="s">
        <v>295</v>
      </c>
      <c r="I7372" s="9"/>
    </row>
    <row r="7373" spans="1:9" x14ac:dyDescent="0.25">
      <c r="A7373">
        <v>667007</v>
      </c>
      <c r="B7373">
        <v>5.9</v>
      </c>
      <c r="C7373">
        <v>200</v>
      </c>
      <c r="D7373" s="9">
        <v>42513</v>
      </c>
      <c r="E7373" t="s">
        <v>295</v>
      </c>
      <c r="I7373" s="9"/>
    </row>
    <row r="7374" spans="1:9" x14ac:dyDescent="0.25">
      <c r="A7374">
        <v>667007</v>
      </c>
      <c r="B7374">
        <v>5.9</v>
      </c>
      <c r="C7374">
        <v>40</v>
      </c>
      <c r="D7374" s="9">
        <v>42508</v>
      </c>
      <c r="E7374" t="s">
        <v>295</v>
      </c>
      <c r="I7374" s="9"/>
    </row>
    <row r="7375" spans="1:9" x14ac:dyDescent="0.25">
      <c r="A7375">
        <v>667007</v>
      </c>
      <c r="B7375">
        <v>5.9</v>
      </c>
      <c r="C7375">
        <v>160</v>
      </c>
      <c r="D7375" s="9">
        <v>42479</v>
      </c>
      <c r="E7375" t="s">
        <v>295</v>
      </c>
      <c r="I7375" s="9"/>
    </row>
    <row r="7376" spans="1:9" x14ac:dyDescent="0.25">
      <c r="A7376">
        <v>667007</v>
      </c>
      <c r="B7376">
        <v>5.9</v>
      </c>
      <c r="C7376">
        <v>100</v>
      </c>
      <c r="D7376" s="9">
        <v>42471</v>
      </c>
      <c r="E7376" t="s">
        <v>295</v>
      </c>
      <c r="I7376" s="9"/>
    </row>
    <row r="7377" spans="1:9" x14ac:dyDescent="0.25">
      <c r="A7377">
        <v>667007</v>
      </c>
      <c r="B7377">
        <v>5.9</v>
      </c>
      <c r="C7377">
        <v>40</v>
      </c>
      <c r="D7377" s="9">
        <v>42422</v>
      </c>
      <c r="E7377" t="s">
        <v>295</v>
      </c>
      <c r="I7377" s="9"/>
    </row>
    <row r="7378" spans="1:9" x14ac:dyDescent="0.25">
      <c r="A7378">
        <v>667007</v>
      </c>
      <c r="B7378">
        <v>5.9</v>
      </c>
      <c r="C7378">
        <v>150</v>
      </c>
      <c r="D7378" s="9">
        <v>42408</v>
      </c>
      <c r="E7378" t="s">
        <v>295</v>
      </c>
      <c r="I7378" s="9"/>
    </row>
    <row r="7379" spans="1:9" x14ac:dyDescent="0.25">
      <c r="A7379">
        <v>667007</v>
      </c>
      <c r="B7379">
        <v>5.9</v>
      </c>
      <c r="C7379">
        <v>50</v>
      </c>
      <c r="D7379" s="9">
        <v>42381</v>
      </c>
      <c r="E7379" t="s">
        <v>295</v>
      </c>
      <c r="I7379" s="9"/>
    </row>
    <row r="7380" spans="1:9" x14ac:dyDescent="0.25">
      <c r="A7380">
        <v>667007</v>
      </c>
      <c r="B7380">
        <v>5.9</v>
      </c>
      <c r="C7380">
        <v>50</v>
      </c>
      <c r="D7380" s="9">
        <v>42349</v>
      </c>
      <c r="E7380" t="s">
        <v>295</v>
      </c>
      <c r="I7380" s="9"/>
    </row>
    <row r="7381" spans="1:9" x14ac:dyDescent="0.25">
      <c r="A7381">
        <v>667007</v>
      </c>
      <c r="B7381">
        <v>5.9</v>
      </c>
      <c r="C7381">
        <v>50</v>
      </c>
      <c r="D7381" s="9">
        <v>42313</v>
      </c>
      <c r="E7381" t="s">
        <v>295</v>
      </c>
      <c r="I7381" s="9"/>
    </row>
    <row r="7382" spans="1:9" x14ac:dyDescent="0.25">
      <c r="A7382">
        <v>667007</v>
      </c>
      <c r="B7382">
        <v>0</v>
      </c>
      <c r="C7382">
        <v>50</v>
      </c>
      <c r="D7382" s="9">
        <v>42284</v>
      </c>
      <c r="E7382" t="s">
        <v>295</v>
      </c>
      <c r="I7382" s="9"/>
    </row>
    <row r="7383" spans="1:9" x14ac:dyDescent="0.25">
      <c r="A7383">
        <v>667007</v>
      </c>
      <c r="B7383">
        <v>5.9</v>
      </c>
      <c r="C7383">
        <v>50</v>
      </c>
      <c r="D7383" s="9">
        <v>42258</v>
      </c>
      <c r="E7383" t="s">
        <v>295</v>
      </c>
      <c r="I7383" s="9"/>
    </row>
    <row r="7384" spans="1:9" x14ac:dyDescent="0.25">
      <c r="A7384">
        <v>667007</v>
      </c>
      <c r="B7384">
        <v>6.9</v>
      </c>
      <c r="C7384">
        <v>200</v>
      </c>
      <c r="D7384" s="9">
        <v>42233</v>
      </c>
      <c r="E7384" t="s">
        <v>295</v>
      </c>
      <c r="I7384" s="9"/>
    </row>
    <row r="7385" spans="1:9" x14ac:dyDescent="0.25">
      <c r="A7385">
        <v>667007</v>
      </c>
      <c r="B7385">
        <v>6.9</v>
      </c>
      <c r="C7385">
        <v>220</v>
      </c>
      <c r="D7385" s="9">
        <v>42194</v>
      </c>
      <c r="E7385" t="s">
        <v>295</v>
      </c>
      <c r="I7385" s="9"/>
    </row>
    <row r="7386" spans="1:9" x14ac:dyDescent="0.25">
      <c r="A7386">
        <v>667007</v>
      </c>
      <c r="B7386">
        <v>6.9</v>
      </c>
      <c r="C7386">
        <v>150</v>
      </c>
      <c r="D7386" s="9">
        <v>42174</v>
      </c>
      <c r="E7386" t="s">
        <v>295</v>
      </c>
      <c r="I7386" s="9"/>
    </row>
    <row r="7387" spans="1:9" x14ac:dyDescent="0.25">
      <c r="A7387">
        <v>667007</v>
      </c>
      <c r="B7387">
        <v>6.9</v>
      </c>
      <c r="C7387">
        <v>120</v>
      </c>
      <c r="D7387" s="9">
        <v>42146</v>
      </c>
      <c r="E7387" t="s">
        <v>295</v>
      </c>
      <c r="I7387" s="9"/>
    </row>
    <row r="7388" spans="1:9" x14ac:dyDescent="0.25">
      <c r="A7388">
        <v>667007</v>
      </c>
      <c r="B7388">
        <v>6.9</v>
      </c>
      <c r="C7388">
        <v>100</v>
      </c>
      <c r="D7388" s="9">
        <v>42130</v>
      </c>
      <c r="E7388" t="s">
        <v>295</v>
      </c>
      <c r="I7388" s="9"/>
    </row>
    <row r="7389" spans="1:9" x14ac:dyDescent="0.25">
      <c r="A7389">
        <v>667007</v>
      </c>
      <c r="B7389">
        <v>6.9</v>
      </c>
      <c r="C7389">
        <v>60</v>
      </c>
      <c r="D7389" s="9">
        <v>42103</v>
      </c>
      <c r="E7389" t="s">
        <v>295</v>
      </c>
      <c r="I7389" s="9"/>
    </row>
    <row r="7390" spans="1:9" x14ac:dyDescent="0.25">
      <c r="A7390">
        <v>667007</v>
      </c>
      <c r="B7390">
        <v>6.9</v>
      </c>
      <c r="C7390">
        <v>200</v>
      </c>
      <c r="D7390" s="9">
        <v>42032</v>
      </c>
      <c r="E7390" t="s">
        <v>295</v>
      </c>
      <c r="I7390" s="9"/>
    </row>
    <row r="7391" spans="1:9" x14ac:dyDescent="0.25">
      <c r="A7391">
        <v>667007</v>
      </c>
      <c r="B7391">
        <v>6.9</v>
      </c>
      <c r="C7391">
        <v>100</v>
      </c>
      <c r="D7391" s="9">
        <v>41984</v>
      </c>
      <c r="E7391" t="s">
        <v>295</v>
      </c>
      <c r="I7391" s="9"/>
    </row>
    <row r="7392" spans="1:9" x14ac:dyDescent="0.25">
      <c r="A7392">
        <v>667007</v>
      </c>
      <c r="B7392">
        <v>6.9</v>
      </c>
      <c r="C7392">
        <v>100</v>
      </c>
      <c r="D7392" s="9">
        <v>41982</v>
      </c>
      <c r="E7392" t="s">
        <v>295</v>
      </c>
      <c r="I7392" s="9"/>
    </row>
    <row r="7393" spans="1:9" x14ac:dyDescent="0.25">
      <c r="A7393">
        <v>667007</v>
      </c>
      <c r="B7393">
        <v>6.83</v>
      </c>
      <c r="C7393">
        <v>200</v>
      </c>
      <c r="D7393" s="9">
        <v>41960</v>
      </c>
      <c r="E7393" t="s">
        <v>295</v>
      </c>
      <c r="I7393" s="9"/>
    </row>
    <row r="7394" spans="1:9" x14ac:dyDescent="0.25">
      <c r="A7394">
        <v>667007</v>
      </c>
      <c r="B7394">
        <v>6.9</v>
      </c>
      <c r="C7394">
        <v>100</v>
      </c>
      <c r="D7394" s="9">
        <v>41957</v>
      </c>
      <c r="E7394" t="s">
        <v>295</v>
      </c>
      <c r="I7394" s="9"/>
    </row>
    <row r="7395" spans="1:9" x14ac:dyDescent="0.25">
      <c r="A7395">
        <v>667007</v>
      </c>
      <c r="B7395">
        <v>6.9</v>
      </c>
      <c r="C7395">
        <v>100</v>
      </c>
      <c r="D7395" s="9">
        <v>41935</v>
      </c>
      <c r="E7395" t="s">
        <v>295</v>
      </c>
      <c r="I7395" s="9"/>
    </row>
    <row r="7396" spans="1:9" x14ac:dyDescent="0.25">
      <c r="A7396">
        <v>667007</v>
      </c>
      <c r="B7396">
        <v>6.9</v>
      </c>
      <c r="C7396">
        <v>320</v>
      </c>
      <c r="D7396" s="9">
        <v>41880</v>
      </c>
      <c r="E7396" t="s">
        <v>295</v>
      </c>
      <c r="I7396" s="9"/>
    </row>
    <row r="7397" spans="1:9" x14ac:dyDescent="0.25">
      <c r="A7397">
        <v>667007</v>
      </c>
      <c r="B7397">
        <v>6.9</v>
      </c>
      <c r="C7397">
        <v>50</v>
      </c>
      <c r="D7397" s="9">
        <v>41877</v>
      </c>
      <c r="E7397" t="s">
        <v>295</v>
      </c>
      <c r="I7397" s="9"/>
    </row>
    <row r="7398" spans="1:9" x14ac:dyDescent="0.25">
      <c r="A7398">
        <v>667007</v>
      </c>
      <c r="B7398">
        <v>6.9</v>
      </c>
      <c r="C7398">
        <v>50</v>
      </c>
      <c r="D7398" s="9">
        <v>41844</v>
      </c>
      <c r="E7398" t="s">
        <v>295</v>
      </c>
      <c r="I7398" s="9"/>
    </row>
    <row r="7399" spans="1:9" x14ac:dyDescent="0.25">
      <c r="A7399">
        <v>667007</v>
      </c>
      <c r="B7399">
        <v>6.9</v>
      </c>
      <c r="C7399">
        <v>100</v>
      </c>
      <c r="D7399" s="9">
        <v>41820</v>
      </c>
      <c r="E7399" t="s">
        <v>295</v>
      </c>
      <c r="I7399" s="9"/>
    </row>
    <row r="7400" spans="1:9" x14ac:dyDescent="0.25">
      <c r="A7400">
        <v>667007</v>
      </c>
      <c r="B7400">
        <v>6.9</v>
      </c>
      <c r="C7400">
        <v>50</v>
      </c>
      <c r="D7400" s="9">
        <v>41794</v>
      </c>
      <c r="E7400" t="s">
        <v>295</v>
      </c>
      <c r="I7400" s="9"/>
    </row>
    <row r="7401" spans="1:9" x14ac:dyDescent="0.25">
      <c r="A7401">
        <v>667007</v>
      </c>
      <c r="B7401">
        <v>6.9</v>
      </c>
      <c r="C7401">
        <v>50</v>
      </c>
      <c r="D7401" s="9">
        <v>41744</v>
      </c>
      <c r="E7401" t="s">
        <v>295</v>
      </c>
      <c r="I7401" s="9"/>
    </row>
    <row r="7402" spans="1:9" x14ac:dyDescent="0.25">
      <c r="A7402">
        <v>667007</v>
      </c>
      <c r="B7402">
        <v>6.9</v>
      </c>
      <c r="C7402">
        <v>50</v>
      </c>
      <c r="D7402" s="9">
        <v>41731</v>
      </c>
      <c r="E7402" t="s">
        <v>295</v>
      </c>
      <c r="I7402" s="9"/>
    </row>
    <row r="7403" spans="1:9" x14ac:dyDescent="0.25">
      <c r="A7403">
        <v>667007</v>
      </c>
      <c r="B7403">
        <v>6.9</v>
      </c>
      <c r="C7403">
        <v>30</v>
      </c>
      <c r="D7403" s="9">
        <v>41704</v>
      </c>
      <c r="E7403" t="s">
        <v>295</v>
      </c>
      <c r="I7403" s="9"/>
    </row>
    <row r="7404" spans="1:9" x14ac:dyDescent="0.25">
      <c r="A7404">
        <v>667007</v>
      </c>
      <c r="B7404">
        <v>6.9</v>
      </c>
      <c r="C7404">
        <v>100</v>
      </c>
      <c r="D7404" s="9">
        <v>41660</v>
      </c>
      <c r="E7404" t="s">
        <v>295</v>
      </c>
      <c r="I7404" s="9"/>
    </row>
    <row r="7405" spans="1:9" x14ac:dyDescent="0.25">
      <c r="A7405">
        <v>667010</v>
      </c>
      <c r="B7405">
        <v>6.2</v>
      </c>
      <c r="C7405">
        <v>100</v>
      </c>
      <c r="D7405" s="9">
        <v>43910</v>
      </c>
      <c r="E7405" t="s">
        <v>295</v>
      </c>
      <c r="I7405" s="9"/>
    </row>
    <row r="7406" spans="1:9" x14ac:dyDescent="0.25">
      <c r="A7406">
        <v>667010</v>
      </c>
      <c r="B7406">
        <v>6.2</v>
      </c>
      <c r="C7406">
        <v>100</v>
      </c>
      <c r="D7406" s="9">
        <v>43796</v>
      </c>
      <c r="E7406" t="s">
        <v>295</v>
      </c>
      <c r="I7406" s="9"/>
    </row>
    <row r="7407" spans="1:9" x14ac:dyDescent="0.25">
      <c r="A7407">
        <v>667010</v>
      </c>
      <c r="B7407">
        <v>6.2</v>
      </c>
      <c r="C7407">
        <v>150</v>
      </c>
      <c r="D7407" s="9">
        <v>43753</v>
      </c>
      <c r="E7407" t="s">
        <v>295</v>
      </c>
      <c r="I7407" s="9"/>
    </row>
    <row r="7408" spans="1:9" x14ac:dyDescent="0.25">
      <c r="A7408">
        <v>667010</v>
      </c>
      <c r="B7408">
        <v>6.2</v>
      </c>
      <c r="C7408">
        <v>350</v>
      </c>
      <c r="D7408" s="9">
        <v>43728</v>
      </c>
      <c r="E7408" t="s">
        <v>295</v>
      </c>
      <c r="I7408" s="9"/>
    </row>
    <row r="7409" spans="1:9" x14ac:dyDescent="0.25">
      <c r="A7409">
        <v>667010</v>
      </c>
      <c r="B7409">
        <v>6.2</v>
      </c>
      <c r="C7409">
        <v>100</v>
      </c>
      <c r="D7409" s="9">
        <v>43664</v>
      </c>
      <c r="E7409" t="s">
        <v>295</v>
      </c>
      <c r="I7409" s="9"/>
    </row>
    <row r="7410" spans="1:9" x14ac:dyDescent="0.25">
      <c r="A7410">
        <v>667010</v>
      </c>
      <c r="B7410">
        <v>6.2</v>
      </c>
      <c r="C7410">
        <v>100</v>
      </c>
      <c r="D7410" s="9">
        <v>43530</v>
      </c>
      <c r="E7410" t="s">
        <v>295</v>
      </c>
      <c r="I7410" s="9"/>
    </row>
    <row r="7411" spans="1:9" x14ac:dyDescent="0.25">
      <c r="A7411">
        <v>667010</v>
      </c>
      <c r="B7411">
        <v>6.2</v>
      </c>
      <c r="C7411">
        <v>200</v>
      </c>
      <c r="D7411" s="9">
        <v>43432</v>
      </c>
      <c r="E7411" t="s">
        <v>295</v>
      </c>
      <c r="I7411" s="9"/>
    </row>
    <row r="7412" spans="1:9" x14ac:dyDescent="0.25">
      <c r="A7412">
        <v>667010</v>
      </c>
      <c r="B7412">
        <v>6.2</v>
      </c>
      <c r="C7412">
        <v>100</v>
      </c>
      <c r="D7412" s="9">
        <v>43368</v>
      </c>
      <c r="E7412" t="s">
        <v>295</v>
      </c>
      <c r="I7412" s="9"/>
    </row>
    <row r="7413" spans="1:9" x14ac:dyDescent="0.25">
      <c r="A7413">
        <v>667010</v>
      </c>
      <c r="B7413">
        <v>6.2</v>
      </c>
      <c r="C7413">
        <v>200</v>
      </c>
      <c r="D7413" s="9">
        <v>43257</v>
      </c>
      <c r="E7413" t="s">
        <v>295</v>
      </c>
      <c r="I7413" s="9"/>
    </row>
    <row r="7414" spans="1:9" x14ac:dyDescent="0.25">
      <c r="A7414">
        <v>667010</v>
      </c>
      <c r="B7414">
        <v>6.2</v>
      </c>
      <c r="C7414">
        <v>200</v>
      </c>
      <c r="D7414" s="9">
        <v>43209</v>
      </c>
      <c r="E7414" t="s">
        <v>295</v>
      </c>
      <c r="I7414" s="9"/>
    </row>
    <row r="7415" spans="1:9" x14ac:dyDescent="0.25">
      <c r="A7415">
        <v>667010</v>
      </c>
      <c r="B7415">
        <v>6.2</v>
      </c>
      <c r="C7415">
        <v>50</v>
      </c>
      <c r="D7415" s="9">
        <v>43196</v>
      </c>
      <c r="E7415" t="s">
        <v>295</v>
      </c>
      <c r="I7415" s="9"/>
    </row>
    <row r="7416" spans="1:9" x14ac:dyDescent="0.25">
      <c r="A7416">
        <v>667010</v>
      </c>
      <c r="B7416">
        <v>6.2</v>
      </c>
      <c r="C7416">
        <v>140</v>
      </c>
      <c r="D7416" s="9">
        <v>43139</v>
      </c>
      <c r="E7416" t="s">
        <v>295</v>
      </c>
      <c r="I7416" s="9"/>
    </row>
    <row r="7417" spans="1:9" x14ac:dyDescent="0.25">
      <c r="A7417">
        <v>667010</v>
      </c>
      <c r="B7417">
        <v>6.2</v>
      </c>
      <c r="C7417">
        <v>100</v>
      </c>
      <c r="D7417" s="9">
        <v>43123</v>
      </c>
      <c r="E7417" t="s">
        <v>295</v>
      </c>
      <c r="I7417" s="9"/>
    </row>
    <row r="7418" spans="1:9" x14ac:dyDescent="0.25">
      <c r="A7418">
        <v>667010</v>
      </c>
      <c r="B7418">
        <v>6.2</v>
      </c>
      <c r="C7418">
        <v>150</v>
      </c>
      <c r="D7418" s="9">
        <v>43108</v>
      </c>
      <c r="E7418" t="s">
        <v>295</v>
      </c>
      <c r="I7418" s="9"/>
    </row>
    <row r="7419" spans="1:9" x14ac:dyDescent="0.25">
      <c r="A7419">
        <v>667010</v>
      </c>
      <c r="B7419">
        <v>6.2</v>
      </c>
      <c r="C7419">
        <v>100</v>
      </c>
      <c r="D7419" s="9">
        <v>43054</v>
      </c>
      <c r="E7419" t="s">
        <v>295</v>
      </c>
      <c r="I7419" s="9"/>
    </row>
    <row r="7420" spans="1:9" x14ac:dyDescent="0.25">
      <c r="A7420">
        <v>667010</v>
      </c>
      <c r="B7420">
        <v>6.2</v>
      </c>
      <c r="C7420">
        <v>200</v>
      </c>
      <c r="D7420" s="9">
        <v>43027</v>
      </c>
      <c r="E7420" t="s">
        <v>295</v>
      </c>
      <c r="I7420" s="9"/>
    </row>
    <row r="7421" spans="1:9" x14ac:dyDescent="0.25">
      <c r="A7421">
        <v>667010</v>
      </c>
      <c r="B7421">
        <v>6.2</v>
      </c>
      <c r="C7421">
        <v>200</v>
      </c>
      <c r="D7421" s="9">
        <v>42921</v>
      </c>
      <c r="E7421" t="s">
        <v>295</v>
      </c>
      <c r="I7421" s="9"/>
    </row>
    <row r="7422" spans="1:9" x14ac:dyDescent="0.25">
      <c r="A7422">
        <v>667010</v>
      </c>
      <c r="B7422">
        <v>6.2</v>
      </c>
      <c r="C7422">
        <v>200</v>
      </c>
      <c r="D7422" s="9">
        <v>42891</v>
      </c>
      <c r="E7422" t="s">
        <v>295</v>
      </c>
      <c r="I7422" s="9"/>
    </row>
    <row r="7423" spans="1:9" x14ac:dyDescent="0.25">
      <c r="A7423">
        <v>667010</v>
      </c>
      <c r="B7423">
        <v>6.2</v>
      </c>
      <c r="C7423">
        <v>200</v>
      </c>
      <c r="D7423" s="9">
        <v>42877</v>
      </c>
      <c r="E7423" t="s">
        <v>295</v>
      </c>
      <c r="I7423" s="9"/>
    </row>
    <row r="7424" spans="1:9" x14ac:dyDescent="0.25">
      <c r="A7424">
        <v>667010</v>
      </c>
      <c r="B7424">
        <v>6.3</v>
      </c>
      <c r="C7424">
        <v>150</v>
      </c>
      <c r="D7424" s="9">
        <v>42836</v>
      </c>
      <c r="E7424" t="s">
        <v>295</v>
      </c>
      <c r="I7424" s="9"/>
    </row>
    <row r="7425" spans="1:9" x14ac:dyDescent="0.25">
      <c r="A7425">
        <v>667010</v>
      </c>
      <c r="B7425">
        <v>6.2</v>
      </c>
      <c r="C7425">
        <v>200</v>
      </c>
      <c r="D7425" s="9">
        <v>42828</v>
      </c>
      <c r="E7425" t="s">
        <v>295</v>
      </c>
      <c r="I7425" s="9"/>
    </row>
    <row r="7426" spans="1:9" x14ac:dyDescent="0.25">
      <c r="A7426">
        <v>667010</v>
      </c>
      <c r="B7426">
        <v>6.2</v>
      </c>
      <c r="C7426">
        <v>100</v>
      </c>
      <c r="D7426" s="9">
        <v>42779</v>
      </c>
      <c r="E7426" t="s">
        <v>295</v>
      </c>
      <c r="I7426" s="9"/>
    </row>
    <row r="7427" spans="1:9" x14ac:dyDescent="0.25">
      <c r="A7427">
        <v>667010</v>
      </c>
      <c r="B7427">
        <v>6.2</v>
      </c>
      <c r="C7427">
        <v>200</v>
      </c>
      <c r="D7427" s="9">
        <v>42754</v>
      </c>
      <c r="E7427" t="s">
        <v>295</v>
      </c>
      <c r="I7427" s="9"/>
    </row>
    <row r="7428" spans="1:9" x14ac:dyDescent="0.25">
      <c r="A7428">
        <v>667010</v>
      </c>
      <c r="B7428">
        <v>6.2</v>
      </c>
      <c r="C7428">
        <v>200</v>
      </c>
      <c r="D7428" s="9">
        <v>42703</v>
      </c>
      <c r="E7428" t="s">
        <v>295</v>
      </c>
      <c r="I7428" s="9"/>
    </row>
    <row r="7429" spans="1:9" x14ac:dyDescent="0.25">
      <c r="A7429">
        <v>667010</v>
      </c>
      <c r="B7429">
        <v>6.3</v>
      </c>
      <c r="C7429">
        <v>200</v>
      </c>
      <c r="D7429" s="9">
        <v>42649</v>
      </c>
      <c r="E7429" t="s">
        <v>295</v>
      </c>
      <c r="I7429" s="9"/>
    </row>
    <row r="7430" spans="1:9" x14ac:dyDescent="0.25">
      <c r="A7430">
        <v>667010</v>
      </c>
      <c r="B7430">
        <v>6.3</v>
      </c>
      <c r="C7430">
        <v>60</v>
      </c>
      <c r="D7430" s="9">
        <v>42632</v>
      </c>
      <c r="E7430" t="s">
        <v>295</v>
      </c>
      <c r="I7430" s="9"/>
    </row>
    <row r="7431" spans="1:9" x14ac:dyDescent="0.25">
      <c r="A7431">
        <v>667010</v>
      </c>
      <c r="B7431">
        <v>6.3</v>
      </c>
      <c r="C7431">
        <v>170</v>
      </c>
      <c r="D7431" s="9">
        <v>42625</v>
      </c>
      <c r="E7431" t="s">
        <v>295</v>
      </c>
      <c r="I7431" s="9"/>
    </row>
    <row r="7432" spans="1:9" x14ac:dyDescent="0.25">
      <c r="A7432">
        <v>667010</v>
      </c>
      <c r="B7432">
        <v>6.3</v>
      </c>
      <c r="C7432">
        <v>80</v>
      </c>
      <c r="D7432" s="9">
        <v>42605</v>
      </c>
      <c r="E7432" t="s">
        <v>295</v>
      </c>
      <c r="I7432" s="9"/>
    </row>
    <row r="7433" spans="1:9" x14ac:dyDescent="0.25">
      <c r="A7433">
        <v>667010</v>
      </c>
      <c r="B7433">
        <v>6.3</v>
      </c>
      <c r="C7433">
        <v>100</v>
      </c>
      <c r="D7433" s="9">
        <v>42558</v>
      </c>
      <c r="E7433" t="s">
        <v>295</v>
      </c>
      <c r="I7433" s="9"/>
    </row>
    <row r="7434" spans="1:9" x14ac:dyDescent="0.25">
      <c r="A7434">
        <v>667010</v>
      </c>
      <c r="B7434">
        <v>6.3</v>
      </c>
      <c r="C7434">
        <v>110</v>
      </c>
      <c r="D7434" s="9">
        <v>42530</v>
      </c>
      <c r="E7434" t="s">
        <v>295</v>
      </c>
      <c r="I7434" s="9"/>
    </row>
    <row r="7435" spans="1:9" x14ac:dyDescent="0.25">
      <c r="A7435">
        <v>667010</v>
      </c>
      <c r="B7435">
        <v>6.3</v>
      </c>
      <c r="C7435">
        <v>100</v>
      </c>
      <c r="D7435" s="9">
        <v>42520</v>
      </c>
      <c r="E7435" t="s">
        <v>295</v>
      </c>
      <c r="I7435" s="9"/>
    </row>
    <row r="7436" spans="1:9" x14ac:dyDescent="0.25">
      <c r="A7436">
        <v>667010</v>
      </c>
      <c r="B7436">
        <v>6.3</v>
      </c>
      <c r="C7436">
        <v>60</v>
      </c>
      <c r="D7436" s="9">
        <v>42508</v>
      </c>
      <c r="E7436" t="s">
        <v>295</v>
      </c>
      <c r="I7436" s="9"/>
    </row>
    <row r="7437" spans="1:9" x14ac:dyDescent="0.25">
      <c r="A7437">
        <v>667010</v>
      </c>
      <c r="B7437">
        <v>6.3</v>
      </c>
      <c r="C7437">
        <v>50</v>
      </c>
      <c r="D7437" s="9">
        <v>42471</v>
      </c>
      <c r="E7437" t="s">
        <v>295</v>
      </c>
      <c r="I7437" s="9"/>
    </row>
    <row r="7438" spans="1:9" x14ac:dyDescent="0.25">
      <c r="A7438">
        <v>667010</v>
      </c>
      <c r="B7438">
        <v>6.3</v>
      </c>
      <c r="C7438">
        <v>80</v>
      </c>
      <c r="D7438" s="9">
        <v>42451</v>
      </c>
      <c r="E7438" t="s">
        <v>295</v>
      </c>
      <c r="I7438" s="9"/>
    </row>
    <row r="7439" spans="1:9" x14ac:dyDescent="0.25">
      <c r="A7439">
        <v>667010</v>
      </c>
      <c r="B7439">
        <v>6.3</v>
      </c>
      <c r="C7439">
        <v>50</v>
      </c>
      <c r="D7439" s="9">
        <v>42422</v>
      </c>
      <c r="E7439" t="s">
        <v>295</v>
      </c>
      <c r="I7439" s="9"/>
    </row>
    <row r="7440" spans="1:9" x14ac:dyDescent="0.25">
      <c r="A7440">
        <v>667010</v>
      </c>
      <c r="B7440">
        <v>6.3</v>
      </c>
      <c r="C7440">
        <v>80</v>
      </c>
      <c r="D7440" s="9">
        <v>42381</v>
      </c>
      <c r="E7440" t="s">
        <v>295</v>
      </c>
      <c r="I7440" s="9"/>
    </row>
    <row r="7441" spans="1:9" x14ac:dyDescent="0.25">
      <c r="A7441">
        <v>667010</v>
      </c>
      <c r="B7441">
        <v>6.3</v>
      </c>
      <c r="C7441">
        <v>80</v>
      </c>
      <c r="D7441" s="9">
        <v>42349</v>
      </c>
      <c r="E7441" t="s">
        <v>295</v>
      </c>
      <c r="I7441" s="9"/>
    </row>
    <row r="7442" spans="1:9" x14ac:dyDescent="0.25">
      <c r="A7442">
        <v>667010</v>
      </c>
      <c r="B7442">
        <v>6.3</v>
      </c>
      <c r="C7442">
        <v>80</v>
      </c>
      <c r="D7442" s="9">
        <v>42313</v>
      </c>
      <c r="E7442" t="s">
        <v>295</v>
      </c>
      <c r="I7442" s="9"/>
    </row>
    <row r="7443" spans="1:9" x14ac:dyDescent="0.25">
      <c r="A7443">
        <v>667010</v>
      </c>
      <c r="B7443">
        <v>0</v>
      </c>
      <c r="C7443">
        <v>80</v>
      </c>
      <c r="D7443" s="9">
        <v>42284</v>
      </c>
      <c r="E7443" t="s">
        <v>295</v>
      </c>
      <c r="I7443" s="9"/>
    </row>
    <row r="7444" spans="1:9" x14ac:dyDescent="0.25">
      <c r="A7444">
        <v>667010</v>
      </c>
      <c r="B7444">
        <v>6.3</v>
      </c>
      <c r="C7444">
        <v>50</v>
      </c>
      <c r="D7444" s="9">
        <v>42258</v>
      </c>
      <c r="E7444" t="s">
        <v>295</v>
      </c>
      <c r="I7444" s="9"/>
    </row>
    <row r="7445" spans="1:9" x14ac:dyDescent="0.25">
      <c r="A7445">
        <v>667010</v>
      </c>
      <c r="B7445">
        <v>7.45</v>
      </c>
      <c r="C7445">
        <v>100</v>
      </c>
      <c r="D7445" s="9">
        <v>42242</v>
      </c>
      <c r="E7445" t="s">
        <v>295</v>
      </c>
      <c r="I7445" s="9"/>
    </row>
    <row r="7446" spans="1:9" x14ac:dyDescent="0.25">
      <c r="A7446">
        <v>667010</v>
      </c>
      <c r="B7446">
        <v>7.45</v>
      </c>
      <c r="C7446">
        <v>50</v>
      </c>
      <c r="D7446" s="9">
        <v>42227</v>
      </c>
      <c r="E7446" t="s">
        <v>295</v>
      </c>
      <c r="I7446" s="9"/>
    </row>
    <row r="7447" spans="1:9" x14ac:dyDescent="0.25">
      <c r="A7447">
        <v>667010</v>
      </c>
      <c r="B7447">
        <v>7.45</v>
      </c>
      <c r="C7447">
        <v>100</v>
      </c>
      <c r="D7447" s="9">
        <v>42212</v>
      </c>
      <c r="E7447" t="s">
        <v>295</v>
      </c>
      <c r="I7447" s="9"/>
    </row>
    <row r="7448" spans="1:9" x14ac:dyDescent="0.25">
      <c r="A7448">
        <v>667010</v>
      </c>
      <c r="B7448">
        <v>7.45</v>
      </c>
      <c r="C7448">
        <v>100</v>
      </c>
      <c r="D7448" s="9">
        <v>42194</v>
      </c>
      <c r="E7448" t="s">
        <v>295</v>
      </c>
      <c r="I7448" s="9"/>
    </row>
    <row r="7449" spans="1:9" x14ac:dyDescent="0.25">
      <c r="A7449">
        <v>667010</v>
      </c>
      <c r="B7449">
        <v>7.45</v>
      </c>
      <c r="C7449">
        <v>100</v>
      </c>
      <c r="D7449" s="9">
        <v>42174</v>
      </c>
      <c r="E7449" t="s">
        <v>295</v>
      </c>
      <c r="I7449" s="9"/>
    </row>
    <row r="7450" spans="1:9" x14ac:dyDescent="0.25">
      <c r="A7450">
        <v>667010</v>
      </c>
      <c r="B7450">
        <v>7.45</v>
      </c>
      <c r="C7450">
        <v>200</v>
      </c>
      <c r="D7450" s="9">
        <v>42146</v>
      </c>
      <c r="E7450" t="s">
        <v>295</v>
      </c>
      <c r="I7450" s="9"/>
    </row>
    <row r="7451" spans="1:9" x14ac:dyDescent="0.25">
      <c r="A7451">
        <v>667010</v>
      </c>
      <c r="B7451">
        <v>7.45</v>
      </c>
      <c r="C7451">
        <v>200</v>
      </c>
      <c r="D7451" s="9">
        <v>42130</v>
      </c>
      <c r="E7451" t="s">
        <v>295</v>
      </c>
      <c r="I7451" s="9"/>
    </row>
    <row r="7452" spans="1:9" x14ac:dyDescent="0.25">
      <c r="A7452">
        <v>667010</v>
      </c>
      <c r="B7452">
        <v>7.45</v>
      </c>
      <c r="C7452">
        <v>60</v>
      </c>
      <c r="D7452" s="9">
        <v>42103</v>
      </c>
      <c r="E7452" t="s">
        <v>295</v>
      </c>
      <c r="I7452" s="9"/>
    </row>
    <row r="7453" spans="1:9" x14ac:dyDescent="0.25">
      <c r="A7453">
        <v>667010</v>
      </c>
      <c r="B7453">
        <v>7.45</v>
      </c>
      <c r="C7453">
        <v>100</v>
      </c>
      <c r="D7453" s="9">
        <v>41984</v>
      </c>
      <c r="E7453" t="s">
        <v>295</v>
      </c>
      <c r="I7453" s="9"/>
    </row>
    <row r="7454" spans="1:9" x14ac:dyDescent="0.25">
      <c r="A7454">
        <v>667010</v>
      </c>
      <c r="B7454">
        <v>7.45</v>
      </c>
      <c r="C7454">
        <v>100</v>
      </c>
      <c r="D7454" s="9">
        <v>41982</v>
      </c>
      <c r="E7454" t="s">
        <v>295</v>
      </c>
      <c r="I7454" s="9"/>
    </row>
    <row r="7455" spans="1:9" x14ac:dyDescent="0.25">
      <c r="A7455">
        <v>667010</v>
      </c>
      <c r="B7455">
        <v>7.37</v>
      </c>
      <c r="C7455">
        <v>250</v>
      </c>
      <c r="D7455" s="9">
        <v>41960</v>
      </c>
      <c r="E7455" t="s">
        <v>295</v>
      </c>
      <c r="I7455" s="9"/>
    </row>
    <row r="7456" spans="1:9" x14ac:dyDescent="0.25">
      <c r="A7456">
        <v>667010</v>
      </c>
      <c r="B7456">
        <v>7.45</v>
      </c>
      <c r="C7456">
        <v>80</v>
      </c>
      <c r="D7456" s="9">
        <v>41935</v>
      </c>
      <c r="E7456" t="s">
        <v>295</v>
      </c>
      <c r="I7456" s="9"/>
    </row>
    <row r="7457" spans="1:9" x14ac:dyDescent="0.25">
      <c r="A7457">
        <v>667010</v>
      </c>
      <c r="B7457">
        <v>7.45</v>
      </c>
      <c r="C7457">
        <v>100</v>
      </c>
      <c r="D7457" s="9">
        <v>41877</v>
      </c>
      <c r="E7457" t="s">
        <v>295</v>
      </c>
      <c r="I7457" s="9"/>
    </row>
    <row r="7458" spans="1:9" x14ac:dyDescent="0.25">
      <c r="A7458">
        <v>667010</v>
      </c>
      <c r="B7458">
        <v>7.45</v>
      </c>
      <c r="C7458">
        <v>70</v>
      </c>
      <c r="D7458" s="9">
        <v>41844</v>
      </c>
      <c r="E7458" t="s">
        <v>295</v>
      </c>
      <c r="I7458" s="9"/>
    </row>
    <row r="7459" spans="1:9" x14ac:dyDescent="0.25">
      <c r="A7459">
        <v>667010</v>
      </c>
      <c r="B7459">
        <v>7.45</v>
      </c>
      <c r="C7459">
        <v>50</v>
      </c>
      <c r="D7459" s="9">
        <v>41820</v>
      </c>
      <c r="E7459" t="s">
        <v>295</v>
      </c>
      <c r="I7459" s="9"/>
    </row>
    <row r="7460" spans="1:9" x14ac:dyDescent="0.25">
      <c r="A7460">
        <v>667010</v>
      </c>
      <c r="B7460">
        <v>7.45</v>
      </c>
      <c r="C7460">
        <v>50</v>
      </c>
      <c r="D7460" s="9">
        <v>41794</v>
      </c>
      <c r="E7460" t="s">
        <v>295</v>
      </c>
      <c r="I7460" s="9"/>
    </row>
    <row r="7461" spans="1:9" x14ac:dyDescent="0.25">
      <c r="A7461">
        <v>667010</v>
      </c>
      <c r="B7461">
        <v>7.45</v>
      </c>
      <c r="C7461">
        <v>50</v>
      </c>
      <c r="D7461" s="9">
        <v>41744</v>
      </c>
      <c r="E7461" t="s">
        <v>295</v>
      </c>
      <c r="I7461" s="9"/>
    </row>
    <row r="7462" spans="1:9" x14ac:dyDescent="0.25">
      <c r="A7462">
        <v>667010</v>
      </c>
      <c r="B7462">
        <v>7.45</v>
      </c>
      <c r="C7462">
        <v>50</v>
      </c>
      <c r="D7462" s="9">
        <v>41731</v>
      </c>
      <c r="E7462" t="s">
        <v>295</v>
      </c>
      <c r="I7462" s="9"/>
    </row>
    <row r="7463" spans="1:9" x14ac:dyDescent="0.25">
      <c r="A7463">
        <v>667010</v>
      </c>
      <c r="B7463">
        <v>7.45</v>
      </c>
      <c r="C7463">
        <v>30</v>
      </c>
      <c r="D7463" s="9">
        <v>41704</v>
      </c>
      <c r="E7463" t="s">
        <v>295</v>
      </c>
      <c r="I7463" s="9"/>
    </row>
    <row r="7464" spans="1:9" x14ac:dyDescent="0.25">
      <c r="A7464">
        <v>667010</v>
      </c>
      <c r="B7464">
        <v>7.45</v>
      </c>
      <c r="C7464">
        <v>50</v>
      </c>
      <c r="D7464" s="9">
        <v>41668</v>
      </c>
      <c r="E7464" t="s">
        <v>295</v>
      </c>
      <c r="I7464" s="9"/>
    </row>
    <row r="7465" spans="1:9" x14ac:dyDescent="0.25">
      <c r="A7465">
        <v>667010</v>
      </c>
      <c r="B7465">
        <v>7.45</v>
      </c>
      <c r="C7465">
        <v>40</v>
      </c>
      <c r="D7465" s="9">
        <v>41612</v>
      </c>
      <c r="E7465" t="s">
        <v>295</v>
      </c>
      <c r="I7465" s="9"/>
    </row>
    <row r="7466" spans="1:9" x14ac:dyDescent="0.25">
      <c r="A7466">
        <v>667012</v>
      </c>
      <c r="B7466">
        <v>7.36</v>
      </c>
      <c r="C7466">
        <v>50</v>
      </c>
      <c r="D7466" s="9">
        <v>44089</v>
      </c>
      <c r="E7466" t="s">
        <v>295</v>
      </c>
      <c r="I7466" s="9"/>
    </row>
    <row r="7467" spans="1:9" x14ac:dyDescent="0.25">
      <c r="A7467">
        <v>667012</v>
      </c>
      <c r="B7467">
        <v>7.36</v>
      </c>
      <c r="C7467">
        <v>50</v>
      </c>
      <c r="D7467" s="9">
        <v>44035</v>
      </c>
      <c r="E7467" t="s">
        <v>295</v>
      </c>
      <c r="I7467" s="9"/>
    </row>
    <row r="7468" spans="1:9" x14ac:dyDescent="0.25">
      <c r="A7468">
        <v>667012</v>
      </c>
      <c r="B7468">
        <v>6.8</v>
      </c>
      <c r="C7468">
        <v>100</v>
      </c>
      <c r="D7468" s="9">
        <v>43910</v>
      </c>
      <c r="E7468" t="s">
        <v>295</v>
      </c>
      <c r="I7468" s="9"/>
    </row>
    <row r="7469" spans="1:9" x14ac:dyDescent="0.25">
      <c r="A7469">
        <v>667012</v>
      </c>
      <c r="B7469">
        <v>6.8</v>
      </c>
      <c r="C7469">
        <v>100</v>
      </c>
      <c r="D7469" s="9">
        <v>43880</v>
      </c>
      <c r="E7469" t="s">
        <v>295</v>
      </c>
      <c r="I7469" s="9"/>
    </row>
    <row r="7470" spans="1:9" x14ac:dyDescent="0.25">
      <c r="A7470">
        <v>667012</v>
      </c>
      <c r="B7470">
        <v>6.8</v>
      </c>
      <c r="C7470">
        <v>150</v>
      </c>
      <c r="D7470" s="9">
        <v>43784</v>
      </c>
      <c r="E7470" t="s">
        <v>295</v>
      </c>
      <c r="I7470" s="9"/>
    </row>
    <row r="7471" spans="1:9" x14ac:dyDescent="0.25">
      <c r="A7471">
        <v>667012</v>
      </c>
      <c r="B7471">
        <v>6.8</v>
      </c>
      <c r="C7471">
        <v>400</v>
      </c>
      <c r="D7471" s="9">
        <v>43728</v>
      </c>
      <c r="E7471" t="s">
        <v>295</v>
      </c>
      <c r="I7471" s="9"/>
    </row>
    <row r="7472" spans="1:9" x14ac:dyDescent="0.25">
      <c r="A7472">
        <v>667012</v>
      </c>
      <c r="B7472">
        <v>6.8</v>
      </c>
      <c r="C7472">
        <v>60</v>
      </c>
      <c r="D7472" s="9">
        <v>43633</v>
      </c>
      <c r="E7472" t="s">
        <v>295</v>
      </c>
      <c r="I7472" s="9"/>
    </row>
    <row r="7473" spans="1:9" x14ac:dyDescent="0.25">
      <c r="A7473">
        <v>667012</v>
      </c>
      <c r="B7473">
        <v>6.8</v>
      </c>
      <c r="C7473">
        <v>100</v>
      </c>
      <c r="D7473" s="9">
        <v>43530</v>
      </c>
      <c r="E7473" t="s">
        <v>295</v>
      </c>
      <c r="I7473" s="9"/>
    </row>
    <row r="7474" spans="1:9" x14ac:dyDescent="0.25">
      <c r="A7474">
        <v>667012</v>
      </c>
      <c r="B7474">
        <v>6.8</v>
      </c>
      <c r="C7474">
        <v>200</v>
      </c>
      <c r="D7474" s="9">
        <v>43494</v>
      </c>
      <c r="E7474" t="s">
        <v>295</v>
      </c>
      <c r="I7474" s="9"/>
    </row>
    <row r="7475" spans="1:9" x14ac:dyDescent="0.25">
      <c r="A7475">
        <v>667012</v>
      </c>
      <c r="B7475">
        <v>6.8</v>
      </c>
      <c r="C7475">
        <v>200</v>
      </c>
      <c r="D7475" s="9">
        <v>43391</v>
      </c>
      <c r="E7475" t="s">
        <v>295</v>
      </c>
      <c r="I7475" s="9"/>
    </row>
    <row r="7476" spans="1:9" x14ac:dyDescent="0.25">
      <c r="A7476">
        <v>667012</v>
      </c>
      <c r="B7476">
        <v>6.8</v>
      </c>
      <c r="C7476">
        <v>200</v>
      </c>
      <c r="D7476" s="9">
        <v>43284</v>
      </c>
      <c r="E7476" t="s">
        <v>295</v>
      </c>
      <c r="I7476" s="9"/>
    </row>
    <row r="7477" spans="1:9" x14ac:dyDescent="0.25">
      <c r="A7477">
        <v>667012</v>
      </c>
      <c r="B7477">
        <v>6.8</v>
      </c>
      <c r="C7477">
        <v>200</v>
      </c>
      <c r="D7477" s="9">
        <v>43229</v>
      </c>
      <c r="E7477" t="s">
        <v>295</v>
      </c>
      <c r="I7477" s="9"/>
    </row>
    <row r="7478" spans="1:9" x14ac:dyDescent="0.25">
      <c r="A7478">
        <v>667012</v>
      </c>
      <c r="B7478">
        <v>6.8</v>
      </c>
      <c r="C7478">
        <v>150</v>
      </c>
      <c r="D7478" s="9">
        <v>43196</v>
      </c>
      <c r="E7478" t="s">
        <v>295</v>
      </c>
      <c r="I7478" s="9"/>
    </row>
    <row r="7479" spans="1:9" x14ac:dyDescent="0.25">
      <c r="A7479">
        <v>667012</v>
      </c>
      <c r="B7479">
        <v>6.8</v>
      </c>
      <c r="C7479">
        <v>50</v>
      </c>
      <c r="D7479" s="9">
        <v>43181</v>
      </c>
      <c r="E7479" t="s">
        <v>295</v>
      </c>
      <c r="I7479" s="9"/>
    </row>
    <row r="7480" spans="1:9" x14ac:dyDescent="0.25">
      <c r="A7480">
        <v>667012</v>
      </c>
      <c r="B7480">
        <v>6.8</v>
      </c>
      <c r="C7480">
        <v>150</v>
      </c>
      <c r="D7480" s="9">
        <v>43139</v>
      </c>
      <c r="E7480" t="s">
        <v>295</v>
      </c>
      <c r="I7480" s="9"/>
    </row>
    <row r="7481" spans="1:9" x14ac:dyDescent="0.25">
      <c r="A7481">
        <v>667012</v>
      </c>
      <c r="B7481">
        <v>6.8</v>
      </c>
      <c r="C7481">
        <v>50</v>
      </c>
      <c r="D7481" s="9">
        <v>43123</v>
      </c>
      <c r="E7481" t="s">
        <v>295</v>
      </c>
      <c r="I7481" s="9"/>
    </row>
    <row r="7482" spans="1:9" x14ac:dyDescent="0.25">
      <c r="A7482">
        <v>667012</v>
      </c>
      <c r="B7482">
        <v>6.8</v>
      </c>
      <c r="C7482">
        <v>50</v>
      </c>
      <c r="D7482" s="9">
        <v>43108</v>
      </c>
      <c r="E7482" t="s">
        <v>295</v>
      </c>
      <c r="I7482" s="9"/>
    </row>
    <row r="7483" spans="1:9" x14ac:dyDescent="0.25">
      <c r="A7483">
        <v>667012</v>
      </c>
      <c r="B7483">
        <v>6.8</v>
      </c>
      <c r="C7483">
        <v>40</v>
      </c>
      <c r="D7483" s="9">
        <v>43054</v>
      </c>
      <c r="E7483" t="s">
        <v>295</v>
      </c>
      <c r="I7483" s="9"/>
    </row>
    <row r="7484" spans="1:9" x14ac:dyDescent="0.25">
      <c r="A7484">
        <v>667012</v>
      </c>
      <c r="B7484">
        <v>6.8</v>
      </c>
      <c r="C7484">
        <v>80</v>
      </c>
      <c r="D7484" s="9">
        <v>43027</v>
      </c>
      <c r="E7484" t="s">
        <v>295</v>
      </c>
      <c r="I7484" s="9"/>
    </row>
    <row r="7485" spans="1:9" x14ac:dyDescent="0.25">
      <c r="A7485">
        <v>667012</v>
      </c>
      <c r="B7485">
        <v>6.8</v>
      </c>
      <c r="C7485">
        <v>100</v>
      </c>
      <c r="D7485" s="9">
        <v>42991</v>
      </c>
      <c r="E7485" t="s">
        <v>295</v>
      </c>
      <c r="I7485" s="9"/>
    </row>
    <row r="7486" spans="1:9" x14ac:dyDescent="0.25">
      <c r="A7486">
        <v>667012</v>
      </c>
      <c r="B7486">
        <v>6.8</v>
      </c>
      <c r="C7486">
        <v>200</v>
      </c>
      <c r="D7486" s="9">
        <v>42921</v>
      </c>
      <c r="E7486" t="s">
        <v>295</v>
      </c>
      <c r="I7486" s="9"/>
    </row>
    <row r="7487" spans="1:9" x14ac:dyDescent="0.25">
      <c r="A7487">
        <v>667012</v>
      </c>
      <c r="B7487">
        <v>6.8</v>
      </c>
      <c r="C7487">
        <v>200</v>
      </c>
      <c r="D7487" s="9">
        <v>42877</v>
      </c>
      <c r="E7487" t="s">
        <v>295</v>
      </c>
      <c r="I7487" s="9"/>
    </row>
    <row r="7488" spans="1:9" x14ac:dyDescent="0.25">
      <c r="A7488">
        <v>667012</v>
      </c>
      <c r="B7488">
        <v>6.9</v>
      </c>
      <c r="C7488">
        <v>200</v>
      </c>
      <c r="D7488" s="9">
        <v>42836</v>
      </c>
      <c r="E7488" t="s">
        <v>295</v>
      </c>
      <c r="I7488" s="9"/>
    </row>
    <row r="7489" spans="1:9" x14ac:dyDescent="0.25">
      <c r="A7489">
        <v>667012</v>
      </c>
      <c r="B7489">
        <v>6.8</v>
      </c>
      <c r="C7489">
        <v>150</v>
      </c>
      <c r="D7489" s="9">
        <v>42828</v>
      </c>
      <c r="E7489" t="s">
        <v>295</v>
      </c>
      <c r="I7489" s="9"/>
    </row>
    <row r="7490" spans="1:9" x14ac:dyDescent="0.25">
      <c r="A7490">
        <v>667012</v>
      </c>
      <c r="B7490">
        <v>6.8</v>
      </c>
      <c r="C7490">
        <v>100</v>
      </c>
      <c r="D7490" s="9">
        <v>42779</v>
      </c>
      <c r="E7490" t="s">
        <v>295</v>
      </c>
      <c r="I7490" s="9"/>
    </row>
    <row r="7491" spans="1:9" x14ac:dyDescent="0.25">
      <c r="A7491">
        <v>667012</v>
      </c>
      <c r="B7491">
        <v>6.8</v>
      </c>
      <c r="C7491">
        <v>50</v>
      </c>
      <c r="D7491" s="9">
        <v>42754</v>
      </c>
      <c r="E7491" t="s">
        <v>295</v>
      </c>
      <c r="I7491" s="9"/>
    </row>
    <row r="7492" spans="1:9" x14ac:dyDescent="0.25">
      <c r="A7492">
        <v>667012</v>
      </c>
      <c r="B7492">
        <v>6.8</v>
      </c>
      <c r="C7492">
        <v>170</v>
      </c>
      <c r="D7492" s="9">
        <v>42744</v>
      </c>
      <c r="E7492" t="s">
        <v>295</v>
      </c>
      <c r="I7492" s="9"/>
    </row>
    <row r="7493" spans="1:9" x14ac:dyDescent="0.25">
      <c r="A7493">
        <v>667012</v>
      </c>
      <c r="B7493">
        <v>6.8</v>
      </c>
      <c r="C7493">
        <v>50</v>
      </c>
      <c r="D7493" s="9">
        <v>42703</v>
      </c>
      <c r="E7493" t="s">
        <v>295</v>
      </c>
      <c r="I7493" s="9"/>
    </row>
    <row r="7494" spans="1:9" x14ac:dyDescent="0.25">
      <c r="A7494">
        <v>667012</v>
      </c>
      <c r="B7494">
        <v>6.9</v>
      </c>
      <c r="C7494">
        <v>100</v>
      </c>
      <c r="D7494" s="9">
        <v>42649</v>
      </c>
      <c r="E7494" t="s">
        <v>295</v>
      </c>
      <c r="I7494" s="9"/>
    </row>
    <row r="7495" spans="1:9" x14ac:dyDescent="0.25">
      <c r="A7495">
        <v>667012</v>
      </c>
      <c r="B7495">
        <v>6.9</v>
      </c>
      <c r="C7495">
        <v>50</v>
      </c>
      <c r="D7495" s="9">
        <v>42632</v>
      </c>
      <c r="E7495" t="s">
        <v>295</v>
      </c>
      <c r="I7495" s="9"/>
    </row>
    <row r="7496" spans="1:9" x14ac:dyDescent="0.25">
      <c r="A7496">
        <v>667012</v>
      </c>
      <c r="B7496">
        <v>6.9</v>
      </c>
      <c r="C7496">
        <v>170</v>
      </c>
      <c r="D7496" s="9">
        <v>42625</v>
      </c>
      <c r="E7496" t="s">
        <v>295</v>
      </c>
      <c r="I7496" s="9"/>
    </row>
    <row r="7497" spans="1:9" x14ac:dyDescent="0.25">
      <c r="A7497">
        <v>667012</v>
      </c>
      <c r="B7497">
        <v>6.9</v>
      </c>
      <c r="C7497">
        <v>100</v>
      </c>
      <c r="D7497" s="9">
        <v>42605</v>
      </c>
      <c r="E7497" t="s">
        <v>295</v>
      </c>
      <c r="I7497" s="9"/>
    </row>
    <row r="7498" spans="1:9" x14ac:dyDescent="0.25">
      <c r="A7498">
        <v>667012</v>
      </c>
      <c r="B7498">
        <v>6.9</v>
      </c>
      <c r="C7498">
        <v>100</v>
      </c>
      <c r="D7498" s="9">
        <v>42558</v>
      </c>
      <c r="E7498" t="s">
        <v>295</v>
      </c>
      <c r="I7498" s="9"/>
    </row>
    <row r="7499" spans="1:9" x14ac:dyDescent="0.25">
      <c r="A7499">
        <v>667012</v>
      </c>
      <c r="B7499">
        <v>6.9</v>
      </c>
      <c r="C7499">
        <v>200</v>
      </c>
      <c r="D7499" s="9">
        <v>42530</v>
      </c>
      <c r="E7499" t="s">
        <v>295</v>
      </c>
      <c r="I7499" s="9"/>
    </row>
    <row r="7500" spans="1:9" x14ac:dyDescent="0.25">
      <c r="A7500">
        <v>667012</v>
      </c>
      <c r="B7500">
        <v>6.9</v>
      </c>
      <c r="C7500">
        <v>40</v>
      </c>
      <c r="D7500" s="9">
        <v>42520</v>
      </c>
      <c r="E7500" t="s">
        <v>295</v>
      </c>
      <c r="I7500" s="9"/>
    </row>
    <row r="7501" spans="1:9" x14ac:dyDescent="0.25">
      <c r="A7501">
        <v>667012</v>
      </c>
      <c r="B7501">
        <v>6.9</v>
      </c>
      <c r="C7501">
        <v>60</v>
      </c>
      <c r="D7501" s="9">
        <v>42508</v>
      </c>
      <c r="E7501" t="s">
        <v>295</v>
      </c>
      <c r="I7501" s="9"/>
    </row>
    <row r="7502" spans="1:9" x14ac:dyDescent="0.25">
      <c r="A7502">
        <v>667012</v>
      </c>
      <c r="B7502">
        <v>6.9</v>
      </c>
      <c r="C7502">
        <v>100</v>
      </c>
      <c r="D7502" s="9">
        <v>42471</v>
      </c>
      <c r="E7502" t="s">
        <v>295</v>
      </c>
      <c r="I7502" s="9"/>
    </row>
    <row r="7503" spans="1:9" x14ac:dyDescent="0.25">
      <c r="A7503">
        <v>667012</v>
      </c>
      <c r="B7503">
        <v>6.9</v>
      </c>
      <c r="C7503">
        <v>150</v>
      </c>
      <c r="D7503" s="9">
        <v>42451</v>
      </c>
      <c r="E7503" t="s">
        <v>295</v>
      </c>
      <c r="I7503" s="9"/>
    </row>
    <row r="7504" spans="1:9" x14ac:dyDescent="0.25">
      <c r="A7504">
        <v>667012</v>
      </c>
      <c r="B7504">
        <v>6.9</v>
      </c>
      <c r="C7504">
        <v>50</v>
      </c>
      <c r="D7504" s="9">
        <v>42422</v>
      </c>
      <c r="E7504" t="s">
        <v>295</v>
      </c>
      <c r="I7504" s="9"/>
    </row>
    <row r="7505" spans="1:9" x14ac:dyDescent="0.25">
      <c r="A7505">
        <v>667012</v>
      </c>
      <c r="B7505">
        <v>6.9</v>
      </c>
      <c r="C7505">
        <v>100</v>
      </c>
      <c r="D7505" s="9">
        <v>42408</v>
      </c>
      <c r="E7505" t="s">
        <v>295</v>
      </c>
      <c r="I7505" s="9"/>
    </row>
    <row r="7506" spans="1:9" x14ac:dyDescent="0.25">
      <c r="A7506">
        <v>667012</v>
      </c>
      <c r="B7506">
        <v>6.9</v>
      </c>
      <c r="C7506">
        <v>100</v>
      </c>
      <c r="D7506" s="9">
        <v>42381</v>
      </c>
      <c r="E7506" t="s">
        <v>295</v>
      </c>
      <c r="I7506" s="9"/>
    </row>
    <row r="7507" spans="1:9" x14ac:dyDescent="0.25">
      <c r="A7507">
        <v>667012</v>
      </c>
      <c r="B7507">
        <v>6.9</v>
      </c>
      <c r="C7507">
        <v>50</v>
      </c>
      <c r="D7507" s="9">
        <v>42313</v>
      </c>
      <c r="E7507" t="s">
        <v>295</v>
      </c>
      <c r="I7507" s="9"/>
    </row>
    <row r="7508" spans="1:9" x14ac:dyDescent="0.25">
      <c r="A7508">
        <v>667012</v>
      </c>
      <c r="B7508">
        <v>6.9</v>
      </c>
      <c r="C7508">
        <v>50</v>
      </c>
      <c r="D7508" s="9">
        <v>42258</v>
      </c>
      <c r="E7508" t="s">
        <v>295</v>
      </c>
      <c r="I7508" s="9"/>
    </row>
    <row r="7509" spans="1:9" x14ac:dyDescent="0.25">
      <c r="A7509">
        <v>667012</v>
      </c>
      <c r="B7509">
        <v>8.1</v>
      </c>
      <c r="C7509">
        <v>50</v>
      </c>
      <c r="D7509" s="9">
        <v>42242</v>
      </c>
      <c r="E7509" t="s">
        <v>295</v>
      </c>
      <c r="I7509" s="9"/>
    </row>
    <row r="7510" spans="1:9" x14ac:dyDescent="0.25">
      <c r="A7510">
        <v>667012</v>
      </c>
      <c r="B7510">
        <v>8.1</v>
      </c>
      <c r="C7510">
        <v>100</v>
      </c>
      <c r="D7510" s="9">
        <v>42233</v>
      </c>
      <c r="E7510" t="s">
        <v>295</v>
      </c>
      <c r="I7510" s="9"/>
    </row>
    <row r="7511" spans="1:9" x14ac:dyDescent="0.25">
      <c r="A7511">
        <v>667012</v>
      </c>
      <c r="B7511">
        <v>8.1</v>
      </c>
      <c r="C7511">
        <v>150</v>
      </c>
      <c r="D7511" s="9">
        <v>42212</v>
      </c>
      <c r="E7511" t="s">
        <v>295</v>
      </c>
      <c r="I7511" s="9"/>
    </row>
    <row r="7512" spans="1:9" x14ac:dyDescent="0.25">
      <c r="A7512">
        <v>667012</v>
      </c>
      <c r="B7512">
        <v>8.1</v>
      </c>
      <c r="C7512">
        <v>70</v>
      </c>
      <c r="D7512" s="9">
        <v>42194</v>
      </c>
      <c r="E7512" t="s">
        <v>295</v>
      </c>
      <c r="I7512" s="9"/>
    </row>
    <row r="7513" spans="1:9" x14ac:dyDescent="0.25">
      <c r="A7513">
        <v>667012</v>
      </c>
      <c r="B7513">
        <v>8.1</v>
      </c>
      <c r="C7513">
        <v>100</v>
      </c>
      <c r="D7513" s="9">
        <v>42174</v>
      </c>
      <c r="E7513" t="s">
        <v>295</v>
      </c>
      <c r="I7513" s="9"/>
    </row>
    <row r="7514" spans="1:9" x14ac:dyDescent="0.25">
      <c r="A7514">
        <v>667012</v>
      </c>
      <c r="B7514">
        <v>8.1</v>
      </c>
      <c r="C7514">
        <v>60</v>
      </c>
      <c r="D7514" s="9">
        <v>42170</v>
      </c>
      <c r="E7514" t="s">
        <v>295</v>
      </c>
      <c r="I7514" s="9"/>
    </row>
    <row r="7515" spans="1:9" x14ac:dyDescent="0.25">
      <c r="A7515">
        <v>667012</v>
      </c>
      <c r="B7515">
        <v>8.1</v>
      </c>
      <c r="C7515">
        <v>60</v>
      </c>
      <c r="D7515" s="9">
        <v>42130</v>
      </c>
      <c r="E7515" t="s">
        <v>295</v>
      </c>
      <c r="I7515" s="9"/>
    </row>
    <row r="7516" spans="1:9" x14ac:dyDescent="0.25">
      <c r="A7516">
        <v>667012</v>
      </c>
      <c r="B7516">
        <v>8.1</v>
      </c>
      <c r="C7516">
        <v>60</v>
      </c>
      <c r="D7516" s="9">
        <v>42103</v>
      </c>
      <c r="E7516" t="s">
        <v>295</v>
      </c>
      <c r="I7516" s="9"/>
    </row>
    <row r="7517" spans="1:9" x14ac:dyDescent="0.25">
      <c r="A7517">
        <v>667012</v>
      </c>
      <c r="B7517">
        <v>8.1</v>
      </c>
      <c r="C7517">
        <v>200</v>
      </c>
      <c r="D7517" s="9">
        <v>42032</v>
      </c>
      <c r="E7517" t="s">
        <v>295</v>
      </c>
      <c r="I7517" s="9"/>
    </row>
    <row r="7518" spans="1:9" x14ac:dyDescent="0.25">
      <c r="A7518">
        <v>667012</v>
      </c>
      <c r="B7518">
        <v>8.1</v>
      </c>
      <c r="C7518">
        <v>100</v>
      </c>
      <c r="D7518" s="9">
        <v>41984</v>
      </c>
      <c r="E7518" t="s">
        <v>295</v>
      </c>
      <c r="I7518" s="9"/>
    </row>
    <row r="7519" spans="1:9" x14ac:dyDescent="0.25">
      <c r="A7519">
        <v>667012</v>
      </c>
      <c r="B7519">
        <v>8.1</v>
      </c>
      <c r="C7519">
        <v>100</v>
      </c>
      <c r="D7519" s="9">
        <v>41982</v>
      </c>
      <c r="E7519" t="s">
        <v>295</v>
      </c>
      <c r="I7519" s="9"/>
    </row>
    <row r="7520" spans="1:9" x14ac:dyDescent="0.25">
      <c r="A7520">
        <v>667012</v>
      </c>
      <c r="B7520">
        <v>8.01</v>
      </c>
      <c r="C7520">
        <v>500</v>
      </c>
      <c r="D7520" s="9">
        <v>41960</v>
      </c>
      <c r="E7520" t="s">
        <v>295</v>
      </c>
      <c r="I7520" s="9"/>
    </row>
    <row r="7521" spans="1:9" x14ac:dyDescent="0.25">
      <c r="A7521">
        <v>667012</v>
      </c>
      <c r="B7521">
        <v>8.1</v>
      </c>
      <c r="C7521">
        <v>100</v>
      </c>
      <c r="D7521" s="9">
        <v>41844</v>
      </c>
      <c r="E7521" t="s">
        <v>295</v>
      </c>
      <c r="I7521" s="9"/>
    </row>
    <row r="7522" spans="1:9" x14ac:dyDescent="0.25">
      <c r="A7522">
        <v>667012</v>
      </c>
      <c r="B7522">
        <v>8.1</v>
      </c>
      <c r="C7522">
        <v>100</v>
      </c>
      <c r="D7522" s="9">
        <v>41820</v>
      </c>
      <c r="E7522" t="s">
        <v>295</v>
      </c>
      <c r="I7522" s="9"/>
    </row>
    <row r="7523" spans="1:9" x14ac:dyDescent="0.25">
      <c r="A7523">
        <v>667012</v>
      </c>
      <c r="B7523">
        <v>8.1</v>
      </c>
      <c r="C7523">
        <v>120</v>
      </c>
      <c r="D7523" s="9">
        <v>41744</v>
      </c>
      <c r="E7523" t="s">
        <v>295</v>
      </c>
      <c r="I7523" s="9"/>
    </row>
    <row r="7524" spans="1:9" x14ac:dyDescent="0.25">
      <c r="A7524">
        <v>667012</v>
      </c>
      <c r="B7524">
        <v>8.1</v>
      </c>
      <c r="C7524">
        <v>120</v>
      </c>
      <c r="D7524" s="9">
        <v>41731</v>
      </c>
      <c r="E7524" t="s">
        <v>295</v>
      </c>
      <c r="I7524" s="9"/>
    </row>
    <row r="7525" spans="1:9" x14ac:dyDescent="0.25">
      <c r="A7525">
        <v>667012</v>
      </c>
      <c r="B7525">
        <v>8.19</v>
      </c>
      <c r="C7525">
        <v>140</v>
      </c>
      <c r="D7525" s="9">
        <v>41704</v>
      </c>
      <c r="E7525" t="s">
        <v>295</v>
      </c>
      <c r="I7525" s="9"/>
    </row>
    <row r="7526" spans="1:9" x14ac:dyDescent="0.25">
      <c r="A7526">
        <v>667012</v>
      </c>
      <c r="B7526">
        <v>8.19</v>
      </c>
      <c r="C7526">
        <v>100</v>
      </c>
      <c r="D7526" s="9">
        <v>41668</v>
      </c>
      <c r="E7526" t="s">
        <v>295</v>
      </c>
      <c r="I7526" s="9"/>
    </row>
    <row r="7527" spans="1:9" x14ac:dyDescent="0.25">
      <c r="A7527">
        <v>667012</v>
      </c>
      <c r="B7527">
        <v>8.1</v>
      </c>
      <c r="C7527">
        <v>300</v>
      </c>
      <c r="D7527" s="9">
        <v>41660</v>
      </c>
      <c r="E7527" t="s">
        <v>295</v>
      </c>
      <c r="I7527" s="9"/>
    </row>
    <row r="7528" spans="1:9" x14ac:dyDescent="0.25">
      <c r="A7528">
        <v>667012</v>
      </c>
      <c r="B7528">
        <v>8.1</v>
      </c>
      <c r="C7528">
        <v>60</v>
      </c>
      <c r="D7528" s="9">
        <v>41612</v>
      </c>
      <c r="E7528" t="s">
        <v>295</v>
      </c>
      <c r="I7528" s="9"/>
    </row>
    <row r="7529" spans="1:9" x14ac:dyDescent="0.25">
      <c r="A7529">
        <v>667015</v>
      </c>
      <c r="B7529">
        <v>8.19</v>
      </c>
      <c r="C7529">
        <v>200</v>
      </c>
      <c r="D7529" s="9">
        <v>44089</v>
      </c>
      <c r="E7529" t="s">
        <v>295</v>
      </c>
      <c r="I7529" s="9"/>
    </row>
    <row r="7530" spans="1:9" x14ac:dyDescent="0.25">
      <c r="A7530">
        <v>667015</v>
      </c>
      <c r="B7530">
        <v>8.19</v>
      </c>
      <c r="C7530">
        <v>150</v>
      </c>
      <c r="D7530" s="9">
        <v>44035</v>
      </c>
      <c r="E7530" t="s">
        <v>295</v>
      </c>
      <c r="I7530" s="9"/>
    </row>
    <row r="7531" spans="1:9" x14ac:dyDescent="0.25">
      <c r="A7531">
        <v>667015</v>
      </c>
      <c r="B7531">
        <v>7.6</v>
      </c>
      <c r="C7531">
        <v>100</v>
      </c>
      <c r="D7531" s="9">
        <v>43910</v>
      </c>
      <c r="E7531" t="s">
        <v>295</v>
      </c>
      <c r="I7531" s="9"/>
    </row>
    <row r="7532" spans="1:9" x14ac:dyDescent="0.25">
      <c r="A7532">
        <v>667015</v>
      </c>
      <c r="B7532">
        <v>7.6</v>
      </c>
      <c r="C7532">
        <v>200</v>
      </c>
      <c r="D7532" s="9">
        <v>43880</v>
      </c>
      <c r="E7532" t="s">
        <v>295</v>
      </c>
      <c r="I7532" s="9"/>
    </row>
    <row r="7533" spans="1:9" x14ac:dyDescent="0.25">
      <c r="A7533">
        <v>667015</v>
      </c>
      <c r="B7533">
        <v>7.6</v>
      </c>
      <c r="C7533">
        <v>200</v>
      </c>
      <c r="D7533" s="9">
        <v>43796</v>
      </c>
      <c r="E7533" t="s">
        <v>295</v>
      </c>
      <c r="I7533" s="9"/>
    </row>
    <row r="7534" spans="1:9" x14ac:dyDescent="0.25">
      <c r="A7534">
        <v>667015</v>
      </c>
      <c r="B7534">
        <v>7.6</v>
      </c>
      <c r="C7534">
        <v>200</v>
      </c>
      <c r="D7534" s="9">
        <v>43728</v>
      </c>
      <c r="E7534" t="s">
        <v>295</v>
      </c>
      <c r="I7534" s="9"/>
    </row>
    <row r="7535" spans="1:9" x14ac:dyDescent="0.25">
      <c r="A7535">
        <v>667015</v>
      </c>
      <c r="B7535">
        <v>7.6</v>
      </c>
      <c r="C7535">
        <v>200</v>
      </c>
      <c r="D7535" s="9">
        <v>43664</v>
      </c>
      <c r="E7535" t="s">
        <v>295</v>
      </c>
      <c r="I7535" s="9"/>
    </row>
    <row r="7536" spans="1:9" x14ac:dyDescent="0.25">
      <c r="A7536">
        <v>667015</v>
      </c>
      <c r="B7536">
        <v>7.6</v>
      </c>
      <c r="C7536">
        <v>200</v>
      </c>
      <c r="D7536" s="9">
        <v>43595</v>
      </c>
      <c r="E7536" t="s">
        <v>295</v>
      </c>
      <c r="I7536" s="9"/>
    </row>
    <row r="7537" spans="1:9" x14ac:dyDescent="0.25">
      <c r="A7537">
        <v>667015</v>
      </c>
      <c r="B7537">
        <v>7.6</v>
      </c>
      <c r="C7537">
        <v>200</v>
      </c>
      <c r="D7537" s="9">
        <v>43530</v>
      </c>
      <c r="E7537" t="s">
        <v>295</v>
      </c>
      <c r="I7537" s="9"/>
    </row>
    <row r="7538" spans="1:9" x14ac:dyDescent="0.25">
      <c r="A7538">
        <v>667015</v>
      </c>
      <c r="B7538">
        <v>7.6</v>
      </c>
      <c r="C7538">
        <v>200</v>
      </c>
      <c r="D7538" s="9">
        <v>43494</v>
      </c>
      <c r="E7538" t="s">
        <v>295</v>
      </c>
      <c r="I7538" s="9"/>
    </row>
    <row r="7539" spans="1:9" x14ac:dyDescent="0.25">
      <c r="A7539">
        <v>667015</v>
      </c>
      <c r="B7539">
        <v>7.6</v>
      </c>
      <c r="C7539">
        <v>200</v>
      </c>
      <c r="D7539" s="9">
        <v>43432</v>
      </c>
      <c r="E7539" t="s">
        <v>295</v>
      </c>
      <c r="I7539" s="9"/>
    </row>
    <row r="7540" spans="1:9" x14ac:dyDescent="0.25">
      <c r="A7540">
        <v>667015</v>
      </c>
      <c r="B7540">
        <v>7.6</v>
      </c>
      <c r="C7540">
        <v>200</v>
      </c>
      <c r="D7540" s="9">
        <v>43391</v>
      </c>
      <c r="E7540" t="s">
        <v>295</v>
      </c>
      <c r="I7540" s="9"/>
    </row>
    <row r="7541" spans="1:9" x14ac:dyDescent="0.25">
      <c r="A7541">
        <v>667015</v>
      </c>
      <c r="B7541">
        <v>7.6</v>
      </c>
      <c r="C7541">
        <v>200</v>
      </c>
      <c r="D7541" s="9">
        <v>43368</v>
      </c>
      <c r="E7541" t="s">
        <v>295</v>
      </c>
      <c r="I7541" s="9"/>
    </row>
    <row r="7542" spans="1:9" x14ac:dyDescent="0.25">
      <c r="A7542">
        <v>667015</v>
      </c>
      <c r="B7542">
        <v>7.6</v>
      </c>
      <c r="C7542">
        <v>200</v>
      </c>
      <c r="D7542" s="9">
        <v>43284</v>
      </c>
      <c r="E7542" t="s">
        <v>295</v>
      </c>
      <c r="I7542" s="9"/>
    </row>
    <row r="7543" spans="1:9" x14ac:dyDescent="0.25">
      <c r="A7543">
        <v>667015</v>
      </c>
      <c r="B7543">
        <v>7.6</v>
      </c>
      <c r="C7543">
        <v>200</v>
      </c>
      <c r="D7543" s="9">
        <v>43257</v>
      </c>
      <c r="E7543" t="s">
        <v>295</v>
      </c>
      <c r="I7543" s="9"/>
    </row>
    <row r="7544" spans="1:9" x14ac:dyDescent="0.25">
      <c r="A7544">
        <v>667015</v>
      </c>
      <c r="B7544">
        <v>7.6</v>
      </c>
      <c r="C7544">
        <v>100</v>
      </c>
      <c r="D7544" s="9">
        <v>43229</v>
      </c>
      <c r="E7544" t="s">
        <v>295</v>
      </c>
      <c r="I7544" s="9"/>
    </row>
    <row r="7545" spans="1:9" x14ac:dyDescent="0.25">
      <c r="A7545">
        <v>667015</v>
      </c>
      <c r="B7545">
        <v>7.6</v>
      </c>
      <c r="C7545">
        <v>250</v>
      </c>
      <c r="D7545" s="9">
        <v>43209</v>
      </c>
      <c r="E7545" t="s">
        <v>295</v>
      </c>
      <c r="I7545" s="9"/>
    </row>
    <row r="7546" spans="1:9" x14ac:dyDescent="0.25">
      <c r="A7546">
        <v>667015</v>
      </c>
      <c r="B7546">
        <v>7.6</v>
      </c>
      <c r="C7546">
        <v>150</v>
      </c>
      <c r="D7546" s="9">
        <v>43181</v>
      </c>
      <c r="E7546" t="s">
        <v>295</v>
      </c>
      <c r="I7546" s="9"/>
    </row>
    <row r="7547" spans="1:9" x14ac:dyDescent="0.25">
      <c r="A7547">
        <v>667015</v>
      </c>
      <c r="B7547">
        <v>7.6</v>
      </c>
      <c r="C7547">
        <v>200</v>
      </c>
      <c r="D7547" s="9">
        <v>43123</v>
      </c>
      <c r="E7547" t="s">
        <v>295</v>
      </c>
      <c r="I7547" s="9"/>
    </row>
    <row r="7548" spans="1:9" x14ac:dyDescent="0.25">
      <c r="A7548">
        <v>667015</v>
      </c>
      <c r="B7548">
        <v>7.6</v>
      </c>
      <c r="C7548">
        <v>50</v>
      </c>
      <c r="D7548" s="9">
        <v>43108</v>
      </c>
      <c r="E7548" t="s">
        <v>295</v>
      </c>
      <c r="I7548" s="9"/>
    </row>
    <row r="7549" spans="1:9" x14ac:dyDescent="0.25">
      <c r="A7549">
        <v>667015</v>
      </c>
      <c r="B7549">
        <v>7.6</v>
      </c>
      <c r="C7549">
        <v>300</v>
      </c>
      <c r="D7549" s="9">
        <v>43073</v>
      </c>
      <c r="E7549" t="s">
        <v>295</v>
      </c>
      <c r="I7549" s="9"/>
    </row>
    <row r="7550" spans="1:9" x14ac:dyDescent="0.25">
      <c r="A7550">
        <v>667015</v>
      </c>
      <c r="B7550">
        <v>7.6</v>
      </c>
      <c r="C7550">
        <v>250</v>
      </c>
      <c r="D7550" s="9">
        <v>43054</v>
      </c>
      <c r="E7550" t="s">
        <v>295</v>
      </c>
      <c r="I7550" s="9"/>
    </row>
    <row r="7551" spans="1:9" x14ac:dyDescent="0.25">
      <c r="A7551">
        <v>667015</v>
      </c>
      <c r="B7551">
        <v>7.6</v>
      </c>
      <c r="C7551">
        <v>200</v>
      </c>
      <c r="D7551" s="9">
        <v>43027</v>
      </c>
      <c r="E7551" t="s">
        <v>295</v>
      </c>
      <c r="I7551" s="9"/>
    </row>
    <row r="7552" spans="1:9" x14ac:dyDescent="0.25">
      <c r="A7552">
        <v>667015</v>
      </c>
      <c r="B7552">
        <v>7.6</v>
      </c>
      <c r="C7552">
        <v>100</v>
      </c>
      <c r="D7552" s="9">
        <v>42996</v>
      </c>
      <c r="E7552" t="s">
        <v>295</v>
      </c>
      <c r="I7552" s="9"/>
    </row>
    <row r="7553" spans="1:9" x14ac:dyDescent="0.25">
      <c r="A7553">
        <v>667015</v>
      </c>
      <c r="B7553">
        <v>7.6</v>
      </c>
      <c r="C7553">
        <v>200</v>
      </c>
      <c r="D7553" s="9">
        <v>42991</v>
      </c>
      <c r="E7553" t="s">
        <v>295</v>
      </c>
      <c r="I7553" s="9"/>
    </row>
    <row r="7554" spans="1:9" x14ac:dyDescent="0.25">
      <c r="A7554">
        <v>667015</v>
      </c>
      <c r="B7554">
        <v>7.6</v>
      </c>
      <c r="C7554">
        <v>300</v>
      </c>
      <c r="D7554" s="9">
        <v>42921</v>
      </c>
      <c r="E7554" t="s">
        <v>295</v>
      </c>
      <c r="I7554" s="9"/>
    </row>
    <row r="7555" spans="1:9" x14ac:dyDescent="0.25">
      <c r="A7555">
        <v>667015</v>
      </c>
      <c r="B7555">
        <v>7.6</v>
      </c>
      <c r="C7555">
        <v>300</v>
      </c>
      <c r="D7555" s="9">
        <v>42891</v>
      </c>
      <c r="E7555" t="s">
        <v>295</v>
      </c>
      <c r="I7555" s="9"/>
    </row>
    <row r="7556" spans="1:9" x14ac:dyDescent="0.25">
      <c r="A7556">
        <v>667015</v>
      </c>
      <c r="B7556">
        <v>7.6</v>
      </c>
      <c r="C7556">
        <v>300</v>
      </c>
      <c r="D7556" s="9">
        <v>42877</v>
      </c>
      <c r="E7556" t="s">
        <v>295</v>
      </c>
      <c r="I7556" s="9"/>
    </row>
    <row r="7557" spans="1:9" x14ac:dyDescent="0.25">
      <c r="A7557">
        <v>667015</v>
      </c>
      <c r="B7557">
        <v>7.6</v>
      </c>
      <c r="C7557">
        <v>100</v>
      </c>
      <c r="D7557" s="9">
        <v>42863</v>
      </c>
      <c r="E7557" t="s">
        <v>295</v>
      </c>
      <c r="I7557" s="9"/>
    </row>
    <row r="7558" spans="1:9" x14ac:dyDescent="0.25">
      <c r="A7558">
        <v>667015</v>
      </c>
      <c r="B7558">
        <v>7.7</v>
      </c>
      <c r="C7558">
        <v>300</v>
      </c>
      <c r="D7558" s="9">
        <v>42836</v>
      </c>
      <c r="E7558" t="s">
        <v>295</v>
      </c>
      <c r="I7558" s="9"/>
    </row>
    <row r="7559" spans="1:9" x14ac:dyDescent="0.25">
      <c r="A7559">
        <v>667015</v>
      </c>
      <c r="B7559">
        <v>7.6</v>
      </c>
      <c r="C7559">
        <v>300</v>
      </c>
      <c r="D7559" s="9">
        <v>42828</v>
      </c>
      <c r="E7559" t="s">
        <v>295</v>
      </c>
      <c r="I7559" s="9"/>
    </row>
    <row r="7560" spans="1:9" x14ac:dyDescent="0.25">
      <c r="A7560">
        <v>667015</v>
      </c>
      <c r="B7560">
        <v>7.6</v>
      </c>
      <c r="C7560">
        <v>150</v>
      </c>
      <c r="D7560" s="9">
        <v>42779</v>
      </c>
      <c r="E7560" t="s">
        <v>295</v>
      </c>
      <c r="I7560" s="9"/>
    </row>
    <row r="7561" spans="1:9" x14ac:dyDescent="0.25">
      <c r="A7561">
        <v>667015</v>
      </c>
      <c r="B7561">
        <v>7.6</v>
      </c>
      <c r="C7561">
        <v>50</v>
      </c>
      <c r="D7561" s="9">
        <v>42754</v>
      </c>
      <c r="E7561" t="s">
        <v>295</v>
      </c>
      <c r="I7561" s="9"/>
    </row>
    <row r="7562" spans="1:9" x14ac:dyDescent="0.25">
      <c r="A7562">
        <v>667015</v>
      </c>
      <c r="B7562">
        <v>7.6</v>
      </c>
      <c r="C7562">
        <v>200</v>
      </c>
      <c r="D7562" s="9">
        <v>42744</v>
      </c>
      <c r="E7562" t="s">
        <v>295</v>
      </c>
      <c r="I7562" s="9"/>
    </row>
    <row r="7563" spans="1:9" x14ac:dyDescent="0.25">
      <c r="A7563">
        <v>667015</v>
      </c>
      <c r="B7563">
        <v>7.6</v>
      </c>
      <c r="C7563">
        <v>300</v>
      </c>
      <c r="D7563" s="9">
        <v>42703</v>
      </c>
      <c r="E7563" t="s">
        <v>295</v>
      </c>
      <c r="I7563" s="9"/>
    </row>
    <row r="7564" spans="1:9" x14ac:dyDescent="0.25">
      <c r="A7564">
        <v>667015</v>
      </c>
      <c r="B7564">
        <v>7.7</v>
      </c>
      <c r="C7564">
        <v>180</v>
      </c>
      <c r="D7564" s="9">
        <v>42684</v>
      </c>
      <c r="E7564" t="s">
        <v>295</v>
      </c>
      <c r="I7564" s="9"/>
    </row>
    <row r="7565" spans="1:9" x14ac:dyDescent="0.25">
      <c r="A7565">
        <v>667015</v>
      </c>
      <c r="B7565">
        <v>7.7</v>
      </c>
      <c r="C7565">
        <v>200</v>
      </c>
      <c r="D7565" s="9">
        <v>42649</v>
      </c>
      <c r="E7565" t="s">
        <v>295</v>
      </c>
      <c r="I7565" s="9"/>
    </row>
    <row r="7566" spans="1:9" x14ac:dyDescent="0.25">
      <c r="A7566">
        <v>667015</v>
      </c>
      <c r="B7566">
        <v>7.7</v>
      </c>
      <c r="C7566">
        <v>100</v>
      </c>
      <c r="D7566" s="9">
        <v>42632</v>
      </c>
      <c r="E7566" t="s">
        <v>295</v>
      </c>
      <c r="I7566" s="9"/>
    </row>
    <row r="7567" spans="1:9" x14ac:dyDescent="0.25">
      <c r="A7567">
        <v>667015</v>
      </c>
      <c r="B7567">
        <v>7.7</v>
      </c>
      <c r="C7567">
        <v>40</v>
      </c>
      <c r="D7567" s="9">
        <v>42625</v>
      </c>
      <c r="E7567" t="s">
        <v>295</v>
      </c>
      <c r="I7567" s="9"/>
    </row>
    <row r="7568" spans="1:9" x14ac:dyDescent="0.25">
      <c r="A7568">
        <v>667015</v>
      </c>
      <c r="B7568">
        <v>7.7</v>
      </c>
      <c r="C7568">
        <v>30</v>
      </c>
      <c r="D7568" s="9">
        <v>42605</v>
      </c>
      <c r="E7568" t="s">
        <v>295</v>
      </c>
      <c r="I7568" s="9"/>
    </row>
    <row r="7569" spans="1:9" x14ac:dyDescent="0.25">
      <c r="A7569">
        <v>667015</v>
      </c>
      <c r="B7569">
        <v>7.7</v>
      </c>
      <c r="C7569">
        <v>150</v>
      </c>
      <c r="D7569" s="9">
        <v>42558</v>
      </c>
      <c r="E7569" t="s">
        <v>295</v>
      </c>
      <c r="I7569" s="9"/>
    </row>
    <row r="7570" spans="1:9" x14ac:dyDescent="0.25">
      <c r="A7570">
        <v>667015</v>
      </c>
      <c r="B7570">
        <v>7.7</v>
      </c>
      <c r="C7570">
        <v>200</v>
      </c>
      <c r="D7570" s="9">
        <v>42530</v>
      </c>
      <c r="E7570" t="s">
        <v>295</v>
      </c>
      <c r="I7570" s="9"/>
    </row>
    <row r="7571" spans="1:9" x14ac:dyDescent="0.25">
      <c r="A7571">
        <v>667015</v>
      </c>
      <c r="B7571">
        <v>7.7</v>
      </c>
      <c r="C7571">
        <v>200</v>
      </c>
      <c r="D7571" s="9">
        <v>42520</v>
      </c>
      <c r="E7571" t="s">
        <v>295</v>
      </c>
      <c r="I7571" s="9"/>
    </row>
    <row r="7572" spans="1:9" x14ac:dyDescent="0.25">
      <c r="A7572">
        <v>667015</v>
      </c>
      <c r="B7572">
        <v>7.7</v>
      </c>
      <c r="C7572">
        <v>190</v>
      </c>
      <c r="D7572" s="9">
        <v>42513</v>
      </c>
      <c r="E7572" t="s">
        <v>295</v>
      </c>
      <c r="I7572" s="9"/>
    </row>
    <row r="7573" spans="1:9" x14ac:dyDescent="0.25">
      <c r="A7573">
        <v>667015</v>
      </c>
      <c r="B7573">
        <v>7.7</v>
      </c>
      <c r="C7573">
        <v>30</v>
      </c>
      <c r="D7573" s="9">
        <v>42508</v>
      </c>
      <c r="E7573" t="s">
        <v>295</v>
      </c>
      <c r="I7573" s="9"/>
    </row>
    <row r="7574" spans="1:9" x14ac:dyDescent="0.25">
      <c r="A7574">
        <v>667015</v>
      </c>
      <c r="B7574">
        <v>7.7</v>
      </c>
      <c r="C7574">
        <v>160</v>
      </c>
      <c r="D7574" s="9">
        <v>42479</v>
      </c>
      <c r="E7574" t="s">
        <v>295</v>
      </c>
      <c r="I7574" s="9"/>
    </row>
    <row r="7575" spans="1:9" x14ac:dyDescent="0.25">
      <c r="A7575">
        <v>667015</v>
      </c>
      <c r="B7575">
        <v>7.7</v>
      </c>
      <c r="C7575">
        <v>200</v>
      </c>
      <c r="D7575" s="9">
        <v>42471</v>
      </c>
      <c r="E7575" t="s">
        <v>295</v>
      </c>
      <c r="I7575" s="9"/>
    </row>
    <row r="7576" spans="1:9" x14ac:dyDescent="0.25">
      <c r="A7576">
        <v>667015</v>
      </c>
      <c r="B7576">
        <v>7.7</v>
      </c>
      <c r="C7576">
        <v>150</v>
      </c>
      <c r="D7576" s="9">
        <v>42422</v>
      </c>
      <c r="E7576" t="s">
        <v>295</v>
      </c>
      <c r="I7576" s="9"/>
    </row>
    <row r="7577" spans="1:9" x14ac:dyDescent="0.25">
      <c r="A7577">
        <v>667015</v>
      </c>
      <c r="B7577">
        <v>7.7</v>
      </c>
      <c r="C7577">
        <v>130</v>
      </c>
      <c r="D7577" s="9">
        <v>42408</v>
      </c>
      <c r="E7577" t="s">
        <v>295</v>
      </c>
      <c r="I7577" s="9"/>
    </row>
    <row r="7578" spans="1:9" x14ac:dyDescent="0.25">
      <c r="A7578">
        <v>667015</v>
      </c>
      <c r="B7578">
        <v>7.7</v>
      </c>
      <c r="C7578">
        <v>50</v>
      </c>
      <c r="D7578" s="9">
        <v>42381</v>
      </c>
      <c r="E7578" t="s">
        <v>295</v>
      </c>
      <c r="I7578" s="9"/>
    </row>
    <row r="7579" spans="1:9" x14ac:dyDescent="0.25">
      <c r="A7579">
        <v>667015</v>
      </c>
      <c r="B7579">
        <v>7.7</v>
      </c>
      <c r="C7579">
        <v>100</v>
      </c>
      <c r="D7579" s="9">
        <v>42349</v>
      </c>
      <c r="E7579" t="s">
        <v>295</v>
      </c>
      <c r="I7579" s="9"/>
    </row>
    <row r="7580" spans="1:9" x14ac:dyDescent="0.25">
      <c r="A7580">
        <v>667015</v>
      </c>
      <c r="B7580">
        <v>7.7</v>
      </c>
      <c r="C7580">
        <v>200</v>
      </c>
      <c r="D7580" s="9">
        <v>42313</v>
      </c>
      <c r="E7580" t="s">
        <v>295</v>
      </c>
      <c r="I7580" s="9"/>
    </row>
    <row r="7581" spans="1:9" x14ac:dyDescent="0.25">
      <c r="A7581">
        <v>667015</v>
      </c>
      <c r="B7581">
        <v>0</v>
      </c>
      <c r="C7581">
        <v>200</v>
      </c>
      <c r="D7581" s="9">
        <v>42284</v>
      </c>
      <c r="E7581" t="s">
        <v>295</v>
      </c>
      <c r="I7581" s="9"/>
    </row>
    <row r="7582" spans="1:9" x14ac:dyDescent="0.25">
      <c r="A7582">
        <v>667015</v>
      </c>
      <c r="B7582">
        <v>7.7</v>
      </c>
      <c r="C7582">
        <v>50</v>
      </c>
      <c r="D7582" s="9">
        <v>42258</v>
      </c>
      <c r="E7582" t="s">
        <v>295</v>
      </c>
      <c r="I7582" s="9"/>
    </row>
    <row r="7583" spans="1:9" x14ac:dyDescent="0.25">
      <c r="A7583">
        <v>667015</v>
      </c>
      <c r="B7583">
        <v>9.11</v>
      </c>
      <c r="C7583">
        <v>50</v>
      </c>
      <c r="D7583" s="9">
        <v>42242</v>
      </c>
      <c r="E7583" t="s">
        <v>295</v>
      </c>
      <c r="I7583" s="9"/>
    </row>
    <row r="7584" spans="1:9" x14ac:dyDescent="0.25">
      <c r="A7584">
        <v>667015</v>
      </c>
      <c r="B7584">
        <v>9.11</v>
      </c>
      <c r="C7584">
        <v>50</v>
      </c>
      <c r="D7584" s="9">
        <v>42233</v>
      </c>
      <c r="E7584" t="s">
        <v>295</v>
      </c>
      <c r="I7584" s="9"/>
    </row>
    <row r="7585" spans="1:9" x14ac:dyDescent="0.25">
      <c r="A7585">
        <v>667015</v>
      </c>
      <c r="B7585">
        <v>9.11</v>
      </c>
      <c r="C7585">
        <v>150</v>
      </c>
      <c r="D7585" s="9">
        <v>42227</v>
      </c>
      <c r="E7585" t="s">
        <v>295</v>
      </c>
      <c r="I7585" s="9"/>
    </row>
    <row r="7586" spans="1:9" x14ac:dyDescent="0.25">
      <c r="A7586">
        <v>667015</v>
      </c>
      <c r="B7586">
        <v>9.11</v>
      </c>
      <c r="C7586">
        <v>100</v>
      </c>
      <c r="D7586" s="9">
        <v>42212</v>
      </c>
      <c r="E7586" t="s">
        <v>295</v>
      </c>
      <c r="I7586" s="9"/>
    </row>
    <row r="7587" spans="1:9" x14ac:dyDescent="0.25">
      <c r="A7587">
        <v>667015</v>
      </c>
      <c r="B7587">
        <v>9.11</v>
      </c>
      <c r="C7587">
        <v>70</v>
      </c>
      <c r="D7587" s="9">
        <v>42194</v>
      </c>
      <c r="E7587" t="s">
        <v>295</v>
      </c>
      <c r="I7587" s="9"/>
    </row>
    <row r="7588" spans="1:9" x14ac:dyDescent="0.25">
      <c r="A7588">
        <v>667015</v>
      </c>
      <c r="B7588">
        <v>9.11</v>
      </c>
      <c r="C7588">
        <v>100</v>
      </c>
      <c r="D7588" s="9">
        <v>42174</v>
      </c>
      <c r="E7588" t="s">
        <v>295</v>
      </c>
      <c r="I7588" s="9"/>
    </row>
    <row r="7589" spans="1:9" x14ac:dyDescent="0.25">
      <c r="A7589">
        <v>667015</v>
      </c>
      <c r="B7589">
        <v>9.11</v>
      </c>
      <c r="C7589">
        <v>40</v>
      </c>
      <c r="D7589" s="9">
        <v>42170</v>
      </c>
      <c r="E7589" t="s">
        <v>295</v>
      </c>
      <c r="I7589" s="9"/>
    </row>
    <row r="7590" spans="1:9" x14ac:dyDescent="0.25">
      <c r="A7590">
        <v>667015</v>
      </c>
      <c r="B7590">
        <v>9.11</v>
      </c>
      <c r="C7590">
        <v>100</v>
      </c>
      <c r="D7590" s="9">
        <v>42146</v>
      </c>
      <c r="E7590" t="s">
        <v>295</v>
      </c>
      <c r="I7590" s="9"/>
    </row>
    <row r="7591" spans="1:9" x14ac:dyDescent="0.25">
      <c r="A7591">
        <v>667015</v>
      </c>
      <c r="B7591">
        <v>9.11</v>
      </c>
      <c r="C7591">
        <v>200</v>
      </c>
      <c r="D7591" s="9">
        <v>42103</v>
      </c>
      <c r="E7591" t="s">
        <v>295</v>
      </c>
      <c r="I7591" s="9"/>
    </row>
    <row r="7592" spans="1:9" x14ac:dyDescent="0.25">
      <c r="A7592">
        <v>667015</v>
      </c>
      <c r="B7592">
        <v>8.7100000000000009</v>
      </c>
      <c r="C7592">
        <v>160</v>
      </c>
      <c r="D7592" s="9">
        <v>41984</v>
      </c>
      <c r="E7592" t="s">
        <v>295</v>
      </c>
      <c r="I7592" s="9"/>
    </row>
    <row r="7593" spans="1:9" x14ac:dyDescent="0.25">
      <c r="A7593">
        <v>667015</v>
      </c>
      <c r="B7593">
        <v>8.7100000000000009</v>
      </c>
      <c r="C7593">
        <v>700</v>
      </c>
      <c r="D7593" s="9">
        <v>41982</v>
      </c>
      <c r="E7593" t="s">
        <v>295</v>
      </c>
      <c r="I7593" s="9"/>
    </row>
    <row r="7594" spans="1:9" x14ac:dyDescent="0.25">
      <c r="A7594">
        <v>667015</v>
      </c>
      <c r="B7594">
        <v>9.11</v>
      </c>
      <c r="C7594">
        <v>300</v>
      </c>
      <c r="D7594" s="9">
        <v>41957</v>
      </c>
      <c r="E7594" t="s">
        <v>295</v>
      </c>
      <c r="I7594" s="9"/>
    </row>
    <row r="7595" spans="1:9" x14ac:dyDescent="0.25">
      <c r="A7595">
        <v>667015</v>
      </c>
      <c r="B7595">
        <v>9.11</v>
      </c>
      <c r="C7595">
        <v>100</v>
      </c>
      <c r="D7595" s="9">
        <v>41935</v>
      </c>
      <c r="E7595" t="s">
        <v>295</v>
      </c>
      <c r="I7595" s="9"/>
    </row>
    <row r="7596" spans="1:9" x14ac:dyDescent="0.25">
      <c r="A7596">
        <v>667015</v>
      </c>
      <c r="B7596">
        <v>9.11</v>
      </c>
      <c r="C7596">
        <v>200</v>
      </c>
      <c r="D7596" s="9">
        <v>41892</v>
      </c>
      <c r="E7596" t="s">
        <v>295</v>
      </c>
      <c r="I7596" s="9"/>
    </row>
    <row r="7597" spans="1:9" x14ac:dyDescent="0.25">
      <c r="A7597">
        <v>667015</v>
      </c>
      <c r="B7597">
        <v>9.11</v>
      </c>
      <c r="C7597">
        <v>100</v>
      </c>
      <c r="D7597" s="9">
        <v>41844</v>
      </c>
      <c r="E7597" t="s">
        <v>295</v>
      </c>
      <c r="I7597" s="9"/>
    </row>
    <row r="7598" spans="1:9" x14ac:dyDescent="0.25">
      <c r="A7598">
        <v>667015</v>
      </c>
      <c r="B7598">
        <v>9.11</v>
      </c>
      <c r="C7598">
        <v>100</v>
      </c>
      <c r="D7598" s="9">
        <v>41794</v>
      </c>
      <c r="E7598" t="s">
        <v>295</v>
      </c>
      <c r="I7598" s="9"/>
    </row>
    <row r="7599" spans="1:9" x14ac:dyDescent="0.25">
      <c r="A7599">
        <v>667015</v>
      </c>
      <c r="B7599">
        <v>9.11</v>
      </c>
      <c r="C7599">
        <v>200</v>
      </c>
      <c r="D7599" s="9">
        <v>41744</v>
      </c>
      <c r="E7599" t="s">
        <v>295</v>
      </c>
      <c r="I7599" s="9"/>
    </row>
    <row r="7600" spans="1:9" x14ac:dyDescent="0.25">
      <c r="A7600">
        <v>667015</v>
      </c>
      <c r="B7600">
        <v>9.11</v>
      </c>
      <c r="C7600">
        <v>40</v>
      </c>
      <c r="D7600" s="9">
        <v>41704</v>
      </c>
      <c r="E7600" t="s">
        <v>295</v>
      </c>
      <c r="I7600" s="9"/>
    </row>
    <row r="7601" spans="1:9" x14ac:dyDescent="0.25">
      <c r="A7601">
        <v>667015</v>
      </c>
      <c r="B7601">
        <v>9.11</v>
      </c>
      <c r="C7601">
        <v>150</v>
      </c>
      <c r="D7601" s="9">
        <v>41668</v>
      </c>
      <c r="E7601" t="s">
        <v>295</v>
      </c>
      <c r="I7601" s="9"/>
    </row>
    <row r="7602" spans="1:9" x14ac:dyDescent="0.25">
      <c r="A7602">
        <v>667015</v>
      </c>
      <c r="B7602">
        <v>9.11</v>
      </c>
      <c r="C7602">
        <v>80</v>
      </c>
      <c r="D7602" s="9">
        <v>41612</v>
      </c>
      <c r="E7602" t="s">
        <v>295</v>
      </c>
      <c r="I7602" s="9"/>
    </row>
    <row r="7603" spans="1:9" x14ac:dyDescent="0.25">
      <c r="A7603">
        <v>667115</v>
      </c>
      <c r="B7603">
        <v>14.72</v>
      </c>
      <c r="C7603">
        <v>4</v>
      </c>
      <c r="D7603" s="9">
        <v>44035</v>
      </c>
      <c r="E7603" t="s">
        <v>295</v>
      </c>
      <c r="I7603" s="9"/>
    </row>
    <row r="7604" spans="1:9" x14ac:dyDescent="0.25">
      <c r="A7604">
        <v>667115</v>
      </c>
      <c r="B7604">
        <v>14.72</v>
      </c>
      <c r="C7604">
        <v>4</v>
      </c>
      <c r="D7604" s="9">
        <v>43633</v>
      </c>
      <c r="E7604" t="s">
        <v>295</v>
      </c>
      <c r="I7604" s="9"/>
    </row>
    <row r="7605" spans="1:9" x14ac:dyDescent="0.25">
      <c r="A7605">
        <v>667115</v>
      </c>
      <c r="B7605">
        <v>14.72</v>
      </c>
      <c r="C7605">
        <v>4</v>
      </c>
      <c r="D7605" s="9">
        <v>43368</v>
      </c>
      <c r="E7605" t="s">
        <v>295</v>
      </c>
      <c r="I7605" s="9"/>
    </row>
    <row r="7606" spans="1:9" x14ac:dyDescent="0.25">
      <c r="A7606">
        <v>667115</v>
      </c>
      <c r="B7606">
        <v>14.72</v>
      </c>
      <c r="C7606">
        <v>20</v>
      </c>
      <c r="D7606" s="9">
        <v>43027</v>
      </c>
      <c r="E7606" t="s">
        <v>295</v>
      </c>
      <c r="I7606" s="9"/>
    </row>
    <row r="7607" spans="1:9" x14ac:dyDescent="0.25">
      <c r="A7607">
        <v>667115</v>
      </c>
      <c r="B7607">
        <v>14.72</v>
      </c>
      <c r="C7607">
        <v>3</v>
      </c>
      <c r="D7607" s="9">
        <v>42921</v>
      </c>
      <c r="E7607" t="s">
        <v>295</v>
      </c>
      <c r="I7607" s="9"/>
    </row>
    <row r="7608" spans="1:9" x14ac:dyDescent="0.25">
      <c r="A7608">
        <v>667115</v>
      </c>
      <c r="B7608">
        <v>14.72</v>
      </c>
      <c r="C7608">
        <v>20</v>
      </c>
      <c r="D7608" s="9">
        <v>42863</v>
      </c>
      <c r="E7608" t="s">
        <v>295</v>
      </c>
      <c r="I7608" s="9"/>
    </row>
    <row r="7609" spans="1:9" x14ac:dyDescent="0.25">
      <c r="A7609">
        <v>667115</v>
      </c>
      <c r="B7609">
        <v>14.72</v>
      </c>
      <c r="C7609">
        <v>20</v>
      </c>
      <c r="D7609" s="9">
        <v>42836</v>
      </c>
      <c r="E7609" t="s">
        <v>295</v>
      </c>
      <c r="I7609" s="9"/>
    </row>
    <row r="7610" spans="1:9" x14ac:dyDescent="0.25">
      <c r="A7610">
        <v>667115</v>
      </c>
      <c r="B7610">
        <v>14.72</v>
      </c>
      <c r="C7610">
        <v>7</v>
      </c>
      <c r="D7610" s="9">
        <v>42508</v>
      </c>
      <c r="E7610" t="s">
        <v>295</v>
      </c>
      <c r="I7610" s="9"/>
    </row>
    <row r="7611" spans="1:9" x14ac:dyDescent="0.25">
      <c r="A7611">
        <v>667115</v>
      </c>
      <c r="B7611">
        <v>14.72</v>
      </c>
      <c r="C7611">
        <v>2</v>
      </c>
      <c r="D7611" s="9">
        <v>42451</v>
      </c>
      <c r="E7611" t="s">
        <v>295</v>
      </c>
      <c r="I7611" s="9"/>
    </row>
    <row r="7612" spans="1:9" x14ac:dyDescent="0.25">
      <c r="A7612">
        <v>667115</v>
      </c>
      <c r="B7612">
        <v>14.72</v>
      </c>
      <c r="C7612">
        <v>3</v>
      </c>
      <c r="D7612" s="9">
        <v>42422</v>
      </c>
      <c r="E7612" t="s">
        <v>295</v>
      </c>
      <c r="I7612" s="9"/>
    </row>
    <row r="7613" spans="1:9" x14ac:dyDescent="0.25">
      <c r="A7613">
        <v>667115</v>
      </c>
      <c r="B7613">
        <v>14.72</v>
      </c>
      <c r="C7613">
        <v>2</v>
      </c>
      <c r="D7613" s="9">
        <v>42381</v>
      </c>
      <c r="E7613" t="s">
        <v>295</v>
      </c>
      <c r="I7613" s="9"/>
    </row>
    <row r="7614" spans="1:9" x14ac:dyDescent="0.25">
      <c r="A7614">
        <v>667115</v>
      </c>
      <c r="B7614">
        <v>14.72</v>
      </c>
      <c r="C7614">
        <v>1</v>
      </c>
      <c r="D7614" s="9">
        <v>42313</v>
      </c>
      <c r="E7614" t="s">
        <v>295</v>
      </c>
      <c r="I7614" s="9"/>
    </row>
    <row r="7615" spans="1:9" x14ac:dyDescent="0.25">
      <c r="A7615">
        <v>667125</v>
      </c>
      <c r="B7615">
        <v>23</v>
      </c>
      <c r="C7615">
        <v>6</v>
      </c>
      <c r="D7615" s="9">
        <v>44035</v>
      </c>
      <c r="E7615" t="s">
        <v>295</v>
      </c>
      <c r="I7615" s="9"/>
    </row>
    <row r="7616" spans="1:9" x14ac:dyDescent="0.25">
      <c r="A7616">
        <v>667125</v>
      </c>
      <c r="B7616">
        <v>23</v>
      </c>
      <c r="C7616">
        <v>5</v>
      </c>
      <c r="D7616" s="9">
        <v>43979</v>
      </c>
      <c r="E7616" t="s">
        <v>295</v>
      </c>
      <c r="I7616" s="9"/>
    </row>
    <row r="7617" spans="1:9" x14ac:dyDescent="0.25">
      <c r="A7617">
        <v>667125</v>
      </c>
      <c r="B7617">
        <v>23</v>
      </c>
      <c r="C7617">
        <v>4</v>
      </c>
      <c r="D7617" s="9">
        <v>43753</v>
      </c>
      <c r="E7617" t="s">
        <v>295</v>
      </c>
      <c r="I7617" s="9"/>
    </row>
    <row r="7618" spans="1:9" x14ac:dyDescent="0.25">
      <c r="A7618">
        <v>667125</v>
      </c>
      <c r="B7618">
        <v>23</v>
      </c>
      <c r="C7618">
        <v>4</v>
      </c>
      <c r="D7618" s="9">
        <v>43368</v>
      </c>
      <c r="E7618" t="s">
        <v>295</v>
      </c>
      <c r="I7618" s="9"/>
    </row>
    <row r="7619" spans="1:9" x14ac:dyDescent="0.25">
      <c r="A7619">
        <v>667125</v>
      </c>
      <c r="B7619">
        <v>23</v>
      </c>
      <c r="C7619">
        <v>5</v>
      </c>
      <c r="D7619" s="9">
        <v>43054</v>
      </c>
      <c r="E7619" t="s">
        <v>295</v>
      </c>
      <c r="I7619" s="9"/>
    </row>
    <row r="7620" spans="1:9" x14ac:dyDescent="0.25">
      <c r="A7620">
        <v>667125</v>
      </c>
      <c r="B7620">
        <v>23</v>
      </c>
      <c r="C7620">
        <v>21</v>
      </c>
      <c r="D7620" s="9">
        <v>43027</v>
      </c>
      <c r="E7620" t="s">
        <v>295</v>
      </c>
      <c r="I7620" s="9"/>
    </row>
    <row r="7621" spans="1:9" x14ac:dyDescent="0.25">
      <c r="A7621">
        <v>667125</v>
      </c>
      <c r="B7621">
        <v>23</v>
      </c>
      <c r="C7621">
        <v>3</v>
      </c>
      <c r="D7621" s="9">
        <v>42991</v>
      </c>
      <c r="E7621" t="s">
        <v>295</v>
      </c>
      <c r="I7621" s="9"/>
    </row>
    <row r="7622" spans="1:9" x14ac:dyDescent="0.25">
      <c r="A7622">
        <v>667125</v>
      </c>
      <c r="B7622">
        <v>23</v>
      </c>
      <c r="C7622">
        <v>3</v>
      </c>
      <c r="D7622" s="9">
        <v>42921</v>
      </c>
      <c r="E7622" t="s">
        <v>295</v>
      </c>
      <c r="I7622" s="9"/>
    </row>
    <row r="7623" spans="1:9" x14ac:dyDescent="0.25">
      <c r="A7623">
        <v>667125</v>
      </c>
      <c r="B7623">
        <v>23</v>
      </c>
      <c r="C7623">
        <v>20</v>
      </c>
      <c r="D7623" s="9">
        <v>42863</v>
      </c>
      <c r="E7623" t="s">
        <v>295</v>
      </c>
      <c r="I7623" s="9"/>
    </row>
    <row r="7624" spans="1:9" x14ac:dyDescent="0.25">
      <c r="A7624">
        <v>667125</v>
      </c>
      <c r="B7624">
        <v>23</v>
      </c>
      <c r="C7624">
        <v>20</v>
      </c>
      <c r="D7624" s="9">
        <v>42836</v>
      </c>
      <c r="E7624" t="s">
        <v>295</v>
      </c>
      <c r="I7624" s="9"/>
    </row>
    <row r="7625" spans="1:9" x14ac:dyDescent="0.25">
      <c r="A7625">
        <v>667125</v>
      </c>
      <c r="B7625">
        <v>23</v>
      </c>
      <c r="C7625">
        <v>3</v>
      </c>
      <c r="D7625" s="9">
        <v>42703</v>
      </c>
      <c r="E7625" t="s">
        <v>295</v>
      </c>
      <c r="I7625" s="9"/>
    </row>
    <row r="7626" spans="1:9" x14ac:dyDescent="0.25">
      <c r="A7626">
        <v>667125</v>
      </c>
      <c r="B7626">
        <v>23</v>
      </c>
      <c r="C7626">
        <v>6</v>
      </c>
      <c r="D7626" s="9">
        <v>42508</v>
      </c>
      <c r="E7626" t="s">
        <v>295</v>
      </c>
      <c r="I7626" s="9"/>
    </row>
    <row r="7627" spans="1:9" x14ac:dyDescent="0.25">
      <c r="A7627">
        <v>667125</v>
      </c>
      <c r="B7627">
        <v>23</v>
      </c>
      <c r="C7627">
        <v>15</v>
      </c>
      <c r="D7627" s="9">
        <v>42471</v>
      </c>
      <c r="E7627" t="s">
        <v>295</v>
      </c>
      <c r="I7627" s="9"/>
    </row>
    <row r="7628" spans="1:9" x14ac:dyDescent="0.25">
      <c r="A7628">
        <v>667125</v>
      </c>
      <c r="B7628">
        <v>23</v>
      </c>
      <c r="C7628">
        <v>5</v>
      </c>
      <c r="D7628" s="9">
        <v>42313</v>
      </c>
      <c r="E7628" t="s">
        <v>295</v>
      </c>
      <c r="I7628" s="9"/>
    </row>
    <row r="7629" spans="1:9" x14ac:dyDescent="0.25">
      <c r="A7629">
        <v>667132</v>
      </c>
      <c r="B7629">
        <v>23.92</v>
      </c>
      <c r="C7629">
        <v>4</v>
      </c>
      <c r="D7629" s="9">
        <v>44089</v>
      </c>
      <c r="E7629" t="s">
        <v>295</v>
      </c>
      <c r="I7629" s="9"/>
    </row>
    <row r="7630" spans="1:9" x14ac:dyDescent="0.25">
      <c r="A7630">
        <v>667132</v>
      </c>
      <c r="B7630">
        <v>23.92</v>
      </c>
      <c r="C7630">
        <v>2</v>
      </c>
      <c r="D7630" s="9">
        <v>44035</v>
      </c>
      <c r="E7630" t="s">
        <v>295</v>
      </c>
      <c r="I7630" s="9"/>
    </row>
    <row r="7631" spans="1:9" x14ac:dyDescent="0.25">
      <c r="A7631">
        <v>667132</v>
      </c>
      <c r="B7631">
        <v>23.92</v>
      </c>
      <c r="C7631">
        <v>2</v>
      </c>
      <c r="D7631" s="9">
        <v>43880</v>
      </c>
      <c r="E7631" t="s">
        <v>295</v>
      </c>
      <c r="I7631" s="9"/>
    </row>
    <row r="7632" spans="1:9" x14ac:dyDescent="0.25">
      <c r="A7632">
        <v>667132</v>
      </c>
      <c r="B7632">
        <v>23.92</v>
      </c>
      <c r="C7632">
        <v>2</v>
      </c>
      <c r="D7632" s="9">
        <v>43664</v>
      </c>
      <c r="E7632" t="s">
        <v>295</v>
      </c>
      <c r="I7632" s="9"/>
    </row>
    <row r="7633" spans="1:9" x14ac:dyDescent="0.25">
      <c r="A7633">
        <v>667132</v>
      </c>
      <c r="B7633">
        <v>23.92</v>
      </c>
      <c r="C7633">
        <v>2</v>
      </c>
      <c r="D7633" s="9">
        <v>43633</v>
      </c>
      <c r="E7633" t="s">
        <v>295</v>
      </c>
      <c r="I7633" s="9"/>
    </row>
    <row r="7634" spans="1:9" x14ac:dyDescent="0.25">
      <c r="A7634">
        <v>667132</v>
      </c>
      <c r="B7634">
        <v>23.92</v>
      </c>
      <c r="C7634">
        <v>1</v>
      </c>
      <c r="D7634" s="9">
        <v>43595</v>
      </c>
      <c r="E7634" t="s">
        <v>295</v>
      </c>
      <c r="I7634" s="9"/>
    </row>
    <row r="7635" spans="1:9" x14ac:dyDescent="0.25">
      <c r="A7635">
        <v>667132</v>
      </c>
      <c r="B7635">
        <v>23.92</v>
      </c>
      <c r="C7635">
        <v>2</v>
      </c>
      <c r="D7635" s="9">
        <v>43494</v>
      </c>
      <c r="E7635" t="s">
        <v>295</v>
      </c>
      <c r="I7635" s="9"/>
    </row>
    <row r="7636" spans="1:9" x14ac:dyDescent="0.25">
      <c r="A7636">
        <v>667132</v>
      </c>
      <c r="B7636">
        <v>23.92</v>
      </c>
      <c r="C7636">
        <v>2</v>
      </c>
      <c r="D7636" s="9">
        <v>43391</v>
      </c>
      <c r="E7636" t="s">
        <v>295</v>
      </c>
      <c r="I7636" s="9"/>
    </row>
    <row r="7637" spans="1:9" x14ac:dyDescent="0.25">
      <c r="A7637">
        <v>667132</v>
      </c>
      <c r="B7637">
        <v>23.92</v>
      </c>
      <c r="C7637">
        <v>3</v>
      </c>
      <c r="D7637" s="9">
        <v>43368</v>
      </c>
      <c r="E7637" t="s">
        <v>295</v>
      </c>
      <c r="I7637" s="9"/>
    </row>
    <row r="7638" spans="1:9" x14ac:dyDescent="0.25">
      <c r="A7638">
        <v>667132</v>
      </c>
      <c r="B7638">
        <v>23.92</v>
      </c>
      <c r="C7638">
        <v>3</v>
      </c>
      <c r="D7638" s="9">
        <v>43229</v>
      </c>
      <c r="E7638" t="s">
        <v>295</v>
      </c>
      <c r="I7638" s="9"/>
    </row>
    <row r="7639" spans="1:9" x14ac:dyDescent="0.25">
      <c r="A7639">
        <v>667132</v>
      </c>
      <c r="B7639">
        <v>23.92</v>
      </c>
      <c r="C7639">
        <v>3</v>
      </c>
      <c r="D7639" s="9">
        <v>43073</v>
      </c>
      <c r="E7639" t="s">
        <v>295</v>
      </c>
      <c r="I7639" s="9"/>
    </row>
    <row r="7640" spans="1:9" x14ac:dyDescent="0.25">
      <c r="A7640">
        <v>667132</v>
      </c>
      <c r="B7640">
        <v>23.92</v>
      </c>
      <c r="C7640">
        <v>8</v>
      </c>
      <c r="D7640" s="9">
        <v>42991</v>
      </c>
      <c r="E7640" t="s">
        <v>295</v>
      </c>
      <c r="I7640" s="9"/>
    </row>
    <row r="7641" spans="1:9" x14ac:dyDescent="0.25">
      <c r="A7641">
        <v>667132</v>
      </c>
      <c r="B7641">
        <v>23.92</v>
      </c>
      <c r="C7641">
        <v>2</v>
      </c>
      <c r="D7641" s="9">
        <v>42921</v>
      </c>
      <c r="E7641" t="s">
        <v>295</v>
      </c>
      <c r="I7641" s="9"/>
    </row>
    <row r="7642" spans="1:9" x14ac:dyDescent="0.25">
      <c r="A7642">
        <v>667132</v>
      </c>
      <c r="B7642">
        <v>23.92</v>
      </c>
      <c r="C7642">
        <v>10</v>
      </c>
      <c r="D7642" s="9">
        <v>42836</v>
      </c>
      <c r="E7642" t="s">
        <v>295</v>
      </c>
      <c r="I7642" s="9"/>
    </row>
    <row r="7643" spans="1:9" x14ac:dyDescent="0.25">
      <c r="A7643">
        <v>667132</v>
      </c>
      <c r="B7643">
        <v>23.92</v>
      </c>
      <c r="C7643">
        <v>3</v>
      </c>
      <c r="D7643" s="9">
        <v>42558</v>
      </c>
      <c r="E7643" t="s">
        <v>295</v>
      </c>
      <c r="I7643" s="9"/>
    </row>
    <row r="7644" spans="1:9" x14ac:dyDescent="0.25">
      <c r="A7644">
        <v>667132</v>
      </c>
      <c r="B7644">
        <v>23.92</v>
      </c>
      <c r="C7644">
        <v>1</v>
      </c>
      <c r="D7644" s="9">
        <v>42508</v>
      </c>
      <c r="E7644" t="s">
        <v>295</v>
      </c>
      <c r="I7644" s="9"/>
    </row>
    <row r="7645" spans="1:9" x14ac:dyDescent="0.25">
      <c r="A7645">
        <v>667132</v>
      </c>
      <c r="B7645">
        <v>23.92</v>
      </c>
      <c r="C7645">
        <v>1</v>
      </c>
      <c r="D7645" s="9">
        <v>42479</v>
      </c>
      <c r="E7645" t="s">
        <v>295</v>
      </c>
      <c r="I7645" s="9"/>
    </row>
    <row r="7646" spans="1:9" x14ac:dyDescent="0.25">
      <c r="A7646">
        <v>667132</v>
      </c>
      <c r="B7646">
        <v>23.92</v>
      </c>
      <c r="C7646">
        <v>3</v>
      </c>
      <c r="D7646" s="9">
        <v>42451</v>
      </c>
      <c r="E7646" t="s">
        <v>295</v>
      </c>
      <c r="I7646" s="9"/>
    </row>
    <row r="7647" spans="1:9" x14ac:dyDescent="0.25">
      <c r="A7647">
        <v>667132</v>
      </c>
      <c r="B7647">
        <v>23.92</v>
      </c>
      <c r="C7647">
        <v>2</v>
      </c>
      <c r="D7647" s="9">
        <v>42381</v>
      </c>
      <c r="E7647" t="s">
        <v>295</v>
      </c>
      <c r="I7647" s="9"/>
    </row>
    <row r="7648" spans="1:9" x14ac:dyDescent="0.25">
      <c r="A7648">
        <v>667132</v>
      </c>
      <c r="B7648">
        <v>23.92</v>
      </c>
      <c r="C7648">
        <v>1</v>
      </c>
      <c r="D7648" s="9">
        <v>42313</v>
      </c>
      <c r="E7648" t="s">
        <v>295</v>
      </c>
      <c r="I7648" s="9"/>
    </row>
    <row r="7649" spans="1:9" x14ac:dyDescent="0.25">
      <c r="A7649">
        <v>667213</v>
      </c>
      <c r="B7649">
        <v>10.119999999999999</v>
      </c>
      <c r="C7649">
        <v>20</v>
      </c>
      <c r="D7649" s="9">
        <v>44089</v>
      </c>
      <c r="E7649" t="s">
        <v>295</v>
      </c>
      <c r="I7649" s="9"/>
    </row>
    <row r="7650" spans="1:9" x14ac:dyDescent="0.25">
      <c r="A7650">
        <v>667213</v>
      </c>
      <c r="B7650">
        <v>10.119999999999999</v>
      </c>
      <c r="C7650">
        <v>20</v>
      </c>
      <c r="D7650" s="9">
        <v>44035</v>
      </c>
      <c r="E7650" t="s">
        <v>295</v>
      </c>
      <c r="I7650" s="9"/>
    </row>
    <row r="7651" spans="1:9" x14ac:dyDescent="0.25">
      <c r="A7651">
        <v>667213</v>
      </c>
      <c r="B7651">
        <v>10.119999999999999</v>
      </c>
      <c r="C7651">
        <v>20</v>
      </c>
      <c r="D7651" s="9">
        <v>43979</v>
      </c>
      <c r="E7651" t="s">
        <v>295</v>
      </c>
      <c r="I7651" s="9"/>
    </row>
    <row r="7652" spans="1:9" x14ac:dyDescent="0.25">
      <c r="A7652">
        <v>667213</v>
      </c>
      <c r="B7652">
        <v>10.119999999999999</v>
      </c>
      <c r="C7652">
        <v>20</v>
      </c>
      <c r="D7652" s="9">
        <v>43910</v>
      </c>
      <c r="E7652" t="s">
        <v>295</v>
      </c>
      <c r="I7652" s="9"/>
    </row>
    <row r="7653" spans="1:9" x14ac:dyDescent="0.25">
      <c r="A7653">
        <v>667213</v>
      </c>
      <c r="B7653">
        <v>10.119999999999999</v>
      </c>
      <c r="C7653">
        <v>20</v>
      </c>
      <c r="D7653" s="9">
        <v>43880</v>
      </c>
      <c r="E7653" t="s">
        <v>295</v>
      </c>
      <c r="I7653" s="9"/>
    </row>
    <row r="7654" spans="1:9" x14ac:dyDescent="0.25">
      <c r="A7654">
        <v>667213</v>
      </c>
      <c r="B7654">
        <v>10.119999999999999</v>
      </c>
      <c r="C7654">
        <v>10</v>
      </c>
      <c r="D7654" s="9">
        <v>43796</v>
      </c>
      <c r="E7654" t="s">
        <v>295</v>
      </c>
      <c r="I7654" s="9"/>
    </row>
    <row r="7655" spans="1:9" x14ac:dyDescent="0.25">
      <c r="A7655">
        <v>667213</v>
      </c>
      <c r="B7655">
        <v>10.119999999999999</v>
      </c>
      <c r="C7655">
        <v>20</v>
      </c>
      <c r="D7655" s="9">
        <v>43728</v>
      </c>
      <c r="E7655" t="s">
        <v>295</v>
      </c>
      <c r="I7655" s="9"/>
    </row>
    <row r="7656" spans="1:9" x14ac:dyDescent="0.25">
      <c r="A7656">
        <v>667213</v>
      </c>
      <c r="B7656">
        <v>10.119999999999999</v>
      </c>
      <c r="C7656">
        <v>20</v>
      </c>
      <c r="D7656" s="9">
        <v>43664</v>
      </c>
      <c r="E7656" t="s">
        <v>295</v>
      </c>
      <c r="I7656" s="9"/>
    </row>
    <row r="7657" spans="1:9" x14ac:dyDescent="0.25">
      <c r="A7657">
        <v>667213</v>
      </c>
      <c r="B7657">
        <v>10.119999999999999</v>
      </c>
      <c r="C7657">
        <v>10</v>
      </c>
      <c r="D7657" s="9">
        <v>43633</v>
      </c>
      <c r="E7657" t="s">
        <v>295</v>
      </c>
      <c r="I7657" s="9"/>
    </row>
    <row r="7658" spans="1:9" x14ac:dyDescent="0.25">
      <c r="A7658">
        <v>667213</v>
      </c>
      <c r="B7658">
        <v>10.119999999999999</v>
      </c>
      <c r="C7658">
        <v>2</v>
      </c>
      <c r="D7658" s="9">
        <v>43595</v>
      </c>
      <c r="E7658" t="s">
        <v>295</v>
      </c>
      <c r="I7658" s="9"/>
    </row>
    <row r="7659" spans="1:9" x14ac:dyDescent="0.25">
      <c r="A7659">
        <v>667213</v>
      </c>
      <c r="B7659">
        <v>10.119999999999999</v>
      </c>
      <c r="C7659">
        <v>20</v>
      </c>
      <c r="D7659" s="9">
        <v>43530</v>
      </c>
      <c r="E7659" t="s">
        <v>295</v>
      </c>
      <c r="I7659" s="9"/>
    </row>
    <row r="7660" spans="1:9" x14ac:dyDescent="0.25">
      <c r="A7660">
        <v>667213</v>
      </c>
      <c r="B7660">
        <v>10.119999999999999</v>
      </c>
      <c r="C7660">
        <v>10</v>
      </c>
      <c r="D7660" s="9">
        <v>43494</v>
      </c>
      <c r="E7660" t="s">
        <v>295</v>
      </c>
      <c r="I7660" s="9"/>
    </row>
    <row r="7661" spans="1:9" x14ac:dyDescent="0.25">
      <c r="A7661">
        <v>667213</v>
      </c>
      <c r="B7661">
        <v>10.119999999999999</v>
      </c>
      <c r="C7661">
        <v>5</v>
      </c>
      <c r="D7661" s="9">
        <v>43432</v>
      </c>
      <c r="E7661" t="s">
        <v>295</v>
      </c>
      <c r="I7661" s="9"/>
    </row>
    <row r="7662" spans="1:9" x14ac:dyDescent="0.25">
      <c r="A7662">
        <v>667213</v>
      </c>
      <c r="B7662">
        <v>10.119999999999999</v>
      </c>
      <c r="C7662">
        <v>5</v>
      </c>
      <c r="D7662" s="9">
        <v>43284</v>
      </c>
      <c r="E7662" t="s">
        <v>295</v>
      </c>
      <c r="I7662" s="9"/>
    </row>
    <row r="7663" spans="1:9" x14ac:dyDescent="0.25">
      <c r="A7663">
        <v>667213</v>
      </c>
      <c r="B7663">
        <v>10.119999999999999</v>
      </c>
      <c r="C7663">
        <v>10</v>
      </c>
      <c r="D7663" s="9">
        <v>43209</v>
      </c>
      <c r="E7663" t="s">
        <v>295</v>
      </c>
      <c r="I7663" s="9"/>
    </row>
    <row r="7664" spans="1:9" x14ac:dyDescent="0.25">
      <c r="A7664">
        <v>667213</v>
      </c>
      <c r="B7664">
        <v>10.119999999999999</v>
      </c>
      <c r="C7664">
        <v>10</v>
      </c>
      <c r="D7664" s="9">
        <v>43139</v>
      </c>
      <c r="E7664" t="s">
        <v>295</v>
      </c>
      <c r="I7664" s="9"/>
    </row>
    <row r="7665" spans="1:9" x14ac:dyDescent="0.25">
      <c r="A7665">
        <v>667213</v>
      </c>
      <c r="B7665">
        <v>10.119999999999999</v>
      </c>
      <c r="C7665">
        <v>10</v>
      </c>
      <c r="D7665" s="9">
        <v>43123</v>
      </c>
      <c r="E7665" t="s">
        <v>295</v>
      </c>
      <c r="I7665" s="9"/>
    </row>
    <row r="7666" spans="1:9" x14ac:dyDescent="0.25">
      <c r="A7666">
        <v>667213</v>
      </c>
      <c r="B7666">
        <v>10.119999999999999</v>
      </c>
      <c r="C7666">
        <v>10</v>
      </c>
      <c r="D7666" s="9">
        <v>43054</v>
      </c>
      <c r="E7666" t="s">
        <v>295</v>
      </c>
      <c r="I7666" s="9"/>
    </row>
    <row r="7667" spans="1:9" x14ac:dyDescent="0.25">
      <c r="A7667">
        <v>667213</v>
      </c>
      <c r="B7667">
        <v>10.119999999999999</v>
      </c>
      <c r="C7667">
        <v>20</v>
      </c>
      <c r="D7667" s="9">
        <v>42991</v>
      </c>
      <c r="E7667" t="s">
        <v>295</v>
      </c>
      <c r="I7667" s="9"/>
    </row>
    <row r="7668" spans="1:9" x14ac:dyDescent="0.25">
      <c r="A7668">
        <v>667213</v>
      </c>
      <c r="B7668">
        <v>10.119999999999999</v>
      </c>
      <c r="C7668">
        <v>10</v>
      </c>
      <c r="D7668" s="9">
        <v>42921</v>
      </c>
      <c r="E7668" t="s">
        <v>295</v>
      </c>
      <c r="I7668" s="9"/>
    </row>
    <row r="7669" spans="1:9" x14ac:dyDescent="0.25">
      <c r="A7669">
        <v>667213</v>
      </c>
      <c r="B7669">
        <v>10.119999999999999</v>
      </c>
      <c r="C7669">
        <v>10</v>
      </c>
      <c r="D7669" s="9">
        <v>42891</v>
      </c>
      <c r="E7669" t="s">
        <v>295</v>
      </c>
      <c r="I7669" s="9"/>
    </row>
    <row r="7670" spans="1:9" x14ac:dyDescent="0.25">
      <c r="A7670">
        <v>667213</v>
      </c>
      <c r="B7670">
        <v>10.119999999999999</v>
      </c>
      <c r="C7670">
        <v>25</v>
      </c>
      <c r="D7670" s="9">
        <v>42863</v>
      </c>
      <c r="E7670" t="s">
        <v>295</v>
      </c>
      <c r="I7670" s="9"/>
    </row>
    <row r="7671" spans="1:9" x14ac:dyDescent="0.25">
      <c r="A7671">
        <v>667213</v>
      </c>
      <c r="B7671">
        <v>10.119999999999999</v>
      </c>
      <c r="C7671">
        <v>10</v>
      </c>
      <c r="D7671" s="9">
        <v>42836</v>
      </c>
      <c r="E7671" t="s">
        <v>295</v>
      </c>
      <c r="I7671" s="9"/>
    </row>
    <row r="7672" spans="1:9" x14ac:dyDescent="0.25">
      <c r="A7672">
        <v>667213</v>
      </c>
      <c r="B7672">
        <v>10.119999999999999</v>
      </c>
      <c r="C7672">
        <v>3</v>
      </c>
      <c r="D7672" s="9">
        <v>42828</v>
      </c>
      <c r="E7672" t="s">
        <v>295</v>
      </c>
      <c r="I7672" s="9"/>
    </row>
    <row r="7673" spans="1:9" x14ac:dyDescent="0.25">
      <c r="A7673">
        <v>667213</v>
      </c>
      <c r="B7673">
        <v>10.119999999999999</v>
      </c>
      <c r="C7673">
        <v>10</v>
      </c>
      <c r="D7673" s="9">
        <v>42779</v>
      </c>
      <c r="E7673" t="s">
        <v>295</v>
      </c>
      <c r="I7673" s="9"/>
    </row>
    <row r="7674" spans="1:9" x14ac:dyDescent="0.25">
      <c r="A7674">
        <v>667213</v>
      </c>
      <c r="B7674">
        <v>10.119999999999999</v>
      </c>
      <c r="C7674">
        <v>10</v>
      </c>
      <c r="D7674" s="9">
        <v>42649</v>
      </c>
      <c r="E7674" t="s">
        <v>295</v>
      </c>
      <c r="I7674" s="9"/>
    </row>
    <row r="7675" spans="1:9" x14ac:dyDescent="0.25">
      <c r="A7675">
        <v>667213</v>
      </c>
      <c r="B7675">
        <v>10.119999999999999</v>
      </c>
      <c r="C7675">
        <v>15</v>
      </c>
      <c r="D7675" s="9">
        <v>42558</v>
      </c>
      <c r="E7675" t="s">
        <v>295</v>
      </c>
      <c r="I7675" s="9"/>
    </row>
    <row r="7676" spans="1:9" x14ac:dyDescent="0.25">
      <c r="A7676">
        <v>667213</v>
      </c>
      <c r="B7676">
        <v>10.119999999999999</v>
      </c>
      <c r="C7676">
        <v>20</v>
      </c>
      <c r="D7676" s="9">
        <v>42471</v>
      </c>
      <c r="E7676" t="s">
        <v>295</v>
      </c>
      <c r="I7676" s="9"/>
    </row>
    <row r="7677" spans="1:9" x14ac:dyDescent="0.25">
      <c r="A7677">
        <v>667213</v>
      </c>
      <c r="B7677">
        <v>10.119999999999999</v>
      </c>
      <c r="C7677">
        <v>20</v>
      </c>
      <c r="D7677" s="9">
        <v>42422</v>
      </c>
      <c r="E7677" t="s">
        <v>295</v>
      </c>
      <c r="I7677" s="9"/>
    </row>
    <row r="7678" spans="1:9" x14ac:dyDescent="0.25">
      <c r="A7678">
        <v>667213</v>
      </c>
      <c r="B7678">
        <v>10.119999999999999</v>
      </c>
      <c r="C7678">
        <v>10</v>
      </c>
      <c r="D7678" s="9">
        <v>42381</v>
      </c>
      <c r="E7678" t="s">
        <v>295</v>
      </c>
      <c r="I7678" s="9"/>
    </row>
    <row r="7679" spans="1:9" x14ac:dyDescent="0.25">
      <c r="A7679">
        <v>667213</v>
      </c>
      <c r="B7679">
        <v>10.119999999999999</v>
      </c>
      <c r="C7679">
        <v>5</v>
      </c>
      <c r="D7679" s="9">
        <v>42313</v>
      </c>
      <c r="E7679" t="s">
        <v>295</v>
      </c>
      <c r="I7679" s="9"/>
    </row>
    <row r="7680" spans="1:9" x14ac:dyDescent="0.25">
      <c r="A7680">
        <v>667227</v>
      </c>
      <c r="B7680">
        <v>17.48</v>
      </c>
      <c r="C7680">
        <v>10</v>
      </c>
      <c r="D7680" s="9">
        <v>44089</v>
      </c>
      <c r="E7680" t="s">
        <v>295</v>
      </c>
      <c r="I7680" s="9"/>
    </row>
    <row r="7681" spans="1:9" x14ac:dyDescent="0.25">
      <c r="A7681">
        <v>667227</v>
      </c>
      <c r="B7681">
        <v>17.48</v>
      </c>
      <c r="C7681">
        <v>10</v>
      </c>
      <c r="D7681" s="9">
        <v>43979</v>
      </c>
      <c r="E7681" t="s">
        <v>295</v>
      </c>
      <c r="I7681" s="9"/>
    </row>
    <row r="7682" spans="1:9" x14ac:dyDescent="0.25">
      <c r="A7682">
        <v>667227</v>
      </c>
      <c r="B7682">
        <v>17.48</v>
      </c>
      <c r="C7682">
        <v>5</v>
      </c>
      <c r="D7682" s="9">
        <v>43910</v>
      </c>
      <c r="E7682" t="s">
        <v>295</v>
      </c>
      <c r="I7682" s="9"/>
    </row>
    <row r="7683" spans="1:9" x14ac:dyDescent="0.25">
      <c r="A7683">
        <v>667227</v>
      </c>
      <c r="B7683">
        <v>17.48</v>
      </c>
      <c r="C7683">
        <v>3</v>
      </c>
      <c r="D7683" s="9">
        <v>43880</v>
      </c>
      <c r="E7683" t="s">
        <v>295</v>
      </c>
      <c r="I7683" s="9"/>
    </row>
    <row r="7684" spans="1:9" x14ac:dyDescent="0.25">
      <c r="A7684">
        <v>667227</v>
      </c>
      <c r="B7684">
        <v>17.48</v>
      </c>
      <c r="C7684">
        <v>3</v>
      </c>
      <c r="D7684" s="9">
        <v>43633</v>
      </c>
      <c r="E7684" t="s">
        <v>295</v>
      </c>
      <c r="I7684" s="9"/>
    </row>
    <row r="7685" spans="1:9" x14ac:dyDescent="0.25">
      <c r="A7685">
        <v>667227</v>
      </c>
      <c r="B7685">
        <v>17.48</v>
      </c>
      <c r="C7685">
        <v>2</v>
      </c>
      <c r="D7685" s="9">
        <v>43284</v>
      </c>
      <c r="E7685" t="s">
        <v>295</v>
      </c>
      <c r="I7685" s="9"/>
    </row>
    <row r="7686" spans="1:9" x14ac:dyDescent="0.25">
      <c r="A7686">
        <v>667227</v>
      </c>
      <c r="B7686">
        <v>17.48</v>
      </c>
      <c r="C7686">
        <v>3</v>
      </c>
      <c r="D7686" s="9">
        <v>43073</v>
      </c>
      <c r="E7686" t="s">
        <v>295</v>
      </c>
      <c r="I7686" s="9"/>
    </row>
    <row r="7687" spans="1:9" x14ac:dyDescent="0.25">
      <c r="A7687">
        <v>667227</v>
      </c>
      <c r="B7687">
        <v>17.48</v>
      </c>
      <c r="C7687">
        <v>10</v>
      </c>
      <c r="D7687" s="9">
        <v>42836</v>
      </c>
      <c r="E7687" t="s">
        <v>295</v>
      </c>
      <c r="I7687" s="9"/>
    </row>
    <row r="7688" spans="1:9" x14ac:dyDescent="0.25">
      <c r="A7688">
        <v>667227</v>
      </c>
      <c r="B7688">
        <v>17.48</v>
      </c>
      <c r="C7688">
        <v>3</v>
      </c>
      <c r="D7688" s="9">
        <v>42744</v>
      </c>
      <c r="E7688" t="s">
        <v>295</v>
      </c>
      <c r="I7688" s="9"/>
    </row>
    <row r="7689" spans="1:9" x14ac:dyDescent="0.25">
      <c r="A7689">
        <v>667227</v>
      </c>
      <c r="B7689">
        <v>17.48</v>
      </c>
      <c r="C7689">
        <v>5</v>
      </c>
      <c r="D7689" s="9">
        <v>42381</v>
      </c>
      <c r="E7689" t="s">
        <v>295</v>
      </c>
      <c r="I7689" s="9"/>
    </row>
    <row r="7690" spans="1:9" x14ac:dyDescent="0.25">
      <c r="A7690">
        <v>667227</v>
      </c>
      <c r="B7690">
        <v>17.48</v>
      </c>
      <c r="C7690">
        <v>1</v>
      </c>
      <c r="D7690" s="9">
        <v>42313</v>
      </c>
      <c r="E7690" t="s">
        <v>295</v>
      </c>
      <c r="I7690" s="9"/>
    </row>
    <row r="7691" spans="1:9" x14ac:dyDescent="0.25">
      <c r="A7691">
        <v>667307</v>
      </c>
      <c r="B7691">
        <v>33.119999999999997</v>
      </c>
      <c r="C7691">
        <v>5</v>
      </c>
      <c r="D7691" s="9">
        <v>44132</v>
      </c>
      <c r="E7691" t="s">
        <v>295</v>
      </c>
      <c r="I7691" s="9"/>
    </row>
    <row r="7692" spans="1:9" x14ac:dyDescent="0.25">
      <c r="A7692">
        <v>667307</v>
      </c>
      <c r="B7692">
        <v>33.119999999999997</v>
      </c>
      <c r="C7692">
        <v>3</v>
      </c>
      <c r="D7692" s="9">
        <v>44035</v>
      </c>
      <c r="E7692" t="s">
        <v>295</v>
      </c>
      <c r="I7692" s="9"/>
    </row>
    <row r="7693" spans="1:9" x14ac:dyDescent="0.25">
      <c r="A7693">
        <v>667307</v>
      </c>
      <c r="B7693">
        <v>33.119999999999997</v>
      </c>
      <c r="C7693">
        <v>10</v>
      </c>
      <c r="D7693" s="9">
        <v>43979</v>
      </c>
      <c r="E7693" t="s">
        <v>295</v>
      </c>
      <c r="I7693" s="9"/>
    </row>
    <row r="7694" spans="1:9" x14ac:dyDescent="0.25">
      <c r="A7694">
        <v>667307</v>
      </c>
      <c r="B7694">
        <v>33.119999999999997</v>
      </c>
      <c r="C7694">
        <v>10</v>
      </c>
      <c r="D7694" s="9">
        <v>43880</v>
      </c>
      <c r="E7694" t="s">
        <v>295</v>
      </c>
      <c r="I7694" s="9"/>
    </row>
    <row r="7695" spans="1:9" x14ac:dyDescent="0.25">
      <c r="A7695">
        <v>667307</v>
      </c>
      <c r="B7695">
        <v>33.119999999999997</v>
      </c>
      <c r="C7695">
        <v>3</v>
      </c>
      <c r="D7695" s="9">
        <v>43796</v>
      </c>
      <c r="E7695" t="s">
        <v>295</v>
      </c>
      <c r="I7695" s="9"/>
    </row>
    <row r="7696" spans="1:9" x14ac:dyDescent="0.25">
      <c r="A7696">
        <v>667307</v>
      </c>
      <c r="B7696">
        <v>33.119999999999997</v>
      </c>
      <c r="C7696">
        <v>3</v>
      </c>
      <c r="D7696" s="9">
        <v>43728</v>
      </c>
      <c r="E7696" t="s">
        <v>295</v>
      </c>
      <c r="I7696" s="9"/>
    </row>
    <row r="7697" spans="1:9" x14ac:dyDescent="0.25">
      <c r="A7697">
        <v>667307</v>
      </c>
      <c r="B7697">
        <v>33.119999999999997</v>
      </c>
      <c r="C7697">
        <v>3</v>
      </c>
      <c r="D7697" s="9">
        <v>43664</v>
      </c>
      <c r="E7697" t="s">
        <v>295</v>
      </c>
      <c r="I7697" s="9"/>
    </row>
    <row r="7698" spans="1:9" x14ac:dyDescent="0.25">
      <c r="A7698">
        <v>667307</v>
      </c>
      <c r="B7698">
        <v>33.119999999999997</v>
      </c>
      <c r="C7698">
        <v>5</v>
      </c>
      <c r="D7698" s="9">
        <v>43595</v>
      </c>
      <c r="E7698" t="s">
        <v>295</v>
      </c>
      <c r="I7698" s="9"/>
    </row>
    <row r="7699" spans="1:9" x14ac:dyDescent="0.25">
      <c r="A7699">
        <v>667307</v>
      </c>
      <c r="B7699">
        <v>33.119999999999997</v>
      </c>
      <c r="C7699">
        <v>5</v>
      </c>
      <c r="D7699" s="9">
        <v>43494</v>
      </c>
      <c r="E7699" t="s">
        <v>295</v>
      </c>
      <c r="I7699" s="9"/>
    </row>
    <row r="7700" spans="1:9" x14ac:dyDescent="0.25">
      <c r="A7700">
        <v>667307</v>
      </c>
      <c r="B7700">
        <v>33.119999999999997</v>
      </c>
      <c r="C7700">
        <v>3</v>
      </c>
      <c r="D7700" s="9">
        <v>43432</v>
      </c>
      <c r="E7700" t="s">
        <v>295</v>
      </c>
      <c r="I7700" s="9"/>
    </row>
    <row r="7701" spans="1:9" x14ac:dyDescent="0.25">
      <c r="A7701">
        <v>667307</v>
      </c>
      <c r="B7701">
        <v>33.119999999999997</v>
      </c>
      <c r="C7701">
        <v>3</v>
      </c>
      <c r="D7701" s="9">
        <v>43284</v>
      </c>
      <c r="E7701" t="s">
        <v>295</v>
      </c>
      <c r="I7701" s="9"/>
    </row>
    <row r="7702" spans="1:9" x14ac:dyDescent="0.25">
      <c r="A7702">
        <v>667307</v>
      </c>
      <c r="B7702">
        <v>33.119999999999997</v>
      </c>
      <c r="C7702">
        <v>3</v>
      </c>
      <c r="D7702" s="9">
        <v>43257</v>
      </c>
      <c r="E7702" t="s">
        <v>295</v>
      </c>
      <c r="I7702" s="9"/>
    </row>
    <row r="7703" spans="1:9" x14ac:dyDescent="0.25">
      <c r="A7703">
        <v>667307</v>
      </c>
      <c r="B7703">
        <v>33.119999999999997</v>
      </c>
      <c r="C7703">
        <v>5</v>
      </c>
      <c r="D7703" s="9">
        <v>43054</v>
      </c>
      <c r="E7703" t="s">
        <v>295</v>
      </c>
      <c r="I7703" s="9"/>
    </row>
    <row r="7704" spans="1:9" x14ac:dyDescent="0.25">
      <c r="A7704">
        <v>667307</v>
      </c>
      <c r="B7704">
        <v>33.119999999999997</v>
      </c>
      <c r="C7704">
        <v>2</v>
      </c>
      <c r="D7704" s="9">
        <v>42991</v>
      </c>
      <c r="E7704" t="s">
        <v>295</v>
      </c>
      <c r="I7704" s="9"/>
    </row>
    <row r="7705" spans="1:9" x14ac:dyDescent="0.25">
      <c r="A7705">
        <v>667307</v>
      </c>
      <c r="B7705">
        <v>33.119999999999997</v>
      </c>
      <c r="C7705">
        <v>2</v>
      </c>
      <c r="D7705" s="9">
        <v>42921</v>
      </c>
      <c r="E7705" t="s">
        <v>295</v>
      </c>
      <c r="I7705" s="9"/>
    </row>
    <row r="7706" spans="1:9" x14ac:dyDescent="0.25">
      <c r="A7706">
        <v>667307</v>
      </c>
      <c r="B7706">
        <v>33.119999999999997</v>
      </c>
      <c r="C7706">
        <v>10</v>
      </c>
      <c r="D7706" s="9">
        <v>42836</v>
      </c>
      <c r="E7706" t="s">
        <v>295</v>
      </c>
      <c r="I7706" s="9"/>
    </row>
    <row r="7707" spans="1:9" x14ac:dyDescent="0.25">
      <c r="A7707">
        <v>667307</v>
      </c>
      <c r="B7707">
        <v>33.119999999999997</v>
      </c>
      <c r="C7707">
        <v>2</v>
      </c>
      <c r="D7707" s="9">
        <v>42828</v>
      </c>
      <c r="E7707" t="s">
        <v>295</v>
      </c>
      <c r="I7707" s="9"/>
    </row>
    <row r="7708" spans="1:9" x14ac:dyDescent="0.25">
      <c r="A7708">
        <v>667307</v>
      </c>
      <c r="B7708">
        <v>33.119999999999997</v>
      </c>
      <c r="C7708">
        <v>2</v>
      </c>
      <c r="D7708" s="9">
        <v>42703</v>
      </c>
      <c r="E7708" t="s">
        <v>295</v>
      </c>
      <c r="I7708" s="9"/>
    </row>
    <row r="7709" spans="1:9" x14ac:dyDescent="0.25">
      <c r="A7709">
        <v>667307</v>
      </c>
      <c r="B7709">
        <v>33.119999999999997</v>
      </c>
      <c r="C7709">
        <v>3</v>
      </c>
      <c r="D7709" s="9">
        <v>42558</v>
      </c>
      <c r="E7709" t="s">
        <v>295</v>
      </c>
      <c r="I7709" s="9"/>
    </row>
    <row r="7710" spans="1:9" x14ac:dyDescent="0.25">
      <c r="A7710">
        <v>667307</v>
      </c>
      <c r="B7710">
        <v>33.119999999999997</v>
      </c>
      <c r="C7710">
        <v>1</v>
      </c>
      <c r="D7710" s="9">
        <v>42479</v>
      </c>
      <c r="E7710" t="s">
        <v>295</v>
      </c>
      <c r="I7710" s="9"/>
    </row>
    <row r="7711" spans="1:9" x14ac:dyDescent="0.25">
      <c r="A7711">
        <v>667307</v>
      </c>
      <c r="B7711">
        <v>33.119999999999997</v>
      </c>
      <c r="C7711">
        <v>3</v>
      </c>
      <c r="D7711" s="9">
        <v>42381</v>
      </c>
      <c r="E7711" t="s">
        <v>295</v>
      </c>
      <c r="I7711" s="9"/>
    </row>
    <row r="7712" spans="1:9" x14ac:dyDescent="0.25">
      <c r="A7712">
        <v>667307</v>
      </c>
      <c r="B7712">
        <v>33.119999999999997</v>
      </c>
      <c r="C7712">
        <v>3</v>
      </c>
      <c r="D7712" s="9">
        <v>42313</v>
      </c>
      <c r="E7712" t="s">
        <v>295</v>
      </c>
      <c r="I7712" s="9"/>
    </row>
    <row r="7713" spans="1:9" x14ac:dyDescent="0.25">
      <c r="A7713">
        <v>667310</v>
      </c>
      <c r="B7713">
        <v>39.56</v>
      </c>
      <c r="C7713">
        <v>6</v>
      </c>
      <c r="D7713" s="9">
        <v>44132</v>
      </c>
      <c r="E7713" t="s">
        <v>295</v>
      </c>
      <c r="I7713" s="9"/>
    </row>
    <row r="7714" spans="1:9" x14ac:dyDescent="0.25">
      <c r="A7714">
        <v>667310</v>
      </c>
      <c r="B7714">
        <v>39.56</v>
      </c>
      <c r="C7714">
        <v>10</v>
      </c>
      <c r="D7714" s="9">
        <v>44089</v>
      </c>
      <c r="E7714" t="s">
        <v>295</v>
      </c>
      <c r="I7714" s="9"/>
    </row>
    <row r="7715" spans="1:9" x14ac:dyDescent="0.25">
      <c r="A7715">
        <v>667310</v>
      </c>
      <c r="B7715">
        <v>39.56</v>
      </c>
      <c r="C7715">
        <v>2</v>
      </c>
      <c r="D7715" s="9">
        <v>44035</v>
      </c>
      <c r="E7715" t="s">
        <v>295</v>
      </c>
      <c r="I7715" s="9"/>
    </row>
    <row r="7716" spans="1:9" x14ac:dyDescent="0.25">
      <c r="A7716">
        <v>667310</v>
      </c>
      <c r="B7716">
        <v>39.56</v>
      </c>
      <c r="C7716">
        <v>10</v>
      </c>
      <c r="D7716" s="9">
        <v>43979</v>
      </c>
      <c r="E7716" t="s">
        <v>295</v>
      </c>
      <c r="I7716" s="9"/>
    </row>
    <row r="7717" spans="1:9" x14ac:dyDescent="0.25">
      <c r="A7717">
        <v>667310</v>
      </c>
      <c r="B7717">
        <v>39.56</v>
      </c>
      <c r="C7717">
        <v>10</v>
      </c>
      <c r="D7717" s="9">
        <v>43880</v>
      </c>
      <c r="E7717" t="s">
        <v>295</v>
      </c>
      <c r="I7717" s="9"/>
    </row>
    <row r="7718" spans="1:9" x14ac:dyDescent="0.25">
      <c r="A7718">
        <v>667310</v>
      </c>
      <c r="B7718">
        <v>39.56</v>
      </c>
      <c r="C7718">
        <v>4</v>
      </c>
      <c r="D7718" s="9">
        <v>43784</v>
      </c>
      <c r="E7718" t="s">
        <v>295</v>
      </c>
      <c r="I7718" s="9"/>
    </row>
    <row r="7719" spans="1:9" x14ac:dyDescent="0.25">
      <c r="A7719">
        <v>667310</v>
      </c>
      <c r="B7719">
        <v>39.56</v>
      </c>
      <c r="C7719">
        <v>4</v>
      </c>
      <c r="D7719" s="9">
        <v>43728</v>
      </c>
      <c r="E7719" t="s">
        <v>295</v>
      </c>
      <c r="I7719" s="9"/>
    </row>
    <row r="7720" spans="1:9" x14ac:dyDescent="0.25">
      <c r="A7720">
        <v>667310</v>
      </c>
      <c r="B7720">
        <v>39.56</v>
      </c>
      <c r="C7720">
        <v>4</v>
      </c>
      <c r="D7720" s="9">
        <v>43664</v>
      </c>
      <c r="E7720" t="s">
        <v>295</v>
      </c>
      <c r="I7720" s="9"/>
    </row>
    <row r="7721" spans="1:9" x14ac:dyDescent="0.25">
      <c r="A7721">
        <v>667310</v>
      </c>
      <c r="B7721">
        <v>39.56</v>
      </c>
      <c r="C7721">
        <v>4</v>
      </c>
      <c r="D7721" s="9">
        <v>43595</v>
      </c>
      <c r="E7721" t="s">
        <v>295</v>
      </c>
      <c r="I7721" s="9"/>
    </row>
    <row r="7722" spans="1:9" x14ac:dyDescent="0.25">
      <c r="A7722">
        <v>667310</v>
      </c>
      <c r="B7722">
        <v>39.56</v>
      </c>
      <c r="C7722">
        <v>3</v>
      </c>
      <c r="D7722" s="9">
        <v>43494</v>
      </c>
      <c r="E7722" t="s">
        <v>295</v>
      </c>
      <c r="I7722" s="9"/>
    </row>
    <row r="7723" spans="1:9" x14ac:dyDescent="0.25">
      <c r="A7723">
        <v>667310</v>
      </c>
      <c r="B7723">
        <v>39.56</v>
      </c>
      <c r="C7723">
        <v>2</v>
      </c>
      <c r="D7723" s="9">
        <v>43432</v>
      </c>
      <c r="E7723" t="s">
        <v>295</v>
      </c>
      <c r="I7723" s="9"/>
    </row>
    <row r="7724" spans="1:9" x14ac:dyDescent="0.25">
      <c r="A7724">
        <v>667310</v>
      </c>
      <c r="B7724">
        <v>39.56</v>
      </c>
      <c r="C7724">
        <v>2</v>
      </c>
      <c r="D7724" s="9">
        <v>43391</v>
      </c>
      <c r="E7724" t="s">
        <v>295</v>
      </c>
      <c r="I7724" s="9"/>
    </row>
    <row r="7725" spans="1:9" x14ac:dyDescent="0.25">
      <c r="A7725">
        <v>667310</v>
      </c>
      <c r="B7725">
        <v>39.56</v>
      </c>
      <c r="C7725">
        <v>3</v>
      </c>
      <c r="D7725" s="9">
        <v>43368</v>
      </c>
      <c r="E7725" t="s">
        <v>295</v>
      </c>
      <c r="I7725" s="9"/>
    </row>
    <row r="7726" spans="1:9" x14ac:dyDescent="0.25">
      <c r="A7726">
        <v>667310</v>
      </c>
      <c r="B7726">
        <v>39.56</v>
      </c>
      <c r="C7726">
        <v>10</v>
      </c>
      <c r="D7726" s="9">
        <v>43181</v>
      </c>
      <c r="E7726" t="s">
        <v>295</v>
      </c>
      <c r="I7726" s="9"/>
    </row>
    <row r="7727" spans="1:9" x14ac:dyDescent="0.25">
      <c r="A7727">
        <v>667310</v>
      </c>
      <c r="B7727">
        <v>39.56</v>
      </c>
      <c r="C7727">
        <v>10</v>
      </c>
      <c r="D7727" s="9">
        <v>42991</v>
      </c>
      <c r="E7727" t="s">
        <v>295</v>
      </c>
      <c r="I7727" s="9"/>
    </row>
    <row r="7728" spans="1:9" x14ac:dyDescent="0.25">
      <c r="A7728">
        <v>667310</v>
      </c>
      <c r="B7728">
        <v>39.56</v>
      </c>
      <c r="C7728">
        <v>10</v>
      </c>
      <c r="D7728" s="9">
        <v>42836</v>
      </c>
      <c r="E7728" t="s">
        <v>295</v>
      </c>
      <c r="I7728" s="9"/>
    </row>
    <row r="7729" spans="1:9" x14ac:dyDescent="0.25">
      <c r="A7729">
        <v>667310</v>
      </c>
      <c r="B7729">
        <v>39.56</v>
      </c>
      <c r="C7729">
        <v>3</v>
      </c>
      <c r="D7729" s="9">
        <v>42558</v>
      </c>
      <c r="E7729" t="s">
        <v>295</v>
      </c>
      <c r="I7729" s="9"/>
    </row>
    <row r="7730" spans="1:9" x14ac:dyDescent="0.25">
      <c r="A7730">
        <v>667310</v>
      </c>
      <c r="B7730">
        <v>39.56</v>
      </c>
      <c r="C7730">
        <v>1</v>
      </c>
      <c r="D7730" s="9">
        <v>42479</v>
      </c>
      <c r="E7730" t="s">
        <v>295</v>
      </c>
      <c r="I7730" s="9"/>
    </row>
    <row r="7731" spans="1:9" x14ac:dyDescent="0.25">
      <c r="A7731">
        <v>667310</v>
      </c>
      <c r="B7731">
        <v>39.56</v>
      </c>
      <c r="C7731">
        <v>2</v>
      </c>
      <c r="D7731" s="9">
        <v>42381</v>
      </c>
      <c r="E7731" t="s">
        <v>295</v>
      </c>
      <c r="I7731" s="9"/>
    </row>
    <row r="7732" spans="1:9" x14ac:dyDescent="0.25">
      <c r="A7732">
        <v>667312</v>
      </c>
      <c r="B7732">
        <v>43.24</v>
      </c>
      <c r="C7732">
        <v>35</v>
      </c>
      <c r="D7732" s="9">
        <v>44132</v>
      </c>
      <c r="E7732" t="s">
        <v>295</v>
      </c>
      <c r="I7732" s="9"/>
    </row>
    <row r="7733" spans="1:9" x14ac:dyDescent="0.25">
      <c r="A7733">
        <v>667312</v>
      </c>
      <c r="B7733">
        <v>43.24</v>
      </c>
      <c r="C7733">
        <v>15</v>
      </c>
      <c r="D7733" s="9">
        <v>44089</v>
      </c>
      <c r="E7733" t="s">
        <v>295</v>
      </c>
      <c r="I7733" s="9"/>
    </row>
    <row r="7734" spans="1:9" x14ac:dyDescent="0.25">
      <c r="A7734">
        <v>667312</v>
      </c>
      <c r="B7734">
        <v>43.24</v>
      </c>
      <c r="C7734">
        <v>10</v>
      </c>
      <c r="D7734" s="9">
        <v>44035</v>
      </c>
      <c r="E7734" t="s">
        <v>295</v>
      </c>
      <c r="I7734" s="9"/>
    </row>
    <row r="7735" spans="1:9" x14ac:dyDescent="0.25">
      <c r="A7735">
        <v>667312</v>
      </c>
      <c r="B7735">
        <v>43.24</v>
      </c>
      <c r="C7735">
        <v>10</v>
      </c>
      <c r="D7735" s="9">
        <v>43979</v>
      </c>
      <c r="E7735" t="s">
        <v>295</v>
      </c>
      <c r="I7735" s="9"/>
    </row>
    <row r="7736" spans="1:9" x14ac:dyDescent="0.25">
      <c r="A7736">
        <v>667312</v>
      </c>
      <c r="B7736">
        <v>43.24</v>
      </c>
      <c r="C7736">
        <v>10</v>
      </c>
      <c r="D7736" s="9">
        <v>43880</v>
      </c>
      <c r="E7736" t="s">
        <v>295</v>
      </c>
      <c r="I7736" s="9"/>
    </row>
    <row r="7737" spans="1:9" x14ac:dyDescent="0.25">
      <c r="A7737">
        <v>667312</v>
      </c>
      <c r="B7737">
        <v>43.24</v>
      </c>
      <c r="C7737">
        <v>1</v>
      </c>
      <c r="D7737" s="9">
        <v>43796</v>
      </c>
      <c r="E7737" t="s">
        <v>295</v>
      </c>
      <c r="I7737" s="9"/>
    </row>
    <row r="7738" spans="1:9" x14ac:dyDescent="0.25">
      <c r="A7738">
        <v>667312</v>
      </c>
      <c r="B7738">
        <v>43.24</v>
      </c>
      <c r="C7738">
        <v>7</v>
      </c>
      <c r="D7738" s="9">
        <v>43784</v>
      </c>
      <c r="E7738" t="s">
        <v>295</v>
      </c>
      <c r="I7738" s="9"/>
    </row>
    <row r="7739" spans="1:9" x14ac:dyDescent="0.25">
      <c r="A7739">
        <v>667312</v>
      </c>
      <c r="B7739">
        <v>43.24</v>
      </c>
      <c r="C7739">
        <v>10</v>
      </c>
      <c r="D7739" s="9">
        <v>43728</v>
      </c>
      <c r="E7739" t="s">
        <v>295</v>
      </c>
      <c r="I7739" s="9"/>
    </row>
    <row r="7740" spans="1:9" x14ac:dyDescent="0.25">
      <c r="A7740">
        <v>667312</v>
      </c>
      <c r="B7740">
        <v>43.24</v>
      </c>
      <c r="C7740">
        <v>4</v>
      </c>
      <c r="D7740" s="9">
        <v>43664</v>
      </c>
      <c r="E7740" t="s">
        <v>295</v>
      </c>
      <c r="I7740" s="9"/>
    </row>
    <row r="7741" spans="1:9" x14ac:dyDescent="0.25">
      <c r="A7741">
        <v>667312</v>
      </c>
      <c r="B7741">
        <v>43.24</v>
      </c>
      <c r="C7741">
        <v>8</v>
      </c>
      <c r="D7741" s="9">
        <v>43633</v>
      </c>
      <c r="E7741" t="s">
        <v>295</v>
      </c>
      <c r="I7741" s="9"/>
    </row>
    <row r="7742" spans="1:9" x14ac:dyDescent="0.25">
      <c r="A7742">
        <v>667312</v>
      </c>
      <c r="B7742">
        <v>43.24</v>
      </c>
      <c r="C7742">
        <v>10</v>
      </c>
      <c r="D7742" s="9">
        <v>43595</v>
      </c>
      <c r="E7742" t="s">
        <v>295</v>
      </c>
      <c r="I7742" s="9"/>
    </row>
    <row r="7743" spans="1:9" x14ac:dyDescent="0.25">
      <c r="A7743">
        <v>667312</v>
      </c>
      <c r="B7743">
        <v>43.24</v>
      </c>
      <c r="C7743">
        <v>6</v>
      </c>
      <c r="D7743" s="9">
        <v>43530</v>
      </c>
      <c r="E7743" t="s">
        <v>295</v>
      </c>
      <c r="I7743" s="9"/>
    </row>
    <row r="7744" spans="1:9" x14ac:dyDescent="0.25">
      <c r="A7744">
        <v>667312</v>
      </c>
      <c r="B7744">
        <v>43.24</v>
      </c>
      <c r="C7744">
        <v>10</v>
      </c>
      <c r="D7744" s="9">
        <v>43494</v>
      </c>
      <c r="E7744" t="s">
        <v>295</v>
      </c>
      <c r="I7744" s="9"/>
    </row>
    <row r="7745" spans="1:9" x14ac:dyDescent="0.25">
      <c r="A7745">
        <v>667312</v>
      </c>
      <c r="B7745">
        <v>43.24</v>
      </c>
      <c r="C7745">
        <v>6</v>
      </c>
      <c r="D7745" s="9">
        <v>43432</v>
      </c>
      <c r="E7745" t="s">
        <v>295</v>
      </c>
      <c r="I7745" s="9"/>
    </row>
    <row r="7746" spans="1:9" x14ac:dyDescent="0.25">
      <c r="A7746">
        <v>667312</v>
      </c>
      <c r="B7746">
        <v>43.24</v>
      </c>
      <c r="C7746">
        <v>6</v>
      </c>
      <c r="D7746" s="9">
        <v>43391</v>
      </c>
      <c r="E7746" t="s">
        <v>295</v>
      </c>
      <c r="I7746" s="9"/>
    </row>
    <row r="7747" spans="1:9" x14ac:dyDescent="0.25">
      <c r="A7747">
        <v>667312</v>
      </c>
      <c r="B7747">
        <v>43.24</v>
      </c>
      <c r="C7747">
        <v>4</v>
      </c>
      <c r="D7747" s="9">
        <v>43368</v>
      </c>
      <c r="E7747" t="s">
        <v>295</v>
      </c>
      <c r="I7747" s="9"/>
    </row>
    <row r="7748" spans="1:9" x14ac:dyDescent="0.25">
      <c r="A7748">
        <v>667312</v>
      </c>
      <c r="B7748">
        <v>43.24</v>
      </c>
      <c r="C7748">
        <v>4</v>
      </c>
      <c r="D7748" s="9">
        <v>43284</v>
      </c>
      <c r="E7748" t="s">
        <v>295</v>
      </c>
      <c r="I7748" s="9"/>
    </row>
    <row r="7749" spans="1:9" x14ac:dyDescent="0.25">
      <c r="A7749">
        <v>667312</v>
      </c>
      <c r="B7749">
        <v>43.24</v>
      </c>
      <c r="C7749">
        <v>3</v>
      </c>
      <c r="D7749" s="9">
        <v>43257</v>
      </c>
      <c r="E7749" t="s">
        <v>295</v>
      </c>
      <c r="I7749" s="9"/>
    </row>
    <row r="7750" spans="1:9" x14ac:dyDescent="0.25">
      <c r="A7750">
        <v>667312</v>
      </c>
      <c r="B7750">
        <v>43.24</v>
      </c>
      <c r="C7750">
        <v>10</v>
      </c>
      <c r="D7750" s="9">
        <v>42991</v>
      </c>
      <c r="E7750" t="s">
        <v>295</v>
      </c>
      <c r="I7750" s="9"/>
    </row>
    <row r="7751" spans="1:9" x14ac:dyDescent="0.25">
      <c r="A7751">
        <v>667312</v>
      </c>
      <c r="B7751">
        <v>43.24</v>
      </c>
      <c r="C7751">
        <v>10</v>
      </c>
      <c r="D7751" s="9">
        <v>42836</v>
      </c>
      <c r="E7751" t="s">
        <v>295</v>
      </c>
      <c r="I7751" s="9"/>
    </row>
    <row r="7752" spans="1:9" x14ac:dyDescent="0.25">
      <c r="A7752">
        <v>667312</v>
      </c>
      <c r="B7752">
        <v>43.24</v>
      </c>
      <c r="C7752">
        <v>3</v>
      </c>
      <c r="D7752" s="9">
        <v>42558</v>
      </c>
      <c r="E7752" t="s">
        <v>295</v>
      </c>
      <c r="I7752" s="9"/>
    </row>
    <row r="7753" spans="1:9" x14ac:dyDescent="0.25">
      <c r="A7753">
        <v>667312</v>
      </c>
      <c r="B7753">
        <v>43.24</v>
      </c>
      <c r="C7753">
        <v>1</v>
      </c>
      <c r="D7753" s="9">
        <v>42479</v>
      </c>
      <c r="E7753" t="s">
        <v>295</v>
      </c>
      <c r="I7753" s="9"/>
    </row>
    <row r="7754" spans="1:9" x14ac:dyDescent="0.25">
      <c r="A7754">
        <v>667312</v>
      </c>
      <c r="B7754">
        <v>43.24</v>
      </c>
      <c r="C7754">
        <v>2</v>
      </c>
      <c r="D7754" s="9">
        <v>42381</v>
      </c>
      <c r="E7754" t="s">
        <v>295</v>
      </c>
      <c r="I7754" s="9"/>
    </row>
    <row r="7755" spans="1:9" x14ac:dyDescent="0.25">
      <c r="A7755">
        <v>667312</v>
      </c>
      <c r="B7755">
        <v>43.24</v>
      </c>
      <c r="C7755">
        <v>1</v>
      </c>
      <c r="D7755" s="9">
        <v>42313</v>
      </c>
      <c r="E7755" t="s">
        <v>295</v>
      </c>
      <c r="I7755" s="9"/>
    </row>
    <row r="7756" spans="1:9" x14ac:dyDescent="0.25">
      <c r="A7756">
        <v>669006</v>
      </c>
      <c r="B7756">
        <v>55.92</v>
      </c>
      <c r="C7756">
        <v>140</v>
      </c>
      <c r="D7756" s="9">
        <v>42052</v>
      </c>
      <c r="E7756" t="s">
        <v>295</v>
      </c>
      <c r="I7756" s="9"/>
    </row>
    <row r="7757" spans="1:9" x14ac:dyDescent="0.25">
      <c r="A7757">
        <v>672060</v>
      </c>
      <c r="B7757">
        <v>0.76</v>
      </c>
      <c r="C7757">
        <v>960</v>
      </c>
      <c r="D7757" s="9">
        <v>42676</v>
      </c>
      <c r="E7757" t="s">
        <v>297</v>
      </c>
      <c r="I7757" s="9"/>
    </row>
    <row r="7758" spans="1:9" x14ac:dyDescent="0.25">
      <c r="A7758">
        <v>672060</v>
      </c>
      <c r="B7758">
        <v>0.8</v>
      </c>
      <c r="C7758">
        <v>960</v>
      </c>
      <c r="D7758" s="9">
        <v>41535</v>
      </c>
      <c r="E7758" t="s">
        <v>296</v>
      </c>
      <c r="I7758" s="9"/>
    </row>
    <row r="7759" spans="1:9" x14ac:dyDescent="0.25">
      <c r="A7759">
        <v>680010</v>
      </c>
      <c r="B7759">
        <v>0.39900000000000002</v>
      </c>
      <c r="C7759">
        <v>2000</v>
      </c>
      <c r="D7759" s="9">
        <v>44070</v>
      </c>
      <c r="E7759" t="s">
        <v>296</v>
      </c>
      <c r="I7759" s="9"/>
    </row>
    <row r="7760" spans="1:9" x14ac:dyDescent="0.25">
      <c r="A7760">
        <v>680010</v>
      </c>
      <c r="B7760">
        <v>1.85</v>
      </c>
      <c r="C7760">
        <v>800</v>
      </c>
      <c r="D7760" s="9">
        <v>43882</v>
      </c>
      <c r="E7760" t="s">
        <v>295</v>
      </c>
      <c r="I7760" s="9"/>
    </row>
    <row r="7761" spans="1:9" x14ac:dyDescent="0.25">
      <c r="A7761">
        <v>680010</v>
      </c>
      <c r="B7761">
        <v>1.89</v>
      </c>
      <c r="C7761">
        <v>600</v>
      </c>
      <c r="D7761" s="9">
        <v>43867</v>
      </c>
      <c r="E7761" t="s">
        <v>295</v>
      </c>
      <c r="I7761" s="9"/>
    </row>
    <row r="7762" spans="1:9" x14ac:dyDescent="0.25">
      <c r="A7762">
        <v>680010</v>
      </c>
      <c r="B7762">
        <v>0.35199999999999998</v>
      </c>
      <c r="C7762">
        <v>2400</v>
      </c>
      <c r="D7762" s="9">
        <v>42877</v>
      </c>
      <c r="E7762" t="s">
        <v>296</v>
      </c>
      <c r="I7762" s="9"/>
    </row>
    <row r="7763" spans="1:9" x14ac:dyDescent="0.25">
      <c r="A7763">
        <v>680010</v>
      </c>
      <c r="B7763">
        <v>0.35199999999999998</v>
      </c>
      <c r="C7763">
        <v>2400</v>
      </c>
      <c r="D7763" s="9">
        <v>42600</v>
      </c>
      <c r="E7763" t="s">
        <v>296</v>
      </c>
      <c r="I7763" s="9"/>
    </row>
    <row r="7764" spans="1:9" x14ac:dyDescent="0.25">
      <c r="A7764">
        <v>680010</v>
      </c>
      <c r="B7764">
        <v>0.34499999999999997</v>
      </c>
      <c r="C7764">
        <v>2400</v>
      </c>
      <c r="D7764" s="9">
        <v>42440</v>
      </c>
      <c r="E7764" t="s">
        <v>296</v>
      </c>
      <c r="I7764" s="9"/>
    </row>
    <row r="7765" spans="1:9" x14ac:dyDescent="0.25">
      <c r="A7765">
        <v>680010</v>
      </c>
      <c r="B7765">
        <v>0.32900000000000001</v>
      </c>
      <c r="C7765">
        <v>3840</v>
      </c>
      <c r="D7765" s="9">
        <v>41782</v>
      </c>
      <c r="E7765" t="s">
        <v>296</v>
      </c>
      <c r="I7765" s="9"/>
    </row>
    <row r="7766" spans="1:9" x14ac:dyDescent="0.25">
      <c r="A7766">
        <v>680010</v>
      </c>
      <c r="B7766">
        <v>0.30599999999999999</v>
      </c>
      <c r="C7766">
        <v>3840</v>
      </c>
      <c r="D7766" s="9">
        <v>41362</v>
      </c>
      <c r="E7766" t="s">
        <v>296</v>
      </c>
      <c r="I7766" s="9"/>
    </row>
    <row r="7767" spans="1:9" x14ac:dyDescent="0.25">
      <c r="A7767">
        <v>680020</v>
      </c>
      <c r="B7767">
        <v>0.67700000000000005</v>
      </c>
      <c r="C7767">
        <v>960</v>
      </c>
      <c r="D7767" s="9">
        <v>44070</v>
      </c>
      <c r="E7767" t="s">
        <v>296</v>
      </c>
      <c r="I7767" s="9"/>
    </row>
    <row r="7768" spans="1:9" x14ac:dyDescent="0.25">
      <c r="A7768">
        <v>680020</v>
      </c>
      <c r="B7768">
        <v>3.8</v>
      </c>
      <c r="C7768">
        <v>600</v>
      </c>
      <c r="D7768" s="9">
        <v>43882</v>
      </c>
      <c r="E7768" t="s">
        <v>295</v>
      </c>
      <c r="I7768" s="9"/>
    </row>
    <row r="7769" spans="1:9" x14ac:dyDescent="0.25">
      <c r="A7769">
        <v>680020</v>
      </c>
      <c r="B7769">
        <v>0.71</v>
      </c>
      <c r="C7769">
        <v>1200</v>
      </c>
      <c r="D7769" s="9">
        <v>43054</v>
      </c>
      <c r="E7769" t="s">
        <v>296</v>
      </c>
      <c r="I7769" s="9"/>
    </row>
    <row r="7770" spans="1:9" x14ac:dyDescent="0.25">
      <c r="A7770">
        <v>680020</v>
      </c>
      <c r="B7770">
        <v>0.68500000000000005</v>
      </c>
      <c r="C7770">
        <v>1200</v>
      </c>
      <c r="D7770" s="9">
        <v>42877</v>
      </c>
      <c r="E7770" t="s">
        <v>296</v>
      </c>
      <c r="I7770" s="9"/>
    </row>
    <row r="7771" spans="1:9" x14ac:dyDescent="0.25">
      <c r="A7771">
        <v>680020</v>
      </c>
      <c r="B7771">
        <v>0.68500000000000005</v>
      </c>
      <c r="C7771">
        <v>1200</v>
      </c>
      <c r="D7771" s="9">
        <v>42600</v>
      </c>
      <c r="E7771" t="s">
        <v>296</v>
      </c>
      <c r="I7771" s="9"/>
    </row>
    <row r="7772" spans="1:9" x14ac:dyDescent="0.25">
      <c r="A7772">
        <v>680020</v>
      </c>
      <c r="B7772">
        <v>0.68500000000000005</v>
      </c>
      <c r="C7772">
        <v>1200</v>
      </c>
      <c r="D7772" s="9">
        <v>42440</v>
      </c>
      <c r="E7772" t="s">
        <v>296</v>
      </c>
      <c r="I7772" s="9"/>
    </row>
    <row r="7773" spans="1:9" x14ac:dyDescent="0.25">
      <c r="A7773">
        <v>680020</v>
      </c>
      <c r="B7773">
        <v>0.66</v>
      </c>
      <c r="C7773">
        <v>1920</v>
      </c>
      <c r="D7773" s="9">
        <v>41782</v>
      </c>
      <c r="E7773" t="s">
        <v>296</v>
      </c>
      <c r="I7773" s="9"/>
    </row>
    <row r="7774" spans="1:9" x14ac:dyDescent="0.25">
      <c r="A7774">
        <v>680020</v>
      </c>
      <c r="B7774">
        <v>0.62</v>
      </c>
      <c r="C7774">
        <v>1680</v>
      </c>
      <c r="D7774" s="9">
        <v>41505</v>
      </c>
      <c r="E7774" t="s">
        <v>296</v>
      </c>
      <c r="I7774" s="9"/>
    </row>
    <row r="7775" spans="1:9" x14ac:dyDescent="0.25">
      <c r="A7775">
        <v>682500</v>
      </c>
      <c r="B7775">
        <v>0.37</v>
      </c>
      <c r="C7775">
        <v>960</v>
      </c>
      <c r="D7775" s="9">
        <v>43998</v>
      </c>
      <c r="E7775" t="s">
        <v>296</v>
      </c>
      <c r="I7775" s="9"/>
    </row>
    <row r="7776" spans="1:9" x14ac:dyDescent="0.25">
      <c r="A7776">
        <v>682500</v>
      </c>
      <c r="B7776">
        <v>0.36399999999999999</v>
      </c>
      <c r="C7776">
        <v>1440</v>
      </c>
      <c r="D7776" s="9">
        <v>43608</v>
      </c>
      <c r="E7776" t="s">
        <v>296</v>
      </c>
      <c r="I7776" s="9"/>
    </row>
    <row r="7777" spans="1:9" x14ac:dyDescent="0.25">
      <c r="A7777">
        <v>682500</v>
      </c>
      <c r="B7777">
        <v>0.37</v>
      </c>
      <c r="C7777">
        <v>720</v>
      </c>
      <c r="D7777" s="9">
        <v>43605</v>
      </c>
      <c r="E7777" t="s">
        <v>296</v>
      </c>
      <c r="I7777" s="9"/>
    </row>
    <row r="7778" spans="1:9" x14ac:dyDescent="0.25">
      <c r="A7778">
        <v>682500</v>
      </c>
      <c r="B7778">
        <v>0.36399999999999999</v>
      </c>
      <c r="C7778">
        <v>1440</v>
      </c>
      <c r="D7778" s="9">
        <v>43244</v>
      </c>
      <c r="E7778" t="s">
        <v>296</v>
      </c>
      <c r="I7778" s="9"/>
    </row>
    <row r="7779" spans="1:9" x14ac:dyDescent="0.25">
      <c r="A7779">
        <v>682500</v>
      </c>
      <c r="B7779">
        <v>0.36499999999999999</v>
      </c>
      <c r="C7779">
        <v>1440</v>
      </c>
      <c r="D7779" s="9">
        <v>42676</v>
      </c>
      <c r="E7779" t="s">
        <v>297</v>
      </c>
      <c r="I7779" s="9"/>
    </row>
    <row r="7780" spans="1:9" x14ac:dyDescent="0.25">
      <c r="A7780">
        <v>682500</v>
      </c>
      <c r="B7780">
        <v>0.36499999999999999</v>
      </c>
      <c r="C7780">
        <v>1440</v>
      </c>
      <c r="D7780" s="9">
        <v>42401</v>
      </c>
      <c r="E7780" t="s">
        <v>297</v>
      </c>
      <c r="I7780" s="9"/>
    </row>
    <row r="7781" spans="1:9" x14ac:dyDescent="0.25">
      <c r="A7781">
        <v>682500</v>
      </c>
      <c r="B7781">
        <v>0.38400000000000001</v>
      </c>
      <c r="C7781">
        <v>1440</v>
      </c>
      <c r="D7781" s="9">
        <v>41786</v>
      </c>
      <c r="E7781" t="s">
        <v>296</v>
      </c>
      <c r="I7781" s="9"/>
    </row>
    <row r="7782" spans="1:9" x14ac:dyDescent="0.25">
      <c r="A7782">
        <v>682500</v>
      </c>
      <c r="B7782">
        <v>0.39600000000000002</v>
      </c>
      <c r="C7782">
        <v>1680</v>
      </c>
      <c r="D7782" s="9">
        <v>41786</v>
      </c>
      <c r="E7782" t="s">
        <v>296</v>
      </c>
      <c r="I7782" s="9"/>
    </row>
    <row r="7783" spans="1:9" x14ac:dyDescent="0.25">
      <c r="A7783">
        <v>682500</v>
      </c>
      <c r="B7783">
        <v>0.38500000000000001</v>
      </c>
      <c r="C7783">
        <v>1200</v>
      </c>
      <c r="D7783" s="9">
        <v>41417</v>
      </c>
      <c r="E7783" t="s">
        <v>296</v>
      </c>
      <c r="I7783" s="9"/>
    </row>
    <row r="7784" spans="1:9" x14ac:dyDescent="0.25">
      <c r="A7784">
        <v>682510</v>
      </c>
      <c r="B7784">
        <v>1.62</v>
      </c>
      <c r="C7784">
        <v>360</v>
      </c>
      <c r="D7784" s="9">
        <v>44068</v>
      </c>
      <c r="E7784" t="s">
        <v>296</v>
      </c>
      <c r="I7784" s="9"/>
    </row>
    <row r="7785" spans="1:9" x14ac:dyDescent="0.25">
      <c r="A7785">
        <v>682510</v>
      </c>
      <c r="B7785">
        <v>5.53</v>
      </c>
      <c r="C7785">
        <v>300</v>
      </c>
      <c r="D7785" s="9">
        <v>43136</v>
      </c>
      <c r="E7785" t="s">
        <v>295</v>
      </c>
      <c r="I7785" s="9"/>
    </row>
    <row r="7786" spans="1:9" x14ac:dyDescent="0.25">
      <c r="A7786">
        <v>682510</v>
      </c>
      <c r="B7786">
        <v>1.62</v>
      </c>
      <c r="C7786">
        <v>300</v>
      </c>
      <c r="D7786" s="9">
        <v>43136</v>
      </c>
      <c r="E7786" t="s">
        <v>296</v>
      </c>
      <c r="I7786" s="9"/>
    </row>
    <row r="7787" spans="1:9" x14ac:dyDescent="0.25">
      <c r="A7787">
        <v>682510</v>
      </c>
      <c r="B7787">
        <v>1.62</v>
      </c>
      <c r="C7787">
        <v>300</v>
      </c>
      <c r="D7787" s="9">
        <v>42600</v>
      </c>
      <c r="E7787" t="s">
        <v>296</v>
      </c>
      <c r="I7787" s="9"/>
    </row>
    <row r="7788" spans="1:9" x14ac:dyDescent="0.25">
      <c r="A7788">
        <v>682510</v>
      </c>
      <c r="B7788">
        <v>1.62</v>
      </c>
      <c r="C7788">
        <v>300</v>
      </c>
      <c r="D7788" s="9">
        <v>42326</v>
      </c>
      <c r="E7788" t="s">
        <v>296</v>
      </c>
      <c r="I7788" s="9"/>
    </row>
    <row r="7789" spans="1:9" x14ac:dyDescent="0.25">
      <c r="A7789">
        <v>682510</v>
      </c>
      <c r="B7789">
        <v>5.4</v>
      </c>
      <c r="C7789">
        <v>480</v>
      </c>
      <c r="D7789" s="9">
        <v>41927</v>
      </c>
      <c r="E7789" t="s">
        <v>295</v>
      </c>
      <c r="I7789" s="9"/>
    </row>
    <row r="7790" spans="1:9" x14ac:dyDescent="0.25">
      <c r="A7790">
        <v>682510</v>
      </c>
      <c r="B7790">
        <v>1.67</v>
      </c>
      <c r="C7790">
        <v>480</v>
      </c>
      <c r="D7790" s="9">
        <v>41870</v>
      </c>
      <c r="E7790" t="s">
        <v>296</v>
      </c>
      <c r="I7790" s="9"/>
    </row>
    <row r="7791" spans="1:9" x14ac:dyDescent="0.25">
      <c r="A7791">
        <v>682510</v>
      </c>
      <c r="B7791">
        <v>1.67</v>
      </c>
      <c r="C7791">
        <v>300</v>
      </c>
      <c r="D7791" s="9">
        <v>41751</v>
      </c>
      <c r="E7791" t="s">
        <v>296</v>
      </c>
      <c r="I7791" s="9"/>
    </row>
    <row r="7792" spans="1:9" x14ac:dyDescent="0.25">
      <c r="A7792">
        <v>682510</v>
      </c>
      <c r="B7792">
        <v>1.639</v>
      </c>
      <c r="C7792">
        <v>480</v>
      </c>
      <c r="D7792" s="9">
        <v>41435</v>
      </c>
      <c r="E7792" t="s">
        <v>296</v>
      </c>
      <c r="I7792" s="9"/>
    </row>
    <row r="7793" spans="1:9" x14ac:dyDescent="0.25">
      <c r="A7793">
        <v>682510</v>
      </c>
      <c r="B7793">
        <v>1.617</v>
      </c>
      <c r="C7793">
        <v>480</v>
      </c>
      <c r="D7793" s="9">
        <v>41295</v>
      </c>
      <c r="E7793" t="s">
        <v>296</v>
      </c>
      <c r="I7793" s="9"/>
    </row>
    <row r="7794" spans="1:9" x14ac:dyDescent="0.25">
      <c r="A7794">
        <v>682512</v>
      </c>
      <c r="B7794">
        <v>1.49</v>
      </c>
      <c r="C7794">
        <v>240</v>
      </c>
      <c r="D7794" s="9">
        <v>44068</v>
      </c>
      <c r="E7794" t="s">
        <v>296</v>
      </c>
      <c r="I7794" s="9"/>
    </row>
    <row r="7795" spans="1:9" x14ac:dyDescent="0.25">
      <c r="A7795">
        <v>682512</v>
      </c>
      <c r="B7795">
        <v>1.49</v>
      </c>
      <c r="C7795">
        <v>360</v>
      </c>
      <c r="D7795" s="9">
        <v>43784</v>
      </c>
      <c r="E7795" t="s">
        <v>296</v>
      </c>
      <c r="I7795" s="9"/>
    </row>
    <row r="7796" spans="1:9" x14ac:dyDescent="0.25">
      <c r="A7796">
        <v>682512</v>
      </c>
      <c r="B7796">
        <v>1.49</v>
      </c>
      <c r="C7796">
        <v>540</v>
      </c>
      <c r="D7796" s="9">
        <v>43054</v>
      </c>
      <c r="E7796" t="s">
        <v>296</v>
      </c>
      <c r="I7796" s="9"/>
    </row>
    <row r="7797" spans="1:9" x14ac:dyDescent="0.25">
      <c r="A7797">
        <v>682512</v>
      </c>
      <c r="B7797">
        <v>1.49</v>
      </c>
      <c r="C7797">
        <v>540</v>
      </c>
      <c r="D7797" s="9">
        <v>42271</v>
      </c>
      <c r="E7797" t="s">
        <v>296</v>
      </c>
      <c r="I7797" s="9"/>
    </row>
    <row r="7798" spans="1:9" x14ac:dyDescent="0.25">
      <c r="A7798">
        <v>683000</v>
      </c>
      <c r="B7798">
        <v>0.46</v>
      </c>
      <c r="C7798">
        <v>1800</v>
      </c>
      <c r="D7798" s="9">
        <v>44111</v>
      </c>
      <c r="E7798" t="s">
        <v>296</v>
      </c>
      <c r="I7798" s="9"/>
    </row>
    <row r="7799" spans="1:9" x14ac:dyDescent="0.25">
      <c r="A7799">
        <v>683000</v>
      </c>
      <c r="B7799">
        <v>0.46</v>
      </c>
      <c r="C7799">
        <v>1800</v>
      </c>
      <c r="D7799" s="9">
        <v>43959</v>
      </c>
      <c r="E7799" t="s">
        <v>296</v>
      </c>
      <c r="I7799" s="9"/>
    </row>
    <row r="7800" spans="1:9" x14ac:dyDescent="0.25">
      <c r="A7800">
        <v>683000</v>
      </c>
      <c r="B7800">
        <v>0.46</v>
      </c>
      <c r="C7800">
        <v>1680</v>
      </c>
      <c r="D7800" s="9">
        <v>43608</v>
      </c>
      <c r="E7800" t="s">
        <v>296</v>
      </c>
      <c r="I7800" s="9"/>
    </row>
    <row r="7801" spans="1:9" x14ac:dyDescent="0.25">
      <c r="A7801">
        <v>683000</v>
      </c>
      <c r="B7801">
        <v>0.46</v>
      </c>
      <c r="C7801">
        <v>2400</v>
      </c>
      <c r="D7801" s="9">
        <v>43608</v>
      </c>
      <c r="E7801" t="s">
        <v>296</v>
      </c>
      <c r="I7801" s="9"/>
    </row>
    <row r="7802" spans="1:9" x14ac:dyDescent="0.25">
      <c r="A7802">
        <v>683000</v>
      </c>
      <c r="B7802">
        <v>0.43</v>
      </c>
      <c r="C7802">
        <v>1080</v>
      </c>
      <c r="D7802" s="9">
        <v>43605</v>
      </c>
      <c r="E7802" t="s">
        <v>296</v>
      </c>
      <c r="I7802" s="9"/>
    </row>
    <row r="7803" spans="1:9" x14ac:dyDescent="0.25">
      <c r="A7803">
        <v>683000</v>
      </c>
      <c r="B7803">
        <v>0.43</v>
      </c>
      <c r="C7803">
        <v>1200</v>
      </c>
      <c r="D7803" s="9">
        <v>43605</v>
      </c>
      <c r="E7803" t="s">
        <v>296</v>
      </c>
      <c r="I7803" s="9"/>
    </row>
    <row r="7804" spans="1:9" x14ac:dyDescent="0.25">
      <c r="A7804">
        <v>683000</v>
      </c>
      <c r="B7804">
        <v>0.46</v>
      </c>
      <c r="C7804">
        <v>1680</v>
      </c>
      <c r="D7804" s="9">
        <v>43244</v>
      </c>
      <c r="E7804" t="s">
        <v>296</v>
      </c>
      <c r="I7804" s="9"/>
    </row>
    <row r="7805" spans="1:9" x14ac:dyDescent="0.25">
      <c r="A7805">
        <v>683000</v>
      </c>
      <c r="B7805">
        <v>0.38800000000000001</v>
      </c>
      <c r="C7805">
        <v>1680</v>
      </c>
      <c r="D7805" s="9">
        <v>42919</v>
      </c>
      <c r="E7805" t="s">
        <v>296</v>
      </c>
      <c r="I7805" s="9"/>
    </row>
    <row r="7806" spans="1:9" x14ac:dyDescent="0.25">
      <c r="A7806">
        <v>683000</v>
      </c>
      <c r="B7806">
        <v>0.38</v>
      </c>
      <c r="C7806">
        <v>1680</v>
      </c>
      <c r="D7806" s="9">
        <v>42607</v>
      </c>
      <c r="E7806" t="s">
        <v>297</v>
      </c>
      <c r="I7806" s="9"/>
    </row>
    <row r="7807" spans="1:9" x14ac:dyDescent="0.25">
      <c r="A7807">
        <v>683000</v>
      </c>
      <c r="B7807">
        <v>0.38</v>
      </c>
      <c r="C7807">
        <v>1920</v>
      </c>
      <c r="D7807" s="9">
        <v>42285</v>
      </c>
      <c r="E7807" t="s">
        <v>297</v>
      </c>
      <c r="I7807" s="9"/>
    </row>
    <row r="7808" spans="1:9" x14ac:dyDescent="0.25">
      <c r="A7808">
        <v>683000</v>
      </c>
      <c r="B7808">
        <v>0.41799999999999998</v>
      </c>
      <c r="C7808">
        <v>1920</v>
      </c>
      <c r="D7808" s="9">
        <v>42040</v>
      </c>
      <c r="E7808" t="s">
        <v>296</v>
      </c>
      <c r="I7808" s="9"/>
    </row>
    <row r="7809" spans="1:9" x14ac:dyDescent="0.25">
      <c r="A7809">
        <v>683000</v>
      </c>
      <c r="B7809">
        <v>0.41799999999999998</v>
      </c>
      <c r="C7809">
        <v>1920</v>
      </c>
      <c r="D7809" s="9">
        <v>41786</v>
      </c>
      <c r="E7809" t="s">
        <v>296</v>
      </c>
      <c r="I7809" s="9"/>
    </row>
    <row r="7810" spans="1:9" x14ac:dyDescent="0.25">
      <c r="A7810">
        <v>683010</v>
      </c>
      <c r="B7810">
        <v>1.82</v>
      </c>
      <c r="C7810">
        <v>360</v>
      </c>
      <c r="D7810" s="9">
        <v>43784</v>
      </c>
      <c r="E7810" t="s">
        <v>296</v>
      </c>
      <c r="I7810" s="9"/>
    </row>
    <row r="7811" spans="1:9" x14ac:dyDescent="0.25">
      <c r="A7811">
        <v>683010</v>
      </c>
      <c r="B7811">
        <v>1.82</v>
      </c>
      <c r="C7811">
        <v>360</v>
      </c>
      <c r="D7811" s="9">
        <v>43452</v>
      </c>
      <c r="E7811" t="s">
        <v>296</v>
      </c>
      <c r="I7811" s="9"/>
    </row>
    <row r="7812" spans="1:9" x14ac:dyDescent="0.25">
      <c r="A7812">
        <v>683010</v>
      </c>
      <c r="B7812">
        <v>1.82</v>
      </c>
      <c r="C7812">
        <v>480</v>
      </c>
      <c r="D7812" s="9">
        <v>42877</v>
      </c>
      <c r="E7812" t="s">
        <v>296</v>
      </c>
      <c r="I7812" s="9"/>
    </row>
    <row r="7813" spans="1:9" x14ac:dyDescent="0.25">
      <c r="A7813">
        <v>683010</v>
      </c>
      <c r="B7813">
        <v>1.82</v>
      </c>
      <c r="C7813">
        <v>480</v>
      </c>
      <c r="D7813" s="9">
        <v>42326</v>
      </c>
      <c r="E7813" t="s">
        <v>296</v>
      </c>
      <c r="I7813" s="9"/>
    </row>
    <row r="7814" spans="1:9" x14ac:dyDescent="0.25">
      <c r="A7814">
        <v>683010</v>
      </c>
      <c r="B7814">
        <v>1.871</v>
      </c>
      <c r="C7814">
        <v>540</v>
      </c>
      <c r="D7814" s="9">
        <v>41870</v>
      </c>
      <c r="E7814" t="s">
        <v>296</v>
      </c>
      <c r="I7814" s="9"/>
    </row>
    <row r="7815" spans="1:9" x14ac:dyDescent="0.25">
      <c r="A7815">
        <v>683010</v>
      </c>
      <c r="B7815">
        <v>1.871</v>
      </c>
      <c r="C7815">
        <v>540</v>
      </c>
      <c r="D7815" s="9">
        <v>41751</v>
      </c>
      <c r="E7815" t="s">
        <v>296</v>
      </c>
      <c r="I7815" s="9"/>
    </row>
    <row r="7816" spans="1:9" x14ac:dyDescent="0.25">
      <c r="A7816">
        <v>683010</v>
      </c>
      <c r="B7816">
        <v>1.84</v>
      </c>
      <c r="C7816">
        <v>360</v>
      </c>
      <c r="D7816" s="9">
        <v>41558</v>
      </c>
      <c r="E7816" t="s">
        <v>296</v>
      </c>
      <c r="I7816" s="9"/>
    </row>
    <row r="7817" spans="1:9" x14ac:dyDescent="0.25">
      <c r="A7817">
        <v>683010</v>
      </c>
      <c r="B7817">
        <v>1.84</v>
      </c>
      <c r="C7817">
        <v>360</v>
      </c>
      <c r="D7817" s="9">
        <v>41435</v>
      </c>
      <c r="E7817" t="s">
        <v>296</v>
      </c>
      <c r="I7817" s="9"/>
    </row>
    <row r="7818" spans="1:9" x14ac:dyDescent="0.25">
      <c r="A7818">
        <v>683010</v>
      </c>
      <c r="B7818">
        <v>1.8149999999999999</v>
      </c>
      <c r="C7818">
        <v>300</v>
      </c>
      <c r="D7818" s="9">
        <v>41295</v>
      </c>
      <c r="E7818" t="s">
        <v>296</v>
      </c>
      <c r="I7818" s="9"/>
    </row>
    <row r="7819" spans="1:9" x14ac:dyDescent="0.25">
      <c r="A7819">
        <v>683012</v>
      </c>
      <c r="B7819">
        <v>1.6</v>
      </c>
      <c r="C7819">
        <v>240</v>
      </c>
      <c r="D7819" s="9">
        <v>44025</v>
      </c>
      <c r="E7819" t="s">
        <v>296</v>
      </c>
      <c r="I7819" s="9"/>
    </row>
    <row r="7820" spans="1:9" x14ac:dyDescent="0.25">
      <c r="A7820">
        <v>683012</v>
      </c>
      <c r="B7820">
        <v>1.6419999999999999</v>
      </c>
      <c r="C7820">
        <v>240</v>
      </c>
      <c r="D7820" s="9">
        <v>43784</v>
      </c>
      <c r="E7820" t="s">
        <v>296</v>
      </c>
      <c r="I7820" s="9"/>
    </row>
    <row r="7821" spans="1:9" x14ac:dyDescent="0.25">
      <c r="A7821">
        <v>683012</v>
      </c>
      <c r="B7821">
        <v>1.6419999999999999</v>
      </c>
      <c r="C7821">
        <v>480</v>
      </c>
      <c r="D7821" s="9">
        <v>42877</v>
      </c>
      <c r="E7821" t="s">
        <v>296</v>
      </c>
      <c r="I7821" s="9"/>
    </row>
    <row r="7822" spans="1:9" x14ac:dyDescent="0.25">
      <c r="A7822">
        <v>683012</v>
      </c>
      <c r="B7822">
        <v>1.6419999999999999</v>
      </c>
      <c r="C7822">
        <v>720</v>
      </c>
      <c r="D7822" s="9">
        <v>42271</v>
      </c>
      <c r="E7822" t="s">
        <v>296</v>
      </c>
      <c r="I7822" s="9"/>
    </row>
    <row r="7823" spans="1:9" x14ac:dyDescent="0.25">
      <c r="A7823">
        <v>683500</v>
      </c>
      <c r="B7823">
        <v>0.47699999999999998</v>
      </c>
      <c r="C7823">
        <v>1440</v>
      </c>
      <c r="D7823" s="9">
        <v>44007</v>
      </c>
      <c r="E7823" t="s">
        <v>296</v>
      </c>
      <c r="I7823" s="9"/>
    </row>
    <row r="7824" spans="1:9" x14ac:dyDescent="0.25">
      <c r="A7824">
        <v>683500</v>
      </c>
      <c r="B7824">
        <v>0.47699999999999998</v>
      </c>
      <c r="C7824">
        <v>1440</v>
      </c>
      <c r="D7824" s="9">
        <v>43959</v>
      </c>
      <c r="E7824" t="s">
        <v>296</v>
      </c>
      <c r="I7824" s="9"/>
    </row>
    <row r="7825" spans="1:9" x14ac:dyDescent="0.25">
      <c r="A7825">
        <v>683500</v>
      </c>
      <c r="B7825">
        <v>0.47699999999999998</v>
      </c>
      <c r="C7825">
        <v>1680</v>
      </c>
      <c r="D7825" s="9">
        <v>43608</v>
      </c>
      <c r="E7825" t="s">
        <v>296</v>
      </c>
      <c r="I7825" s="9"/>
    </row>
    <row r="7826" spans="1:9" x14ac:dyDescent="0.25">
      <c r="A7826">
        <v>683500</v>
      </c>
      <c r="B7826">
        <v>0.46</v>
      </c>
      <c r="C7826">
        <v>1440</v>
      </c>
      <c r="D7826" s="9">
        <v>43605</v>
      </c>
      <c r="E7826" t="s">
        <v>296</v>
      </c>
      <c r="I7826" s="9"/>
    </row>
    <row r="7827" spans="1:9" x14ac:dyDescent="0.25">
      <c r="A7827">
        <v>683500</v>
      </c>
      <c r="B7827">
        <v>0.47699999999999998</v>
      </c>
      <c r="C7827">
        <v>1680</v>
      </c>
      <c r="D7827" s="9">
        <v>43244</v>
      </c>
      <c r="E7827" t="s">
        <v>296</v>
      </c>
      <c r="I7827" s="9"/>
    </row>
    <row r="7828" spans="1:9" x14ac:dyDescent="0.25">
      <c r="A7828">
        <v>683500</v>
      </c>
      <c r="B7828">
        <v>0.4</v>
      </c>
      <c r="C7828">
        <v>1680</v>
      </c>
      <c r="D7828" s="9">
        <v>42919</v>
      </c>
      <c r="E7828" t="s">
        <v>296</v>
      </c>
      <c r="I7828" s="9"/>
    </row>
    <row r="7829" spans="1:9" x14ac:dyDescent="0.25">
      <c r="A7829">
        <v>683500</v>
      </c>
      <c r="B7829">
        <v>0.4</v>
      </c>
      <c r="C7829">
        <v>1920</v>
      </c>
      <c r="D7829" s="9">
        <v>42752</v>
      </c>
      <c r="E7829" t="s">
        <v>296</v>
      </c>
      <c r="I7829" s="9"/>
    </row>
    <row r="7830" spans="1:9" x14ac:dyDescent="0.25">
      <c r="A7830">
        <v>683500</v>
      </c>
      <c r="B7830">
        <v>0.439</v>
      </c>
      <c r="C7830">
        <v>1680</v>
      </c>
      <c r="D7830" s="9">
        <v>42607</v>
      </c>
      <c r="E7830" t="s">
        <v>297</v>
      </c>
      <c r="I7830" s="9"/>
    </row>
    <row r="7831" spans="1:9" x14ac:dyDescent="0.25">
      <c r="A7831">
        <v>683500</v>
      </c>
      <c r="B7831">
        <v>0.439</v>
      </c>
      <c r="C7831">
        <v>1680</v>
      </c>
      <c r="D7831" s="9">
        <v>42401</v>
      </c>
      <c r="E7831" t="s">
        <v>297</v>
      </c>
      <c r="I7831" s="9"/>
    </row>
    <row r="7832" spans="1:9" x14ac:dyDescent="0.25">
      <c r="A7832">
        <v>683500</v>
      </c>
      <c r="B7832">
        <v>0.46200000000000002</v>
      </c>
      <c r="C7832">
        <v>1920</v>
      </c>
      <c r="D7832" s="9">
        <v>42040</v>
      </c>
      <c r="E7832" t="s">
        <v>296</v>
      </c>
      <c r="I7832" s="9"/>
    </row>
    <row r="7833" spans="1:9" x14ac:dyDescent="0.25">
      <c r="A7833">
        <v>683500</v>
      </c>
      <c r="B7833">
        <v>0.46200000000000002</v>
      </c>
      <c r="C7833">
        <v>1920</v>
      </c>
      <c r="D7833" s="9">
        <v>41786</v>
      </c>
      <c r="E7833" t="s">
        <v>296</v>
      </c>
      <c r="I7833" s="9"/>
    </row>
    <row r="7834" spans="1:9" x14ac:dyDescent="0.25">
      <c r="A7834">
        <v>683500</v>
      </c>
      <c r="B7834">
        <v>0.45</v>
      </c>
      <c r="C7834">
        <v>1680</v>
      </c>
      <c r="D7834" s="9">
        <v>41718</v>
      </c>
      <c r="E7834" t="s">
        <v>296</v>
      </c>
      <c r="I7834" s="9"/>
    </row>
    <row r="7835" spans="1:9" x14ac:dyDescent="0.25">
      <c r="A7835">
        <v>683500</v>
      </c>
      <c r="B7835">
        <v>0.442</v>
      </c>
      <c r="C7835">
        <v>1680</v>
      </c>
      <c r="D7835" s="9">
        <v>41417</v>
      </c>
      <c r="E7835" t="s">
        <v>296</v>
      </c>
      <c r="I7835" s="9"/>
    </row>
    <row r="7836" spans="1:9" x14ac:dyDescent="0.25">
      <c r="A7836">
        <v>683510</v>
      </c>
      <c r="B7836">
        <v>1.7969999999999999</v>
      </c>
      <c r="C7836">
        <v>600</v>
      </c>
      <c r="D7836" s="9">
        <v>44070</v>
      </c>
      <c r="E7836" t="s">
        <v>296</v>
      </c>
      <c r="I7836" s="9"/>
    </row>
    <row r="7837" spans="1:9" x14ac:dyDescent="0.25">
      <c r="A7837">
        <v>683510</v>
      </c>
      <c r="B7837">
        <v>2.032</v>
      </c>
      <c r="C7837">
        <v>600</v>
      </c>
      <c r="D7837" s="9">
        <v>44035</v>
      </c>
      <c r="E7837" t="s">
        <v>296</v>
      </c>
      <c r="I7837" s="9"/>
    </row>
    <row r="7838" spans="1:9" x14ac:dyDescent="0.25">
      <c r="A7838">
        <v>683510</v>
      </c>
      <c r="B7838">
        <v>2.032</v>
      </c>
      <c r="C7838">
        <v>600</v>
      </c>
      <c r="D7838" s="9">
        <v>43784</v>
      </c>
      <c r="E7838" t="s">
        <v>296</v>
      </c>
      <c r="I7838" s="9"/>
    </row>
    <row r="7839" spans="1:9" x14ac:dyDescent="0.25">
      <c r="A7839">
        <v>683510</v>
      </c>
      <c r="B7839">
        <v>2.032</v>
      </c>
      <c r="C7839">
        <v>720</v>
      </c>
      <c r="D7839" s="9">
        <v>43452</v>
      </c>
      <c r="E7839" t="s">
        <v>296</v>
      </c>
      <c r="I7839" s="9"/>
    </row>
    <row r="7840" spans="1:9" x14ac:dyDescent="0.25">
      <c r="A7840">
        <v>683510</v>
      </c>
      <c r="B7840">
        <v>2.032</v>
      </c>
      <c r="C7840">
        <v>840</v>
      </c>
      <c r="D7840" s="9">
        <v>42976</v>
      </c>
      <c r="E7840" t="s">
        <v>296</v>
      </c>
      <c r="I7840" s="9"/>
    </row>
    <row r="7841" spans="1:9" x14ac:dyDescent="0.25">
      <c r="A7841">
        <v>683510</v>
      </c>
      <c r="B7841">
        <v>2.032</v>
      </c>
      <c r="C7841">
        <v>840</v>
      </c>
      <c r="D7841" s="9">
        <v>42815</v>
      </c>
      <c r="E7841" t="s">
        <v>296</v>
      </c>
      <c r="I7841" s="9"/>
    </row>
    <row r="7842" spans="1:9" x14ac:dyDescent="0.25">
      <c r="A7842">
        <v>683510</v>
      </c>
      <c r="B7842">
        <v>2.0659999999999998</v>
      </c>
      <c r="C7842">
        <v>360</v>
      </c>
      <c r="D7842" s="9">
        <v>42600</v>
      </c>
      <c r="E7842" t="s">
        <v>296</v>
      </c>
      <c r="I7842" s="9"/>
    </row>
    <row r="7843" spans="1:9" x14ac:dyDescent="0.25">
      <c r="A7843">
        <v>683510</v>
      </c>
      <c r="B7843">
        <v>2.0659999999999998</v>
      </c>
      <c r="C7843">
        <v>480</v>
      </c>
      <c r="D7843" s="9">
        <v>42326</v>
      </c>
      <c r="E7843" t="s">
        <v>296</v>
      </c>
      <c r="I7843" s="9"/>
    </row>
    <row r="7844" spans="1:9" x14ac:dyDescent="0.25">
      <c r="A7844">
        <v>683510</v>
      </c>
      <c r="B7844">
        <v>1.98</v>
      </c>
      <c r="C7844">
        <v>480</v>
      </c>
      <c r="D7844" s="9">
        <v>42207</v>
      </c>
      <c r="E7844" t="s">
        <v>296</v>
      </c>
      <c r="I7844" s="9"/>
    </row>
    <row r="7845" spans="1:9" x14ac:dyDescent="0.25">
      <c r="A7845">
        <v>683510</v>
      </c>
      <c r="B7845">
        <v>2.1520000000000001</v>
      </c>
      <c r="C7845">
        <v>480</v>
      </c>
      <c r="D7845" s="9">
        <v>41983</v>
      </c>
      <c r="E7845" t="s">
        <v>296</v>
      </c>
      <c r="I7845" s="9"/>
    </row>
    <row r="7846" spans="1:9" x14ac:dyDescent="0.25">
      <c r="A7846">
        <v>683510</v>
      </c>
      <c r="B7846">
        <v>6.89</v>
      </c>
      <c r="C7846">
        <v>480</v>
      </c>
      <c r="D7846" s="9">
        <v>41927</v>
      </c>
      <c r="E7846" t="s">
        <v>295</v>
      </c>
      <c r="I7846" s="9"/>
    </row>
    <row r="7847" spans="1:9" x14ac:dyDescent="0.25">
      <c r="A7847">
        <v>683510</v>
      </c>
      <c r="B7847">
        <v>2.1320000000000001</v>
      </c>
      <c r="C7847">
        <v>480</v>
      </c>
      <c r="D7847" s="9">
        <v>41870</v>
      </c>
      <c r="E7847" t="s">
        <v>296</v>
      </c>
      <c r="I7847" s="9"/>
    </row>
    <row r="7848" spans="1:9" x14ac:dyDescent="0.25">
      <c r="A7848">
        <v>683510</v>
      </c>
      <c r="B7848">
        <v>2.1320000000000001</v>
      </c>
      <c r="C7848">
        <v>480</v>
      </c>
      <c r="D7848" s="9">
        <v>41751</v>
      </c>
      <c r="E7848" t="s">
        <v>296</v>
      </c>
      <c r="I7848" s="9"/>
    </row>
    <row r="7849" spans="1:9" x14ac:dyDescent="0.25">
      <c r="A7849">
        <v>683510</v>
      </c>
      <c r="B7849">
        <v>2.1320000000000001</v>
      </c>
      <c r="C7849">
        <v>480</v>
      </c>
      <c r="D7849" s="9">
        <v>41558</v>
      </c>
      <c r="E7849" t="s">
        <v>296</v>
      </c>
      <c r="I7849" s="9"/>
    </row>
    <row r="7850" spans="1:9" x14ac:dyDescent="0.25">
      <c r="A7850">
        <v>683510</v>
      </c>
      <c r="B7850">
        <v>2.1320000000000001</v>
      </c>
      <c r="C7850">
        <v>480</v>
      </c>
      <c r="D7850" s="9">
        <v>41435</v>
      </c>
      <c r="E7850" t="s">
        <v>296</v>
      </c>
      <c r="I7850" s="9"/>
    </row>
    <row r="7851" spans="1:9" x14ac:dyDescent="0.25">
      <c r="A7851">
        <v>683510</v>
      </c>
      <c r="B7851">
        <v>2.1320000000000001</v>
      </c>
      <c r="C7851">
        <v>720</v>
      </c>
      <c r="D7851" s="9">
        <v>41295</v>
      </c>
      <c r="E7851" t="s">
        <v>296</v>
      </c>
      <c r="I7851" s="9"/>
    </row>
    <row r="7852" spans="1:9" x14ac:dyDescent="0.25">
      <c r="A7852">
        <v>683512</v>
      </c>
      <c r="B7852">
        <v>1.4690000000000001</v>
      </c>
      <c r="C7852">
        <v>360</v>
      </c>
      <c r="D7852" s="9">
        <v>44070</v>
      </c>
      <c r="E7852" t="s">
        <v>296</v>
      </c>
      <c r="I7852" s="9"/>
    </row>
    <row r="7853" spans="1:9" x14ac:dyDescent="0.25">
      <c r="A7853">
        <v>683512</v>
      </c>
      <c r="B7853">
        <v>1.72</v>
      </c>
      <c r="C7853">
        <v>360</v>
      </c>
      <c r="D7853" s="9">
        <v>44068</v>
      </c>
      <c r="E7853" t="s">
        <v>296</v>
      </c>
      <c r="I7853" s="9"/>
    </row>
    <row r="7854" spans="1:9" x14ac:dyDescent="0.25">
      <c r="A7854">
        <v>683512</v>
      </c>
      <c r="B7854">
        <v>1.72</v>
      </c>
      <c r="C7854">
        <v>300</v>
      </c>
      <c r="D7854" s="9">
        <v>43784</v>
      </c>
      <c r="E7854" t="s">
        <v>296</v>
      </c>
      <c r="I7854" s="9"/>
    </row>
    <row r="7855" spans="1:9" x14ac:dyDescent="0.25">
      <c r="A7855">
        <v>683512</v>
      </c>
      <c r="B7855">
        <v>1.72</v>
      </c>
      <c r="C7855">
        <v>360</v>
      </c>
      <c r="D7855" s="9">
        <v>43452</v>
      </c>
      <c r="E7855" t="s">
        <v>296</v>
      </c>
      <c r="I7855" s="9"/>
    </row>
    <row r="7856" spans="1:9" x14ac:dyDescent="0.25">
      <c r="A7856">
        <v>683512</v>
      </c>
      <c r="B7856">
        <v>1.72</v>
      </c>
      <c r="C7856">
        <v>480</v>
      </c>
      <c r="D7856" s="9">
        <v>43136</v>
      </c>
      <c r="E7856" t="s">
        <v>296</v>
      </c>
      <c r="I7856" s="9"/>
    </row>
    <row r="7857" spans="1:9" x14ac:dyDescent="0.25">
      <c r="A7857">
        <v>683512</v>
      </c>
      <c r="B7857">
        <v>5.87</v>
      </c>
      <c r="C7857">
        <v>480</v>
      </c>
      <c r="D7857" s="9">
        <v>43136</v>
      </c>
      <c r="E7857" t="s">
        <v>295</v>
      </c>
      <c r="I7857" s="9"/>
    </row>
    <row r="7858" spans="1:9" x14ac:dyDescent="0.25">
      <c r="A7858">
        <v>683512</v>
      </c>
      <c r="B7858">
        <v>1.72</v>
      </c>
      <c r="C7858">
        <v>720</v>
      </c>
      <c r="D7858" s="9">
        <v>42815</v>
      </c>
      <c r="E7858" t="s">
        <v>296</v>
      </c>
      <c r="I7858" s="9"/>
    </row>
    <row r="7859" spans="1:9" x14ac:dyDescent="0.25">
      <c r="A7859">
        <v>683512</v>
      </c>
      <c r="B7859">
        <v>1.77</v>
      </c>
      <c r="C7859">
        <v>240</v>
      </c>
      <c r="D7859" s="9">
        <v>42600</v>
      </c>
      <c r="E7859" t="s">
        <v>296</v>
      </c>
      <c r="I7859" s="9"/>
    </row>
    <row r="7860" spans="1:9" x14ac:dyDescent="0.25">
      <c r="A7860">
        <v>683512</v>
      </c>
      <c r="B7860">
        <v>1.77</v>
      </c>
      <c r="C7860">
        <v>240</v>
      </c>
      <c r="D7860" s="9">
        <v>42271</v>
      </c>
      <c r="E7860" t="s">
        <v>296</v>
      </c>
      <c r="I7860" s="9"/>
    </row>
    <row r="7861" spans="1:9" x14ac:dyDescent="0.25">
      <c r="A7861">
        <v>683540</v>
      </c>
      <c r="B7861">
        <v>0.56999999999999995</v>
      </c>
      <c r="C7861">
        <v>1680</v>
      </c>
      <c r="D7861" s="9">
        <v>43959</v>
      </c>
      <c r="E7861" t="s">
        <v>296</v>
      </c>
      <c r="I7861" s="9"/>
    </row>
    <row r="7862" spans="1:9" x14ac:dyDescent="0.25">
      <c r="A7862">
        <v>683540</v>
      </c>
      <c r="B7862">
        <v>0.56999999999999995</v>
      </c>
      <c r="C7862">
        <v>1200</v>
      </c>
      <c r="D7862" s="9">
        <v>43608</v>
      </c>
      <c r="E7862" t="s">
        <v>296</v>
      </c>
      <c r="I7862" s="9"/>
    </row>
    <row r="7863" spans="1:9" x14ac:dyDescent="0.25">
      <c r="A7863">
        <v>683540</v>
      </c>
      <c r="B7863">
        <v>0.49</v>
      </c>
      <c r="C7863">
        <v>1320</v>
      </c>
      <c r="D7863" s="9">
        <v>43605</v>
      </c>
      <c r="E7863" t="s">
        <v>296</v>
      </c>
      <c r="I7863" s="9"/>
    </row>
    <row r="7864" spans="1:9" x14ac:dyDescent="0.25">
      <c r="A7864">
        <v>683540</v>
      </c>
      <c r="B7864">
        <v>0.49</v>
      </c>
      <c r="C7864">
        <v>1440</v>
      </c>
      <c r="D7864" s="9">
        <v>43605</v>
      </c>
      <c r="E7864" t="s">
        <v>296</v>
      </c>
      <c r="I7864" s="9"/>
    </row>
    <row r="7865" spans="1:9" x14ac:dyDescent="0.25">
      <c r="A7865">
        <v>683540</v>
      </c>
      <c r="B7865">
        <v>0.56999999999999995</v>
      </c>
      <c r="C7865">
        <v>1200</v>
      </c>
      <c r="D7865" s="9">
        <v>43244</v>
      </c>
      <c r="E7865" t="s">
        <v>296</v>
      </c>
      <c r="I7865" s="9"/>
    </row>
    <row r="7866" spans="1:9" x14ac:dyDescent="0.25">
      <c r="A7866">
        <v>683540</v>
      </c>
      <c r="B7866">
        <v>0.56999999999999995</v>
      </c>
      <c r="C7866">
        <v>1200</v>
      </c>
      <c r="D7866" s="9">
        <v>42919</v>
      </c>
      <c r="E7866" t="s">
        <v>296</v>
      </c>
      <c r="I7866" s="9"/>
    </row>
    <row r="7867" spans="1:9" x14ac:dyDescent="0.25">
      <c r="A7867">
        <v>683540</v>
      </c>
      <c r="B7867">
        <v>0.56999999999999995</v>
      </c>
      <c r="C7867">
        <v>1440</v>
      </c>
      <c r="D7867" s="9">
        <v>42752</v>
      </c>
      <c r="E7867" t="s">
        <v>296</v>
      </c>
      <c r="I7867" s="9"/>
    </row>
    <row r="7868" spans="1:9" x14ac:dyDescent="0.25">
      <c r="A7868">
        <v>683540</v>
      </c>
      <c r="B7868">
        <v>0.57299999999999995</v>
      </c>
      <c r="C7868">
        <v>1200</v>
      </c>
      <c r="D7868" s="9">
        <v>42607</v>
      </c>
      <c r="E7868" t="s">
        <v>297</v>
      </c>
      <c r="I7868" s="9"/>
    </row>
    <row r="7869" spans="1:9" x14ac:dyDescent="0.25">
      <c r="A7869">
        <v>683540</v>
      </c>
      <c r="B7869">
        <v>0.57299999999999995</v>
      </c>
      <c r="C7869">
        <v>1200</v>
      </c>
      <c r="D7869" s="9">
        <v>42401</v>
      </c>
      <c r="E7869" t="s">
        <v>297</v>
      </c>
      <c r="I7869" s="9"/>
    </row>
    <row r="7870" spans="1:9" x14ac:dyDescent="0.25">
      <c r="A7870">
        <v>683540</v>
      </c>
      <c r="B7870">
        <v>0.60299999999999998</v>
      </c>
      <c r="C7870">
        <v>1440</v>
      </c>
      <c r="D7870" s="9">
        <v>42186</v>
      </c>
      <c r="E7870" t="s">
        <v>296</v>
      </c>
      <c r="I7870" s="9"/>
    </row>
    <row r="7871" spans="1:9" x14ac:dyDescent="0.25">
      <c r="A7871">
        <v>683540</v>
      </c>
      <c r="B7871">
        <v>0.60299999999999998</v>
      </c>
      <c r="C7871">
        <v>1440</v>
      </c>
      <c r="D7871" s="9">
        <v>41786</v>
      </c>
      <c r="E7871" t="s">
        <v>296</v>
      </c>
      <c r="I7871" s="9"/>
    </row>
    <row r="7872" spans="1:9" x14ac:dyDescent="0.25">
      <c r="A7872">
        <v>683540</v>
      </c>
      <c r="B7872">
        <v>0.54800000000000004</v>
      </c>
      <c r="C7872">
        <v>1200</v>
      </c>
      <c r="D7872" s="9">
        <v>41617</v>
      </c>
      <c r="E7872" t="s">
        <v>296</v>
      </c>
      <c r="I7872" s="9"/>
    </row>
    <row r="7873" spans="1:9" x14ac:dyDescent="0.25">
      <c r="A7873">
        <v>683540</v>
      </c>
      <c r="B7873">
        <v>0.53700000000000003</v>
      </c>
      <c r="C7873">
        <v>1080</v>
      </c>
      <c r="D7873" s="9">
        <v>41418</v>
      </c>
      <c r="E7873" t="s">
        <v>296</v>
      </c>
      <c r="I7873" s="9"/>
    </row>
    <row r="7874" spans="1:9" x14ac:dyDescent="0.25">
      <c r="A7874">
        <v>683542</v>
      </c>
      <c r="B7874">
        <v>1.625</v>
      </c>
      <c r="C7874">
        <v>300</v>
      </c>
      <c r="D7874" s="9">
        <v>44070</v>
      </c>
      <c r="E7874" t="s">
        <v>296</v>
      </c>
      <c r="I7874" s="9"/>
    </row>
    <row r="7875" spans="1:9" x14ac:dyDescent="0.25">
      <c r="A7875">
        <v>683542</v>
      </c>
      <c r="B7875">
        <v>1.89</v>
      </c>
      <c r="C7875">
        <v>240</v>
      </c>
      <c r="D7875" s="9">
        <v>44068</v>
      </c>
      <c r="E7875" t="s">
        <v>296</v>
      </c>
      <c r="I7875" s="9"/>
    </row>
    <row r="7876" spans="1:9" x14ac:dyDescent="0.25">
      <c r="A7876">
        <v>683542</v>
      </c>
      <c r="B7876">
        <v>1.89</v>
      </c>
      <c r="C7876">
        <v>360</v>
      </c>
      <c r="D7876" s="9">
        <v>43784</v>
      </c>
      <c r="E7876" t="s">
        <v>296</v>
      </c>
      <c r="I7876" s="9"/>
    </row>
    <row r="7877" spans="1:9" x14ac:dyDescent="0.25">
      <c r="A7877">
        <v>683542</v>
      </c>
      <c r="B7877">
        <v>1.89</v>
      </c>
      <c r="C7877">
        <v>360</v>
      </c>
      <c r="D7877" s="9">
        <v>43452</v>
      </c>
      <c r="E7877" t="s">
        <v>296</v>
      </c>
      <c r="I7877" s="9"/>
    </row>
    <row r="7878" spans="1:9" x14ac:dyDescent="0.25">
      <c r="A7878">
        <v>683542</v>
      </c>
      <c r="B7878">
        <v>1.89</v>
      </c>
      <c r="C7878">
        <v>360</v>
      </c>
      <c r="D7878" s="9">
        <v>43054</v>
      </c>
      <c r="E7878" t="s">
        <v>296</v>
      </c>
      <c r="I7878" s="9"/>
    </row>
    <row r="7879" spans="1:9" x14ac:dyDescent="0.25">
      <c r="A7879">
        <v>683542</v>
      </c>
      <c r="B7879">
        <v>1.85</v>
      </c>
      <c r="C7879">
        <v>360</v>
      </c>
      <c r="D7879" s="9">
        <v>42815</v>
      </c>
      <c r="E7879" t="s">
        <v>296</v>
      </c>
      <c r="I7879" s="9"/>
    </row>
    <row r="7880" spans="1:9" x14ac:dyDescent="0.25">
      <c r="A7880">
        <v>683542</v>
      </c>
      <c r="B7880">
        <v>1.903</v>
      </c>
      <c r="C7880">
        <v>360</v>
      </c>
      <c r="D7880" s="9">
        <v>42271</v>
      </c>
      <c r="E7880" t="s">
        <v>296</v>
      </c>
      <c r="I7880" s="9"/>
    </row>
    <row r="7881" spans="1:9" x14ac:dyDescent="0.25">
      <c r="A7881">
        <v>684000</v>
      </c>
      <c r="B7881">
        <v>0.87</v>
      </c>
      <c r="C7881">
        <v>1152</v>
      </c>
      <c r="D7881" s="9">
        <v>44083</v>
      </c>
      <c r="E7881" t="s">
        <v>296</v>
      </c>
      <c r="I7881" s="9"/>
    </row>
    <row r="7882" spans="1:9" x14ac:dyDescent="0.25">
      <c r="A7882">
        <v>684000</v>
      </c>
      <c r="B7882">
        <v>0.83</v>
      </c>
      <c r="C7882">
        <v>1440</v>
      </c>
      <c r="D7882" s="9">
        <v>43608</v>
      </c>
      <c r="E7882" t="s">
        <v>296</v>
      </c>
      <c r="I7882" s="9"/>
    </row>
    <row r="7883" spans="1:9" x14ac:dyDescent="0.25">
      <c r="A7883">
        <v>684000</v>
      </c>
      <c r="B7883">
        <v>0.83</v>
      </c>
      <c r="C7883">
        <v>1440</v>
      </c>
      <c r="D7883" s="9">
        <v>43608</v>
      </c>
      <c r="E7883" t="s">
        <v>296</v>
      </c>
      <c r="I7883" s="9"/>
    </row>
    <row r="7884" spans="1:9" x14ac:dyDescent="0.25">
      <c r="A7884">
        <v>684000</v>
      </c>
      <c r="B7884">
        <v>0.83</v>
      </c>
      <c r="C7884">
        <v>1440</v>
      </c>
      <c r="D7884" s="9">
        <v>43605</v>
      </c>
      <c r="E7884" t="s">
        <v>296</v>
      </c>
      <c r="I7884" s="9"/>
    </row>
    <row r="7885" spans="1:9" x14ac:dyDescent="0.25">
      <c r="A7885">
        <v>684000</v>
      </c>
      <c r="B7885">
        <v>0.83</v>
      </c>
      <c r="C7885">
        <v>1440</v>
      </c>
      <c r="D7885" s="9">
        <v>43244</v>
      </c>
      <c r="E7885" t="s">
        <v>296</v>
      </c>
      <c r="I7885" s="9"/>
    </row>
    <row r="7886" spans="1:9" x14ac:dyDescent="0.25">
      <c r="A7886">
        <v>684000</v>
      </c>
      <c r="B7886">
        <v>0.83</v>
      </c>
      <c r="C7886">
        <v>1440</v>
      </c>
      <c r="D7886" s="9">
        <v>42752</v>
      </c>
      <c r="E7886" t="s">
        <v>296</v>
      </c>
      <c r="I7886" s="9"/>
    </row>
    <row r="7887" spans="1:9" x14ac:dyDescent="0.25">
      <c r="A7887">
        <v>684000</v>
      </c>
      <c r="B7887">
        <v>0.83799999999999997</v>
      </c>
      <c r="C7887">
        <v>1440</v>
      </c>
      <c r="D7887" s="9">
        <v>42676</v>
      </c>
      <c r="E7887" t="s">
        <v>297</v>
      </c>
      <c r="I7887" s="9"/>
    </row>
    <row r="7888" spans="1:9" x14ac:dyDescent="0.25">
      <c r="A7888">
        <v>684000</v>
      </c>
      <c r="B7888">
        <v>3.68</v>
      </c>
      <c r="C7888">
        <v>1440</v>
      </c>
      <c r="D7888" s="9">
        <v>42520</v>
      </c>
      <c r="E7888" t="s">
        <v>295</v>
      </c>
      <c r="I7888" s="9"/>
    </row>
    <row r="7889" spans="1:9" x14ac:dyDescent="0.25">
      <c r="A7889">
        <v>684000</v>
      </c>
      <c r="B7889">
        <v>0.83799999999999997</v>
      </c>
      <c r="C7889">
        <v>1440</v>
      </c>
      <c r="D7889" s="9">
        <v>42520</v>
      </c>
      <c r="E7889" t="s">
        <v>297</v>
      </c>
      <c r="I7889" s="9"/>
    </row>
    <row r="7890" spans="1:9" x14ac:dyDescent="0.25">
      <c r="A7890">
        <v>684000</v>
      </c>
      <c r="B7890">
        <v>0.83799999999999997</v>
      </c>
      <c r="C7890">
        <v>1440</v>
      </c>
      <c r="D7890" s="9">
        <v>42285</v>
      </c>
      <c r="E7890" t="s">
        <v>297</v>
      </c>
      <c r="I7890" s="9"/>
    </row>
    <row r="7891" spans="1:9" x14ac:dyDescent="0.25">
      <c r="A7891">
        <v>684000</v>
      </c>
      <c r="B7891">
        <v>0.92100000000000004</v>
      </c>
      <c r="C7891">
        <v>1440</v>
      </c>
      <c r="D7891" s="9">
        <v>42040</v>
      </c>
      <c r="E7891" t="s">
        <v>296</v>
      </c>
      <c r="I7891" s="9"/>
    </row>
    <row r="7892" spans="1:9" x14ac:dyDescent="0.25">
      <c r="A7892">
        <v>684000</v>
      </c>
      <c r="B7892">
        <v>0.92100000000000004</v>
      </c>
      <c r="C7892">
        <v>960</v>
      </c>
      <c r="D7892" s="9">
        <v>41786</v>
      </c>
      <c r="E7892" t="s">
        <v>296</v>
      </c>
      <c r="I7892" s="9"/>
    </row>
    <row r="7893" spans="1:9" x14ac:dyDescent="0.25">
      <c r="A7893">
        <v>684000</v>
      </c>
      <c r="B7893">
        <v>0.89400000000000002</v>
      </c>
      <c r="C7893">
        <v>1344</v>
      </c>
      <c r="D7893" s="9">
        <v>41617</v>
      </c>
      <c r="E7893" t="s">
        <v>296</v>
      </c>
      <c r="I7893" s="9"/>
    </row>
    <row r="7894" spans="1:9" x14ac:dyDescent="0.25">
      <c r="A7894">
        <v>684000</v>
      </c>
      <c r="B7894">
        <v>0.89400000000000002</v>
      </c>
      <c r="C7894">
        <v>1152</v>
      </c>
      <c r="D7894" s="9">
        <v>41418</v>
      </c>
      <c r="E7894" t="s">
        <v>296</v>
      </c>
      <c r="I7894" s="9"/>
    </row>
    <row r="7895" spans="1:9" x14ac:dyDescent="0.25">
      <c r="A7895">
        <v>684000</v>
      </c>
      <c r="B7895">
        <v>0.89400000000000002</v>
      </c>
      <c r="C7895">
        <v>1152</v>
      </c>
      <c r="D7895" s="9">
        <v>41295</v>
      </c>
      <c r="E7895" t="s">
        <v>296</v>
      </c>
      <c r="I7895" s="9"/>
    </row>
    <row r="7896" spans="1:9" x14ac:dyDescent="0.25">
      <c r="A7896">
        <v>684005</v>
      </c>
      <c r="B7896">
        <v>0.7</v>
      </c>
      <c r="C7896">
        <v>1300</v>
      </c>
      <c r="D7896" s="9">
        <v>43880</v>
      </c>
      <c r="E7896" t="s">
        <v>296</v>
      </c>
      <c r="I7896" s="9"/>
    </row>
    <row r="7897" spans="1:9" x14ac:dyDescent="0.25">
      <c r="A7897">
        <v>684005</v>
      </c>
      <c r="B7897">
        <v>0.7</v>
      </c>
      <c r="C7897">
        <v>1300</v>
      </c>
      <c r="D7897" s="9">
        <v>43686</v>
      </c>
      <c r="E7897" t="s">
        <v>296</v>
      </c>
      <c r="I7897" s="9"/>
    </row>
    <row r="7898" spans="1:9" x14ac:dyDescent="0.25">
      <c r="A7898">
        <v>684005</v>
      </c>
      <c r="B7898">
        <v>0.7</v>
      </c>
      <c r="C7898">
        <v>1300</v>
      </c>
      <c r="D7898" s="9">
        <v>43381</v>
      </c>
      <c r="E7898" t="s">
        <v>296</v>
      </c>
      <c r="I7898" s="9"/>
    </row>
    <row r="7899" spans="1:9" x14ac:dyDescent="0.25">
      <c r="A7899">
        <v>684005</v>
      </c>
      <c r="B7899">
        <v>0.7</v>
      </c>
      <c r="C7899">
        <v>2000</v>
      </c>
      <c r="D7899" s="9">
        <v>43063</v>
      </c>
      <c r="E7899" t="s">
        <v>296</v>
      </c>
      <c r="I7899" s="9"/>
    </row>
    <row r="7900" spans="1:9" x14ac:dyDescent="0.25">
      <c r="A7900">
        <v>684030</v>
      </c>
      <c r="B7900">
        <v>7.2</v>
      </c>
      <c r="C7900">
        <v>128</v>
      </c>
      <c r="D7900" s="9">
        <v>43864</v>
      </c>
      <c r="E7900" t="s">
        <v>295</v>
      </c>
      <c r="I7900" s="9"/>
    </row>
    <row r="7901" spans="1:9" x14ac:dyDescent="0.25">
      <c r="A7901">
        <v>684030</v>
      </c>
      <c r="B7901">
        <v>7.2</v>
      </c>
      <c r="C7901">
        <v>720</v>
      </c>
      <c r="D7901" s="9">
        <v>43844</v>
      </c>
      <c r="E7901" t="s">
        <v>295</v>
      </c>
      <c r="I7901" s="9"/>
    </row>
    <row r="7902" spans="1:9" x14ac:dyDescent="0.25">
      <c r="A7902">
        <v>685030</v>
      </c>
      <c r="B7902">
        <v>0.34899999999999998</v>
      </c>
      <c r="C7902">
        <v>2880</v>
      </c>
      <c r="D7902" s="9">
        <v>42129</v>
      </c>
      <c r="E7902" t="s">
        <v>296</v>
      </c>
      <c r="I7902" s="9"/>
    </row>
    <row r="7903" spans="1:9" x14ac:dyDescent="0.25">
      <c r="A7903">
        <v>685030</v>
      </c>
      <c r="B7903">
        <v>0.34899999999999998</v>
      </c>
      <c r="C7903">
        <v>2880</v>
      </c>
      <c r="D7903" s="9">
        <v>42012</v>
      </c>
      <c r="E7903" t="s">
        <v>296</v>
      </c>
      <c r="I7903" s="9"/>
    </row>
    <row r="7904" spans="1:9" x14ac:dyDescent="0.25">
      <c r="A7904">
        <v>685030</v>
      </c>
      <c r="B7904">
        <v>1.57</v>
      </c>
      <c r="C7904">
        <v>1</v>
      </c>
      <c r="D7904" s="9">
        <v>41884</v>
      </c>
      <c r="E7904" t="s">
        <v>295</v>
      </c>
      <c r="I7904" s="9"/>
    </row>
    <row r="7905" spans="1:9" x14ac:dyDescent="0.25">
      <c r="A7905">
        <v>685030</v>
      </c>
      <c r="B7905">
        <v>1.07</v>
      </c>
      <c r="C7905">
        <v>2880</v>
      </c>
      <c r="D7905" s="9">
        <v>41821</v>
      </c>
      <c r="E7905" t="s">
        <v>295</v>
      </c>
      <c r="I7905" s="9"/>
    </row>
    <row r="7906" spans="1:9" x14ac:dyDescent="0.25">
      <c r="A7906">
        <v>685030</v>
      </c>
      <c r="B7906">
        <v>0.34899999999999998</v>
      </c>
      <c r="C7906">
        <v>2880</v>
      </c>
      <c r="D7906" s="9">
        <v>41821</v>
      </c>
      <c r="E7906" t="s">
        <v>296</v>
      </c>
      <c r="I7906" s="9"/>
    </row>
    <row r="7907" spans="1:9" x14ac:dyDescent="0.25">
      <c r="A7907">
        <v>685030</v>
      </c>
      <c r="B7907">
        <v>0.32300000000000001</v>
      </c>
      <c r="C7907">
        <v>2400</v>
      </c>
      <c r="D7907" s="9">
        <v>41418</v>
      </c>
      <c r="E7907" t="s">
        <v>296</v>
      </c>
      <c r="I7907" s="9"/>
    </row>
    <row r="7908" spans="1:9" x14ac:dyDescent="0.25">
      <c r="A7908">
        <v>685030</v>
      </c>
      <c r="B7908">
        <v>0.32300000000000001</v>
      </c>
      <c r="C7908">
        <v>4320</v>
      </c>
      <c r="D7908" s="9">
        <v>41309</v>
      </c>
      <c r="E7908" t="s">
        <v>296</v>
      </c>
      <c r="I7908" s="9"/>
    </row>
    <row r="7909" spans="1:9" x14ac:dyDescent="0.25">
      <c r="A7909">
        <v>685050</v>
      </c>
      <c r="B7909">
        <v>0.46</v>
      </c>
      <c r="C7909">
        <v>1152</v>
      </c>
      <c r="D7909" s="9">
        <v>43063</v>
      </c>
      <c r="E7909" t="s">
        <v>296</v>
      </c>
      <c r="I7909" s="9"/>
    </row>
    <row r="7910" spans="1:9" x14ac:dyDescent="0.25">
      <c r="A7910">
        <v>685050</v>
      </c>
      <c r="B7910">
        <v>0.54200000000000004</v>
      </c>
      <c r="C7910">
        <v>1152</v>
      </c>
      <c r="D7910" s="9">
        <v>42752</v>
      </c>
      <c r="E7910" t="s">
        <v>297</v>
      </c>
      <c r="I7910" s="9"/>
    </row>
    <row r="7911" spans="1:9" x14ac:dyDescent="0.25">
      <c r="A7911">
        <v>685050</v>
      </c>
      <c r="B7911">
        <v>0.52500000000000002</v>
      </c>
      <c r="C7911">
        <v>1920</v>
      </c>
      <c r="D7911" s="9">
        <v>42401</v>
      </c>
      <c r="E7911" t="s">
        <v>297</v>
      </c>
      <c r="I7911" s="9"/>
    </row>
    <row r="7912" spans="1:9" x14ac:dyDescent="0.25">
      <c r="A7912">
        <v>685050</v>
      </c>
      <c r="B7912">
        <v>0.55300000000000005</v>
      </c>
      <c r="C7912">
        <v>1920</v>
      </c>
      <c r="D7912" s="9">
        <v>42012</v>
      </c>
      <c r="E7912" t="s">
        <v>296</v>
      </c>
      <c r="I7912" s="9"/>
    </row>
    <row r="7913" spans="1:9" x14ac:dyDescent="0.25">
      <c r="A7913">
        <v>685050</v>
      </c>
      <c r="B7913">
        <v>2.54</v>
      </c>
      <c r="C7913">
        <v>1</v>
      </c>
      <c r="D7913" s="9">
        <v>41884</v>
      </c>
      <c r="E7913" t="s">
        <v>295</v>
      </c>
      <c r="I7913" s="9"/>
    </row>
    <row r="7914" spans="1:9" x14ac:dyDescent="0.25">
      <c r="A7914">
        <v>685050</v>
      </c>
      <c r="B7914">
        <v>1.7</v>
      </c>
      <c r="C7914">
        <v>2880</v>
      </c>
      <c r="D7914" s="9">
        <v>41821</v>
      </c>
      <c r="E7914" t="s">
        <v>295</v>
      </c>
      <c r="I7914" s="9"/>
    </row>
    <row r="7915" spans="1:9" x14ac:dyDescent="0.25">
      <c r="A7915">
        <v>685050</v>
      </c>
      <c r="B7915">
        <v>0.55300000000000005</v>
      </c>
      <c r="C7915">
        <v>2880</v>
      </c>
      <c r="D7915" s="9">
        <v>41821</v>
      </c>
      <c r="E7915" t="s">
        <v>296</v>
      </c>
      <c r="I7915" s="9"/>
    </row>
    <row r="7916" spans="1:9" x14ac:dyDescent="0.25">
      <c r="A7916">
        <v>685050</v>
      </c>
      <c r="B7916">
        <v>0.54200000000000004</v>
      </c>
      <c r="C7916">
        <v>1920</v>
      </c>
      <c r="D7916" s="9">
        <v>41682</v>
      </c>
      <c r="E7916" t="s">
        <v>296</v>
      </c>
      <c r="I7916" s="9"/>
    </row>
    <row r="7917" spans="1:9" x14ac:dyDescent="0.25">
      <c r="A7917">
        <v>685050</v>
      </c>
      <c r="B7917">
        <v>0.54200000000000004</v>
      </c>
      <c r="C7917">
        <v>2304</v>
      </c>
      <c r="D7917" s="9">
        <v>41535</v>
      </c>
      <c r="E7917" t="s">
        <v>296</v>
      </c>
      <c r="I7917" s="9"/>
    </row>
    <row r="7918" spans="1:9" x14ac:dyDescent="0.25">
      <c r="A7918">
        <v>685050</v>
      </c>
      <c r="B7918">
        <v>0.54200000000000004</v>
      </c>
      <c r="C7918">
        <v>2304</v>
      </c>
      <c r="D7918" s="9">
        <v>41418</v>
      </c>
      <c r="E7918" t="s">
        <v>296</v>
      </c>
      <c r="I7918" s="9"/>
    </row>
    <row r="7919" spans="1:9" x14ac:dyDescent="0.25">
      <c r="A7919">
        <v>685050</v>
      </c>
      <c r="B7919">
        <v>0.54200000000000004</v>
      </c>
      <c r="C7919">
        <v>1536</v>
      </c>
      <c r="D7919" s="9">
        <v>41309</v>
      </c>
      <c r="E7919" t="s">
        <v>296</v>
      </c>
      <c r="I7919" s="9"/>
    </row>
    <row r="7920" spans="1:9" x14ac:dyDescent="0.25">
      <c r="A7920">
        <v>685130</v>
      </c>
      <c r="B7920">
        <v>0.60799999999999998</v>
      </c>
      <c r="C7920">
        <v>2880</v>
      </c>
      <c r="D7920" s="9">
        <v>43608</v>
      </c>
      <c r="E7920" t="s">
        <v>296</v>
      </c>
      <c r="I7920" s="9"/>
    </row>
    <row r="7921" spans="1:9" x14ac:dyDescent="0.25">
      <c r="A7921">
        <v>685130</v>
      </c>
      <c r="B7921">
        <v>0.60799999999999998</v>
      </c>
      <c r="C7921">
        <v>3744</v>
      </c>
      <c r="D7921" s="9">
        <v>43427</v>
      </c>
      <c r="E7921" t="s">
        <v>296</v>
      </c>
      <c r="I7921" s="9"/>
    </row>
    <row r="7922" spans="1:9" x14ac:dyDescent="0.25">
      <c r="A7922">
        <v>685150</v>
      </c>
      <c r="B7922">
        <v>0.94199999999999995</v>
      </c>
      <c r="C7922">
        <v>3000</v>
      </c>
      <c r="D7922" s="9">
        <v>43608</v>
      </c>
      <c r="E7922" t="s">
        <v>296</v>
      </c>
      <c r="I7922" s="9"/>
    </row>
    <row r="7923" spans="1:9" x14ac:dyDescent="0.25">
      <c r="A7923">
        <v>685150</v>
      </c>
      <c r="B7923">
        <v>0.94199999999999995</v>
      </c>
      <c r="C7923">
        <v>5040</v>
      </c>
      <c r="D7923" s="9">
        <v>43427</v>
      </c>
      <c r="E7923" t="s">
        <v>296</v>
      </c>
      <c r="I7923" s="9"/>
    </row>
    <row r="7924" spans="1:9" x14ac:dyDescent="0.25">
      <c r="A7924">
        <v>685180</v>
      </c>
      <c r="B7924">
        <v>1.6419999999999999</v>
      </c>
      <c r="C7924">
        <v>2016</v>
      </c>
      <c r="D7924" s="9">
        <v>43427</v>
      </c>
      <c r="E7924" t="s">
        <v>296</v>
      </c>
      <c r="I7924" s="9"/>
    </row>
    <row r="7925" spans="1:9" x14ac:dyDescent="0.25">
      <c r="A7925">
        <v>685220</v>
      </c>
      <c r="B7925">
        <v>0.36599999999999999</v>
      </c>
      <c r="C7925">
        <v>1920</v>
      </c>
      <c r="D7925" s="9">
        <v>43132</v>
      </c>
      <c r="E7925" t="s">
        <v>296</v>
      </c>
      <c r="I7925" s="9"/>
    </row>
    <row r="7926" spans="1:9" x14ac:dyDescent="0.25">
      <c r="A7926">
        <v>685220</v>
      </c>
      <c r="B7926">
        <v>1.32</v>
      </c>
      <c r="C7926">
        <v>1920</v>
      </c>
      <c r="D7926" s="9">
        <v>43132</v>
      </c>
      <c r="E7926" t="s">
        <v>295</v>
      </c>
      <c r="I7926" s="9"/>
    </row>
    <row r="7927" spans="1:9" x14ac:dyDescent="0.25">
      <c r="A7927">
        <v>685220</v>
      </c>
      <c r="B7927">
        <v>0.34899999999999998</v>
      </c>
      <c r="C7927">
        <v>1920</v>
      </c>
      <c r="D7927" s="9">
        <v>42976</v>
      </c>
      <c r="E7927" t="s">
        <v>296</v>
      </c>
      <c r="I7927" s="9"/>
    </row>
    <row r="7928" spans="1:9" x14ac:dyDescent="0.25">
      <c r="A7928">
        <v>685220</v>
      </c>
      <c r="B7928">
        <v>0.34499999999999997</v>
      </c>
      <c r="C7928">
        <v>1920</v>
      </c>
      <c r="D7928" s="9">
        <v>42607</v>
      </c>
      <c r="E7928" t="s">
        <v>297</v>
      </c>
      <c r="I7928" s="9"/>
    </row>
    <row r="7929" spans="1:9" x14ac:dyDescent="0.25">
      <c r="A7929">
        <v>685220</v>
      </c>
      <c r="B7929">
        <v>0.34499999999999997</v>
      </c>
      <c r="C7929">
        <v>1920</v>
      </c>
      <c r="D7929" s="9">
        <v>42401</v>
      </c>
      <c r="E7929" t="s">
        <v>297</v>
      </c>
      <c r="I7929" s="9"/>
    </row>
    <row r="7930" spans="1:9" x14ac:dyDescent="0.25">
      <c r="A7930">
        <v>685220</v>
      </c>
      <c r="B7930">
        <v>1.61</v>
      </c>
      <c r="C7930">
        <v>1</v>
      </c>
      <c r="D7930" s="9">
        <v>41884</v>
      </c>
      <c r="E7930" t="s">
        <v>295</v>
      </c>
      <c r="I7930" s="9"/>
    </row>
    <row r="7931" spans="1:9" x14ac:dyDescent="0.25">
      <c r="A7931">
        <v>685220</v>
      </c>
      <c r="B7931">
        <v>1.1599999999999999</v>
      </c>
      <c r="C7931">
        <v>1920</v>
      </c>
      <c r="D7931" s="9">
        <v>41821</v>
      </c>
      <c r="E7931" t="s">
        <v>295</v>
      </c>
      <c r="I7931" s="9"/>
    </row>
    <row r="7932" spans="1:9" x14ac:dyDescent="0.25">
      <c r="A7932">
        <v>685220</v>
      </c>
      <c r="B7932">
        <v>0.379</v>
      </c>
      <c r="C7932">
        <v>1920</v>
      </c>
      <c r="D7932" s="9">
        <v>41821</v>
      </c>
      <c r="E7932" t="s">
        <v>296</v>
      </c>
      <c r="I7932" s="9"/>
    </row>
    <row r="7933" spans="1:9" x14ac:dyDescent="0.25">
      <c r="A7933">
        <v>685220</v>
      </c>
      <c r="B7933">
        <v>0.372</v>
      </c>
      <c r="C7933">
        <v>4608</v>
      </c>
      <c r="D7933" s="9">
        <v>41418</v>
      </c>
      <c r="E7933" t="s">
        <v>296</v>
      </c>
      <c r="I7933" s="9"/>
    </row>
    <row r="7934" spans="1:9" x14ac:dyDescent="0.25">
      <c r="A7934">
        <v>685230</v>
      </c>
      <c r="B7934">
        <v>1.47</v>
      </c>
      <c r="C7934">
        <v>1728</v>
      </c>
      <c r="D7934" s="9">
        <v>43132</v>
      </c>
      <c r="E7934" t="s">
        <v>295</v>
      </c>
      <c r="I7934" s="9"/>
    </row>
    <row r="7935" spans="1:9" x14ac:dyDescent="0.25">
      <c r="A7935">
        <v>685230</v>
      </c>
      <c r="B7935">
        <v>0.38800000000000001</v>
      </c>
      <c r="C7935">
        <v>1728</v>
      </c>
      <c r="D7935" s="9">
        <v>43132</v>
      </c>
      <c r="E7935" t="s">
        <v>296</v>
      </c>
      <c r="I7935" s="9"/>
    </row>
    <row r="7936" spans="1:9" x14ac:dyDescent="0.25">
      <c r="A7936">
        <v>685230</v>
      </c>
      <c r="B7936">
        <v>0.36899999999999999</v>
      </c>
      <c r="C7936">
        <v>1728</v>
      </c>
      <c r="D7936" s="9">
        <v>42976</v>
      </c>
      <c r="E7936" t="s">
        <v>296</v>
      </c>
      <c r="I7936" s="9"/>
    </row>
    <row r="7937" spans="1:9" x14ac:dyDescent="0.25">
      <c r="A7937">
        <v>685230</v>
      </c>
      <c r="B7937">
        <v>0.39700000000000002</v>
      </c>
      <c r="C7937">
        <v>1728</v>
      </c>
      <c r="D7937" s="9">
        <v>42752</v>
      </c>
      <c r="E7937" t="s">
        <v>297</v>
      </c>
      <c r="I7937" s="9"/>
    </row>
    <row r="7938" spans="1:9" x14ac:dyDescent="0.25">
      <c r="A7938">
        <v>685230</v>
      </c>
      <c r="B7938">
        <v>0.39700000000000002</v>
      </c>
      <c r="C7938">
        <v>2520</v>
      </c>
      <c r="D7938" s="9">
        <v>42607</v>
      </c>
      <c r="E7938" t="s">
        <v>297</v>
      </c>
      <c r="I7938" s="9"/>
    </row>
    <row r="7939" spans="1:9" x14ac:dyDescent="0.25">
      <c r="A7939">
        <v>685230</v>
      </c>
      <c r="B7939">
        <v>0.39700000000000002</v>
      </c>
      <c r="C7939">
        <v>2592</v>
      </c>
      <c r="D7939" s="9">
        <v>42401</v>
      </c>
      <c r="E7939" t="s">
        <v>297</v>
      </c>
      <c r="I7939" s="9"/>
    </row>
    <row r="7940" spans="1:9" x14ac:dyDescent="0.25">
      <c r="A7940">
        <v>685230</v>
      </c>
      <c r="B7940">
        <v>0.436</v>
      </c>
      <c r="C7940">
        <v>2160</v>
      </c>
      <c r="D7940" s="9">
        <v>42129</v>
      </c>
      <c r="E7940" t="s">
        <v>296</v>
      </c>
      <c r="I7940" s="9"/>
    </row>
    <row r="7941" spans="1:9" x14ac:dyDescent="0.25">
      <c r="A7941">
        <v>685230</v>
      </c>
      <c r="B7941">
        <v>0.436</v>
      </c>
      <c r="C7941">
        <v>2160</v>
      </c>
      <c r="D7941" s="9">
        <v>42012</v>
      </c>
      <c r="E7941" t="s">
        <v>296</v>
      </c>
      <c r="I7941" s="9"/>
    </row>
    <row r="7942" spans="1:9" x14ac:dyDescent="0.25">
      <c r="A7942">
        <v>685230</v>
      </c>
      <c r="B7942">
        <v>1.99</v>
      </c>
      <c r="C7942">
        <v>1</v>
      </c>
      <c r="D7942" s="9">
        <v>41884</v>
      </c>
      <c r="E7942" t="s">
        <v>295</v>
      </c>
      <c r="I7942" s="9"/>
    </row>
    <row r="7943" spans="1:9" x14ac:dyDescent="0.25">
      <c r="A7943">
        <v>685230</v>
      </c>
      <c r="B7943">
        <v>1.3</v>
      </c>
      <c r="C7943">
        <v>2880</v>
      </c>
      <c r="D7943" s="9">
        <v>41821</v>
      </c>
      <c r="E7943" t="s">
        <v>295</v>
      </c>
      <c r="I7943" s="9"/>
    </row>
    <row r="7944" spans="1:9" x14ac:dyDescent="0.25">
      <c r="A7944">
        <v>685230</v>
      </c>
      <c r="B7944">
        <v>1.3</v>
      </c>
      <c r="C7944">
        <v>2304</v>
      </c>
      <c r="D7944" s="9">
        <v>41821</v>
      </c>
      <c r="E7944" t="s">
        <v>295</v>
      </c>
      <c r="I7944" s="9"/>
    </row>
    <row r="7945" spans="1:9" x14ac:dyDescent="0.25">
      <c r="A7945">
        <v>685230</v>
      </c>
      <c r="B7945">
        <v>0.42299999999999999</v>
      </c>
      <c r="C7945">
        <v>2880</v>
      </c>
      <c r="D7945" s="9">
        <v>41821</v>
      </c>
      <c r="E7945" t="s">
        <v>296</v>
      </c>
      <c r="I7945" s="9"/>
    </row>
    <row r="7946" spans="1:9" x14ac:dyDescent="0.25">
      <c r="A7946">
        <v>685230</v>
      </c>
      <c r="B7946">
        <v>0.42299999999999999</v>
      </c>
      <c r="C7946">
        <v>2304</v>
      </c>
      <c r="D7946" s="9">
        <v>41821</v>
      </c>
      <c r="E7946" t="s">
        <v>296</v>
      </c>
      <c r="I7946" s="9"/>
    </row>
    <row r="7947" spans="1:9" x14ac:dyDescent="0.25">
      <c r="A7947">
        <v>685230</v>
      </c>
      <c r="B7947">
        <v>0.41099999999999998</v>
      </c>
      <c r="C7947">
        <v>5760</v>
      </c>
      <c r="D7947" s="9">
        <v>41535</v>
      </c>
      <c r="E7947" t="s">
        <v>296</v>
      </c>
      <c r="I7947" s="9"/>
    </row>
    <row r="7948" spans="1:9" x14ac:dyDescent="0.25">
      <c r="A7948">
        <v>685230</v>
      </c>
      <c r="B7948">
        <v>0.41099999999999998</v>
      </c>
      <c r="C7948">
        <v>3456</v>
      </c>
      <c r="D7948" s="9">
        <v>41309</v>
      </c>
      <c r="E7948" t="s">
        <v>296</v>
      </c>
      <c r="I7948" s="9"/>
    </row>
    <row r="7949" spans="1:9" x14ac:dyDescent="0.25">
      <c r="A7949">
        <v>685230</v>
      </c>
      <c r="B7949">
        <v>0.41099999999999998</v>
      </c>
      <c r="C7949">
        <v>3456</v>
      </c>
      <c r="D7949" s="9">
        <v>41309</v>
      </c>
      <c r="E7949" t="s">
        <v>296</v>
      </c>
      <c r="I7949" s="9"/>
    </row>
    <row r="7950" spans="1:9" x14ac:dyDescent="0.25">
      <c r="A7950">
        <v>685250</v>
      </c>
      <c r="B7950">
        <v>0.63900000000000001</v>
      </c>
      <c r="C7950">
        <v>2700</v>
      </c>
      <c r="D7950" s="9">
        <v>43132</v>
      </c>
      <c r="E7950" t="s">
        <v>296</v>
      </c>
      <c r="I7950" s="9"/>
    </row>
    <row r="7951" spans="1:9" x14ac:dyDescent="0.25">
      <c r="A7951">
        <v>685250</v>
      </c>
      <c r="B7951">
        <v>2.27</v>
      </c>
      <c r="C7951">
        <v>2700</v>
      </c>
      <c r="D7951" s="9">
        <v>43132</v>
      </c>
      <c r="E7951" t="s">
        <v>295</v>
      </c>
      <c r="I7951" s="9"/>
    </row>
    <row r="7952" spans="1:9" x14ac:dyDescent="0.25">
      <c r="A7952">
        <v>685250</v>
      </c>
      <c r="B7952">
        <v>0.49</v>
      </c>
      <c r="C7952">
        <v>2700</v>
      </c>
      <c r="D7952" s="9">
        <v>42976</v>
      </c>
      <c r="E7952" t="s">
        <v>296</v>
      </c>
      <c r="I7952" s="9"/>
    </row>
    <row r="7953" spans="1:9" x14ac:dyDescent="0.25">
      <c r="A7953">
        <v>685250</v>
      </c>
      <c r="B7953">
        <v>0.52</v>
      </c>
      <c r="C7953">
        <v>3000</v>
      </c>
      <c r="D7953" s="9">
        <v>42752</v>
      </c>
      <c r="E7953" t="s">
        <v>296</v>
      </c>
      <c r="I7953" s="9"/>
    </row>
    <row r="7954" spans="1:9" x14ac:dyDescent="0.25">
      <c r="A7954">
        <v>685250</v>
      </c>
      <c r="B7954">
        <v>0.55000000000000004</v>
      </c>
      <c r="C7954">
        <v>1440</v>
      </c>
      <c r="D7954" s="9">
        <v>42698</v>
      </c>
      <c r="E7954" t="s">
        <v>296</v>
      </c>
      <c r="I7954" s="9"/>
    </row>
    <row r="7955" spans="1:9" x14ac:dyDescent="0.25">
      <c r="A7955">
        <v>685250</v>
      </c>
      <c r="B7955">
        <v>0.57999999999999996</v>
      </c>
      <c r="C7955">
        <v>2400</v>
      </c>
      <c r="D7955" s="9">
        <v>42617</v>
      </c>
      <c r="E7955" t="s">
        <v>296</v>
      </c>
      <c r="I7955" s="9"/>
    </row>
    <row r="7956" spans="1:9" x14ac:dyDescent="0.25">
      <c r="A7956">
        <v>685250</v>
      </c>
      <c r="B7956">
        <v>0.57999999999999996</v>
      </c>
      <c r="C7956">
        <v>4200</v>
      </c>
      <c r="D7956" s="9">
        <v>42510</v>
      </c>
      <c r="E7956" t="s">
        <v>296</v>
      </c>
      <c r="I7956" s="9"/>
    </row>
    <row r="7957" spans="1:9" x14ac:dyDescent="0.25">
      <c r="A7957">
        <v>685250</v>
      </c>
      <c r="B7957">
        <v>0.57999999999999996</v>
      </c>
      <c r="C7957">
        <v>3600</v>
      </c>
      <c r="D7957" s="9">
        <v>42321</v>
      </c>
      <c r="E7957" t="s">
        <v>296</v>
      </c>
      <c r="I7957" s="9"/>
    </row>
    <row r="7958" spans="1:9" x14ac:dyDescent="0.25">
      <c r="A7958">
        <v>685250</v>
      </c>
      <c r="B7958">
        <v>0.59899999999999998</v>
      </c>
      <c r="C7958">
        <v>3600</v>
      </c>
      <c r="D7958" s="9">
        <v>42233</v>
      </c>
      <c r="E7958" t="s">
        <v>297</v>
      </c>
      <c r="I7958" s="9"/>
    </row>
    <row r="7959" spans="1:9" x14ac:dyDescent="0.25">
      <c r="A7959">
        <v>685250</v>
      </c>
      <c r="B7959">
        <v>0.65200000000000002</v>
      </c>
      <c r="C7959">
        <v>4200</v>
      </c>
      <c r="D7959" s="9">
        <v>42012</v>
      </c>
      <c r="E7959" t="s">
        <v>296</v>
      </c>
      <c r="I7959" s="9"/>
    </row>
    <row r="7960" spans="1:9" x14ac:dyDescent="0.25">
      <c r="A7960">
        <v>685250</v>
      </c>
      <c r="B7960">
        <v>3.34</v>
      </c>
      <c r="C7960">
        <v>1</v>
      </c>
      <c r="D7960" s="9">
        <v>41884</v>
      </c>
      <c r="E7960" t="s">
        <v>295</v>
      </c>
      <c r="I7960" s="9"/>
    </row>
    <row r="7961" spans="1:9" x14ac:dyDescent="0.25">
      <c r="A7961">
        <v>685250</v>
      </c>
      <c r="B7961">
        <v>2</v>
      </c>
      <c r="C7961">
        <v>6000</v>
      </c>
      <c r="D7961" s="9">
        <v>41821</v>
      </c>
      <c r="E7961" t="s">
        <v>295</v>
      </c>
      <c r="I7961" s="9"/>
    </row>
    <row r="7962" spans="1:9" x14ac:dyDescent="0.25">
      <c r="A7962">
        <v>685250</v>
      </c>
      <c r="B7962">
        <v>0.65200000000000002</v>
      </c>
      <c r="C7962">
        <v>6000</v>
      </c>
      <c r="D7962" s="9">
        <v>41821</v>
      </c>
      <c r="E7962" t="s">
        <v>296</v>
      </c>
      <c r="I7962" s="9"/>
    </row>
    <row r="7963" spans="1:9" x14ac:dyDescent="0.25">
      <c r="A7963">
        <v>685250</v>
      </c>
      <c r="B7963">
        <v>0.63900000000000001</v>
      </c>
      <c r="C7963">
        <v>3000</v>
      </c>
      <c r="D7963" s="9">
        <v>41682</v>
      </c>
      <c r="E7963" t="s">
        <v>296</v>
      </c>
      <c r="I7963" s="9"/>
    </row>
    <row r="7964" spans="1:9" x14ac:dyDescent="0.25">
      <c r="A7964">
        <v>685250</v>
      </c>
      <c r="B7964">
        <v>0.63900000000000001</v>
      </c>
      <c r="C7964">
        <v>3000</v>
      </c>
      <c r="D7964" s="9">
        <v>41682</v>
      </c>
      <c r="E7964" t="s">
        <v>296</v>
      </c>
      <c r="I7964" s="9"/>
    </row>
    <row r="7965" spans="1:9" x14ac:dyDescent="0.25">
      <c r="A7965">
        <v>685250</v>
      </c>
      <c r="B7965">
        <v>0.63900000000000001</v>
      </c>
      <c r="C7965">
        <v>3000</v>
      </c>
      <c r="D7965" s="9">
        <v>41535</v>
      </c>
      <c r="E7965" t="s">
        <v>296</v>
      </c>
      <c r="I7965" s="9"/>
    </row>
    <row r="7966" spans="1:9" x14ac:dyDescent="0.25">
      <c r="A7966">
        <v>685250</v>
      </c>
      <c r="B7966">
        <v>0.63900000000000001</v>
      </c>
      <c r="C7966">
        <v>3000</v>
      </c>
      <c r="D7966" s="9">
        <v>41418</v>
      </c>
      <c r="E7966" t="s">
        <v>296</v>
      </c>
      <c r="I7966" s="9"/>
    </row>
    <row r="7967" spans="1:9" x14ac:dyDescent="0.25">
      <c r="A7967">
        <v>685250</v>
      </c>
      <c r="B7967">
        <v>0.63900000000000001</v>
      </c>
      <c r="C7967">
        <v>2160</v>
      </c>
      <c r="D7967" s="9">
        <v>41309</v>
      </c>
      <c r="E7967" t="s">
        <v>296</v>
      </c>
      <c r="I7967" s="9"/>
    </row>
    <row r="7968" spans="1:9" x14ac:dyDescent="0.25">
      <c r="A7968">
        <v>685250</v>
      </c>
      <c r="B7968">
        <v>0.63900000000000001</v>
      </c>
      <c r="C7968">
        <v>3600</v>
      </c>
      <c r="D7968" s="9">
        <v>41309</v>
      </c>
      <c r="E7968" t="s">
        <v>296</v>
      </c>
      <c r="I7968" s="9"/>
    </row>
    <row r="7969" spans="1:9" x14ac:dyDescent="0.25">
      <c r="A7969">
        <v>685275</v>
      </c>
      <c r="B7969">
        <v>1.06</v>
      </c>
      <c r="C7969">
        <v>1200</v>
      </c>
      <c r="D7969" s="9">
        <v>43017</v>
      </c>
      <c r="E7969" t="s">
        <v>296</v>
      </c>
      <c r="I7969" s="9"/>
    </row>
    <row r="7970" spans="1:9" x14ac:dyDescent="0.25">
      <c r="A7970">
        <v>685275</v>
      </c>
      <c r="B7970">
        <v>0.99</v>
      </c>
      <c r="C7970">
        <v>1152</v>
      </c>
      <c r="D7970" s="9">
        <v>42698</v>
      </c>
      <c r="E7970" t="s">
        <v>296</v>
      </c>
      <c r="I7970" s="9"/>
    </row>
    <row r="7971" spans="1:9" x14ac:dyDescent="0.25">
      <c r="A7971">
        <v>685275</v>
      </c>
      <c r="B7971">
        <v>1.02</v>
      </c>
      <c r="C7971">
        <v>864</v>
      </c>
      <c r="D7971" s="9">
        <v>42510</v>
      </c>
      <c r="E7971" t="s">
        <v>296</v>
      </c>
      <c r="I7971" s="9"/>
    </row>
    <row r="7972" spans="1:9" x14ac:dyDescent="0.25">
      <c r="A7972">
        <v>685275</v>
      </c>
      <c r="B7972">
        <v>1.07</v>
      </c>
      <c r="C7972">
        <v>960</v>
      </c>
      <c r="D7972" s="9">
        <v>42233</v>
      </c>
      <c r="E7972" t="s">
        <v>297</v>
      </c>
      <c r="I7972" s="9"/>
    </row>
    <row r="7973" spans="1:9" x14ac:dyDescent="0.25">
      <c r="A7973">
        <v>685275</v>
      </c>
      <c r="B7973">
        <v>1.1639999999999999</v>
      </c>
      <c r="C7973">
        <v>960</v>
      </c>
      <c r="D7973" s="9">
        <v>42012</v>
      </c>
      <c r="E7973" t="s">
        <v>296</v>
      </c>
      <c r="I7973" s="9"/>
    </row>
    <row r="7974" spans="1:9" x14ac:dyDescent="0.25">
      <c r="A7974">
        <v>685275</v>
      </c>
      <c r="B7974">
        <v>5.36</v>
      </c>
      <c r="C7974">
        <v>1</v>
      </c>
      <c r="D7974" s="9">
        <v>41884</v>
      </c>
      <c r="E7974" t="s">
        <v>295</v>
      </c>
      <c r="I7974" s="9"/>
    </row>
    <row r="7975" spans="1:9" x14ac:dyDescent="0.25">
      <c r="A7975">
        <v>685275</v>
      </c>
      <c r="B7975">
        <v>3.57</v>
      </c>
      <c r="C7975">
        <v>960</v>
      </c>
      <c r="D7975" s="9">
        <v>41821</v>
      </c>
      <c r="E7975" t="s">
        <v>295</v>
      </c>
      <c r="I7975" s="9"/>
    </row>
    <row r="7976" spans="1:9" x14ac:dyDescent="0.25">
      <c r="A7976">
        <v>685275</v>
      </c>
      <c r="B7976">
        <v>1.1639999999999999</v>
      </c>
      <c r="C7976">
        <v>960</v>
      </c>
      <c r="D7976" s="9">
        <v>41821</v>
      </c>
      <c r="E7976" t="s">
        <v>296</v>
      </c>
      <c r="I7976" s="9"/>
    </row>
    <row r="7977" spans="1:9" x14ac:dyDescent="0.25">
      <c r="A7977">
        <v>685275</v>
      </c>
      <c r="B7977">
        <v>1.141</v>
      </c>
      <c r="C7977">
        <v>864</v>
      </c>
      <c r="D7977" s="9">
        <v>41682</v>
      </c>
      <c r="E7977" t="s">
        <v>296</v>
      </c>
      <c r="I7977" s="9"/>
    </row>
    <row r="7978" spans="1:9" x14ac:dyDescent="0.25">
      <c r="A7978">
        <v>685275</v>
      </c>
      <c r="B7978">
        <v>1.141</v>
      </c>
      <c r="C7978">
        <v>1152</v>
      </c>
      <c r="D7978" s="9">
        <v>41309</v>
      </c>
      <c r="E7978" t="s">
        <v>296</v>
      </c>
      <c r="I7978" s="9"/>
    </row>
    <row r="7979" spans="1:9" x14ac:dyDescent="0.25">
      <c r="A7979">
        <v>685550</v>
      </c>
      <c r="B7979">
        <v>2.66</v>
      </c>
      <c r="C7979">
        <v>1008</v>
      </c>
      <c r="D7979" s="9">
        <v>43132</v>
      </c>
      <c r="E7979" t="s">
        <v>295</v>
      </c>
      <c r="I7979" s="9"/>
    </row>
    <row r="7980" spans="1:9" x14ac:dyDescent="0.25">
      <c r="A7980">
        <v>685550</v>
      </c>
      <c r="B7980">
        <v>0.755</v>
      </c>
      <c r="C7980">
        <v>1008</v>
      </c>
      <c r="D7980" s="9">
        <v>43132</v>
      </c>
      <c r="E7980" t="s">
        <v>296</v>
      </c>
      <c r="I7980" s="9"/>
    </row>
    <row r="7981" spans="1:9" x14ac:dyDescent="0.25">
      <c r="A7981">
        <v>685550</v>
      </c>
      <c r="B7981">
        <v>0.71899999999999997</v>
      </c>
      <c r="C7981">
        <v>1008</v>
      </c>
      <c r="D7981" s="9">
        <v>42976</v>
      </c>
      <c r="E7981" t="s">
        <v>296</v>
      </c>
      <c r="I7981" s="9"/>
    </row>
    <row r="7982" spans="1:9" x14ac:dyDescent="0.25">
      <c r="A7982">
        <v>685550</v>
      </c>
      <c r="B7982">
        <v>0.78100000000000003</v>
      </c>
      <c r="C7982">
        <v>1440</v>
      </c>
      <c r="D7982" s="9">
        <v>42607</v>
      </c>
      <c r="E7982" t="s">
        <v>297</v>
      </c>
      <c r="I7982" s="9"/>
    </row>
    <row r="7983" spans="1:9" x14ac:dyDescent="0.25">
      <c r="A7983">
        <v>685550</v>
      </c>
      <c r="B7983">
        <v>0.78100000000000003</v>
      </c>
      <c r="C7983">
        <v>1008</v>
      </c>
      <c r="D7983" s="9">
        <v>42401</v>
      </c>
      <c r="E7983" t="s">
        <v>297</v>
      </c>
      <c r="I7983" s="9"/>
    </row>
    <row r="7984" spans="1:9" x14ac:dyDescent="0.25">
      <c r="A7984">
        <v>685550</v>
      </c>
      <c r="B7984">
        <v>0.78100000000000003</v>
      </c>
      <c r="C7984">
        <v>1008</v>
      </c>
      <c r="D7984" s="9">
        <v>42233</v>
      </c>
      <c r="E7984" t="s">
        <v>297</v>
      </c>
      <c r="I7984" s="9"/>
    </row>
    <row r="7985" spans="1:9" x14ac:dyDescent="0.25">
      <c r="A7985">
        <v>685550</v>
      </c>
      <c r="B7985">
        <v>0.85</v>
      </c>
      <c r="C7985">
        <v>1440</v>
      </c>
      <c r="D7985" s="9">
        <v>42012</v>
      </c>
      <c r="E7985" t="s">
        <v>296</v>
      </c>
      <c r="I7985" s="9"/>
    </row>
    <row r="7986" spans="1:9" x14ac:dyDescent="0.25">
      <c r="A7986">
        <v>685550</v>
      </c>
      <c r="B7986">
        <v>3.92</v>
      </c>
      <c r="C7986">
        <v>1</v>
      </c>
      <c r="D7986" s="9">
        <v>41884</v>
      </c>
      <c r="E7986" t="s">
        <v>295</v>
      </c>
      <c r="I7986" s="9"/>
    </row>
    <row r="7987" spans="1:9" x14ac:dyDescent="0.25">
      <c r="A7987">
        <v>685550</v>
      </c>
      <c r="B7987">
        <v>2.61</v>
      </c>
      <c r="C7987">
        <v>1440</v>
      </c>
      <c r="D7987" s="9">
        <v>41821</v>
      </c>
      <c r="E7987" t="s">
        <v>295</v>
      </c>
      <c r="I7987" s="9"/>
    </row>
    <row r="7988" spans="1:9" x14ac:dyDescent="0.25">
      <c r="A7988">
        <v>685550</v>
      </c>
      <c r="B7988">
        <v>0.85</v>
      </c>
      <c r="C7988">
        <v>1440</v>
      </c>
      <c r="D7988" s="9">
        <v>41821</v>
      </c>
      <c r="E7988" t="s">
        <v>296</v>
      </c>
      <c r="I7988" s="9"/>
    </row>
    <row r="7989" spans="1:9" x14ac:dyDescent="0.25">
      <c r="A7989">
        <v>685550</v>
      </c>
      <c r="B7989">
        <v>0.83299999999999996</v>
      </c>
      <c r="C7989">
        <v>1440</v>
      </c>
      <c r="D7989" s="9">
        <v>41682</v>
      </c>
      <c r="E7989" t="s">
        <v>296</v>
      </c>
      <c r="I7989" s="9"/>
    </row>
    <row r="7990" spans="1:9" x14ac:dyDescent="0.25">
      <c r="A7990">
        <v>685550</v>
      </c>
      <c r="B7990">
        <v>0.83299999999999996</v>
      </c>
      <c r="C7990">
        <v>1728</v>
      </c>
      <c r="D7990" s="9">
        <v>41535</v>
      </c>
      <c r="E7990" t="s">
        <v>296</v>
      </c>
      <c r="I7990" s="9"/>
    </row>
    <row r="7991" spans="1:9" x14ac:dyDescent="0.25">
      <c r="A7991">
        <v>685550</v>
      </c>
      <c r="B7991">
        <v>0.83299999999999996</v>
      </c>
      <c r="C7991">
        <v>1728</v>
      </c>
      <c r="D7991" s="9">
        <v>41309</v>
      </c>
      <c r="E7991" t="s">
        <v>296</v>
      </c>
      <c r="I7991" s="9"/>
    </row>
    <row r="7992" spans="1:9" x14ac:dyDescent="0.25">
      <c r="A7992">
        <v>685580</v>
      </c>
      <c r="B7992">
        <v>1.339</v>
      </c>
      <c r="C7992">
        <v>480</v>
      </c>
      <c r="D7992" s="9">
        <v>43132</v>
      </c>
      <c r="E7992" t="s">
        <v>296</v>
      </c>
      <c r="I7992" s="9"/>
    </row>
    <row r="7993" spans="1:9" x14ac:dyDescent="0.25">
      <c r="A7993">
        <v>685580</v>
      </c>
      <c r="B7993">
        <v>4.6900000000000004</v>
      </c>
      <c r="C7993">
        <v>480</v>
      </c>
      <c r="D7993" s="9">
        <v>43132</v>
      </c>
      <c r="E7993" t="s">
        <v>295</v>
      </c>
      <c r="I7993" s="9"/>
    </row>
    <row r="7994" spans="1:9" x14ac:dyDescent="0.25">
      <c r="A7994">
        <v>685580</v>
      </c>
      <c r="B7994">
        <v>1.2749999999999999</v>
      </c>
      <c r="C7994">
        <v>480</v>
      </c>
      <c r="D7994" s="9">
        <v>42976</v>
      </c>
      <c r="E7994" t="s">
        <v>296</v>
      </c>
      <c r="I7994" s="9"/>
    </row>
    <row r="7995" spans="1:9" x14ac:dyDescent="0.25">
      <c r="A7995">
        <v>685580</v>
      </c>
      <c r="B7995">
        <v>1.4419999999999999</v>
      </c>
      <c r="C7995">
        <v>480</v>
      </c>
      <c r="D7995" s="9">
        <v>42401</v>
      </c>
      <c r="E7995" t="s">
        <v>297</v>
      </c>
      <c r="I7995" s="9"/>
    </row>
    <row r="7996" spans="1:9" x14ac:dyDescent="0.25">
      <c r="A7996">
        <v>685580</v>
      </c>
      <c r="B7996">
        <v>6.78</v>
      </c>
      <c r="C7996">
        <v>1</v>
      </c>
      <c r="D7996" s="9">
        <v>41884</v>
      </c>
      <c r="E7996" t="s">
        <v>295</v>
      </c>
      <c r="I7996" s="9"/>
    </row>
    <row r="7997" spans="1:9" x14ac:dyDescent="0.25">
      <c r="A7997">
        <v>685580</v>
      </c>
      <c r="B7997">
        <v>4.66</v>
      </c>
      <c r="C7997">
        <v>768</v>
      </c>
      <c r="D7997" s="9">
        <v>41821</v>
      </c>
      <c r="E7997" t="s">
        <v>295</v>
      </c>
      <c r="I7997" s="9"/>
    </row>
    <row r="7998" spans="1:9" x14ac:dyDescent="0.25">
      <c r="A7998">
        <v>685580</v>
      </c>
      <c r="B7998">
        <v>1.518</v>
      </c>
      <c r="C7998">
        <v>768</v>
      </c>
      <c r="D7998" s="9">
        <v>41821</v>
      </c>
      <c r="E7998" t="s">
        <v>296</v>
      </c>
      <c r="I7998" s="9"/>
    </row>
    <row r="7999" spans="1:9" x14ac:dyDescent="0.25">
      <c r="A7999">
        <v>685580</v>
      </c>
      <c r="B7999">
        <v>1.474</v>
      </c>
      <c r="C7999">
        <v>768</v>
      </c>
      <c r="D7999" s="9">
        <v>41535</v>
      </c>
      <c r="E7999" t="s">
        <v>296</v>
      </c>
      <c r="I7999" s="9"/>
    </row>
    <row r="8000" spans="1:9" x14ac:dyDescent="0.25">
      <c r="A8000">
        <v>685580</v>
      </c>
      <c r="B8000">
        <v>1.1739999999999999</v>
      </c>
      <c r="C8000">
        <v>672</v>
      </c>
      <c r="D8000" s="9">
        <v>41309</v>
      </c>
      <c r="E8000" t="s">
        <v>296</v>
      </c>
      <c r="I8000" s="9"/>
    </row>
    <row r="8001" spans="1:9" x14ac:dyDescent="0.25">
      <c r="A8001">
        <v>685603</v>
      </c>
      <c r="B8001">
        <v>0.62</v>
      </c>
      <c r="C8001">
        <v>4800</v>
      </c>
      <c r="D8001" s="9">
        <v>43991</v>
      </c>
      <c r="E8001" t="s">
        <v>296</v>
      </c>
      <c r="I8001" s="9"/>
    </row>
    <row r="8002" spans="1:9" x14ac:dyDescent="0.25">
      <c r="A8002">
        <v>685603</v>
      </c>
      <c r="B8002">
        <v>0.64200000000000002</v>
      </c>
      <c r="C8002">
        <v>1152</v>
      </c>
      <c r="D8002" s="9">
        <v>43427</v>
      </c>
      <c r="E8002" t="s">
        <v>296</v>
      </c>
      <c r="I8002" s="9"/>
    </row>
    <row r="8003" spans="1:9" x14ac:dyDescent="0.25">
      <c r="A8003">
        <v>685603</v>
      </c>
      <c r="B8003">
        <v>0.64900000000000002</v>
      </c>
      <c r="C8003">
        <v>2400</v>
      </c>
      <c r="D8003" s="9">
        <v>42873</v>
      </c>
      <c r="E8003" t="s">
        <v>296</v>
      </c>
      <c r="I8003" s="9"/>
    </row>
    <row r="8004" spans="1:9" x14ac:dyDescent="0.25">
      <c r="A8004">
        <v>685605</v>
      </c>
      <c r="B8004">
        <v>1</v>
      </c>
      <c r="C8004">
        <v>4800</v>
      </c>
      <c r="D8004" s="9">
        <v>43991</v>
      </c>
      <c r="E8004" t="s">
        <v>296</v>
      </c>
      <c r="I8004" s="9"/>
    </row>
    <row r="8005" spans="1:9" x14ac:dyDescent="0.25">
      <c r="A8005">
        <v>685605</v>
      </c>
      <c r="B8005">
        <v>1.008</v>
      </c>
      <c r="C8005">
        <v>1200</v>
      </c>
      <c r="D8005" s="9">
        <v>43608</v>
      </c>
      <c r="E8005" t="s">
        <v>296</v>
      </c>
      <c r="I8005" s="9"/>
    </row>
    <row r="8006" spans="1:9" x14ac:dyDescent="0.25">
      <c r="A8006">
        <v>685605</v>
      </c>
      <c r="B8006">
        <v>1.008</v>
      </c>
      <c r="C8006">
        <v>1200</v>
      </c>
      <c r="D8006" s="9">
        <v>43427</v>
      </c>
      <c r="E8006" t="s">
        <v>296</v>
      </c>
      <c r="I8006" s="9"/>
    </row>
    <row r="8007" spans="1:9" x14ac:dyDescent="0.25">
      <c r="A8007">
        <v>685605</v>
      </c>
      <c r="B8007">
        <v>0.82399999999999995</v>
      </c>
      <c r="C8007">
        <v>1824</v>
      </c>
      <c r="D8007" s="9">
        <v>42873</v>
      </c>
      <c r="E8007" t="s">
        <v>296</v>
      </c>
      <c r="I8007" s="9"/>
    </row>
    <row r="8008" spans="1:9" x14ac:dyDescent="0.25">
      <c r="A8008">
        <v>685608</v>
      </c>
      <c r="B8008">
        <v>1.75</v>
      </c>
      <c r="C8008">
        <v>576</v>
      </c>
      <c r="D8008" s="9">
        <v>43608</v>
      </c>
      <c r="E8008" t="s">
        <v>296</v>
      </c>
      <c r="I8008" s="9"/>
    </row>
    <row r="8009" spans="1:9" x14ac:dyDescent="0.25">
      <c r="A8009">
        <v>685608</v>
      </c>
      <c r="B8009">
        <v>1.75</v>
      </c>
      <c r="C8009">
        <v>480</v>
      </c>
      <c r="D8009" s="9">
        <v>43427</v>
      </c>
      <c r="E8009" t="s">
        <v>296</v>
      </c>
      <c r="I8009" s="9"/>
    </row>
    <row r="8010" spans="1:9" x14ac:dyDescent="0.25">
      <c r="A8010">
        <v>685608</v>
      </c>
      <c r="B8010">
        <v>1.405</v>
      </c>
      <c r="C8010">
        <v>600</v>
      </c>
      <c r="D8010" s="9">
        <v>42873</v>
      </c>
      <c r="E8010" t="s">
        <v>296</v>
      </c>
      <c r="I8010" s="9"/>
    </row>
    <row r="8011" spans="1:9" x14ac:dyDescent="0.25">
      <c r="A8011">
        <v>686100</v>
      </c>
      <c r="B8011">
        <v>0.97599999999999998</v>
      </c>
      <c r="C8011">
        <v>320</v>
      </c>
      <c r="D8011" s="9">
        <v>44070</v>
      </c>
      <c r="E8011" t="s">
        <v>296</v>
      </c>
      <c r="I8011" s="9"/>
    </row>
    <row r="8012" spans="1:9" x14ac:dyDescent="0.25">
      <c r="A8012">
        <v>686100</v>
      </c>
      <c r="B8012">
        <v>3.8</v>
      </c>
      <c r="C8012">
        <v>120</v>
      </c>
      <c r="D8012" s="9">
        <v>43865</v>
      </c>
      <c r="E8012" t="s">
        <v>295</v>
      </c>
      <c r="I8012" s="9"/>
    </row>
    <row r="8013" spans="1:9" x14ac:dyDescent="0.25">
      <c r="A8013">
        <v>686100</v>
      </c>
      <c r="B8013">
        <v>3.8</v>
      </c>
      <c r="C8013">
        <v>100</v>
      </c>
      <c r="D8013" s="9">
        <v>43745</v>
      </c>
      <c r="E8013" t="s">
        <v>295</v>
      </c>
      <c r="I8013" s="9"/>
    </row>
    <row r="8014" spans="1:9" x14ac:dyDescent="0.25">
      <c r="A8014">
        <v>686100</v>
      </c>
      <c r="B8014">
        <v>3.86</v>
      </c>
      <c r="C8014">
        <v>480</v>
      </c>
      <c r="D8014" s="9">
        <v>43090</v>
      </c>
      <c r="E8014" t="s">
        <v>295</v>
      </c>
      <c r="I8014" s="9"/>
    </row>
    <row r="8015" spans="1:9" x14ac:dyDescent="0.25">
      <c r="A8015">
        <v>686100</v>
      </c>
      <c r="B8015">
        <v>1.04</v>
      </c>
      <c r="C8015">
        <v>480</v>
      </c>
      <c r="D8015" s="9">
        <v>43052</v>
      </c>
      <c r="E8015" t="s">
        <v>296</v>
      </c>
      <c r="I8015" s="9"/>
    </row>
    <row r="8016" spans="1:9" x14ac:dyDescent="0.25">
      <c r="A8016">
        <v>686100</v>
      </c>
      <c r="B8016">
        <v>0.91</v>
      </c>
      <c r="C8016">
        <v>480</v>
      </c>
      <c r="D8016" s="9">
        <v>42655</v>
      </c>
      <c r="E8016" t="s">
        <v>296</v>
      </c>
      <c r="I8016" s="9"/>
    </row>
    <row r="8017" spans="1:9" x14ac:dyDescent="0.25">
      <c r="A8017">
        <v>686100</v>
      </c>
      <c r="B8017">
        <v>0.91</v>
      </c>
      <c r="C8017">
        <v>480</v>
      </c>
      <c r="D8017" s="9">
        <v>42655</v>
      </c>
      <c r="E8017" t="s">
        <v>296</v>
      </c>
      <c r="I8017" s="9"/>
    </row>
    <row r="8018" spans="1:9" x14ac:dyDescent="0.25">
      <c r="A8018">
        <v>686100</v>
      </c>
      <c r="B8018">
        <v>0.91</v>
      </c>
      <c r="C8018">
        <v>480</v>
      </c>
      <c r="D8018" s="9">
        <v>42586</v>
      </c>
      <c r="E8018" t="s">
        <v>296</v>
      </c>
      <c r="I8018" s="9"/>
    </row>
    <row r="8019" spans="1:9" x14ac:dyDescent="0.25">
      <c r="A8019">
        <v>686100</v>
      </c>
      <c r="B8019">
        <v>1.22</v>
      </c>
      <c r="C8019">
        <v>10</v>
      </c>
      <c r="D8019" s="9">
        <v>42464</v>
      </c>
      <c r="E8019" t="s">
        <v>297</v>
      </c>
      <c r="I8019" s="9"/>
    </row>
    <row r="8020" spans="1:9" x14ac:dyDescent="0.25">
      <c r="A8020">
        <v>686100</v>
      </c>
      <c r="B8020">
        <v>0.94</v>
      </c>
      <c r="C8020">
        <v>400</v>
      </c>
      <c r="D8020" s="9">
        <v>42325</v>
      </c>
      <c r="E8020" t="s">
        <v>296</v>
      </c>
      <c r="I8020" s="9"/>
    </row>
    <row r="8021" spans="1:9" x14ac:dyDescent="0.25">
      <c r="A8021">
        <v>686200</v>
      </c>
      <c r="B8021">
        <v>0.876</v>
      </c>
      <c r="C8021">
        <v>320</v>
      </c>
      <c r="D8021" s="9">
        <v>44070</v>
      </c>
      <c r="E8021" t="s">
        <v>296</v>
      </c>
      <c r="I8021" s="9"/>
    </row>
    <row r="8022" spans="1:9" x14ac:dyDescent="0.25">
      <c r="A8022">
        <v>686200</v>
      </c>
      <c r="B8022">
        <v>5.4</v>
      </c>
      <c r="C8022">
        <v>120</v>
      </c>
      <c r="D8022" s="9">
        <v>44020</v>
      </c>
      <c r="E8022" t="s">
        <v>295</v>
      </c>
      <c r="I8022" s="9"/>
    </row>
    <row r="8023" spans="1:9" x14ac:dyDescent="0.25">
      <c r="A8023">
        <v>686200</v>
      </c>
      <c r="B8023">
        <v>4.3499999999999996</v>
      </c>
      <c r="C8023">
        <v>120</v>
      </c>
      <c r="D8023" s="9">
        <v>43865</v>
      </c>
      <c r="E8023" t="s">
        <v>295</v>
      </c>
      <c r="I8023" s="9"/>
    </row>
    <row r="8024" spans="1:9" x14ac:dyDescent="0.25">
      <c r="A8024">
        <v>686200</v>
      </c>
      <c r="B8024">
        <v>4.3499999999999996</v>
      </c>
      <c r="C8024">
        <v>120</v>
      </c>
      <c r="D8024" s="9">
        <v>43745</v>
      </c>
      <c r="E8024" t="s">
        <v>295</v>
      </c>
      <c r="I8024" s="9"/>
    </row>
    <row r="8025" spans="1:9" x14ac:dyDescent="0.25">
      <c r="A8025">
        <v>686200</v>
      </c>
      <c r="B8025">
        <v>1.08</v>
      </c>
      <c r="C8025">
        <v>1000</v>
      </c>
      <c r="D8025" s="9">
        <v>43017</v>
      </c>
      <c r="E8025" t="s">
        <v>296</v>
      </c>
      <c r="I8025" s="9"/>
    </row>
    <row r="8026" spans="1:9" x14ac:dyDescent="0.25">
      <c r="A8026">
        <v>686200</v>
      </c>
      <c r="B8026">
        <v>1.05</v>
      </c>
      <c r="C8026">
        <v>720</v>
      </c>
      <c r="D8026" s="9">
        <v>42752</v>
      </c>
      <c r="E8026" t="s">
        <v>296</v>
      </c>
      <c r="I8026" s="9"/>
    </row>
    <row r="8027" spans="1:9" x14ac:dyDescent="0.25">
      <c r="A8027">
        <v>686200</v>
      </c>
      <c r="B8027">
        <v>1.05</v>
      </c>
      <c r="C8027">
        <v>960</v>
      </c>
      <c r="D8027" s="9">
        <v>42698</v>
      </c>
      <c r="E8027" t="s">
        <v>296</v>
      </c>
      <c r="I8027" s="9"/>
    </row>
    <row r="8028" spans="1:9" x14ac:dyDescent="0.25">
      <c r="A8028">
        <v>686200</v>
      </c>
      <c r="B8028">
        <v>1.05</v>
      </c>
      <c r="C8028">
        <v>720</v>
      </c>
      <c r="D8028" s="9">
        <v>42520</v>
      </c>
      <c r="E8028" t="s">
        <v>297</v>
      </c>
      <c r="I8028" s="9"/>
    </row>
    <row r="8029" spans="1:9" x14ac:dyDescent="0.25">
      <c r="A8029">
        <v>686200</v>
      </c>
      <c r="B8029">
        <v>4.6100000000000003</v>
      </c>
      <c r="C8029">
        <v>720</v>
      </c>
      <c r="D8029" s="9">
        <v>42520</v>
      </c>
      <c r="E8029" t="s">
        <v>295</v>
      </c>
      <c r="I8029" s="9"/>
    </row>
    <row r="8030" spans="1:9" x14ac:dyDescent="0.25">
      <c r="A8030">
        <v>686200</v>
      </c>
      <c r="B8030">
        <v>1.48</v>
      </c>
      <c r="C8030">
        <v>10</v>
      </c>
      <c r="D8030" s="9">
        <v>42464</v>
      </c>
      <c r="E8030" t="s">
        <v>297</v>
      </c>
      <c r="I8030" s="9"/>
    </row>
    <row r="8031" spans="1:9" x14ac:dyDescent="0.25">
      <c r="A8031">
        <v>686200</v>
      </c>
      <c r="B8031">
        <v>1.129</v>
      </c>
      <c r="C8031">
        <v>720</v>
      </c>
      <c r="D8031" s="9">
        <v>42233</v>
      </c>
      <c r="E8031" t="s">
        <v>297</v>
      </c>
      <c r="I8031" s="9"/>
    </row>
    <row r="8032" spans="1:9" x14ac:dyDescent="0.25">
      <c r="A8032">
        <v>686200</v>
      </c>
      <c r="B8032">
        <v>5.46</v>
      </c>
      <c r="C8032">
        <v>1</v>
      </c>
      <c r="D8032" s="9">
        <v>41884</v>
      </c>
      <c r="E8032" t="s">
        <v>295</v>
      </c>
      <c r="I8032" s="9"/>
    </row>
    <row r="8033" spans="1:9" x14ac:dyDescent="0.25">
      <c r="A8033">
        <v>686200</v>
      </c>
      <c r="B8033">
        <v>3.77</v>
      </c>
      <c r="C8033">
        <v>720</v>
      </c>
      <c r="D8033" s="9">
        <v>41821</v>
      </c>
      <c r="E8033" t="s">
        <v>295</v>
      </c>
      <c r="I8033" s="9"/>
    </row>
    <row r="8034" spans="1:9" x14ac:dyDescent="0.25">
      <c r="A8034">
        <v>686200</v>
      </c>
      <c r="B8034">
        <v>1.228</v>
      </c>
      <c r="C8034">
        <v>720</v>
      </c>
      <c r="D8034" s="9">
        <v>41821</v>
      </c>
      <c r="E8034" t="s">
        <v>296</v>
      </c>
      <c r="I8034" s="9"/>
    </row>
    <row r="8035" spans="1:9" x14ac:dyDescent="0.25">
      <c r="A8035">
        <v>686200</v>
      </c>
      <c r="B8035">
        <v>1.1919999999999999</v>
      </c>
      <c r="C8035">
        <v>720</v>
      </c>
      <c r="D8035" s="9">
        <v>41682</v>
      </c>
      <c r="E8035" t="s">
        <v>296</v>
      </c>
      <c r="I8035" s="9"/>
    </row>
    <row r="8036" spans="1:9" x14ac:dyDescent="0.25">
      <c r="A8036">
        <v>686200</v>
      </c>
      <c r="B8036">
        <v>1.1919999999999999</v>
      </c>
      <c r="C8036">
        <v>720</v>
      </c>
      <c r="D8036" s="9">
        <v>41535</v>
      </c>
      <c r="E8036" t="s">
        <v>296</v>
      </c>
      <c r="I8036" s="9"/>
    </row>
    <row r="8037" spans="1:9" x14ac:dyDescent="0.25">
      <c r="A8037">
        <v>686200</v>
      </c>
      <c r="B8037">
        <v>1.1459999999999999</v>
      </c>
      <c r="C8037">
        <v>720</v>
      </c>
      <c r="D8037" s="9">
        <v>41362</v>
      </c>
      <c r="E8037" t="s">
        <v>296</v>
      </c>
      <c r="I8037" s="9"/>
    </row>
    <row r="8038" spans="1:9" x14ac:dyDescent="0.25">
      <c r="A8038">
        <v>686200</v>
      </c>
      <c r="B8038">
        <v>1.137</v>
      </c>
      <c r="C8038">
        <v>480</v>
      </c>
      <c r="D8038" s="9">
        <v>41295</v>
      </c>
      <c r="E8038" t="s">
        <v>296</v>
      </c>
      <c r="I8038" s="9"/>
    </row>
    <row r="8039" spans="1:9" x14ac:dyDescent="0.25">
      <c r="A8039">
        <v>686202</v>
      </c>
      <c r="B8039">
        <v>3.2</v>
      </c>
      <c r="C8039">
        <v>240</v>
      </c>
      <c r="D8039" s="9">
        <v>43017</v>
      </c>
      <c r="E8039" t="s">
        <v>296</v>
      </c>
      <c r="I8039" s="9"/>
    </row>
    <row r="8040" spans="1:9" x14ac:dyDescent="0.25">
      <c r="A8040">
        <v>686300</v>
      </c>
      <c r="B8040">
        <v>1.4390000000000001</v>
      </c>
      <c r="C8040">
        <v>480</v>
      </c>
      <c r="D8040" s="9">
        <v>43063</v>
      </c>
      <c r="E8040" t="s">
        <v>296</v>
      </c>
      <c r="I8040" s="9"/>
    </row>
    <row r="8041" spans="1:9" x14ac:dyDescent="0.25">
      <c r="A8041">
        <v>686300</v>
      </c>
      <c r="B8041">
        <v>1.42</v>
      </c>
      <c r="C8041">
        <v>480</v>
      </c>
      <c r="D8041" s="9">
        <v>42752</v>
      </c>
      <c r="E8041" t="s">
        <v>296</v>
      </c>
      <c r="I8041" s="9"/>
    </row>
    <row r="8042" spans="1:9" x14ac:dyDescent="0.25">
      <c r="A8042">
        <v>686300</v>
      </c>
      <c r="B8042">
        <v>7.31</v>
      </c>
      <c r="C8042">
        <v>500</v>
      </c>
      <c r="D8042" s="9">
        <v>42520</v>
      </c>
      <c r="E8042" t="s">
        <v>295</v>
      </c>
      <c r="I8042" s="9"/>
    </row>
    <row r="8043" spans="1:9" x14ac:dyDescent="0.25">
      <c r="A8043">
        <v>686300</v>
      </c>
      <c r="B8043">
        <v>1.6659999999999999</v>
      </c>
      <c r="C8043">
        <v>500</v>
      </c>
      <c r="D8043" s="9">
        <v>42520</v>
      </c>
      <c r="E8043" t="s">
        <v>297</v>
      </c>
      <c r="I8043" s="9"/>
    </row>
    <row r="8044" spans="1:9" x14ac:dyDescent="0.25">
      <c r="A8044">
        <v>686300</v>
      </c>
      <c r="B8044">
        <v>1.6659999999999999</v>
      </c>
      <c r="C8044">
        <v>500</v>
      </c>
      <c r="D8044" s="9">
        <v>42233</v>
      </c>
      <c r="E8044" t="s">
        <v>297</v>
      </c>
      <c r="I8044" s="9"/>
    </row>
    <row r="8045" spans="1:9" x14ac:dyDescent="0.25">
      <c r="A8045">
        <v>686300</v>
      </c>
      <c r="B8045">
        <v>1.772</v>
      </c>
      <c r="C8045">
        <v>500</v>
      </c>
      <c r="D8045" s="9">
        <v>42012</v>
      </c>
      <c r="E8045" t="s">
        <v>296</v>
      </c>
      <c r="I8045" s="9"/>
    </row>
    <row r="8046" spans="1:9" x14ac:dyDescent="0.25">
      <c r="A8046">
        <v>686300</v>
      </c>
      <c r="B8046">
        <v>7.93</v>
      </c>
      <c r="C8046">
        <v>1</v>
      </c>
      <c r="D8046" s="9">
        <v>41884</v>
      </c>
      <c r="E8046" t="s">
        <v>295</v>
      </c>
      <c r="I8046" s="9"/>
    </row>
    <row r="8047" spans="1:9" x14ac:dyDescent="0.25">
      <c r="A8047">
        <v>686300</v>
      </c>
      <c r="B8047">
        <v>5.44</v>
      </c>
      <c r="C8047">
        <v>540</v>
      </c>
      <c r="D8047" s="9">
        <v>41821</v>
      </c>
      <c r="E8047" t="s">
        <v>295</v>
      </c>
      <c r="I8047" s="9"/>
    </row>
    <row r="8048" spans="1:9" x14ac:dyDescent="0.25">
      <c r="A8048">
        <v>686300</v>
      </c>
      <c r="B8048">
        <v>1.772</v>
      </c>
      <c r="C8048">
        <v>540</v>
      </c>
      <c r="D8048" s="9">
        <v>41821</v>
      </c>
      <c r="E8048" t="s">
        <v>296</v>
      </c>
      <c r="I8048" s="9"/>
    </row>
    <row r="8049" spans="1:9" x14ac:dyDescent="0.25">
      <c r="A8049">
        <v>686300</v>
      </c>
      <c r="B8049">
        <v>1.72</v>
      </c>
      <c r="C8049">
        <v>440</v>
      </c>
      <c r="D8049" s="9">
        <v>41682</v>
      </c>
      <c r="E8049" t="s">
        <v>296</v>
      </c>
      <c r="I8049" s="9"/>
    </row>
    <row r="8050" spans="1:9" x14ac:dyDescent="0.25">
      <c r="A8050">
        <v>686300</v>
      </c>
      <c r="B8050">
        <v>1.72</v>
      </c>
      <c r="C8050">
        <v>600</v>
      </c>
      <c r="D8050" s="9">
        <v>41535</v>
      </c>
      <c r="E8050" t="s">
        <v>296</v>
      </c>
      <c r="I8050" s="9"/>
    </row>
    <row r="8051" spans="1:9" x14ac:dyDescent="0.25">
      <c r="A8051">
        <v>686300</v>
      </c>
      <c r="B8051">
        <v>1.851</v>
      </c>
      <c r="C8051">
        <v>380</v>
      </c>
      <c r="D8051" s="9">
        <v>41362</v>
      </c>
      <c r="E8051" t="s">
        <v>296</v>
      </c>
      <c r="I8051" s="9"/>
    </row>
    <row r="8052" spans="1:9" x14ac:dyDescent="0.25">
      <c r="A8052">
        <v>686302</v>
      </c>
      <c r="B8052">
        <v>3.98</v>
      </c>
      <c r="C8052">
        <v>252</v>
      </c>
      <c r="D8052" s="9">
        <v>43017</v>
      </c>
      <c r="E8052" t="s">
        <v>296</v>
      </c>
      <c r="I8052" s="9"/>
    </row>
    <row r="8053" spans="1:9" x14ac:dyDescent="0.25">
      <c r="A8053">
        <v>687250</v>
      </c>
      <c r="B8053">
        <v>2.04</v>
      </c>
      <c r="C8053">
        <v>600</v>
      </c>
      <c r="D8053" s="9">
        <v>44060</v>
      </c>
      <c r="E8053" t="s">
        <v>296</v>
      </c>
      <c r="I8053" s="9"/>
    </row>
    <row r="8054" spans="1:9" x14ac:dyDescent="0.25">
      <c r="A8054">
        <v>687250</v>
      </c>
      <c r="B8054">
        <v>13.4</v>
      </c>
      <c r="C8054">
        <v>500</v>
      </c>
      <c r="D8054" s="9">
        <v>43992</v>
      </c>
      <c r="E8054" t="s">
        <v>295</v>
      </c>
      <c r="I8054" s="9"/>
    </row>
    <row r="8055" spans="1:9" x14ac:dyDescent="0.25">
      <c r="A8055">
        <v>687250</v>
      </c>
      <c r="B8055">
        <v>13.4</v>
      </c>
      <c r="C8055">
        <v>500</v>
      </c>
      <c r="D8055" s="9">
        <v>43900</v>
      </c>
      <c r="E8055" t="s">
        <v>295</v>
      </c>
      <c r="I8055" s="9"/>
    </row>
    <row r="8056" spans="1:9" x14ac:dyDescent="0.25">
      <c r="A8056">
        <v>687250</v>
      </c>
      <c r="B8056">
        <v>13.4</v>
      </c>
      <c r="C8056">
        <v>100</v>
      </c>
      <c r="D8056" s="9">
        <v>43865</v>
      </c>
      <c r="E8056" t="s">
        <v>295</v>
      </c>
      <c r="I8056" s="9"/>
    </row>
    <row r="8057" spans="1:9" x14ac:dyDescent="0.25">
      <c r="A8057">
        <v>687250</v>
      </c>
      <c r="B8057">
        <v>13.4</v>
      </c>
      <c r="C8057">
        <v>350</v>
      </c>
      <c r="D8057" s="9">
        <v>43745</v>
      </c>
      <c r="E8057" t="s">
        <v>295</v>
      </c>
      <c r="I8057" s="9"/>
    </row>
    <row r="8058" spans="1:9" x14ac:dyDescent="0.25">
      <c r="A8058">
        <v>687250</v>
      </c>
      <c r="B8058">
        <v>13.4</v>
      </c>
      <c r="C8058">
        <v>300</v>
      </c>
      <c r="D8058" s="9">
        <v>43615</v>
      </c>
      <c r="E8058" t="s">
        <v>295</v>
      </c>
      <c r="I8058" s="9"/>
    </row>
    <row r="8059" spans="1:9" x14ac:dyDescent="0.25">
      <c r="A8059">
        <v>687250</v>
      </c>
      <c r="B8059">
        <v>13.4</v>
      </c>
      <c r="C8059">
        <v>300</v>
      </c>
      <c r="D8059" s="9">
        <v>43592</v>
      </c>
      <c r="E8059" t="s">
        <v>295</v>
      </c>
      <c r="I8059" s="9"/>
    </row>
    <row r="8060" spans="1:9" x14ac:dyDescent="0.25">
      <c r="A8060">
        <v>687250</v>
      </c>
      <c r="B8060">
        <v>2.6779999999999999</v>
      </c>
      <c r="C8060">
        <v>900</v>
      </c>
      <c r="D8060" s="9">
        <v>43340</v>
      </c>
      <c r="E8060" t="s">
        <v>296</v>
      </c>
      <c r="I8060" s="9"/>
    </row>
    <row r="8061" spans="1:9" x14ac:dyDescent="0.25">
      <c r="A8061">
        <v>687250</v>
      </c>
      <c r="B8061">
        <v>13.4</v>
      </c>
      <c r="C8061">
        <v>500</v>
      </c>
      <c r="D8061" s="9">
        <v>43269</v>
      </c>
      <c r="E8061" t="s">
        <v>295</v>
      </c>
      <c r="I8061" s="9"/>
    </row>
    <row r="8062" spans="1:9" x14ac:dyDescent="0.25">
      <c r="A8062">
        <v>687250</v>
      </c>
      <c r="B8062">
        <v>2.6779999999999999</v>
      </c>
      <c r="C8062">
        <v>900</v>
      </c>
      <c r="D8062" s="9">
        <v>43063</v>
      </c>
      <c r="E8062" t="s">
        <v>296</v>
      </c>
      <c r="I8062" s="9"/>
    </row>
    <row r="8063" spans="1:9" x14ac:dyDescent="0.25">
      <c r="A8063">
        <v>687250</v>
      </c>
      <c r="B8063">
        <v>14</v>
      </c>
      <c r="C8063">
        <v>200</v>
      </c>
      <c r="D8063" s="9">
        <v>42978</v>
      </c>
      <c r="E8063" t="s">
        <v>295</v>
      </c>
      <c r="I8063" s="9"/>
    </row>
    <row r="8064" spans="1:9" x14ac:dyDescent="0.25">
      <c r="A8064">
        <v>687250</v>
      </c>
      <c r="B8064">
        <v>2.6</v>
      </c>
      <c r="C8064">
        <v>600</v>
      </c>
      <c r="D8064" s="9">
        <v>42860</v>
      </c>
      <c r="E8064" t="s">
        <v>297</v>
      </c>
      <c r="I8064" s="9"/>
    </row>
    <row r="8065" spans="1:9" x14ac:dyDescent="0.25">
      <c r="A8065">
        <v>687250</v>
      </c>
      <c r="B8065">
        <v>14</v>
      </c>
      <c r="C8065">
        <v>500</v>
      </c>
      <c r="D8065" s="9">
        <v>42811</v>
      </c>
      <c r="E8065" t="s">
        <v>295</v>
      </c>
      <c r="I8065" s="9"/>
    </row>
    <row r="8066" spans="1:9" x14ac:dyDescent="0.25">
      <c r="A8066">
        <v>687250</v>
      </c>
      <c r="B8066">
        <v>2.6</v>
      </c>
      <c r="C8066">
        <v>600</v>
      </c>
      <c r="D8066" s="9">
        <v>42676</v>
      </c>
      <c r="E8066" t="s">
        <v>297</v>
      </c>
      <c r="I8066" s="9"/>
    </row>
    <row r="8067" spans="1:9" x14ac:dyDescent="0.25">
      <c r="A8067">
        <v>687250</v>
      </c>
      <c r="B8067">
        <v>14.4</v>
      </c>
      <c r="C8067">
        <v>100</v>
      </c>
      <c r="D8067" s="9">
        <v>42661</v>
      </c>
      <c r="E8067" t="s">
        <v>295</v>
      </c>
      <c r="I8067" s="9"/>
    </row>
    <row r="8068" spans="1:9" x14ac:dyDescent="0.25">
      <c r="A8068">
        <v>687250</v>
      </c>
      <c r="B8068">
        <v>2.6</v>
      </c>
      <c r="C8068">
        <v>800</v>
      </c>
      <c r="D8068" s="9">
        <v>42520</v>
      </c>
      <c r="E8068" t="s">
        <v>297</v>
      </c>
      <c r="I8068" s="9"/>
    </row>
    <row r="8069" spans="1:9" x14ac:dyDescent="0.25">
      <c r="A8069">
        <v>687250</v>
      </c>
      <c r="B8069">
        <v>14.4</v>
      </c>
      <c r="C8069">
        <v>300</v>
      </c>
      <c r="D8069" s="9">
        <v>42520</v>
      </c>
      <c r="E8069" t="s">
        <v>295</v>
      </c>
      <c r="I8069" s="9"/>
    </row>
    <row r="8070" spans="1:9" x14ac:dyDescent="0.25">
      <c r="A8070">
        <v>687250</v>
      </c>
      <c r="B8070">
        <v>11.41</v>
      </c>
      <c r="C8070">
        <v>800</v>
      </c>
      <c r="D8070" s="9">
        <v>42520</v>
      </c>
      <c r="E8070" t="s">
        <v>295</v>
      </c>
      <c r="I8070" s="9"/>
    </row>
    <row r="8071" spans="1:9" x14ac:dyDescent="0.25">
      <c r="A8071">
        <v>687250</v>
      </c>
      <c r="B8071">
        <v>14.4</v>
      </c>
      <c r="C8071">
        <v>200</v>
      </c>
      <c r="D8071" s="9">
        <v>42501</v>
      </c>
      <c r="E8071" t="s">
        <v>295</v>
      </c>
      <c r="I8071" s="9"/>
    </row>
    <row r="8072" spans="1:9" x14ac:dyDescent="0.25">
      <c r="A8072">
        <v>687250</v>
      </c>
      <c r="B8072">
        <v>14.5</v>
      </c>
      <c r="C8072">
        <v>400</v>
      </c>
      <c r="D8072" s="9">
        <v>42404</v>
      </c>
      <c r="E8072" t="s">
        <v>295</v>
      </c>
      <c r="I8072" s="9"/>
    </row>
    <row r="8073" spans="1:9" x14ac:dyDescent="0.25">
      <c r="A8073">
        <v>687250</v>
      </c>
      <c r="B8073">
        <v>2.6</v>
      </c>
      <c r="C8073">
        <v>800</v>
      </c>
      <c r="D8073" s="9">
        <v>42285</v>
      </c>
      <c r="E8073" t="s">
        <v>297</v>
      </c>
      <c r="I8073" s="9"/>
    </row>
    <row r="8074" spans="1:9" x14ac:dyDescent="0.25">
      <c r="A8074">
        <v>687250</v>
      </c>
      <c r="B8074">
        <v>12.75</v>
      </c>
      <c r="C8074">
        <v>300</v>
      </c>
      <c r="D8074" s="9">
        <v>42278</v>
      </c>
      <c r="E8074" t="s">
        <v>295</v>
      </c>
      <c r="I8074" s="9"/>
    </row>
    <row r="8075" spans="1:9" x14ac:dyDescent="0.25">
      <c r="A8075">
        <v>687250</v>
      </c>
      <c r="B8075">
        <v>2.8570000000000002</v>
      </c>
      <c r="C8075">
        <v>800</v>
      </c>
      <c r="D8075" s="9">
        <v>42040</v>
      </c>
      <c r="E8075" t="s">
        <v>296</v>
      </c>
      <c r="I8075" s="9"/>
    </row>
    <row r="8076" spans="1:9" x14ac:dyDescent="0.25">
      <c r="A8076">
        <v>687250</v>
      </c>
      <c r="B8076">
        <v>2.8570000000000002</v>
      </c>
      <c r="C8076">
        <v>800</v>
      </c>
      <c r="D8076" s="9">
        <v>41821</v>
      </c>
      <c r="E8076" t="s">
        <v>296</v>
      </c>
      <c r="I8076" s="9"/>
    </row>
    <row r="8077" spans="1:9" x14ac:dyDescent="0.25">
      <c r="A8077">
        <v>687250</v>
      </c>
      <c r="B8077">
        <v>8.77</v>
      </c>
      <c r="C8077">
        <v>800</v>
      </c>
      <c r="D8077" s="9">
        <v>41821</v>
      </c>
      <c r="E8077" t="s">
        <v>295</v>
      </c>
      <c r="I8077" s="9"/>
    </row>
    <row r="8078" spans="1:9" x14ac:dyDescent="0.25">
      <c r="A8078">
        <v>687250</v>
      </c>
      <c r="B8078">
        <v>2.8010000000000002</v>
      </c>
      <c r="C8078">
        <v>1000</v>
      </c>
      <c r="D8078" s="9">
        <v>41617</v>
      </c>
      <c r="E8078" t="s">
        <v>296</v>
      </c>
      <c r="I8078" s="9"/>
    </row>
    <row r="8079" spans="1:9" x14ac:dyDescent="0.25">
      <c r="A8079">
        <v>687250</v>
      </c>
      <c r="B8079">
        <v>11.7</v>
      </c>
      <c r="C8079">
        <v>300</v>
      </c>
      <c r="D8079" s="9">
        <v>41603</v>
      </c>
      <c r="E8079" t="s">
        <v>295</v>
      </c>
      <c r="I8079" s="9"/>
    </row>
    <row r="8080" spans="1:9" x14ac:dyDescent="0.25">
      <c r="A8080">
        <v>687250</v>
      </c>
      <c r="B8080">
        <v>2.8010000000000002</v>
      </c>
      <c r="C8080">
        <v>800</v>
      </c>
      <c r="D8080" s="9">
        <v>41418</v>
      </c>
      <c r="E8080" t="s">
        <v>296</v>
      </c>
      <c r="I8080" s="9"/>
    </row>
    <row r="8081" spans="1:9" x14ac:dyDescent="0.25">
      <c r="A8081">
        <v>687250</v>
      </c>
      <c r="B8081">
        <v>2.8010000000000002</v>
      </c>
      <c r="C8081">
        <v>200</v>
      </c>
      <c r="D8081" s="9">
        <v>41309</v>
      </c>
      <c r="E8081" t="s">
        <v>296</v>
      </c>
      <c r="I8081" s="9"/>
    </row>
    <row r="8082" spans="1:9" x14ac:dyDescent="0.25">
      <c r="A8082">
        <v>687252</v>
      </c>
      <c r="B8082">
        <v>4.05</v>
      </c>
      <c r="C8082">
        <v>200</v>
      </c>
      <c r="D8082" s="9">
        <v>44060</v>
      </c>
      <c r="E8082" t="s">
        <v>296</v>
      </c>
      <c r="I8082" s="9"/>
    </row>
    <row r="8083" spans="1:9" x14ac:dyDescent="0.25">
      <c r="A8083">
        <v>687252</v>
      </c>
      <c r="B8083">
        <v>4.5</v>
      </c>
      <c r="C8083">
        <v>200</v>
      </c>
      <c r="D8083" s="9">
        <v>43340</v>
      </c>
      <c r="E8083" t="s">
        <v>296</v>
      </c>
      <c r="I8083" s="9"/>
    </row>
    <row r="8084" spans="1:9" x14ac:dyDescent="0.25">
      <c r="A8084">
        <v>687252</v>
      </c>
      <c r="B8084">
        <v>3.9830000000000001</v>
      </c>
      <c r="C8084">
        <v>200</v>
      </c>
      <c r="D8084" s="9">
        <v>43063</v>
      </c>
      <c r="E8084" t="s">
        <v>296</v>
      </c>
      <c r="I8084" s="9"/>
    </row>
    <row r="8085" spans="1:9" x14ac:dyDescent="0.25">
      <c r="A8085">
        <v>687252</v>
      </c>
      <c r="B8085">
        <v>4.4029999999999996</v>
      </c>
      <c r="C8085">
        <v>250</v>
      </c>
      <c r="D8085" s="9">
        <v>42401</v>
      </c>
      <c r="E8085" t="s">
        <v>297</v>
      </c>
      <c r="I8085" s="9"/>
    </row>
    <row r="8086" spans="1:9" x14ac:dyDescent="0.25">
      <c r="A8086">
        <v>687252</v>
      </c>
      <c r="B8086">
        <v>4.6349999999999998</v>
      </c>
      <c r="C8086">
        <v>600</v>
      </c>
      <c r="D8086" s="9">
        <v>41744</v>
      </c>
      <c r="E8086" t="s">
        <v>296</v>
      </c>
      <c r="I8086" s="9"/>
    </row>
    <row r="8087" spans="1:9" x14ac:dyDescent="0.25">
      <c r="A8087">
        <v>687252</v>
      </c>
      <c r="B8087">
        <v>4.5</v>
      </c>
      <c r="C8087">
        <v>600</v>
      </c>
      <c r="D8087" s="9">
        <v>41617</v>
      </c>
      <c r="E8087" t="s">
        <v>296</v>
      </c>
      <c r="I8087" s="9"/>
    </row>
    <row r="8088" spans="1:9" x14ac:dyDescent="0.25">
      <c r="A8088">
        <v>687252</v>
      </c>
      <c r="B8088">
        <v>4.5</v>
      </c>
      <c r="C8088">
        <v>50</v>
      </c>
      <c r="D8088" s="9">
        <v>41309</v>
      </c>
      <c r="E8088" t="s">
        <v>296</v>
      </c>
      <c r="I8088" s="9"/>
    </row>
    <row r="8089" spans="1:9" x14ac:dyDescent="0.25">
      <c r="A8089">
        <v>687260</v>
      </c>
      <c r="B8089">
        <v>6.5</v>
      </c>
      <c r="C8089">
        <v>500</v>
      </c>
      <c r="D8089" s="9">
        <v>43427</v>
      </c>
      <c r="E8089" t="s">
        <v>296</v>
      </c>
      <c r="I8089" s="9"/>
    </row>
    <row r="8090" spans="1:9" x14ac:dyDescent="0.25">
      <c r="A8090">
        <v>687260</v>
      </c>
      <c r="B8090">
        <v>6.1749999999999998</v>
      </c>
      <c r="C8090">
        <v>150</v>
      </c>
      <c r="D8090" s="9">
        <v>42860</v>
      </c>
      <c r="E8090" t="s">
        <v>297</v>
      </c>
      <c r="I8090" s="9"/>
    </row>
    <row r="8091" spans="1:9" x14ac:dyDescent="0.25">
      <c r="A8091">
        <v>687260</v>
      </c>
      <c r="B8091">
        <v>6.1749999999999998</v>
      </c>
      <c r="C8091">
        <v>150</v>
      </c>
      <c r="D8091" s="9">
        <v>42676</v>
      </c>
      <c r="E8091" t="s">
        <v>297</v>
      </c>
      <c r="I8091" s="9"/>
    </row>
    <row r="8092" spans="1:9" x14ac:dyDescent="0.25">
      <c r="A8092">
        <v>687260</v>
      </c>
      <c r="B8092">
        <v>6.1749999999999998</v>
      </c>
      <c r="C8092">
        <v>150</v>
      </c>
      <c r="D8092" s="9">
        <v>42401</v>
      </c>
      <c r="E8092" t="s">
        <v>297</v>
      </c>
      <c r="I8092" s="9"/>
    </row>
    <row r="8093" spans="1:9" x14ac:dyDescent="0.25">
      <c r="A8093">
        <v>687260</v>
      </c>
      <c r="B8093">
        <v>6.5</v>
      </c>
      <c r="C8093">
        <v>500</v>
      </c>
      <c r="D8093" s="9">
        <v>41617</v>
      </c>
      <c r="E8093" t="s">
        <v>296</v>
      </c>
      <c r="I8093" s="9"/>
    </row>
    <row r="8094" spans="1:9" x14ac:dyDescent="0.25">
      <c r="A8094">
        <v>687260</v>
      </c>
      <c r="B8094">
        <v>6.5</v>
      </c>
      <c r="C8094">
        <v>378</v>
      </c>
      <c r="D8094" s="9">
        <v>41456</v>
      </c>
      <c r="E8094" t="s">
        <v>296</v>
      </c>
      <c r="I8094" s="9"/>
    </row>
    <row r="8095" spans="1:9" x14ac:dyDescent="0.25">
      <c r="A8095">
        <v>688020</v>
      </c>
      <c r="B8095">
        <v>6.47</v>
      </c>
      <c r="C8095">
        <v>600</v>
      </c>
      <c r="D8095" s="9">
        <v>43879</v>
      </c>
      <c r="E8095" t="s">
        <v>295</v>
      </c>
      <c r="I8095" s="9"/>
    </row>
    <row r="8096" spans="1:9" x14ac:dyDescent="0.25">
      <c r="A8096">
        <v>688028</v>
      </c>
      <c r="B8096">
        <v>1.39</v>
      </c>
      <c r="C8096">
        <v>200</v>
      </c>
      <c r="D8096" s="9">
        <v>44102</v>
      </c>
      <c r="E8096" t="s">
        <v>296</v>
      </c>
      <c r="I8096" s="9"/>
    </row>
    <row r="8097" spans="1:9" x14ac:dyDescent="0.25">
      <c r="A8097">
        <v>690110</v>
      </c>
      <c r="B8097">
        <v>0.11</v>
      </c>
      <c r="C8097">
        <v>3000</v>
      </c>
      <c r="D8097" s="9">
        <v>42325</v>
      </c>
      <c r="E8097" t="s">
        <v>296</v>
      </c>
      <c r="I8097" s="9"/>
    </row>
    <row r="8098" spans="1:9" x14ac:dyDescent="0.25">
      <c r="A8098">
        <v>690400</v>
      </c>
      <c r="B8098">
        <v>0.755</v>
      </c>
      <c r="C8098">
        <v>180</v>
      </c>
      <c r="D8098" s="9">
        <v>44070</v>
      </c>
      <c r="E8098" t="s">
        <v>296</v>
      </c>
      <c r="I8098" s="9"/>
    </row>
    <row r="8099" spans="1:9" x14ac:dyDescent="0.25">
      <c r="A8099">
        <v>690400</v>
      </c>
      <c r="B8099">
        <v>0.63300000000000001</v>
      </c>
      <c r="C8099">
        <v>960</v>
      </c>
      <c r="D8099" s="9">
        <v>43244</v>
      </c>
      <c r="E8099" t="s">
        <v>296</v>
      </c>
      <c r="I8099" s="9"/>
    </row>
    <row r="8100" spans="1:9" x14ac:dyDescent="0.25">
      <c r="A8100">
        <v>690400</v>
      </c>
      <c r="B8100">
        <v>0.63600000000000001</v>
      </c>
      <c r="C8100">
        <v>960</v>
      </c>
      <c r="D8100" s="9">
        <v>42186</v>
      </c>
      <c r="E8100" t="s">
        <v>297</v>
      </c>
      <c r="I8100" s="9"/>
    </row>
    <row r="8101" spans="1:9" x14ac:dyDescent="0.25">
      <c r="A8101">
        <v>690400</v>
      </c>
      <c r="B8101">
        <v>0.67700000000000005</v>
      </c>
      <c r="C8101">
        <v>960</v>
      </c>
      <c r="D8101" s="9">
        <v>41617</v>
      </c>
      <c r="E8101" t="s">
        <v>296</v>
      </c>
      <c r="I8101" s="9"/>
    </row>
    <row r="8102" spans="1:9" x14ac:dyDescent="0.25">
      <c r="A8102">
        <v>690400</v>
      </c>
      <c r="B8102">
        <v>0.66400000000000003</v>
      </c>
      <c r="C8102">
        <v>960</v>
      </c>
      <c r="D8102" s="9">
        <v>41418</v>
      </c>
      <c r="E8102" t="s">
        <v>296</v>
      </c>
      <c r="I8102" s="9"/>
    </row>
    <row r="8103" spans="1:9" x14ac:dyDescent="0.25">
      <c r="A8103">
        <v>690600</v>
      </c>
      <c r="B8103">
        <v>0.92600000000000005</v>
      </c>
      <c r="C8103">
        <v>300</v>
      </c>
      <c r="D8103" s="9">
        <v>44070</v>
      </c>
      <c r="E8103" t="s">
        <v>296</v>
      </c>
      <c r="I8103" s="9"/>
    </row>
    <row r="8104" spans="1:9" x14ac:dyDescent="0.25">
      <c r="A8104">
        <v>690600</v>
      </c>
      <c r="B8104">
        <v>0.69</v>
      </c>
      <c r="C8104">
        <v>720</v>
      </c>
      <c r="D8104" s="9">
        <v>43244</v>
      </c>
      <c r="E8104" t="s">
        <v>296</v>
      </c>
      <c r="I8104" s="9"/>
    </row>
    <row r="8105" spans="1:9" x14ac:dyDescent="0.25">
      <c r="A8105">
        <v>690600</v>
      </c>
      <c r="B8105">
        <v>0.76700000000000002</v>
      </c>
      <c r="C8105">
        <v>720</v>
      </c>
      <c r="D8105" s="9">
        <v>42607</v>
      </c>
      <c r="E8105" t="s">
        <v>297</v>
      </c>
      <c r="I8105" s="9"/>
    </row>
    <row r="8106" spans="1:9" x14ac:dyDescent="0.25">
      <c r="A8106">
        <v>690600</v>
      </c>
      <c r="B8106">
        <v>0.76700000000000002</v>
      </c>
      <c r="C8106">
        <v>960</v>
      </c>
      <c r="D8106" s="9">
        <v>42186</v>
      </c>
      <c r="E8106" t="s">
        <v>297</v>
      </c>
      <c r="I8106" s="9"/>
    </row>
    <row r="8107" spans="1:9" x14ac:dyDescent="0.25">
      <c r="A8107">
        <v>690600</v>
      </c>
      <c r="B8107">
        <v>0.81599999999999995</v>
      </c>
      <c r="C8107">
        <v>1080</v>
      </c>
      <c r="D8107" s="9">
        <v>41786</v>
      </c>
      <c r="E8107" t="s">
        <v>296</v>
      </c>
      <c r="I8107" s="9"/>
    </row>
    <row r="8108" spans="1:9" x14ac:dyDescent="0.25">
      <c r="A8108">
        <v>690600</v>
      </c>
      <c r="B8108">
        <v>0.81599999999999995</v>
      </c>
      <c r="C8108">
        <v>960</v>
      </c>
      <c r="D8108" s="9">
        <v>41617</v>
      </c>
      <c r="E8108" t="s">
        <v>296</v>
      </c>
      <c r="I8108" s="9"/>
    </row>
    <row r="8109" spans="1:9" x14ac:dyDescent="0.25">
      <c r="A8109">
        <v>690600</v>
      </c>
      <c r="B8109">
        <v>0.81599999999999995</v>
      </c>
      <c r="C8109">
        <v>960</v>
      </c>
      <c r="D8109" s="9">
        <v>41418</v>
      </c>
      <c r="E8109" t="s">
        <v>296</v>
      </c>
      <c r="I8109" s="9"/>
    </row>
    <row r="8110" spans="1:9" x14ac:dyDescent="0.25">
      <c r="A8110">
        <v>690800</v>
      </c>
      <c r="B8110">
        <v>1.109</v>
      </c>
      <c r="C8110">
        <v>240</v>
      </c>
      <c r="D8110" s="9">
        <v>44070</v>
      </c>
      <c r="E8110" t="s">
        <v>296</v>
      </c>
      <c r="I8110" s="9"/>
    </row>
    <row r="8111" spans="1:9" x14ac:dyDescent="0.25">
      <c r="A8111">
        <v>690800</v>
      </c>
      <c r="B8111">
        <v>0.92</v>
      </c>
      <c r="C8111">
        <v>720</v>
      </c>
      <c r="D8111" s="9">
        <v>43244</v>
      </c>
      <c r="E8111" t="s">
        <v>296</v>
      </c>
      <c r="I8111" s="9"/>
    </row>
    <row r="8112" spans="1:9" x14ac:dyDescent="0.25">
      <c r="A8112">
        <v>690800</v>
      </c>
      <c r="B8112">
        <v>0.90300000000000002</v>
      </c>
      <c r="C8112">
        <v>720</v>
      </c>
      <c r="D8112" s="9">
        <v>42607</v>
      </c>
      <c r="E8112" t="s">
        <v>297</v>
      </c>
      <c r="I8112" s="9"/>
    </row>
    <row r="8113" spans="1:9" x14ac:dyDescent="0.25">
      <c r="A8113">
        <v>690800</v>
      </c>
      <c r="B8113">
        <v>0.90300000000000002</v>
      </c>
      <c r="C8113">
        <v>840</v>
      </c>
      <c r="D8113" s="9">
        <v>42186</v>
      </c>
      <c r="E8113" t="s">
        <v>297</v>
      </c>
      <c r="I8113" s="9"/>
    </row>
    <row r="8114" spans="1:9" x14ac:dyDescent="0.25">
      <c r="A8114">
        <v>690800</v>
      </c>
      <c r="B8114">
        <v>0.96099999999999997</v>
      </c>
      <c r="C8114">
        <v>960</v>
      </c>
      <c r="D8114" s="9">
        <v>41617</v>
      </c>
      <c r="E8114" t="s">
        <v>296</v>
      </c>
      <c r="I8114" s="9"/>
    </row>
    <row r="8115" spans="1:9" x14ac:dyDescent="0.25">
      <c r="A8115">
        <v>692021</v>
      </c>
      <c r="B8115">
        <v>17.98</v>
      </c>
      <c r="C8115">
        <v>5</v>
      </c>
      <c r="D8115" s="9">
        <v>43062</v>
      </c>
      <c r="E8115" t="s">
        <v>295</v>
      </c>
      <c r="I8115" s="9"/>
    </row>
    <row r="8116" spans="1:9" x14ac:dyDescent="0.25">
      <c r="A8116">
        <v>692021</v>
      </c>
      <c r="B8116">
        <v>17.98</v>
      </c>
      <c r="C8116">
        <v>10</v>
      </c>
      <c r="D8116" s="9">
        <v>43053</v>
      </c>
      <c r="E8116" t="s">
        <v>295</v>
      </c>
      <c r="I8116" s="9"/>
    </row>
    <row r="8117" spans="1:9" x14ac:dyDescent="0.25">
      <c r="A8117">
        <v>692021</v>
      </c>
      <c r="B8117">
        <v>14.88</v>
      </c>
      <c r="C8117">
        <v>5</v>
      </c>
      <c r="D8117" s="9">
        <v>41802</v>
      </c>
      <c r="E8117" t="s">
        <v>295</v>
      </c>
      <c r="I8117" s="9"/>
    </row>
    <row r="8118" spans="1:9" x14ac:dyDescent="0.25">
      <c r="A8118">
        <v>692022</v>
      </c>
      <c r="B8118">
        <v>27.9</v>
      </c>
      <c r="C8118">
        <v>5</v>
      </c>
      <c r="D8118" s="9">
        <v>43062</v>
      </c>
      <c r="E8118" t="s">
        <v>295</v>
      </c>
      <c r="I8118" s="9"/>
    </row>
    <row r="8119" spans="1:9" x14ac:dyDescent="0.25">
      <c r="A8119">
        <v>692022</v>
      </c>
      <c r="B8119">
        <v>27.9</v>
      </c>
      <c r="C8119">
        <v>5</v>
      </c>
      <c r="D8119" s="9">
        <v>43062</v>
      </c>
      <c r="E8119" t="s">
        <v>295</v>
      </c>
      <c r="I8119" s="9"/>
    </row>
    <row r="8120" spans="1:9" x14ac:dyDescent="0.25">
      <c r="A8120">
        <v>692022</v>
      </c>
      <c r="B8120">
        <v>27.9</v>
      </c>
      <c r="C8120">
        <v>10</v>
      </c>
      <c r="D8120" s="9">
        <v>43053</v>
      </c>
      <c r="E8120" t="s">
        <v>295</v>
      </c>
      <c r="I8120" s="9"/>
    </row>
    <row r="8121" spans="1:9" x14ac:dyDescent="0.25">
      <c r="A8121">
        <v>692022</v>
      </c>
      <c r="B8121">
        <v>25.42</v>
      </c>
      <c r="C8121">
        <v>5</v>
      </c>
      <c r="D8121" s="9">
        <v>41802</v>
      </c>
      <c r="E8121" t="s">
        <v>295</v>
      </c>
      <c r="I8121" s="9"/>
    </row>
    <row r="8122" spans="1:9" x14ac:dyDescent="0.25">
      <c r="A8122">
        <v>692023</v>
      </c>
      <c r="B8122">
        <v>34.1</v>
      </c>
      <c r="C8122">
        <v>10</v>
      </c>
      <c r="D8122" s="9">
        <v>43053</v>
      </c>
      <c r="E8122" t="s">
        <v>295</v>
      </c>
      <c r="I8122" s="9"/>
    </row>
    <row r="8123" spans="1:9" x14ac:dyDescent="0.25">
      <c r="A8123">
        <v>692023</v>
      </c>
      <c r="B8123">
        <v>31</v>
      </c>
      <c r="C8123">
        <v>5</v>
      </c>
      <c r="D8123" s="9">
        <v>41802</v>
      </c>
      <c r="E8123" t="s">
        <v>295</v>
      </c>
      <c r="I8123" s="9"/>
    </row>
    <row r="8124" spans="1:9" x14ac:dyDescent="0.25">
      <c r="A8124">
        <v>692024</v>
      </c>
      <c r="B8124">
        <v>39.68</v>
      </c>
      <c r="C8124">
        <v>10</v>
      </c>
      <c r="D8124" s="9">
        <v>43053</v>
      </c>
      <c r="E8124" t="s">
        <v>295</v>
      </c>
      <c r="I8124" s="9"/>
    </row>
    <row r="8125" spans="1:9" x14ac:dyDescent="0.25">
      <c r="A8125">
        <v>692025</v>
      </c>
      <c r="B8125">
        <v>49.6</v>
      </c>
      <c r="C8125">
        <v>10</v>
      </c>
      <c r="D8125" s="9">
        <v>43053</v>
      </c>
      <c r="E8125" t="s">
        <v>295</v>
      </c>
      <c r="I8125" s="9"/>
    </row>
    <row r="8126" spans="1:9" x14ac:dyDescent="0.25">
      <c r="A8126">
        <v>692031</v>
      </c>
      <c r="B8126">
        <v>20.46</v>
      </c>
      <c r="C8126">
        <v>10</v>
      </c>
      <c r="D8126" s="9">
        <v>43053</v>
      </c>
      <c r="E8126" t="s">
        <v>295</v>
      </c>
      <c r="I8126" s="9"/>
    </row>
    <row r="8127" spans="1:9" x14ac:dyDescent="0.25">
      <c r="A8127">
        <v>692032</v>
      </c>
      <c r="B8127">
        <v>31</v>
      </c>
      <c r="C8127">
        <v>10</v>
      </c>
      <c r="D8127" s="9">
        <v>43053</v>
      </c>
      <c r="E8127" t="s">
        <v>295</v>
      </c>
      <c r="I8127" s="9"/>
    </row>
    <row r="8128" spans="1:9" x14ac:dyDescent="0.25">
      <c r="A8128">
        <v>692033</v>
      </c>
      <c r="B8128">
        <v>36.58</v>
      </c>
      <c r="C8128">
        <v>10</v>
      </c>
      <c r="D8128" s="9">
        <v>43053</v>
      </c>
      <c r="E8128" t="s">
        <v>295</v>
      </c>
      <c r="I8128" s="9"/>
    </row>
    <row r="8129" spans="1:9" x14ac:dyDescent="0.25">
      <c r="A8129">
        <v>692033</v>
      </c>
      <c r="B8129">
        <v>33.479999999999997</v>
      </c>
      <c r="C8129">
        <v>5</v>
      </c>
      <c r="D8129" s="9">
        <v>41802</v>
      </c>
      <c r="E8129" t="s">
        <v>295</v>
      </c>
      <c r="I8129" s="9"/>
    </row>
    <row r="8130" spans="1:9" x14ac:dyDescent="0.25">
      <c r="A8130">
        <v>692034</v>
      </c>
      <c r="B8130">
        <v>42.78</v>
      </c>
      <c r="C8130">
        <v>10</v>
      </c>
      <c r="D8130" s="9">
        <v>43053</v>
      </c>
      <c r="E8130" t="s">
        <v>295</v>
      </c>
      <c r="I8130" s="9"/>
    </row>
    <row r="8131" spans="1:9" x14ac:dyDescent="0.25">
      <c r="A8131">
        <v>692034</v>
      </c>
      <c r="B8131">
        <v>39.06</v>
      </c>
      <c r="C8131">
        <v>5</v>
      </c>
      <c r="D8131" s="9">
        <v>41802</v>
      </c>
      <c r="E8131" t="s">
        <v>295</v>
      </c>
      <c r="I8131" s="9"/>
    </row>
    <row r="8132" spans="1:9" x14ac:dyDescent="0.25">
      <c r="A8132">
        <v>692035</v>
      </c>
      <c r="B8132">
        <v>52.7</v>
      </c>
      <c r="C8132">
        <v>10</v>
      </c>
      <c r="D8132" s="9">
        <v>43053</v>
      </c>
      <c r="E8132" t="s">
        <v>295</v>
      </c>
      <c r="I8132" s="9"/>
    </row>
    <row r="8133" spans="1:9" x14ac:dyDescent="0.25">
      <c r="A8133">
        <v>692035</v>
      </c>
      <c r="B8133">
        <v>47.12</v>
      </c>
      <c r="C8133">
        <v>5</v>
      </c>
      <c r="D8133" s="9">
        <v>41802</v>
      </c>
      <c r="E8133" t="s">
        <v>295</v>
      </c>
      <c r="I8133" s="9"/>
    </row>
    <row r="8134" spans="1:9" x14ac:dyDescent="0.25">
      <c r="A8134">
        <v>692061</v>
      </c>
      <c r="B8134">
        <v>49.6</v>
      </c>
      <c r="C8134">
        <v>10</v>
      </c>
      <c r="D8134" s="9">
        <v>43053</v>
      </c>
      <c r="E8134" t="s">
        <v>295</v>
      </c>
      <c r="I8134" s="9"/>
    </row>
    <row r="8135" spans="1:9" x14ac:dyDescent="0.25">
      <c r="A8135">
        <v>692062</v>
      </c>
      <c r="B8135">
        <v>55.8</v>
      </c>
      <c r="C8135">
        <v>10</v>
      </c>
      <c r="D8135" s="9">
        <v>43053</v>
      </c>
      <c r="E8135" t="s">
        <v>295</v>
      </c>
      <c r="I8135" s="9"/>
    </row>
    <row r="8136" spans="1:9" x14ac:dyDescent="0.25">
      <c r="A8136">
        <v>692062</v>
      </c>
      <c r="B8136">
        <v>45.26</v>
      </c>
      <c r="C8136">
        <v>5</v>
      </c>
      <c r="D8136" s="9">
        <v>41802</v>
      </c>
      <c r="E8136" t="s">
        <v>295</v>
      </c>
      <c r="I8136" s="9"/>
    </row>
    <row r="8137" spans="1:9" x14ac:dyDescent="0.25">
      <c r="A8137">
        <v>692063</v>
      </c>
      <c r="B8137">
        <v>61.38</v>
      </c>
      <c r="C8137">
        <v>10</v>
      </c>
      <c r="D8137" s="9">
        <v>43053</v>
      </c>
      <c r="E8137" t="s">
        <v>295</v>
      </c>
      <c r="I8137" s="9"/>
    </row>
    <row r="8138" spans="1:9" x14ac:dyDescent="0.25">
      <c r="A8138">
        <v>692063</v>
      </c>
      <c r="B8138">
        <v>51.46</v>
      </c>
      <c r="C8138">
        <v>5</v>
      </c>
      <c r="D8138" s="9">
        <v>41802</v>
      </c>
      <c r="E8138" t="s">
        <v>295</v>
      </c>
      <c r="I8138" s="9"/>
    </row>
    <row r="8139" spans="1:9" x14ac:dyDescent="0.25">
      <c r="A8139">
        <v>700022</v>
      </c>
      <c r="B8139">
        <v>0.19800000000000001</v>
      </c>
      <c r="C8139">
        <v>2880</v>
      </c>
      <c r="D8139" s="9">
        <v>41435</v>
      </c>
      <c r="E8139" t="s">
        <v>296</v>
      </c>
      <c r="I8139" s="9"/>
    </row>
    <row r="8140" spans="1:9" x14ac:dyDescent="0.25">
      <c r="A8140">
        <v>700024</v>
      </c>
      <c r="B8140">
        <v>0.255</v>
      </c>
      <c r="C8140">
        <v>3840</v>
      </c>
      <c r="D8140" s="9">
        <v>44113</v>
      </c>
      <c r="E8140" t="s">
        <v>296</v>
      </c>
      <c r="I8140" s="9"/>
    </row>
    <row r="8141" spans="1:9" x14ac:dyDescent="0.25">
      <c r="A8141">
        <v>700024</v>
      </c>
      <c r="B8141">
        <v>0.255</v>
      </c>
      <c r="C8141">
        <v>3840</v>
      </c>
      <c r="D8141" s="9">
        <v>44068</v>
      </c>
      <c r="E8141" t="s">
        <v>296</v>
      </c>
      <c r="I8141" s="9"/>
    </row>
    <row r="8142" spans="1:9" x14ac:dyDescent="0.25">
      <c r="A8142">
        <v>700024</v>
      </c>
      <c r="B8142">
        <v>0.255</v>
      </c>
      <c r="C8142">
        <v>4800</v>
      </c>
      <c r="D8142" s="9">
        <v>43843</v>
      </c>
      <c r="E8142" t="s">
        <v>296</v>
      </c>
      <c r="I8142" s="9"/>
    </row>
    <row r="8143" spans="1:9" x14ac:dyDescent="0.25">
      <c r="A8143">
        <v>700024</v>
      </c>
      <c r="B8143">
        <v>0.255</v>
      </c>
      <c r="C8143">
        <v>3000</v>
      </c>
      <c r="D8143" s="9">
        <v>43843</v>
      </c>
      <c r="E8143" t="s">
        <v>296</v>
      </c>
      <c r="I8143" s="9"/>
    </row>
    <row r="8144" spans="1:9" x14ac:dyDescent="0.25">
      <c r="A8144">
        <v>700024</v>
      </c>
      <c r="B8144">
        <v>0.255</v>
      </c>
      <c r="C8144">
        <v>4800</v>
      </c>
      <c r="D8144" s="9">
        <v>43612</v>
      </c>
      <c r="E8144" t="s">
        <v>296</v>
      </c>
      <c r="I8144" s="9"/>
    </row>
    <row r="8145" spans="1:9" x14ac:dyDescent="0.25">
      <c r="A8145">
        <v>700024</v>
      </c>
      <c r="B8145">
        <v>1.0900000000000001</v>
      </c>
      <c r="C8145">
        <v>4800</v>
      </c>
      <c r="D8145" s="9">
        <v>43474</v>
      </c>
      <c r="E8145" t="s">
        <v>295</v>
      </c>
      <c r="I8145" s="9"/>
    </row>
    <row r="8146" spans="1:9" x14ac:dyDescent="0.25">
      <c r="A8146">
        <v>700024</v>
      </c>
      <c r="B8146">
        <v>0.255</v>
      </c>
      <c r="C8146">
        <v>4800</v>
      </c>
      <c r="D8146" s="9">
        <v>43403</v>
      </c>
      <c r="E8146" t="s">
        <v>296</v>
      </c>
      <c r="I8146" s="9"/>
    </row>
    <row r="8147" spans="1:9" x14ac:dyDescent="0.25">
      <c r="A8147">
        <v>700024</v>
      </c>
      <c r="B8147">
        <v>0.96</v>
      </c>
      <c r="C8147">
        <v>3000</v>
      </c>
      <c r="D8147" s="9">
        <v>43340</v>
      </c>
      <c r="E8147" t="s">
        <v>295</v>
      </c>
      <c r="I8147" s="9"/>
    </row>
    <row r="8148" spans="1:9" x14ac:dyDescent="0.25">
      <c r="A8148">
        <v>700024</v>
      </c>
      <c r="B8148">
        <v>0.255</v>
      </c>
      <c r="C8148">
        <v>3000</v>
      </c>
      <c r="D8148" s="9">
        <v>43299</v>
      </c>
      <c r="E8148" t="s">
        <v>296</v>
      </c>
      <c r="I8148" s="9"/>
    </row>
    <row r="8149" spans="1:9" x14ac:dyDescent="0.25">
      <c r="A8149">
        <v>700024</v>
      </c>
      <c r="B8149">
        <v>0.255</v>
      </c>
      <c r="C8149">
        <v>3000</v>
      </c>
      <c r="D8149" s="9">
        <v>43136</v>
      </c>
      <c r="E8149" t="s">
        <v>296</v>
      </c>
      <c r="I8149" s="9"/>
    </row>
    <row r="8150" spans="1:9" x14ac:dyDescent="0.25">
      <c r="A8150">
        <v>700024</v>
      </c>
      <c r="B8150">
        <v>0.87</v>
      </c>
      <c r="C8150">
        <v>3000</v>
      </c>
      <c r="D8150" s="9">
        <v>43136</v>
      </c>
      <c r="E8150" t="s">
        <v>295</v>
      </c>
      <c r="I8150" s="9"/>
    </row>
    <row r="8151" spans="1:9" x14ac:dyDescent="0.25">
      <c r="A8151">
        <v>700024</v>
      </c>
      <c r="B8151">
        <v>0.255</v>
      </c>
      <c r="C8151">
        <v>3000</v>
      </c>
      <c r="D8151" s="9">
        <v>43054</v>
      </c>
      <c r="E8151" t="s">
        <v>296</v>
      </c>
      <c r="I8151" s="9"/>
    </row>
    <row r="8152" spans="1:9" x14ac:dyDescent="0.25">
      <c r="A8152">
        <v>700024</v>
      </c>
      <c r="B8152">
        <v>0.32</v>
      </c>
      <c r="C8152">
        <v>360</v>
      </c>
      <c r="D8152" s="9">
        <v>42950</v>
      </c>
      <c r="E8152" t="s">
        <v>297</v>
      </c>
      <c r="I8152" s="9"/>
    </row>
    <row r="8153" spans="1:9" x14ac:dyDescent="0.25">
      <c r="A8153">
        <v>700024</v>
      </c>
      <c r="B8153">
        <v>0.255</v>
      </c>
      <c r="C8153">
        <v>3000</v>
      </c>
      <c r="D8153" s="9">
        <v>42877</v>
      </c>
      <c r="E8153" t="s">
        <v>296</v>
      </c>
      <c r="I8153" s="9"/>
    </row>
    <row r="8154" spans="1:9" x14ac:dyDescent="0.25">
      <c r="A8154">
        <v>700024</v>
      </c>
      <c r="B8154">
        <v>0.255</v>
      </c>
      <c r="C8154">
        <v>3000</v>
      </c>
      <c r="D8154" s="9">
        <v>42508</v>
      </c>
      <c r="E8154" t="s">
        <v>296</v>
      </c>
      <c r="I8154" s="9"/>
    </row>
    <row r="8155" spans="1:9" x14ac:dyDescent="0.25">
      <c r="A8155">
        <v>700024</v>
      </c>
      <c r="B8155">
        <v>0.99</v>
      </c>
      <c r="C8155">
        <v>1560</v>
      </c>
      <c r="D8155" s="9">
        <v>42508</v>
      </c>
      <c r="E8155" t="s">
        <v>295</v>
      </c>
      <c r="I8155" s="9"/>
    </row>
    <row r="8156" spans="1:9" x14ac:dyDescent="0.25">
      <c r="A8156">
        <v>700024</v>
      </c>
      <c r="B8156">
        <v>0.26</v>
      </c>
      <c r="C8156">
        <v>3000</v>
      </c>
      <c r="D8156" s="9">
        <v>42271</v>
      </c>
      <c r="E8156" t="s">
        <v>296</v>
      </c>
      <c r="I8156" s="9"/>
    </row>
    <row r="8157" spans="1:9" x14ac:dyDescent="0.25">
      <c r="A8157">
        <v>700024</v>
      </c>
      <c r="B8157">
        <v>0.26</v>
      </c>
      <c r="C8157">
        <v>6000</v>
      </c>
      <c r="D8157" s="9">
        <v>41870</v>
      </c>
      <c r="E8157" t="s">
        <v>296</v>
      </c>
      <c r="I8157" s="9"/>
    </row>
    <row r="8158" spans="1:9" x14ac:dyDescent="0.25">
      <c r="A8158">
        <v>700024</v>
      </c>
      <c r="B8158">
        <v>0.26</v>
      </c>
      <c r="C8158">
        <v>3600</v>
      </c>
      <c r="D8158" s="9">
        <v>41782</v>
      </c>
      <c r="E8158" t="s">
        <v>296</v>
      </c>
      <c r="I8158" s="9"/>
    </row>
    <row r="8159" spans="1:9" x14ac:dyDescent="0.25">
      <c r="A8159">
        <v>700024</v>
      </c>
      <c r="B8159">
        <v>0.26</v>
      </c>
      <c r="C8159">
        <v>2400</v>
      </c>
      <c r="D8159" s="9">
        <v>41647</v>
      </c>
      <c r="E8159" t="s">
        <v>296</v>
      </c>
      <c r="I8159" s="9"/>
    </row>
    <row r="8160" spans="1:9" x14ac:dyDescent="0.25">
      <c r="A8160">
        <v>700025</v>
      </c>
      <c r="B8160">
        <v>0.85</v>
      </c>
      <c r="C8160">
        <v>600</v>
      </c>
      <c r="D8160" s="9">
        <v>44102</v>
      </c>
      <c r="E8160" t="s">
        <v>296</v>
      </c>
      <c r="I8160" s="9"/>
    </row>
    <row r="8161" spans="1:9" x14ac:dyDescent="0.25">
      <c r="A8161">
        <v>700041</v>
      </c>
      <c r="B8161">
        <v>0.33600000000000002</v>
      </c>
      <c r="C8161">
        <v>1080</v>
      </c>
      <c r="D8161" s="9">
        <v>43972</v>
      </c>
      <c r="E8161" t="s">
        <v>296</v>
      </c>
      <c r="I8161" s="9"/>
    </row>
    <row r="8162" spans="1:9" x14ac:dyDescent="0.25">
      <c r="A8162">
        <v>700041</v>
      </c>
      <c r="B8162">
        <v>0.33600000000000002</v>
      </c>
      <c r="C8162">
        <v>1440</v>
      </c>
      <c r="D8162" s="9">
        <v>43784</v>
      </c>
      <c r="E8162" t="s">
        <v>296</v>
      </c>
      <c r="I8162" s="9"/>
    </row>
    <row r="8163" spans="1:9" x14ac:dyDescent="0.25">
      <c r="A8163">
        <v>700041</v>
      </c>
      <c r="B8163">
        <v>0.33</v>
      </c>
      <c r="C8163">
        <v>1920</v>
      </c>
      <c r="D8163" s="9">
        <v>43452</v>
      </c>
      <c r="E8163" t="s">
        <v>296</v>
      </c>
      <c r="I8163" s="9"/>
    </row>
    <row r="8164" spans="1:9" x14ac:dyDescent="0.25">
      <c r="A8164">
        <v>700041</v>
      </c>
      <c r="B8164">
        <v>0.35399999999999998</v>
      </c>
      <c r="C8164">
        <v>1920</v>
      </c>
      <c r="D8164" s="9">
        <v>42976</v>
      </c>
      <c r="E8164" t="s">
        <v>296</v>
      </c>
      <c r="I8164" s="9"/>
    </row>
    <row r="8165" spans="1:9" x14ac:dyDescent="0.25">
      <c r="A8165">
        <v>700041</v>
      </c>
      <c r="B8165">
        <v>1.38</v>
      </c>
      <c r="C8165">
        <v>960</v>
      </c>
      <c r="D8165" s="9">
        <v>42508</v>
      </c>
      <c r="E8165" t="s">
        <v>295</v>
      </c>
      <c r="I8165" s="9"/>
    </row>
    <row r="8166" spans="1:9" x14ac:dyDescent="0.25">
      <c r="A8166">
        <v>700041</v>
      </c>
      <c r="B8166">
        <v>0.35399999999999998</v>
      </c>
      <c r="C8166">
        <v>1920</v>
      </c>
      <c r="D8166" s="9">
        <v>42508</v>
      </c>
      <c r="E8166" t="s">
        <v>296</v>
      </c>
      <c r="I8166" s="9"/>
    </row>
    <row r="8167" spans="1:9" x14ac:dyDescent="0.25">
      <c r="A8167">
        <v>700041</v>
      </c>
      <c r="B8167">
        <v>0.33300000000000002</v>
      </c>
      <c r="C8167">
        <v>1920</v>
      </c>
      <c r="D8167" s="9">
        <v>42271</v>
      </c>
      <c r="E8167" t="s">
        <v>296</v>
      </c>
      <c r="I8167" s="9"/>
    </row>
    <row r="8168" spans="1:9" x14ac:dyDescent="0.25">
      <c r="A8168">
        <v>700041</v>
      </c>
      <c r="B8168">
        <v>0.3</v>
      </c>
      <c r="C8168">
        <v>1920</v>
      </c>
      <c r="D8168" s="9">
        <v>41435</v>
      </c>
      <c r="E8168" t="s">
        <v>296</v>
      </c>
      <c r="I8168" s="9"/>
    </row>
    <row r="8169" spans="1:9" x14ac:dyDescent="0.25">
      <c r="A8169">
        <v>700041</v>
      </c>
      <c r="B8169">
        <v>0.3</v>
      </c>
      <c r="C8169">
        <v>1440</v>
      </c>
      <c r="D8169" s="9">
        <v>41295</v>
      </c>
      <c r="E8169" t="s">
        <v>296</v>
      </c>
      <c r="I8169" s="9"/>
    </row>
    <row r="8170" spans="1:9" x14ac:dyDescent="0.25">
      <c r="A8170">
        <v>700042</v>
      </c>
      <c r="B8170">
        <v>0.373</v>
      </c>
      <c r="C8170">
        <v>1440</v>
      </c>
      <c r="D8170" s="9">
        <v>43972</v>
      </c>
      <c r="E8170" t="s">
        <v>296</v>
      </c>
      <c r="I8170" s="9"/>
    </row>
    <row r="8171" spans="1:9" x14ac:dyDescent="0.25">
      <c r="A8171">
        <v>700042</v>
      </c>
      <c r="B8171">
        <v>0.373</v>
      </c>
      <c r="C8171">
        <v>840</v>
      </c>
      <c r="D8171" s="9">
        <v>43972</v>
      </c>
      <c r="E8171" t="s">
        <v>296</v>
      </c>
      <c r="I8171" s="9"/>
    </row>
    <row r="8172" spans="1:9" x14ac:dyDescent="0.25">
      <c r="A8172">
        <v>700042</v>
      </c>
      <c r="B8172">
        <v>0.373</v>
      </c>
      <c r="C8172">
        <v>1680</v>
      </c>
      <c r="D8172" s="9">
        <v>43612</v>
      </c>
      <c r="E8172" t="s">
        <v>296</v>
      </c>
      <c r="I8172" s="9"/>
    </row>
    <row r="8173" spans="1:9" x14ac:dyDescent="0.25">
      <c r="A8173">
        <v>700042</v>
      </c>
      <c r="B8173">
        <v>1.2</v>
      </c>
      <c r="C8173">
        <v>1920</v>
      </c>
      <c r="D8173" s="9">
        <v>43136</v>
      </c>
      <c r="E8173" t="s">
        <v>295</v>
      </c>
      <c r="I8173" s="9"/>
    </row>
    <row r="8174" spans="1:9" x14ac:dyDescent="0.25">
      <c r="A8174">
        <v>700042</v>
      </c>
      <c r="B8174">
        <v>0.35399999999999998</v>
      </c>
      <c r="C8174">
        <v>1920</v>
      </c>
      <c r="D8174" s="9">
        <v>43136</v>
      </c>
      <c r="E8174" t="s">
        <v>296</v>
      </c>
      <c r="I8174" s="9"/>
    </row>
    <row r="8175" spans="1:9" x14ac:dyDescent="0.25">
      <c r="A8175">
        <v>700042</v>
      </c>
      <c r="B8175">
        <v>0.35299999999999998</v>
      </c>
      <c r="C8175">
        <v>1920</v>
      </c>
      <c r="D8175" s="9">
        <v>42877</v>
      </c>
      <c r="E8175" t="s">
        <v>296</v>
      </c>
      <c r="I8175" s="9"/>
    </row>
    <row r="8176" spans="1:9" x14ac:dyDescent="0.25">
      <c r="A8176">
        <v>700042</v>
      </c>
      <c r="B8176">
        <v>0.33300000000000002</v>
      </c>
      <c r="C8176">
        <v>1920</v>
      </c>
      <c r="D8176" s="9">
        <v>42271</v>
      </c>
      <c r="E8176" t="s">
        <v>296</v>
      </c>
      <c r="I8176" s="9"/>
    </row>
    <row r="8177" spans="1:9" x14ac:dyDescent="0.25">
      <c r="A8177">
        <v>700042</v>
      </c>
      <c r="B8177">
        <v>0.3</v>
      </c>
      <c r="C8177">
        <v>1920</v>
      </c>
      <c r="D8177" s="9">
        <v>41435</v>
      </c>
      <c r="E8177" t="s">
        <v>296</v>
      </c>
      <c r="I8177" s="9"/>
    </row>
    <row r="8178" spans="1:9" x14ac:dyDescent="0.25">
      <c r="A8178">
        <v>700042</v>
      </c>
      <c r="B8178">
        <v>0.3</v>
      </c>
      <c r="C8178">
        <v>1440</v>
      </c>
      <c r="D8178" s="9">
        <v>41295</v>
      </c>
      <c r="E8178" t="s">
        <v>296</v>
      </c>
      <c r="I8178" s="9"/>
    </row>
    <row r="8179" spans="1:9" x14ac:dyDescent="0.25">
      <c r="A8179">
        <v>700080</v>
      </c>
      <c r="B8179">
        <v>0.43</v>
      </c>
      <c r="C8179">
        <v>800</v>
      </c>
      <c r="D8179" s="9">
        <v>43972</v>
      </c>
      <c r="E8179" t="s">
        <v>296</v>
      </c>
      <c r="I8179" s="9"/>
    </row>
    <row r="8180" spans="1:9" x14ac:dyDescent="0.25">
      <c r="A8180">
        <v>700080</v>
      </c>
      <c r="B8180">
        <v>0.43</v>
      </c>
      <c r="C8180">
        <v>1400</v>
      </c>
      <c r="D8180" s="9">
        <v>43784</v>
      </c>
      <c r="E8180" t="s">
        <v>296</v>
      </c>
      <c r="I8180" s="9"/>
    </row>
    <row r="8181" spans="1:9" x14ac:dyDescent="0.25">
      <c r="A8181">
        <v>700080</v>
      </c>
      <c r="B8181">
        <v>0.43</v>
      </c>
      <c r="C8181">
        <v>1200</v>
      </c>
      <c r="D8181" s="9">
        <v>43612</v>
      </c>
      <c r="E8181" t="s">
        <v>296</v>
      </c>
      <c r="I8181" s="9"/>
    </row>
    <row r="8182" spans="1:9" x14ac:dyDescent="0.25">
      <c r="A8182">
        <v>700080</v>
      </c>
      <c r="B8182">
        <v>1.63</v>
      </c>
      <c r="C8182">
        <v>1200</v>
      </c>
      <c r="D8182" s="9">
        <v>43340</v>
      </c>
      <c r="E8182" t="s">
        <v>295</v>
      </c>
      <c r="I8182" s="9"/>
    </row>
    <row r="8183" spans="1:9" x14ac:dyDescent="0.25">
      <c r="A8183">
        <v>700080</v>
      </c>
      <c r="B8183">
        <v>0.43</v>
      </c>
      <c r="C8183">
        <v>1200</v>
      </c>
      <c r="D8183" s="9">
        <v>43299</v>
      </c>
      <c r="E8183" t="s">
        <v>296</v>
      </c>
      <c r="I8183" s="9"/>
    </row>
    <row r="8184" spans="1:9" x14ac:dyDescent="0.25">
      <c r="A8184">
        <v>700080</v>
      </c>
      <c r="B8184">
        <v>0.39200000000000002</v>
      </c>
      <c r="C8184">
        <v>1600</v>
      </c>
      <c r="D8184" s="9">
        <v>42976</v>
      </c>
      <c r="E8184" t="s">
        <v>296</v>
      </c>
      <c r="I8184" s="9"/>
    </row>
    <row r="8185" spans="1:9" x14ac:dyDescent="0.25">
      <c r="A8185">
        <v>700080</v>
      </c>
      <c r="B8185">
        <v>0.39200000000000002</v>
      </c>
      <c r="C8185">
        <v>1600</v>
      </c>
      <c r="D8185" s="9">
        <v>42641</v>
      </c>
      <c r="E8185" t="s">
        <v>296</v>
      </c>
      <c r="I8185" s="9"/>
    </row>
    <row r="8186" spans="1:9" x14ac:dyDescent="0.25">
      <c r="A8186">
        <v>700080</v>
      </c>
      <c r="B8186">
        <v>0.39200000000000002</v>
      </c>
      <c r="C8186">
        <v>1600</v>
      </c>
      <c r="D8186" s="9">
        <v>42641</v>
      </c>
      <c r="E8186" t="s">
        <v>296</v>
      </c>
      <c r="I8186" s="9"/>
    </row>
    <row r="8187" spans="1:9" x14ac:dyDescent="0.25">
      <c r="A8187">
        <v>700080</v>
      </c>
      <c r="B8187">
        <v>0.39200000000000002</v>
      </c>
      <c r="C8187">
        <v>1600</v>
      </c>
      <c r="D8187" s="9">
        <v>42271</v>
      </c>
      <c r="E8187" t="s">
        <v>296</v>
      </c>
      <c r="I8187" s="9"/>
    </row>
    <row r="8188" spans="1:9" x14ac:dyDescent="0.25">
      <c r="A8188">
        <v>700080</v>
      </c>
      <c r="B8188">
        <v>0.39200000000000002</v>
      </c>
      <c r="C8188">
        <v>1600</v>
      </c>
      <c r="D8188" s="9">
        <v>41983</v>
      </c>
      <c r="E8188" t="s">
        <v>296</v>
      </c>
      <c r="I8188" s="9"/>
    </row>
    <row r="8189" spans="1:9" x14ac:dyDescent="0.25">
      <c r="A8189">
        <v>700080</v>
      </c>
      <c r="B8189">
        <v>0.36899999999999999</v>
      </c>
      <c r="C8189">
        <v>1000</v>
      </c>
      <c r="D8189" s="9">
        <v>41418</v>
      </c>
      <c r="E8189" t="s">
        <v>296</v>
      </c>
      <c r="I8189" s="9"/>
    </row>
    <row r="8190" spans="1:9" x14ac:dyDescent="0.25">
      <c r="A8190">
        <v>700080</v>
      </c>
      <c r="B8190">
        <v>0.38</v>
      </c>
      <c r="C8190">
        <v>1600</v>
      </c>
      <c r="D8190" s="9">
        <v>41418</v>
      </c>
      <c r="E8190" t="s">
        <v>296</v>
      </c>
      <c r="I8190" s="9"/>
    </row>
    <row r="8191" spans="1:9" x14ac:dyDescent="0.25">
      <c r="A8191">
        <v>700090</v>
      </c>
      <c r="B8191">
        <v>0.58099999999999996</v>
      </c>
      <c r="C8191">
        <v>1200</v>
      </c>
      <c r="D8191" s="9">
        <v>44070</v>
      </c>
      <c r="E8191" t="s">
        <v>296</v>
      </c>
      <c r="I8191" s="9"/>
    </row>
    <row r="8192" spans="1:9" x14ac:dyDescent="0.25">
      <c r="A8192">
        <v>700090</v>
      </c>
      <c r="B8192">
        <v>0.58499999999999996</v>
      </c>
      <c r="C8192">
        <v>1008</v>
      </c>
      <c r="D8192" s="9">
        <v>43612</v>
      </c>
      <c r="E8192" t="s">
        <v>296</v>
      </c>
      <c r="I8192" s="9"/>
    </row>
    <row r="8193" spans="1:9" x14ac:dyDescent="0.25">
      <c r="A8193">
        <v>700090</v>
      </c>
      <c r="B8193">
        <v>2.21</v>
      </c>
      <c r="C8193">
        <v>1152</v>
      </c>
      <c r="D8193" s="9">
        <v>43340</v>
      </c>
      <c r="E8193" t="s">
        <v>295</v>
      </c>
      <c r="I8193" s="9"/>
    </row>
    <row r="8194" spans="1:9" x14ac:dyDescent="0.25">
      <c r="A8194">
        <v>700090</v>
      </c>
      <c r="B8194">
        <v>0.58499999999999996</v>
      </c>
      <c r="C8194">
        <v>1152</v>
      </c>
      <c r="D8194" s="9">
        <v>43299</v>
      </c>
      <c r="E8194" t="s">
        <v>296</v>
      </c>
      <c r="I8194" s="9"/>
    </row>
    <row r="8195" spans="1:9" x14ac:dyDescent="0.25">
      <c r="A8195">
        <v>700090</v>
      </c>
      <c r="B8195">
        <v>0.56599999999999995</v>
      </c>
      <c r="C8195">
        <v>1440</v>
      </c>
      <c r="D8195" s="9">
        <v>42508</v>
      </c>
      <c r="E8195" t="s">
        <v>296</v>
      </c>
      <c r="I8195" s="9"/>
    </row>
    <row r="8196" spans="1:9" x14ac:dyDescent="0.25">
      <c r="A8196">
        <v>700090</v>
      </c>
      <c r="B8196">
        <v>2.2000000000000002</v>
      </c>
      <c r="C8196">
        <v>720</v>
      </c>
      <c r="D8196" s="9">
        <v>42508</v>
      </c>
      <c r="E8196" t="s">
        <v>295</v>
      </c>
      <c r="I8196" s="9"/>
    </row>
    <row r="8197" spans="1:9" x14ac:dyDescent="0.25">
      <c r="A8197">
        <v>700090</v>
      </c>
      <c r="B8197">
        <v>0.55300000000000005</v>
      </c>
      <c r="C8197">
        <v>1728</v>
      </c>
      <c r="D8197" s="9">
        <v>41782</v>
      </c>
      <c r="E8197" t="s">
        <v>296</v>
      </c>
      <c r="I8197" s="9"/>
    </row>
    <row r="8198" spans="1:9" x14ac:dyDescent="0.25">
      <c r="A8198">
        <v>700090</v>
      </c>
      <c r="B8198">
        <v>0.55300000000000005</v>
      </c>
      <c r="C8198">
        <v>2016</v>
      </c>
      <c r="D8198" s="9">
        <v>41435</v>
      </c>
      <c r="E8198" t="s">
        <v>296</v>
      </c>
      <c r="I8198" s="9"/>
    </row>
    <row r="8199" spans="1:9" x14ac:dyDescent="0.25">
      <c r="A8199">
        <v>700090</v>
      </c>
      <c r="B8199">
        <v>0.55300000000000005</v>
      </c>
      <c r="C8199">
        <v>1152</v>
      </c>
      <c r="D8199" s="9">
        <v>41435</v>
      </c>
      <c r="E8199" t="s">
        <v>296</v>
      </c>
      <c r="I8199" s="9"/>
    </row>
    <row r="8200" spans="1:9" x14ac:dyDescent="0.25">
      <c r="A8200">
        <v>700090</v>
      </c>
      <c r="B8200">
        <v>0.53300000000000003</v>
      </c>
      <c r="C8200">
        <v>1152</v>
      </c>
      <c r="D8200" s="9">
        <v>41295</v>
      </c>
      <c r="E8200" t="s">
        <v>296</v>
      </c>
      <c r="I8200" s="9"/>
    </row>
    <row r="8201" spans="1:9" x14ac:dyDescent="0.25">
      <c r="A8201">
        <v>700100</v>
      </c>
      <c r="B8201">
        <v>0.94499999999999995</v>
      </c>
      <c r="C8201">
        <v>1200</v>
      </c>
      <c r="D8201" s="9">
        <v>42600</v>
      </c>
      <c r="E8201" t="s">
        <v>296</v>
      </c>
      <c r="I8201" s="9"/>
    </row>
    <row r="8202" spans="1:9" x14ac:dyDescent="0.25">
      <c r="A8202">
        <v>700100</v>
      </c>
      <c r="B8202">
        <v>0.94499999999999995</v>
      </c>
      <c r="C8202">
        <v>840</v>
      </c>
      <c r="D8202" s="9">
        <v>42271</v>
      </c>
      <c r="E8202" t="s">
        <v>296</v>
      </c>
      <c r="I8202" s="9"/>
    </row>
    <row r="8203" spans="1:9" x14ac:dyDescent="0.25">
      <c r="A8203">
        <v>700160</v>
      </c>
      <c r="B8203">
        <v>1.016</v>
      </c>
      <c r="C8203">
        <v>600</v>
      </c>
      <c r="D8203" s="9">
        <v>44035</v>
      </c>
      <c r="E8203" t="s">
        <v>296</v>
      </c>
      <c r="I8203" s="9"/>
    </row>
    <row r="8204" spans="1:9" x14ac:dyDescent="0.25">
      <c r="A8204">
        <v>700160</v>
      </c>
      <c r="B8204">
        <v>1.016</v>
      </c>
      <c r="C8204">
        <v>600</v>
      </c>
      <c r="D8204" s="9">
        <v>43972</v>
      </c>
      <c r="E8204" t="s">
        <v>296</v>
      </c>
      <c r="I8204" s="9"/>
    </row>
    <row r="8205" spans="1:9" x14ac:dyDescent="0.25">
      <c r="A8205">
        <v>700160</v>
      </c>
      <c r="B8205">
        <v>1.016</v>
      </c>
      <c r="C8205">
        <v>600</v>
      </c>
      <c r="D8205" s="9">
        <v>43612</v>
      </c>
      <c r="E8205" t="s">
        <v>296</v>
      </c>
      <c r="I8205" s="9"/>
    </row>
    <row r="8206" spans="1:9" x14ac:dyDescent="0.25">
      <c r="A8206">
        <v>700160</v>
      </c>
      <c r="B8206">
        <v>1.016</v>
      </c>
      <c r="C8206">
        <v>960</v>
      </c>
      <c r="D8206" s="9">
        <v>43136</v>
      </c>
      <c r="E8206" t="s">
        <v>296</v>
      </c>
      <c r="I8206" s="9"/>
    </row>
    <row r="8207" spans="1:9" x14ac:dyDescent="0.25">
      <c r="A8207">
        <v>700160</v>
      </c>
      <c r="B8207">
        <v>3.49</v>
      </c>
      <c r="C8207">
        <v>960</v>
      </c>
      <c r="D8207" s="9">
        <v>43136</v>
      </c>
      <c r="E8207" t="s">
        <v>295</v>
      </c>
      <c r="I8207" s="9"/>
    </row>
    <row r="8208" spans="1:9" x14ac:dyDescent="0.25">
      <c r="A8208">
        <v>700160</v>
      </c>
      <c r="B8208">
        <v>1.016</v>
      </c>
      <c r="C8208">
        <v>960</v>
      </c>
      <c r="D8208" s="9">
        <v>42600</v>
      </c>
      <c r="E8208" t="s">
        <v>296</v>
      </c>
      <c r="I8208" s="9"/>
    </row>
    <row r="8209" spans="1:9" x14ac:dyDescent="0.25">
      <c r="A8209">
        <v>700160</v>
      </c>
      <c r="B8209">
        <v>3.96</v>
      </c>
      <c r="C8209">
        <v>1080</v>
      </c>
      <c r="D8209" s="9">
        <v>42508</v>
      </c>
      <c r="E8209" t="s">
        <v>295</v>
      </c>
      <c r="I8209" s="9"/>
    </row>
    <row r="8210" spans="1:9" x14ac:dyDescent="0.25">
      <c r="A8210">
        <v>700160</v>
      </c>
      <c r="B8210">
        <v>1.016</v>
      </c>
      <c r="C8210">
        <v>1080</v>
      </c>
      <c r="D8210" s="9">
        <v>42508</v>
      </c>
      <c r="E8210" t="s">
        <v>296</v>
      </c>
      <c r="I8210" s="9"/>
    </row>
    <row r="8211" spans="1:9" x14ac:dyDescent="0.25">
      <c r="A8211">
        <v>700160</v>
      </c>
      <c r="B8211">
        <v>1.016</v>
      </c>
      <c r="C8211">
        <v>1200</v>
      </c>
      <c r="D8211" s="9">
        <v>42271</v>
      </c>
      <c r="E8211" t="s">
        <v>296</v>
      </c>
      <c r="I8211" s="9"/>
    </row>
    <row r="8212" spans="1:9" x14ac:dyDescent="0.25">
      <c r="A8212">
        <v>700160</v>
      </c>
      <c r="B8212">
        <v>1.016</v>
      </c>
      <c r="C8212">
        <v>1200</v>
      </c>
      <c r="D8212" s="9">
        <v>41816</v>
      </c>
      <c r="E8212" t="s">
        <v>296</v>
      </c>
      <c r="I8212" s="9"/>
    </row>
    <row r="8213" spans="1:9" x14ac:dyDescent="0.25">
      <c r="A8213">
        <v>700160</v>
      </c>
      <c r="B8213">
        <v>0.98699999999999999</v>
      </c>
      <c r="C8213">
        <v>1440</v>
      </c>
      <c r="D8213" s="9">
        <v>41435</v>
      </c>
      <c r="E8213" t="s">
        <v>296</v>
      </c>
      <c r="I8213" s="9"/>
    </row>
    <row r="8214" spans="1:9" x14ac:dyDescent="0.25">
      <c r="A8214">
        <v>700160</v>
      </c>
      <c r="B8214">
        <v>0.96799999999999997</v>
      </c>
      <c r="C8214">
        <v>1320</v>
      </c>
      <c r="D8214" s="9">
        <v>41295</v>
      </c>
      <c r="E8214" t="s">
        <v>296</v>
      </c>
      <c r="I8214" s="9"/>
    </row>
    <row r="8215" spans="1:9" x14ac:dyDescent="0.25">
      <c r="A8215">
        <v>700275</v>
      </c>
      <c r="B8215">
        <v>5.15</v>
      </c>
      <c r="C8215">
        <v>100</v>
      </c>
      <c r="D8215" s="9">
        <v>43776</v>
      </c>
      <c r="E8215" t="s">
        <v>295</v>
      </c>
      <c r="I8215" s="9"/>
    </row>
    <row r="8216" spans="1:9" x14ac:dyDescent="0.25">
      <c r="A8216">
        <v>700280</v>
      </c>
      <c r="B8216">
        <v>0.65</v>
      </c>
      <c r="C8216">
        <v>1400</v>
      </c>
      <c r="D8216" s="9">
        <v>43889</v>
      </c>
      <c r="E8216" t="s">
        <v>296</v>
      </c>
      <c r="I8216" s="9"/>
    </row>
    <row r="8217" spans="1:9" x14ac:dyDescent="0.25">
      <c r="A8217">
        <v>700280</v>
      </c>
      <c r="B8217">
        <v>0.65</v>
      </c>
      <c r="C8217">
        <v>1200</v>
      </c>
      <c r="D8217" s="9">
        <v>43784</v>
      </c>
      <c r="E8217" t="s">
        <v>296</v>
      </c>
      <c r="I8217" s="9"/>
    </row>
    <row r="8218" spans="1:9" x14ac:dyDescent="0.25">
      <c r="A8218">
        <v>700280</v>
      </c>
      <c r="B8218">
        <v>2.46</v>
      </c>
      <c r="C8218">
        <v>1000</v>
      </c>
      <c r="D8218" s="9">
        <v>43340</v>
      </c>
      <c r="E8218" t="s">
        <v>295</v>
      </c>
      <c r="I8218" s="9"/>
    </row>
    <row r="8219" spans="1:9" x14ac:dyDescent="0.25">
      <c r="A8219">
        <v>700280</v>
      </c>
      <c r="B8219">
        <v>0.65</v>
      </c>
      <c r="C8219">
        <v>1000</v>
      </c>
      <c r="D8219" s="9">
        <v>43299</v>
      </c>
      <c r="E8219" t="s">
        <v>296</v>
      </c>
      <c r="I8219" s="9"/>
    </row>
    <row r="8220" spans="1:9" x14ac:dyDescent="0.25">
      <c r="A8220">
        <v>700280</v>
      </c>
      <c r="B8220">
        <v>0.58699999999999997</v>
      </c>
      <c r="C8220">
        <v>1200</v>
      </c>
      <c r="D8220" s="9">
        <v>43054</v>
      </c>
      <c r="E8220" t="s">
        <v>296</v>
      </c>
      <c r="I8220" s="9"/>
    </row>
    <row r="8221" spans="1:9" x14ac:dyDescent="0.25">
      <c r="A8221">
        <v>700280</v>
      </c>
      <c r="B8221">
        <v>0.58699999999999997</v>
      </c>
      <c r="C8221">
        <v>1200</v>
      </c>
      <c r="D8221" s="9">
        <v>42877</v>
      </c>
      <c r="E8221" t="s">
        <v>296</v>
      </c>
      <c r="I8221" s="9"/>
    </row>
    <row r="8222" spans="1:9" x14ac:dyDescent="0.25">
      <c r="A8222">
        <v>700280</v>
      </c>
      <c r="B8222">
        <v>0.58699999999999997</v>
      </c>
      <c r="C8222">
        <v>1200</v>
      </c>
      <c r="D8222" s="9">
        <v>42641</v>
      </c>
      <c r="E8222" t="s">
        <v>296</v>
      </c>
      <c r="I8222" s="9"/>
    </row>
    <row r="8223" spans="1:9" x14ac:dyDescent="0.25">
      <c r="A8223">
        <v>700280</v>
      </c>
      <c r="B8223">
        <v>0.58699999999999997</v>
      </c>
      <c r="C8223">
        <v>1200</v>
      </c>
      <c r="D8223" s="9">
        <v>42641</v>
      </c>
      <c r="E8223" t="s">
        <v>296</v>
      </c>
      <c r="I8223" s="9"/>
    </row>
    <row r="8224" spans="1:9" x14ac:dyDescent="0.25">
      <c r="A8224">
        <v>700280</v>
      </c>
      <c r="B8224">
        <v>0.58699999999999997</v>
      </c>
      <c r="C8224">
        <v>1400</v>
      </c>
      <c r="D8224" s="9">
        <v>42508</v>
      </c>
      <c r="E8224" t="s">
        <v>296</v>
      </c>
      <c r="I8224" s="9"/>
    </row>
    <row r="8225" spans="1:9" x14ac:dyDescent="0.25">
      <c r="A8225">
        <v>700280</v>
      </c>
      <c r="B8225">
        <v>2.29</v>
      </c>
      <c r="C8225">
        <v>1400</v>
      </c>
      <c r="D8225" s="9">
        <v>42508</v>
      </c>
      <c r="E8225" t="s">
        <v>295</v>
      </c>
      <c r="I8225" s="9"/>
    </row>
    <row r="8226" spans="1:9" x14ac:dyDescent="0.25">
      <c r="A8226">
        <v>700280</v>
      </c>
      <c r="B8226">
        <v>0.56499999999999995</v>
      </c>
      <c r="C8226">
        <v>1500</v>
      </c>
      <c r="D8226" s="9">
        <v>42177</v>
      </c>
      <c r="E8226" t="s">
        <v>296</v>
      </c>
      <c r="I8226" s="9"/>
    </row>
    <row r="8227" spans="1:9" x14ac:dyDescent="0.25">
      <c r="A8227">
        <v>700280</v>
      </c>
      <c r="B8227">
        <v>0.56499999999999995</v>
      </c>
      <c r="C8227">
        <v>1600</v>
      </c>
      <c r="D8227" s="9">
        <v>41983</v>
      </c>
      <c r="E8227" t="s">
        <v>296</v>
      </c>
      <c r="I8227" s="9"/>
    </row>
    <row r="8228" spans="1:9" x14ac:dyDescent="0.25">
      <c r="A8228">
        <v>700280</v>
      </c>
      <c r="B8228">
        <v>0.54</v>
      </c>
      <c r="C8228">
        <v>1500</v>
      </c>
      <c r="D8228" s="9">
        <v>41751</v>
      </c>
      <c r="E8228" t="s">
        <v>296</v>
      </c>
      <c r="I8228" s="9"/>
    </row>
    <row r="8229" spans="1:9" x14ac:dyDescent="0.25">
      <c r="A8229">
        <v>700282</v>
      </c>
      <c r="B8229">
        <v>0.22</v>
      </c>
      <c r="C8229">
        <v>4000</v>
      </c>
      <c r="D8229" s="9">
        <v>44098</v>
      </c>
      <c r="E8229" t="s">
        <v>296</v>
      </c>
      <c r="I8229" s="9"/>
    </row>
    <row r="8230" spans="1:9" x14ac:dyDescent="0.25">
      <c r="A8230">
        <v>700282</v>
      </c>
      <c r="B8230">
        <v>0.22</v>
      </c>
      <c r="C8230">
        <v>4000</v>
      </c>
      <c r="D8230" s="9">
        <v>43837</v>
      </c>
      <c r="E8230" t="s">
        <v>296</v>
      </c>
      <c r="I8230" s="9"/>
    </row>
    <row r="8231" spans="1:9" x14ac:dyDescent="0.25">
      <c r="A8231">
        <v>700282</v>
      </c>
      <c r="B8231">
        <v>0.27</v>
      </c>
      <c r="C8231">
        <v>2000</v>
      </c>
      <c r="D8231" s="9">
        <v>43489</v>
      </c>
      <c r="E8231" t="s">
        <v>296</v>
      </c>
      <c r="I8231" s="9"/>
    </row>
    <row r="8232" spans="1:9" x14ac:dyDescent="0.25">
      <c r="A8232">
        <v>700282</v>
      </c>
      <c r="B8232">
        <v>0.27</v>
      </c>
      <c r="C8232">
        <v>2000</v>
      </c>
      <c r="D8232" s="9">
        <v>43131</v>
      </c>
      <c r="E8232" t="s">
        <v>296</v>
      </c>
      <c r="I8232" s="9"/>
    </row>
    <row r="8233" spans="1:9" x14ac:dyDescent="0.25">
      <c r="A8233">
        <v>700282</v>
      </c>
      <c r="B8233">
        <v>0.43</v>
      </c>
      <c r="C8233">
        <v>1440</v>
      </c>
      <c r="D8233" s="9">
        <v>43054</v>
      </c>
      <c r="E8233" t="s">
        <v>296</v>
      </c>
      <c r="I8233" s="9"/>
    </row>
    <row r="8234" spans="1:9" x14ac:dyDescent="0.25">
      <c r="A8234">
        <v>700282</v>
      </c>
      <c r="B8234">
        <v>0.43</v>
      </c>
      <c r="C8234">
        <v>1440</v>
      </c>
      <c r="D8234" s="9">
        <v>42877</v>
      </c>
      <c r="E8234" t="s">
        <v>296</v>
      </c>
      <c r="I8234" s="9"/>
    </row>
    <row r="8235" spans="1:9" x14ac:dyDescent="0.25">
      <c r="A8235">
        <v>700282</v>
      </c>
      <c r="B8235">
        <v>0.43</v>
      </c>
      <c r="C8235">
        <v>1440</v>
      </c>
      <c r="D8235" s="9">
        <v>42641</v>
      </c>
      <c r="E8235" t="s">
        <v>296</v>
      </c>
      <c r="I8235" s="9"/>
    </row>
    <row r="8236" spans="1:9" x14ac:dyDescent="0.25">
      <c r="A8236">
        <v>700282</v>
      </c>
      <c r="B8236">
        <v>0.43</v>
      </c>
      <c r="C8236">
        <v>1152</v>
      </c>
      <c r="D8236" s="9">
        <v>42641</v>
      </c>
      <c r="E8236" t="s">
        <v>296</v>
      </c>
      <c r="I8236" s="9"/>
    </row>
    <row r="8237" spans="1:9" x14ac:dyDescent="0.25">
      <c r="A8237">
        <v>700282</v>
      </c>
      <c r="B8237">
        <v>0.43</v>
      </c>
      <c r="C8237">
        <v>1440</v>
      </c>
      <c r="D8237" s="9">
        <v>42641</v>
      </c>
      <c r="E8237" t="s">
        <v>296</v>
      </c>
      <c r="I8237" s="9"/>
    </row>
    <row r="8238" spans="1:9" x14ac:dyDescent="0.25">
      <c r="A8238">
        <v>700282</v>
      </c>
      <c r="B8238">
        <v>0.43</v>
      </c>
      <c r="C8238">
        <v>1152</v>
      </c>
      <c r="D8238" s="9">
        <v>42641</v>
      </c>
      <c r="E8238" t="s">
        <v>296</v>
      </c>
      <c r="I8238" s="9"/>
    </row>
    <row r="8239" spans="1:9" x14ac:dyDescent="0.25">
      <c r="A8239">
        <v>700282</v>
      </c>
      <c r="B8239">
        <v>0.42</v>
      </c>
      <c r="C8239">
        <v>1440</v>
      </c>
      <c r="D8239" s="9">
        <v>42326</v>
      </c>
      <c r="E8239" t="s">
        <v>296</v>
      </c>
      <c r="I8239" s="9"/>
    </row>
    <row r="8240" spans="1:9" x14ac:dyDescent="0.25">
      <c r="A8240">
        <v>700282</v>
      </c>
      <c r="B8240">
        <v>0.42</v>
      </c>
      <c r="C8240">
        <v>1440</v>
      </c>
      <c r="D8240" s="9">
        <v>42271</v>
      </c>
      <c r="E8240" t="s">
        <v>296</v>
      </c>
      <c r="I8240" s="9"/>
    </row>
    <row r="8241" spans="1:9" x14ac:dyDescent="0.25">
      <c r="A8241">
        <v>700282</v>
      </c>
      <c r="B8241">
        <v>0.42</v>
      </c>
      <c r="C8241">
        <v>1440</v>
      </c>
      <c r="D8241" s="9">
        <v>42177</v>
      </c>
      <c r="E8241" t="s">
        <v>296</v>
      </c>
      <c r="I8241" s="9"/>
    </row>
    <row r="8242" spans="1:9" x14ac:dyDescent="0.25">
      <c r="A8242">
        <v>700282</v>
      </c>
      <c r="B8242">
        <v>0.42</v>
      </c>
      <c r="C8242">
        <v>1440</v>
      </c>
      <c r="D8242" s="9">
        <v>41983</v>
      </c>
      <c r="E8242" t="s">
        <v>296</v>
      </c>
      <c r="I8242" s="9"/>
    </row>
    <row r="8243" spans="1:9" x14ac:dyDescent="0.25">
      <c r="A8243">
        <v>700282</v>
      </c>
      <c r="B8243">
        <v>0.42</v>
      </c>
      <c r="C8243">
        <v>2880</v>
      </c>
      <c r="D8243" s="9">
        <v>41435</v>
      </c>
      <c r="E8243" t="s">
        <v>296</v>
      </c>
      <c r="I8243" s="9"/>
    </row>
    <row r="8244" spans="1:9" x14ac:dyDescent="0.25">
      <c r="A8244">
        <v>700282</v>
      </c>
      <c r="B8244">
        <v>0.40400000000000003</v>
      </c>
      <c r="C8244">
        <v>2592</v>
      </c>
      <c r="D8244" s="9">
        <v>41295</v>
      </c>
      <c r="E8244" t="s">
        <v>296</v>
      </c>
      <c r="I8244" s="9"/>
    </row>
    <row r="8245" spans="1:9" x14ac:dyDescent="0.25">
      <c r="A8245">
        <v>700285</v>
      </c>
      <c r="B8245">
        <v>1.2</v>
      </c>
      <c r="C8245">
        <v>1000</v>
      </c>
      <c r="D8245" s="9">
        <v>44117</v>
      </c>
      <c r="E8245" t="s">
        <v>296</v>
      </c>
      <c r="I8245" s="9"/>
    </row>
    <row r="8246" spans="1:9" x14ac:dyDescent="0.25">
      <c r="A8246">
        <v>700285</v>
      </c>
      <c r="B8246">
        <v>1.2</v>
      </c>
      <c r="C8246">
        <v>600</v>
      </c>
      <c r="D8246" s="9">
        <v>43837</v>
      </c>
      <c r="E8246" t="s">
        <v>296</v>
      </c>
      <c r="I8246" s="9"/>
    </row>
    <row r="8247" spans="1:9" x14ac:dyDescent="0.25">
      <c r="A8247">
        <v>700285</v>
      </c>
      <c r="B8247">
        <v>5.32</v>
      </c>
      <c r="C8247">
        <v>50</v>
      </c>
      <c r="D8247" s="9">
        <v>43776</v>
      </c>
      <c r="E8247" t="s">
        <v>295</v>
      </c>
      <c r="I8247" s="9"/>
    </row>
    <row r="8248" spans="1:9" x14ac:dyDescent="0.25">
      <c r="A8248">
        <v>700285</v>
      </c>
      <c r="B8248">
        <v>6.8</v>
      </c>
      <c r="C8248">
        <v>50</v>
      </c>
      <c r="D8248" s="9">
        <v>43748</v>
      </c>
      <c r="E8248" t="s">
        <v>295</v>
      </c>
      <c r="I8248" s="9"/>
    </row>
    <row r="8249" spans="1:9" x14ac:dyDescent="0.25">
      <c r="A8249">
        <v>700286</v>
      </c>
      <c r="B8249">
        <v>0.59499999999999997</v>
      </c>
      <c r="C8249">
        <v>1200</v>
      </c>
      <c r="D8249" s="9">
        <v>44070</v>
      </c>
      <c r="E8249" t="s">
        <v>296</v>
      </c>
      <c r="I8249" s="9"/>
    </row>
    <row r="8250" spans="1:9" x14ac:dyDescent="0.25">
      <c r="A8250">
        <v>700286</v>
      </c>
      <c r="B8250">
        <v>0.86799999999999999</v>
      </c>
      <c r="C8250">
        <v>1000</v>
      </c>
      <c r="D8250" s="9">
        <v>43985</v>
      </c>
      <c r="E8250" t="s">
        <v>296</v>
      </c>
      <c r="I8250" s="9"/>
    </row>
    <row r="8251" spans="1:9" x14ac:dyDescent="0.25">
      <c r="A8251">
        <v>700286</v>
      </c>
      <c r="B8251">
        <v>0.86799999999999999</v>
      </c>
      <c r="C8251">
        <v>800</v>
      </c>
      <c r="D8251" s="9">
        <v>43452</v>
      </c>
      <c r="E8251" t="s">
        <v>296</v>
      </c>
      <c r="I8251" s="9"/>
    </row>
    <row r="8252" spans="1:9" x14ac:dyDescent="0.25">
      <c r="A8252">
        <v>700293</v>
      </c>
      <c r="B8252">
        <v>0.92</v>
      </c>
      <c r="C8252">
        <v>720</v>
      </c>
      <c r="D8252" s="9">
        <v>43839</v>
      </c>
      <c r="E8252" t="s">
        <v>296</v>
      </c>
      <c r="I8252" s="9"/>
    </row>
    <row r="8253" spans="1:9" x14ac:dyDescent="0.25">
      <c r="A8253">
        <v>700293</v>
      </c>
      <c r="B8253">
        <v>0.92</v>
      </c>
      <c r="C8253">
        <v>720</v>
      </c>
      <c r="D8253" s="9">
        <v>43381</v>
      </c>
      <c r="E8253" t="s">
        <v>296</v>
      </c>
      <c r="I8253" s="9"/>
    </row>
    <row r="8254" spans="1:9" x14ac:dyDescent="0.25">
      <c r="A8254">
        <v>700294</v>
      </c>
      <c r="B8254">
        <v>0.48</v>
      </c>
      <c r="C8254">
        <v>600</v>
      </c>
      <c r="D8254" s="9">
        <v>44102</v>
      </c>
      <c r="E8254" t="s">
        <v>296</v>
      </c>
      <c r="I8254" s="9"/>
    </row>
    <row r="8255" spans="1:9" x14ac:dyDescent="0.25">
      <c r="A8255">
        <v>700296</v>
      </c>
      <c r="B8255">
        <v>1.65</v>
      </c>
      <c r="C8255">
        <v>1080</v>
      </c>
      <c r="D8255" s="9">
        <v>44006</v>
      </c>
      <c r="E8255" t="s">
        <v>296</v>
      </c>
      <c r="I8255" s="9"/>
    </row>
    <row r="8256" spans="1:9" x14ac:dyDescent="0.25">
      <c r="A8256">
        <v>700296</v>
      </c>
      <c r="B8256">
        <v>1.7</v>
      </c>
      <c r="C8256">
        <v>1152</v>
      </c>
      <c r="D8256" s="9">
        <v>43784</v>
      </c>
      <c r="E8256" t="s">
        <v>296</v>
      </c>
      <c r="I8256" s="9"/>
    </row>
    <row r="8257" spans="1:9" x14ac:dyDescent="0.25">
      <c r="A8257">
        <v>700296</v>
      </c>
      <c r="B8257">
        <v>1.7</v>
      </c>
      <c r="C8257">
        <v>1008</v>
      </c>
      <c r="D8257" s="9">
        <v>43612</v>
      </c>
      <c r="E8257" t="s">
        <v>296</v>
      </c>
      <c r="I8257" s="9"/>
    </row>
    <row r="8258" spans="1:9" x14ac:dyDescent="0.25">
      <c r="A8258">
        <v>700296</v>
      </c>
      <c r="B8258">
        <v>1.7</v>
      </c>
      <c r="C8258">
        <v>720</v>
      </c>
      <c r="D8258" s="9">
        <v>43452</v>
      </c>
      <c r="E8258" t="s">
        <v>296</v>
      </c>
      <c r="I8258" s="9"/>
    </row>
    <row r="8259" spans="1:9" x14ac:dyDescent="0.25">
      <c r="A8259">
        <v>700297</v>
      </c>
      <c r="B8259">
        <v>0.46</v>
      </c>
      <c r="C8259">
        <v>1000</v>
      </c>
      <c r="D8259" s="9">
        <v>44043</v>
      </c>
      <c r="E8259" t="s">
        <v>296</v>
      </c>
      <c r="I8259" s="9"/>
    </row>
    <row r="8260" spans="1:9" x14ac:dyDescent="0.25">
      <c r="A8260">
        <v>700298</v>
      </c>
      <c r="B8260">
        <v>0.42</v>
      </c>
      <c r="C8260">
        <v>1000</v>
      </c>
      <c r="D8260" s="9">
        <v>44043</v>
      </c>
      <c r="E8260" t="s">
        <v>296</v>
      </c>
      <c r="I8260" s="9"/>
    </row>
    <row r="8261" spans="1:9" x14ac:dyDescent="0.25">
      <c r="A8261">
        <v>700332</v>
      </c>
      <c r="B8261">
        <v>2.9</v>
      </c>
      <c r="C8261">
        <v>480</v>
      </c>
      <c r="D8261" s="9">
        <v>44097</v>
      </c>
      <c r="E8261" t="s">
        <v>296</v>
      </c>
      <c r="I8261" s="9"/>
    </row>
    <row r="8262" spans="1:9" x14ac:dyDescent="0.25">
      <c r="A8262">
        <v>700332</v>
      </c>
      <c r="B8262">
        <v>2.9</v>
      </c>
      <c r="C8262">
        <v>480</v>
      </c>
      <c r="D8262" s="9">
        <v>44039</v>
      </c>
      <c r="E8262" t="s">
        <v>296</v>
      </c>
      <c r="I8262" s="9"/>
    </row>
    <row r="8263" spans="1:9" x14ac:dyDescent="0.25">
      <c r="A8263">
        <v>700332</v>
      </c>
      <c r="B8263">
        <v>2.9</v>
      </c>
      <c r="C8263">
        <v>576</v>
      </c>
      <c r="D8263" s="9">
        <v>43819</v>
      </c>
      <c r="E8263" t="s">
        <v>296</v>
      </c>
      <c r="I8263" s="9"/>
    </row>
    <row r="8264" spans="1:9" x14ac:dyDescent="0.25">
      <c r="A8264">
        <v>700332</v>
      </c>
      <c r="B8264">
        <v>2.9</v>
      </c>
      <c r="C8264">
        <v>480</v>
      </c>
      <c r="D8264" s="9">
        <v>43760</v>
      </c>
      <c r="E8264" t="s">
        <v>296</v>
      </c>
      <c r="I8264" s="9"/>
    </row>
    <row r="8265" spans="1:9" x14ac:dyDescent="0.25">
      <c r="A8265">
        <v>700332</v>
      </c>
      <c r="B8265">
        <v>2.95</v>
      </c>
      <c r="C8265">
        <v>576</v>
      </c>
      <c r="D8265" s="9">
        <v>43473</v>
      </c>
      <c r="E8265" t="s">
        <v>296</v>
      </c>
      <c r="I8265" s="9"/>
    </row>
    <row r="8266" spans="1:9" x14ac:dyDescent="0.25">
      <c r="A8266">
        <v>700332</v>
      </c>
      <c r="B8266">
        <v>2.95</v>
      </c>
      <c r="C8266">
        <v>576</v>
      </c>
      <c r="D8266" s="9">
        <v>43250</v>
      </c>
      <c r="E8266" t="s">
        <v>296</v>
      </c>
      <c r="I8266" s="9"/>
    </row>
    <row r="8267" spans="1:9" x14ac:dyDescent="0.25">
      <c r="A8267">
        <v>700332</v>
      </c>
      <c r="B8267">
        <v>2.95</v>
      </c>
      <c r="C8267">
        <v>768</v>
      </c>
      <c r="D8267" s="9">
        <v>42976</v>
      </c>
      <c r="E8267" t="s">
        <v>296</v>
      </c>
      <c r="I8267" s="9"/>
    </row>
    <row r="8268" spans="1:9" x14ac:dyDescent="0.25">
      <c r="A8268">
        <v>700332</v>
      </c>
      <c r="B8268">
        <v>2.95</v>
      </c>
      <c r="C8268">
        <v>1008</v>
      </c>
      <c r="D8268" s="9">
        <v>42781</v>
      </c>
      <c r="E8268" t="s">
        <v>296</v>
      </c>
      <c r="I8268" s="9"/>
    </row>
    <row r="8269" spans="1:9" x14ac:dyDescent="0.25">
      <c r="A8269">
        <v>700332</v>
      </c>
      <c r="B8269">
        <v>3.2</v>
      </c>
      <c r="C8269">
        <v>480</v>
      </c>
      <c r="D8269" s="9">
        <v>42617</v>
      </c>
      <c r="E8269" t="s">
        <v>296</v>
      </c>
      <c r="I8269" s="9"/>
    </row>
    <row r="8270" spans="1:9" x14ac:dyDescent="0.25">
      <c r="A8270">
        <v>700332</v>
      </c>
      <c r="B8270">
        <v>3.5</v>
      </c>
      <c r="C8270">
        <v>480</v>
      </c>
      <c r="D8270" s="9">
        <v>42482</v>
      </c>
      <c r="E8270" t="s">
        <v>296</v>
      </c>
      <c r="I8270" s="9"/>
    </row>
    <row r="8271" spans="1:9" x14ac:dyDescent="0.25">
      <c r="A8271">
        <v>700332</v>
      </c>
      <c r="B8271">
        <v>3.5</v>
      </c>
      <c r="C8271">
        <v>480</v>
      </c>
      <c r="D8271" s="9">
        <v>42270</v>
      </c>
      <c r="E8271" t="s">
        <v>296</v>
      </c>
      <c r="I8271" s="9"/>
    </row>
    <row r="8272" spans="1:9" x14ac:dyDescent="0.25">
      <c r="A8272">
        <v>700332</v>
      </c>
      <c r="B8272">
        <v>3.5</v>
      </c>
      <c r="C8272">
        <v>1008</v>
      </c>
      <c r="D8272" s="9">
        <v>41837</v>
      </c>
      <c r="E8272" t="s">
        <v>296</v>
      </c>
      <c r="I8272" s="9"/>
    </row>
    <row r="8273" spans="1:9" x14ac:dyDescent="0.25">
      <c r="A8273">
        <v>700333</v>
      </c>
      <c r="B8273">
        <v>1.1200000000000001</v>
      </c>
      <c r="C8273">
        <v>500</v>
      </c>
      <c r="D8273" s="9">
        <v>44117</v>
      </c>
      <c r="E8273" t="s">
        <v>296</v>
      </c>
      <c r="I8273" s="9"/>
    </row>
    <row r="8274" spans="1:9" x14ac:dyDescent="0.25">
      <c r="A8274">
        <v>700333</v>
      </c>
      <c r="B8274">
        <v>1.1200000000000001</v>
      </c>
      <c r="C8274">
        <v>400</v>
      </c>
      <c r="D8274" s="9">
        <v>43959</v>
      </c>
      <c r="E8274" t="s">
        <v>296</v>
      </c>
      <c r="I8274" s="9"/>
    </row>
    <row r="8275" spans="1:9" x14ac:dyDescent="0.25">
      <c r="A8275">
        <v>700333</v>
      </c>
      <c r="B8275">
        <v>1.1200000000000001</v>
      </c>
      <c r="C8275">
        <v>400</v>
      </c>
      <c r="D8275" s="9">
        <v>43760</v>
      </c>
      <c r="E8275" t="s">
        <v>296</v>
      </c>
      <c r="I8275" s="9"/>
    </row>
    <row r="8276" spans="1:9" x14ac:dyDescent="0.25">
      <c r="A8276">
        <v>700333</v>
      </c>
      <c r="B8276">
        <v>1.1200000000000001</v>
      </c>
      <c r="C8276">
        <v>400</v>
      </c>
      <c r="D8276" s="9">
        <v>43473</v>
      </c>
      <c r="E8276" t="s">
        <v>296</v>
      </c>
      <c r="I8276" s="9"/>
    </row>
    <row r="8277" spans="1:9" x14ac:dyDescent="0.25">
      <c r="A8277">
        <v>700333</v>
      </c>
      <c r="B8277">
        <v>1.1200000000000001</v>
      </c>
      <c r="C8277">
        <v>80</v>
      </c>
      <c r="D8277" s="9">
        <v>43473</v>
      </c>
      <c r="E8277" t="s">
        <v>296</v>
      </c>
      <c r="I8277" s="9"/>
    </row>
    <row r="8278" spans="1:9" x14ac:dyDescent="0.25">
      <c r="A8278">
        <v>700333</v>
      </c>
      <c r="B8278">
        <v>1.18</v>
      </c>
      <c r="C8278">
        <v>400</v>
      </c>
      <c r="D8278" s="9">
        <v>43250</v>
      </c>
      <c r="E8278" t="s">
        <v>296</v>
      </c>
      <c r="I8278" s="9"/>
    </row>
    <row r="8279" spans="1:9" x14ac:dyDescent="0.25">
      <c r="A8279">
        <v>700333</v>
      </c>
      <c r="B8279">
        <v>1.02</v>
      </c>
      <c r="C8279">
        <v>500</v>
      </c>
      <c r="D8279" s="9">
        <v>42864</v>
      </c>
      <c r="E8279" t="s">
        <v>296</v>
      </c>
      <c r="I8279" s="9"/>
    </row>
    <row r="8280" spans="1:9" x14ac:dyDescent="0.25">
      <c r="A8280">
        <v>700333</v>
      </c>
      <c r="B8280">
        <v>0.96</v>
      </c>
      <c r="C8280">
        <v>500</v>
      </c>
      <c r="D8280" s="9">
        <v>42655</v>
      </c>
      <c r="E8280" t="s">
        <v>296</v>
      </c>
      <c r="I8280" s="9"/>
    </row>
    <row r="8281" spans="1:9" x14ac:dyDescent="0.25">
      <c r="A8281">
        <v>700333</v>
      </c>
      <c r="B8281">
        <v>0.96</v>
      </c>
      <c r="C8281">
        <v>500</v>
      </c>
      <c r="D8281" s="9">
        <v>42655</v>
      </c>
      <c r="E8281" t="s">
        <v>296</v>
      </c>
      <c r="I8281" s="9"/>
    </row>
    <row r="8282" spans="1:9" x14ac:dyDescent="0.25">
      <c r="A8282">
        <v>700333</v>
      </c>
      <c r="B8282">
        <v>1.02</v>
      </c>
      <c r="C8282">
        <v>500</v>
      </c>
      <c r="D8282" s="9">
        <v>42325</v>
      </c>
      <c r="E8282" t="s">
        <v>296</v>
      </c>
      <c r="I8282" s="9"/>
    </row>
    <row r="8283" spans="1:9" x14ac:dyDescent="0.25">
      <c r="A8283">
        <v>700336</v>
      </c>
      <c r="B8283">
        <v>2.41</v>
      </c>
      <c r="C8283">
        <v>432</v>
      </c>
      <c r="D8283" s="9">
        <v>44111</v>
      </c>
      <c r="E8283" t="s">
        <v>296</v>
      </c>
      <c r="I8283" s="9"/>
    </row>
    <row r="8284" spans="1:9" x14ac:dyDescent="0.25">
      <c r="A8284">
        <v>700336</v>
      </c>
      <c r="B8284">
        <v>2.41</v>
      </c>
      <c r="C8284">
        <v>432</v>
      </c>
      <c r="D8284" s="9">
        <v>43760</v>
      </c>
      <c r="E8284" t="s">
        <v>296</v>
      </c>
      <c r="I8284" s="9"/>
    </row>
    <row r="8285" spans="1:9" x14ac:dyDescent="0.25">
      <c r="A8285">
        <v>700336</v>
      </c>
      <c r="B8285">
        <v>2.41</v>
      </c>
      <c r="C8285">
        <v>432</v>
      </c>
      <c r="D8285" s="9">
        <v>43473</v>
      </c>
      <c r="E8285" t="s">
        <v>296</v>
      </c>
      <c r="I8285" s="9"/>
    </row>
    <row r="8286" spans="1:9" x14ac:dyDescent="0.25">
      <c r="A8286">
        <v>700336</v>
      </c>
      <c r="B8286">
        <v>2.41</v>
      </c>
      <c r="C8286">
        <v>576</v>
      </c>
      <c r="D8286" s="9">
        <v>42976</v>
      </c>
      <c r="E8286" t="s">
        <v>296</v>
      </c>
      <c r="I8286" s="9"/>
    </row>
    <row r="8287" spans="1:9" x14ac:dyDescent="0.25">
      <c r="A8287">
        <v>700336</v>
      </c>
      <c r="B8287">
        <v>2.2400000000000002</v>
      </c>
      <c r="C8287">
        <v>576</v>
      </c>
      <c r="D8287" s="9">
        <v>42781</v>
      </c>
      <c r="E8287" t="s">
        <v>296</v>
      </c>
      <c r="I8287" s="9"/>
    </row>
    <row r="8288" spans="1:9" x14ac:dyDescent="0.25">
      <c r="A8288">
        <v>700336</v>
      </c>
      <c r="B8288">
        <v>2.25</v>
      </c>
      <c r="C8288">
        <v>504</v>
      </c>
      <c r="D8288" s="9">
        <v>42617</v>
      </c>
      <c r="E8288" t="s">
        <v>296</v>
      </c>
      <c r="I8288" s="9"/>
    </row>
    <row r="8289" spans="1:9" x14ac:dyDescent="0.25">
      <c r="A8289">
        <v>700336</v>
      </c>
      <c r="B8289">
        <v>2.5</v>
      </c>
      <c r="C8289">
        <v>360</v>
      </c>
      <c r="D8289" s="9">
        <v>42380</v>
      </c>
      <c r="E8289" t="s">
        <v>296</v>
      </c>
      <c r="I8289" s="9"/>
    </row>
    <row r="8290" spans="1:9" x14ac:dyDescent="0.25">
      <c r="A8290">
        <v>700336</v>
      </c>
      <c r="B8290">
        <v>2.5</v>
      </c>
      <c r="C8290">
        <v>24</v>
      </c>
      <c r="D8290" s="9">
        <v>42380</v>
      </c>
      <c r="E8290" t="s">
        <v>296</v>
      </c>
      <c r="I8290" s="9"/>
    </row>
    <row r="8291" spans="1:9" x14ac:dyDescent="0.25">
      <c r="A8291">
        <v>700336</v>
      </c>
      <c r="B8291">
        <v>2.5</v>
      </c>
      <c r="C8291">
        <v>144</v>
      </c>
      <c r="D8291" s="9">
        <v>41877</v>
      </c>
      <c r="E8291" t="s">
        <v>296</v>
      </c>
      <c r="I8291" s="9"/>
    </row>
    <row r="8292" spans="1:9" x14ac:dyDescent="0.25">
      <c r="A8292">
        <v>700336</v>
      </c>
      <c r="B8292">
        <v>2.5</v>
      </c>
      <c r="C8292">
        <v>56</v>
      </c>
      <c r="D8292" s="9">
        <v>41877</v>
      </c>
      <c r="E8292" t="s">
        <v>296</v>
      </c>
      <c r="I8292" s="9"/>
    </row>
    <row r="8293" spans="1:9" x14ac:dyDescent="0.25">
      <c r="A8293">
        <v>700337</v>
      </c>
      <c r="B8293">
        <v>2.81</v>
      </c>
      <c r="C8293">
        <v>504</v>
      </c>
      <c r="D8293" s="9">
        <v>43238</v>
      </c>
      <c r="E8293" t="s">
        <v>296</v>
      </c>
      <c r="I8293" s="9"/>
    </row>
    <row r="8294" spans="1:9" x14ac:dyDescent="0.25">
      <c r="A8294">
        <v>700337</v>
      </c>
      <c r="B8294">
        <v>10.73</v>
      </c>
      <c r="C8294">
        <v>504</v>
      </c>
      <c r="D8294" s="9">
        <v>43238</v>
      </c>
      <c r="E8294" t="s">
        <v>295</v>
      </c>
      <c r="I8294" s="9"/>
    </row>
    <row r="8295" spans="1:9" x14ac:dyDescent="0.25">
      <c r="A8295">
        <v>700339</v>
      </c>
      <c r="B8295">
        <v>2.82</v>
      </c>
      <c r="C8295">
        <v>216</v>
      </c>
      <c r="D8295" s="9">
        <v>44117</v>
      </c>
      <c r="E8295" t="s">
        <v>296</v>
      </c>
      <c r="I8295" s="9"/>
    </row>
    <row r="8296" spans="1:9" x14ac:dyDescent="0.25">
      <c r="A8296">
        <v>700339</v>
      </c>
      <c r="B8296">
        <v>2.82</v>
      </c>
      <c r="C8296">
        <v>216</v>
      </c>
      <c r="D8296" s="9">
        <v>43959</v>
      </c>
      <c r="E8296" t="s">
        <v>296</v>
      </c>
      <c r="I8296" s="9"/>
    </row>
    <row r="8297" spans="1:9" x14ac:dyDescent="0.25">
      <c r="A8297">
        <v>700339</v>
      </c>
      <c r="B8297">
        <v>2.82</v>
      </c>
      <c r="C8297">
        <v>216</v>
      </c>
      <c r="D8297" s="9">
        <v>43760</v>
      </c>
      <c r="E8297" t="s">
        <v>296</v>
      </c>
      <c r="I8297" s="9"/>
    </row>
    <row r="8298" spans="1:9" x14ac:dyDescent="0.25">
      <c r="A8298">
        <v>700339</v>
      </c>
      <c r="B8298">
        <v>2.82</v>
      </c>
      <c r="C8298">
        <v>360</v>
      </c>
      <c r="D8298" s="9">
        <v>43250</v>
      </c>
      <c r="E8298" t="s">
        <v>296</v>
      </c>
      <c r="I8298" s="9"/>
    </row>
    <row r="8299" spans="1:9" x14ac:dyDescent="0.25">
      <c r="A8299">
        <v>700339</v>
      </c>
      <c r="B8299">
        <v>2.78</v>
      </c>
      <c r="C8299">
        <v>360</v>
      </c>
      <c r="D8299" s="9">
        <v>42976</v>
      </c>
      <c r="E8299" t="s">
        <v>296</v>
      </c>
      <c r="I8299" s="9"/>
    </row>
    <row r="8300" spans="1:9" x14ac:dyDescent="0.25">
      <c r="A8300">
        <v>700339</v>
      </c>
      <c r="B8300">
        <v>2.78</v>
      </c>
      <c r="C8300">
        <v>360</v>
      </c>
      <c r="D8300" s="9">
        <v>42696</v>
      </c>
      <c r="E8300" t="s">
        <v>296</v>
      </c>
      <c r="I8300" s="9"/>
    </row>
    <row r="8301" spans="1:9" x14ac:dyDescent="0.25">
      <c r="A8301">
        <v>700339</v>
      </c>
      <c r="B8301">
        <v>2.82</v>
      </c>
      <c r="C8301">
        <v>216</v>
      </c>
      <c r="D8301" s="9">
        <v>42270</v>
      </c>
      <c r="E8301" t="s">
        <v>296</v>
      </c>
      <c r="I8301" s="9"/>
    </row>
    <row r="8302" spans="1:9" x14ac:dyDescent="0.25">
      <c r="A8302">
        <v>700339</v>
      </c>
      <c r="B8302">
        <v>2.82</v>
      </c>
      <c r="C8302">
        <v>144</v>
      </c>
      <c r="D8302" s="9">
        <v>41877</v>
      </c>
      <c r="E8302" t="s">
        <v>296</v>
      </c>
      <c r="I8302" s="9"/>
    </row>
    <row r="8303" spans="1:9" x14ac:dyDescent="0.25">
      <c r="A8303">
        <v>700339</v>
      </c>
      <c r="B8303">
        <v>2.82</v>
      </c>
      <c r="C8303">
        <v>56</v>
      </c>
      <c r="D8303" s="9">
        <v>41877</v>
      </c>
      <c r="E8303" t="s">
        <v>296</v>
      </c>
      <c r="I8303" s="9"/>
    </row>
    <row r="8304" spans="1:9" x14ac:dyDescent="0.25">
      <c r="A8304">
        <v>700400</v>
      </c>
      <c r="B8304">
        <v>5.4</v>
      </c>
      <c r="C8304">
        <v>220</v>
      </c>
      <c r="D8304" s="9">
        <v>43819</v>
      </c>
      <c r="E8304" t="s">
        <v>296</v>
      </c>
      <c r="I8304" s="9"/>
    </row>
    <row r="8305" spans="1:9" x14ac:dyDescent="0.25">
      <c r="A8305">
        <v>700400</v>
      </c>
      <c r="B8305">
        <v>6</v>
      </c>
      <c r="C8305">
        <v>220</v>
      </c>
      <c r="D8305" s="9">
        <v>43284</v>
      </c>
      <c r="E8305" t="s">
        <v>296</v>
      </c>
      <c r="I8305" s="9"/>
    </row>
    <row r="8306" spans="1:9" x14ac:dyDescent="0.25">
      <c r="A8306">
        <v>700400</v>
      </c>
      <c r="B8306">
        <v>24.73</v>
      </c>
      <c r="C8306">
        <v>100</v>
      </c>
      <c r="D8306" s="9">
        <v>43263</v>
      </c>
      <c r="E8306" t="s">
        <v>295</v>
      </c>
      <c r="I8306" s="9"/>
    </row>
    <row r="8307" spans="1:9" x14ac:dyDescent="0.25">
      <c r="A8307">
        <v>700400</v>
      </c>
      <c r="B8307">
        <v>6.5</v>
      </c>
      <c r="C8307">
        <v>200</v>
      </c>
      <c r="D8307" s="9">
        <v>43228</v>
      </c>
      <c r="E8307" t="s">
        <v>296</v>
      </c>
      <c r="I8307" s="9"/>
    </row>
    <row r="8308" spans="1:9" x14ac:dyDescent="0.25">
      <c r="A8308">
        <v>700400</v>
      </c>
      <c r="B8308">
        <v>6.28</v>
      </c>
      <c r="C8308">
        <v>204</v>
      </c>
      <c r="D8308" s="9">
        <v>43131</v>
      </c>
      <c r="E8308" t="s">
        <v>296</v>
      </c>
      <c r="I8308" s="9"/>
    </row>
    <row r="8309" spans="1:9" x14ac:dyDescent="0.25">
      <c r="A8309">
        <v>700400</v>
      </c>
      <c r="B8309">
        <v>5.68</v>
      </c>
      <c r="C8309">
        <v>204</v>
      </c>
      <c r="D8309" s="9">
        <v>42905</v>
      </c>
      <c r="E8309" t="s">
        <v>296</v>
      </c>
      <c r="I8309" s="9"/>
    </row>
    <row r="8310" spans="1:9" x14ac:dyDescent="0.25">
      <c r="A8310">
        <v>700400</v>
      </c>
      <c r="B8310">
        <v>5.68</v>
      </c>
      <c r="C8310">
        <v>198</v>
      </c>
      <c r="D8310" s="9">
        <v>42617</v>
      </c>
      <c r="E8310" t="s">
        <v>296</v>
      </c>
      <c r="I8310" s="9"/>
    </row>
    <row r="8311" spans="1:9" x14ac:dyDescent="0.25">
      <c r="A8311">
        <v>700400</v>
      </c>
      <c r="B8311">
        <v>5.68</v>
      </c>
      <c r="C8311">
        <v>8</v>
      </c>
      <c r="D8311" s="9">
        <v>42617</v>
      </c>
      <c r="E8311" t="s">
        <v>296</v>
      </c>
      <c r="I8311" s="9"/>
    </row>
    <row r="8312" spans="1:9" x14ac:dyDescent="0.25">
      <c r="A8312">
        <v>700400</v>
      </c>
      <c r="B8312">
        <v>5.68</v>
      </c>
      <c r="C8312">
        <v>180</v>
      </c>
      <c r="D8312" s="9">
        <v>42617</v>
      </c>
      <c r="E8312" t="s">
        <v>296</v>
      </c>
      <c r="I8312" s="9"/>
    </row>
    <row r="8313" spans="1:9" x14ac:dyDescent="0.25">
      <c r="A8313">
        <v>700400</v>
      </c>
      <c r="B8313">
        <v>5.68</v>
      </c>
      <c r="C8313">
        <v>14</v>
      </c>
      <c r="D8313" s="9">
        <v>42617</v>
      </c>
      <c r="E8313" t="s">
        <v>296</v>
      </c>
      <c r="I8313" s="9"/>
    </row>
    <row r="8314" spans="1:9" x14ac:dyDescent="0.25">
      <c r="A8314">
        <v>700400</v>
      </c>
      <c r="B8314">
        <v>26</v>
      </c>
      <c r="C8314">
        <v>40</v>
      </c>
      <c r="D8314" s="9">
        <v>42277</v>
      </c>
      <c r="E8314" t="s">
        <v>295</v>
      </c>
      <c r="I8314" s="9"/>
    </row>
    <row r="8315" spans="1:9" x14ac:dyDescent="0.25">
      <c r="A8315">
        <v>700400</v>
      </c>
      <c r="B8315">
        <v>6</v>
      </c>
      <c r="C8315">
        <v>240</v>
      </c>
      <c r="D8315" s="9">
        <v>42270</v>
      </c>
      <c r="E8315" t="s">
        <v>296</v>
      </c>
      <c r="I8315" s="9"/>
    </row>
    <row r="8316" spans="1:9" x14ac:dyDescent="0.25">
      <c r="A8316">
        <v>700400</v>
      </c>
      <c r="B8316">
        <v>26</v>
      </c>
      <c r="C8316">
        <v>30</v>
      </c>
      <c r="D8316" s="9">
        <v>42254</v>
      </c>
      <c r="E8316" t="s">
        <v>295</v>
      </c>
      <c r="I8316" s="9"/>
    </row>
    <row r="8317" spans="1:9" x14ac:dyDescent="0.25">
      <c r="A8317">
        <v>700400</v>
      </c>
      <c r="B8317">
        <v>21.17</v>
      </c>
      <c r="C8317">
        <v>240</v>
      </c>
      <c r="D8317" s="9">
        <v>42011</v>
      </c>
      <c r="E8317" t="s">
        <v>295</v>
      </c>
      <c r="I8317" s="9"/>
    </row>
    <row r="8318" spans="1:9" x14ac:dyDescent="0.25">
      <c r="A8318">
        <v>700400</v>
      </c>
      <c r="B8318">
        <v>6</v>
      </c>
      <c r="C8318">
        <v>240</v>
      </c>
      <c r="D8318" s="9">
        <v>41961</v>
      </c>
      <c r="E8318" t="s">
        <v>296</v>
      </c>
      <c r="I8318" s="9"/>
    </row>
    <row r="8319" spans="1:9" x14ac:dyDescent="0.25">
      <c r="A8319">
        <v>700400</v>
      </c>
      <c r="B8319">
        <v>6</v>
      </c>
      <c r="C8319">
        <v>250</v>
      </c>
      <c r="D8319" s="9">
        <v>41746</v>
      </c>
      <c r="E8319" t="s">
        <v>296</v>
      </c>
      <c r="I8319" s="9"/>
    </row>
    <row r="8320" spans="1:9" x14ac:dyDescent="0.25">
      <c r="A8320">
        <v>701173</v>
      </c>
      <c r="B8320">
        <v>2.94</v>
      </c>
      <c r="C8320">
        <v>288</v>
      </c>
      <c r="D8320" s="9">
        <v>43803</v>
      </c>
      <c r="E8320" t="s">
        <v>296</v>
      </c>
      <c r="I8320" s="9"/>
    </row>
    <row r="8321" spans="1:9" x14ac:dyDescent="0.25">
      <c r="A8321">
        <v>701173</v>
      </c>
      <c r="B8321">
        <v>2.72</v>
      </c>
      <c r="C8321">
        <v>288</v>
      </c>
      <c r="D8321" s="9">
        <v>43017</v>
      </c>
      <c r="E8321" t="s">
        <v>296</v>
      </c>
      <c r="I8321" s="9"/>
    </row>
    <row r="8322" spans="1:9" x14ac:dyDescent="0.25">
      <c r="A8322">
        <v>701173</v>
      </c>
      <c r="B8322">
        <v>2.6</v>
      </c>
      <c r="C8322">
        <v>288</v>
      </c>
      <c r="D8322" s="9">
        <v>42617</v>
      </c>
      <c r="E8322" t="s">
        <v>296</v>
      </c>
      <c r="I8322" s="9"/>
    </row>
    <row r="8323" spans="1:9" x14ac:dyDescent="0.25">
      <c r="A8323">
        <v>701173</v>
      </c>
      <c r="B8323">
        <v>2.6</v>
      </c>
      <c r="C8323">
        <v>240</v>
      </c>
      <c r="D8323" s="9">
        <v>42510</v>
      </c>
      <c r="E8323" t="s">
        <v>296</v>
      </c>
      <c r="I8323" s="9"/>
    </row>
    <row r="8324" spans="1:9" x14ac:dyDescent="0.25">
      <c r="A8324">
        <v>701173</v>
      </c>
      <c r="B8324">
        <v>3.7690000000000001</v>
      </c>
      <c r="C8324">
        <v>240</v>
      </c>
      <c r="D8324" s="9">
        <v>42177</v>
      </c>
      <c r="E8324" t="s">
        <v>296</v>
      </c>
      <c r="I8324" s="9"/>
    </row>
    <row r="8325" spans="1:9" x14ac:dyDescent="0.25">
      <c r="A8325">
        <v>701173</v>
      </c>
      <c r="B8325">
        <v>3.7690000000000001</v>
      </c>
      <c r="C8325">
        <v>384</v>
      </c>
      <c r="D8325" s="9">
        <v>41558</v>
      </c>
      <c r="E8325" t="s">
        <v>296</v>
      </c>
      <c r="I8325" s="9"/>
    </row>
    <row r="8326" spans="1:9" x14ac:dyDescent="0.25">
      <c r="A8326">
        <v>701174</v>
      </c>
      <c r="B8326">
        <v>3.1</v>
      </c>
      <c r="C8326">
        <v>360</v>
      </c>
      <c r="D8326" s="9">
        <v>43305</v>
      </c>
      <c r="E8326" t="s">
        <v>296</v>
      </c>
      <c r="I8326" s="9"/>
    </row>
    <row r="8327" spans="1:9" x14ac:dyDescent="0.25">
      <c r="A8327">
        <v>701174</v>
      </c>
      <c r="B8327">
        <v>2.82</v>
      </c>
      <c r="C8327">
        <v>288</v>
      </c>
      <c r="D8327" s="9">
        <v>43017</v>
      </c>
      <c r="E8327" t="s">
        <v>296</v>
      </c>
      <c r="I8327" s="9"/>
    </row>
    <row r="8328" spans="1:9" x14ac:dyDescent="0.25">
      <c r="A8328">
        <v>701174</v>
      </c>
      <c r="B8328">
        <v>2.7</v>
      </c>
      <c r="C8328">
        <v>288</v>
      </c>
      <c r="D8328" s="9">
        <v>42617</v>
      </c>
      <c r="E8328" t="s">
        <v>296</v>
      </c>
      <c r="I8328" s="9"/>
    </row>
    <row r="8329" spans="1:9" x14ac:dyDescent="0.25">
      <c r="A8329">
        <v>701174</v>
      </c>
      <c r="B8329">
        <v>2.7</v>
      </c>
      <c r="C8329">
        <v>240</v>
      </c>
      <c r="D8329" s="9">
        <v>42510</v>
      </c>
      <c r="E8329" t="s">
        <v>296</v>
      </c>
      <c r="I8329" s="9"/>
    </row>
    <row r="8330" spans="1:9" x14ac:dyDescent="0.25">
      <c r="A8330">
        <v>701174</v>
      </c>
      <c r="B8330">
        <v>3.6120000000000001</v>
      </c>
      <c r="C8330">
        <v>240</v>
      </c>
      <c r="D8330" s="9">
        <v>42111</v>
      </c>
      <c r="E8330" t="s">
        <v>296</v>
      </c>
      <c r="I8330" s="9"/>
    </row>
    <row r="8331" spans="1:9" x14ac:dyDescent="0.25">
      <c r="A8331">
        <v>701174</v>
      </c>
      <c r="B8331">
        <v>3.331</v>
      </c>
      <c r="C8331">
        <v>288</v>
      </c>
      <c r="D8331" s="9">
        <v>41558</v>
      </c>
      <c r="E8331" t="s">
        <v>296</v>
      </c>
      <c r="I8331" s="9"/>
    </row>
    <row r="8332" spans="1:9" x14ac:dyDescent="0.25">
      <c r="A8332">
        <v>701174</v>
      </c>
      <c r="B8332">
        <v>3.2490000000000001</v>
      </c>
      <c r="C8332">
        <v>288</v>
      </c>
      <c r="D8332" s="9">
        <v>41295</v>
      </c>
      <c r="E8332" t="s">
        <v>296</v>
      </c>
      <c r="I8332" s="9"/>
    </row>
    <row r="8333" spans="1:9" x14ac:dyDescent="0.25">
      <c r="A8333">
        <v>701210</v>
      </c>
      <c r="B8333">
        <v>0.63</v>
      </c>
      <c r="C8333">
        <v>1020</v>
      </c>
      <c r="D8333" s="9">
        <v>44091</v>
      </c>
      <c r="E8333" t="s">
        <v>296</v>
      </c>
      <c r="I8333" s="9"/>
    </row>
    <row r="8334" spans="1:9" x14ac:dyDescent="0.25">
      <c r="A8334">
        <v>701210</v>
      </c>
      <c r="B8334">
        <v>0.6</v>
      </c>
      <c r="C8334">
        <v>1020</v>
      </c>
      <c r="D8334" s="9">
        <v>43972</v>
      </c>
      <c r="E8334" t="s">
        <v>296</v>
      </c>
      <c r="I8334" s="9"/>
    </row>
    <row r="8335" spans="1:9" x14ac:dyDescent="0.25">
      <c r="A8335">
        <v>701210</v>
      </c>
      <c r="B8335">
        <v>0.6</v>
      </c>
      <c r="C8335">
        <v>1380</v>
      </c>
      <c r="D8335" s="9">
        <v>43483</v>
      </c>
      <c r="E8335" t="s">
        <v>296</v>
      </c>
      <c r="I8335" s="9"/>
    </row>
    <row r="8336" spans="1:9" x14ac:dyDescent="0.25">
      <c r="A8336">
        <v>701210</v>
      </c>
      <c r="B8336">
        <v>0.57199999999999995</v>
      </c>
      <c r="C8336">
        <v>1300</v>
      </c>
      <c r="D8336" s="9">
        <v>43063</v>
      </c>
      <c r="E8336" t="s">
        <v>296</v>
      </c>
      <c r="I8336" s="9"/>
    </row>
    <row r="8337" spans="1:9" x14ac:dyDescent="0.25">
      <c r="A8337">
        <v>701210</v>
      </c>
      <c r="B8337">
        <v>0.53</v>
      </c>
      <c r="C8337">
        <v>1600</v>
      </c>
      <c r="D8337" s="9">
        <v>42753</v>
      </c>
      <c r="E8337" t="s">
        <v>296</v>
      </c>
      <c r="I8337" s="9"/>
    </row>
    <row r="8338" spans="1:9" x14ac:dyDescent="0.25">
      <c r="A8338">
        <v>701210</v>
      </c>
      <c r="B8338">
        <v>0.61</v>
      </c>
      <c r="C8338">
        <v>1000</v>
      </c>
      <c r="D8338" s="9">
        <v>42520</v>
      </c>
      <c r="E8338" t="s">
        <v>297</v>
      </c>
      <c r="I8338" s="9"/>
    </row>
    <row r="8339" spans="1:9" x14ac:dyDescent="0.25">
      <c r="A8339">
        <v>701210</v>
      </c>
      <c r="B8339">
        <v>2.68</v>
      </c>
      <c r="C8339">
        <v>500</v>
      </c>
      <c r="D8339" s="9">
        <v>42520</v>
      </c>
      <c r="E8339" t="s">
        <v>295</v>
      </c>
      <c r="I8339" s="9"/>
    </row>
    <row r="8340" spans="1:9" x14ac:dyDescent="0.25">
      <c r="A8340">
        <v>701210</v>
      </c>
      <c r="B8340">
        <v>0.64200000000000002</v>
      </c>
      <c r="C8340">
        <v>2000</v>
      </c>
      <c r="D8340" s="9">
        <v>42012</v>
      </c>
      <c r="E8340" t="s">
        <v>296</v>
      </c>
      <c r="I8340" s="9"/>
    </row>
    <row r="8341" spans="1:9" x14ac:dyDescent="0.25">
      <c r="A8341">
        <v>701210</v>
      </c>
      <c r="B8341">
        <v>0.64200000000000002</v>
      </c>
      <c r="C8341">
        <v>1300</v>
      </c>
      <c r="D8341" s="9">
        <v>41821</v>
      </c>
      <c r="E8341" t="s">
        <v>296</v>
      </c>
      <c r="I8341" s="9"/>
    </row>
    <row r="8342" spans="1:9" x14ac:dyDescent="0.25">
      <c r="A8342">
        <v>701210</v>
      </c>
      <c r="B8342">
        <v>1.97</v>
      </c>
      <c r="C8342">
        <v>1300</v>
      </c>
      <c r="D8342" s="9">
        <v>41821</v>
      </c>
      <c r="E8342" t="s">
        <v>295</v>
      </c>
      <c r="I8342" s="9"/>
    </row>
    <row r="8343" spans="1:9" x14ac:dyDescent="0.25">
      <c r="A8343">
        <v>701210</v>
      </c>
      <c r="B8343">
        <v>0.64200000000000002</v>
      </c>
      <c r="C8343">
        <v>1300</v>
      </c>
      <c r="D8343" s="9">
        <v>41786</v>
      </c>
      <c r="E8343" t="s">
        <v>296</v>
      </c>
      <c r="I8343" s="9"/>
    </row>
    <row r="8344" spans="1:9" x14ac:dyDescent="0.25">
      <c r="A8344">
        <v>701210</v>
      </c>
      <c r="B8344">
        <v>0.623</v>
      </c>
      <c r="C8344">
        <v>1900</v>
      </c>
      <c r="D8344" s="9">
        <v>41535</v>
      </c>
      <c r="E8344" t="s">
        <v>296</v>
      </c>
      <c r="I8344" s="9"/>
    </row>
    <row r="8345" spans="1:9" x14ac:dyDescent="0.25">
      <c r="A8345">
        <v>701210</v>
      </c>
      <c r="B8345">
        <v>0.68</v>
      </c>
      <c r="C8345">
        <v>1248</v>
      </c>
      <c r="D8345" s="9">
        <v>41484</v>
      </c>
      <c r="E8345" t="s">
        <v>296</v>
      </c>
      <c r="I8345" s="9"/>
    </row>
    <row r="8346" spans="1:9" x14ac:dyDescent="0.25">
      <c r="A8346">
        <v>701220</v>
      </c>
      <c r="B8346">
        <v>0.68500000000000005</v>
      </c>
      <c r="C8346">
        <v>1440</v>
      </c>
      <c r="D8346" s="9">
        <v>43959</v>
      </c>
      <c r="E8346" t="s">
        <v>296</v>
      </c>
      <c r="I8346" s="9"/>
    </row>
    <row r="8347" spans="1:9" x14ac:dyDescent="0.25">
      <c r="A8347">
        <v>701220</v>
      </c>
      <c r="B8347">
        <v>0.72</v>
      </c>
      <c r="C8347">
        <v>1440</v>
      </c>
      <c r="D8347" s="9">
        <v>43760</v>
      </c>
      <c r="E8347" t="s">
        <v>296</v>
      </c>
      <c r="I8347" s="9"/>
    </row>
    <row r="8348" spans="1:9" x14ac:dyDescent="0.25">
      <c r="A8348">
        <v>701220</v>
      </c>
      <c r="B8348">
        <v>0.73</v>
      </c>
      <c r="C8348">
        <v>1440</v>
      </c>
      <c r="D8348" s="9">
        <v>43592</v>
      </c>
      <c r="E8348" t="s">
        <v>296</v>
      </c>
      <c r="I8348" s="9"/>
    </row>
    <row r="8349" spans="1:9" x14ac:dyDescent="0.25">
      <c r="A8349">
        <v>701220</v>
      </c>
      <c r="B8349">
        <v>0.74</v>
      </c>
      <c r="C8349">
        <v>1440</v>
      </c>
      <c r="D8349" s="9">
        <v>43284</v>
      </c>
      <c r="E8349" t="s">
        <v>296</v>
      </c>
      <c r="I8349" s="9"/>
    </row>
    <row r="8350" spans="1:9" x14ac:dyDescent="0.25">
      <c r="A8350">
        <v>701220</v>
      </c>
      <c r="B8350">
        <v>0.7</v>
      </c>
      <c r="C8350">
        <v>1440</v>
      </c>
      <c r="D8350" s="9">
        <v>43131</v>
      </c>
      <c r="E8350" t="s">
        <v>296</v>
      </c>
      <c r="I8350" s="9"/>
    </row>
    <row r="8351" spans="1:9" x14ac:dyDescent="0.25">
      <c r="A8351">
        <v>701220</v>
      </c>
      <c r="B8351">
        <v>0.63</v>
      </c>
      <c r="C8351">
        <v>1440</v>
      </c>
      <c r="D8351" s="9">
        <v>42859</v>
      </c>
      <c r="E8351" t="s">
        <v>296</v>
      </c>
      <c r="I8351" s="9"/>
    </row>
    <row r="8352" spans="1:9" x14ac:dyDescent="0.25">
      <c r="A8352">
        <v>701220</v>
      </c>
      <c r="B8352">
        <v>0.63</v>
      </c>
      <c r="C8352">
        <v>1440</v>
      </c>
      <c r="D8352" s="9">
        <v>42617</v>
      </c>
      <c r="E8352" t="s">
        <v>296</v>
      </c>
      <c r="I8352" s="9"/>
    </row>
    <row r="8353" spans="1:9" x14ac:dyDescent="0.25">
      <c r="A8353">
        <v>701220</v>
      </c>
      <c r="B8353">
        <v>0.71</v>
      </c>
      <c r="C8353">
        <v>1440</v>
      </c>
      <c r="D8353" s="9">
        <v>42380</v>
      </c>
      <c r="E8353" t="s">
        <v>296</v>
      </c>
      <c r="I8353" s="9"/>
    </row>
    <row r="8354" spans="1:9" x14ac:dyDescent="0.25">
      <c r="A8354">
        <v>701220</v>
      </c>
      <c r="B8354">
        <v>0.71</v>
      </c>
      <c r="C8354">
        <v>1440</v>
      </c>
      <c r="D8354" s="9">
        <v>42270</v>
      </c>
      <c r="E8354" t="s">
        <v>296</v>
      </c>
      <c r="I8354" s="9"/>
    </row>
    <row r="8355" spans="1:9" x14ac:dyDescent="0.25">
      <c r="A8355">
        <v>701220</v>
      </c>
      <c r="B8355">
        <v>0.72</v>
      </c>
      <c r="C8355">
        <v>1920</v>
      </c>
      <c r="D8355" s="9">
        <v>41947</v>
      </c>
      <c r="E8355" t="s">
        <v>296</v>
      </c>
      <c r="I8355" s="9"/>
    </row>
    <row r="8356" spans="1:9" x14ac:dyDescent="0.25">
      <c r="A8356">
        <v>701220</v>
      </c>
      <c r="B8356">
        <v>0.7</v>
      </c>
      <c r="C8356">
        <v>1920</v>
      </c>
      <c r="D8356" s="9">
        <v>41947</v>
      </c>
      <c r="E8356" t="s">
        <v>296</v>
      </c>
      <c r="I8356" s="9"/>
    </row>
    <row r="8357" spans="1:9" x14ac:dyDescent="0.25">
      <c r="A8357">
        <v>701220</v>
      </c>
      <c r="B8357">
        <v>0.72</v>
      </c>
      <c r="C8357">
        <v>1920</v>
      </c>
      <c r="D8357" s="9">
        <v>41813</v>
      </c>
      <c r="E8357" t="s">
        <v>296</v>
      </c>
      <c r="I8357" s="9"/>
    </row>
    <row r="8358" spans="1:9" x14ac:dyDescent="0.25">
      <c r="A8358">
        <v>701220</v>
      </c>
      <c r="B8358">
        <v>0.72</v>
      </c>
      <c r="C8358">
        <v>1920</v>
      </c>
      <c r="D8358" s="9">
        <v>41718</v>
      </c>
      <c r="E8358" t="s">
        <v>296</v>
      </c>
      <c r="I8358" s="9"/>
    </row>
    <row r="8359" spans="1:9" x14ac:dyDescent="0.25">
      <c r="A8359">
        <v>701220</v>
      </c>
      <c r="B8359">
        <v>0.7</v>
      </c>
      <c r="C8359">
        <v>1440</v>
      </c>
      <c r="D8359" s="9">
        <v>41592</v>
      </c>
      <c r="E8359" t="s">
        <v>296</v>
      </c>
      <c r="I8359" s="9"/>
    </row>
    <row r="8360" spans="1:9" x14ac:dyDescent="0.25">
      <c r="A8360">
        <v>701220</v>
      </c>
      <c r="B8360">
        <v>0.7</v>
      </c>
      <c r="C8360">
        <v>1440</v>
      </c>
      <c r="D8360" s="9">
        <v>41484</v>
      </c>
      <c r="E8360" t="s">
        <v>296</v>
      </c>
      <c r="I8360" s="9"/>
    </row>
    <row r="8361" spans="1:9" x14ac:dyDescent="0.25">
      <c r="A8361">
        <v>701220</v>
      </c>
      <c r="B8361">
        <v>0.7</v>
      </c>
      <c r="C8361">
        <v>1440</v>
      </c>
      <c r="D8361" s="9">
        <v>41366</v>
      </c>
      <c r="E8361" t="s">
        <v>296</v>
      </c>
      <c r="I8361" s="9"/>
    </row>
    <row r="8362" spans="1:9" x14ac:dyDescent="0.25">
      <c r="A8362">
        <v>701228</v>
      </c>
      <c r="B8362">
        <v>3.18</v>
      </c>
      <c r="C8362">
        <v>288</v>
      </c>
      <c r="D8362" s="9">
        <v>43483</v>
      </c>
      <c r="E8362" t="s">
        <v>296</v>
      </c>
      <c r="I8362" s="9"/>
    </row>
    <row r="8363" spans="1:9" x14ac:dyDescent="0.25">
      <c r="A8363">
        <v>701237</v>
      </c>
      <c r="B8363">
        <v>2.5499999999999998</v>
      </c>
      <c r="C8363">
        <v>288</v>
      </c>
      <c r="D8363" s="9">
        <v>43483</v>
      </c>
      <c r="E8363" t="s">
        <v>296</v>
      </c>
      <c r="I8363" s="9"/>
    </row>
    <row r="8364" spans="1:9" x14ac:dyDescent="0.25">
      <c r="A8364">
        <v>712015</v>
      </c>
      <c r="B8364">
        <v>1.1499999999999999</v>
      </c>
      <c r="C8364">
        <v>480</v>
      </c>
      <c r="D8364" s="9">
        <v>44131</v>
      </c>
      <c r="E8364" t="s">
        <v>296</v>
      </c>
      <c r="I8364" s="9"/>
    </row>
    <row r="8365" spans="1:9" x14ac:dyDescent="0.25">
      <c r="A8365">
        <v>712015</v>
      </c>
      <c r="B8365">
        <v>1.1499999999999999</v>
      </c>
      <c r="C8365">
        <v>840</v>
      </c>
      <c r="D8365" s="9">
        <v>43600</v>
      </c>
      <c r="E8365" t="s">
        <v>296</v>
      </c>
      <c r="I8365" s="9"/>
    </row>
    <row r="8366" spans="1:9" x14ac:dyDescent="0.25">
      <c r="A8366">
        <v>712015</v>
      </c>
      <c r="B8366">
        <v>3.63</v>
      </c>
      <c r="C8366">
        <v>960</v>
      </c>
      <c r="D8366" s="9">
        <v>42520</v>
      </c>
      <c r="E8366" t="s">
        <v>295</v>
      </c>
      <c r="I8366" s="9"/>
    </row>
    <row r="8367" spans="1:9" x14ac:dyDescent="0.25">
      <c r="A8367">
        <v>712015</v>
      </c>
      <c r="B8367">
        <v>0.82599999999999996</v>
      </c>
      <c r="C8367">
        <v>960</v>
      </c>
      <c r="D8367" s="9">
        <v>42520</v>
      </c>
      <c r="E8367" t="s">
        <v>297</v>
      </c>
      <c r="I8367" s="9"/>
    </row>
    <row r="8368" spans="1:9" x14ac:dyDescent="0.25">
      <c r="A8368">
        <v>712015</v>
      </c>
      <c r="B8368">
        <v>0.82599999999999996</v>
      </c>
      <c r="C8368">
        <v>960</v>
      </c>
      <c r="D8368" s="9">
        <v>42233</v>
      </c>
      <c r="E8368" t="s">
        <v>297</v>
      </c>
      <c r="I8368" s="9"/>
    </row>
    <row r="8369" spans="1:9" x14ac:dyDescent="0.25">
      <c r="A8369">
        <v>712015</v>
      </c>
      <c r="B8369">
        <v>0.86</v>
      </c>
      <c r="C8369">
        <v>960</v>
      </c>
      <c r="D8369" s="9">
        <v>41821</v>
      </c>
      <c r="E8369" t="s">
        <v>296</v>
      </c>
      <c r="I8369" s="9"/>
    </row>
    <row r="8370" spans="1:9" x14ac:dyDescent="0.25">
      <c r="A8370">
        <v>712015</v>
      </c>
      <c r="B8370">
        <v>2.64</v>
      </c>
      <c r="C8370">
        <v>960</v>
      </c>
      <c r="D8370" s="9">
        <v>41821</v>
      </c>
      <c r="E8370" t="s">
        <v>295</v>
      </c>
      <c r="I8370" s="9"/>
    </row>
    <row r="8371" spans="1:9" x14ac:dyDescent="0.25">
      <c r="A8371">
        <v>712015</v>
      </c>
      <c r="B8371">
        <v>0.86</v>
      </c>
      <c r="C8371">
        <v>960</v>
      </c>
      <c r="D8371" s="9">
        <v>41535</v>
      </c>
      <c r="E8371" t="s">
        <v>296</v>
      </c>
      <c r="I8371" s="9"/>
    </row>
    <row r="8372" spans="1:9" x14ac:dyDescent="0.25">
      <c r="A8372">
        <v>712041</v>
      </c>
      <c r="B8372">
        <v>1.45</v>
      </c>
      <c r="C8372">
        <v>480</v>
      </c>
      <c r="D8372" s="9">
        <v>44043</v>
      </c>
      <c r="E8372" t="s">
        <v>296</v>
      </c>
      <c r="I8372" s="9"/>
    </row>
    <row r="8373" spans="1:9" x14ac:dyDescent="0.25">
      <c r="A8373">
        <v>712041</v>
      </c>
      <c r="B8373">
        <v>1.38</v>
      </c>
      <c r="C8373">
        <v>792</v>
      </c>
      <c r="D8373" s="9">
        <v>43063</v>
      </c>
      <c r="E8373" t="s">
        <v>296</v>
      </c>
      <c r="I8373" s="9"/>
    </row>
    <row r="8374" spans="1:9" x14ac:dyDescent="0.25">
      <c r="A8374">
        <v>712041</v>
      </c>
      <c r="B8374">
        <v>1.4</v>
      </c>
      <c r="C8374">
        <v>600</v>
      </c>
      <c r="D8374" s="9">
        <v>42719</v>
      </c>
      <c r="E8374" t="s">
        <v>296</v>
      </c>
      <c r="I8374" s="9"/>
    </row>
    <row r="8375" spans="1:9" x14ac:dyDescent="0.25">
      <c r="A8375">
        <v>712041</v>
      </c>
      <c r="B8375">
        <v>1.4</v>
      </c>
      <c r="C8375">
        <v>672</v>
      </c>
      <c r="D8375" s="9">
        <v>42617</v>
      </c>
      <c r="E8375" t="s">
        <v>296</v>
      </c>
      <c r="I8375" s="9"/>
    </row>
    <row r="8376" spans="1:9" x14ac:dyDescent="0.25">
      <c r="A8376">
        <v>712041</v>
      </c>
      <c r="B8376">
        <v>1.4</v>
      </c>
      <c r="C8376">
        <v>576</v>
      </c>
      <c r="D8376" s="9">
        <v>42383</v>
      </c>
      <c r="E8376" t="s">
        <v>296</v>
      </c>
      <c r="I8376" s="9"/>
    </row>
    <row r="8377" spans="1:9" x14ac:dyDescent="0.25">
      <c r="A8377">
        <v>712041</v>
      </c>
      <c r="B8377">
        <v>1.4750000000000001</v>
      </c>
      <c r="C8377">
        <v>576</v>
      </c>
      <c r="D8377" s="9">
        <v>42233</v>
      </c>
      <c r="E8377" t="s">
        <v>297</v>
      </c>
      <c r="I8377" s="9"/>
    </row>
    <row r="8378" spans="1:9" x14ac:dyDescent="0.25">
      <c r="A8378">
        <v>712041</v>
      </c>
      <c r="B8378">
        <v>1.605</v>
      </c>
      <c r="C8378">
        <v>720</v>
      </c>
      <c r="D8378" s="9">
        <v>42012</v>
      </c>
      <c r="E8378" t="s">
        <v>296</v>
      </c>
      <c r="I8378" s="9"/>
    </row>
    <row r="8379" spans="1:9" x14ac:dyDescent="0.25">
      <c r="A8379">
        <v>712041</v>
      </c>
      <c r="B8379">
        <v>4.93</v>
      </c>
      <c r="C8379">
        <v>768</v>
      </c>
      <c r="D8379" s="9">
        <v>41821</v>
      </c>
      <c r="E8379" t="s">
        <v>295</v>
      </c>
      <c r="I8379" s="9"/>
    </row>
    <row r="8380" spans="1:9" x14ac:dyDescent="0.25">
      <c r="A8380">
        <v>712041</v>
      </c>
      <c r="B8380">
        <v>1.605</v>
      </c>
      <c r="C8380">
        <v>768</v>
      </c>
      <c r="D8380" s="9">
        <v>41821</v>
      </c>
      <c r="E8380" t="s">
        <v>296</v>
      </c>
      <c r="I8380" s="9"/>
    </row>
    <row r="8381" spans="1:9" x14ac:dyDescent="0.25">
      <c r="A8381">
        <v>712041</v>
      </c>
      <c r="B8381">
        <v>1.5580000000000001</v>
      </c>
      <c r="C8381">
        <v>960</v>
      </c>
      <c r="D8381" s="9">
        <v>41535</v>
      </c>
      <c r="E8381" t="s">
        <v>296</v>
      </c>
      <c r="I8381" s="9"/>
    </row>
    <row r="8382" spans="1:9" x14ac:dyDescent="0.25">
      <c r="A8382">
        <v>712042</v>
      </c>
      <c r="B8382">
        <v>1.23</v>
      </c>
      <c r="C8382">
        <v>560</v>
      </c>
      <c r="D8382" s="9">
        <v>44043</v>
      </c>
      <c r="E8382" t="s">
        <v>296</v>
      </c>
      <c r="I8382" s="9"/>
    </row>
    <row r="8383" spans="1:9" x14ac:dyDescent="0.25">
      <c r="A8383">
        <v>712042</v>
      </c>
      <c r="B8383">
        <v>1.23</v>
      </c>
      <c r="C8383">
        <v>500</v>
      </c>
      <c r="D8383" s="9">
        <v>43648</v>
      </c>
      <c r="E8383" t="s">
        <v>296</v>
      </c>
      <c r="I8383" s="9"/>
    </row>
    <row r="8384" spans="1:9" x14ac:dyDescent="0.25">
      <c r="A8384">
        <v>712042</v>
      </c>
      <c r="B8384">
        <v>1.23</v>
      </c>
      <c r="C8384">
        <v>650</v>
      </c>
      <c r="D8384" s="9">
        <v>43381</v>
      </c>
      <c r="E8384" t="s">
        <v>296</v>
      </c>
      <c r="I8384" s="9"/>
    </row>
    <row r="8385" spans="1:9" x14ac:dyDescent="0.25">
      <c r="A8385">
        <v>712042</v>
      </c>
      <c r="B8385">
        <v>1.1000000000000001</v>
      </c>
      <c r="C8385">
        <v>960</v>
      </c>
      <c r="D8385" s="9">
        <v>42912</v>
      </c>
      <c r="E8385" t="s">
        <v>296</v>
      </c>
      <c r="I8385" s="9"/>
    </row>
    <row r="8386" spans="1:9" x14ac:dyDescent="0.25">
      <c r="A8386">
        <v>712042</v>
      </c>
      <c r="B8386">
        <v>1.03</v>
      </c>
      <c r="C8386">
        <v>960</v>
      </c>
      <c r="D8386" s="9">
        <v>42655</v>
      </c>
      <c r="E8386" t="s">
        <v>296</v>
      </c>
      <c r="I8386" s="9"/>
    </row>
    <row r="8387" spans="1:9" x14ac:dyDescent="0.25">
      <c r="A8387">
        <v>712042</v>
      </c>
      <c r="B8387">
        <v>1.03</v>
      </c>
      <c r="C8387">
        <v>960</v>
      </c>
      <c r="D8387" s="9">
        <v>42655</v>
      </c>
      <c r="E8387" t="s">
        <v>296</v>
      </c>
      <c r="I8387" s="9"/>
    </row>
    <row r="8388" spans="1:9" x14ac:dyDescent="0.25">
      <c r="A8388">
        <v>712042</v>
      </c>
      <c r="B8388">
        <v>1.1000000000000001</v>
      </c>
      <c r="C8388">
        <v>560</v>
      </c>
      <c r="D8388" s="9">
        <v>42325</v>
      </c>
      <c r="E8388" t="s">
        <v>296</v>
      </c>
      <c r="I8388" s="9"/>
    </row>
    <row r="8389" spans="1:9" x14ac:dyDescent="0.25">
      <c r="A8389">
        <v>712042</v>
      </c>
      <c r="B8389">
        <v>1.1000000000000001</v>
      </c>
      <c r="C8389">
        <v>1000</v>
      </c>
      <c r="D8389" s="9">
        <v>41934</v>
      </c>
      <c r="E8389" t="s">
        <v>296</v>
      </c>
      <c r="I8389" s="9"/>
    </row>
    <row r="8390" spans="1:9" x14ac:dyDescent="0.25">
      <c r="A8390">
        <v>712070</v>
      </c>
      <c r="B8390">
        <v>1.05</v>
      </c>
      <c r="C8390">
        <v>640</v>
      </c>
      <c r="D8390" s="9">
        <v>42912</v>
      </c>
      <c r="E8390" t="s">
        <v>296</v>
      </c>
      <c r="I8390" s="9"/>
    </row>
    <row r="8391" spans="1:9" x14ac:dyDescent="0.25">
      <c r="A8391">
        <v>712070</v>
      </c>
      <c r="B8391">
        <v>1.03</v>
      </c>
      <c r="C8391">
        <v>1200</v>
      </c>
      <c r="D8391" s="9">
        <v>41934</v>
      </c>
      <c r="E8391" t="s">
        <v>296</v>
      </c>
      <c r="I8391" s="9"/>
    </row>
    <row r="8392" spans="1:9" x14ac:dyDescent="0.25">
      <c r="A8392">
        <v>712250</v>
      </c>
      <c r="B8392">
        <v>0.66500000000000004</v>
      </c>
      <c r="C8392">
        <v>1200</v>
      </c>
      <c r="D8392" s="9">
        <v>44070</v>
      </c>
      <c r="E8392" t="s">
        <v>296</v>
      </c>
      <c r="I8392" s="9"/>
    </row>
    <row r="8393" spans="1:9" x14ac:dyDescent="0.25">
      <c r="A8393">
        <v>712250</v>
      </c>
      <c r="B8393">
        <v>0.81</v>
      </c>
      <c r="C8393">
        <v>1020</v>
      </c>
      <c r="D8393" s="9">
        <v>43648</v>
      </c>
      <c r="E8393" t="s">
        <v>296</v>
      </c>
      <c r="I8393" s="9"/>
    </row>
    <row r="8394" spans="1:9" x14ac:dyDescent="0.25">
      <c r="A8394">
        <v>712250</v>
      </c>
      <c r="B8394">
        <v>0.64</v>
      </c>
      <c r="C8394">
        <v>1440</v>
      </c>
      <c r="D8394" s="9">
        <v>43608</v>
      </c>
      <c r="E8394" t="s">
        <v>296</v>
      </c>
      <c r="I8394" s="9"/>
    </row>
    <row r="8395" spans="1:9" x14ac:dyDescent="0.25">
      <c r="A8395">
        <v>712250</v>
      </c>
      <c r="B8395">
        <v>0.64400000000000002</v>
      </c>
      <c r="C8395">
        <v>1320</v>
      </c>
      <c r="D8395" s="9">
        <v>42753</v>
      </c>
      <c r="E8395" t="s">
        <v>297</v>
      </c>
      <c r="I8395" s="9"/>
    </row>
    <row r="8396" spans="1:9" x14ac:dyDescent="0.25">
      <c r="A8396">
        <v>712250</v>
      </c>
      <c r="B8396">
        <v>0.67800000000000005</v>
      </c>
      <c r="C8396">
        <v>1320</v>
      </c>
      <c r="D8396" s="9">
        <v>41961</v>
      </c>
      <c r="E8396" t="s">
        <v>296</v>
      </c>
      <c r="I8396" s="9"/>
    </row>
    <row r="8397" spans="1:9" x14ac:dyDescent="0.25">
      <c r="A8397">
        <v>712250</v>
      </c>
      <c r="B8397">
        <v>0.67800000000000005</v>
      </c>
      <c r="C8397">
        <v>1440</v>
      </c>
      <c r="D8397" s="9">
        <v>41456</v>
      </c>
      <c r="E8397" t="s">
        <v>296</v>
      </c>
      <c r="I8397" s="9"/>
    </row>
    <row r="8398" spans="1:9" x14ac:dyDescent="0.25">
      <c r="A8398">
        <v>712360</v>
      </c>
      <c r="B8398">
        <v>0.75</v>
      </c>
      <c r="C8398">
        <v>1000</v>
      </c>
      <c r="D8398" s="9">
        <v>42972</v>
      </c>
      <c r="E8398" t="s">
        <v>296</v>
      </c>
      <c r="I8398" s="9"/>
    </row>
    <row r="8399" spans="1:9" x14ac:dyDescent="0.25">
      <c r="A8399">
        <v>712360</v>
      </c>
      <c r="B8399">
        <v>0.72</v>
      </c>
      <c r="C8399">
        <v>3000</v>
      </c>
      <c r="D8399" s="9">
        <v>42031</v>
      </c>
      <c r="E8399" t="s">
        <v>296</v>
      </c>
      <c r="I8399" s="9"/>
    </row>
    <row r="8400" spans="1:9" x14ac:dyDescent="0.25">
      <c r="A8400">
        <v>712360</v>
      </c>
      <c r="B8400">
        <v>0.7</v>
      </c>
      <c r="C8400">
        <v>1400</v>
      </c>
      <c r="D8400" s="9">
        <v>41837</v>
      </c>
      <c r="E8400" t="s">
        <v>296</v>
      </c>
      <c r="I8400" s="9"/>
    </row>
    <row r="8401" spans="1:9" x14ac:dyDescent="0.25">
      <c r="A8401">
        <v>712370</v>
      </c>
      <c r="B8401">
        <v>2.35</v>
      </c>
      <c r="C8401">
        <v>300</v>
      </c>
      <c r="D8401" s="9">
        <v>44060</v>
      </c>
      <c r="E8401" t="s">
        <v>296</v>
      </c>
      <c r="I8401" s="9"/>
    </row>
    <row r="8402" spans="1:9" x14ac:dyDescent="0.25">
      <c r="A8402">
        <v>712370</v>
      </c>
      <c r="B8402">
        <v>2.35</v>
      </c>
      <c r="C8402">
        <v>250</v>
      </c>
      <c r="D8402" s="9">
        <v>43959</v>
      </c>
      <c r="E8402" t="s">
        <v>296</v>
      </c>
      <c r="I8402" s="9"/>
    </row>
    <row r="8403" spans="1:9" x14ac:dyDescent="0.25">
      <c r="A8403">
        <v>712370</v>
      </c>
      <c r="B8403">
        <v>2.35</v>
      </c>
      <c r="C8403">
        <v>250</v>
      </c>
      <c r="D8403" s="9">
        <v>43819</v>
      </c>
      <c r="E8403" t="s">
        <v>296</v>
      </c>
      <c r="I8403" s="9"/>
    </row>
    <row r="8404" spans="1:9" x14ac:dyDescent="0.25">
      <c r="A8404">
        <v>712370</v>
      </c>
      <c r="B8404">
        <v>2.2999999999999998</v>
      </c>
      <c r="C8404">
        <v>450</v>
      </c>
      <c r="D8404" s="9">
        <v>43605</v>
      </c>
      <c r="E8404" t="s">
        <v>296</v>
      </c>
      <c r="I8404" s="9"/>
    </row>
    <row r="8405" spans="1:9" x14ac:dyDescent="0.25">
      <c r="A8405">
        <v>712370</v>
      </c>
      <c r="B8405">
        <v>2.2999999999999998</v>
      </c>
      <c r="C8405">
        <v>450</v>
      </c>
      <c r="D8405" s="9">
        <v>43409</v>
      </c>
      <c r="E8405" t="s">
        <v>296</v>
      </c>
      <c r="I8405" s="9"/>
    </row>
    <row r="8406" spans="1:9" x14ac:dyDescent="0.25">
      <c r="A8406">
        <v>712370</v>
      </c>
      <c r="B8406">
        <v>2.5</v>
      </c>
      <c r="C8406">
        <v>500</v>
      </c>
      <c r="D8406" s="9">
        <v>43131</v>
      </c>
      <c r="E8406" t="s">
        <v>296</v>
      </c>
      <c r="I8406" s="9"/>
    </row>
    <row r="8407" spans="1:9" x14ac:dyDescent="0.25">
      <c r="A8407">
        <v>712370</v>
      </c>
      <c r="B8407">
        <v>2.5</v>
      </c>
      <c r="C8407">
        <v>500</v>
      </c>
      <c r="D8407" s="9">
        <v>42859</v>
      </c>
      <c r="E8407" t="s">
        <v>296</v>
      </c>
      <c r="I8407" s="9"/>
    </row>
    <row r="8408" spans="1:9" x14ac:dyDescent="0.25">
      <c r="A8408">
        <v>712370</v>
      </c>
      <c r="B8408">
        <v>2.5</v>
      </c>
      <c r="C8408">
        <v>300</v>
      </c>
      <c r="D8408" s="9">
        <v>42380</v>
      </c>
      <c r="E8408" t="s">
        <v>296</v>
      </c>
      <c r="I8408" s="9"/>
    </row>
    <row r="8409" spans="1:9" x14ac:dyDescent="0.25">
      <c r="A8409">
        <v>712370</v>
      </c>
      <c r="B8409">
        <v>2.5</v>
      </c>
      <c r="C8409">
        <v>300</v>
      </c>
      <c r="D8409" s="9">
        <v>42191</v>
      </c>
      <c r="E8409" t="s">
        <v>296</v>
      </c>
      <c r="I8409" s="9"/>
    </row>
    <row r="8410" spans="1:9" x14ac:dyDescent="0.25">
      <c r="A8410">
        <v>712370</v>
      </c>
      <c r="B8410">
        <v>2.98</v>
      </c>
      <c r="C8410">
        <v>100</v>
      </c>
      <c r="D8410" s="9">
        <v>41934</v>
      </c>
      <c r="E8410" t="s">
        <v>296</v>
      </c>
      <c r="I8410" s="9"/>
    </row>
    <row r="8411" spans="1:9" x14ac:dyDescent="0.25">
      <c r="A8411">
        <v>712376</v>
      </c>
      <c r="B8411">
        <v>3.48</v>
      </c>
      <c r="C8411">
        <v>480</v>
      </c>
      <c r="D8411" s="9">
        <v>44113</v>
      </c>
      <c r="E8411" t="s">
        <v>296</v>
      </c>
      <c r="I8411" s="9"/>
    </row>
    <row r="8412" spans="1:9" x14ac:dyDescent="0.25">
      <c r="A8412">
        <v>712376</v>
      </c>
      <c r="B8412">
        <v>3.48</v>
      </c>
      <c r="C8412">
        <v>480</v>
      </c>
      <c r="D8412" s="9">
        <v>43784</v>
      </c>
      <c r="E8412" t="s">
        <v>296</v>
      </c>
      <c r="I8412" s="9"/>
    </row>
    <row r="8413" spans="1:9" x14ac:dyDescent="0.25">
      <c r="A8413">
        <v>712376</v>
      </c>
      <c r="B8413">
        <v>3.6</v>
      </c>
      <c r="C8413">
        <v>480</v>
      </c>
      <c r="D8413" s="9">
        <v>43612</v>
      </c>
      <c r="E8413" t="s">
        <v>296</v>
      </c>
      <c r="I8413" s="9"/>
    </row>
    <row r="8414" spans="1:9" x14ac:dyDescent="0.25">
      <c r="A8414">
        <v>712376</v>
      </c>
      <c r="B8414">
        <v>10.72</v>
      </c>
      <c r="C8414">
        <v>360</v>
      </c>
      <c r="D8414" s="9">
        <v>43090</v>
      </c>
      <c r="E8414" t="s">
        <v>295</v>
      </c>
      <c r="I8414" s="9"/>
    </row>
    <row r="8415" spans="1:9" x14ac:dyDescent="0.25">
      <c r="A8415">
        <v>712376</v>
      </c>
      <c r="B8415">
        <v>2.8</v>
      </c>
      <c r="C8415">
        <v>720</v>
      </c>
      <c r="D8415" s="9">
        <v>43052</v>
      </c>
      <c r="E8415" t="s">
        <v>296</v>
      </c>
      <c r="I8415" s="9"/>
    </row>
    <row r="8416" spans="1:9" x14ac:dyDescent="0.25">
      <c r="A8416">
        <v>712376</v>
      </c>
      <c r="B8416">
        <v>2.8</v>
      </c>
      <c r="C8416">
        <v>384</v>
      </c>
      <c r="D8416" s="9">
        <v>42655</v>
      </c>
      <c r="E8416" t="s">
        <v>296</v>
      </c>
      <c r="I8416" s="9"/>
    </row>
    <row r="8417" spans="1:9" x14ac:dyDescent="0.25">
      <c r="A8417">
        <v>712376</v>
      </c>
      <c r="B8417">
        <v>2.8</v>
      </c>
      <c r="C8417">
        <v>384</v>
      </c>
      <c r="D8417" s="9">
        <v>42655</v>
      </c>
      <c r="E8417" t="s">
        <v>296</v>
      </c>
      <c r="I8417" s="9"/>
    </row>
    <row r="8418" spans="1:9" x14ac:dyDescent="0.25">
      <c r="A8418">
        <v>712376</v>
      </c>
      <c r="B8418">
        <v>2.8</v>
      </c>
      <c r="C8418">
        <v>576</v>
      </c>
      <c r="D8418" s="9">
        <v>41934</v>
      </c>
      <c r="E8418" t="s">
        <v>296</v>
      </c>
      <c r="I8418" s="9"/>
    </row>
    <row r="8419" spans="1:9" x14ac:dyDescent="0.25">
      <c r="A8419">
        <v>712377</v>
      </c>
      <c r="B8419">
        <v>1.962</v>
      </c>
      <c r="C8419">
        <v>720</v>
      </c>
      <c r="D8419" s="9">
        <v>44070</v>
      </c>
      <c r="E8419" t="s">
        <v>296</v>
      </c>
      <c r="I8419" s="9"/>
    </row>
    <row r="8420" spans="1:9" x14ac:dyDescent="0.25">
      <c r="A8420">
        <v>712377</v>
      </c>
      <c r="B8420">
        <v>2.35</v>
      </c>
      <c r="C8420">
        <v>720</v>
      </c>
      <c r="D8420" s="9">
        <v>43600</v>
      </c>
      <c r="E8420" t="s">
        <v>296</v>
      </c>
      <c r="I8420" s="9"/>
    </row>
    <row r="8421" spans="1:9" x14ac:dyDescent="0.25">
      <c r="A8421">
        <v>712460</v>
      </c>
      <c r="B8421">
        <v>1</v>
      </c>
      <c r="C8421">
        <v>960</v>
      </c>
      <c r="D8421" s="9">
        <v>42585</v>
      </c>
      <c r="E8421" t="s">
        <v>296</v>
      </c>
      <c r="I8421" s="9"/>
    </row>
    <row r="8422" spans="1:9" x14ac:dyDescent="0.25">
      <c r="A8422">
        <v>712460</v>
      </c>
      <c r="B8422">
        <v>1.1100000000000001</v>
      </c>
      <c r="C8422">
        <v>1008</v>
      </c>
      <c r="D8422" s="9">
        <v>42299</v>
      </c>
      <c r="E8422" t="s">
        <v>296</v>
      </c>
      <c r="I8422" s="9"/>
    </row>
    <row r="8423" spans="1:9" x14ac:dyDescent="0.25">
      <c r="A8423">
        <v>712460</v>
      </c>
      <c r="B8423">
        <v>1.1000000000000001</v>
      </c>
      <c r="C8423">
        <v>1440</v>
      </c>
      <c r="D8423" s="9">
        <v>41813</v>
      </c>
      <c r="E8423" t="s">
        <v>296</v>
      </c>
      <c r="I8423" s="9"/>
    </row>
    <row r="8424" spans="1:9" x14ac:dyDescent="0.25">
      <c r="A8424">
        <v>712560</v>
      </c>
      <c r="B8424">
        <v>1.149</v>
      </c>
      <c r="C8424">
        <v>1160</v>
      </c>
      <c r="D8424" s="9">
        <v>44095</v>
      </c>
      <c r="E8424" t="s">
        <v>296</v>
      </c>
      <c r="I8424" s="9"/>
    </row>
    <row r="8425" spans="1:9" x14ac:dyDescent="0.25">
      <c r="A8425">
        <v>712560</v>
      </c>
      <c r="B8425">
        <v>1.2849999999999999</v>
      </c>
      <c r="C8425">
        <v>1000</v>
      </c>
      <c r="D8425" s="9">
        <v>43955</v>
      </c>
      <c r="E8425" t="s">
        <v>296</v>
      </c>
      <c r="I8425" s="9"/>
    </row>
    <row r="8426" spans="1:9" x14ac:dyDescent="0.25">
      <c r="A8426">
        <v>712560</v>
      </c>
      <c r="B8426">
        <v>1.2849999999999999</v>
      </c>
      <c r="C8426">
        <v>960</v>
      </c>
      <c r="D8426" s="9">
        <v>43819</v>
      </c>
      <c r="E8426" t="s">
        <v>296</v>
      </c>
      <c r="I8426" s="9"/>
    </row>
    <row r="8427" spans="1:9" x14ac:dyDescent="0.25">
      <c r="A8427">
        <v>712560</v>
      </c>
      <c r="B8427">
        <v>1.2849999999999999</v>
      </c>
      <c r="C8427">
        <v>960</v>
      </c>
      <c r="D8427" s="9">
        <v>43819</v>
      </c>
      <c r="E8427" t="s">
        <v>296</v>
      </c>
      <c r="I8427" s="9"/>
    </row>
    <row r="8428" spans="1:9" x14ac:dyDescent="0.25">
      <c r="A8428">
        <v>712560</v>
      </c>
      <c r="B8428">
        <v>1.2849999999999999</v>
      </c>
      <c r="C8428">
        <v>1200</v>
      </c>
      <c r="D8428" s="9">
        <v>43598</v>
      </c>
      <c r="E8428" t="s">
        <v>296</v>
      </c>
      <c r="I8428" s="9"/>
    </row>
    <row r="8429" spans="1:9" x14ac:dyDescent="0.25">
      <c r="A8429">
        <v>712560</v>
      </c>
      <c r="B8429">
        <v>1.2849999999999999</v>
      </c>
      <c r="C8429">
        <v>1400</v>
      </c>
      <c r="D8429" s="9">
        <v>43381</v>
      </c>
      <c r="E8429" t="s">
        <v>296</v>
      </c>
      <c r="I8429" s="9"/>
    </row>
    <row r="8430" spans="1:9" x14ac:dyDescent="0.25">
      <c r="A8430">
        <v>712560</v>
      </c>
      <c r="B8430">
        <v>1.2849999999999999</v>
      </c>
      <c r="C8430">
        <v>880</v>
      </c>
      <c r="D8430" s="9">
        <v>43228</v>
      </c>
      <c r="E8430" t="s">
        <v>296</v>
      </c>
      <c r="I8430" s="9"/>
    </row>
    <row r="8431" spans="1:9" x14ac:dyDescent="0.25">
      <c r="A8431">
        <v>712560</v>
      </c>
      <c r="B8431">
        <v>1.2649999999999999</v>
      </c>
      <c r="C8431">
        <v>1000</v>
      </c>
      <c r="D8431" s="9">
        <v>43116</v>
      </c>
      <c r="E8431" t="s">
        <v>296</v>
      </c>
      <c r="I8431" s="9"/>
    </row>
    <row r="8432" spans="1:9" x14ac:dyDescent="0.25">
      <c r="A8432">
        <v>712560</v>
      </c>
      <c r="B8432">
        <v>1.2649999999999999</v>
      </c>
      <c r="C8432">
        <v>1120</v>
      </c>
      <c r="D8432" s="9">
        <v>43039</v>
      </c>
      <c r="E8432" t="s">
        <v>296</v>
      </c>
      <c r="I8432" s="9"/>
    </row>
    <row r="8433" spans="1:9" x14ac:dyDescent="0.25">
      <c r="A8433">
        <v>712560</v>
      </c>
      <c r="B8433">
        <v>1.1000000000000001</v>
      </c>
      <c r="C8433">
        <v>1200</v>
      </c>
      <c r="D8433" s="9">
        <v>42905</v>
      </c>
      <c r="E8433" t="s">
        <v>296</v>
      </c>
      <c r="I8433" s="9"/>
    </row>
    <row r="8434" spans="1:9" x14ac:dyDescent="0.25">
      <c r="A8434">
        <v>712560</v>
      </c>
      <c r="B8434">
        <v>1.02</v>
      </c>
      <c r="C8434">
        <v>960</v>
      </c>
      <c r="D8434" s="9">
        <v>42781</v>
      </c>
      <c r="E8434" t="s">
        <v>296</v>
      </c>
      <c r="I8434" s="9"/>
    </row>
    <row r="8435" spans="1:9" x14ac:dyDescent="0.25">
      <c r="A8435">
        <v>712560</v>
      </c>
      <c r="B8435">
        <v>1.03</v>
      </c>
      <c r="C8435">
        <v>1440</v>
      </c>
      <c r="D8435" s="9">
        <v>42585</v>
      </c>
      <c r="E8435" t="s">
        <v>296</v>
      </c>
      <c r="I8435" s="9"/>
    </row>
    <row r="8436" spans="1:9" x14ac:dyDescent="0.25">
      <c r="A8436">
        <v>712560</v>
      </c>
      <c r="B8436">
        <v>1.1000000000000001</v>
      </c>
      <c r="C8436">
        <v>800</v>
      </c>
      <c r="D8436" s="9">
        <v>42530</v>
      </c>
      <c r="E8436" t="s">
        <v>296</v>
      </c>
      <c r="I8436" s="9"/>
    </row>
    <row r="8437" spans="1:9" x14ac:dyDescent="0.25">
      <c r="A8437">
        <v>712560</v>
      </c>
      <c r="B8437">
        <v>1.21</v>
      </c>
      <c r="C8437">
        <v>1000</v>
      </c>
      <c r="D8437" s="9">
        <v>42299</v>
      </c>
      <c r="E8437" t="s">
        <v>296</v>
      </c>
      <c r="I8437" s="9"/>
    </row>
    <row r="8438" spans="1:9" x14ac:dyDescent="0.25">
      <c r="A8438">
        <v>712560</v>
      </c>
      <c r="B8438">
        <v>1.2</v>
      </c>
      <c r="C8438">
        <v>960</v>
      </c>
      <c r="D8438" s="9">
        <v>42191</v>
      </c>
      <c r="E8438" t="s">
        <v>296</v>
      </c>
      <c r="I8438" s="9"/>
    </row>
    <row r="8439" spans="1:9" x14ac:dyDescent="0.25">
      <c r="A8439">
        <v>712560</v>
      </c>
      <c r="B8439">
        <v>1.2</v>
      </c>
      <c r="C8439">
        <v>1200</v>
      </c>
      <c r="D8439" s="9">
        <v>41718</v>
      </c>
      <c r="E8439" t="s">
        <v>296</v>
      </c>
      <c r="I8439" s="9"/>
    </row>
    <row r="8440" spans="1:9" x14ac:dyDescent="0.25">
      <c r="A8440">
        <v>712560</v>
      </c>
      <c r="B8440">
        <v>1.2</v>
      </c>
      <c r="C8440">
        <v>1200</v>
      </c>
      <c r="D8440" s="9">
        <v>41647</v>
      </c>
      <c r="E8440" t="s">
        <v>296</v>
      </c>
      <c r="I8440" s="9"/>
    </row>
    <row r="8441" spans="1:9" x14ac:dyDescent="0.25">
      <c r="A8441">
        <v>712560</v>
      </c>
      <c r="B8441">
        <v>1.2</v>
      </c>
      <c r="C8441">
        <v>1280</v>
      </c>
      <c r="D8441" s="9">
        <v>41526</v>
      </c>
      <c r="E8441" t="s">
        <v>296</v>
      </c>
      <c r="I8441" s="9"/>
    </row>
    <row r="8442" spans="1:9" x14ac:dyDescent="0.25">
      <c r="A8442">
        <v>712702</v>
      </c>
      <c r="B8442">
        <v>0.375</v>
      </c>
      <c r="C8442">
        <v>1200</v>
      </c>
      <c r="D8442" s="9">
        <v>43250</v>
      </c>
      <c r="E8442" t="s">
        <v>296</v>
      </c>
      <c r="I8442" s="9"/>
    </row>
    <row r="8443" spans="1:9" x14ac:dyDescent="0.25">
      <c r="A8443">
        <v>712706</v>
      </c>
      <c r="B8443">
        <v>1.2</v>
      </c>
      <c r="C8443">
        <v>800</v>
      </c>
      <c r="D8443" s="9">
        <v>42655</v>
      </c>
      <c r="E8443" t="s">
        <v>296</v>
      </c>
      <c r="I8443" s="9"/>
    </row>
    <row r="8444" spans="1:9" x14ac:dyDescent="0.25">
      <c r="A8444">
        <v>712706</v>
      </c>
      <c r="B8444">
        <v>1.2</v>
      </c>
      <c r="C8444">
        <v>800</v>
      </c>
      <c r="D8444" s="9">
        <v>42655</v>
      </c>
      <c r="E8444" t="s">
        <v>296</v>
      </c>
      <c r="I8444" s="9"/>
    </row>
    <row r="8445" spans="1:9" x14ac:dyDescent="0.25">
      <c r="A8445">
        <v>712706</v>
      </c>
      <c r="B8445">
        <v>1.26</v>
      </c>
      <c r="C8445">
        <v>800</v>
      </c>
      <c r="D8445" s="9">
        <v>42530</v>
      </c>
      <c r="E8445" t="s">
        <v>296</v>
      </c>
      <c r="I8445" s="9"/>
    </row>
    <row r="8446" spans="1:9" x14ac:dyDescent="0.25">
      <c r="A8446">
        <v>712706</v>
      </c>
      <c r="B8446">
        <v>1.32</v>
      </c>
      <c r="C8446">
        <v>560</v>
      </c>
      <c r="D8446" s="9">
        <v>41934</v>
      </c>
      <c r="E8446" t="s">
        <v>296</v>
      </c>
      <c r="I8446" s="9"/>
    </row>
    <row r="8447" spans="1:9" x14ac:dyDescent="0.25">
      <c r="A8447">
        <v>713220</v>
      </c>
      <c r="B8447">
        <v>10.7</v>
      </c>
      <c r="C8447">
        <v>450</v>
      </c>
      <c r="D8447" s="9">
        <v>43298</v>
      </c>
      <c r="E8447" t="s">
        <v>295</v>
      </c>
      <c r="I8447" s="9"/>
    </row>
    <row r="8448" spans="1:9" x14ac:dyDescent="0.25">
      <c r="A8448">
        <v>713220</v>
      </c>
      <c r="B8448">
        <v>2.68</v>
      </c>
      <c r="C8448">
        <v>460</v>
      </c>
      <c r="D8448" s="9">
        <v>43264</v>
      </c>
      <c r="E8448" t="s">
        <v>296</v>
      </c>
      <c r="I8448" s="9"/>
    </row>
    <row r="8449" spans="1:9" x14ac:dyDescent="0.25">
      <c r="A8449">
        <v>713220</v>
      </c>
      <c r="B8449">
        <v>2.6</v>
      </c>
      <c r="C8449">
        <v>500</v>
      </c>
      <c r="D8449" s="9">
        <v>42885</v>
      </c>
      <c r="E8449" t="s">
        <v>296</v>
      </c>
      <c r="I8449" s="9"/>
    </row>
    <row r="8450" spans="1:9" x14ac:dyDescent="0.25">
      <c r="A8450">
        <v>713220</v>
      </c>
      <c r="B8450">
        <v>2.4500000000000002</v>
      </c>
      <c r="C8450">
        <v>400</v>
      </c>
      <c r="D8450" s="9">
        <v>42530</v>
      </c>
      <c r="E8450" t="s">
        <v>296</v>
      </c>
      <c r="I8450" s="9"/>
    </row>
    <row r="8451" spans="1:9" x14ac:dyDescent="0.25">
      <c r="A8451">
        <v>713220</v>
      </c>
      <c r="B8451">
        <v>2.62</v>
      </c>
      <c r="C8451">
        <v>400</v>
      </c>
      <c r="D8451" s="9">
        <v>42380</v>
      </c>
      <c r="E8451" t="s">
        <v>296</v>
      </c>
      <c r="I8451" s="9"/>
    </row>
    <row r="8452" spans="1:9" x14ac:dyDescent="0.25">
      <c r="A8452">
        <v>713220</v>
      </c>
      <c r="B8452">
        <v>2.6</v>
      </c>
      <c r="C8452">
        <v>400</v>
      </c>
      <c r="D8452" s="9">
        <v>41813</v>
      </c>
      <c r="E8452" t="s">
        <v>296</v>
      </c>
      <c r="I8452" s="9"/>
    </row>
    <row r="8453" spans="1:9" x14ac:dyDescent="0.25">
      <c r="A8453">
        <v>713220</v>
      </c>
      <c r="B8453">
        <v>2.67</v>
      </c>
      <c r="C8453">
        <v>400</v>
      </c>
      <c r="D8453" s="9">
        <v>41647</v>
      </c>
      <c r="E8453" t="s">
        <v>296</v>
      </c>
      <c r="I8453" s="9"/>
    </row>
    <row r="8454" spans="1:9" x14ac:dyDescent="0.25">
      <c r="A8454">
        <v>713220</v>
      </c>
      <c r="B8454">
        <v>2.65</v>
      </c>
      <c r="C8454">
        <v>400</v>
      </c>
      <c r="D8454" s="9">
        <v>41571</v>
      </c>
      <c r="E8454" t="s">
        <v>296</v>
      </c>
      <c r="I8454" s="9"/>
    </row>
    <row r="8455" spans="1:9" x14ac:dyDescent="0.25">
      <c r="A8455">
        <v>713220</v>
      </c>
      <c r="B8455">
        <v>2.65</v>
      </c>
      <c r="C8455">
        <v>400</v>
      </c>
      <c r="D8455" s="9">
        <v>41281</v>
      </c>
      <c r="E8455" t="s">
        <v>296</v>
      </c>
      <c r="I8455" s="9"/>
    </row>
    <row r="8456" spans="1:9" x14ac:dyDescent="0.25">
      <c r="A8456">
        <v>713235</v>
      </c>
      <c r="B8456">
        <v>0.20799999999999999</v>
      </c>
      <c r="C8456">
        <v>3240</v>
      </c>
      <c r="D8456" s="9">
        <v>44068</v>
      </c>
      <c r="E8456" t="s">
        <v>296</v>
      </c>
      <c r="I8456" s="9"/>
    </row>
    <row r="8457" spans="1:9" x14ac:dyDescent="0.25">
      <c r="A8457">
        <v>713235</v>
      </c>
      <c r="B8457">
        <v>0.2</v>
      </c>
      <c r="C8457">
        <v>3240</v>
      </c>
      <c r="D8457" s="9">
        <v>43955</v>
      </c>
      <c r="E8457" t="s">
        <v>296</v>
      </c>
      <c r="I8457" s="9"/>
    </row>
    <row r="8458" spans="1:9" x14ac:dyDescent="0.25">
      <c r="A8458">
        <v>713235</v>
      </c>
      <c r="B8458">
        <v>0.2</v>
      </c>
      <c r="C8458">
        <v>3240</v>
      </c>
      <c r="D8458" s="9">
        <v>43837</v>
      </c>
      <c r="E8458" t="s">
        <v>296</v>
      </c>
      <c r="I8458" s="9"/>
    </row>
    <row r="8459" spans="1:9" x14ac:dyDescent="0.25">
      <c r="A8459">
        <v>713235</v>
      </c>
      <c r="B8459">
        <v>0.48</v>
      </c>
      <c r="C8459">
        <v>3600</v>
      </c>
      <c r="D8459" s="9">
        <v>43474</v>
      </c>
      <c r="E8459" t="s">
        <v>295</v>
      </c>
      <c r="I8459" s="9"/>
    </row>
    <row r="8460" spans="1:9" x14ac:dyDescent="0.25">
      <c r="A8460">
        <v>713235</v>
      </c>
      <c r="B8460">
        <v>0.14000000000000001</v>
      </c>
      <c r="C8460">
        <v>3600</v>
      </c>
      <c r="D8460" s="9">
        <v>43409</v>
      </c>
      <c r="E8460" t="s">
        <v>296</v>
      </c>
      <c r="I8460" s="9"/>
    </row>
    <row r="8461" spans="1:9" x14ac:dyDescent="0.25">
      <c r="A8461">
        <v>713235</v>
      </c>
      <c r="B8461">
        <v>0.14299999999999999</v>
      </c>
      <c r="C8461">
        <v>3600</v>
      </c>
      <c r="D8461" s="9">
        <v>43116</v>
      </c>
      <c r="E8461" t="s">
        <v>296</v>
      </c>
      <c r="I8461" s="9"/>
    </row>
    <row r="8462" spans="1:9" x14ac:dyDescent="0.25">
      <c r="A8462">
        <v>713235</v>
      </c>
      <c r="B8462">
        <v>0.14299999999999999</v>
      </c>
      <c r="C8462">
        <v>3600</v>
      </c>
      <c r="D8462" s="9">
        <v>43039</v>
      </c>
      <c r="E8462" t="s">
        <v>296</v>
      </c>
      <c r="I8462" s="9"/>
    </row>
    <row r="8463" spans="1:9" x14ac:dyDescent="0.25">
      <c r="A8463">
        <v>713235</v>
      </c>
      <c r="B8463">
        <v>0.123</v>
      </c>
      <c r="C8463">
        <v>3600</v>
      </c>
      <c r="D8463" s="9">
        <v>42905</v>
      </c>
      <c r="E8463" t="s">
        <v>296</v>
      </c>
      <c r="I8463" s="9"/>
    </row>
    <row r="8464" spans="1:9" x14ac:dyDescent="0.25">
      <c r="A8464">
        <v>713235</v>
      </c>
      <c r="B8464">
        <v>0.115</v>
      </c>
      <c r="C8464">
        <v>3600</v>
      </c>
      <c r="D8464" s="9">
        <v>42781</v>
      </c>
      <c r="E8464" t="s">
        <v>296</v>
      </c>
      <c r="I8464" s="9"/>
    </row>
    <row r="8465" spans="1:9" x14ac:dyDescent="0.25">
      <c r="A8465">
        <v>713235</v>
      </c>
      <c r="B8465">
        <v>0.115</v>
      </c>
      <c r="C8465">
        <v>3600</v>
      </c>
      <c r="D8465" s="9">
        <v>42530</v>
      </c>
      <c r="E8465" t="s">
        <v>296</v>
      </c>
      <c r="I8465" s="9"/>
    </row>
    <row r="8466" spans="1:9" x14ac:dyDescent="0.25">
      <c r="A8466">
        <v>713235</v>
      </c>
      <c r="B8466">
        <v>0.125</v>
      </c>
      <c r="C8466">
        <v>3600</v>
      </c>
      <c r="D8466" s="9">
        <v>42325</v>
      </c>
      <c r="E8466" t="s">
        <v>296</v>
      </c>
      <c r="I8466" s="9"/>
    </row>
    <row r="8467" spans="1:9" x14ac:dyDescent="0.25">
      <c r="A8467">
        <v>713235</v>
      </c>
      <c r="B8467">
        <v>0.125</v>
      </c>
      <c r="C8467">
        <v>3600</v>
      </c>
      <c r="D8467" s="9">
        <v>42191</v>
      </c>
      <c r="E8467" t="s">
        <v>296</v>
      </c>
      <c r="I8467" s="9"/>
    </row>
    <row r="8468" spans="1:9" x14ac:dyDescent="0.25">
      <c r="A8468">
        <v>713235</v>
      </c>
      <c r="B8468">
        <v>0.125</v>
      </c>
      <c r="C8468">
        <v>3600</v>
      </c>
      <c r="D8468" s="9">
        <v>42031</v>
      </c>
      <c r="E8468" t="s">
        <v>296</v>
      </c>
      <c r="I8468" s="9"/>
    </row>
    <row r="8469" spans="1:9" x14ac:dyDescent="0.25">
      <c r="A8469">
        <v>713235</v>
      </c>
      <c r="B8469">
        <v>0.124</v>
      </c>
      <c r="C8469">
        <v>3600</v>
      </c>
      <c r="D8469" s="9">
        <v>41647</v>
      </c>
      <c r="E8469" t="s">
        <v>296</v>
      </c>
      <c r="I8469" s="9"/>
    </row>
    <row r="8470" spans="1:9" x14ac:dyDescent="0.25">
      <c r="A8470">
        <v>713237</v>
      </c>
      <c r="B8470">
        <v>0.13500000000000001</v>
      </c>
      <c r="C8470">
        <v>2880</v>
      </c>
      <c r="D8470" s="9">
        <v>42191</v>
      </c>
      <c r="E8470" t="s">
        <v>296</v>
      </c>
      <c r="I8470" s="9"/>
    </row>
    <row r="8471" spans="1:9" x14ac:dyDescent="0.25">
      <c r="A8471">
        <v>713241</v>
      </c>
      <c r="B8471">
        <v>0.15</v>
      </c>
      <c r="C8471">
        <v>1080</v>
      </c>
      <c r="D8471" s="9">
        <v>44097</v>
      </c>
      <c r="E8471" t="s">
        <v>296</v>
      </c>
      <c r="I8471" s="9"/>
    </row>
    <row r="8472" spans="1:9" x14ac:dyDescent="0.25">
      <c r="A8472">
        <v>713241</v>
      </c>
      <c r="B8472">
        <v>0.13200000000000001</v>
      </c>
      <c r="C8472">
        <v>1800</v>
      </c>
      <c r="D8472" s="9">
        <v>43837</v>
      </c>
      <c r="E8472" t="s">
        <v>296</v>
      </c>
      <c r="I8472" s="9"/>
    </row>
    <row r="8473" spans="1:9" x14ac:dyDescent="0.25">
      <c r="A8473">
        <v>713241</v>
      </c>
      <c r="B8473">
        <v>0.115</v>
      </c>
      <c r="C8473">
        <v>5400</v>
      </c>
      <c r="D8473" s="9">
        <v>43409</v>
      </c>
      <c r="E8473" t="s">
        <v>296</v>
      </c>
      <c r="I8473" s="9"/>
    </row>
    <row r="8474" spans="1:9" x14ac:dyDescent="0.25">
      <c r="A8474">
        <v>713241</v>
      </c>
      <c r="B8474">
        <v>0.12</v>
      </c>
      <c r="C8474">
        <v>3600</v>
      </c>
      <c r="D8474" s="9">
        <v>43228</v>
      </c>
      <c r="E8474" t="s">
        <v>296</v>
      </c>
      <c r="I8474" s="9"/>
    </row>
    <row r="8475" spans="1:9" x14ac:dyDescent="0.25">
      <c r="A8475">
        <v>713241</v>
      </c>
      <c r="B8475">
        <v>0.115</v>
      </c>
      <c r="C8475">
        <v>2880</v>
      </c>
      <c r="D8475" s="9">
        <v>42905</v>
      </c>
      <c r="E8475" t="s">
        <v>296</v>
      </c>
      <c r="I8475" s="9"/>
    </row>
    <row r="8476" spans="1:9" x14ac:dyDescent="0.25">
      <c r="A8476">
        <v>713241</v>
      </c>
      <c r="B8476">
        <v>0.108</v>
      </c>
      <c r="C8476">
        <v>2880</v>
      </c>
      <c r="D8476" s="9">
        <v>42530</v>
      </c>
      <c r="E8476" t="s">
        <v>296</v>
      </c>
      <c r="I8476" s="9"/>
    </row>
    <row r="8477" spans="1:9" x14ac:dyDescent="0.25">
      <c r="A8477">
        <v>713241</v>
      </c>
      <c r="B8477">
        <v>0.115</v>
      </c>
      <c r="C8477">
        <v>2880</v>
      </c>
      <c r="D8477" s="9">
        <v>41947</v>
      </c>
      <c r="E8477" t="s">
        <v>296</v>
      </c>
      <c r="I8477" s="9"/>
    </row>
    <row r="8478" spans="1:9" x14ac:dyDescent="0.25">
      <c r="A8478">
        <v>713241</v>
      </c>
      <c r="B8478">
        <v>0.115</v>
      </c>
      <c r="C8478">
        <v>2880</v>
      </c>
      <c r="D8478" s="9">
        <v>41647</v>
      </c>
      <c r="E8478" t="s">
        <v>296</v>
      </c>
      <c r="I8478" s="9"/>
    </row>
    <row r="8479" spans="1:9" x14ac:dyDescent="0.25">
      <c r="A8479">
        <v>713245</v>
      </c>
      <c r="B8479">
        <v>0.96</v>
      </c>
      <c r="C8479">
        <v>60</v>
      </c>
      <c r="D8479" s="9">
        <v>44102</v>
      </c>
      <c r="E8479" t="s">
        <v>295</v>
      </c>
      <c r="I8479" s="9"/>
    </row>
    <row r="8480" spans="1:9" x14ac:dyDescent="0.25">
      <c r="A8480">
        <v>713245</v>
      </c>
      <c r="B8480">
        <v>0.14000000000000001</v>
      </c>
      <c r="C8480">
        <v>2880</v>
      </c>
      <c r="D8480" s="9">
        <v>43955</v>
      </c>
      <c r="E8480" t="s">
        <v>296</v>
      </c>
      <c r="I8480" s="9"/>
    </row>
    <row r="8481" spans="1:9" x14ac:dyDescent="0.25">
      <c r="A8481">
        <v>713245</v>
      </c>
      <c r="B8481">
        <v>0.14000000000000001</v>
      </c>
      <c r="C8481">
        <v>2160</v>
      </c>
      <c r="D8481" s="9">
        <v>42781</v>
      </c>
      <c r="E8481" t="s">
        <v>296</v>
      </c>
      <c r="I8481" s="9"/>
    </row>
    <row r="8482" spans="1:9" x14ac:dyDescent="0.25">
      <c r="A8482">
        <v>713245</v>
      </c>
      <c r="B8482">
        <v>0.17</v>
      </c>
      <c r="C8482">
        <v>2880</v>
      </c>
      <c r="D8482" s="9">
        <v>42191</v>
      </c>
      <c r="E8482" t="s">
        <v>296</v>
      </c>
      <c r="I8482" s="9"/>
    </row>
    <row r="8483" spans="1:9" x14ac:dyDescent="0.25">
      <c r="A8483">
        <v>713650</v>
      </c>
      <c r="B8483">
        <v>1.3080000000000001</v>
      </c>
      <c r="C8483">
        <v>1200</v>
      </c>
      <c r="D8483" s="9">
        <v>44140</v>
      </c>
      <c r="E8483" t="s">
        <v>296</v>
      </c>
      <c r="I8483" s="9"/>
    </row>
    <row r="8484" spans="1:9" x14ac:dyDescent="0.25">
      <c r="A8484">
        <v>713650</v>
      </c>
      <c r="B8484">
        <v>1.56</v>
      </c>
      <c r="C8484">
        <v>1000</v>
      </c>
      <c r="D8484" s="9">
        <v>44007</v>
      </c>
      <c r="E8484" t="s">
        <v>296</v>
      </c>
      <c r="I8484" s="9"/>
    </row>
    <row r="8485" spans="1:9" x14ac:dyDescent="0.25">
      <c r="A8485">
        <v>713650</v>
      </c>
      <c r="B8485">
        <v>1.56</v>
      </c>
      <c r="C8485">
        <v>1000</v>
      </c>
      <c r="D8485" s="9">
        <v>43598</v>
      </c>
      <c r="E8485" t="s">
        <v>296</v>
      </c>
      <c r="I8485" s="9"/>
    </row>
    <row r="8486" spans="1:9" x14ac:dyDescent="0.25">
      <c r="A8486">
        <v>713650</v>
      </c>
      <c r="B8486">
        <v>1.56</v>
      </c>
      <c r="C8486">
        <v>1000</v>
      </c>
      <c r="D8486" s="9">
        <v>43598</v>
      </c>
      <c r="E8486" t="s">
        <v>296</v>
      </c>
      <c r="I8486" s="9"/>
    </row>
    <row r="8487" spans="1:9" x14ac:dyDescent="0.25">
      <c r="A8487">
        <v>713650</v>
      </c>
      <c r="B8487">
        <v>1.56</v>
      </c>
      <c r="C8487">
        <v>200</v>
      </c>
      <c r="D8487" s="9">
        <v>43473</v>
      </c>
      <c r="E8487" t="s">
        <v>296</v>
      </c>
      <c r="I8487" s="9"/>
    </row>
    <row r="8488" spans="1:9" x14ac:dyDescent="0.25">
      <c r="A8488">
        <v>713650</v>
      </c>
      <c r="B8488">
        <v>1.56</v>
      </c>
      <c r="C8488">
        <v>1000</v>
      </c>
      <c r="D8488" s="9">
        <v>43409</v>
      </c>
      <c r="E8488" t="s">
        <v>296</v>
      </c>
      <c r="I8488" s="9"/>
    </row>
    <row r="8489" spans="1:9" x14ac:dyDescent="0.25">
      <c r="A8489">
        <v>713650</v>
      </c>
      <c r="B8489">
        <v>8.5299999999999994</v>
      </c>
      <c r="C8489">
        <v>20</v>
      </c>
      <c r="D8489" s="9">
        <v>43265</v>
      </c>
      <c r="E8489" t="s">
        <v>295</v>
      </c>
      <c r="I8489" s="9"/>
    </row>
    <row r="8490" spans="1:9" x14ac:dyDescent="0.25">
      <c r="A8490">
        <v>713650</v>
      </c>
      <c r="B8490">
        <v>1.66</v>
      </c>
      <c r="C8490">
        <v>1000</v>
      </c>
      <c r="D8490" s="9">
        <v>43228</v>
      </c>
      <c r="E8490" t="s">
        <v>296</v>
      </c>
      <c r="I8490" s="9"/>
    </row>
    <row r="8491" spans="1:9" x14ac:dyDescent="0.25">
      <c r="A8491">
        <v>713650</v>
      </c>
      <c r="B8491">
        <v>1.55</v>
      </c>
      <c r="C8491">
        <v>1000</v>
      </c>
      <c r="D8491" s="9">
        <v>43116</v>
      </c>
      <c r="E8491" t="s">
        <v>296</v>
      </c>
      <c r="I8491" s="9"/>
    </row>
    <row r="8492" spans="1:9" x14ac:dyDescent="0.25">
      <c r="A8492">
        <v>713650</v>
      </c>
      <c r="B8492">
        <v>1.55</v>
      </c>
      <c r="C8492">
        <v>800</v>
      </c>
      <c r="D8492" s="9">
        <v>43039</v>
      </c>
      <c r="E8492" t="s">
        <v>296</v>
      </c>
      <c r="I8492" s="9"/>
    </row>
    <row r="8493" spans="1:9" x14ac:dyDescent="0.25">
      <c r="A8493">
        <v>713650</v>
      </c>
      <c r="B8493">
        <v>1.35</v>
      </c>
      <c r="C8493">
        <v>1200</v>
      </c>
      <c r="D8493" s="9">
        <v>42859</v>
      </c>
      <c r="E8493" t="s">
        <v>296</v>
      </c>
      <c r="I8493" s="9"/>
    </row>
    <row r="8494" spans="1:9" x14ac:dyDescent="0.25">
      <c r="A8494">
        <v>713650</v>
      </c>
      <c r="B8494">
        <v>1.3049999999999999</v>
      </c>
      <c r="C8494">
        <v>2400</v>
      </c>
      <c r="D8494" s="9">
        <v>42585</v>
      </c>
      <c r="E8494" t="s">
        <v>296</v>
      </c>
      <c r="I8494" s="9"/>
    </row>
    <row r="8495" spans="1:9" x14ac:dyDescent="0.25">
      <c r="A8495">
        <v>713650</v>
      </c>
      <c r="B8495">
        <v>1.4450000000000001</v>
      </c>
      <c r="C8495">
        <v>1200</v>
      </c>
      <c r="D8495" s="9">
        <v>42482</v>
      </c>
      <c r="E8495" t="s">
        <v>296</v>
      </c>
      <c r="I8495" s="9"/>
    </row>
    <row r="8496" spans="1:9" x14ac:dyDescent="0.25">
      <c r="A8496">
        <v>713650</v>
      </c>
      <c r="B8496">
        <v>1.4450000000000001</v>
      </c>
      <c r="C8496">
        <v>1200</v>
      </c>
      <c r="D8496" s="9">
        <v>42299</v>
      </c>
      <c r="E8496" t="s">
        <v>296</v>
      </c>
      <c r="I8496" s="9"/>
    </row>
    <row r="8497" spans="1:9" x14ac:dyDescent="0.25">
      <c r="A8497">
        <v>713650</v>
      </c>
      <c r="B8497">
        <v>1.45</v>
      </c>
      <c r="C8497">
        <v>2400</v>
      </c>
      <c r="D8497" s="9">
        <v>41947</v>
      </c>
      <c r="E8497" t="s">
        <v>296</v>
      </c>
      <c r="I8497" s="9"/>
    </row>
    <row r="8498" spans="1:9" x14ac:dyDescent="0.25">
      <c r="A8498">
        <v>713650</v>
      </c>
      <c r="B8498">
        <v>1.4450000000000001</v>
      </c>
      <c r="C8498">
        <v>2400</v>
      </c>
      <c r="D8498" s="9">
        <v>41947</v>
      </c>
      <c r="E8498" t="s">
        <v>296</v>
      </c>
      <c r="I8498" s="9"/>
    </row>
    <row r="8499" spans="1:9" x14ac:dyDescent="0.25">
      <c r="A8499">
        <v>713650</v>
      </c>
      <c r="B8499">
        <v>1.4450000000000001</v>
      </c>
      <c r="C8499">
        <v>1200</v>
      </c>
      <c r="D8499" s="9">
        <v>41789</v>
      </c>
      <c r="E8499" t="s">
        <v>296</v>
      </c>
      <c r="I8499" s="9"/>
    </row>
    <row r="8500" spans="1:9" x14ac:dyDescent="0.25">
      <c r="A8500">
        <v>713650</v>
      </c>
      <c r="B8500">
        <v>1.45</v>
      </c>
      <c r="C8500">
        <v>1200</v>
      </c>
      <c r="D8500" s="9">
        <v>41789</v>
      </c>
      <c r="E8500" t="s">
        <v>296</v>
      </c>
      <c r="I8500" s="9"/>
    </row>
    <row r="8501" spans="1:9" x14ac:dyDescent="0.25">
      <c r="A8501">
        <v>713650</v>
      </c>
      <c r="B8501">
        <v>1.4450000000000001</v>
      </c>
      <c r="C8501">
        <v>2000</v>
      </c>
      <c r="D8501" s="9">
        <v>41718</v>
      </c>
      <c r="E8501" t="s">
        <v>296</v>
      </c>
      <c r="I8501" s="9"/>
    </row>
    <row r="8502" spans="1:9" x14ac:dyDescent="0.25">
      <c r="A8502">
        <v>713650</v>
      </c>
      <c r="B8502">
        <v>1.4450000000000001</v>
      </c>
      <c r="C8502">
        <v>1440</v>
      </c>
      <c r="D8502" s="9">
        <v>41592</v>
      </c>
      <c r="E8502" t="s">
        <v>296</v>
      </c>
      <c r="I8502" s="9"/>
    </row>
    <row r="8503" spans="1:9" x14ac:dyDescent="0.25">
      <c r="A8503">
        <v>713650</v>
      </c>
      <c r="B8503">
        <v>1.44</v>
      </c>
      <c r="C8503">
        <v>2400</v>
      </c>
      <c r="D8503" s="9">
        <v>41526</v>
      </c>
      <c r="E8503" t="s">
        <v>296</v>
      </c>
      <c r="I8503" s="9"/>
    </row>
    <row r="8504" spans="1:9" x14ac:dyDescent="0.25">
      <c r="A8504">
        <v>713650</v>
      </c>
      <c r="B8504">
        <v>1.45</v>
      </c>
      <c r="C8504">
        <v>2000</v>
      </c>
      <c r="D8504" s="9">
        <v>41375</v>
      </c>
      <c r="E8504" t="s">
        <v>296</v>
      </c>
      <c r="I8504" s="9"/>
    </row>
    <row r="8505" spans="1:9" x14ac:dyDescent="0.25">
      <c r="A8505">
        <v>713650</v>
      </c>
      <c r="B8505">
        <v>1.45</v>
      </c>
      <c r="C8505">
        <v>2560</v>
      </c>
      <c r="D8505" s="9">
        <v>41288</v>
      </c>
      <c r="E8505" t="s">
        <v>296</v>
      </c>
      <c r="I8505" s="9"/>
    </row>
    <row r="8506" spans="1:9" x14ac:dyDescent="0.25">
      <c r="A8506">
        <v>713661</v>
      </c>
      <c r="B8506">
        <v>2.62</v>
      </c>
      <c r="C8506">
        <v>1000</v>
      </c>
      <c r="D8506" s="9">
        <v>43955</v>
      </c>
      <c r="E8506" t="s">
        <v>296</v>
      </c>
      <c r="I8506" s="9"/>
    </row>
    <row r="8507" spans="1:9" x14ac:dyDescent="0.25">
      <c r="A8507">
        <v>713661</v>
      </c>
      <c r="B8507">
        <v>2.62</v>
      </c>
      <c r="C8507">
        <v>520</v>
      </c>
      <c r="D8507" s="9">
        <v>43228</v>
      </c>
      <c r="E8507" t="s">
        <v>296</v>
      </c>
      <c r="I8507" s="9"/>
    </row>
    <row r="8508" spans="1:9" x14ac:dyDescent="0.25">
      <c r="A8508">
        <v>713661</v>
      </c>
      <c r="B8508">
        <v>2.44</v>
      </c>
      <c r="C8508">
        <v>480</v>
      </c>
      <c r="D8508" s="9">
        <v>43116</v>
      </c>
      <c r="E8508" t="s">
        <v>296</v>
      </c>
      <c r="I8508" s="9"/>
    </row>
    <row r="8509" spans="1:9" x14ac:dyDescent="0.25">
      <c r="A8509">
        <v>713661</v>
      </c>
      <c r="B8509">
        <v>2.44</v>
      </c>
      <c r="C8509">
        <v>480</v>
      </c>
      <c r="D8509" s="9">
        <v>43039</v>
      </c>
      <c r="E8509" t="s">
        <v>296</v>
      </c>
      <c r="I8509" s="9"/>
    </row>
    <row r="8510" spans="1:9" x14ac:dyDescent="0.25">
      <c r="A8510">
        <v>713661</v>
      </c>
      <c r="B8510">
        <v>2.12</v>
      </c>
      <c r="C8510">
        <v>480</v>
      </c>
      <c r="D8510" s="9">
        <v>42859</v>
      </c>
      <c r="E8510" t="s">
        <v>296</v>
      </c>
      <c r="I8510" s="9"/>
    </row>
    <row r="8511" spans="1:9" x14ac:dyDescent="0.25">
      <c r="A8511">
        <v>713661</v>
      </c>
      <c r="B8511">
        <v>2.06</v>
      </c>
      <c r="C8511">
        <v>480</v>
      </c>
      <c r="D8511" s="9">
        <v>42585</v>
      </c>
      <c r="E8511" t="s">
        <v>296</v>
      </c>
      <c r="I8511" s="9"/>
    </row>
    <row r="8512" spans="1:9" x14ac:dyDescent="0.25">
      <c r="A8512">
        <v>713661</v>
      </c>
      <c r="B8512">
        <v>2.25</v>
      </c>
      <c r="C8512">
        <v>600</v>
      </c>
      <c r="D8512" s="9">
        <v>42325</v>
      </c>
      <c r="E8512" t="s">
        <v>296</v>
      </c>
      <c r="I8512" s="9"/>
    </row>
    <row r="8513" spans="1:9" x14ac:dyDescent="0.25">
      <c r="A8513">
        <v>713661</v>
      </c>
      <c r="B8513">
        <v>2.25</v>
      </c>
      <c r="C8513">
        <v>400</v>
      </c>
      <c r="D8513" s="9">
        <v>42191</v>
      </c>
      <c r="E8513" t="s">
        <v>296</v>
      </c>
      <c r="I8513" s="9"/>
    </row>
    <row r="8514" spans="1:9" x14ac:dyDescent="0.25">
      <c r="A8514">
        <v>713661</v>
      </c>
      <c r="B8514">
        <v>2.25</v>
      </c>
      <c r="C8514">
        <v>800</v>
      </c>
      <c r="D8514" s="9">
        <v>41526</v>
      </c>
      <c r="E8514" t="s">
        <v>296</v>
      </c>
      <c r="I8514" s="9"/>
    </row>
    <row r="8515" spans="1:9" x14ac:dyDescent="0.25">
      <c r="A8515">
        <v>713661</v>
      </c>
      <c r="B8515">
        <v>2.2799999999999998</v>
      </c>
      <c r="C8515">
        <v>1280</v>
      </c>
      <c r="D8515" s="9">
        <v>41288</v>
      </c>
      <c r="E8515" t="s">
        <v>296</v>
      </c>
      <c r="I8515" s="9"/>
    </row>
    <row r="8516" spans="1:9" x14ac:dyDescent="0.25">
      <c r="A8516">
        <v>713670</v>
      </c>
      <c r="B8516">
        <v>0.31</v>
      </c>
      <c r="C8516">
        <v>720</v>
      </c>
      <c r="D8516" s="9">
        <v>44097</v>
      </c>
      <c r="E8516" t="s">
        <v>296</v>
      </c>
      <c r="I8516" s="9"/>
    </row>
    <row r="8517" spans="1:9" x14ac:dyDescent="0.25">
      <c r="A8517">
        <v>713670</v>
      </c>
      <c r="B8517">
        <v>0.28499999999999998</v>
      </c>
      <c r="C8517">
        <v>960</v>
      </c>
      <c r="D8517" s="9">
        <v>43837</v>
      </c>
      <c r="E8517" t="s">
        <v>296</v>
      </c>
      <c r="I8517" s="9"/>
    </row>
    <row r="8518" spans="1:9" x14ac:dyDescent="0.25">
      <c r="A8518">
        <v>713670</v>
      </c>
      <c r="B8518">
        <v>0.27200000000000002</v>
      </c>
      <c r="C8518">
        <v>1920</v>
      </c>
      <c r="D8518" s="9">
        <v>43039</v>
      </c>
      <c r="E8518" t="s">
        <v>296</v>
      </c>
      <c r="I8518" s="9"/>
    </row>
    <row r="8519" spans="1:9" x14ac:dyDescent="0.25">
      <c r="A8519">
        <v>713670</v>
      </c>
      <c r="B8519">
        <v>0.27200000000000002</v>
      </c>
      <c r="C8519">
        <v>1920</v>
      </c>
      <c r="D8519" s="9">
        <v>42585</v>
      </c>
      <c r="E8519" t="s">
        <v>296</v>
      </c>
      <c r="I8519" s="9"/>
    </row>
    <row r="8520" spans="1:9" x14ac:dyDescent="0.25">
      <c r="A8520">
        <v>713670</v>
      </c>
      <c r="B8520">
        <v>0.28799999999999998</v>
      </c>
      <c r="C8520">
        <v>1920</v>
      </c>
      <c r="D8520" s="9">
        <v>42191</v>
      </c>
      <c r="E8520" t="s">
        <v>296</v>
      </c>
      <c r="I8520" s="9"/>
    </row>
    <row r="8521" spans="1:9" x14ac:dyDescent="0.25">
      <c r="A8521">
        <v>713670</v>
      </c>
      <c r="B8521">
        <v>0.28799999999999998</v>
      </c>
      <c r="C8521">
        <v>2400</v>
      </c>
      <c r="D8521" s="9">
        <v>41718</v>
      </c>
      <c r="E8521" t="s">
        <v>296</v>
      </c>
      <c r="I8521" s="9"/>
    </row>
    <row r="8522" spans="1:9" x14ac:dyDescent="0.25">
      <c r="A8522">
        <v>713672</v>
      </c>
      <c r="B8522">
        <v>0.38500000000000001</v>
      </c>
      <c r="C8522">
        <v>1920</v>
      </c>
      <c r="D8522" s="9">
        <v>43955</v>
      </c>
      <c r="E8522" t="s">
        <v>296</v>
      </c>
      <c r="I8522" s="9"/>
    </row>
    <row r="8523" spans="1:9" x14ac:dyDescent="0.25">
      <c r="A8523">
        <v>713672</v>
      </c>
      <c r="B8523">
        <v>0.38500000000000001</v>
      </c>
      <c r="C8523">
        <v>960</v>
      </c>
      <c r="D8523" s="9">
        <v>43598</v>
      </c>
      <c r="E8523" t="s">
        <v>296</v>
      </c>
      <c r="I8523" s="9"/>
    </row>
    <row r="8524" spans="1:9" x14ac:dyDescent="0.25">
      <c r="A8524">
        <v>713672</v>
      </c>
      <c r="B8524">
        <v>0.36</v>
      </c>
      <c r="C8524">
        <v>1920</v>
      </c>
      <c r="D8524" s="9">
        <v>42972</v>
      </c>
      <c r="E8524" t="s">
        <v>296</v>
      </c>
      <c r="I8524" s="9"/>
    </row>
    <row r="8525" spans="1:9" x14ac:dyDescent="0.25">
      <c r="A8525">
        <v>713672</v>
      </c>
      <c r="B8525">
        <v>0.35</v>
      </c>
      <c r="C8525">
        <v>1920</v>
      </c>
      <c r="D8525" s="9">
        <v>42617</v>
      </c>
      <c r="E8525" t="s">
        <v>296</v>
      </c>
      <c r="I8525" s="9"/>
    </row>
    <row r="8526" spans="1:9" x14ac:dyDescent="0.25">
      <c r="A8526">
        <v>713672</v>
      </c>
      <c r="B8526">
        <v>0.33</v>
      </c>
      <c r="C8526">
        <v>1200</v>
      </c>
      <c r="D8526" s="9">
        <v>42230</v>
      </c>
      <c r="E8526" t="s">
        <v>296</v>
      </c>
      <c r="I8526" s="9"/>
    </row>
    <row r="8527" spans="1:9" x14ac:dyDescent="0.25">
      <c r="A8527">
        <v>713672</v>
      </c>
      <c r="B8527">
        <v>0.38</v>
      </c>
      <c r="C8527">
        <v>1200</v>
      </c>
      <c r="D8527" s="9">
        <v>41789</v>
      </c>
      <c r="E8527" t="s">
        <v>296</v>
      </c>
      <c r="I8527" s="9"/>
    </row>
    <row r="8528" spans="1:9" x14ac:dyDescent="0.25">
      <c r="A8528">
        <v>713672</v>
      </c>
      <c r="B8528">
        <v>0.38</v>
      </c>
      <c r="C8528">
        <v>1200</v>
      </c>
      <c r="D8528" s="9">
        <v>41718</v>
      </c>
      <c r="E8528" t="s">
        <v>296</v>
      </c>
      <c r="I8528" s="9"/>
    </row>
    <row r="8529" spans="1:9" x14ac:dyDescent="0.25">
      <c r="A8529">
        <v>713672</v>
      </c>
      <c r="B8529">
        <v>0.36499999999999999</v>
      </c>
      <c r="C8529">
        <v>1440</v>
      </c>
      <c r="D8529" s="9">
        <v>41375</v>
      </c>
      <c r="E8529" t="s">
        <v>296</v>
      </c>
      <c r="I8529" s="9"/>
    </row>
    <row r="8530" spans="1:9" x14ac:dyDescent="0.25">
      <c r="A8530">
        <v>713673</v>
      </c>
      <c r="B8530">
        <v>0.45500000000000002</v>
      </c>
      <c r="C8530">
        <v>960</v>
      </c>
      <c r="D8530" s="9">
        <v>44097</v>
      </c>
      <c r="E8530" t="s">
        <v>296</v>
      </c>
      <c r="I8530" s="9"/>
    </row>
    <row r="8531" spans="1:9" x14ac:dyDescent="0.25">
      <c r="A8531">
        <v>713673</v>
      </c>
      <c r="B8531">
        <v>0.39500000000000002</v>
      </c>
      <c r="C8531">
        <v>1200</v>
      </c>
      <c r="D8531" s="9">
        <v>43039</v>
      </c>
      <c r="E8531" t="s">
        <v>296</v>
      </c>
      <c r="I8531" s="9"/>
    </row>
    <row r="8532" spans="1:9" x14ac:dyDescent="0.25">
      <c r="A8532">
        <v>713673</v>
      </c>
      <c r="B8532">
        <v>0.39500000000000002</v>
      </c>
      <c r="C8532">
        <v>720</v>
      </c>
      <c r="D8532" s="9">
        <v>42585</v>
      </c>
      <c r="E8532" t="s">
        <v>296</v>
      </c>
      <c r="I8532" s="9"/>
    </row>
    <row r="8533" spans="1:9" x14ac:dyDescent="0.25">
      <c r="A8533">
        <v>713673</v>
      </c>
      <c r="B8533">
        <v>0.40500000000000003</v>
      </c>
      <c r="C8533">
        <v>720</v>
      </c>
      <c r="D8533" s="9">
        <v>42191</v>
      </c>
      <c r="E8533" t="s">
        <v>296</v>
      </c>
      <c r="I8533" s="9"/>
    </row>
    <row r="8534" spans="1:9" x14ac:dyDescent="0.25">
      <c r="A8534">
        <v>713673</v>
      </c>
      <c r="B8534">
        <v>0.40500000000000003</v>
      </c>
      <c r="C8534">
        <v>720</v>
      </c>
      <c r="D8534" s="9">
        <v>41647</v>
      </c>
      <c r="E8534" t="s">
        <v>296</v>
      </c>
      <c r="I8534" s="9"/>
    </row>
    <row r="8535" spans="1:9" x14ac:dyDescent="0.25">
      <c r="A8535">
        <v>713674</v>
      </c>
      <c r="B8535">
        <v>0.46500000000000002</v>
      </c>
      <c r="C8535">
        <v>1680</v>
      </c>
      <c r="D8535" s="9">
        <v>41526</v>
      </c>
      <c r="E8535" t="s">
        <v>296</v>
      </c>
      <c r="I8535" s="9"/>
    </row>
    <row r="8536" spans="1:9" x14ac:dyDescent="0.25">
      <c r="A8536">
        <v>713675</v>
      </c>
      <c r="B8536">
        <v>0.35</v>
      </c>
      <c r="C8536">
        <v>960</v>
      </c>
      <c r="D8536" s="9">
        <v>43955</v>
      </c>
      <c r="E8536" t="s">
        <v>296</v>
      </c>
      <c r="I8536" s="9"/>
    </row>
    <row r="8537" spans="1:9" x14ac:dyDescent="0.25">
      <c r="A8537">
        <v>713675</v>
      </c>
      <c r="B8537">
        <v>0.35</v>
      </c>
      <c r="C8537">
        <v>960</v>
      </c>
      <c r="D8537" s="9">
        <v>43598</v>
      </c>
      <c r="E8537" t="s">
        <v>296</v>
      </c>
      <c r="I8537" s="9"/>
    </row>
    <row r="8538" spans="1:9" x14ac:dyDescent="0.25">
      <c r="A8538">
        <v>713675</v>
      </c>
      <c r="B8538">
        <v>0.35</v>
      </c>
      <c r="C8538">
        <v>960</v>
      </c>
      <c r="D8538" s="9">
        <v>43381</v>
      </c>
      <c r="E8538" t="s">
        <v>296</v>
      </c>
      <c r="I8538" s="9"/>
    </row>
    <row r="8539" spans="1:9" x14ac:dyDescent="0.25">
      <c r="A8539">
        <v>713675</v>
      </c>
      <c r="B8539">
        <v>0.34</v>
      </c>
      <c r="C8539">
        <v>960</v>
      </c>
      <c r="D8539" s="9">
        <v>43039</v>
      </c>
      <c r="E8539" t="s">
        <v>296</v>
      </c>
      <c r="I8539" s="9"/>
    </row>
    <row r="8540" spans="1:9" x14ac:dyDescent="0.25">
      <c r="A8540">
        <v>713675</v>
      </c>
      <c r="B8540">
        <v>0.29499999999999998</v>
      </c>
      <c r="C8540">
        <v>960</v>
      </c>
      <c r="D8540" s="9">
        <v>42905</v>
      </c>
      <c r="E8540" t="s">
        <v>296</v>
      </c>
      <c r="I8540" s="9"/>
    </row>
    <row r="8541" spans="1:9" x14ac:dyDescent="0.25">
      <c r="A8541">
        <v>713675</v>
      </c>
      <c r="B8541">
        <v>0.27200000000000002</v>
      </c>
      <c r="C8541">
        <v>960</v>
      </c>
      <c r="D8541" s="9">
        <v>42585</v>
      </c>
      <c r="E8541" t="s">
        <v>296</v>
      </c>
      <c r="I8541" s="9"/>
    </row>
    <row r="8542" spans="1:9" x14ac:dyDescent="0.25">
      <c r="A8542">
        <v>713675</v>
      </c>
      <c r="B8542">
        <v>0.29499999999999998</v>
      </c>
      <c r="C8542">
        <v>1200</v>
      </c>
      <c r="D8542" s="9">
        <v>42325</v>
      </c>
      <c r="E8542" t="s">
        <v>296</v>
      </c>
      <c r="I8542" s="9"/>
    </row>
    <row r="8543" spans="1:9" x14ac:dyDescent="0.25">
      <c r="A8543">
        <v>713675</v>
      </c>
      <c r="B8543">
        <v>0.29499999999999998</v>
      </c>
      <c r="C8543">
        <v>1200</v>
      </c>
      <c r="D8543" s="9">
        <v>42191</v>
      </c>
      <c r="E8543" t="s">
        <v>296</v>
      </c>
      <c r="I8543" s="9"/>
    </row>
    <row r="8544" spans="1:9" x14ac:dyDescent="0.25">
      <c r="A8544">
        <v>713675</v>
      </c>
      <c r="B8544">
        <v>0.28999999999999998</v>
      </c>
      <c r="C8544">
        <v>1920</v>
      </c>
      <c r="D8544" s="9">
        <v>41789</v>
      </c>
      <c r="E8544" t="s">
        <v>296</v>
      </c>
      <c r="I8544" s="9"/>
    </row>
    <row r="8545" spans="1:9" x14ac:dyDescent="0.25">
      <c r="A8545">
        <v>713675</v>
      </c>
      <c r="B8545">
        <v>0.28999999999999998</v>
      </c>
      <c r="C8545">
        <v>1440</v>
      </c>
      <c r="D8545" s="9">
        <v>41647</v>
      </c>
      <c r="E8545" t="s">
        <v>296</v>
      </c>
      <c r="I8545" s="9"/>
    </row>
    <row r="8546" spans="1:9" x14ac:dyDescent="0.25">
      <c r="A8546">
        <v>713675</v>
      </c>
      <c r="B8546">
        <v>0.28999999999999998</v>
      </c>
      <c r="C8546">
        <v>1440</v>
      </c>
      <c r="D8546" s="9">
        <v>41375</v>
      </c>
      <c r="E8546" t="s">
        <v>296</v>
      </c>
      <c r="I8546" s="9"/>
    </row>
    <row r="8547" spans="1:9" x14ac:dyDescent="0.25">
      <c r="A8547">
        <v>713677</v>
      </c>
      <c r="B8547">
        <v>0.26500000000000001</v>
      </c>
      <c r="C8547">
        <v>1200</v>
      </c>
      <c r="D8547" s="9">
        <v>43803</v>
      </c>
      <c r="E8547" t="s">
        <v>296</v>
      </c>
      <c r="I8547" s="9"/>
    </row>
    <row r="8548" spans="1:9" x14ac:dyDescent="0.25">
      <c r="A8548">
        <v>713677</v>
      </c>
      <c r="B8548">
        <v>0.26500000000000001</v>
      </c>
      <c r="C8548">
        <v>1920</v>
      </c>
      <c r="D8548" s="9">
        <v>43598</v>
      </c>
      <c r="E8548" t="s">
        <v>296</v>
      </c>
      <c r="I8548" s="9"/>
    </row>
    <row r="8549" spans="1:9" x14ac:dyDescent="0.25">
      <c r="A8549">
        <v>713677</v>
      </c>
      <c r="B8549">
        <v>0.35</v>
      </c>
      <c r="C8549">
        <v>1920</v>
      </c>
      <c r="D8549" s="9">
        <v>43228</v>
      </c>
      <c r="E8549" t="s">
        <v>296</v>
      </c>
      <c r="I8549" s="9"/>
    </row>
    <row r="8550" spans="1:9" x14ac:dyDescent="0.25">
      <c r="A8550">
        <v>713677</v>
      </c>
      <c r="B8550">
        <v>0.33800000000000002</v>
      </c>
      <c r="C8550">
        <v>1920</v>
      </c>
      <c r="D8550" s="9">
        <v>42859</v>
      </c>
      <c r="E8550" t="s">
        <v>296</v>
      </c>
      <c r="I8550" s="9"/>
    </row>
    <row r="8551" spans="1:9" x14ac:dyDescent="0.25">
      <c r="A8551">
        <v>713677</v>
      </c>
      <c r="B8551">
        <v>0.33800000000000002</v>
      </c>
      <c r="C8551">
        <v>2880</v>
      </c>
      <c r="D8551" s="9">
        <v>42585</v>
      </c>
      <c r="E8551" t="s">
        <v>296</v>
      </c>
      <c r="I8551" s="9"/>
    </row>
    <row r="8552" spans="1:9" x14ac:dyDescent="0.25">
      <c r="A8552">
        <v>713677</v>
      </c>
      <c r="B8552">
        <v>0.33</v>
      </c>
      <c r="C8552">
        <v>1920</v>
      </c>
      <c r="D8552" s="9">
        <v>42230</v>
      </c>
      <c r="E8552" t="s">
        <v>296</v>
      </c>
      <c r="I8552" s="9"/>
    </row>
    <row r="8553" spans="1:9" x14ac:dyDescent="0.25">
      <c r="A8553">
        <v>713677</v>
      </c>
      <c r="B8553">
        <v>0.36499999999999999</v>
      </c>
      <c r="C8553">
        <v>1920</v>
      </c>
      <c r="D8553" s="9">
        <v>42031</v>
      </c>
      <c r="E8553" t="s">
        <v>296</v>
      </c>
      <c r="I8553" s="9"/>
    </row>
    <row r="8554" spans="1:9" x14ac:dyDescent="0.25">
      <c r="A8554">
        <v>713677</v>
      </c>
      <c r="B8554">
        <v>0.36499999999999999</v>
      </c>
      <c r="C8554">
        <v>1920</v>
      </c>
      <c r="D8554" s="9">
        <v>41789</v>
      </c>
      <c r="E8554" t="s">
        <v>296</v>
      </c>
      <c r="I8554" s="9"/>
    </row>
    <row r="8555" spans="1:9" x14ac:dyDescent="0.25">
      <c r="A8555">
        <v>713677</v>
      </c>
      <c r="B8555">
        <v>0.36499999999999999</v>
      </c>
      <c r="C8555">
        <v>1440</v>
      </c>
      <c r="D8555" s="9">
        <v>41647</v>
      </c>
      <c r="E8555" t="s">
        <v>296</v>
      </c>
      <c r="I8555" s="9"/>
    </row>
    <row r="8556" spans="1:9" x14ac:dyDescent="0.25">
      <c r="A8556">
        <v>713677</v>
      </c>
      <c r="B8556">
        <v>0.36499999999999999</v>
      </c>
      <c r="C8556">
        <v>1440</v>
      </c>
      <c r="D8556" s="9">
        <v>41375</v>
      </c>
      <c r="E8556" t="s">
        <v>296</v>
      </c>
      <c r="I8556" s="9"/>
    </row>
    <row r="8557" spans="1:9" x14ac:dyDescent="0.25">
      <c r="A8557">
        <v>713677</v>
      </c>
      <c r="B8557">
        <v>0.36499999999999999</v>
      </c>
      <c r="C8557">
        <v>1440</v>
      </c>
      <c r="D8557" s="9">
        <v>41288</v>
      </c>
      <c r="E8557" t="s">
        <v>296</v>
      </c>
      <c r="I8557" s="9"/>
    </row>
    <row r="8558" spans="1:9" x14ac:dyDescent="0.25">
      <c r="A8558">
        <v>713678</v>
      </c>
      <c r="B8558">
        <v>0.433</v>
      </c>
      <c r="C8558">
        <v>960</v>
      </c>
      <c r="D8558" s="9">
        <v>44097</v>
      </c>
      <c r="E8558" t="s">
        <v>296</v>
      </c>
      <c r="I8558" s="9"/>
    </row>
    <row r="8559" spans="1:9" x14ac:dyDescent="0.25">
      <c r="A8559">
        <v>713678</v>
      </c>
      <c r="B8559">
        <v>0.42</v>
      </c>
      <c r="C8559">
        <v>1200</v>
      </c>
      <c r="D8559" s="9">
        <v>43837</v>
      </c>
      <c r="E8559" t="s">
        <v>296</v>
      </c>
      <c r="I8559" s="9"/>
    </row>
    <row r="8560" spans="1:9" x14ac:dyDescent="0.25">
      <c r="A8560">
        <v>713678</v>
      </c>
      <c r="B8560">
        <v>0.42</v>
      </c>
      <c r="C8560">
        <v>1200</v>
      </c>
      <c r="D8560" s="9">
        <v>43381</v>
      </c>
      <c r="E8560" t="s">
        <v>296</v>
      </c>
      <c r="I8560" s="9"/>
    </row>
    <row r="8561" spans="1:9" x14ac:dyDescent="0.25">
      <c r="A8561">
        <v>713678</v>
      </c>
      <c r="B8561">
        <v>0.38</v>
      </c>
      <c r="C8561">
        <v>1200</v>
      </c>
      <c r="D8561" s="9">
        <v>43116</v>
      </c>
      <c r="E8561" t="s">
        <v>296</v>
      </c>
      <c r="I8561" s="9"/>
    </row>
    <row r="8562" spans="1:9" x14ac:dyDescent="0.25">
      <c r="A8562">
        <v>713678</v>
      </c>
      <c r="B8562">
        <v>0.35</v>
      </c>
      <c r="C8562">
        <v>1440</v>
      </c>
      <c r="D8562" s="9">
        <v>42859</v>
      </c>
      <c r="E8562" t="s">
        <v>296</v>
      </c>
      <c r="I8562" s="9"/>
    </row>
    <row r="8563" spans="1:9" x14ac:dyDescent="0.25">
      <c r="A8563">
        <v>713678</v>
      </c>
      <c r="B8563">
        <v>0.35</v>
      </c>
      <c r="C8563">
        <v>1440</v>
      </c>
      <c r="D8563" s="9">
        <v>42230</v>
      </c>
      <c r="E8563" t="s">
        <v>296</v>
      </c>
      <c r="I8563" s="9"/>
    </row>
    <row r="8564" spans="1:9" x14ac:dyDescent="0.25">
      <c r="A8564">
        <v>713678</v>
      </c>
      <c r="B8564">
        <v>0.39200000000000002</v>
      </c>
      <c r="C8564">
        <v>1440</v>
      </c>
      <c r="D8564" s="9">
        <v>41789</v>
      </c>
      <c r="E8564" t="s">
        <v>296</v>
      </c>
      <c r="I8564" s="9"/>
    </row>
    <row r="8565" spans="1:9" x14ac:dyDescent="0.25">
      <c r="A8565">
        <v>713678</v>
      </c>
      <c r="B8565">
        <v>0.39200000000000002</v>
      </c>
      <c r="C8565">
        <v>1440</v>
      </c>
      <c r="D8565" s="9">
        <v>41718</v>
      </c>
      <c r="E8565" t="s">
        <v>296</v>
      </c>
      <c r="I8565" s="9"/>
    </row>
    <row r="8566" spans="1:9" x14ac:dyDescent="0.25">
      <c r="A8566">
        <v>713678</v>
      </c>
      <c r="B8566">
        <v>0.39200000000000002</v>
      </c>
      <c r="C8566">
        <v>1440</v>
      </c>
      <c r="D8566" s="9">
        <v>41375</v>
      </c>
      <c r="E8566" t="s">
        <v>296</v>
      </c>
      <c r="I8566" s="9"/>
    </row>
    <row r="8567" spans="1:9" x14ac:dyDescent="0.25">
      <c r="A8567">
        <v>713679</v>
      </c>
      <c r="B8567">
        <v>0.46500000000000002</v>
      </c>
      <c r="C8567">
        <v>1680</v>
      </c>
      <c r="D8567" s="9">
        <v>41526</v>
      </c>
      <c r="E8567" t="s">
        <v>296</v>
      </c>
      <c r="I8567" s="9"/>
    </row>
    <row r="8568" spans="1:9" x14ac:dyDescent="0.25">
      <c r="A8568">
        <v>714070</v>
      </c>
      <c r="B8568">
        <v>0.41899999999999998</v>
      </c>
      <c r="C8568">
        <v>1008</v>
      </c>
      <c r="D8568" s="9">
        <v>44070</v>
      </c>
      <c r="E8568" t="s">
        <v>296</v>
      </c>
      <c r="I8568" s="9"/>
    </row>
    <row r="8569" spans="1:9" x14ac:dyDescent="0.25">
      <c r="A8569">
        <v>714070</v>
      </c>
      <c r="B8569">
        <v>0.503</v>
      </c>
      <c r="C8569">
        <v>1152</v>
      </c>
      <c r="D8569" s="9">
        <v>43889</v>
      </c>
      <c r="E8569" t="s">
        <v>296</v>
      </c>
      <c r="I8569" s="9"/>
    </row>
    <row r="8570" spans="1:9" x14ac:dyDescent="0.25">
      <c r="A8570">
        <v>714070</v>
      </c>
      <c r="B8570">
        <v>0.495</v>
      </c>
      <c r="C8570">
        <v>1800</v>
      </c>
      <c r="D8570" s="9">
        <v>43452</v>
      </c>
      <c r="E8570" t="s">
        <v>296</v>
      </c>
      <c r="I8570" s="9"/>
    </row>
    <row r="8571" spans="1:9" x14ac:dyDescent="0.25">
      <c r="A8571">
        <v>714070</v>
      </c>
      <c r="B8571">
        <v>1.88</v>
      </c>
      <c r="C8571">
        <v>1800</v>
      </c>
      <c r="D8571" s="9">
        <v>43340</v>
      </c>
      <c r="E8571" t="s">
        <v>295</v>
      </c>
      <c r="I8571" s="9"/>
    </row>
    <row r="8572" spans="1:9" x14ac:dyDescent="0.25">
      <c r="A8572">
        <v>714070</v>
      </c>
      <c r="B8572">
        <v>0.495</v>
      </c>
      <c r="C8572">
        <v>1800</v>
      </c>
      <c r="D8572" s="9">
        <v>43299</v>
      </c>
      <c r="E8572" t="s">
        <v>296</v>
      </c>
      <c r="I8572" s="9"/>
    </row>
    <row r="8573" spans="1:9" x14ac:dyDescent="0.25">
      <c r="A8573">
        <v>714070</v>
      </c>
      <c r="B8573">
        <v>0.45400000000000001</v>
      </c>
      <c r="C8573">
        <v>1440</v>
      </c>
      <c r="D8573" s="9">
        <v>43054</v>
      </c>
      <c r="E8573" t="s">
        <v>296</v>
      </c>
      <c r="I8573" s="9"/>
    </row>
    <row r="8574" spans="1:9" x14ac:dyDescent="0.25">
      <c r="A8574">
        <v>714070</v>
      </c>
      <c r="B8574">
        <v>0.44500000000000001</v>
      </c>
      <c r="C8574">
        <v>1440</v>
      </c>
      <c r="D8574" s="9">
        <v>42877</v>
      </c>
      <c r="E8574" t="s">
        <v>296</v>
      </c>
      <c r="I8574" s="9"/>
    </row>
    <row r="8575" spans="1:9" x14ac:dyDescent="0.25">
      <c r="A8575">
        <v>714070</v>
      </c>
      <c r="B8575">
        <v>0.44500000000000001</v>
      </c>
      <c r="C8575">
        <v>1296</v>
      </c>
      <c r="D8575" s="9">
        <v>42600</v>
      </c>
      <c r="E8575" t="s">
        <v>296</v>
      </c>
      <c r="I8575" s="9"/>
    </row>
    <row r="8576" spans="1:9" x14ac:dyDescent="0.25">
      <c r="A8576">
        <v>714070</v>
      </c>
      <c r="B8576">
        <v>0.44500000000000001</v>
      </c>
      <c r="C8576">
        <v>1728</v>
      </c>
      <c r="D8576" s="9">
        <v>42326</v>
      </c>
      <c r="E8576" t="s">
        <v>296</v>
      </c>
      <c r="I8576" s="9"/>
    </row>
    <row r="8577" spans="1:9" x14ac:dyDescent="0.25">
      <c r="A8577">
        <v>714070</v>
      </c>
      <c r="B8577">
        <v>0.44500000000000001</v>
      </c>
      <c r="C8577">
        <v>1728</v>
      </c>
      <c r="D8577" s="9">
        <v>42177</v>
      </c>
      <c r="E8577" t="s">
        <v>296</v>
      </c>
      <c r="I8577" s="9"/>
    </row>
    <row r="8578" spans="1:9" x14ac:dyDescent="0.25">
      <c r="A8578">
        <v>714070</v>
      </c>
      <c r="B8578">
        <v>1.41</v>
      </c>
      <c r="C8578">
        <v>1728</v>
      </c>
      <c r="D8578" s="9">
        <v>41927</v>
      </c>
      <c r="E8578" t="s">
        <v>295</v>
      </c>
      <c r="I8578" s="9"/>
    </row>
    <row r="8579" spans="1:9" x14ac:dyDescent="0.25">
      <c r="A8579">
        <v>714070</v>
      </c>
      <c r="B8579">
        <v>0.437</v>
      </c>
      <c r="C8579">
        <v>1728</v>
      </c>
      <c r="D8579" s="9">
        <v>41870</v>
      </c>
      <c r="E8579" t="s">
        <v>296</v>
      </c>
      <c r="I8579" s="9"/>
    </row>
    <row r="8580" spans="1:9" x14ac:dyDescent="0.25">
      <c r="A8580">
        <v>714070</v>
      </c>
      <c r="B8580">
        <v>0.437</v>
      </c>
      <c r="C8580">
        <v>1728</v>
      </c>
      <c r="D8580" s="9">
        <v>41751</v>
      </c>
      <c r="E8580" t="s">
        <v>296</v>
      </c>
      <c r="I8580" s="9"/>
    </row>
    <row r="8581" spans="1:9" x14ac:dyDescent="0.25">
      <c r="A8581">
        <v>714070</v>
      </c>
      <c r="B8581">
        <v>0.41599999999999998</v>
      </c>
      <c r="C8581">
        <v>1728</v>
      </c>
      <c r="D8581" s="9">
        <v>41647</v>
      </c>
      <c r="E8581" t="s">
        <v>296</v>
      </c>
      <c r="I8581" s="9"/>
    </row>
    <row r="8582" spans="1:9" x14ac:dyDescent="0.25">
      <c r="A8582">
        <v>714070</v>
      </c>
      <c r="B8582">
        <v>0.41</v>
      </c>
      <c r="C8582">
        <v>1152</v>
      </c>
      <c r="D8582" s="9">
        <v>41435</v>
      </c>
      <c r="E8582" t="s">
        <v>296</v>
      </c>
      <c r="I8582" s="9"/>
    </row>
    <row r="8583" spans="1:9" x14ac:dyDescent="0.25">
      <c r="A8583">
        <v>714070</v>
      </c>
      <c r="B8583">
        <v>0.41</v>
      </c>
      <c r="C8583">
        <v>1152</v>
      </c>
      <c r="D8583" s="9">
        <v>41362</v>
      </c>
      <c r="E8583" t="s">
        <v>296</v>
      </c>
      <c r="I8583" s="9"/>
    </row>
    <row r="8584" spans="1:9" x14ac:dyDescent="0.25">
      <c r="A8584">
        <v>714110</v>
      </c>
      <c r="B8584">
        <v>0.51600000000000001</v>
      </c>
      <c r="C8584">
        <v>1008</v>
      </c>
      <c r="D8584" s="9">
        <v>44070</v>
      </c>
      <c r="E8584" t="s">
        <v>296</v>
      </c>
      <c r="I8584" s="9"/>
    </row>
    <row r="8585" spans="1:9" x14ac:dyDescent="0.25">
      <c r="A8585">
        <v>714110</v>
      </c>
      <c r="B8585">
        <v>0.66600000000000004</v>
      </c>
      <c r="C8585">
        <v>720</v>
      </c>
      <c r="D8585" s="9">
        <v>44025</v>
      </c>
      <c r="E8585" t="s">
        <v>296</v>
      </c>
      <c r="I8585" s="9"/>
    </row>
    <row r="8586" spans="1:9" x14ac:dyDescent="0.25">
      <c r="A8586">
        <v>714110</v>
      </c>
      <c r="B8586">
        <v>0.66600000000000004</v>
      </c>
      <c r="C8586">
        <v>1080</v>
      </c>
      <c r="D8586" s="9">
        <v>43784</v>
      </c>
      <c r="E8586" t="s">
        <v>296</v>
      </c>
      <c r="I8586" s="9"/>
    </row>
    <row r="8587" spans="1:9" x14ac:dyDescent="0.25">
      <c r="A8587">
        <v>714110</v>
      </c>
      <c r="B8587">
        <v>0.66600000000000004</v>
      </c>
      <c r="C8587">
        <v>1152</v>
      </c>
      <c r="D8587" s="9">
        <v>43567</v>
      </c>
      <c r="E8587" t="s">
        <v>296</v>
      </c>
      <c r="I8587" s="9"/>
    </row>
    <row r="8588" spans="1:9" x14ac:dyDescent="0.25">
      <c r="A8588">
        <v>714110</v>
      </c>
      <c r="B8588">
        <v>2.5299999999999998</v>
      </c>
      <c r="C8588">
        <v>1152</v>
      </c>
      <c r="D8588" s="9">
        <v>43340</v>
      </c>
      <c r="E8588" t="s">
        <v>295</v>
      </c>
      <c r="I8588" s="9"/>
    </row>
    <row r="8589" spans="1:9" x14ac:dyDescent="0.25">
      <c r="A8589">
        <v>714110</v>
      </c>
      <c r="B8589">
        <v>0.66600000000000004</v>
      </c>
      <c r="C8589">
        <v>1152</v>
      </c>
      <c r="D8589" s="9">
        <v>43299</v>
      </c>
      <c r="E8589" t="s">
        <v>296</v>
      </c>
      <c r="I8589" s="9"/>
    </row>
    <row r="8590" spans="1:9" x14ac:dyDescent="0.25">
      <c r="A8590">
        <v>714110</v>
      </c>
      <c r="B8590">
        <v>0.6</v>
      </c>
      <c r="C8590">
        <v>1224</v>
      </c>
      <c r="D8590" s="9">
        <v>43054</v>
      </c>
      <c r="E8590" t="s">
        <v>296</v>
      </c>
      <c r="I8590" s="9"/>
    </row>
    <row r="8591" spans="1:9" x14ac:dyDescent="0.25">
      <c r="A8591">
        <v>714110</v>
      </c>
      <c r="B8591">
        <v>0.47</v>
      </c>
      <c r="C8591">
        <v>1200</v>
      </c>
      <c r="D8591" s="9">
        <v>42853</v>
      </c>
      <c r="E8591" t="s">
        <v>296</v>
      </c>
      <c r="I8591" s="9"/>
    </row>
    <row r="8592" spans="1:9" x14ac:dyDescent="0.25">
      <c r="A8592">
        <v>714110</v>
      </c>
      <c r="B8592">
        <v>0.42</v>
      </c>
      <c r="C8592">
        <v>1080</v>
      </c>
      <c r="D8592" s="9">
        <v>42530</v>
      </c>
      <c r="E8592" t="s">
        <v>296</v>
      </c>
      <c r="I8592" s="9"/>
    </row>
    <row r="8593" spans="1:9" x14ac:dyDescent="0.25">
      <c r="A8593">
        <v>714110</v>
      </c>
      <c r="B8593">
        <v>0.42</v>
      </c>
      <c r="C8593">
        <v>1080</v>
      </c>
      <c r="D8593" s="9">
        <v>42383</v>
      </c>
      <c r="E8593" t="s">
        <v>296</v>
      </c>
      <c r="I8593" s="9"/>
    </row>
    <row r="8594" spans="1:9" x14ac:dyDescent="0.25">
      <c r="A8594">
        <v>714110</v>
      </c>
      <c r="B8594">
        <v>0.55800000000000005</v>
      </c>
      <c r="C8594">
        <v>1080</v>
      </c>
      <c r="D8594" s="9">
        <v>42177</v>
      </c>
      <c r="E8594" t="s">
        <v>296</v>
      </c>
      <c r="I8594" s="9"/>
    </row>
    <row r="8595" spans="1:9" x14ac:dyDescent="0.25">
      <c r="A8595">
        <v>714110</v>
      </c>
      <c r="B8595">
        <v>0.45900000000000002</v>
      </c>
      <c r="C8595">
        <v>1728</v>
      </c>
      <c r="D8595" s="9">
        <v>41765</v>
      </c>
      <c r="E8595" t="s">
        <v>296</v>
      </c>
      <c r="I8595" s="9"/>
    </row>
    <row r="8596" spans="1:9" x14ac:dyDescent="0.25">
      <c r="A8596">
        <v>714110</v>
      </c>
      <c r="B8596">
        <v>0.53800000000000003</v>
      </c>
      <c r="C8596">
        <v>1440</v>
      </c>
      <c r="D8596" s="9">
        <v>41647</v>
      </c>
      <c r="E8596" t="s">
        <v>296</v>
      </c>
      <c r="I8596" s="9"/>
    </row>
    <row r="8597" spans="1:9" x14ac:dyDescent="0.25">
      <c r="A8597">
        <v>714110</v>
      </c>
      <c r="B8597">
        <v>0.53200000000000003</v>
      </c>
      <c r="C8597">
        <v>1440</v>
      </c>
      <c r="D8597" s="9">
        <v>41435</v>
      </c>
      <c r="E8597" t="s">
        <v>296</v>
      </c>
      <c r="I8597" s="9"/>
    </row>
    <row r="8598" spans="1:9" x14ac:dyDescent="0.25">
      <c r="A8598">
        <v>714250</v>
      </c>
      <c r="B8598">
        <v>9.4600000000000009</v>
      </c>
      <c r="C8598">
        <v>800</v>
      </c>
      <c r="D8598" s="9">
        <v>43238</v>
      </c>
      <c r="E8598" t="s">
        <v>295</v>
      </c>
      <c r="I8598" s="9"/>
    </row>
    <row r="8599" spans="1:9" x14ac:dyDescent="0.25">
      <c r="A8599">
        <v>714250</v>
      </c>
      <c r="B8599">
        <v>2.4700000000000002</v>
      </c>
      <c r="C8599">
        <v>800</v>
      </c>
      <c r="D8599" s="9">
        <v>43238</v>
      </c>
      <c r="E8599" t="s">
        <v>296</v>
      </c>
      <c r="I8599" s="9"/>
    </row>
    <row r="8600" spans="1:9" x14ac:dyDescent="0.25">
      <c r="A8600">
        <v>714250</v>
      </c>
      <c r="B8600">
        <v>2.2400000000000002</v>
      </c>
      <c r="C8600">
        <v>720</v>
      </c>
      <c r="D8600" s="9">
        <v>41947</v>
      </c>
      <c r="E8600" t="s">
        <v>296</v>
      </c>
      <c r="I8600" s="9"/>
    </row>
    <row r="8601" spans="1:9" x14ac:dyDescent="0.25">
      <c r="A8601">
        <v>714250</v>
      </c>
      <c r="B8601">
        <v>2.15</v>
      </c>
      <c r="C8601">
        <v>480</v>
      </c>
      <c r="D8601" s="9">
        <v>41947</v>
      </c>
      <c r="E8601" t="s">
        <v>296</v>
      </c>
      <c r="I8601" s="9"/>
    </row>
    <row r="8602" spans="1:9" x14ac:dyDescent="0.25">
      <c r="A8602">
        <v>714250</v>
      </c>
      <c r="B8602">
        <v>2.15</v>
      </c>
      <c r="C8602">
        <v>1200</v>
      </c>
      <c r="D8602" s="9">
        <v>41618</v>
      </c>
      <c r="E8602" t="s">
        <v>296</v>
      </c>
      <c r="I8602" s="9"/>
    </row>
    <row r="8603" spans="1:9" x14ac:dyDescent="0.25">
      <c r="A8603">
        <v>714250</v>
      </c>
      <c r="B8603">
        <v>2.1</v>
      </c>
      <c r="C8603">
        <v>5368</v>
      </c>
      <c r="D8603" s="9">
        <v>41375</v>
      </c>
      <c r="E8603" t="s">
        <v>296</v>
      </c>
      <c r="I8603" s="9"/>
    </row>
    <row r="8604" spans="1:9" x14ac:dyDescent="0.25">
      <c r="A8604">
        <v>714250</v>
      </c>
      <c r="B8604">
        <v>2.1</v>
      </c>
      <c r="C8604">
        <v>32</v>
      </c>
      <c r="D8604" s="9">
        <v>41375</v>
      </c>
      <c r="E8604" t="s">
        <v>296</v>
      </c>
      <c r="I8604" s="9"/>
    </row>
    <row r="8605" spans="1:9" x14ac:dyDescent="0.25">
      <c r="A8605">
        <v>714360</v>
      </c>
      <c r="B8605">
        <v>0.58799999999999997</v>
      </c>
      <c r="C8605">
        <v>1280</v>
      </c>
      <c r="D8605" s="9">
        <v>41456</v>
      </c>
      <c r="E8605" t="s">
        <v>296</v>
      </c>
      <c r="I8605" s="9"/>
    </row>
    <row r="8606" spans="1:9" x14ac:dyDescent="0.25">
      <c r="A8606">
        <v>714405</v>
      </c>
      <c r="B8606">
        <v>0.89300000000000002</v>
      </c>
      <c r="C8606">
        <v>1000</v>
      </c>
      <c r="D8606" s="9">
        <v>41813</v>
      </c>
      <c r="E8606" t="s">
        <v>296</v>
      </c>
      <c r="I8606" s="9"/>
    </row>
    <row r="8607" spans="1:9" x14ac:dyDescent="0.25">
      <c r="A8607">
        <v>714407</v>
      </c>
      <c r="B8607">
        <v>1.1499999999999999</v>
      </c>
      <c r="C8607">
        <v>120</v>
      </c>
      <c r="D8607" s="9">
        <v>42530</v>
      </c>
      <c r="E8607" t="s">
        <v>296</v>
      </c>
      <c r="I8607" s="9"/>
    </row>
    <row r="8608" spans="1:9" x14ac:dyDescent="0.25">
      <c r="A8608">
        <v>714407</v>
      </c>
      <c r="B8608">
        <v>1.18</v>
      </c>
      <c r="C8608">
        <v>360</v>
      </c>
      <c r="D8608" s="9">
        <v>42031</v>
      </c>
      <c r="E8608" t="s">
        <v>296</v>
      </c>
      <c r="I8608" s="9"/>
    </row>
    <row r="8609" spans="1:9" x14ac:dyDescent="0.25">
      <c r="A8609">
        <v>714407</v>
      </c>
      <c r="B8609">
        <v>1.18</v>
      </c>
      <c r="C8609">
        <v>40</v>
      </c>
      <c r="D8609" s="9">
        <v>42031</v>
      </c>
      <c r="E8609" t="s">
        <v>296</v>
      </c>
      <c r="I8609" s="9"/>
    </row>
    <row r="8610" spans="1:9" x14ac:dyDescent="0.25">
      <c r="A8610">
        <v>714407</v>
      </c>
      <c r="B8610">
        <v>1.18</v>
      </c>
      <c r="C8610">
        <v>20</v>
      </c>
      <c r="D8610" s="9">
        <v>41813</v>
      </c>
      <c r="E8610" t="s">
        <v>296</v>
      </c>
      <c r="I8610" s="9"/>
    </row>
    <row r="8611" spans="1:9" x14ac:dyDescent="0.25">
      <c r="A8611">
        <v>714408</v>
      </c>
      <c r="B8611">
        <v>1.335</v>
      </c>
      <c r="C8611">
        <v>576</v>
      </c>
      <c r="D8611" s="9">
        <v>42530</v>
      </c>
      <c r="E8611" t="s">
        <v>296</v>
      </c>
      <c r="I8611" s="9"/>
    </row>
    <row r="8612" spans="1:9" x14ac:dyDescent="0.25">
      <c r="A8612">
        <v>714408</v>
      </c>
      <c r="B8612">
        <v>1.57</v>
      </c>
      <c r="C8612">
        <v>100</v>
      </c>
      <c r="D8612" s="9">
        <v>42380</v>
      </c>
      <c r="E8612" t="s">
        <v>296</v>
      </c>
      <c r="I8612" s="9"/>
    </row>
    <row r="8613" spans="1:9" x14ac:dyDescent="0.25">
      <c r="A8613">
        <v>714409</v>
      </c>
      <c r="B8613">
        <v>2</v>
      </c>
      <c r="C8613">
        <v>600</v>
      </c>
      <c r="D8613" s="9">
        <v>42270</v>
      </c>
      <c r="E8613" t="s">
        <v>296</v>
      </c>
      <c r="I8613" s="9"/>
    </row>
    <row r="8614" spans="1:9" x14ac:dyDescent="0.25">
      <c r="A8614">
        <v>714409</v>
      </c>
      <c r="B8614">
        <v>1.994</v>
      </c>
      <c r="C8614">
        <v>1000</v>
      </c>
      <c r="D8614" s="9">
        <v>41813</v>
      </c>
      <c r="E8614" t="s">
        <v>296</v>
      </c>
      <c r="I8614" s="9"/>
    </row>
    <row r="8615" spans="1:9" x14ac:dyDescent="0.25">
      <c r="A8615">
        <v>714416</v>
      </c>
      <c r="B8615">
        <v>10.220000000000001</v>
      </c>
      <c r="C8615">
        <v>180</v>
      </c>
      <c r="D8615" s="9">
        <v>43123</v>
      </c>
      <c r="E8615" t="s">
        <v>295</v>
      </c>
      <c r="I8615" s="9"/>
    </row>
    <row r="8616" spans="1:9" x14ac:dyDescent="0.25">
      <c r="A8616">
        <v>714416</v>
      </c>
      <c r="B8616">
        <v>2.85</v>
      </c>
      <c r="C8616">
        <v>180</v>
      </c>
      <c r="D8616" s="9">
        <v>43067</v>
      </c>
      <c r="E8616" t="s">
        <v>296</v>
      </c>
      <c r="I8616" s="9"/>
    </row>
    <row r="8617" spans="1:9" x14ac:dyDescent="0.25">
      <c r="A8617">
        <v>714416</v>
      </c>
      <c r="B8617">
        <v>2.8</v>
      </c>
      <c r="C8617">
        <v>240</v>
      </c>
      <c r="D8617" s="9">
        <v>42530</v>
      </c>
      <c r="E8617" t="s">
        <v>296</v>
      </c>
      <c r="I8617" s="9"/>
    </row>
    <row r="8618" spans="1:9" x14ac:dyDescent="0.25">
      <c r="A8618">
        <v>714416</v>
      </c>
      <c r="B8618">
        <v>3.2</v>
      </c>
      <c r="C8618">
        <v>200</v>
      </c>
      <c r="D8618" s="9">
        <v>42270</v>
      </c>
      <c r="E8618" t="s">
        <v>296</v>
      </c>
      <c r="I8618" s="9"/>
    </row>
    <row r="8619" spans="1:9" x14ac:dyDescent="0.25">
      <c r="A8619">
        <v>714416</v>
      </c>
      <c r="B8619">
        <v>3.2</v>
      </c>
      <c r="C8619">
        <v>100</v>
      </c>
      <c r="D8619" s="9">
        <v>42191</v>
      </c>
      <c r="E8619" t="s">
        <v>296</v>
      </c>
      <c r="I8619" s="9"/>
    </row>
    <row r="8620" spans="1:9" x14ac:dyDescent="0.25">
      <c r="A8620">
        <v>714416</v>
      </c>
      <c r="B8620">
        <v>3.2</v>
      </c>
      <c r="C8620">
        <v>100</v>
      </c>
      <c r="D8620" s="9">
        <v>42139</v>
      </c>
      <c r="E8620" t="s">
        <v>296</v>
      </c>
      <c r="I8620" s="9"/>
    </row>
    <row r="8621" spans="1:9" x14ac:dyDescent="0.25">
      <c r="A8621">
        <v>714416</v>
      </c>
      <c r="B8621">
        <v>3.7</v>
      </c>
      <c r="C8621">
        <v>100</v>
      </c>
      <c r="D8621" s="9">
        <v>41837</v>
      </c>
      <c r="E8621" t="s">
        <v>296</v>
      </c>
      <c r="I8621" s="9"/>
    </row>
    <row r="8622" spans="1:9" x14ac:dyDescent="0.25">
      <c r="A8622">
        <v>714421</v>
      </c>
      <c r="B8622">
        <v>4.75</v>
      </c>
      <c r="C8622">
        <v>50</v>
      </c>
      <c r="D8622" s="9">
        <v>42530</v>
      </c>
      <c r="E8622" t="s">
        <v>296</v>
      </c>
      <c r="I8622" s="9"/>
    </row>
    <row r="8623" spans="1:9" x14ac:dyDescent="0.25">
      <c r="A8623">
        <v>714422</v>
      </c>
      <c r="B8623">
        <v>0.95</v>
      </c>
      <c r="C8623">
        <v>1728</v>
      </c>
      <c r="D8623" s="9">
        <v>43760</v>
      </c>
      <c r="E8623" t="s">
        <v>296</v>
      </c>
      <c r="I8623" s="9"/>
    </row>
    <row r="8624" spans="1:9" x14ac:dyDescent="0.25">
      <c r="A8624">
        <v>714422</v>
      </c>
      <c r="B8624">
        <v>0.98</v>
      </c>
      <c r="C8624">
        <v>1296</v>
      </c>
      <c r="D8624" s="9">
        <v>42976</v>
      </c>
      <c r="E8624" t="s">
        <v>296</v>
      </c>
      <c r="I8624" s="9"/>
    </row>
    <row r="8625" spans="1:9" x14ac:dyDescent="0.25">
      <c r="A8625">
        <v>714422</v>
      </c>
      <c r="B8625">
        <v>0.98</v>
      </c>
      <c r="C8625">
        <v>1728</v>
      </c>
      <c r="D8625" s="9">
        <v>42976</v>
      </c>
      <c r="E8625" t="s">
        <v>296</v>
      </c>
      <c r="I8625" s="9"/>
    </row>
    <row r="8626" spans="1:9" x14ac:dyDescent="0.25">
      <c r="A8626">
        <v>714422</v>
      </c>
      <c r="B8626">
        <v>0.98</v>
      </c>
      <c r="C8626">
        <v>2304</v>
      </c>
      <c r="D8626" s="9">
        <v>42494</v>
      </c>
      <c r="E8626" t="s">
        <v>296</v>
      </c>
      <c r="I8626" s="9"/>
    </row>
    <row r="8627" spans="1:9" x14ac:dyDescent="0.25">
      <c r="A8627">
        <v>714422</v>
      </c>
      <c r="B8627">
        <v>1.05</v>
      </c>
      <c r="C8627">
        <v>3024</v>
      </c>
      <c r="D8627" s="9">
        <v>41813</v>
      </c>
      <c r="E8627" t="s">
        <v>296</v>
      </c>
      <c r="I8627" s="9"/>
    </row>
    <row r="8628" spans="1:9" x14ac:dyDescent="0.25">
      <c r="A8628">
        <v>714422</v>
      </c>
      <c r="B8628">
        <v>1.06</v>
      </c>
      <c r="C8628">
        <v>4320</v>
      </c>
      <c r="D8628" s="9">
        <v>41744</v>
      </c>
      <c r="E8628" t="s">
        <v>296</v>
      </c>
      <c r="I8628" s="9"/>
    </row>
    <row r="8629" spans="1:9" x14ac:dyDescent="0.25">
      <c r="A8629">
        <v>714422</v>
      </c>
      <c r="B8629">
        <v>1.1299999999999999</v>
      </c>
      <c r="C8629">
        <v>1500</v>
      </c>
      <c r="D8629" s="9">
        <v>41647</v>
      </c>
      <c r="E8629" t="s">
        <v>296</v>
      </c>
      <c r="I8629" s="9"/>
    </row>
    <row r="8630" spans="1:9" x14ac:dyDescent="0.25">
      <c r="A8630">
        <v>714422</v>
      </c>
      <c r="B8630">
        <v>1.06</v>
      </c>
      <c r="C8630">
        <v>2016</v>
      </c>
      <c r="D8630" s="9">
        <v>41617</v>
      </c>
      <c r="E8630" t="s">
        <v>296</v>
      </c>
      <c r="I8630" s="9"/>
    </row>
    <row r="8631" spans="1:9" x14ac:dyDescent="0.25">
      <c r="A8631">
        <v>714422</v>
      </c>
      <c r="B8631">
        <v>1.19</v>
      </c>
      <c r="C8631">
        <v>2000</v>
      </c>
      <c r="D8631" s="9">
        <v>41281</v>
      </c>
      <c r="E8631" t="s">
        <v>296</v>
      </c>
      <c r="I8631" s="9"/>
    </row>
    <row r="8632" spans="1:9" x14ac:dyDescent="0.25">
      <c r="A8632">
        <v>714425</v>
      </c>
      <c r="B8632">
        <v>4.2</v>
      </c>
      <c r="C8632">
        <v>100</v>
      </c>
      <c r="D8632" s="9">
        <v>42380</v>
      </c>
      <c r="E8632" t="s">
        <v>296</v>
      </c>
      <c r="I8632" s="9"/>
    </row>
    <row r="8633" spans="1:9" x14ac:dyDescent="0.25">
      <c r="A8633">
        <v>714431</v>
      </c>
      <c r="B8633">
        <v>0.71</v>
      </c>
      <c r="C8633">
        <v>1920</v>
      </c>
      <c r="D8633" s="9">
        <v>44117</v>
      </c>
      <c r="E8633" t="s">
        <v>296</v>
      </c>
      <c r="I8633" s="9"/>
    </row>
    <row r="8634" spans="1:9" x14ac:dyDescent="0.25">
      <c r="A8634">
        <v>714431</v>
      </c>
      <c r="B8634">
        <v>0.71</v>
      </c>
      <c r="C8634">
        <v>1920</v>
      </c>
      <c r="D8634" s="9">
        <v>43959</v>
      </c>
      <c r="E8634" t="s">
        <v>296</v>
      </c>
      <c r="I8634" s="9"/>
    </row>
    <row r="8635" spans="1:9" x14ac:dyDescent="0.25">
      <c r="A8635">
        <v>714431</v>
      </c>
      <c r="B8635">
        <v>0.75</v>
      </c>
      <c r="C8635">
        <v>6000</v>
      </c>
      <c r="D8635" s="9">
        <v>43228</v>
      </c>
      <c r="E8635" t="s">
        <v>296</v>
      </c>
      <c r="I8635" s="9"/>
    </row>
    <row r="8636" spans="1:9" x14ac:dyDescent="0.25">
      <c r="A8636">
        <v>714431</v>
      </c>
      <c r="B8636">
        <v>0.78</v>
      </c>
      <c r="C8636">
        <v>3600</v>
      </c>
      <c r="D8636" s="9">
        <v>43105</v>
      </c>
      <c r="E8636" t="s">
        <v>296</v>
      </c>
      <c r="I8636" s="9"/>
    </row>
    <row r="8637" spans="1:9" x14ac:dyDescent="0.25">
      <c r="A8637">
        <v>714431</v>
      </c>
      <c r="B8637">
        <v>0.72</v>
      </c>
      <c r="C8637">
        <v>3600</v>
      </c>
      <c r="D8637" s="9">
        <v>42905</v>
      </c>
      <c r="E8637" t="s">
        <v>296</v>
      </c>
      <c r="I8637" s="9"/>
    </row>
    <row r="8638" spans="1:9" x14ac:dyDescent="0.25">
      <c r="A8638">
        <v>714431</v>
      </c>
      <c r="B8638">
        <v>0.72</v>
      </c>
      <c r="C8638">
        <v>2520</v>
      </c>
      <c r="D8638" s="9">
        <v>42781</v>
      </c>
      <c r="E8638" t="s">
        <v>296</v>
      </c>
      <c r="I8638" s="9"/>
    </row>
    <row r="8639" spans="1:9" x14ac:dyDescent="0.25">
      <c r="A8639">
        <v>714431</v>
      </c>
      <c r="B8639">
        <v>0.75</v>
      </c>
      <c r="C8639">
        <v>1800</v>
      </c>
      <c r="D8639" s="9">
        <v>42617</v>
      </c>
      <c r="E8639" t="s">
        <v>296</v>
      </c>
      <c r="I8639" s="9"/>
    </row>
    <row r="8640" spans="1:9" x14ac:dyDescent="0.25">
      <c r="A8640">
        <v>714431</v>
      </c>
      <c r="B8640">
        <v>0.75</v>
      </c>
      <c r="C8640">
        <v>1800</v>
      </c>
      <c r="D8640" s="9">
        <v>42482</v>
      </c>
      <c r="E8640" t="s">
        <v>296</v>
      </c>
      <c r="I8640" s="9"/>
    </row>
    <row r="8641" spans="1:9" x14ac:dyDescent="0.25">
      <c r="A8641">
        <v>714431</v>
      </c>
      <c r="B8641">
        <v>0.75</v>
      </c>
      <c r="C8641">
        <v>2880</v>
      </c>
      <c r="D8641" s="9">
        <v>41865</v>
      </c>
      <c r="E8641" t="s">
        <v>296</v>
      </c>
      <c r="I8641" s="9"/>
    </row>
    <row r="8642" spans="1:9" x14ac:dyDescent="0.25">
      <c r="A8642">
        <v>714431</v>
      </c>
      <c r="B8642">
        <v>0.75</v>
      </c>
      <c r="C8642">
        <v>2880</v>
      </c>
      <c r="D8642" s="9">
        <v>41744</v>
      </c>
      <c r="E8642" t="s">
        <v>296</v>
      </c>
      <c r="I8642" s="9"/>
    </row>
    <row r="8643" spans="1:9" x14ac:dyDescent="0.25">
      <c r="A8643">
        <v>714431</v>
      </c>
      <c r="B8643">
        <v>1.1499999999999999</v>
      </c>
      <c r="C8643">
        <v>1000</v>
      </c>
      <c r="D8643" s="9">
        <v>41618</v>
      </c>
      <c r="E8643" t="s">
        <v>296</v>
      </c>
      <c r="I8643" s="9"/>
    </row>
    <row r="8644" spans="1:9" x14ac:dyDescent="0.25">
      <c r="A8644">
        <v>714431</v>
      </c>
      <c r="B8644">
        <v>0.75</v>
      </c>
      <c r="C8644">
        <v>2160</v>
      </c>
      <c r="D8644" s="9">
        <v>41617</v>
      </c>
      <c r="E8644" t="s">
        <v>296</v>
      </c>
      <c r="I8644" s="9"/>
    </row>
    <row r="8645" spans="1:9" x14ac:dyDescent="0.25">
      <c r="A8645">
        <v>714432</v>
      </c>
      <c r="B8645">
        <v>1</v>
      </c>
      <c r="C8645">
        <v>1200</v>
      </c>
      <c r="D8645" s="9">
        <v>44117</v>
      </c>
      <c r="E8645" t="s">
        <v>296</v>
      </c>
      <c r="I8645" s="9"/>
    </row>
    <row r="8646" spans="1:9" x14ac:dyDescent="0.25">
      <c r="A8646">
        <v>714432</v>
      </c>
      <c r="B8646">
        <v>1</v>
      </c>
      <c r="C8646">
        <v>4800</v>
      </c>
      <c r="D8646" s="9">
        <v>43228</v>
      </c>
      <c r="E8646" t="s">
        <v>296</v>
      </c>
      <c r="I8646" s="9"/>
    </row>
    <row r="8647" spans="1:9" x14ac:dyDescent="0.25">
      <c r="A8647">
        <v>714432</v>
      </c>
      <c r="B8647">
        <v>3.8</v>
      </c>
      <c r="C8647">
        <v>1200</v>
      </c>
      <c r="D8647" s="9">
        <v>43143</v>
      </c>
      <c r="E8647" t="s">
        <v>295</v>
      </c>
      <c r="I8647" s="9"/>
    </row>
    <row r="8648" spans="1:9" x14ac:dyDescent="0.25">
      <c r="A8648">
        <v>714432</v>
      </c>
      <c r="B8648">
        <v>1.03</v>
      </c>
      <c r="C8648">
        <v>3000</v>
      </c>
      <c r="D8648" s="9">
        <v>43105</v>
      </c>
      <c r="E8648" t="s">
        <v>296</v>
      </c>
      <c r="I8648" s="9"/>
    </row>
    <row r="8649" spans="1:9" x14ac:dyDescent="0.25">
      <c r="A8649">
        <v>714432</v>
      </c>
      <c r="B8649">
        <v>0.95</v>
      </c>
      <c r="C8649">
        <v>840</v>
      </c>
      <c r="D8649" s="9">
        <v>42905</v>
      </c>
      <c r="E8649" t="s">
        <v>296</v>
      </c>
      <c r="I8649" s="9"/>
    </row>
    <row r="8650" spans="1:9" x14ac:dyDescent="0.25">
      <c r="A8650">
        <v>714432</v>
      </c>
      <c r="B8650">
        <v>0.95</v>
      </c>
      <c r="C8650">
        <v>1920</v>
      </c>
      <c r="D8650" s="9">
        <v>42905</v>
      </c>
      <c r="E8650" t="s">
        <v>296</v>
      </c>
      <c r="I8650" s="9"/>
    </row>
    <row r="8651" spans="1:9" x14ac:dyDescent="0.25">
      <c r="A8651">
        <v>714432</v>
      </c>
      <c r="B8651">
        <v>0.95</v>
      </c>
      <c r="C8651">
        <v>1200</v>
      </c>
      <c r="D8651" s="9">
        <v>42482</v>
      </c>
      <c r="E8651" t="s">
        <v>296</v>
      </c>
      <c r="I8651" s="9"/>
    </row>
    <row r="8652" spans="1:9" x14ac:dyDescent="0.25">
      <c r="A8652">
        <v>714432</v>
      </c>
      <c r="B8652">
        <v>3.35</v>
      </c>
      <c r="C8652">
        <v>1560</v>
      </c>
      <c r="D8652" s="9">
        <v>42011</v>
      </c>
      <c r="E8652" t="s">
        <v>295</v>
      </c>
      <c r="I8652" s="9"/>
    </row>
    <row r="8653" spans="1:9" x14ac:dyDescent="0.25">
      <c r="A8653">
        <v>714432</v>
      </c>
      <c r="B8653">
        <v>0.95</v>
      </c>
      <c r="C8653">
        <v>1560</v>
      </c>
      <c r="D8653" s="9">
        <v>41961</v>
      </c>
      <c r="E8653" t="s">
        <v>296</v>
      </c>
      <c r="I8653" s="9"/>
    </row>
    <row r="8654" spans="1:9" x14ac:dyDescent="0.25">
      <c r="A8654">
        <v>714432</v>
      </c>
      <c r="B8654">
        <v>0.95</v>
      </c>
      <c r="C8654">
        <v>1560</v>
      </c>
      <c r="D8654" s="9">
        <v>41682</v>
      </c>
      <c r="E8654" t="s">
        <v>296</v>
      </c>
      <c r="I8654" s="9"/>
    </row>
    <row r="8655" spans="1:9" x14ac:dyDescent="0.25">
      <c r="A8655">
        <v>714433</v>
      </c>
      <c r="B8655">
        <v>1.5</v>
      </c>
      <c r="C8655">
        <v>840</v>
      </c>
      <c r="D8655" s="9">
        <v>42976</v>
      </c>
      <c r="E8655" t="s">
        <v>296</v>
      </c>
      <c r="I8655" s="9"/>
    </row>
    <row r="8656" spans="1:9" x14ac:dyDescent="0.25">
      <c r="A8656">
        <v>714433</v>
      </c>
      <c r="B8656">
        <v>1.5</v>
      </c>
      <c r="C8656">
        <v>1080</v>
      </c>
      <c r="D8656" s="9">
        <v>42494</v>
      </c>
      <c r="E8656" t="s">
        <v>296</v>
      </c>
      <c r="I8656" s="9"/>
    </row>
    <row r="8657" spans="1:9" x14ac:dyDescent="0.25">
      <c r="A8657">
        <v>714433</v>
      </c>
      <c r="B8657">
        <v>1.82</v>
      </c>
      <c r="C8657">
        <v>1400</v>
      </c>
      <c r="D8657" s="9">
        <v>41813</v>
      </c>
      <c r="E8657" t="s">
        <v>296</v>
      </c>
      <c r="I8657" s="9"/>
    </row>
    <row r="8658" spans="1:9" x14ac:dyDescent="0.25">
      <c r="A8658">
        <v>714433</v>
      </c>
      <c r="B8658">
        <v>1.85</v>
      </c>
      <c r="C8658">
        <v>1500</v>
      </c>
      <c r="D8658" s="9">
        <v>41618</v>
      </c>
      <c r="E8658" t="s">
        <v>296</v>
      </c>
      <c r="I8658" s="9"/>
    </row>
    <row r="8659" spans="1:9" x14ac:dyDescent="0.25">
      <c r="A8659">
        <v>714438</v>
      </c>
      <c r="B8659">
        <v>4.5999999999999996</v>
      </c>
      <c r="C8659">
        <v>144</v>
      </c>
      <c r="D8659" s="9">
        <v>42530</v>
      </c>
      <c r="E8659" t="s">
        <v>296</v>
      </c>
      <c r="I8659" s="9"/>
    </row>
    <row r="8660" spans="1:9" x14ac:dyDescent="0.25">
      <c r="A8660">
        <v>714438</v>
      </c>
      <c r="B8660">
        <v>4.95</v>
      </c>
      <c r="C8660">
        <v>100</v>
      </c>
      <c r="D8660" s="9">
        <v>42380</v>
      </c>
      <c r="E8660" t="s">
        <v>296</v>
      </c>
      <c r="I8660" s="9"/>
    </row>
    <row r="8661" spans="1:9" x14ac:dyDescent="0.25">
      <c r="A8661">
        <v>714440</v>
      </c>
      <c r="B8661">
        <v>3.61</v>
      </c>
      <c r="C8661">
        <v>400</v>
      </c>
      <c r="D8661" s="9">
        <v>41813</v>
      </c>
      <c r="E8661" t="s">
        <v>296</v>
      </c>
      <c r="I8661" s="9"/>
    </row>
    <row r="8662" spans="1:9" x14ac:dyDescent="0.25">
      <c r="A8662">
        <v>714441</v>
      </c>
      <c r="B8662">
        <v>0.7</v>
      </c>
      <c r="C8662">
        <v>2400</v>
      </c>
      <c r="D8662" s="9">
        <v>42696</v>
      </c>
      <c r="E8662" t="s">
        <v>296</v>
      </c>
      <c r="I8662" s="9"/>
    </row>
    <row r="8663" spans="1:9" x14ac:dyDescent="0.25">
      <c r="A8663">
        <v>714441</v>
      </c>
      <c r="B8663">
        <v>0.72</v>
      </c>
      <c r="C8663">
        <v>1200</v>
      </c>
      <c r="D8663" s="9">
        <v>42397</v>
      </c>
      <c r="E8663" t="s">
        <v>296</v>
      </c>
      <c r="I8663" s="9"/>
    </row>
    <row r="8664" spans="1:9" x14ac:dyDescent="0.25">
      <c r="A8664">
        <v>714441</v>
      </c>
      <c r="B8664">
        <v>0.72</v>
      </c>
      <c r="C8664">
        <v>1000</v>
      </c>
      <c r="D8664" s="9">
        <v>42191</v>
      </c>
      <c r="E8664" t="s">
        <v>296</v>
      </c>
      <c r="I8664" s="9"/>
    </row>
    <row r="8665" spans="1:9" x14ac:dyDescent="0.25">
      <c r="A8665">
        <v>714441</v>
      </c>
      <c r="B8665">
        <v>0.81</v>
      </c>
      <c r="C8665">
        <v>600</v>
      </c>
      <c r="D8665" s="9">
        <v>41934</v>
      </c>
      <c r="E8665" t="s">
        <v>296</v>
      </c>
      <c r="I8665" s="9"/>
    </row>
    <row r="8666" spans="1:9" x14ac:dyDescent="0.25">
      <c r="A8666">
        <v>714451</v>
      </c>
      <c r="B8666">
        <v>5.3</v>
      </c>
      <c r="C8666">
        <v>240</v>
      </c>
      <c r="D8666" s="9">
        <v>42530</v>
      </c>
      <c r="E8666" t="s">
        <v>296</v>
      </c>
      <c r="I8666" s="9"/>
    </row>
    <row r="8667" spans="1:9" x14ac:dyDescent="0.25">
      <c r="A8667">
        <v>714451</v>
      </c>
      <c r="B8667">
        <v>5.32</v>
      </c>
      <c r="C8667">
        <v>100</v>
      </c>
      <c r="D8667" s="9">
        <v>42380</v>
      </c>
      <c r="E8667" t="s">
        <v>296</v>
      </c>
      <c r="I8667" s="9"/>
    </row>
    <row r="8668" spans="1:9" x14ac:dyDescent="0.25">
      <c r="A8668">
        <v>714602</v>
      </c>
      <c r="B8668">
        <v>1.9</v>
      </c>
      <c r="C8668">
        <v>100</v>
      </c>
      <c r="D8668" s="9">
        <v>42380</v>
      </c>
      <c r="E8668" t="s">
        <v>296</v>
      </c>
      <c r="I8668" s="9"/>
    </row>
    <row r="8669" spans="1:9" x14ac:dyDescent="0.25">
      <c r="A8669">
        <v>720021</v>
      </c>
      <c r="B8669">
        <v>8.44</v>
      </c>
      <c r="C8669">
        <v>400</v>
      </c>
      <c r="D8669" s="9">
        <v>42325</v>
      </c>
      <c r="E8669" t="s">
        <v>296</v>
      </c>
      <c r="I8669" s="9"/>
    </row>
    <row r="8670" spans="1:9" x14ac:dyDescent="0.25">
      <c r="A8670">
        <v>720022</v>
      </c>
      <c r="B8670">
        <v>29.38</v>
      </c>
      <c r="C8670">
        <v>200</v>
      </c>
      <c r="D8670" s="9">
        <v>42520</v>
      </c>
      <c r="E8670" t="s">
        <v>295</v>
      </c>
      <c r="I8670" s="9"/>
    </row>
    <row r="8671" spans="1:9" x14ac:dyDescent="0.25">
      <c r="A8671">
        <v>720022</v>
      </c>
      <c r="B8671">
        <v>6.6929999999999996</v>
      </c>
      <c r="C8671">
        <v>200</v>
      </c>
      <c r="D8671" s="9">
        <v>42520</v>
      </c>
      <c r="E8671" t="s">
        <v>297</v>
      </c>
      <c r="I8671" s="9"/>
    </row>
    <row r="8672" spans="1:9" x14ac:dyDescent="0.25">
      <c r="A8672">
        <v>720022</v>
      </c>
      <c r="B8672">
        <v>6.6929999999999996</v>
      </c>
      <c r="C8672">
        <v>200</v>
      </c>
      <c r="D8672" s="9">
        <v>42186</v>
      </c>
      <c r="E8672" t="s">
        <v>297</v>
      </c>
      <c r="I8672" s="9"/>
    </row>
    <row r="8673" spans="1:9" x14ac:dyDescent="0.25">
      <c r="A8673">
        <v>720022</v>
      </c>
      <c r="B8673">
        <v>7.28</v>
      </c>
      <c r="C8673">
        <v>500</v>
      </c>
      <c r="D8673" s="9">
        <v>41617</v>
      </c>
      <c r="E8673" t="s">
        <v>296</v>
      </c>
      <c r="I8673" s="9"/>
    </row>
    <row r="8674" spans="1:9" x14ac:dyDescent="0.25">
      <c r="A8674">
        <v>720024</v>
      </c>
      <c r="B8674">
        <v>5.8</v>
      </c>
      <c r="C8674">
        <v>700</v>
      </c>
      <c r="D8674" s="9">
        <v>41744</v>
      </c>
      <c r="E8674" t="s">
        <v>296</v>
      </c>
      <c r="I8674" s="9"/>
    </row>
    <row r="8675" spans="1:9" x14ac:dyDescent="0.25">
      <c r="A8675">
        <v>720108</v>
      </c>
      <c r="B8675">
        <v>10.8</v>
      </c>
      <c r="C8675">
        <v>80</v>
      </c>
      <c r="D8675" s="9">
        <v>42976</v>
      </c>
      <c r="E8675" t="s">
        <v>296</v>
      </c>
      <c r="I8675" s="9"/>
    </row>
    <row r="8676" spans="1:9" x14ac:dyDescent="0.25">
      <c r="A8676">
        <v>720108</v>
      </c>
      <c r="B8676">
        <v>10.688000000000001</v>
      </c>
      <c r="C8676">
        <v>100</v>
      </c>
      <c r="D8676" s="9">
        <v>42401</v>
      </c>
      <c r="E8676" t="s">
        <v>297</v>
      </c>
      <c r="I8676" s="9"/>
    </row>
    <row r="8677" spans="1:9" x14ac:dyDescent="0.25">
      <c r="A8677">
        <v>720108</v>
      </c>
      <c r="B8677">
        <v>11.25</v>
      </c>
      <c r="C8677">
        <v>80</v>
      </c>
      <c r="D8677" s="9">
        <v>42040</v>
      </c>
      <c r="E8677" t="s">
        <v>296</v>
      </c>
      <c r="I8677" s="9"/>
    </row>
    <row r="8678" spans="1:9" x14ac:dyDescent="0.25">
      <c r="A8678">
        <v>720108</v>
      </c>
      <c r="B8678">
        <v>11.25</v>
      </c>
      <c r="C8678">
        <v>100</v>
      </c>
      <c r="D8678" s="9">
        <v>41617</v>
      </c>
      <c r="E8678" t="s">
        <v>296</v>
      </c>
      <c r="I8678" s="9"/>
    </row>
    <row r="8679" spans="1:9" x14ac:dyDescent="0.25">
      <c r="A8679">
        <v>730330</v>
      </c>
      <c r="B8679">
        <v>1.3</v>
      </c>
      <c r="C8679">
        <v>336</v>
      </c>
      <c r="D8679" s="9">
        <v>43959</v>
      </c>
      <c r="E8679" t="s">
        <v>296</v>
      </c>
      <c r="I8679" s="9"/>
    </row>
    <row r="8680" spans="1:9" x14ac:dyDescent="0.25">
      <c r="A8680">
        <v>730330</v>
      </c>
      <c r="B8680">
        <v>1.3</v>
      </c>
      <c r="C8680">
        <v>576</v>
      </c>
      <c r="D8680" s="9">
        <v>43959</v>
      </c>
      <c r="E8680" t="s">
        <v>296</v>
      </c>
      <c r="I8680" s="9"/>
    </row>
    <row r="8681" spans="1:9" x14ac:dyDescent="0.25">
      <c r="A8681">
        <v>730330</v>
      </c>
      <c r="B8681">
        <v>1.3</v>
      </c>
      <c r="C8681">
        <v>336</v>
      </c>
      <c r="D8681" s="9">
        <v>43959</v>
      </c>
      <c r="E8681" t="s">
        <v>296</v>
      </c>
      <c r="I8681" s="9"/>
    </row>
    <row r="8682" spans="1:9" x14ac:dyDescent="0.25">
      <c r="A8682">
        <v>730330</v>
      </c>
      <c r="B8682">
        <v>1.3</v>
      </c>
      <c r="C8682">
        <v>384</v>
      </c>
      <c r="D8682" s="9">
        <v>43837</v>
      </c>
      <c r="E8682" t="s">
        <v>296</v>
      </c>
      <c r="I8682" s="9"/>
    </row>
    <row r="8683" spans="1:9" x14ac:dyDescent="0.25">
      <c r="A8683">
        <v>730330</v>
      </c>
      <c r="B8683">
        <v>1.32</v>
      </c>
      <c r="C8683">
        <v>720</v>
      </c>
      <c r="D8683" s="9">
        <v>43605</v>
      </c>
      <c r="E8683" t="s">
        <v>296</v>
      </c>
      <c r="I8683" s="9"/>
    </row>
    <row r="8684" spans="1:9" x14ac:dyDescent="0.25">
      <c r="A8684">
        <v>730330</v>
      </c>
      <c r="B8684">
        <v>1.32</v>
      </c>
      <c r="C8684">
        <v>720</v>
      </c>
      <c r="D8684" s="9">
        <v>43131</v>
      </c>
      <c r="E8684" t="s">
        <v>296</v>
      </c>
      <c r="I8684" s="9"/>
    </row>
    <row r="8685" spans="1:9" x14ac:dyDescent="0.25">
      <c r="A8685">
        <v>730330</v>
      </c>
      <c r="B8685">
        <v>1.32</v>
      </c>
      <c r="C8685">
        <v>720</v>
      </c>
      <c r="D8685" s="9">
        <v>43067</v>
      </c>
      <c r="E8685" t="s">
        <v>296</v>
      </c>
      <c r="I8685" s="9"/>
    </row>
    <row r="8686" spans="1:9" x14ac:dyDescent="0.25">
      <c r="A8686">
        <v>730330</v>
      </c>
      <c r="B8686">
        <v>1.19</v>
      </c>
      <c r="C8686">
        <v>720</v>
      </c>
      <c r="D8686" s="9">
        <v>42836</v>
      </c>
      <c r="E8686" t="s">
        <v>296</v>
      </c>
      <c r="I8686" s="9"/>
    </row>
    <row r="8687" spans="1:9" x14ac:dyDescent="0.25">
      <c r="A8687">
        <v>730330</v>
      </c>
      <c r="B8687">
        <v>1.08</v>
      </c>
      <c r="C8687">
        <v>672</v>
      </c>
      <c r="D8687" s="9">
        <v>42585</v>
      </c>
      <c r="E8687" t="s">
        <v>296</v>
      </c>
      <c r="I8687" s="9"/>
    </row>
    <row r="8688" spans="1:9" x14ac:dyDescent="0.25">
      <c r="A8688">
        <v>730330</v>
      </c>
      <c r="B8688">
        <v>1.1000000000000001</v>
      </c>
      <c r="C8688">
        <v>768</v>
      </c>
      <c r="D8688" s="9">
        <v>42494</v>
      </c>
      <c r="E8688" t="s">
        <v>296</v>
      </c>
      <c r="I8688" s="9"/>
    </row>
    <row r="8689" spans="1:9" x14ac:dyDescent="0.25">
      <c r="A8689">
        <v>730330</v>
      </c>
      <c r="B8689">
        <v>1.1599999999999999</v>
      </c>
      <c r="C8689">
        <v>768</v>
      </c>
      <c r="D8689" s="9">
        <v>42380</v>
      </c>
      <c r="E8689" t="s">
        <v>296</v>
      </c>
      <c r="I8689" s="9"/>
    </row>
    <row r="8690" spans="1:9" x14ac:dyDescent="0.25">
      <c r="A8690">
        <v>730330</v>
      </c>
      <c r="B8690">
        <v>3.76</v>
      </c>
      <c r="C8690">
        <v>768</v>
      </c>
      <c r="D8690" s="9">
        <v>42269</v>
      </c>
      <c r="E8690" t="s">
        <v>295</v>
      </c>
      <c r="I8690" s="9"/>
    </row>
    <row r="8691" spans="1:9" x14ac:dyDescent="0.25">
      <c r="A8691">
        <v>730330</v>
      </c>
      <c r="B8691">
        <v>1.1599999999999999</v>
      </c>
      <c r="C8691">
        <v>768</v>
      </c>
      <c r="D8691" s="9">
        <v>42229</v>
      </c>
      <c r="E8691" t="s">
        <v>296</v>
      </c>
      <c r="I8691" s="9"/>
    </row>
    <row r="8692" spans="1:9" x14ac:dyDescent="0.25">
      <c r="A8692">
        <v>730330</v>
      </c>
      <c r="B8692">
        <v>1.1599999999999999</v>
      </c>
      <c r="C8692">
        <v>864</v>
      </c>
      <c r="D8692" s="9">
        <v>41877</v>
      </c>
      <c r="E8692" t="s">
        <v>296</v>
      </c>
      <c r="I8692" s="9"/>
    </row>
    <row r="8693" spans="1:9" x14ac:dyDescent="0.25">
      <c r="A8693">
        <v>730330</v>
      </c>
      <c r="B8693">
        <v>1.1599999999999999</v>
      </c>
      <c r="C8693">
        <v>960</v>
      </c>
      <c r="D8693" s="9">
        <v>41592</v>
      </c>
      <c r="E8693" t="s">
        <v>296</v>
      </c>
      <c r="I8693" s="9"/>
    </row>
    <row r="8694" spans="1:9" x14ac:dyDescent="0.25">
      <c r="A8694">
        <v>730330</v>
      </c>
      <c r="B8694">
        <v>1.165</v>
      </c>
      <c r="C8694">
        <v>960</v>
      </c>
      <c r="D8694" s="9">
        <v>41484</v>
      </c>
      <c r="E8694" t="s">
        <v>296</v>
      </c>
      <c r="I8694" s="9"/>
    </row>
    <row r="8695" spans="1:9" x14ac:dyDescent="0.25">
      <c r="A8695">
        <v>730340</v>
      </c>
      <c r="B8695">
        <v>1.18</v>
      </c>
      <c r="C8695">
        <v>768</v>
      </c>
      <c r="D8695" s="9">
        <v>44140</v>
      </c>
      <c r="E8695" t="s">
        <v>296</v>
      </c>
      <c r="I8695" s="9"/>
    </row>
    <row r="8696" spans="1:9" x14ac:dyDescent="0.25">
      <c r="A8696">
        <v>730340</v>
      </c>
      <c r="B8696">
        <v>1.1120000000000001</v>
      </c>
      <c r="C8696">
        <v>672</v>
      </c>
      <c r="D8696" s="9">
        <v>44021</v>
      </c>
      <c r="E8696" t="s">
        <v>296</v>
      </c>
      <c r="I8696" s="9"/>
    </row>
    <row r="8697" spans="1:9" x14ac:dyDescent="0.25">
      <c r="A8697">
        <v>730340</v>
      </c>
      <c r="B8697">
        <v>1.1120000000000001</v>
      </c>
      <c r="C8697">
        <v>624</v>
      </c>
      <c r="D8697" s="9">
        <v>43959</v>
      </c>
      <c r="E8697" t="s">
        <v>296</v>
      </c>
      <c r="I8697" s="9"/>
    </row>
    <row r="8698" spans="1:9" x14ac:dyDescent="0.25">
      <c r="A8698">
        <v>730340</v>
      </c>
      <c r="B8698">
        <v>1.1120000000000001</v>
      </c>
      <c r="C8698">
        <v>576</v>
      </c>
      <c r="D8698" s="9">
        <v>43837</v>
      </c>
      <c r="E8698" t="s">
        <v>296</v>
      </c>
      <c r="I8698" s="9"/>
    </row>
    <row r="8699" spans="1:9" x14ac:dyDescent="0.25">
      <c r="A8699">
        <v>730340</v>
      </c>
      <c r="B8699">
        <v>1.1200000000000001</v>
      </c>
      <c r="C8699">
        <v>720</v>
      </c>
      <c r="D8699" s="9">
        <v>43605</v>
      </c>
      <c r="E8699" t="s">
        <v>296</v>
      </c>
      <c r="I8699" s="9"/>
    </row>
    <row r="8700" spans="1:9" x14ac:dyDescent="0.25">
      <c r="A8700">
        <v>730340</v>
      </c>
      <c r="B8700">
        <v>1.1200000000000001</v>
      </c>
      <c r="C8700">
        <v>672</v>
      </c>
      <c r="D8700" s="9">
        <v>43131</v>
      </c>
      <c r="E8700" t="s">
        <v>296</v>
      </c>
      <c r="I8700" s="9"/>
    </row>
    <row r="8701" spans="1:9" x14ac:dyDescent="0.25">
      <c r="A8701">
        <v>730340</v>
      </c>
      <c r="B8701">
        <v>1.08</v>
      </c>
      <c r="C8701">
        <v>672</v>
      </c>
      <c r="D8701" s="9">
        <v>43067</v>
      </c>
      <c r="E8701" t="s">
        <v>296</v>
      </c>
      <c r="I8701" s="9"/>
    </row>
    <row r="8702" spans="1:9" x14ac:dyDescent="0.25">
      <c r="A8702">
        <v>730340</v>
      </c>
      <c r="B8702">
        <v>1.08</v>
      </c>
      <c r="C8702">
        <v>672</v>
      </c>
      <c r="D8702" s="9">
        <v>42836</v>
      </c>
      <c r="E8702" t="s">
        <v>296</v>
      </c>
      <c r="I8702" s="9"/>
    </row>
    <row r="8703" spans="1:9" x14ac:dyDescent="0.25">
      <c r="A8703">
        <v>730340</v>
      </c>
      <c r="B8703">
        <v>1.06</v>
      </c>
      <c r="C8703">
        <v>768</v>
      </c>
      <c r="D8703" s="9">
        <v>42585</v>
      </c>
      <c r="E8703" t="s">
        <v>296</v>
      </c>
      <c r="I8703" s="9"/>
    </row>
    <row r="8704" spans="1:9" x14ac:dyDescent="0.25">
      <c r="A8704">
        <v>730340</v>
      </c>
      <c r="B8704">
        <v>1.08</v>
      </c>
      <c r="C8704">
        <v>768</v>
      </c>
      <c r="D8704" s="9">
        <v>42380</v>
      </c>
      <c r="E8704" t="s">
        <v>296</v>
      </c>
      <c r="I8704" s="9"/>
    </row>
    <row r="8705" spans="1:9" x14ac:dyDescent="0.25">
      <c r="A8705">
        <v>730340</v>
      </c>
      <c r="B8705">
        <v>3.45</v>
      </c>
      <c r="C8705">
        <v>768</v>
      </c>
      <c r="D8705" s="9">
        <v>42269</v>
      </c>
      <c r="E8705" t="s">
        <v>295</v>
      </c>
      <c r="I8705" s="9"/>
    </row>
    <row r="8706" spans="1:9" x14ac:dyDescent="0.25">
      <c r="A8706">
        <v>730340</v>
      </c>
      <c r="B8706">
        <v>1.08</v>
      </c>
      <c r="C8706">
        <v>768</v>
      </c>
      <c r="D8706" s="9">
        <v>42229</v>
      </c>
      <c r="E8706" t="s">
        <v>296</v>
      </c>
      <c r="I8706" s="9"/>
    </row>
    <row r="8707" spans="1:9" x14ac:dyDescent="0.25">
      <c r="A8707">
        <v>730340</v>
      </c>
      <c r="B8707">
        <v>1.08</v>
      </c>
      <c r="C8707">
        <v>864</v>
      </c>
      <c r="D8707" s="9">
        <v>41877</v>
      </c>
      <c r="E8707" t="s">
        <v>296</v>
      </c>
      <c r="I8707" s="9"/>
    </row>
    <row r="8708" spans="1:9" x14ac:dyDescent="0.25">
      <c r="A8708">
        <v>730340</v>
      </c>
      <c r="B8708">
        <v>1.08</v>
      </c>
      <c r="C8708">
        <v>864</v>
      </c>
      <c r="D8708" s="9">
        <v>41592</v>
      </c>
      <c r="E8708" t="s">
        <v>296</v>
      </c>
      <c r="I8708" s="9"/>
    </row>
    <row r="8709" spans="1:9" x14ac:dyDescent="0.25">
      <c r="A8709">
        <v>730340</v>
      </c>
      <c r="B8709">
        <v>1.05</v>
      </c>
      <c r="C8709">
        <v>912</v>
      </c>
      <c r="D8709" s="9">
        <v>41484</v>
      </c>
      <c r="E8709" t="s">
        <v>296</v>
      </c>
      <c r="I8709" s="9"/>
    </row>
    <row r="8710" spans="1:9" x14ac:dyDescent="0.25">
      <c r="A8710">
        <v>731060</v>
      </c>
      <c r="B8710">
        <v>0.68</v>
      </c>
      <c r="C8710">
        <v>1200</v>
      </c>
      <c r="D8710" s="9">
        <v>43964</v>
      </c>
      <c r="E8710" t="s">
        <v>296</v>
      </c>
      <c r="I8710" s="9"/>
    </row>
    <row r="8711" spans="1:9" x14ac:dyDescent="0.25">
      <c r="A8711">
        <v>731060</v>
      </c>
      <c r="B8711">
        <v>0.68</v>
      </c>
      <c r="C8711">
        <v>1440</v>
      </c>
      <c r="D8711" s="9">
        <v>43489</v>
      </c>
      <c r="E8711" t="s">
        <v>296</v>
      </c>
      <c r="I8711" s="9"/>
    </row>
    <row r="8712" spans="1:9" x14ac:dyDescent="0.25">
      <c r="A8712">
        <v>731060</v>
      </c>
      <c r="B8712">
        <v>0.65</v>
      </c>
      <c r="C8712">
        <v>1080</v>
      </c>
      <c r="D8712" s="9">
        <v>43381</v>
      </c>
      <c r="E8712" t="s">
        <v>296</v>
      </c>
      <c r="I8712" s="9"/>
    </row>
    <row r="8713" spans="1:9" x14ac:dyDescent="0.25">
      <c r="A8713">
        <v>731060</v>
      </c>
      <c r="B8713">
        <v>0.65</v>
      </c>
      <c r="C8713">
        <v>1200</v>
      </c>
      <c r="D8713" s="9">
        <v>42836</v>
      </c>
      <c r="E8713" t="s">
        <v>296</v>
      </c>
      <c r="I8713" s="9"/>
    </row>
    <row r="8714" spans="1:9" x14ac:dyDescent="0.25">
      <c r="A8714">
        <v>731060</v>
      </c>
      <c r="B8714">
        <v>0.62</v>
      </c>
      <c r="C8714">
        <v>1920</v>
      </c>
      <c r="D8714" s="9">
        <v>42380</v>
      </c>
      <c r="E8714" t="s">
        <v>296</v>
      </c>
      <c r="I8714" s="9"/>
    </row>
    <row r="8715" spans="1:9" x14ac:dyDescent="0.25">
      <c r="A8715">
        <v>731060</v>
      </c>
      <c r="B8715">
        <v>1.87</v>
      </c>
      <c r="C8715">
        <v>1200</v>
      </c>
      <c r="D8715" s="9">
        <v>42269</v>
      </c>
      <c r="E8715" t="s">
        <v>295</v>
      </c>
      <c r="I8715" s="9"/>
    </row>
    <row r="8716" spans="1:9" x14ac:dyDescent="0.25">
      <c r="A8716">
        <v>731060</v>
      </c>
      <c r="B8716">
        <v>0.62</v>
      </c>
      <c r="C8716">
        <v>1200</v>
      </c>
      <c r="D8716" s="9">
        <v>42229</v>
      </c>
      <c r="E8716" t="s">
        <v>296</v>
      </c>
      <c r="I8716" s="9"/>
    </row>
    <row r="8717" spans="1:9" x14ac:dyDescent="0.25">
      <c r="A8717">
        <v>731060</v>
      </c>
      <c r="B8717">
        <v>0.59</v>
      </c>
      <c r="C8717">
        <v>1920</v>
      </c>
      <c r="D8717" s="9">
        <v>41592</v>
      </c>
      <c r="E8717" t="s">
        <v>296</v>
      </c>
      <c r="I8717" s="9"/>
    </row>
    <row r="8718" spans="1:9" x14ac:dyDescent="0.25">
      <c r="A8718">
        <v>731060</v>
      </c>
      <c r="B8718">
        <v>0.57999999999999996</v>
      </c>
      <c r="C8718">
        <v>1920</v>
      </c>
      <c r="D8718" s="9">
        <v>41484</v>
      </c>
      <c r="E8718" t="s">
        <v>296</v>
      </c>
      <c r="I8718" s="9"/>
    </row>
    <row r="8719" spans="1:9" x14ac:dyDescent="0.25">
      <c r="A8719">
        <v>732060</v>
      </c>
      <c r="B8719">
        <v>0.255</v>
      </c>
      <c r="C8719">
        <v>1000</v>
      </c>
      <c r="D8719" s="9">
        <v>44074</v>
      </c>
      <c r="E8719" t="s">
        <v>296</v>
      </c>
      <c r="I8719" s="9"/>
    </row>
    <row r="8720" spans="1:9" x14ac:dyDescent="0.25">
      <c r="A8720">
        <v>732060</v>
      </c>
      <c r="B8720">
        <v>0.255</v>
      </c>
      <c r="C8720">
        <v>1200</v>
      </c>
      <c r="D8720" s="9">
        <v>43843</v>
      </c>
      <c r="E8720" t="s">
        <v>296</v>
      </c>
      <c r="I8720" s="9"/>
    </row>
    <row r="8721" spans="1:9" x14ac:dyDescent="0.25">
      <c r="A8721">
        <v>732060</v>
      </c>
      <c r="B8721">
        <v>0.255</v>
      </c>
      <c r="C8721">
        <v>1200</v>
      </c>
      <c r="D8721" s="9">
        <v>43707</v>
      </c>
      <c r="E8721" t="s">
        <v>296</v>
      </c>
      <c r="I8721" s="9"/>
    </row>
    <row r="8722" spans="1:9" x14ac:dyDescent="0.25">
      <c r="A8722">
        <v>732060</v>
      </c>
      <c r="B8722">
        <v>0.245</v>
      </c>
      <c r="C8722">
        <v>2400</v>
      </c>
      <c r="D8722" s="9">
        <v>42607</v>
      </c>
      <c r="E8722" t="s">
        <v>297</v>
      </c>
      <c r="I8722" s="9"/>
    </row>
    <row r="8723" spans="1:9" x14ac:dyDescent="0.25">
      <c r="A8723">
        <v>732060</v>
      </c>
      <c r="B8723">
        <v>0.223</v>
      </c>
      <c r="C8723">
        <v>2400</v>
      </c>
      <c r="D8723" s="9">
        <v>42401</v>
      </c>
      <c r="E8723" t="s">
        <v>297</v>
      </c>
      <c r="I8723" s="9"/>
    </row>
    <row r="8724" spans="1:9" x14ac:dyDescent="0.25">
      <c r="A8724">
        <v>732060</v>
      </c>
      <c r="B8724">
        <v>0.223</v>
      </c>
      <c r="C8724">
        <v>2400</v>
      </c>
      <c r="D8724" s="9">
        <v>42233</v>
      </c>
      <c r="E8724" t="s">
        <v>297</v>
      </c>
      <c r="I8724" s="9"/>
    </row>
    <row r="8725" spans="1:9" x14ac:dyDescent="0.25">
      <c r="A8725">
        <v>732060</v>
      </c>
      <c r="B8725">
        <v>0.24299999999999999</v>
      </c>
      <c r="C8725">
        <v>2400</v>
      </c>
      <c r="D8725" s="9">
        <v>41961</v>
      </c>
      <c r="E8725" t="s">
        <v>296</v>
      </c>
      <c r="I8725" s="9"/>
    </row>
    <row r="8726" spans="1:9" x14ac:dyDescent="0.25">
      <c r="A8726">
        <v>732060</v>
      </c>
      <c r="B8726">
        <v>0.23100000000000001</v>
      </c>
      <c r="C8726">
        <v>2400</v>
      </c>
      <c r="D8726" s="9">
        <v>41617</v>
      </c>
      <c r="E8726" t="s">
        <v>296</v>
      </c>
      <c r="I8726" s="9"/>
    </row>
    <row r="8727" spans="1:9" x14ac:dyDescent="0.25">
      <c r="A8727">
        <v>732060</v>
      </c>
      <c r="B8727">
        <v>0.22</v>
      </c>
      <c r="C8727">
        <v>2400</v>
      </c>
      <c r="D8727" s="9">
        <v>41456</v>
      </c>
      <c r="E8727" t="s">
        <v>296</v>
      </c>
      <c r="I8727" s="9"/>
    </row>
    <row r="8728" spans="1:9" x14ac:dyDescent="0.25">
      <c r="A8728">
        <v>732060</v>
      </c>
      <c r="B8728">
        <v>0.28599999999999998</v>
      </c>
      <c r="C8728">
        <v>1600</v>
      </c>
      <c r="D8728" s="9">
        <v>41295</v>
      </c>
      <c r="E8728" t="s">
        <v>296</v>
      </c>
      <c r="I8728" s="9"/>
    </row>
    <row r="8729" spans="1:9" x14ac:dyDescent="0.25">
      <c r="A8729">
        <v>732080</v>
      </c>
      <c r="B8729">
        <v>0.22500000000000001</v>
      </c>
      <c r="C8729">
        <v>960</v>
      </c>
      <c r="D8729" s="9">
        <v>44074</v>
      </c>
      <c r="E8729" t="s">
        <v>296</v>
      </c>
      <c r="I8729" s="9"/>
    </row>
    <row r="8730" spans="1:9" x14ac:dyDescent="0.25">
      <c r="A8730">
        <v>732080</v>
      </c>
      <c r="B8730">
        <v>0.22500000000000001</v>
      </c>
      <c r="C8730">
        <v>960</v>
      </c>
      <c r="D8730" s="9">
        <v>43843</v>
      </c>
      <c r="E8730" t="s">
        <v>296</v>
      </c>
      <c r="I8730" s="9"/>
    </row>
    <row r="8731" spans="1:9" x14ac:dyDescent="0.25">
      <c r="A8731">
        <v>732080</v>
      </c>
      <c r="B8731">
        <v>0.22500000000000001</v>
      </c>
      <c r="C8731">
        <v>960</v>
      </c>
      <c r="D8731" s="9">
        <v>43707</v>
      </c>
      <c r="E8731" t="s">
        <v>296</v>
      </c>
      <c r="I8731" s="9"/>
    </row>
    <row r="8732" spans="1:9" x14ac:dyDescent="0.25">
      <c r="A8732">
        <v>732080</v>
      </c>
      <c r="B8732">
        <v>0.151</v>
      </c>
      <c r="C8732">
        <v>2400</v>
      </c>
      <c r="D8732" s="9">
        <v>43132</v>
      </c>
      <c r="E8732" t="s">
        <v>296</v>
      </c>
      <c r="I8732" s="9"/>
    </row>
    <row r="8733" spans="1:9" x14ac:dyDescent="0.25">
      <c r="A8733">
        <v>732080</v>
      </c>
      <c r="B8733">
        <v>0.61</v>
      </c>
      <c r="C8733">
        <v>2400</v>
      </c>
      <c r="D8733" s="9">
        <v>43132</v>
      </c>
      <c r="E8733" t="s">
        <v>295</v>
      </c>
      <c r="I8733" s="9"/>
    </row>
    <row r="8734" spans="1:9" x14ac:dyDescent="0.25">
      <c r="A8734">
        <v>732080</v>
      </c>
      <c r="B8734">
        <v>0.157</v>
      </c>
      <c r="C8734">
        <v>2400</v>
      </c>
      <c r="D8734" s="9">
        <v>42401</v>
      </c>
      <c r="E8734" t="s">
        <v>297</v>
      </c>
      <c r="I8734" s="9"/>
    </row>
    <row r="8735" spans="1:9" x14ac:dyDescent="0.25">
      <c r="A8735">
        <v>732080</v>
      </c>
      <c r="B8735">
        <v>0.157</v>
      </c>
      <c r="C8735">
        <v>2400</v>
      </c>
      <c r="D8735" s="9">
        <v>42233</v>
      </c>
      <c r="E8735" t="s">
        <v>297</v>
      </c>
      <c r="I8735" s="9"/>
    </row>
    <row r="8736" spans="1:9" x14ac:dyDescent="0.25">
      <c r="A8736">
        <v>732080</v>
      </c>
      <c r="B8736">
        <v>0.17100000000000001</v>
      </c>
      <c r="C8736">
        <v>2400</v>
      </c>
      <c r="D8736" s="9">
        <v>41961</v>
      </c>
      <c r="E8736" t="s">
        <v>296</v>
      </c>
      <c r="I8736" s="9"/>
    </row>
    <row r="8737" spans="1:9" x14ac:dyDescent="0.25">
      <c r="A8737">
        <v>732080</v>
      </c>
      <c r="B8737">
        <v>0.17100000000000001</v>
      </c>
      <c r="C8737">
        <v>2400</v>
      </c>
      <c r="D8737" s="9">
        <v>41744</v>
      </c>
      <c r="E8737" t="s">
        <v>296</v>
      </c>
      <c r="I8737" s="9"/>
    </row>
    <row r="8738" spans="1:9" x14ac:dyDescent="0.25">
      <c r="A8738">
        <v>732080</v>
      </c>
      <c r="B8738">
        <v>0.158</v>
      </c>
      <c r="C8738">
        <v>2160</v>
      </c>
      <c r="D8738" s="9">
        <v>41617</v>
      </c>
      <c r="E8738" t="s">
        <v>296</v>
      </c>
      <c r="I8738" s="9"/>
    </row>
    <row r="8739" spans="1:9" x14ac:dyDescent="0.25">
      <c r="A8739">
        <v>732080</v>
      </c>
      <c r="B8739">
        <v>0.15</v>
      </c>
      <c r="C8739">
        <v>2160</v>
      </c>
      <c r="D8739" s="9">
        <v>41456</v>
      </c>
      <c r="E8739" t="s">
        <v>296</v>
      </c>
      <c r="I8739" s="9"/>
    </row>
    <row r="8740" spans="1:9" x14ac:dyDescent="0.25">
      <c r="A8740">
        <v>732080</v>
      </c>
      <c r="B8740">
        <v>0.22500000000000001</v>
      </c>
      <c r="C8740">
        <v>1800</v>
      </c>
      <c r="D8740" s="9">
        <v>41295</v>
      </c>
      <c r="E8740" t="s">
        <v>296</v>
      </c>
      <c r="I8740" s="9"/>
    </row>
    <row r="8741" spans="1:9" x14ac:dyDescent="0.25">
      <c r="A8741">
        <v>732090</v>
      </c>
      <c r="B8741">
        <v>0.40400000000000003</v>
      </c>
      <c r="C8741">
        <v>800</v>
      </c>
      <c r="D8741" s="9">
        <v>43871</v>
      </c>
      <c r="E8741" t="s">
        <v>296</v>
      </c>
      <c r="I8741" s="9"/>
    </row>
    <row r="8742" spans="1:9" x14ac:dyDescent="0.25">
      <c r="A8742">
        <v>732090</v>
      </c>
      <c r="B8742">
        <v>0.38900000000000001</v>
      </c>
      <c r="C8742">
        <v>800</v>
      </c>
      <c r="D8742" s="9">
        <v>43567</v>
      </c>
      <c r="E8742" t="s">
        <v>296</v>
      </c>
      <c r="I8742" s="9"/>
    </row>
    <row r="8743" spans="1:9" x14ac:dyDescent="0.25">
      <c r="A8743">
        <v>732090</v>
      </c>
      <c r="B8743">
        <v>1.0900000000000001</v>
      </c>
      <c r="C8743">
        <v>1280</v>
      </c>
      <c r="D8743" s="9">
        <v>43132</v>
      </c>
      <c r="E8743" t="s">
        <v>295</v>
      </c>
      <c r="I8743" s="9"/>
    </row>
    <row r="8744" spans="1:9" x14ac:dyDescent="0.25">
      <c r="A8744">
        <v>732090</v>
      </c>
      <c r="B8744">
        <v>0.27900000000000003</v>
      </c>
      <c r="C8744">
        <v>1280</v>
      </c>
      <c r="D8744" s="9">
        <v>43132</v>
      </c>
      <c r="E8744" t="s">
        <v>296</v>
      </c>
      <c r="I8744" s="9"/>
    </row>
    <row r="8745" spans="1:9" x14ac:dyDescent="0.25">
      <c r="A8745">
        <v>732090</v>
      </c>
      <c r="B8745">
        <v>0.29399999999999998</v>
      </c>
      <c r="C8745">
        <v>1280</v>
      </c>
      <c r="D8745" s="9">
        <v>42607</v>
      </c>
      <c r="E8745" t="s">
        <v>297</v>
      </c>
      <c r="I8745" s="9"/>
    </row>
    <row r="8746" spans="1:9" x14ac:dyDescent="0.25">
      <c r="A8746">
        <v>732090</v>
      </c>
      <c r="B8746">
        <v>0.26700000000000002</v>
      </c>
      <c r="C8746">
        <v>1200</v>
      </c>
      <c r="D8746" s="9">
        <v>42233</v>
      </c>
      <c r="E8746" t="s">
        <v>297</v>
      </c>
      <c r="I8746" s="9"/>
    </row>
    <row r="8747" spans="1:9" x14ac:dyDescent="0.25">
      <c r="A8747">
        <v>732090</v>
      </c>
      <c r="B8747">
        <v>0.27900000000000003</v>
      </c>
      <c r="C8747">
        <v>1280</v>
      </c>
      <c r="D8747" s="9">
        <v>41744</v>
      </c>
      <c r="E8747" t="s">
        <v>296</v>
      </c>
      <c r="I8747" s="9"/>
    </row>
    <row r="8748" spans="1:9" x14ac:dyDescent="0.25">
      <c r="A8748">
        <v>732090</v>
      </c>
      <c r="B8748">
        <v>0.27900000000000003</v>
      </c>
      <c r="C8748">
        <v>1280</v>
      </c>
      <c r="D8748" s="9">
        <v>41617</v>
      </c>
      <c r="E8748" t="s">
        <v>296</v>
      </c>
      <c r="I8748" s="9"/>
    </row>
    <row r="8749" spans="1:9" x14ac:dyDescent="0.25">
      <c r="A8749">
        <v>732090</v>
      </c>
      <c r="B8749">
        <v>0.42099999999999999</v>
      </c>
      <c r="C8749">
        <v>1280</v>
      </c>
      <c r="D8749" s="9">
        <v>41295</v>
      </c>
      <c r="E8749" t="s">
        <v>296</v>
      </c>
      <c r="I8749" s="9"/>
    </row>
    <row r="8750" spans="1:9" x14ac:dyDescent="0.25">
      <c r="A8750">
        <v>733403</v>
      </c>
      <c r="B8750">
        <v>3.25</v>
      </c>
      <c r="C8750">
        <v>200</v>
      </c>
      <c r="D8750" s="9">
        <v>44102</v>
      </c>
      <c r="E8750" t="s">
        <v>296</v>
      </c>
      <c r="I8750" s="9"/>
    </row>
    <row r="8751" spans="1:9" x14ac:dyDescent="0.25">
      <c r="A8751">
        <v>733405</v>
      </c>
      <c r="B8751">
        <v>3.99</v>
      </c>
      <c r="C8751">
        <v>150</v>
      </c>
      <c r="D8751" s="9">
        <v>44102</v>
      </c>
      <c r="E8751" t="s">
        <v>296</v>
      </c>
      <c r="I8751" s="9"/>
    </row>
    <row r="8752" spans="1:9" x14ac:dyDescent="0.25">
      <c r="A8752">
        <v>733510</v>
      </c>
      <c r="B8752">
        <v>0.43</v>
      </c>
      <c r="C8752">
        <v>1500</v>
      </c>
      <c r="D8752" s="9">
        <v>44117</v>
      </c>
      <c r="E8752" t="s">
        <v>296</v>
      </c>
      <c r="I8752" s="9"/>
    </row>
    <row r="8753" spans="1:9" x14ac:dyDescent="0.25">
      <c r="A8753">
        <v>733510</v>
      </c>
      <c r="B8753">
        <v>0.43</v>
      </c>
      <c r="C8753">
        <v>2000</v>
      </c>
      <c r="D8753" s="9">
        <v>44083</v>
      </c>
      <c r="E8753" t="s">
        <v>296</v>
      </c>
      <c r="I8753" s="9"/>
    </row>
    <row r="8754" spans="1:9" x14ac:dyDescent="0.25">
      <c r="A8754">
        <v>733510</v>
      </c>
      <c r="B8754">
        <v>0.43</v>
      </c>
      <c r="C8754">
        <v>1500</v>
      </c>
      <c r="D8754" s="9">
        <v>43684</v>
      </c>
      <c r="E8754" t="s">
        <v>296</v>
      </c>
      <c r="I8754" s="9"/>
    </row>
    <row r="8755" spans="1:9" x14ac:dyDescent="0.25">
      <c r="A8755">
        <v>733510</v>
      </c>
      <c r="B8755">
        <v>0.36799999999999999</v>
      </c>
      <c r="C8755">
        <v>1600</v>
      </c>
      <c r="D8755" s="9">
        <v>43608</v>
      </c>
      <c r="E8755" t="s">
        <v>296</v>
      </c>
      <c r="I8755" s="9"/>
    </row>
    <row r="8756" spans="1:9" x14ac:dyDescent="0.25">
      <c r="A8756">
        <v>733510</v>
      </c>
      <c r="B8756">
        <v>0.42</v>
      </c>
      <c r="C8756">
        <v>1500</v>
      </c>
      <c r="D8756" s="9">
        <v>43489</v>
      </c>
      <c r="E8756" t="s">
        <v>296</v>
      </c>
      <c r="I8756" s="9"/>
    </row>
    <row r="8757" spans="1:9" x14ac:dyDescent="0.25">
      <c r="A8757">
        <v>733510</v>
      </c>
      <c r="B8757">
        <v>0.42</v>
      </c>
      <c r="C8757">
        <v>1500</v>
      </c>
      <c r="D8757" s="9">
        <v>43250</v>
      </c>
      <c r="E8757" t="s">
        <v>296</v>
      </c>
      <c r="I8757" s="9"/>
    </row>
    <row r="8758" spans="1:9" x14ac:dyDescent="0.25">
      <c r="A8758">
        <v>733510</v>
      </c>
      <c r="B8758">
        <v>0.36799999999999999</v>
      </c>
      <c r="C8758">
        <v>1500</v>
      </c>
      <c r="D8758" s="9">
        <v>42607</v>
      </c>
      <c r="E8758" t="s">
        <v>297</v>
      </c>
      <c r="I8758" s="9"/>
    </row>
    <row r="8759" spans="1:9" x14ac:dyDescent="0.25">
      <c r="A8759">
        <v>733510</v>
      </c>
      <c r="B8759">
        <v>0.29799999999999999</v>
      </c>
      <c r="C8759">
        <v>1000</v>
      </c>
      <c r="D8759" s="9">
        <v>41617</v>
      </c>
      <c r="E8759" t="s">
        <v>296</v>
      </c>
      <c r="I8759" s="9"/>
    </row>
    <row r="8760" spans="1:9" x14ac:dyDescent="0.25">
      <c r="A8760">
        <v>733511</v>
      </c>
      <c r="B8760">
        <v>0.65</v>
      </c>
      <c r="C8760">
        <v>1000</v>
      </c>
      <c r="D8760" s="9">
        <v>44117</v>
      </c>
      <c r="E8760" t="s">
        <v>296</v>
      </c>
      <c r="I8760" s="9"/>
    </row>
    <row r="8761" spans="1:9" x14ac:dyDescent="0.25">
      <c r="A8761">
        <v>733520</v>
      </c>
      <c r="B8761">
        <v>0.52</v>
      </c>
      <c r="C8761">
        <v>3200</v>
      </c>
      <c r="D8761" s="9">
        <v>44140</v>
      </c>
      <c r="E8761" t="s">
        <v>296</v>
      </c>
      <c r="I8761" s="9"/>
    </row>
    <row r="8762" spans="1:9" x14ac:dyDescent="0.25">
      <c r="A8762">
        <v>733520</v>
      </c>
      <c r="B8762">
        <v>0.52</v>
      </c>
      <c r="C8762">
        <v>2800</v>
      </c>
      <c r="D8762" s="9">
        <v>44068</v>
      </c>
      <c r="E8762" t="s">
        <v>296</v>
      </c>
      <c r="I8762" s="9"/>
    </row>
    <row r="8763" spans="1:9" x14ac:dyDescent="0.25">
      <c r="A8763">
        <v>733520</v>
      </c>
      <c r="B8763">
        <v>0.52</v>
      </c>
      <c r="C8763">
        <v>1800</v>
      </c>
      <c r="D8763" s="9">
        <v>43991</v>
      </c>
      <c r="E8763" t="s">
        <v>296</v>
      </c>
      <c r="I8763" s="9"/>
    </row>
    <row r="8764" spans="1:9" x14ac:dyDescent="0.25">
      <c r="A8764">
        <v>733520</v>
      </c>
      <c r="B8764">
        <v>0.52</v>
      </c>
      <c r="C8764">
        <v>2000</v>
      </c>
      <c r="D8764" s="9">
        <v>43837</v>
      </c>
      <c r="E8764" t="s">
        <v>296</v>
      </c>
      <c r="I8764" s="9"/>
    </row>
    <row r="8765" spans="1:9" x14ac:dyDescent="0.25">
      <c r="A8765">
        <v>733520</v>
      </c>
      <c r="B8765">
        <v>0.52</v>
      </c>
      <c r="C8765">
        <v>2400</v>
      </c>
      <c r="D8765" s="9">
        <v>43598</v>
      </c>
      <c r="E8765" t="s">
        <v>296</v>
      </c>
      <c r="I8765" s="9"/>
    </row>
    <row r="8766" spans="1:9" x14ac:dyDescent="0.25">
      <c r="A8766">
        <v>733520</v>
      </c>
      <c r="B8766">
        <v>0.52</v>
      </c>
      <c r="C8766">
        <v>2400</v>
      </c>
      <c r="D8766" s="9">
        <v>43489</v>
      </c>
      <c r="E8766" t="s">
        <v>296</v>
      </c>
      <c r="I8766" s="9"/>
    </row>
    <row r="8767" spans="1:9" x14ac:dyDescent="0.25">
      <c r="A8767">
        <v>733520</v>
      </c>
      <c r="B8767">
        <v>1.76</v>
      </c>
      <c r="C8767">
        <v>2400</v>
      </c>
      <c r="D8767" s="9">
        <v>43090</v>
      </c>
      <c r="E8767" t="s">
        <v>295</v>
      </c>
      <c r="I8767" s="9"/>
    </row>
    <row r="8768" spans="1:9" x14ac:dyDescent="0.25">
      <c r="A8768">
        <v>733520</v>
      </c>
      <c r="B8768">
        <v>0.47</v>
      </c>
      <c r="C8768">
        <v>2400</v>
      </c>
      <c r="D8768" s="9">
        <v>43052</v>
      </c>
      <c r="E8768" t="s">
        <v>296</v>
      </c>
      <c r="I8768" s="9"/>
    </row>
    <row r="8769" spans="1:9" x14ac:dyDescent="0.25">
      <c r="A8769">
        <v>733520</v>
      </c>
      <c r="B8769">
        <v>0.47</v>
      </c>
      <c r="C8769">
        <v>2400</v>
      </c>
      <c r="D8769" s="9">
        <v>42655</v>
      </c>
      <c r="E8769" t="s">
        <v>296</v>
      </c>
      <c r="I8769" s="9"/>
    </row>
    <row r="8770" spans="1:9" x14ac:dyDescent="0.25">
      <c r="A8770">
        <v>733520</v>
      </c>
      <c r="B8770">
        <v>0.47</v>
      </c>
      <c r="C8770">
        <v>2400</v>
      </c>
      <c r="D8770" s="9">
        <v>42655</v>
      </c>
      <c r="E8770" t="s">
        <v>296</v>
      </c>
      <c r="I8770" s="9"/>
    </row>
    <row r="8771" spans="1:9" x14ac:dyDescent="0.25">
      <c r="A8771">
        <v>733520</v>
      </c>
      <c r="B8771">
        <v>0.47</v>
      </c>
      <c r="C8771">
        <v>2000</v>
      </c>
      <c r="D8771" s="9">
        <v>42586</v>
      </c>
      <c r="E8771" t="s">
        <v>296</v>
      </c>
      <c r="I8771" s="9"/>
    </row>
    <row r="8772" spans="1:9" x14ac:dyDescent="0.25">
      <c r="A8772">
        <v>733520</v>
      </c>
      <c r="B8772">
        <v>0.5</v>
      </c>
      <c r="C8772">
        <v>1200</v>
      </c>
      <c r="D8772" s="9">
        <v>42325</v>
      </c>
      <c r="E8772" t="s">
        <v>296</v>
      </c>
      <c r="I8772" s="9"/>
    </row>
    <row r="8773" spans="1:9" x14ac:dyDescent="0.25">
      <c r="A8773">
        <v>733520</v>
      </c>
      <c r="B8773">
        <v>0.5</v>
      </c>
      <c r="C8773">
        <v>1600</v>
      </c>
      <c r="D8773" s="9">
        <v>41934</v>
      </c>
      <c r="E8773" t="s">
        <v>296</v>
      </c>
      <c r="I8773" s="9"/>
    </row>
    <row r="8774" spans="1:9" x14ac:dyDescent="0.25">
      <c r="A8774">
        <v>733525</v>
      </c>
      <c r="B8774">
        <v>0.75</v>
      </c>
      <c r="C8774">
        <v>1000</v>
      </c>
      <c r="D8774" s="9">
        <v>44098</v>
      </c>
      <c r="E8774" t="s">
        <v>296</v>
      </c>
      <c r="I8774" s="9"/>
    </row>
    <row r="8775" spans="1:9" x14ac:dyDescent="0.25">
      <c r="A8775">
        <v>733525</v>
      </c>
      <c r="B8775">
        <v>0.75</v>
      </c>
      <c r="C8775">
        <v>1400</v>
      </c>
      <c r="D8775" s="9">
        <v>43991</v>
      </c>
      <c r="E8775" t="s">
        <v>296</v>
      </c>
      <c r="I8775" s="9"/>
    </row>
    <row r="8776" spans="1:9" x14ac:dyDescent="0.25">
      <c r="A8776">
        <v>733525</v>
      </c>
      <c r="B8776">
        <v>0.75</v>
      </c>
      <c r="C8776">
        <v>1000</v>
      </c>
      <c r="D8776" s="9">
        <v>43837</v>
      </c>
      <c r="E8776" t="s">
        <v>296</v>
      </c>
      <c r="I8776" s="9"/>
    </row>
    <row r="8777" spans="1:9" x14ac:dyDescent="0.25">
      <c r="A8777">
        <v>733525</v>
      </c>
      <c r="B8777">
        <v>4.24</v>
      </c>
      <c r="C8777">
        <v>400</v>
      </c>
      <c r="D8777" s="9">
        <v>43615</v>
      </c>
      <c r="E8777" t="s">
        <v>295</v>
      </c>
      <c r="I8777" s="9"/>
    </row>
    <row r="8778" spans="1:9" x14ac:dyDescent="0.25">
      <c r="A8778">
        <v>733540</v>
      </c>
      <c r="B8778">
        <v>0.61</v>
      </c>
      <c r="C8778">
        <v>1800</v>
      </c>
      <c r="D8778" s="9">
        <v>44125</v>
      </c>
      <c r="E8778" t="s">
        <v>296</v>
      </c>
      <c r="I8778" s="9"/>
    </row>
    <row r="8779" spans="1:9" x14ac:dyDescent="0.25">
      <c r="A8779">
        <v>733540</v>
      </c>
      <c r="B8779">
        <v>0.61</v>
      </c>
      <c r="C8779">
        <v>2000</v>
      </c>
      <c r="D8779" s="9">
        <v>44060</v>
      </c>
      <c r="E8779" t="s">
        <v>296</v>
      </c>
      <c r="I8779" s="9"/>
    </row>
    <row r="8780" spans="1:9" x14ac:dyDescent="0.25">
      <c r="A8780">
        <v>733540</v>
      </c>
      <c r="B8780">
        <v>0.67</v>
      </c>
      <c r="C8780">
        <v>2000</v>
      </c>
      <c r="D8780" s="9">
        <v>43959</v>
      </c>
      <c r="E8780" t="s">
        <v>296</v>
      </c>
      <c r="I8780" s="9"/>
    </row>
    <row r="8781" spans="1:9" x14ac:dyDescent="0.25">
      <c r="A8781">
        <v>733540</v>
      </c>
      <c r="B8781">
        <v>0.67</v>
      </c>
      <c r="C8781">
        <v>2000</v>
      </c>
      <c r="D8781" s="9">
        <v>43760</v>
      </c>
      <c r="E8781" t="s">
        <v>296</v>
      </c>
      <c r="I8781" s="9"/>
    </row>
    <row r="8782" spans="1:9" x14ac:dyDescent="0.25">
      <c r="A8782">
        <v>733540</v>
      </c>
      <c r="B8782">
        <v>0.625</v>
      </c>
      <c r="C8782">
        <v>2000</v>
      </c>
      <c r="D8782" s="9">
        <v>43409</v>
      </c>
      <c r="E8782" t="s">
        <v>296</v>
      </c>
      <c r="I8782" s="9"/>
    </row>
    <row r="8783" spans="1:9" x14ac:dyDescent="0.25">
      <c r="A8783">
        <v>733540</v>
      </c>
      <c r="B8783">
        <v>2.5</v>
      </c>
      <c r="C8783">
        <v>1000</v>
      </c>
      <c r="D8783" s="9">
        <v>43263</v>
      </c>
      <c r="E8783" t="s">
        <v>295</v>
      </c>
      <c r="I8783" s="9"/>
    </row>
    <row r="8784" spans="1:9" x14ac:dyDescent="0.25">
      <c r="A8784">
        <v>733540</v>
      </c>
      <c r="B8784">
        <v>0.67</v>
      </c>
      <c r="C8784">
        <v>2000</v>
      </c>
      <c r="D8784" s="9">
        <v>43228</v>
      </c>
      <c r="E8784" t="s">
        <v>296</v>
      </c>
      <c r="I8784" s="9"/>
    </row>
    <row r="8785" spans="1:9" x14ac:dyDescent="0.25">
      <c r="A8785">
        <v>733540</v>
      </c>
      <c r="B8785">
        <v>0.67</v>
      </c>
      <c r="C8785">
        <v>2000</v>
      </c>
      <c r="D8785" s="9">
        <v>43131</v>
      </c>
      <c r="E8785" t="s">
        <v>296</v>
      </c>
      <c r="I8785" s="9"/>
    </row>
    <row r="8786" spans="1:9" x14ac:dyDescent="0.25">
      <c r="A8786">
        <v>733540</v>
      </c>
      <c r="B8786">
        <v>2.41</v>
      </c>
      <c r="C8786">
        <v>2000</v>
      </c>
      <c r="D8786" s="9">
        <v>43123</v>
      </c>
      <c r="E8786" t="s">
        <v>295</v>
      </c>
      <c r="I8786" s="9"/>
    </row>
    <row r="8787" spans="1:9" x14ac:dyDescent="0.25">
      <c r="A8787">
        <v>733540</v>
      </c>
      <c r="B8787">
        <v>0.67</v>
      </c>
      <c r="C8787">
        <v>2000</v>
      </c>
      <c r="D8787" s="9">
        <v>43067</v>
      </c>
      <c r="E8787" t="s">
        <v>296</v>
      </c>
      <c r="I8787" s="9"/>
    </row>
    <row r="8788" spans="1:9" x14ac:dyDescent="0.25">
      <c r="A8788">
        <v>733540</v>
      </c>
      <c r="B8788">
        <v>0.64</v>
      </c>
      <c r="C8788">
        <v>1400</v>
      </c>
      <c r="D8788" s="9">
        <v>42976</v>
      </c>
      <c r="E8788" t="s">
        <v>296</v>
      </c>
      <c r="I8788" s="9"/>
    </row>
    <row r="8789" spans="1:9" x14ac:dyDescent="0.25">
      <c r="A8789">
        <v>733540</v>
      </c>
      <c r="B8789">
        <v>0.64</v>
      </c>
      <c r="C8789">
        <v>1600</v>
      </c>
      <c r="D8789" s="9">
        <v>42781</v>
      </c>
      <c r="E8789" t="s">
        <v>296</v>
      </c>
      <c r="I8789" s="9"/>
    </row>
    <row r="8790" spans="1:9" x14ac:dyDescent="0.25">
      <c r="A8790">
        <v>733540</v>
      </c>
      <c r="B8790">
        <v>0.68</v>
      </c>
      <c r="C8790">
        <v>1500</v>
      </c>
      <c r="D8790" s="9">
        <v>42530</v>
      </c>
      <c r="E8790" t="s">
        <v>296</v>
      </c>
      <c r="I8790" s="9"/>
    </row>
    <row r="8791" spans="1:9" x14ac:dyDescent="0.25">
      <c r="A8791">
        <v>733540</v>
      </c>
      <c r="B8791">
        <v>0.75</v>
      </c>
      <c r="C8791">
        <v>1500</v>
      </c>
      <c r="D8791" s="9">
        <v>42299</v>
      </c>
      <c r="E8791" t="s">
        <v>296</v>
      </c>
      <c r="I8791" s="9"/>
    </row>
    <row r="8792" spans="1:9" x14ac:dyDescent="0.25">
      <c r="A8792">
        <v>733540</v>
      </c>
      <c r="B8792">
        <v>0.75</v>
      </c>
      <c r="C8792">
        <v>1500</v>
      </c>
      <c r="D8792" s="9">
        <v>42270</v>
      </c>
      <c r="E8792" t="s">
        <v>296</v>
      </c>
      <c r="I8792" s="9"/>
    </row>
    <row r="8793" spans="1:9" x14ac:dyDescent="0.25">
      <c r="A8793">
        <v>733540</v>
      </c>
      <c r="B8793">
        <v>0.75</v>
      </c>
      <c r="C8793">
        <v>1500</v>
      </c>
      <c r="D8793" s="9">
        <v>41947</v>
      </c>
      <c r="E8793" t="s">
        <v>296</v>
      </c>
      <c r="I8793" s="9"/>
    </row>
    <row r="8794" spans="1:9" x14ac:dyDescent="0.25">
      <c r="A8794">
        <v>733540</v>
      </c>
      <c r="B8794">
        <v>0.75</v>
      </c>
      <c r="C8794">
        <v>1500</v>
      </c>
      <c r="D8794" s="9">
        <v>41877</v>
      </c>
      <c r="E8794" t="s">
        <v>296</v>
      </c>
      <c r="I8794" s="9"/>
    </row>
    <row r="8795" spans="1:9" x14ac:dyDescent="0.25">
      <c r="A8795">
        <v>733540</v>
      </c>
      <c r="B8795">
        <v>0.75</v>
      </c>
      <c r="C8795">
        <v>1500</v>
      </c>
      <c r="D8795" s="9">
        <v>41746</v>
      </c>
      <c r="E8795" t="s">
        <v>296</v>
      </c>
      <c r="I8795" s="9"/>
    </row>
    <row r="8796" spans="1:9" x14ac:dyDescent="0.25">
      <c r="A8796">
        <v>733540</v>
      </c>
      <c r="B8796">
        <v>0.75</v>
      </c>
      <c r="C8796">
        <v>1200</v>
      </c>
      <c r="D8796" s="9">
        <v>41375</v>
      </c>
      <c r="E8796" t="s">
        <v>296</v>
      </c>
      <c r="I8796" s="9"/>
    </row>
    <row r="8797" spans="1:9" x14ac:dyDescent="0.25">
      <c r="A8797">
        <v>733546</v>
      </c>
      <c r="B8797">
        <v>2.38</v>
      </c>
      <c r="C8797">
        <v>300</v>
      </c>
      <c r="D8797" s="9">
        <v>44102</v>
      </c>
      <c r="E8797" t="s">
        <v>296</v>
      </c>
      <c r="I8797" s="9"/>
    </row>
    <row r="8798" spans="1:9" x14ac:dyDescent="0.25">
      <c r="A8798">
        <v>733552</v>
      </c>
      <c r="B8798">
        <v>1.6</v>
      </c>
      <c r="C8798">
        <v>300</v>
      </c>
      <c r="D8798" s="9">
        <v>43601</v>
      </c>
      <c r="E8798" t="s">
        <v>295</v>
      </c>
      <c r="I8798" s="9"/>
    </row>
    <row r="8799" spans="1:9" x14ac:dyDescent="0.25">
      <c r="A8799">
        <v>733552</v>
      </c>
      <c r="B8799">
        <v>1.6</v>
      </c>
      <c r="C8799">
        <v>500</v>
      </c>
      <c r="D8799" s="9">
        <v>43528</v>
      </c>
      <c r="E8799" t="s">
        <v>295</v>
      </c>
      <c r="I8799" s="9"/>
    </row>
    <row r="8800" spans="1:9" x14ac:dyDescent="0.25">
      <c r="A8800">
        <v>733552</v>
      </c>
      <c r="B8800">
        <v>1.6</v>
      </c>
      <c r="C8800">
        <v>500</v>
      </c>
      <c r="D8800" s="9">
        <v>43153</v>
      </c>
      <c r="E8800" t="s">
        <v>295</v>
      </c>
      <c r="I8800" s="9"/>
    </row>
    <row r="8801" spans="1:9" x14ac:dyDescent="0.25">
      <c r="A8801">
        <v>733552</v>
      </c>
      <c r="B8801">
        <v>1.6</v>
      </c>
      <c r="C8801">
        <v>700</v>
      </c>
      <c r="D8801" s="9">
        <v>42958</v>
      </c>
      <c r="E8801" t="s">
        <v>295</v>
      </c>
      <c r="I8801" s="9"/>
    </row>
    <row r="8802" spans="1:9" x14ac:dyDescent="0.25">
      <c r="A8802">
        <v>733552</v>
      </c>
      <c r="B8802">
        <v>1.5</v>
      </c>
      <c r="C8802">
        <v>500</v>
      </c>
      <c r="D8802" s="9">
        <v>42836</v>
      </c>
      <c r="E8802" t="s">
        <v>295</v>
      </c>
      <c r="I8802" s="9"/>
    </row>
    <row r="8803" spans="1:9" x14ac:dyDescent="0.25">
      <c r="A8803">
        <v>733552</v>
      </c>
      <c r="B8803">
        <v>1.6</v>
      </c>
      <c r="C8803">
        <v>500</v>
      </c>
      <c r="D8803" s="9">
        <v>42622</v>
      </c>
      <c r="E8803" t="s">
        <v>295</v>
      </c>
      <c r="I8803" s="9"/>
    </row>
    <row r="8804" spans="1:9" x14ac:dyDescent="0.25">
      <c r="A8804">
        <v>733552</v>
      </c>
      <c r="B8804">
        <v>1.6</v>
      </c>
      <c r="C8804">
        <v>500</v>
      </c>
      <c r="D8804" s="9">
        <v>42471</v>
      </c>
      <c r="E8804" t="s">
        <v>295</v>
      </c>
      <c r="I8804" s="9"/>
    </row>
    <row r="8805" spans="1:9" x14ac:dyDescent="0.25">
      <c r="A8805">
        <v>733552</v>
      </c>
      <c r="B8805">
        <v>1.6</v>
      </c>
      <c r="C8805">
        <v>500</v>
      </c>
      <c r="D8805" s="9">
        <v>42451</v>
      </c>
      <c r="E8805" t="s">
        <v>295</v>
      </c>
      <c r="I8805" s="9"/>
    </row>
    <row r="8806" spans="1:9" x14ac:dyDescent="0.25">
      <c r="A8806">
        <v>733552</v>
      </c>
      <c r="B8806">
        <v>1.6</v>
      </c>
      <c r="C8806">
        <v>500</v>
      </c>
      <c r="D8806" s="9">
        <v>42346</v>
      </c>
      <c r="E8806" t="s">
        <v>295</v>
      </c>
      <c r="I8806" s="9"/>
    </row>
    <row r="8807" spans="1:9" x14ac:dyDescent="0.25">
      <c r="A8807">
        <v>733552</v>
      </c>
      <c r="B8807">
        <v>1.6</v>
      </c>
      <c r="C8807">
        <v>500</v>
      </c>
      <c r="D8807" s="9">
        <v>42254</v>
      </c>
      <c r="E8807" t="s">
        <v>295</v>
      </c>
      <c r="I8807" s="9"/>
    </row>
    <row r="8808" spans="1:9" x14ac:dyDescent="0.25">
      <c r="A8808">
        <v>733552</v>
      </c>
      <c r="B8808">
        <v>1.6</v>
      </c>
      <c r="C8808">
        <v>500</v>
      </c>
      <c r="D8808" s="9">
        <v>42174</v>
      </c>
      <c r="E8808" t="s">
        <v>295</v>
      </c>
      <c r="I8808" s="9"/>
    </row>
    <row r="8809" spans="1:9" x14ac:dyDescent="0.25">
      <c r="A8809">
        <v>733552</v>
      </c>
      <c r="B8809">
        <v>1.6</v>
      </c>
      <c r="C8809">
        <v>400</v>
      </c>
      <c r="D8809" s="9">
        <v>42066</v>
      </c>
      <c r="E8809" t="s">
        <v>295</v>
      </c>
      <c r="I8809" s="9"/>
    </row>
    <row r="8810" spans="1:9" x14ac:dyDescent="0.25">
      <c r="A8810">
        <v>733552</v>
      </c>
      <c r="B8810">
        <v>1.6</v>
      </c>
      <c r="C8810">
        <v>300</v>
      </c>
      <c r="D8810" s="9">
        <v>41842</v>
      </c>
      <c r="E8810" t="s">
        <v>295</v>
      </c>
      <c r="I8810" s="9"/>
    </row>
    <row r="8811" spans="1:9" x14ac:dyDescent="0.25">
      <c r="A8811">
        <v>733552</v>
      </c>
      <c r="B8811">
        <v>1.6</v>
      </c>
      <c r="C8811">
        <v>400</v>
      </c>
      <c r="D8811" s="9">
        <v>41765</v>
      </c>
      <c r="E8811" t="s">
        <v>295</v>
      </c>
      <c r="I8811" s="9"/>
    </row>
    <row r="8812" spans="1:9" x14ac:dyDescent="0.25">
      <c r="A8812">
        <v>733552</v>
      </c>
      <c r="B8812">
        <v>1.6</v>
      </c>
      <c r="C8812">
        <v>200</v>
      </c>
      <c r="D8812" s="9">
        <v>41668</v>
      </c>
      <c r="E8812" t="s">
        <v>295</v>
      </c>
      <c r="I8812" s="9"/>
    </row>
    <row r="8813" spans="1:9" x14ac:dyDescent="0.25">
      <c r="A8813">
        <v>733552</v>
      </c>
      <c r="B8813">
        <v>1.6</v>
      </c>
      <c r="C8813">
        <v>200</v>
      </c>
      <c r="D8813" s="9">
        <v>41646</v>
      </c>
      <c r="E8813" t="s">
        <v>295</v>
      </c>
      <c r="I8813" s="9"/>
    </row>
    <row r="8814" spans="1:9" x14ac:dyDescent="0.25">
      <c r="A8814">
        <v>733553</v>
      </c>
      <c r="B8814">
        <v>1.6</v>
      </c>
      <c r="C8814">
        <v>600</v>
      </c>
      <c r="D8814" s="9">
        <v>43601</v>
      </c>
      <c r="E8814" t="s">
        <v>295</v>
      </c>
      <c r="I8814" s="9"/>
    </row>
    <row r="8815" spans="1:9" x14ac:dyDescent="0.25">
      <c r="A8815">
        <v>733553</v>
      </c>
      <c r="B8815">
        <v>1.6</v>
      </c>
      <c r="C8815">
        <v>500</v>
      </c>
      <c r="D8815" s="9">
        <v>43528</v>
      </c>
      <c r="E8815" t="s">
        <v>295</v>
      </c>
      <c r="I8815" s="9"/>
    </row>
    <row r="8816" spans="1:9" x14ac:dyDescent="0.25">
      <c r="A8816">
        <v>733553</v>
      </c>
      <c r="B8816">
        <v>1.6</v>
      </c>
      <c r="C8816">
        <v>600</v>
      </c>
      <c r="D8816" s="9">
        <v>42958</v>
      </c>
      <c r="E8816" t="s">
        <v>295</v>
      </c>
      <c r="I8816" s="9"/>
    </row>
    <row r="8817" spans="1:9" x14ac:dyDescent="0.25">
      <c r="A8817">
        <v>733553</v>
      </c>
      <c r="B8817">
        <v>1.6</v>
      </c>
      <c r="C8817">
        <v>500</v>
      </c>
      <c r="D8817" s="9">
        <v>42836</v>
      </c>
      <c r="E8817" t="s">
        <v>295</v>
      </c>
      <c r="I8817" s="9"/>
    </row>
    <row r="8818" spans="1:9" x14ac:dyDescent="0.25">
      <c r="A8818">
        <v>733553</v>
      </c>
      <c r="B8818">
        <v>1.6</v>
      </c>
      <c r="C8818">
        <v>500</v>
      </c>
      <c r="D8818" s="9">
        <v>42471</v>
      </c>
      <c r="E8818" t="s">
        <v>295</v>
      </c>
      <c r="I8818" s="9"/>
    </row>
    <row r="8819" spans="1:9" x14ac:dyDescent="0.25">
      <c r="A8819">
        <v>733553</v>
      </c>
      <c r="B8819">
        <v>1.6</v>
      </c>
      <c r="C8819">
        <v>500</v>
      </c>
      <c r="D8819" s="9">
        <v>42451</v>
      </c>
      <c r="E8819" t="s">
        <v>295</v>
      </c>
      <c r="I8819" s="9"/>
    </row>
    <row r="8820" spans="1:9" x14ac:dyDescent="0.25">
      <c r="A8820">
        <v>733553</v>
      </c>
      <c r="B8820">
        <v>1.6</v>
      </c>
      <c r="C8820">
        <v>300</v>
      </c>
      <c r="D8820" s="9">
        <v>42346</v>
      </c>
      <c r="E8820" t="s">
        <v>295</v>
      </c>
      <c r="I8820" s="9"/>
    </row>
    <row r="8821" spans="1:9" x14ac:dyDescent="0.25">
      <c r="A8821">
        <v>733553</v>
      </c>
      <c r="B8821">
        <v>1.6</v>
      </c>
      <c r="C8821">
        <v>200</v>
      </c>
      <c r="D8821" s="9">
        <v>42254</v>
      </c>
      <c r="E8821" t="s">
        <v>295</v>
      </c>
      <c r="I8821" s="9"/>
    </row>
    <row r="8822" spans="1:9" x14ac:dyDescent="0.25">
      <c r="A8822">
        <v>733553</v>
      </c>
      <c r="B8822">
        <v>1.6</v>
      </c>
      <c r="C8822">
        <v>200</v>
      </c>
      <c r="D8822" s="9">
        <v>42174</v>
      </c>
      <c r="E8822" t="s">
        <v>295</v>
      </c>
      <c r="I8822" s="9"/>
    </row>
    <row r="8823" spans="1:9" x14ac:dyDescent="0.25">
      <c r="A8823">
        <v>733553</v>
      </c>
      <c r="B8823">
        <v>1.6</v>
      </c>
      <c r="C8823">
        <v>200</v>
      </c>
      <c r="D8823" s="9">
        <v>42066</v>
      </c>
      <c r="E8823" t="s">
        <v>295</v>
      </c>
      <c r="I8823" s="9"/>
    </row>
    <row r="8824" spans="1:9" x14ac:dyDescent="0.25">
      <c r="A8824">
        <v>733553</v>
      </c>
      <c r="B8824">
        <v>1.6</v>
      </c>
      <c r="C8824">
        <v>400</v>
      </c>
      <c r="D8824" s="9">
        <v>41842</v>
      </c>
      <c r="E8824" t="s">
        <v>295</v>
      </c>
      <c r="I8824" s="9"/>
    </row>
    <row r="8825" spans="1:9" x14ac:dyDescent="0.25">
      <c r="A8825">
        <v>733553</v>
      </c>
      <c r="B8825">
        <v>1.6</v>
      </c>
      <c r="C8825">
        <v>100</v>
      </c>
      <c r="D8825" s="9">
        <v>41765</v>
      </c>
      <c r="E8825" t="s">
        <v>295</v>
      </c>
      <c r="I8825" s="9"/>
    </row>
    <row r="8826" spans="1:9" x14ac:dyDescent="0.25">
      <c r="A8826">
        <v>733553</v>
      </c>
      <c r="B8826">
        <v>1.6</v>
      </c>
      <c r="C8826">
        <v>50</v>
      </c>
      <c r="D8826" s="9">
        <v>41668</v>
      </c>
      <c r="E8826" t="s">
        <v>295</v>
      </c>
      <c r="I8826" s="9"/>
    </row>
    <row r="8827" spans="1:9" x14ac:dyDescent="0.25">
      <c r="A8827">
        <v>733554</v>
      </c>
      <c r="B8827">
        <v>1.6</v>
      </c>
      <c r="C8827">
        <v>600</v>
      </c>
      <c r="D8827" s="9">
        <v>43601</v>
      </c>
      <c r="E8827" t="s">
        <v>295</v>
      </c>
      <c r="I8827" s="9"/>
    </row>
    <row r="8828" spans="1:9" x14ac:dyDescent="0.25">
      <c r="A8828">
        <v>733554</v>
      </c>
      <c r="B8828">
        <v>1.6</v>
      </c>
      <c r="C8828">
        <v>500</v>
      </c>
      <c r="D8828" s="9">
        <v>43528</v>
      </c>
      <c r="E8828" t="s">
        <v>295</v>
      </c>
      <c r="I8828" s="9"/>
    </row>
    <row r="8829" spans="1:9" x14ac:dyDescent="0.25">
      <c r="A8829">
        <v>733554</v>
      </c>
      <c r="B8829">
        <v>1.6</v>
      </c>
      <c r="C8829">
        <v>600</v>
      </c>
      <c r="D8829" s="9">
        <v>43153</v>
      </c>
      <c r="E8829" t="s">
        <v>295</v>
      </c>
      <c r="I8829" s="9"/>
    </row>
    <row r="8830" spans="1:9" x14ac:dyDescent="0.25">
      <c r="A8830">
        <v>733554</v>
      </c>
      <c r="B8830">
        <v>1.6</v>
      </c>
      <c r="C8830">
        <v>500</v>
      </c>
      <c r="D8830" s="9">
        <v>42836</v>
      </c>
      <c r="E8830" t="s">
        <v>295</v>
      </c>
      <c r="I8830" s="9"/>
    </row>
    <row r="8831" spans="1:9" x14ac:dyDescent="0.25">
      <c r="A8831">
        <v>733554</v>
      </c>
      <c r="B8831">
        <v>1.6</v>
      </c>
      <c r="C8831">
        <v>1000</v>
      </c>
      <c r="D8831" s="9">
        <v>42718</v>
      </c>
      <c r="E8831" t="s">
        <v>295</v>
      </c>
      <c r="I8831" s="9"/>
    </row>
    <row r="8832" spans="1:9" x14ac:dyDescent="0.25">
      <c r="A8832">
        <v>733554</v>
      </c>
      <c r="B8832">
        <v>1.6</v>
      </c>
      <c r="C8832">
        <v>500</v>
      </c>
      <c r="D8832" s="9">
        <v>42471</v>
      </c>
      <c r="E8832" t="s">
        <v>295</v>
      </c>
      <c r="I8832" s="9"/>
    </row>
    <row r="8833" spans="1:9" x14ac:dyDescent="0.25">
      <c r="A8833">
        <v>733554</v>
      </c>
      <c r="B8833">
        <v>1.6</v>
      </c>
      <c r="C8833">
        <v>500</v>
      </c>
      <c r="D8833" s="9">
        <v>42451</v>
      </c>
      <c r="E8833" t="s">
        <v>295</v>
      </c>
      <c r="I8833" s="9"/>
    </row>
    <row r="8834" spans="1:9" x14ac:dyDescent="0.25">
      <c r="A8834">
        <v>733554</v>
      </c>
      <c r="B8834">
        <v>1.6</v>
      </c>
      <c r="C8834">
        <v>400</v>
      </c>
      <c r="D8834" s="9">
        <v>42346</v>
      </c>
      <c r="E8834" t="s">
        <v>295</v>
      </c>
      <c r="I8834" s="9"/>
    </row>
    <row r="8835" spans="1:9" x14ac:dyDescent="0.25">
      <c r="A8835">
        <v>733554</v>
      </c>
      <c r="B8835">
        <v>1.6</v>
      </c>
      <c r="C8835">
        <v>300</v>
      </c>
      <c r="D8835" s="9">
        <v>42254</v>
      </c>
      <c r="E8835" t="s">
        <v>295</v>
      </c>
      <c r="I8835" s="9"/>
    </row>
    <row r="8836" spans="1:9" x14ac:dyDescent="0.25">
      <c r="A8836">
        <v>733554</v>
      </c>
      <c r="B8836">
        <v>1.6</v>
      </c>
      <c r="C8836">
        <v>300</v>
      </c>
      <c r="D8836" s="9">
        <v>42174</v>
      </c>
      <c r="E8836" t="s">
        <v>295</v>
      </c>
      <c r="I8836" s="9"/>
    </row>
    <row r="8837" spans="1:9" x14ac:dyDescent="0.25">
      <c r="A8837">
        <v>733554</v>
      </c>
      <c r="B8837">
        <v>1.6</v>
      </c>
      <c r="C8837">
        <v>300</v>
      </c>
      <c r="D8837" s="9">
        <v>42066</v>
      </c>
      <c r="E8837" t="s">
        <v>295</v>
      </c>
      <c r="I8837" s="9"/>
    </row>
    <row r="8838" spans="1:9" x14ac:dyDescent="0.25">
      <c r="A8838">
        <v>733554</v>
      </c>
      <c r="B8838">
        <v>1.6</v>
      </c>
      <c r="C8838">
        <v>400</v>
      </c>
      <c r="D8838" s="9">
        <v>41842</v>
      </c>
      <c r="E8838" t="s">
        <v>295</v>
      </c>
      <c r="I8838" s="9"/>
    </row>
    <row r="8839" spans="1:9" x14ac:dyDescent="0.25">
      <c r="A8839">
        <v>733554</v>
      </c>
      <c r="B8839">
        <v>1.6</v>
      </c>
      <c r="C8839">
        <v>400</v>
      </c>
      <c r="D8839" s="9">
        <v>41765</v>
      </c>
      <c r="E8839" t="s">
        <v>295</v>
      </c>
      <c r="I8839" s="9"/>
    </row>
    <row r="8840" spans="1:9" x14ac:dyDescent="0.25">
      <c r="A8840">
        <v>733554</v>
      </c>
      <c r="B8840">
        <v>1.6</v>
      </c>
      <c r="C8840">
        <v>200</v>
      </c>
      <c r="D8840" s="9">
        <v>41668</v>
      </c>
      <c r="E8840" t="s">
        <v>295</v>
      </c>
      <c r="I8840" s="9"/>
    </row>
    <row r="8841" spans="1:9" x14ac:dyDescent="0.25">
      <c r="A8841">
        <v>733554</v>
      </c>
      <c r="B8841">
        <v>1.6</v>
      </c>
      <c r="C8841">
        <v>120</v>
      </c>
      <c r="D8841" s="9">
        <v>41646</v>
      </c>
      <c r="E8841" t="s">
        <v>295</v>
      </c>
      <c r="I8841" s="9"/>
    </row>
    <row r="8842" spans="1:9" x14ac:dyDescent="0.25">
      <c r="A8842">
        <v>733556</v>
      </c>
      <c r="B8842">
        <v>1.6</v>
      </c>
      <c r="C8842">
        <v>200</v>
      </c>
      <c r="D8842" s="9">
        <v>43601</v>
      </c>
      <c r="E8842" t="s">
        <v>295</v>
      </c>
      <c r="I8842" s="9"/>
    </row>
    <row r="8843" spans="1:9" x14ac:dyDescent="0.25">
      <c r="A8843">
        <v>733556</v>
      </c>
      <c r="B8843">
        <v>1.6</v>
      </c>
      <c r="C8843">
        <v>500</v>
      </c>
      <c r="D8843" s="9">
        <v>43528</v>
      </c>
      <c r="E8843" t="s">
        <v>295</v>
      </c>
      <c r="I8843" s="9"/>
    </row>
    <row r="8844" spans="1:9" x14ac:dyDescent="0.25">
      <c r="A8844">
        <v>733556</v>
      </c>
      <c r="B8844">
        <v>1.6</v>
      </c>
      <c r="C8844">
        <v>500</v>
      </c>
      <c r="D8844" s="9">
        <v>42958</v>
      </c>
      <c r="E8844" t="s">
        <v>295</v>
      </c>
      <c r="I8844" s="9"/>
    </row>
    <row r="8845" spans="1:9" x14ac:dyDescent="0.25">
      <c r="A8845">
        <v>733556</v>
      </c>
      <c r="B8845">
        <v>1.6</v>
      </c>
      <c r="C8845">
        <v>500</v>
      </c>
      <c r="D8845" s="9">
        <v>42718</v>
      </c>
      <c r="E8845" t="s">
        <v>295</v>
      </c>
      <c r="I8845" s="9"/>
    </row>
    <row r="8846" spans="1:9" x14ac:dyDescent="0.25">
      <c r="A8846">
        <v>733556</v>
      </c>
      <c r="B8846">
        <v>1.6</v>
      </c>
      <c r="C8846">
        <v>500</v>
      </c>
      <c r="D8846" s="9">
        <v>42471</v>
      </c>
      <c r="E8846" t="s">
        <v>295</v>
      </c>
      <c r="I8846" s="9"/>
    </row>
    <row r="8847" spans="1:9" x14ac:dyDescent="0.25">
      <c r="A8847">
        <v>733556</v>
      </c>
      <c r="B8847">
        <v>1.6</v>
      </c>
      <c r="C8847">
        <v>500</v>
      </c>
      <c r="D8847" s="9">
        <v>42451</v>
      </c>
      <c r="E8847" t="s">
        <v>295</v>
      </c>
      <c r="I8847" s="9"/>
    </row>
    <row r="8848" spans="1:9" x14ac:dyDescent="0.25">
      <c r="A8848">
        <v>733556</v>
      </c>
      <c r="B8848">
        <v>1.6</v>
      </c>
      <c r="C8848">
        <v>300</v>
      </c>
      <c r="D8848" s="9">
        <v>42346</v>
      </c>
      <c r="E8848" t="s">
        <v>295</v>
      </c>
      <c r="I8848" s="9"/>
    </row>
    <row r="8849" spans="1:9" x14ac:dyDescent="0.25">
      <c r="A8849">
        <v>733556</v>
      </c>
      <c r="B8849">
        <v>1.6</v>
      </c>
      <c r="C8849">
        <v>100</v>
      </c>
      <c r="D8849" s="9">
        <v>42254</v>
      </c>
      <c r="E8849" t="s">
        <v>295</v>
      </c>
      <c r="I8849" s="9"/>
    </row>
    <row r="8850" spans="1:9" x14ac:dyDescent="0.25">
      <c r="A8850">
        <v>733556</v>
      </c>
      <c r="B8850">
        <v>1.6</v>
      </c>
      <c r="C8850">
        <v>100</v>
      </c>
      <c r="D8850" s="9">
        <v>42174</v>
      </c>
      <c r="E8850" t="s">
        <v>295</v>
      </c>
      <c r="I8850" s="9"/>
    </row>
    <row r="8851" spans="1:9" x14ac:dyDescent="0.25">
      <c r="A8851">
        <v>733556</v>
      </c>
      <c r="B8851">
        <v>1.6</v>
      </c>
      <c r="C8851">
        <v>200</v>
      </c>
      <c r="D8851" s="9">
        <v>42066</v>
      </c>
      <c r="E8851" t="s">
        <v>295</v>
      </c>
      <c r="I8851" s="9"/>
    </row>
    <row r="8852" spans="1:9" x14ac:dyDescent="0.25">
      <c r="A8852">
        <v>733556</v>
      </c>
      <c r="B8852">
        <v>1.6</v>
      </c>
      <c r="C8852">
        <v>600</v>
      </c>
      <c r="D8852" s="9">
        <v>41842</v>
      </c>
      <c r="E8852" t="s">
        <v>295</v>
      </c>
      <c r="I8852" s="9"/>
    </row>
    <row r="8853" spans="1:9" x14ac:dyDescent="0.25">
      <c r="A8853">
        <v>733556</v>
      </c>
      <c r="B8853">
        <v>1.6</v>
      </c>
      <c r="C8853">
        <v>200</v>
      </c>
      <c r="D8853" s="9">
        <v>41765</v>
      </c>
      <c r="E8853" t="s">
        <v>295</v>
      </c>
      <c r="I8853" s="9"/>
    </row>
    <row r="8854" spans="1:9" x14ac:dyDescent="0.25">
      <c r="A8854">
        <v>733557</v>
      </c>
      <c r="B8854">
        <v>1.65</v>
      </c>
      <c r="C8854">
        <v>575</v>
      </c>
      <c r="D8854" s="9">
        <v>41625</v>
      </c>
      <c r="E8854" t="s">
        <v>295</v>
      </c>
      <c r="I8854" s="9"/>
    </row>
    <row r="8855" spans="1:9" x14ac:dyDescent="0.25">
      <c r="A8855">
        <v>733562</v>
      </c>
      <c r="B8855">
        <v>15</v>
      </c>
      <c r="C8855">
        <v>40</v>
      </c>
      <c r="D8855" s="9">
        <v>42346</v>
      </c>
      <c r="E8855" t="s">
        <v>295</v>
      </c>
      <c r="I8855" s="9"/>
    </row>
    <row r="8856" spans="1:9" x14ac:dyDescent="0.25">
      <c r="A8856">
        <v>733562</v>
      </c>
      <c r="B8856">
        <v>15</v>
      </c>
      <c r="C8856">
        <v>100</v>
      </c>
      <c r="D8856" s="9">
        <v>41603</v>
      </c>
      <c r="E8856" t="s">
        <v>295</v>
      </c>
      <c r="I8856" s="9"/>
    </row>
    <row r="8857" spans="1:9" x14ac:dyDescent="0.25">
      <c r="A8857">
        <v>733563</v>
      </c>
      <c r="B8857">
        <v>15</v>
      </c>
      <c r="C8857">
        <v>60</v>
      </c>
      <c r="D8857" s="9">
        <v>42718</v>
      </c>
      <c r="E8857" t="s">
        <v>295</v>
      </c>
      <c r="I8857" s="9"/>
    </row>
    <row r="8858" spans="1:9" x14ac:dyDescent="0.25">
      <c r="A8858">
        <v>733563</v>
      </c>
      <c r="B8858">
        <v>15</v>
      </c>
      <c r="C8858">
        <v>20</v>
      </c>
      <c r="D8858" s="9">
        <v>42346</v>
      </c>
      <c r="E8858" t="s">
        <v>295</v>
      </c>
      <c r="I8858" s="9"/>
    </row>
    <row r="8859" spans="1:9" x14ac:dyDescent="0.25">
      <c r="A8859">
        <v>733563</v>
      </c>
      <c r="B8859">
        <v>15</v>
      </c>
      <c r="C8859">
        <v>20</v>
      </c>
      <c r="D8859" s="9">
        <v>42254</v>
      </c>
      <c r="E8859" t="s">
        <v>295</v>
      </c>
      <c r="I8859" s="9"/>
    </row>
    <row r="8860" spans="1:9" x14ac:dyDescent="0.25">
      <c r="A8860">
        <v>733563</v>
      </c>
      <c r="B8860">
        <v>15</v>
      </c>
      <c r="C8860">
        <v>15</v>
      </c>
      <c r="D8860" s="9">
        <v>42174</v>
      </c>
      <c r="E8860" t="s">
        <v>295</v>
      </c>
      <c r="I8860" s="9"/>
    </row>
    <row r="8861" spans="1:9" x14ac:dyDescent="0.25">
      <c r="A8861">
        <v>733563</v>
      </c>
      <c r="B8861">
        <v>15</v>
      </c>
      <c r="C8861">
        <v>100</v>
      </c>
      <c r="D8861" s="9">
        <v>41603</v>
      </c>
      <c r="E8861" t="s">
        <v>295</v>
      </c>
      <c r="I8861" s="9"/>
    </row>
    <row r="8862" spans="1:9" x14ac:dyDescent="0.25">
      <c r="A8862">
        <v>733564</v>
      </c>
      <c r="B8862">
        <v>15</v>
      </c>
      <c r="C8862">
        <v>20</v>
      </c>
      <c r="D8862" s="9">
        <v>42254</v>
      </c>
      <c r="E8862" t="s">
        <v>295</v>
      </c>
      <c r="I8862" s="9"/>
    </row>
    <row r="8863" spans="1:9" x14ac:dyDescent="0.25">
      <c r="A8863">
        <v>733564</v>
      </c>
      <c r="B8863">
        <v>15</v>
      </c>
      <c r="C8863">
        <v>15</v>
      </c>
      <c r="D8863" s="9">
        <v>42174</v>
      </c>
      <c r="E8863" t="s">
        <v>295</v>
      </c>
      <c r="I8863" s="9"/>
    </row>
    <row r="8864" spans="1:9" x14ac:dyDescent="0.25">
      <c r="A8864">
        <v>733564</v>
      </c>
      <c r="B8864">
        <v>15</v>
      </c>
      <c r="C8864">
        <v>80</v>
      </c>
      <c r="D8864" s="9">
        <v>41603</v>
      </c>
      <c r="E8864" t="s">
        <v>295</v>
      </c>
      <c r="I8864" s="9"/>
    </row>
    <row r="8865" spans="1:9" x14ac:dyDescent="0.25">
      <c r="A8865">
        <v>733566</v>
      </c>
      <c r="B8865">
        <v>15</v>
      </c>
      <c r="C8865">
        <v>20</v>
      </c>
      <c r="D8865" s="9">
        <v>42254</v>
      </c>
      <c r="E8865" t="s">
        <v>295</v>
      </c>
      <c r="I8865" s="9"/>
    </row>
    <row r="8866" spans="1:9" x14ac:dyDescent="0.25">
      <c r="A8866">
        <v>733566</v>
      </c>
      <c r="B8866">
        <v>15</v>
      </c>
      <c r="C8866">
        <v>15</v>
      </c>
      <c r="D8866" s="9">
        <v>42174</v>
      </c>
      <c r="E8866" t="s">
        <v>295</v>
      </c>
      <c r="I8866" s="9"/>
    </row>
    <row r="8867" spans="1:9" x14ac:dyDescent="0.25">
      <c r="A8867">
        <v>733566</v>
      </c>
      <c r="B8867">
        <v>15</v>
      </c>
      <c r="C8867">
        <v>80</v>
      </c>
      <c r="D8867" s="9">
        <v>41603</v>
      </c>
      <c r="E8867" t="s">
        <v>295</v>
      </c>
      <c r="I8867" s="9"/>
    </row>
    <row r="8868" spans="1:9" x14ac:dyDescent="0.25">
      <c r="A8868">
        <v>733610</v>
      </c>
      <c r="B8868">
        <v>12.5</v>
      </c>
      <c r="C8868">
        <v>40</v>
      </c>
      <c r="D8868" s="9">
        <v>42836</v>
      </c>
      <c r="E8868" t="s">
        <v>295</v>
      </c>
      <c r="I8868" s="9"/>
    </row>
    <row r="8869" spans="1:9" x14ac:dyDescent="0.25">
      <c r="A8869">
        <v>733610</v>
      </c>
      <c r="B8869">
        <v>12.5</v>
      </c>
      <c r="C8869">
        <v>20</v>
      </c>
      <c r="D8869" s="9">
        <v>42832</v>
      </c>
      <c r="E8869" t="s">
        <v>295</v>
      </c>
      <c r="I8869" s="9"/>
    </row>
    <row r="8870" spans="1:9" x14ac:dyDescent="0.25">
      <c r="A8870">
        <v>733610</v>
      </c>
      <c r="B8870">
        <v>25</v>
      </c>
      <c r="C8870">
        <v>1</v>
      </c>
      <c r="D8870" s="9">
        <v>42752</v>
      </c>
      <c r="E8870" t="s">
        <v>295</v>
      </c>
      <c r="I8870" s="9"/>
    </row>
    <row r="8871" spans="1:9" x14ac:dyDescent="0.25">
      <c r="A8871">
        <v>733610</v>
      </c>
      <c r="B8871">
        <v>25</v>
      </c>
      <c r="C8871">
        <v>1</v>
      </c>
      <c r="D8871" s="9">
        <v>42723</v>
      </c>
      <c r="E8871" t="s">
        <v>295</v>
      </c>
      <c r="I8871" s="9"/>
    </row>
    <row r="8872" spans="1:9" x14ac:dyDescent="0.25">
      <c r="A8872">
        <v>733610</v>
      </c>
      <c r="B8872">
        <v>25</v>
      </c>
      <c r="C8872">
        <v>3</v>
      </c>
      <c r="D8872" s="9">
        <v>42418</v>
      </c>
      <c r="E8872" t="s">
        <v>295</v>
      </c>
      <c r="I8872" s="9"/>
    </row>
    <row r="8873" spans="1:9" x14ac:dyDescent="0.25">
      <c r="A8873">
        <v>733610</v>
      </c>
      <c r="B8873">
        <v>25</v>
      </c>
      <c r="C8873">
        <v>1</v>
      </c>
      <c r="D8873" s="9">
        <v>42317</v>
      </c>
      <c r="E8873" t="s">
        <v>295</v>
      </c>
      <c r="I8873" s="9"/>
    </row>
    <row r="8874" spans="1:9" x14ac:dyDescent="0.25">
      <c r="A8874">
        <v>733612</v>
      </c>
      <c r="B8874">
        <v>12.5</v>
      </c>
      <c r="C8874">
        <v>20</v>
      </c>
      <c r="D8874" s="9">
        <v>42836</v>
      </c>
      <c r="E8874" t="s">
        <v>295</v>
      </c>
      <c r="I8874" s="9"/>
    </row>
    <row r="8875" spans="1:9" x14ac:dyDescent="0.25">
      <c r="A8875">
        <v>733612</v>
      </c>
      <c r="B8875">
        <v>12.5</v>
      </c>
      <c r="C8875">
        <v>40</v>
      </c>
      <c r="D8875" s="9">
        <v>42832</v>
      </c>
      <c r="E8875" t="s">
        <v>295</v>
      </c>
      <c r="I8875" s="9"/>
    </row>
    <row r="8876" spans="1:9" x14ac:dyDescent="0.25">
      <c r="A8876">
        <v>733612</v>
      </c>
      <c r="B8876">
        <v>25</v>
      </c>
      <c r="C8876">
        <v>1</v>
      </c>
      <c r="D8876" s="9">
        <v>42752</v>
      </c>
      <c r="E8876" t="s">
        <v>295</v>
      </c>
      <c r="I8876" s="9"/>
    </row>
    <row r="8877" spans="1:9" x14ac:dyDescent="0.25">
      <c r="A8877">
        <v>733612</v>
      </c>
      <c r="B8877">
        <v>25</v>
      </c>
      <c r="C8877">
        <v>1</v>
      </c>
      <c r="D8877" s="9">
        <v>42723</v>
      </c>
      <c r="E8877" t="s">
        <v>295</v>
      </c>
      <c r="I8877" s="9"/>
    </row>
    <row r="8878" spans="1:9" x14ac:dyDescent="0.25">
      <c r="A8878">
        <v>733612</v>
      </c>
      <c r="B8878">
        <v>25</v>
      </c>
      <c r="C8878">
        <v>1</v>
      </c>
      <c r="D8878" s="9">
        <v>42570</v>
      </c>
      <c r="E8878" t="s">
        <v>295</v>
      </c>
      <c r="I8878" s="9"/>
    </row>
    <row r="8879" spans="1:9" x14ac:dyDescent="0.25">
      <c r="A8879">
        <v>733612</v>
      </c>
      <c r="B8879">
        <v>25</v>
      </c>
      <c r="C8879">
        <v>3</v>
      </c>
      <c r="D8879" s="9">
        <v>42418</v>
      </c>
      <c r="E8879" t="s">
        <v>295</v>
      </c>
      <c r="I8879" s="9"/>
    </row>
    <row r="8880" spans="1:9" x14ac:dyDescent="0.25">
      <c r="A8880">
        <v>733612</v>
      </c>
      <c r="B8880">
        <v>25</v>
      </c>
      <c r="C8880">
        <v>1</v>
      </c>
      <c r="D8880" s="9">
        <v>42317</v>
      </c>
      <c r="E8880" t="s">
        <v>295</v>
      </c>
      <c r="I8880" s="9"/>
    </row>
    <row r="8881" spans="1:9" x14ac:dyDescent="0.25">
      <c r="A8881">
        <v>733612</v>
      </c>
      <c r="B8881">
        <v>12.5</v>
      </c>
      <c r="C8881">
        <v>10</v>
      </c>
      <c r="D8881" s="9">
        <v>42306</v>
      </c>
      <c r="E8881" t="s">
        <v>295</v>
      </c>
      <c r="I8881" s="9"/>
    </row>
    <row r="8882" spans="1:9" x14ac:dyDescent="0.25">
      <c r="A8882">
        <v>733614</v>
      </c>
      <c r="B8882">
        <v>12.5</v>
      </c>
      <c r="C8882">
        <v>20</v>
      </c>
      <c r="D8882" s="9">
        <v>42836</v>
      </c>
      <c r="E8882" t="s">
        <v>295</v>
      </c>
      <c r="I8882" s="9"/>
    </row>
    <row r="8883" spans="1:9" x14ac:dyDescent="0.25">
      <c r="A8883">
        <v>733614</v>
      </c>
      <c r="B8883">
        <v>12.5</v>
      </c>
      <c r="C8883">
        <v>40</v>
      </c>
      <c r="D8883" s="9">
        <v>42832</v>
      </c>
      <c r="E8883" t="s">
        <v>295</v>
      </c>
      <c r="I8883" s="9"/>
    </row>
    <row r="8884" spans="1:9" x14ac:dyDescent="0.25">
      <c r="A8884">
        <v>733614</v>
      </c>
      <c r="B8884">
        <v>25</v>
      </c>
      <c r="C8884">
        <v>1</v>
      </c>
      <c r="D8884" s="9">
        <v>42752</v>
      </c>
      <c r="E8884" t="s">
        <v>295</v>
      </c>
      <c r="I8884" s="9"/>
    </row>
    <row r="8885" spans="1:9" x14ac:dyDescent="0.25">
      <c r="A8885">
        <v>733614</v>
      </c>
      <c r="B8885">
        <v>25</v>
      </c>
      <c r="C8885">
        <v>1</v>
      </c>
      <c r="D8885" s="9">
        <v>42723</v>
      </c>
      <c r="E8885" t="s">
        <v>295</v>
      </c>
      <c r="I8885" s="9"/>
    </row>
    <row r="8886" spans="1:9" x14ac:dyDescent="0.25">
      <c r="A8886">
        <v>733614</v>
      </c>
      <c r="B8886">
        <v>25</v>
      </c>
      <c r="C8886">
        <v>3</v>
      </c>
      <c r="D8886" s="9">
        <v>42418</v>
      </c>
      <c r="E8886" t="s">
        <v>295</v>
      </c>
      <c r="I8886" s="9"/>
    </row>
    <row r="8887" spans="1:9" x14ac:dyDescent="0.25">
      <c r="A8887">
        <v>733614</v>
      </c>
      <c r="B8887">
        <v>25</v>
      </c>
      <c r="C8887">
        <v>1</v>
      </c>
      <c r="D8887" s="9">
        <v>42317</v>
      </c>
      <c r="E8887" t="s">
        <v>295</v>
      </c>
      <c r="I8887" s="9"/>
    </row>
    <row r="8888" spans="1:9" x14ac:dyDescent="0.25">
      <c r="A8888">
        <v>733614</v>
      </c>
      <c r="B8888">
        <v>12.5</v>
      </c>
      <c r="C8888">
        <v>10</v>
      </c>
      <c r="D8888" s="9">
        <v>42306</v>
      </c>
      <c r="E8888" t="s">
        <v>295</v>
      </c>
      <c r="I8888" s="9"/>
    </row>
    <row r="8889" spans="1:9" x14ac:dyDescent="0.25">
      <c r="A8889">
        <v>733616</v>
      </c>
      <c r="B8889">
        <v>12.5</v>
      </c>
      <c r="C8889">
        <v>40</v>
      </c>
      <c r="D8889" s="9">
        <v>42832</v>
      </c>
      <c r="E8889" t="s">
        <v>295</v>
      </c>
      <c r="I8889" s="9"/>
    </row>
    <row r="8890" spans="1:9" x14ac:dyDescent="0.25">
      <c r="A8890">
        <v>733616</v>
      </c>
      <c r="B8890">
        <v>25</v>
      </c>
      <c r="C8890">
        <v>1</v>
      </c>
      <c r="D8890" s="9">
        <v>42752</v>
      </c>
      <c r="E8890" t="s">
        <v>295</v>
      </c>
      <c r="I8890" s="9"/>
    </row>
    <row r="8891" spans="1:9" x14ac:dyDescent="0.25">
      <c r="A8891">
        <v>733616</v>
      </c>
      <c r="B8891">
        <v>25</v>
      </c>
      <c r="C8891">
        <v>1</v>
      </c>
      <c r="D8891" s="9">
        <v>42723</v>
      </c>
      <c r="E8891" t="s">
        <v>295</v>
      </c>
      <c r="I8891" s="9"/>
    </row>
    <row r="8892" spans="1:9" x14ac:dyDescent="0.25">
      <c r="A8892">
        <v>733616</v>
      </c>
      <c r="B8892">
        <v>25</v>
      </c>
      <c r="C8892">
        <v>1</v>
      </c>
      <c r="D8892" s="9">
        <v>42570</v>
      </c>
      <c r="E8892" t="s">
        <v>295</v>
      </c>
      <c r="I8892" s="9"/>
    </row>
    <row r="8893" spans="1:9" x14ac:dyDescent="0.25">
      <c r="A8893">
        <v>733616</v>
      </c>
      <c r="B8893">
        <v>25</v>
      </c>
      <c r="C8893">
        <v>3</v>
      </c>
      <c r="D8893" s="9">
        <v>42418</v>
      </c>
      <c r="E8893" t="s">
        <v>295</v>
      </c>
      <c r="I8893" s="9"/>
    </row>
    <row r="8894" spans="1:9" x14ac:dyDescent="0.25">
      <c r="A8894">
        <v>733616</v>
      </c>
      <c r="B8894">
        <v>25</v>
      </c>
      <c r="C8894">
        <v>1</v>
      </c>
      <c r="D8894" s="9">
        <v>42317</v>
      </c>
      <c r="E8894" t="s">
        <v>295</v>
      </c>
      <c r="I8894" s="9"/>
    </row>
    <row r="8895" spans="1:9" x14ac:dyDescent="0.25">
      <c r="A8895">
        <v>733616</v>
      </c>
      <c r="B8895">
        <v>12.5</v>
      </c>
      <c r="C8895">
        <v>10</v>
      </c>
      <c r="D8895" s="9">
        <v>42306</v>
      </c>
      <c r="E8895" t="s">
        <v>295</v>
      </c>
      <c r="I8895" s="9"/>
    </row>
    <row r="8896" spans="1:9" x14ac:dyDescent="0.25">
      <c r="A8896">
        <v>733618</v>
      </c>
      <c r="B8896">
        <v>12.5</v>
      </c>
      <c r="C8896">
        <v>20</v>
      </c>
      <c r="D8896" s="9">
        <v>42836</v>
      </c>
      <c r="E8896" t="s">
        <v>295</v>
      </c>
      <c r="I8896" s="9"/>
    </row>
    <row r="8897" spans="1:9" x14ac:dyDescent="0.25">
      <c r="A8897">
        <v>733618</v>
      </c>
      <c r="B8897">
        <v>12.5</v>
      </c>
      <c r="C8897">
        <v>40</v>
      </c>
      <c r="D8897" s="9">
        <v>42832</v>
      </c>
      <c r="E8897" t="s">
        <v>295</v>
      </c>
      <c r="I8897" s="9"/>
    </row>
    <row r="8898" spans="1:9" x14ac:dyDescent="0.25">
      <c r="A8898">
        <v>733618</v>
      </c>
      <c r="B8898">
        <v>25</v>
      </c>
      <c r="C8898">
        <v>1</v>
      </c>
      <c r="D8898" s="9">
        <v>42752</v>
      </c>
      <c r="E8898" t="s">
        <v>295</v>
      </c>
      <c r="I8898" s="9"/>
    </row>
    <row r="8899" spans="1:9" x14ac:dyDescent="0.25">
      <c r="A8899">
        <v>733618</v>
      </c>
      <c r="B8899">
        <v>25</v>
      </c>
      <c r="C8899">
        <v>1</v>
      </c>
      <c r="D8899" s="9">
        <v>42723</v>
      </c>
      <c r="E8899" t="s">
        <v>295</v>
      </c>
      <c r="I8899" s="9"/>
    </row>
    <row r="8900" spans="1:9" x14ac:dyDescent="0.25">
      <c r="A8900">
        <v>733618</v>
      </c>
      <c r="B8900">
        <v>25</v>
      </c>
      <c r="C8900">
        <v>1</v>
      </c>
      <c r="D8900" s="9">
        <v>42570</v>
      </c>
      <c r="E8900" t="s">
        <v>295</v>
      </c>
      <c r="I8900" s="9"/>
    </row>
    <row r="8901" spans="1:9" x14ac:dyDescent="0.25">
      <c r="A8901">
        <v>733618</v>
      </c>
      <c r="B8901">
        <v>25</v>
      </c>
      <c r="C8901">
        <v>3</v>
      </c>
      <c r="D8901" s="9">
        <v>42418</v>
      </c>
      <c r="E8901" t="s">
        <v>295</v>
      </c>
      <c r="I8901" s="9"/>
    </row>
    <row r="8902" spans="1:9" x14ac:dyDescent="0.25">
      <c r="A8902">
        <v>733618</v>
      </c>
      <c r="B8902">
        <v>25</v>
      </c>
      <c r="C8902">
        <v>1</v>
      </c>
      <c r="D8902" s="9">
        <v>42317</v>
      </c>
      <c r="E8902" t="s">
        <v>295</v>
      </c>
      <c r="I8902" s="9"/>
    </row>
    <row r="8903" spans="1:9" x14ac:dyDescent="0.25">
      <c r="A8903">
        <v>733618</v>
      </c>
      <c r="B8903">
        <v>12.5</v>
      </c>
      <c r="C8903">
        <v>10</v>
      </c>
      <c r="D8903" s="9">
        <v>42306</v>
      </c>
      <c r="E8903" t="s">
        <v>295</v>
      </c>
      <c r="I8903" s="9"/>
    </row>
    <row r="8904" spans="1:9" x14ac:dyDescent="0.25">
      <c r="A8904">
        <v>733620</v>
      </c>
      <c r="B8904">
        <v>12.5</v>
      </c>
      <c r="C8904">
        <v>20</v>
      </c>
      <c r="D8904" s="9">
        <v>42836</v>
      </c>
      <c r="E8904" t="s">
        <v>295</v>
      </c>
      <c r="I8904" s="9"/>
    </row>
    <row r="8905" spans="1:9" x14ac:dyDescent="0.25">
      <c r="A8905">
        <v>733620</v>
      </c>
      <c r="B8905">
        <v>12.5</v>
      </c>
      <c r="C8905">
        <v>40</v>
      </c>
      <c r="D8905" s="9">
        <v>42832</v>
      </c>
      <c r="E8905" t="s">
        <v>295</v>
      </c>
      <c r="I8905" s="9"/>
    </row>
    <row r="8906" spans="1:9" x14ac:dyDescent="0.25">
      <c r="A8906">
        <v>733620</v>
      </c>
      <c r="B8906">
        <v>25</v>
      </c>
      <c r="C8906">
        <v>1</v>
      </c>
      <c r="D8906" s="9">
        <v>42752</v>
      </c>
      <c r="E8906" t="s">
        <v>295</v>
      </c>
      <c r="I8906" s="9"/>
    </row>
    <row r="8907" spans="1:9" x14ac:dyDescent="0.25">
      <c r="A8907">
        <v>733620</v>
      </c>
      <c r="B8907">
        <v>25</v>
      </c>
      <c r="C8907">
        <v>1</v>
      </c>
      <c r="D8907" s="9">
        <v>42723</v>
      </c>
      <c r="E8907" t="s">
        <v>295</v>
      </c>
      <c r="I8907" s="9"/>
    </row>
    <row r="8908" spans="1:9" x14ac:dyDescent="0.25">
      <c r="A8908">
        <v>733620</v>
      </c>
      <c r="B8908">
        <v>25</v>
      </c>
      <c r="C8908">
        <v>3</v>
      </c>
      <c r="D8908" s="9">
        <v>42418</v>
      </c>
      <c r="E8908" t="s">
        <v>295</v>
      </c>
      <c r="I8908" s="9"/>
    </row>
    <row r="8909" spans="1:9" x14ac:dyDescent="0.25">
      <c r="A8909">
        <v>733620</v>
      </c>
      <c r="B8909">
        <v>25</v>
      </c>
      <c r="C8909">
        <v>1</v>
      </c>
      <c r="D8909" s="9">
        <v>42317</v>
      </c>
      <c r="E8909" t="s">
        <v>295</v>
      </c>
      <c r="I8909" s="9"/>
    </row>
    <row r="8910" spans="1:9" x14ac:dyDescent="0.25">
      <c r="A8910">
        <v>733620</v>
      </c>
      <c r="B8910">
        <v>12.5</v>
      </c>
      <c r="C8910">
        <v>10</v>
      </c>
      <c r="D8910" s="9">
        <v>42306</v>
      </c>
      <c r="E8910" t="s">
        <v>295</v>
      </c>
      <c r="I8910" s="9"/>
    </row>
    <row r="8911" spans="1:9" x14ac:dyDescent="0.25">
      <c r="A8911">
        <v>733622</v>
      </c>
      <c r="B8911">
        <v>12.5</v>
      </c>
      <c r="C8911">
        <v>40</v>
      </c>
      <c r="D8911" s="9">
        <v>42879</v>
      </c>
      <c r="E8911" t="s">
        <v>295</v>
      </c>
      <c r="I8911" s="9"/>
    </row>
    <row r="8912" spans="1:9" x14ac:dyDescent="0.25">
      <c r="A8912">
        <v>733622</v>
      </c>
      <c r="B8912">
        <v>12.5</v>
      </c>
      <c r="C8912">
        <v>40</v>
      </c>
      <c r="D8912" s="9">
        <v>42832</v>
      </c>
      <c r="E8912" t="s">
        <v>295</v>
      </c>
      <c r="I8912" s="9"/>
    </row>
    <row r="8913" spans="1:9" x14ac:dyDescent="0.25">
      <c r="A8913">
        <v>733622</v>
      </c>
      <c r="B8913">
        <v>25</v>
      </c>
      <c r="C8913">
        <v>1</v>
      </c>
      <c r="D8913" s="9">
        <v>42752</v>
      </c>
      <c r="E8913" t="s">
        <v>295</v>
      </c>
      <c r="I8913" s="9"/>
    </row>
    <row r="8914" spans="1:9" x14ac:dyDescent="0.25">
      <c r="A8914">
        <v>733622</v>
      </c>
      <c r="B8914">
        <v>25</v>
      </c>
      <c r="C8914">
        <v>1</v>
      </c>
      <c r="D8914" s="9">
        <v>42723</v>
      </c>
      <c r="E8914" t="s">
        <v>295</v>
      </c>
      <c r="I8914" s="9"/>
    </row>
    <row r="8915" spans="1:9" x14ac:dyDescent="0.25">
      <c r="A8915">
        <v>733622</v>
      </c>
      <c r="B8915">
        <v>25</v>
      </c>
      <c r="C8915">
        <v>1</v>
      </c>
      <c r="D8915" s="9">
        <v>42570</v>
      </c>
      <c r="E8915" t="s">
        <v>295</v>
      </c>
      <c r="I8915" s="9"/>
    </row>
    <row r="8916" spans="1:9" x14ac:dyDescent="0.25">
      <c r="A8916">
        <v>733622</v>
      </c>
      <c r="B8916">
        <v>25</v>
      </c>
      <c r="C8916">
        <v>3</v>
      </c>
      <c r="D8916" s="9">
        <v>42446</v>
      </c>
      <c r="E8916" t="s">
        <v>295</v>
      </c>
      <c r="I8916" s="9"/>
    </row>
    <row r="8917" spans="1:9" x14ac:dyDescent="0.25">
      <c r="A8917">
        <v>733622</v>
      </c>
      <c r="B8917">
        <v>25</v>
      </c>
      <c r="C8917">
        <v>3</v>
      </c>
      <c r="D8917" s="9">
        <v>42418</v>
      </c>
      <c r="E8917" t="s">
        <v>295</v>
      </c>
      <c r="I8917" s="9"/>
    </row>
    <row r="8918" spans="1:9" x14ac:dyDescent="0.25">
      <c r="A8918">
        <v>733622</v>
      </c>
      <c r="B8918">
        <v>25</v>
      </c>
      <c r="C8918">
        <v>1</v>
      </c>
      <c r="D8918" s="9">
        <v>42317</v>
      </c>
      <c r="E8918" t="s">
        <v>295</v>
      </c>
      <c r="I8918" s="9"/>
    </row>
    <row r="8919" spans="1:9" x14ac:dyDescent="0.25">
      <c r="A8919">
        <v>733624</v>
      </c>
      <c r="B8919">
        <v>0.3</v>
      </c>
      <c r="C8919">
        <v>10000</v>
      </c>
      <c r="D8919" s="9">
        <v>43432</v>
      </c>
      <c r="E8919" t="s">
        <v>295</v>
      </c>
      <c r="I8919" s="9"/>
    </row>
    <row r="8920" spans="1:9" x14ac:dyDescent="0.25">
      <c r="A8920">
        <v>733624</v>
      </c>
      <c r="B8920">
        <v>12.5</v>
      </c>
      <c r="C8920">
        <v>20</v>
      </c>
      <c r="D8920" s="9">
        <v>42836</v>
      </c>
      <c r="E8920" t="s">
        <v>295</v>
      </c>
      <c r="I8920" s="9"/>
    </row>
    <row r="8921" spans="1:9" x14ac:dyDescent="0.25">
      <c r="A8921">
        <v>733624</v>
      </c>
      <c r="B8921">
        <v>12.5</v>
      </c>
      <c r="C8921">
        <v>40</v>
      </c>
      <c r="D8921" s="9">
        <v>42832</v>
      </c>
      <c r="E8921" t="s">
        <v>295</v>
      </c>
      <c r="I8921" s="9"/>
    </row>
    <row r="8922" spans="1:9" x14ac:dyDescent="0.25">
      <c r="A8922">
        <v>733624</v>
      </c>
      <c r="B8922">
        <v>25</v>
      </c>
      <c r="C8922">
        <v>1</v>
      </c>
      <c r="D8922" s="9">
        <v>42752</v>
      </c>
      <c r="E8922" t="s">
        <v>295</v>
      </c>
      <c r="I8922" s="9"/>
    </row>
    <row r="8923" spans="1:9" x14ac:dyDescent="0.25">
      <c r="A8923">
        <v>733624</v>
      </c>
      <c r="B8923">
        <v>25</v>
      </c>
      <c r="C8923">
        <v>1</v>
      </c>
      <c r="D8923" s="9">
        <v>42723</v>
      </c>
      <c r="E8923" t="s">
        <v>295</v>
      </c>
      <c r="I8923" s="9"/>
    </row>
    <row r="8924" spans="1:9" x14ac:dyDescent="0.25">
      <c r="A8924">
        <v>733624</v>
      </c>
      <c r="B8924">
        <v>25</v>
      </c>
      <c r="C8924">
        <v>1</v>
      </c>
      <c r="D8924" s="9">
        <v>42570</v>
      </c>
      <c r="E8924" t="s">
        <v>295</v>
      </c>
      <c r="I8924" s="9"/>
    </row>
    <row r="8925" spans="1:9" x14ac:dyDescent="0.25">
      <c r="A8925">
        <v>733624</v>
      </c>
      <c r="B8925">
        <v>25</v>
      </c>
      <c r="C8925">
        <v>40</v>
      </c>
      <c r="D8925" s="9">
        <v>42569</v>
      </c>
      <c r="E8925" t="s">
        <v>295</v>
      </c>
      <c r="I8925" s="9"/>
    </row>
    <row r="8926" spans="1:9" x14ac:dyDescent="0.25">
      <c r="A8926">
        <v>733624</v>
      </c>
      <c r="B8926">
        <v>25</v>
      </c>
      <c r="C8926">
        <v>3</v>
      </c>
      <c r="D8926" s="9">
        <v>42418</v>
      </c>
      <c r="E8926" t="s">
        <v>295</v>
      </c>
      <c r="I8926" s="9"/>
    </row>
    <row r="8927" spans="1:9" x14ac:dyDescent="0.25">
      <c r="A8927">
        <v>733624</v>
      </c>
      <c r="B8927">
        <v>25</v>
      </c>
      <c r="C8927">
        <v>1</v>
      </c>
      <c r="D8927" s="9">
        <v>42317</v>
      </c>
      <c r="E8927" t="s">
        <v>295</v>
      </c>
      <c r="I8927" s="9"/>
    </row>
    <row r="8928" spans="1:9" x14ac:dyDescent="0.25">
      <c r="A8928">
        <v>733626</v>
      </c>
      <c r="B8928">
        <v>12.5</v>
      </c>
      <c r="C8928">
        <v>40</v>
      </c>
      <c r="D8928" s="9">
        <v>42879</v>
      </c>
      <c r="E8928" t="s">
        <v>295</v>
      </c>
      <c r="I8928" s="9"/>
    </row>
    <row r="8929" spans="1:9" x14ac:dyDescent="0.25">
      <c r="A8929">
        <v>733626</v>
      </c>
      <c r="B8929">
        <v>12.5</v>
      </c>
      <c r="C8929">
        <v>20</v>
      </c>
      <c r="D8929" s="9">
        <v>42832</v>
      </c>
      <c r="E8929" t="s">
        <v>295</v>
      </c>
      <c r="I8929" s="9"/>
    </row>
    <row r="8930" spans="1:9" x14ac:dyDescent="0.25">
      <c r="A8930">
        <v>733626</v>
      </c>
      <c r="B8930">
        <v>25</v>
      </c>
      <c r="C8930">
        <v>1</v>
      </c>
      <c r="D8930" s="9">
        <v>42752</v>
      </c>
      <c r="E8930" t="s">
        <v>295</v>
      </c>
      <c r="I8930" s="9"/>
    </row>
    <row r="8931" spans="1:9" x14ac:dyDescent="0.25">
      <c r="A8931">
        <v>733626</v>
      </c>
      <c r="B8931">
        <v>25</v>
      </c>
      <c r="C8931">
        <v>1</v>
      </c>
      <c r="D8931" s="9">
        <v>42723</v>
      </c>
      <c r="E8931" t="s">
        <v>295</v>
      </c>
      <c r="I8931" s="9"/>
    </row>
    <row r="8932" spans="1:9" x14ac:dyDescent="0.25">
      <c r="A8932">
        <v>733626</v>
      </c>
      <c r="B8932">
        <v>25</v>
      </c>
      <c r="C8932">
        <v>1</v>
      </c>
      <c r="D8932" s="9">
        <v>42570</v>
      </c>
      <c r="E8932" t="s">
        <v>295</v>
      </c>
      <c r="I8932" s="9"/>
    </row>
    <row r="8933" spans="1:9" x14ac:dyDescent="0.25">
      <c r="A8933">
        <v>733626</v>
      </c>
      <c r="B8933">
        <v>25</v>
      </c>
      <c r="C8933">
        <v>3</v>
      </c>
      <c r="D8933" s="9">
        <v>42418</v>
      </c>
      <c r="E8933" t="s">
        <v>295</v>
      </c>
      <c r="I8933" s="9"/>
    </row>
    <row r="8934" spans="1:9" x14ac:dyDescent="0.25">
      <c r="A8934">
        <v>733628</v>
      </c>
      <c r="B8934">
        <v>12.5</v>
      </c>
      <c r="C8934">
        <v>20</v>
      </c>
      <c r="D8934" s="9">
        <v>42836</v>
      </c>
      <c r="E8934" t="s">
        <v>295</v>
      </c>
      <c r="I8934" s="9"/>
    </row>
    <row r="8935" spans="1:9" x14ac:dyDescent="0.25">
      <c r="A8935">
        <v>733628</v>
      </c>
      <c r="B8935">
        <v>12.5</v>
      </c>
      <c r="C8935">
        <v>40</v>
      </c>
      <c r="D8935" s="9">
        <v>42832</v>
      </c>
      <c r="E8935" t="s">
        <v>295</v>
      </c>
      <c r="I8935" s="9"/>
    </row>
    <row r="8936" spans="1:9" x14ac:dyDescent="0.25">
      <c r="A8936">
        <v>733628</v>
      </c>
      <c r="B8936">
        <v>25</v>
      </c>
      <c r="C8936">
        <v>1</v>
      </c>
      <c r="D8936" s="9">
        <v>42752</v>
      </c>
      <c r="E8936" t="s">
        <v>295</v>
      </c>
      <c r="I8936" s="9"/>
    </row>
    <row r="8937" spans="1:9" x14ac:dyDescent="0.25">
      <c r="A8937">
        <v>733628</v>
      </c>
      <c r="B8937">
        <v>25</v>
      </c>
      <c r="C8937">
        <v>25</v>
      </c>
      <c r="D8937" s="9">
        <v>42738</v>
      </c>
      <c r="E8937" t="s">
        <v>295</v>
      </c>
      <c r="I8937" s="9"/>
    </row>
    <row r="8938" spans="1:9" x14ac:dyDescent="0.25">
      <c r="A8938">
        <v>733628</v>
      </c>
      <c r="B8938">
        <v>25</v>
      </c>
      <c r="C8938">
        <v>1</v>
      </c>
      <c r="D8938" s="9">
        <v>42723</v>
      </c>
      <c r="E8938" t="s">
        <v>295</v>
      </c>
      <c r="I8938" s="9"/>
    </row>
    <row r="8939" spans="1:9" x14ac:dyDescent="0.25">
      <c r="A8939">
        <v>733628</v>
      </c>
      <c r="B8939">
        <v>25</v>
      </c>
      <c r="C8939">
        <v>1</v>
      </c>
      <c r="D8939" s="9">
        <v>42570</v>
      </c>
      <c r="E8939" t="s">
        <v>295</v>
      </c>
      <c r="I8939" s="9"/>
    </row>
    <row r="8940" spans="1:9" x14ac:dyDescent="0.25">
      <c r="A8940">
        <v>733628</v>
      </c>
      <c r="B8940">
        <v>25</v>
      </c>
      <c r="C8940">
        <v>40</v>
      </c>
      <c r="D8940" s="9">
        <v>42569</v>
      </c>
      <c r="E8940" t="s">
        <v>295</v>
      </c>
      <c r="I8940" s="9"/>
    </row>
    <row r="8941" spans="1:9" x14ac:dyDescent="0.25">
      <c r="A8941">
        <v>733628</v>
      </c>
      <c r="B8941">
        <v>25</v>
      </c>
      <c r="C8941">
        <v>3</v>
      </c>
      <c r="D8941" s="9">
        <v>42418</v>
      </c>
      <c r="E8941" t="s">
        <v>295</v>
      </c>
      <c r="I8941" s="9"/>
    </row>
    <row r="8942" spans="1:9" x14ac:dyDescent="0.25">
      <c r="A8942">
        <v>733630</v>
      </c>
      <c r="B8942">
        <v>12.5</v>
      </c>
      <c r="C8942">
        <v>50</v>
      </c>
      <c r="D8942" s="9">
        <v>42879</v>
      </c>
      <c r="E8942" t="s">
        <v>295</v>
      </c>
      <c r="I8942" s="9"/>
    </row>
    <row r="8943" spans="1:9" x14ac:dyDescent="0.25">
      <c r="A8943">
        <v>733630</v>
      </c>
      <c r="B8943">
        <v>12.5</v>
      </c>
      <c r="C8943">
        <v>40</v>
      </c>
      <c r="D8943" s="9">
        <v>42832</v>
      </c>
      <c r="E8943" t="s">
        <v>295</v>
      </c>
      <c r="I8943" s="9"/>
    </row>
    <row r="8944" spans="1:9" x14ac:dyDescent="0.25">
      <c r="A8944">
        <v>733630</v>
      </c>
      <c r="B8944">
        <v>25</v>
      </c>
      <c r="C8944">
        <v>2</v>
      </c>
      <c r="D8944" s="9">
        <v>42808</v>
      </c>
      <c r="E8944" t="s">
        <v>295</v>
      </c>
      <c r="I8944" s="9"/>
    </row>
    <row r="8945" spans="1:9" x14ac:dyDescent="0.25">
      <c r="A8945">
        <v>733630</v>
      </c>
      <c r="B8945">
        <v>25</v>
      </c>
      <c r="C8945">
        <v>1</v>
      </c>
      <c r="D8945" s="9">
        <v>42752</v>
      </c>
      <c r="E8945" t="s">
        <v>295</v>
      </c>
      <c r="I8945" s="9"/>
    </row>
    <row r="8946" spans="1:9" x14ac:dyDescent="0.25">
      <c r="A8946">
        <v>733630</v>
      </c>
      <c r="B8946">
        <v>25</v>
      </c>
      <c r="C8946">
        <v>25</v>
      </c>
      <c r="D8946" s="9">
        <v>42738</v>
      </c>
      <c r="E8946" t="s">
        <v>295</v>
      </c>
      <c r="I8946" s="9"/>
    </row>
    <row r="8947" spans="1:9" x14ac:dyDescent="0.25">
      <c r="A8947">
        <v>733630</v>
      </c>
      <c r="B8947">
        <v>25</v>
      </c>
      <c r="C8947">
        <v>1</v>
      </c>
      <c r="D8947" s="9">
        <v>42723</v>
      </c>
      <c r="E8947" t="s">
        <v>295</v>
      </c>
      <c r="I8947" s="9"/>
    </row>
    <row r="8948" spans="1:9" x14ac:dyDescent="0.25">
      <c r="A8948">
        <v>733630</v>
      </c>
      <c r="B8948">
        <v>25</v>
      </c>
      <c r="C8948">
        <v>3</v>
      </c>
      <c r="D8948" s="9">
        <v>42418</v>
      </c>
      <c r="E8948" t="s">
        <v>295</v>
      </c>
      <c r="I8948" s="9"/>
    </row>
    <row r="8949" spans="1:9" x14ac:dyDescent="0.25">
      <c r="A8949">
        <v>733632</v>
      </c>
      <c r="B8949">
        <v>0.22</v>
      </c>
      <c r="C8949">
        <v>12200</v>
      </c>
      <c r="D8949" s="9">
        <v>43186</v>
      </c>
      <c r="E8949" t="s">
        <v>295</v>
      </c>
      <c r="I8949" s="9"/>
    </row>
    <row r="8950" spans="1:9" x14ac:dyDescent="0.25">
      <c r="A8950">
        <v>733632</v>
      </c>
      <c r="B8950">
        <v>11.5</v>
      </c>
      <c r="C8950">
        <v>1</v>
      </c>
      <c r="D8950" s="9">
        <v>42836</v>
      </c>
      <c r="E8950" t="s">
        <v>295</v>
      </c>
      <c r="I8950" s="9"/>
    </row>
    <row r="8951" spans="1:9" x14ac:dyDescent="0.25">
      <c r="A8951">
        <v>733632</v>
      </c>
      <c r="B8951">
        <v>12.5</v>
      </c>
      <c r="C8951">
        <v>48</v>
      </c>
      <c r="D8951" s="9">
        <v>42832</v>
      </c>
      <c r="E8951" t="s">
        <v>295</v>
      </c>
      <c r="I8951" s="9"/>
    </row>
    <row r="8952" spans="1:9" x14ac:dyDescent="0.25">
      <c r="A8952">
        <v>733632</v>
      </c>
      <c r="B8952">
        <v>25</v>
      </c>
      <c r="C8952">
        <v>2</v>
      </c>
      <c r="D8952" s="9">
        <v>42808</v>
      </c>
      <c r="E8952" t="s">
        <v>295</v>
      </c>
      <c r="I8952" s="9"/>
    </row>
    <row r="8953" spans="1:9" x14ac:dyDescent="0.25">
      <c r="A8953">
        <v>733632</v>
      </c>
      <c r="B8953">
        <v>25</v>
      </c>
      <c r="C8953">
        <v>1</v>
      </c>
      <c r="D8953" s="9">
        <v>42752</v>
      </c>
      <c r="E8953" t="s">
        <v>295</v>
      </c>
      <c r="I8953" s="9"/>
    </row>
    <row r="8954" spans="1:9" x14ac:dyDescent="0.25">
      <c r="A8954">
        <v>733632</v>
      </c>
      <c r="B8954">
        <v>25</v>
      </c>
      <c r="C8954">
        <v>25</v>
      </c>
      <c r="D8954" s="9">
        <v>42738</v>
      </c>
      <c r="E8954" t="s">
        <v>295</v>
      </c>
      <c r="I8954" s="9"/>
    </row>
    <row r="8955" spans="1:9" x14ac:dyDescent="0.25">
      <c r="A8955">
        <v>733632</v>
      </c>
      <c r="B8955">
        <v>25</v>
      </c>
      <c r="C8955">
        <v>1</v>
      </c>
      <c r="D8955" s="9">
        <v>42723</v>
      </c>
      <c r="E8955" t="s">
        <v>295</v>
      </c>
      <c r="I8955" s="9"/>
    </row>
    <row r="8956" spans="1:9" x14ac:dyDescent="0.25">
      <c r="A8956">
        <v>733632</v>
      </c>
      <c r="B8956">
        <v>25</v>
      </c>
      <c r="C8956">
        <v>1</v>
      </c>
      <c r="D8956" s="9">
        <v>42570</v>
      </c>
      <c r="E8956" t="s">
        <v>295</v>
      </c>
      <c r="I8956" s="9"/>
    </row>
    <row r="8957" spans="1:9" x14ac:dyDescent="0.25">
      <c r="A8957">
        <v>733632</v>
      </c>
      <c r="B8957">
        <v>25</v>
      </c>
      <c r="C8957">
        <v>40</v>
      </c>
      <c r="D8957" s="9">
        <v>42569</v>
      </c>
      <c r="E8957" t="s">
        <v>295</v>
      </c>
      <c r="I8957" s="9"/>
    </row>
    <row r="8958" spans="1:9" x14ac:dyDescent="0.25">
      <c r="A8958">
        <v>733632</v>
      </c>
      <c r="B8958">
        <v>25</v>
      </c>
      <c r="C8958">
        <v>3</v>
      </c>
      <c r="D8958" s="9">
        <v>42446</v>
      </c>
      <c r="E8958" t="s">
        <v>295</v>
      </c>
      <c r="I8958" s="9"/>
    </row>
    <row r="8959" spans="1:9" x14ac:dyDescent="0.25">
      <c r="A8959">
        <v>733632</v>
      </c>
      <c r="B8959">
        <v>25</v>
      </c>
      <c r="C8959">
        <v>3</v>
      </c>
      <c r="D8959" s="9">
        <v>42418</v>
      </c>
      <c r="E8959" t="s">
        <v>295</v>
      </c>
      <c r="I8959" s="9"/>
    </row>
    <row r="8960" spans="1:9" x14ac:dyDescent="0.25">
      <c r="A8960">
        <v>733634</v>
      </c>
      <c r="B8960">
        <v>12.5</v>
      </c>
      <c r="C8960">
        <v>40</v>
      </c>
      <c r="D8960" s="9">
        <v>42879</v>
      </c>
      <c r="E8960" t="s">
        <v>295</v>
      </c>
      <c r="I8960" s="9"/>
    </row>
    <row r="8961" spans="1:9" x14ac:dyDescent="0.25">
      <c r="A8961">
        <v>733634</v>
      </c>
      <c r="B8961">
        <v>12.5</v>
      </c>
      <c r="C8961">
        <v>40</v>
      </c>
      <c r="D8961" s="9">
        <v>42832</v>
      </c>
      <c r="E8961" t="s">
        <v>295</v>
      </c>
      <c r="I8961" s="9"/>
    </row>
    <row r="8962" spans="1:9" x14ac:dyDescent="0.25">
      <c r="A8962">
        <v>733634</v>
      </c>
      <c r="B8962">
        <v>25</v>
      </c>
      <c r="C8962">
        <v>2</v>
      </c>
      <c r="D8962" s="9">
        <v>42808</v>
      </c>
      <c r="E8962" t="s">
        <v>295</v>
      </c>
      <c r="I8962" s="9"/>
    </row>
    <row r="8963" spans="1:9" x14ac:dyDescent="0.25">
      <c r="A8963">
        <v>733634</v>
      </c>
      <c r="B8963">
        <v>25</v>
      </c>
      <c r="C8963">
        <v>1</v>
      </c>
      <c r="D8963" s="9">
        <v>42752</v>
      </c>
      <c r="E8963" t="s">
        <v>295</v>
      </c>
      <c r="I8963" s="9"/>
    </row>
    <row r="8964" spans="1:9" x14ac:dyDescent="0.25">
      <c r="A8964">
        <v>733634</v>
      </c>
      <c r="B8964">
        <v>25</v>
      </c>
      <c r="C8964">
        <v>25</v>
      </c>
      <c r="D8964" s="9">
        <v>42738</v>
      </c>
      <c r="E8964" t="s">
        <v>295</v>
      </c>
      <c r="I8964" s="9"/>
    </row>
    <row r="8965" spans="1:9" x14ac:dyDescent="0.25">
      <c r="A8965">
        <v>733634</v>
      </c>
      <c r="B8965">
        <v>25</v>
      </c>
      <c r="C8965">
        <v>1</v>
      </c>
      <c r="D8965" s="9">
        <v>42723</v>
      </c>
      <c r="E8965" t="s">
        <v>295</v>
      </c>
      <c r="I8965" s="9"/>
    </row>
    <row r="8966" spans="1:9" x14ac:dyDescent="0.25">
      <c r="A8966">
        <v>733634</v>
      </c>
      <c r="B8966">
        <v>25</v>
      </c>
      <c r="C8966">
        <v>1</v>
      </c>
      <c r="D8966" s="9">
        <v>42570</v>
      </c>
      <c r="E8966" t="s">
        <v>295</v>
      </c>
      <c r="I8966" s="9"/>
    </row>
    <row r="8967" spans="1:9" x14ac:dyDescent="0.25">
      <c r="A8967">
        <v>733634</v>
      </c>
      <c r="B8967">
        <v>25</v>
      </c>
      <c r="C8967">
        <v>3</v>
      </c>
      <c r="D8967" s="9">
        <v>42418</v>
      </c>
      <c r="E8967" t="s">
        <v>295</v>
      </c>
      <c r="I8967" s="9"/>
    </row>
    <row r="8968" spans="1:9" x14ac:dyDescent="0.25">
      <c r="A8968">
        <v>733634</v>
      </c>
      <c r="B8968">
        <v>25</v>
      </c>
      <c r="C8968">
        <v>1</v>
      </c>
      <c r="D8968" s="9">
        <v>42317</v>
      </c>
      <c r="E8968" t="s">
        <v>295</v>
      </c>
      <c r="I8968" s="9"/>
    </row>
    <row r="8969" spans="1:9" x14ac:dyDescent="0.25">
      <c r="A8969">
        <v>733636</v>
      </c>
      <c r="B8969">
        <v>0.3</v>
      </c>
      <c r="C8969">
        <v>4000</v>
      </c>
      <c r="D8969" s="9">
        <v>43445</v>
      </c>
      <c r="E8969" t="s">
        <v>295</v>
      </c>
      <c r="I8969" s="9"/>
    </row>
    <row r="8970" spans="1:9" x14ac:dyDescent="0.25">
      <c r="A8970">
        <v>733636</v>
      </c>
      <c r="B8970">
        <v>0.3</v>
      </c>
      <c r="C8970">
        <v>2000</v>
      </c>
      <c r="D8970" s="9">
        <v>43432</v>
      </c>
      <c r="E8970" t="s">
        <v>295</v>
      </c>
      <c r="I8970" s="9"/>
    </row>
    <row r="8971" spans="1:9" x14ac:dyDescent="0.25">
      <c r="A8971">
        <v>733636</v>
      </c>
      <c r="B8971">
        <v>12.5</v>
      </c>
      <c r="C8971">
        <v>24</v>
      </c>
      <c r="D8971" s="9">
        <v>42832</v>
      </c>
      <c r="E8971" t="s">
        <v>295</v>
      </c>
      <c r="I8971" s="9"/>
    </row>
    <row r="8972" spans="1:9" x14ac:dyDescent="0.25">
      <c r="A8972">
        <v>733636</v>
      </c>
      <c r="B8972">
        <v>25</v>
      </c>
      <c r="C8972">
        <v>2</v>
      </c>
      <c r="D8972" s="9">
        <v>42808</v>
      </c>
      <c r="E8972" t="s">
        <v>295</v>
      </c>
      <c r="I8972" s="9"/>
    </row>
    <row r="8973" spans="1:9" x14ac:dyDescent="0.25">
      <c r="A8973">
        <v>733636</v>
      </c>
      <c r="B8973">
        <v>25</v>
      </c>
      <c r="C8973">
        <v>1</v>
      </c>
      <c r="D8973" s="9">
        <v>42752</v>
      </c>
      <c r="E8973" t="s">
        <v>295</v>
      </c>
      <c r="I8973" s="9"/>
    </row>
    <row r="8974" spans="1:9" x14ac:dyDescent="0.25">
      <c r="A8974">
        <v>733636</v>
      </c>
      <c r="B8974">
        <v>25</v>
      </c>
      <c r="C8974">
        <v>25</v>
      </c>
      <c r="D8974" s="9">
        <v>42738</v>
      </c>
      <c r="E8974" t="s">
        <v>295</v>
      </c>
      <c r="I8974" s="9"/>
    </row>
    <row r="8975" spans="1:9" x14ac:dyDescent="0.25">
      <c r="A8975">
        <v>733636</v>
      </c>
      <c r="B8975">
        <v>25</v>
      </c>
      <c r="C8975">
        <v>1</v>
      </c>
      <c r="D8975" s="9">
        <v>42723</v>
      </c>
      <c r="E8975" t="s">
        <v>295</v>
      </c>
      <c r="I8975" s="9"/>
    </row>
    <row r="8976" spans="1:9" x14ac:dyDescent="0.25">
      <c r="A8976">
        <v>733636</v>
      </c>
      <c r="B8976">
        <v>24</v>
      </c>
      <c r="C8976">
        <v>30</v>
      </c>
      <c r="D8976" s="9">
        <v>42580</v>
      </c>
      <c r="E8976" t="s">
        <v>295</v>
      </c>
      <c r="I8976" s="9"/>
    </row>
    <row r="8977" spans="1:9" x14ac:dyDescent="0.25">
      <c r="A8977">
        <v>733636</v>
      </c>
      <c r="B8977">
        <v>25</v>
      </c>
      <c r="C8977">
        <v>1</v>
      </c>
      <c r="D8977" s="9">
        <v>42570</v>
      </c>
      <c r="E8977" t="s">
        <v>295</v>
      </c>
      <c r="I8977" s="9"/>
    </row>
    <row r="8978" spans="1:9" x14ac:dyDescent="0.25">
      <c r="A8978">
        <v>733636</v>
      </c>
      <c r="B8978">
        <v>25</v>
      </c>
      <c r="C8978">
        <v>40</v>
      </c>
      <c r="D8978" s="9">
        <v>42569</v>
      </c>
      <c r="E8978" t="s">
        <v>295</v>
      </c>
      <c r="I8978" s="9"/>
    </row>
    <row r="8979" spans="1:9" x14ac:dyDescent="0.25">
      <c r="A8979">
        <v>733636</v>
      </c>
      <c r="B8979">
        <v>25</v>
      </c>
      <c r="C8979">
        <v>3</v>
      </c>
      <c r="D8979" s="9">
        <v>42446</v>
      </c>
      <c r="E8979" t="s">
        <v>295</v>
      </c>
      <c r="I8979" s="9"/>
    </row>
    <row r="8980" spans="1:9" x14ac:dyDescent="0.25">
      <c r="A8980">
        <v>733636</v>
      </c>
      <c r="B8980">
        <v>25</v>
      </c>
      <c r="C8980">
        <v>3</v>
      </c>
      <c r="D8980" s="9">
        <v>42418</v>
      </c>
      <c r="E8980" t="s">
        <v>295</v>
      </c>
      <c r="I8980" s="9"/>
    </row>
    <row r="8981" spans="1:9" x14ac:dyDescent="0.25">
      <c r="A8981">
        <v>733638</v>
      </c>
      <c r="B8981">
        <v>0.3</v>
      </c>
      <c r="C8981">
        <v>15000</v>
      </c>
      <c r="D8981" s="9">
        <v>43676</v>
      </c>
      <c r="E8981" t="s">
        <v>295</v>
      </c>
      <c r="I8981" s="9"/>
    </row>
    <row r="8982" spans="1:9" x14ac:dyDescent="0.25">
      <c r="A8982">
        <v>733638</v>
      </c>
      <c r="B8982">
        <v>0.3</v>
      </c>
      <c r="C8982">
        <v>6000</v>
      </c>
      <c r="D8982" s="9">
        <v>43445</v>
      </c>
      <c r="E8982" t="s">
        <v>295</v>
      </c>
      <c r="I8982" s="9"/>
    </row>
    <row r="8983" spans="1:9" x14ac:dyDescent="0.25">
      <c r="A8983">
        <v>733638</v>
      </c>
      <c r="B8983">
        <v>24</v>
      </c>
      <c r="C8983">
        <v>47</v>
      </c>
      <c r="D8983" s="9">
        <v>42580</v>
      </c>
      <c r="E8983" t="s">
        <v>295</v>
      </c>
      <c r="I8983" s="9"/>
    </row>
    <row r="8984" spans="1:9" x14ac:dyDescent="0.25">
      <c r="A8984">
        <v>733638</v>
      </c>
      <c r="B8984">
        <v>25</v>
      </c>
      <c r="C8984">
        <v>1</v>
      </c>
      <c r="D8984" s="9">
        <v>42570</v>
      </c>
      <c r="E8984" t="s">
        <v>295</v>
      </c>
      <c r="I8984" s="9"/>
    </row>
    <row r="8985" spans="1:9" x14ac:dyDescent="0.25">
      <c r="A8985">
        <v>733638</v>
      </c>
      <c r="B8985">
        <v>25</v>
      </c>
      <c r="C8985">
        <v>40</v>
      </c>
      <c r="D8985" s="9">
        <v>42569</v>
      </c>
      <c r="E8985" t="s">
        <v>295</v>
      </c>
      <c r="I8985" s="9"/>
    </row>
    <row r="8986" spans="1:9" x14ac:dyDescent="0.25">
      <c r="A8986">
        <v>733638</v>
      </c>
      <c r="B8986">
        <v>25</v>
      </c>
      <c r="C8986">
        <v>3</v>
      </c>
      <c r="D8986" s="9">
        <v>42418</v>
      </c>
      <c r="E8986" t="s">
        <v>295</v>
      </c>
      <c r="I8986" s="9"/>
    </row>
    <row r="8987" spans="1:9" x14ac:dyDescent="0.25">
      <c r="A8987">
        <v>733640</v>
      </c>
      <c r="B8987">
        <v>0.22</v>
      </c>
      <c r="C8987">
        <v>12200</v>
      </c>
      <c r="D8987" s="9">
        <v>43186</v>
      </c>
      <c r="E8987" t="s">
        <v>295</v>
      </c>
      <c r="I8987" s="9"/>
    </row>
    <row r="8988" spans="1:9" x14ac:dyDescent="0.25">
      <c r="A8988">
        <v>733640</v>
      </c>
      <c r="B8988">
        <v>12.5</v>
      </c>
      <c r="C8988">
        <v>1</v>
      </c>
      <c r="D8988" s="9">
        <v>42836</v>
      </c>
      <c r="E8988" t="s">
        <v>295</v>
      </c>
      <c r="I8988" s="9"/>
    </row>
    <row r="8989" spans="1:9" x14ac:dyDescent="0.25">
      <c r="A8989">
        <v>733640</v>
      </c>
      <c r="B8989">
        <v>25</v>
      </c>
      <c r="C8989">
        <v>4</v>
      </c>
      <c r="D8989" s="9">
        <v>42738</v>
      </c>
      <c r="E8989" t="s">
        <v>295</v>
      </c>
      <c r="I8989" s="9"/>
    </row>
    <row r="8990" spans="1:9" x14ac:dyDescent="0.25">
      <c r="A8990">
        <v>733640</v>
      </c>
      <c r="B8990">
        <v>25</v>
      </c>
      <c r="C8990">
        <v>1</v>
      </c>
      <c r="D8990" s="9">
        <v>42723</v>
      </c>
      <c r="E8990" t="s">
        <v>295</v>
      </c>
      <c r="I8990" s="9"/>
    </row>
    <row r="8991" spans="1:9" x14ac:dyDescent="0.25">
      <c r="A8991">
        <v>733640</v>
      </c>
      <c r="B8991">
        <v>24</v>
      </c>
      <c r="C8991">
        <v>50</v>
      </c>
      <c r="D8991" s="9">
        <v>42580</v>
      </c>
      <c r="E8991" t="s">
        <v>295</v>
      </c>
      <c r="I8991" s="9"/>
    </row>
    <row r="8992" spans="1:9" x14ac:dyDescent="0.25">
      <c r="A8992">
        <v>733640</v>
      </c>
      <c r="B8992">
        <v>25</v>
      </c>
      <c r="C8992">
        <v>1</v>
      </c>
      <c r="D8992" s="9">
        <v>42570</v>
      </c>
      <c r="E8992" t="s">
        <v>295</v>
      </c>
      <c r="I8992" s="9"/>
    </row>
    <row r="8993" spans="1:9" x14ac:dyDescent="0.25">
      <c r="A8993">
        <v>733640</v>
      </c>
      <c r="B8993">
        <v>25</v>
      </c>
      <c r="C8993">
        <v>40</v>
      </c>
      <c r="D8993" s="9">
        <v>42569</v>
      </c>
      <c r="E8993" t="s">
        <v>295</v>
      </c>
      <c r="I8993" s="9"/>
    </row>
    <row r="8994" spans="1:9" x14ac:dyDescent="0.25">
      <c r="A8994">
        <v>733640</v>
      </c>
      <c r="B8994">
        <v>25</v>
      </c>
      <c r="C8994">
        <v>3</v>
      </c>
      <c r="D8994" s="9">
        <v>42446</v>
      </c>
      <c r="E8994" t="s">
        <v>295</v>
      </c>
      <c r="I8994" s="9"/>
    </row>
    <row r="8995" spans="1:9" x14ac:dyDescent="0.25">
      <c r="A8995">
        <v>733640</v>
      </c>
      <c r="B8995">
        <v>25</v>
      </c>
      <c r="C8995">
        <v>3</v>
      </c>
      <c r="D8995" s="9">
        <v>42418</v>
      </c>
      <c r="E8995" t="s">
        <v>295</v>
      </c>
      <c r="I8995" s="9"/>
    </row>
    <row r="8996" spans="1:9" x14ac:dyDescent="0.25">
      <c r="A8996">
        <v>733640</v>
      </c>
      <c r="B8996">
        <v>25</v>
      </c>
      <c r="C8996">
        <v>1</v>
      </c>
      <c r="D8996" s="9">
        <v>42317</v>
      </c>
      <c r="E8996" t="s">
        <v>295</v>
      </c>
      <c r="I8996" s="9"/>
    </row>
    <row r="8997" spans="1:9" x14ac:dyDescent="0.25">
      <c r="A8997">
        <v>733642</v>
      </c>
      <c r="B8997">
        <v>0.3</v>
      </c>
      <c r="C8997">
        <v>2000</v>
      </c>
      <c r="D8997" s="9">
        <v>43676</v>
      </c>
      <c r="E8997" t="s">
        <v>295</v>
      </c>
      <c r="I8997" s="9"/>
    </row>
    <row r="8998" spans="1:9" x14ac:dyDescent="0.25">
      <c r="A8998">
        <v>733642</v>
      </c>
      <c r="B8998">
        <v>12.5</v>
      </c>
      <c r="C8998">
        <v>34</v>
      </c>
      <c r="D8998" s="9">
        <v>42832</v>
      </c>
      <c r="E8998" t="s">
        <v>295</v>
      </c>
      <c r="I8998" s="9"/>
    </row>
    <row r="8999" spans="1:9" x14ac:dyDescent="0.25">
      <c r="A8999">
        <v>733642</v>
      </c>
      <c r="B8999">
        <v>25</v>
      </c>
      <c r="C8999">
        <v>2</v>
      </c>
      <c r="D8999" s="9">
        <v>42808</v>
      </c>
      <c r="E8999" t="s">
        <v>295</v>
      </c>
      <c r="I8999" s="9"/>
    </row>
    <row r="9000" spans="1:9" x14ac:dyDescent="0.25">
      <c r="A9000">
        <v>733642</v>
      </c>
      <c r="B9000">
        <v>25</v>
      </c>
      <c r="C9000">
        <v>1</v>
      </c>
      <c r="D9000" s="9">
        <v>42752</v>
      </c>
      <c r="E9000" t="s">
        <v>295</v>
      </c>
      <c r="I9000" s="9"/>
    </row>
    <row r="9001" spans="1:9" x14ac:dyDescent="0.25">
      <c r="A9001">
        <v>733642</v>
      </c>
      <c r="B9001">
        <v>25</v>
      </c>
      <c r="C9001">
        <v>1</v>
      </c>
      <c r="D9001" s="9">
        <v>42723</v>
      </c>
      <c r="E9001" t="s">
        <v>295</v>
      </c>
      <c r="I9001" s="9"/>
    </row>
    <row r="9002" spans="1:9" x14ac:dyDescent="0.25">
      <c r="A9002">
        <v>733642</v>
      </c>
      <c r="B9002">
        <v>25</v>
      </c>
      <c r="C9002">
        <v>1</v>
      </c>
      <c r="D9002" s="9">
        <v>42570</v>
      </c>
      <c r="E9002" t="s">
        <v>295</v>
      </c>
      <c r="I9002" s="9"/>
    </row>
    <row r="9003" spans="1:9" x14ac:dyDescent="0.25">
      <c r="A9003">
        <v>733642</v>
      </c>
      <c r="B9003">
        <v>25</v>
      </c>
      <c r="C9003">
        <v>40</v>
      </c>
      <c r="D9003" s="9">
        <v>42569</v>
      </c>
      <c r="E9003" t="s">
        <v>295</v>
      </c>
      <c r="I9003" s="9"/>
    </row>
    <row r="9004" spans="1:9" x14ac:dyDescent="0.25">
      <c r="A9004">
        <v>733642</v>
      </c>
      <c r="B9004">
        <v>25</v>
      </c>
      <c r="C9004">
        <v>3</v>
      </c>
      <c r="D9004" s="9">
        <v>42418</v>
      </c>
      <c r="E9004" t="s">
        <v>295</v>
      </c>
      <c r="I9004" s="9"/>
    </row>
    <row r="9005" spans="1:9" x14ac:dyDescent="0.25">
      <c r="A9005">
        <v>733644</v>
      </c>
      <c r="B9005">
        <v>0.3</v>
      </c>
      <c r="C9005">
        <v>10000</v>
      </c>
      <c r="D9005" s="9">
        <v>43676</v>
      </c>
      <c r="E9005" t="s">
        <v>295</v>
      </c>
      <c r="I9005" s="9"/>
    </row>
    <row r="9006" spans="1:9" x14ac:dyDescent="0.25">
      <c r="A9006">
        <v>733644</v>
      </c>
      <c r="B9006">
        <v>0.3</v>
      </c>
      <c r="C9006">
        <v>10000</v>
      </c>
      <c r="D9006" s="9">
        <v>43432</v>
      </c>
      <c r="E9006" t="s">
        <v>295</v>
      </c>
      <c r="I9006" s="9"/>
    </row>
    <row r="9007" spans="1:9" x14ac:dyDescent="0.25">
      <c r="A9007">
        <v>733644</v>
      </c>
      <c r="B9007">
        <v>39</v>
      </c>
      <c r="C9007">
        <v>18</v>
      </c>
      <c r="D9007" s="9">
        <v>42580</v>
      </c>
      <c r="E9007" t="s">
        <v>295</v>
      </c>
      <c r="I9007" s="9"/>
    </row>
    <row r="9008" spans="1:9" x14ac:dyDescent="0.25">
      <c r="A9008">
        <v>733644</v>
      </c>
      <c r="B9008">
        <v>40</v>
      </c>
      <c r="C9008">
        <v>40</v>
      </c>
      <c r="D9008" s="9">
        <v>42569</v>
      </c>
      <c r="E9008" t="s">
        <v>295</v>
      </c>
      <c r="I9008" s="9"/>
    </row>
    <row r="9009" spans="1:9" x14ac:dyDescent="0.25">
      <c r="A9009">
        <v>733644</v>
      </c>
      <c r="B9009">
        <v>40</v>
      </c>
      <c r="C9009">
        <v>3</v>
      </c>
      <c r="D9009" s="9">
        <v>42446</v>
      </c>
      <c r="E9009" t="s">
        <v>295</v>
      </c>
      <c r="I9009" s="9"/>
    </row>
    <row r="9010" spans="1:9" x14ac:dyDescent="0.25">
      <c r="A9010">
        <v>733644</v>
      </c>
      <c r="B9010">
        <v>40</v>
      </c>
      <c r="C9010">
        <v>3</v>
      </c>
      <c r="D9010" s="9">
        <v>42418</v>
      </c>
      <c r="E9010" t="s">
        <v>295</v>
      </c>
      <c r="I9010" s="9"/>
    </row>
    <row r="9011" spans="1:9" x14ac:dyDescent="0.25">
      <c r="A9011">
        <v>733646</v>
      </c>
      <c r="B9011">
        <v>19.5</v>
      </c>
      <c r="C9011">
        <v>2</v>
      </c>
      <c r="D9011" s="9">
        <v>42836</v>
      </c>
      <c r="E9011" t="s">
        <v>295</v>
      </c>
      <c r="I9011" s="9"/>
    </row>
    <row r="9012" spans="1:9" x14ac:dyDescent="0.25">
      <c r="A9012">
        <v>733646</v>
      </c>
      <c r="B9012">
        <v>40</v>
      </c>
      <c r="C9012">
        <v>3</v>
      </c>
      <c r="D9012" s="9">
        <v>42418</v>
      </c>
      <c r="E9012" t="s">
        <v>295</v>
      </c>
      <c r="I9012" s="9"/>
    </row>
    <row r="9013" spans="1:9" x14ac:dyDescent="0.25">
      <c r="A9013">
        <v>733650</v>
      </c>
      <c r="B9013">
        <v>17.5</v>
      </c>
      <c r="C9013">
        <v>20</v>
      </c>
      <c r="D9013" s="9">
        <v>42836</v>
      </c>
      <c r="E9013" t="s">
        <v>295</v>
      </c>
      <c r="I9013" s="9"/>
    </row>
    <row r="9014" spans="1:9" x14ac:dyDescent="0.25">
      <c r="A9014">
        <v>733650</v>
      </c>
      <c r="B9014">
        <v>17.5</v>
      </c>
      <c r="C9014">
        <v>20</v>
      </c>
      <c r="D9014" s="9">
        <v>42832</v>
      </c>
      <c r="E9014" t="s">
        <v>295</v>
      </c>
      <c r="I9014" s="9"/>
    </row>
    <row r="9015" spans="1:9" x14ac:dyDescent="0.25">
      <c r="A9015">
        <v>733650</v>
      </c>
      <c r="B9015">
        <v>35</v>
      </c>
      <c r="C9015">
        <v>1</v>
      </c>
      <c r="D9015" s="9">
        <v>42752</v>
      </c>
      <c r="E9015" t="s">
        <v>295</v>
      </c>
      <c r="I9015" s="9"/>
    </row>
    <row r="9016" spans="1:9" x14ac:dyDescent="0.25">
      <c r="A9016">
        <v>733650</v>
      </c>
      <c r="B9016">
        <v>35</v>
      </c>
      <c r="C9016">
        <v>1</v>
      </c>
      <c r="D9016" s="9">
        <v>42514</v>
      </c>
      <c r="E9016" t="s">
        <v>295</v>
      </c>
      <c r="I9016" s="9"/>
    </row>
    <row r="9017" spans="1:9" x14ac:dyDescent="0.25">
      <c r="A9017">
        <v>733650</v>
      </c>
      <c r="B9017">
        <v>35</v>
      </c>
      <c r="C9017">
        <v>1</v>
      </c>
      <c r="D9017" s="9">
        <v>42317</v>
      </c>
      <c r="E9017" t="s">
        <v>295</v>
      </c>
      <c r="I9017" s="9"/>
    </row>
    <row r="9018" spans="1:9" x14ac:dyDescent="0.25">
      <c r="A9018">
        <v>733652</v>
      </c>
      <c r="B9018">
        <v>0.23</v>
      </c>
      <c r="C9018">
        <v>1000</v>
      </c>
      <c r="D9018" s="9">
        <v>43997</v>
      </c>
      <c r="E9018" t="s">
        <v>295</v>
      </c>
      <c r="I9018" s="9"/>
    </row>
    <row r="9019" spans="1:9" x14ac:dyDescent="0.25">
      <c r="A9019">
        <v>733652</v>
      </c>
      <c r="B9019">
        <v>17.5</v>
      </c>
      <c r="C9019">
        <v>20</v>
      </c>
      <c r="D9019" s="9">
        <v>42832</v>
      </c>
      <c r="E9019" t="s">
        <v>295</v>
      </c>
      <c r="I9019" s="9"/>
    </row>
    <row r="9020" spans="1:9" x14ac:dyDescent="0.25">
      <c r="A9020">
        <v>733652</v>
      </c>
      <c r="B9020">
        <v>35</v>
      </c>
      <c r="C9020">
        <v>1</v>
      </c>
      <c r="D9020" s="9">
        <v>42752</v>
      </c>
      <c r="E9020" t="s">
        <v>295</v>
      </c>
      <c r="I9020" s="9"/>
    </row>
    <row r="9021" spans="1:9" x14ac:dyDescent="0.25">
      <c r="A9021">
        <v>733652</v>
      </c>
      <c r="B9021">
        <v>35</v>
      </c>
      <c r="C9021">
        <v>1</v>
      </c>
      <c r="D9021" s="9">
        <v>42514</v>
      </c>
      <c r="E9021" t="s">
        <v>295</v>
      </c>
      <c r="I9021" s="9"/>
    </row>
    <row r="9022" spans="1:9" x14ac:dyDescent="0.25">
      <c r="A9022">
        <v>733652</v>
      </c>
      <c r="B9022">
        <v>35</v>
      </c>
      <c r="C9022">
        <v>3</v>
      </c>
      <c r="D9022" s="9">
        <v>42446</v>
      </c>
      <c r="E9022" t="s">
        <v>295</v>
      </c>
      <c r="I9022" s="9"/>
    </row>
    <row r="9023" spans="1:9" x14ac:dyDescent="0.25">
      <c r="A9023">
        <v>733652</v>
      </c>
      <c r="B9023">
        <v>35</v>
      </c>
      <c r="C9023">
        <v>1</v>
      </c>
      <c r="D9023" s="9">
        <v>42317</v>
      </c>
      <c r="E9023" t="s">
        <v>295</v>
      </c>
      <c r="I9023" s="9"/>
    </row>
    <row r="9024" spans="1:9" x14ac:dyDescent="0.25">
      <c r="A9024">
        <v>733654</v>
      </c>
      <c r="B9024">
        <v>17.5</v>
      </c>
      <c r="C9024">
        <v>20</v>
      </c>
      <c r="D9024" s="9">
        <v>42832</v>
      </c>
      <c r="E9024" t="s">
        <v>295</v>
      </c>
      <c r="I9024" s="9"/>
    </row>
    <row r="9025" spans="1:9" x14ac:dyDescent="0.25">
      <c r="A9025">
        <v>733654</v>
      </c>
      <c r="B9025">
        <v>35</v>
      </c>
      <c r="C9025">
        <v>1</v>
      </c>
      <c r="D9025" s="9">
        <v>42752</v>
      </c>
      <c r="E9025" t="s">
        <v>295</v>
      </c>
      <c r="I9025" s="9"/>
    </row>
    <row r="9026" spans="1:9" x14ac:dyDescent="0.25">
      <c r="A9026">
        <v>733654</v>
      </c>
      <c r="B9026">
        <v>35</v>
      </c>
      <c r="C9026">
        <v>2</v>
      </c>
      <c r="D9026" s="9">
        <v>42514</v>
      </c>
      <c r="E9026" t="s">
        <v>295</v>
      </c>
      <c r="I9026" s="9"/>
    </row>
    <row r="9027" spans="1:9" x14ac:dyDescent="0.25">
      <c r="A9027">
        <v>733654</v>
      </c>
      <c r="B9027">
        <v>35</v>
      </c>
      <c r="C9027">
        <v>3</v>
      </c>
      <c r="D9027" s="9">
        <v>42446</v>
      </c>
      <c r="E9027" t="s">
        <v>295</v>
      </c>
      <c r="I9027" s="9"/>
    </row>
    <row r="9028" spans="1:9" x14ac:dyDescent="0.25">
      <c r="A9028">
        <v>733654</v>
      </c>
      <c r="B9028">
        <v>35</v>
      </c>
      <c r="C9028">
        <v>1</v>
      </c>
      <c r="D9028" s="9">
        <v>42317</v>
      </c>
      <c r="E9028" t="s">
        <v>295</v>
      </c>
      <c r="I9028" s="9"/>
    </row>
    <row r="9029" spans="1:9" x14ac:dyDescent="0.25">
      <c r="A9029">
        <v>733656</v>
      </c>
      <c r="B9029">
        <v>17.5</v>
      </c>
      <c r="C9029">
        <v>20</v>
      </c>
      <c r="D9029" s="9">
        <v>42832</v>
      </c>
      <c r="E9029" t="s">
        <v>295</v>
      </c>
      <c r="I9029" s="9"/>
    </row>
    <row r="9030" spans="1:9" x14ac:dyDescent="0.25">
      <c r="A9030">
        <v>733656</v>
      </c>
      <c r="B9030">
        <v>35</v>
      </c>
      <c r="C9030">
        <v>1</v>
      </c>
      <c r="D9030" s="9">
        <v>42752</v>
      </c>
      <c r="E9030" t="s">
        <v>295</v>
      </c>
      <c r="I9030" s="9"/>
    </row>
    <row r="9031" spans="1:9" x14ac:dyDescent="0.25">
      <c r="A9031">
        <v>733656</v>
      </c>
      <c r="B9031">
        <v>35</v>
      </c>
      <c r="C9031">
        <v>2</v>
      </c>
      <c r="D9031" s="9">
        <v>42514</v>
      </c>
      <c r="E9031" t="s">
        <v>295</v>
      </c>
      <c r="I9031" s="9"/>
    </row>
    <row r="9032" spans="1:9" x14ac:dyDescent="0.25">
      <c r="A9032">
        <v>733656</v>
      </c>
      <c r="B9032">
        <v>35</v>
      </c>
      <c r="C9032">
        <v>3</v>
      </c>
      <c r="D9032" s="9">
        <v>42446</v>
      </c>
      <c r="E9032" t="s">
        <v>295</v>
      </c>
      <c r="I9032" s="9"/>
    </row>
    <row r="9033" spans="1:9" x14ac:dyDescent="0.25">
      <c r="A9033">
        <v>733656</v>
      </c>
      <c r="B9033">
        <v>35</v>
      </c>
      <c r="C9033">
        <v>1</v>
      </c>
      <c r="D9033" s="9">
        <v>42317</v>
      </c>
      <c r="E9033" t="s">
        <v>295</v>
      </c>
      <c r="I9033" s="9"/>
    </row>
    <row r="9034" spans="1:9" x14ac:dyDescent="0.25">
      <c r="A9034">
        <v>733658</v>
      </c>
      <c r="B9034">
        <v>17.5</v>
      </c>
      <c r="C9034">
        <v>20</v>
      </c>
      <c r="D9034" s="9">
        <v>42832</v>
      </c>
      <c r="E9034" t="s">
        <v>295</v>
      </c>
      <c r="I9034" s="9"/>
    </row>
    <row r="9035" spans="1:9" x14ac:dyDescent="0.25">
      <c r="A9035">
        <v>733658</v>
      </c>
      <c r="B9035">
        <v>35</v>
      </c>
      <c r="C9035">
        <v>1</v>
      </c>
      <c r="D9035" s="9">
        <v>42752</v>
      </c>
      <c r="E9035" t="s">
        <v>295</v>
      </c>
      <c r="I9035" s="9"/>
    </row>
    <row r="9036" spans="1:9" x14ac:dyDescent="0.25">
      <c r="A9036">
        <v>733658</v>
      </c>
      <c r="B9036">
        <v>35</v>
      </c>
      <c r="C9036">
        <v>2</v>
      </c>
      <c r="D9036" s="9">
        <v>42514</v>
      </c>
      <c r="E9036" t="s">
        <v>295</v>
      </c>
      <c r="I9036" s="9"/>
    </row>
    <row r="9037" spans="1:9" x14ac:dyDescent="0.25">
      <c r="A9037">
        <v>733658</v>
      </c>
      <c r="B9037">
        <v>35</v>
      </c>
      <c r="C9037">
        <v>3</v>
      </c>
      <c r="D9037" s="9">
        <v>42446</v>
      </c>
      <c r="E9037" t="s">
        <v>295</v>
      </c>
      <c r="I9037" s="9"/>
    </row>
    <row r="9038" spans="1:9" x14ac:dyDescent="0.25">
      <c r="A9038">
        <v>733658</v>
      </c>
      <c r="B9038">
        <v>35</v>
      </c>
      <c r="C9038">
        <v>1</v>
      </c>
      <c r="D9038" s="9">
        <v>42317</v>
      </c>
      <c r="E9038" t="s">
        <v>295</v>
      </c>
      <c r="I9038" s="9"/>
    </row>
    <row r="9039" spans="1:9" x14ac:dyDescent="0.25">
      <c r="A9039">
        <v>733660</v>
      </c>
      <c r="B9039">
        <v>17.5</v>
      </c>
      <c r="C9039">
        <v>20</v>
      </c>
      <c r="D9039" s="9">
        <v>42832</v>
      </c>
      <c r="E9039" t="s">
        <v>295</v>
      </c>
      <c r="I9039" s="9"/>
    </row>
    <row r="9040" spans="1:9" x14ac:dyDescent="0.25">
      <c r="A9040">
        <v>733660</v>
      </c>
      <c r="B9040">
        <v>35</v>
      </c>
      <c r="C9040">
        <v>1</v>
      </c>
      <c r="D9040" s="9">
        <v>42752</v>
      </c>
      <c r="E9040" t="s">
        <v>295</v>
      </c>
      <c r="I9040" s="9"/>
    </row>
    <row r="9041" spans="1:9" x14ac:dyDescent="0.25">
      <c r="A9041">
        <v>733660</v>
      </c>
      <c r="B9041">
        <v>35</v>
      </c>
      <c r="C9041">
        <v>2</v>
      </c>
      <c r="D9041" s="9">
        <v>42514</v>
      </c>
      <c r="E9041" t="s">
        <v>295</v>
      </c>
      <c r="I9041" s="9"/>
    </row>
    <row r="9042" spans="1:9" x14ac:dyDescent="0.25">
      <c r="A9042">
        <v>733660</v>
      </c>
      <c r="B9042">
        <v>35</v>
      </c>
      <c r="C9042">
        <v>1</v>
      </c>
      <c r="D9042" s="9">
        <v>42317</v>
      </c>
      <c r="E9042" t="s">
        <v>295</v>
      </c>
      <c r="I9042" s="9"/>
    </row>
    <row r="9043" spans="1:9" x14ac:dyDescent="0.25">
      <c r="A9043">
        <v>733662</v>
      </c>
      <c r="B9043">
        <v>17.5</v>
      </c>
      <c r="C9043">
        <v>20</v>
      </c>
      <c r="D9043" s="9">
        <v>42832</v>
      </c>
      <c r="E9043" t="s">
        <v>295</v>
      </c>
      <c r="I9043" s="9"/>
    </row>
    <row r="9044" spans="1:9" x14ac:dyDescent="0.25">
      <c r="A9044">
        <v>733662</v>
      </c>
      <c r="B9044">
        <v>35</v>
      </c>
      <c r="C9044">
        <v>1</v>
      </c>
      <c r="D9044" s="9">
        <v>42752</v>
      </c>
      <c r="E9044" t="s">
        <v>295</v>
      </c>
      <c r="I9044" s="9"/>
    </row>
    <row r="9045" spans="1:9" x14ac:dyDescent="0.25">
      <c r="A9045">
        <v>733662</v>
      </c>
      <c r="B9045">
        <v>35</v>
      </c>
      <c r="C9045">
        <v>2</v>
      </c>
      <c r="D9045" s="9">
        <v>42514</v>
      </c>
      <c r="E9045" t="s">
        <v>295</v>
      </c>
      <c r="I9045" s="9"/>
    </row>
    <row r="9046" spans="1:9" x14ac:dyDescent="0.25">
      <c r="A9046">
        <v>733662</v>
      </c>
      <c r="B9046">
        <v>35</v>
      </c>
      <c r="C9046">
        <v>3</v>
      </c>
      <c r="D9046" s="9">
        <v>42446</v>
      </c>
      <c r="E9046" t="s">
        <v>295</v>
      </c>
      <c r="I9046" s="9"/>
    </row>
    <row r="9047" spans="1:9" x14ac:dyDescent="0.25">
      <c r="A9047">
        <v>733662</v>
      </c>
      <c r="B9047">
        <v>35</v>
      </c>
      <c r="C9047">
        <v>1</v>
      </c>
      <c r="D9047" s="9">
        <v>42317</v>
      </c>
      <c r="E9047" t="s">
        <v>295</v>
      </c>
      <c r="I9047" s="9"/>
    </row>
    <row r="9048" spans="1:9" x14ac:dyDescent="0.25">
      <c r="A9048">
        <v>733664</v>
      </c>
      <c r="B9048">
        <v>17.5</v>
      </c>
      <c r="C9048">
        <v>30</v>
      </c>
      <c r="D9048" s="9">
        <v>42879</v>
      </c>
      <c r="E9048" t="s">
        <v>295</v>
      </c>
      <c r="I9048" s="9"/>
    </row>
    <row r="9049" spans="1:9" x14ac:dyDescent="0.25">
      <c r="A9049">
        <v>733664</v>
      </c>
      <c r="B9049">
        <v>17.5</v>
      </c>
      <c r="C9049">
        <v>20</v>
      </c>
      <c r="D9049" s="9">
        <v>42832</v>
      </c>
      <c r="E9049" t="s">
        <v>295</v>
      </c>
      <c r="I9049" s="9"/>
    </row>
    <row r="9050" spans="1:9" x14ac:dyDescent="0.25">
      <c r="A9050">
        <v>733664</v>
      </c>
      <c r="B9050">
        <v>35</v>
      </c>
      <c r="C9050">
        <v>1</v>
      </c>
      <c r="D9050" s="9">
        <v>42752</v>
      </c>
      <c r="E9050" t="s">
        <v>295</v>
      </c>
      <c r="I9050" s="9"/>
    </row>
    <row r="9051" spans="1:9" x14ac:dyDescent="0.25">
      <c r="A9051">
        <v>733664</v>
      </c>
      <c r="B9051">
        <v>35</v>
      </c>
      <c r="C9051">
        <v>2</v>
      </c>
      <c r="D9051" s="9">
        <v>42514</v>
      </c>
      <c r="E9051" t="s">
        <v>295</v>
      </c>
      <c r="I9051" s="9"/>
    </row>
    <row r="9052" spans="1:9" x14ac:dyDescent="0.25">
      <c r="A9052">
        <v>733664</v>
      </c>
      <c r="B9052">
        <v>35</v>
      </c>
      <c r="C9052">
        <v>1</v>
      </c>
      <c r="D9052" s="9">
        <v>42317</v>
      </c>
      <c r="E9052" t="s">
        <v>295</v>
      </c>
      <c r="I9052" s="9"/>
    </row>
    <row r="9053" spans="1:9" x14ac:dyDescent="0.25">
      <c r="A9053">
        <v>733804</v>
      </c>
      <c r="B9053">
        <v>7.6</v>
      </c>
      <c r="C9053">
        <v>10</v>
      </c>
      <c r="D9053" s="9">
        <v>42836</v>
      </c>
      <c r="E9053" t="s">
        <v>295</v>
      </c>
      <c r="I9053" s="9"/>
    </row>
    <row r="9054" spans="1:9" x14ac:dyDescent="0.25">
      <c r="A9054">
        <v>733804</v>
      </c>
      <c r="B9054">
        <v>7.6</v>
      </c>
      <c r="C9054">
        <v>10</v>
      </c>
      <c r="D9054" s="9">
        <v>42832</v>
      </c>
      <c r="E9054" t="s">
        <v>295</v>
      </c>
      <c r="I9054" s="9"/>
    </row>
    <row r="9055" spans="1:9" x14ac:dyDescent="0.25">
      <c r="A9055">
        <v>733804</v>
      </c>
      <c r="B9055">
        <v>0.76</v>
      </c>
      <c r="C9055">
        <v>3</v>
      </c>
      <c r="D9055" s="9">
        <v>42808</v>
      </c>
      <c r="E9055" t="s">
        <v>295</v>
      </c>
      <c r="I9055" s="9"/>
    </row>
    <row r="9056" spans="1:9" x14ac:dyDescent="0.25">
      <c r="A9056">
        <v>733804</v>
      </c>
      <c r="B9056">
        <v>0</v>
      </c>
      <c r="C9056">
        <v>20</v>
      </c>
      <c r="D9056" s="9">
        <v>42570</v>
      </c>
      <c r="E9056" t="s">
        <v>295</v>
      </c>
      <c r="I9056" s="9"/>
    </row>
    <row r="9057" spans="1:9" x14ac:dyDescent="0.25">
      <c r="A9057">
        <v>733808</v>
      </c>
      <c r="B9057">
        <v>7.6</v>
      </c>
      <c r="C9057">
        <v>10</v>
      </c>
      <c r="D9057" s="9">
        <v>42832</v>
      </c>
      <c r="E9057" t="s">
        <v>295</v>
      </c>
      <c r="I9057" s="9"/>
    </row>
    <row r="9058" spans="1:9" x14ac:dyDescent="0.25">
      <c r="A9058">
        <v>733808</v>
      </c>
      <c r="B9058">
        <v>0.76</v>
      </c>
      <c r="C9058">
        <v>3</v>
      </c>
      <c r="D9058" s="9">
        <v>42808</v>
      </c>
      <c r="E9058" t="s">
        <v>295</v>
      </c>
      <c r="I9058" s="9"/>
    </row>
    <row r="9059" spans="1:9" x14ac:dyDescent="0.25">
      <c r="A9059">
        <v>733808</v>
      </c>
      <c r="B9059">
        <v>0</v>
      </c>
      <c r="C9059">
        <v>20</v>
      </c>
      <c r="D9059" s="9">
        <v>42570</v>
      </c>
      <c r="E9059" t="s">
        <v>295</v>
      </c>
      <c r="I9059" s="9"/>
    </row>
    <row r="9060" spans="1:9" x14ac:dyDescent="0.25">
      <c r="A9060">
        <v>733812</v>
      </c>
      <c r="B9060">
        <v>7.6</v>
      </c>
      <c r="C9060">
        <v>10</v>
      </c>
      <c r="D9060" s="9">
        <v>42832</v>
      </c>
      <c r="E9060" t="s">
        <v>295</v>
      </c>
      <c r="I9060" s="9"/>
    </row>
    <row r="9061" spans="1:9" x14ac:dyDescent="0.25">
      <c r="A9061">
        <v>733812</v>
      </c>
      <c r="B9061">
        <v>0.76</v>
      </c>
      <c r="C9061">
        <v>3</v>
      </c>
      <c r="D9061" s="9">
        <v>42808</v>
      </c>
      <c r="E9061" t="s">
        <v>295</v>
      </c>
      <c r="I9061" s="9"/>
    </row>
    <row r="9062" spans="1:9" x14ac:dyDescent="0.25">
      <c r="A9062">
        <v>733812</v>
      </c>
      <c r="B9062">
        <v>0</v>
      </c>
      <c r="C9062">
        <v>20</v>
      </c>
      <c r="D9062" s="9">
        <v>42570</v>
      </c>
      <c r="E9062" t="s">
        <v>295</v>
      </c>
      <c r="I9062" s="9"/>
    </row>
    <row r="9063" spans="1:9" x14ac:dyDescent="0.25">
      <c r="A9063">
        <v>733822</v>
      </c>
      <c r="B9063">
        <v>7.6</v>
      </c>
      <c r="C9063">
        <v>10</v>
      </c>
      <c r="D9063" s="9">
        <v>42832</v>
      </c>
      <c r="E9063" t="s">
        <v>295</v>
      </c>
      <c r="I9063" s="9"/>
    </row>
    <row r="9064" spans="1:9" x14ac:dyDescent="0.25">
      <c r="A9064">
        <v>733822</v>
      </c>
      <c r="B9064">
        <v>0.76</v>
      </c>
      <c r="C9064">
        <v>3</v>
      </c>
      <c r="D9064" s="9">
        <v>42808</v>
      </c>
      <c r="E9064" t="s">
        <v>295</v>
      </c>
      <c r="I9064" s="9"/>
    </row>
    <row r="9065" spans="1:9" x14ac:dyDescent="0.25">
      <c r="A9065">
        <v>733822</v>
      </c>
      <c r="B9065">
        <v>0</v>
      </c>
      <c r="C9065">
        <v>20</v>
      </c>
      <c r="D9065" s="9">
        <v>42570</v>
      </c>
      <c r="E9065" t="s">
        <v>295</v>
      </c>
      <c r="I9065" s="9"/>
    </row>
    <row r="9066" spans="1:9" x14ac:dyDescent="0.25">
      <c r="A9066">
        <v>733840</v>
      </c>
      <c r="B9066">
        <v>7.6</v>
      </c>
      <c r="C9066">
        <v>10</v>
      </c>
      <c r="D9066" s="9">
        <v>42832</v>
      </c>
      <c r="E9066" t="s">
        <v>295</v>
      </c>
      <c r="I9066" s="9"/>
    </row>
    <row r="9067" spans="1:9" x14ac:dyDescent="0.25">
      <c r="A9067">
        <v>733840</v>
      </c>
      <c r="B9067">
        <v>0.76</v>
      </c>
      <c r="C9067">
        <v>3</v>
      </c>
      <c r="D9067" s="9">
        <v>42808</v>
      </c>
      <c r="E9067" t="s">
        <v>295</v>
      </c>
      <c r="I9067" s="9"/>
    </row>
    <row r="9068" spans="1:9" x14ac:dyDescent="0.25">
      <c r="A9068">
        <v>733840</v>
      </c>
      <c r="B9068">
        <v>0</v>
      </c>
      <c r="C9068">
        <v>20</v>
      </c>
      <c r="D9068" s="9">
        <v>42570</v>
      </c>
      <c r="E9068" t="s">
        <v>295</v>
      </c>
      <c r="I9068" s="9"/>
    </row>
    <row r="9069" spans="1:9" x14ac:dyDescent="0.25">
      <c r="A9069">
        <v>733854</v>
      </c>
      <c r="B9069">
        <v>9.1999999999999993</v>
      </c>
      <c r="C9069">
        <v>20</v>
      </c>
      <c r="D9069" s="9">
        <v>42836</v>
      </c>
      <c r="E9069" t="s">
        <v>295</v>
      </c>
      <c r="I9069" s="9"/>
    </row>
    <row r="9070" spans="1:9" x14ac:dyDescent="0.25">
      <c r="A9070">
        <v>733854</v>
      </c>
      <c r="B9070">
        <v>9.1999999999999993</v>
      </c>
      <c r="C9070">
        <v>10</v>
      </c>
      <c r="D9070" s="9">
        <v>42832</v>
      </c>
      <c r="E9070" t="s">
        <v>295</v>
      </c>
      <c r="I9070" s="9"/>
    </row>
    <row r="9071" spans="1:9" x14ac:dyDescent="0.25">
      <c r="A9071">
        <v>733854</v>
      </c>
      <c r="B9071">
        <v>0.92</v>
      </c>
      <c r="C9071">
        <v>3</v>
      </c>
      <c r="D9071" s="9">
        <v>42808</v>
      </c>
      <c r="E9071" t="s">
        <v>295</v>
      </c>
      <c r="I9071" s="9"/>
    </row>
    <row r="9072" spans="1:9" x14ac:dyDescent="0.25">
      <c r="A9072">
        <v>733854</v>
      </c>
      <c r="B9072">
        <v>0.92</v>
      </c>
      <c r="C9072">
        <v>100</v>
      </c>
      <c r="D9072" s="9">
        <v>42752</v>
      </c>
      <c r="E9072" t="s">
        <v>295</v>
      </c>
      <c r="I9072" s="9"/>
    </row>
    <row r="9073" spans="1:9" x14ac:dyDescent="0.25">
      <c r="A9073">
        <v>733854</v>
      </c>
      <c r="B9073">
        <v>0</v>
      </c>
      <c r="C9073">
        <v>25</v>
      </c>
      <c r="D9073" s="9">
        <v>42570</v>
      </c>
      <c r="E9073" t="s">
        <v>295</v>
      </c>
      <c r="I9073" s="9"/>
    </row>
    <row r="9074" spans="1:9" x14ac:dyDescent="0.25">
      <c r="A9074">
        <v>733856</v>
      </c>
      <c r="B9074">
        <v>9.1999999999999993</v>
      </c>
      <c r="C9074">
        <v>20</v>
      </c>
      <c r="D9074" s="9">
        <v>42836</v>
      </c>
      <c r="E9074" t="s">
        <v>295</v>
      </c>
      <c r="I9074" s="9"/>
    </row>
    <row r="9075" spans="1:9" x14ac:dyDescent="0.25">
      <c r="A9075">
        <v>733856</v>
      </c>
      <c r="B9075">
        <v>9.1999999999999993</v>
      </c>
      <c r="C9075">
        <v>25</v>
      </c>
      <c r="D9075" s="9">
        <v>42832</v>
      </c>
      <c r="E9075" t="s">
        <v>295</v>
      </c>
      <c r="I9075" s="9"/>
    </row>
    <row r="9076" spans="1:9" x14ac:dyDescent="0.25">
      <c r="A9076">
        <v>733856</v>
      </c>
      <c r="B9076">
        <v>0.92</v>
      </c>
      <c r="C9076">
        <v>3</v>
      </c>
      <c r="D9076" s="9">
        <v>42808</v>
      </c>
      <c r="E9076" t="s">
        <v>295</v>
      </c>
      <c r="I9076" s="9"/>
    </row>
    <row r="9077" spans="1:9" x14ac:dyDescent="0.25">
      <c r="A9077">
        <v>733856</v>
      </c>
      <c r="B9077">
        <v>0.92</v>
      </c>
      <c r="C9077">
        <v>100</v>
      </c>
      <c r="D9077" s="9">
        <v>42752</v>
      </c>
      <c r="E9077" t="s">
        <v>295</v>
      </c>
      <c r="I9077" s="9"/>
    </row>
    <row r="9078" spans="1:9" x14ac:dyDescent="0.25">
      <c r="A9078">
        <v>733856</v>
      </c>
      <c r="B9078">
        <v>0.92</v>
      </c>
      <c r="C9078">
        <v>25</v>
      </c>
      <c r="D9078" s="9">
        <v>42570</v>
      </c>
      <c r="E9078" t="s">
        <v>295</v>
      </c>
      <c r="I9078" s="9"/>
    </row>
    <row r="9079" spans="1:9" x14ac:dyDescent="0.25">
      <c r="A9079">
        <v>733856</v>
      </c>
      <c r="B9079">
        <v>0.92</v>
      </c>
      <c r="C9079">
        <v>250</v>
      </c>
      <c r="D9079" s="9">
        <v>42452</v>
      </c>
      <c r="E9079" t="s">
        <v>295</v>
      </c>
      <c r="I9079" s="9"/>
    </row>
    <row r="9080" spans="1:9" x14ac:dyDescent="0.25">
      <c r="A9080">
        <v>733858</v>
      </c>
      <c r="B9080">
        <v>0</v>
      </c>
      <c r="C9080">
        <v>25</v>
      </c>
      <c r="D9080" s="9">
        <v>42570</v>
      </c>
      <c r="E9080" t="s">
        <v>295</v>
      </c>
      <c r="I9080" s="9"/>
    </row>
    <row r="9081" spans="1:9" x14ac:dyDescent="0.25">
      <c r="A9081">
        <v>734050</v>
      </c>
      <c r="B9081">
        <v>0.37</v>
      </c>
      <c r="C9081">
        <v>5040</v>
      </c>
      <c r="D9081" s="9">
        <v>44068</v>
      </c>
      <c r="E9081" t="s">
        <v>296</v>
      </c>
      <c r="I9081" s="9"/>
    </row>
    <row r="9082" spans="1:9" x14ac:dyDescent="0.25">
      <c r="A9082">
        <v>734050</v>
      </c>
      <c r="B9082">
        <v>0.36499999999999999</v>
      </c>
      <c r="C9082">
        <v>4800</v>
      </c>
      <c r="D9082" s="9">
        <v>43955</v>
      </c>
      <c r="E9082" t="s">
        <v>296</v>
      </c>
      <c r="I9082" s="9"/>
    </row>
    <row r="9083" spans="1:9" x14ac:dyDescent="0.25">
      <c r="A9083">
        <v>734050</v>
      </c>
      <c r="B9083">
        <v>0.36499999999999999</v>
      </c>
      <c r="C9083">
        <v>3600</v>
      </c>
      <c r="D9083" s="9">
        <v>43760</v>
      </c>
      <c r="E9083" t="s">
        <v>296</v>
      </c>
      <c r="I9083" s="9"/>
    </row>
    <row r="9084" spans="1:9" x14ac:dyDescent="0.25">
      <c r="A9084">
        <v>734050</v>
      </c>
      <c r="B9084">
        <v>0.375</v>
      </c>
      <c r="C9084">
        <v>2880</v>
      </c>
      <c r="D9084" s="9">
        <v>43605</v>
      </c>
      <c r="E9084" t="s">
        <v>296</v>
      </c>
      <c r="I9084" s="9"/>
    </row>
    <row r="9085" spans="1:9" x14ac:dyDescent="0.25">
      <c r="A9085">
        <v>734050</v>
      </c>
      <c r="B9085">
        <v>0.375</v>
      </c>
      <c r="C9085">
        <v>3600</v>
      </c>
      <c r="D9085" s="9">
        <v>43592</v>
      </c>
      <c r="E9085" t="s">
        <v>296</v>
      </c>
      <c r="I9085" s="9"/>
    </row>
    <row r="9086" spans="1:9" x14ac:dyDescent="0.25">
      <c r="A9086">
        <v>734050</v>
      </c>
      <c r="B9086">
        <v>0.375</v>
      </c>
      <c r="C9086">
        <v>3600</v>
      </c>
      <c r="D9086" s="9">
        <v>43489</v>
      </c>
      <c r="E9086" t="s">
        <v>296</v>
      </c>
      <c r="I9086" s="9"/>
    </row>
    <row r="9087" spans="1:9" x14ac:dyDescent="0.25">
      <c r="A9087">
        <v>734050</v>
      </c>
      <c r="B9087">
        <v>0.375</v>
      </c>
      <c r="C9087">
        <v>4800</v>
      </c>
      <c r="D9087" s="9">
        <v>43284</v>
      </c>
      <c r="E9087" t="s">
        <v>296</v>
      </c>
      <c r="I9087" s="9"/>
    </row>
    <row r="9088" spans="1:9" x14ac:dyDescent="0.25">
      <c r="A9088">
        <v>734050</v>
      </c>
      <c r="B9088">
        <v>1.4</v>
      </c>
      <c r="C9088">
        <v>2400</v>
      </c>
      <c r="D9088" s="9">
        <v>43263</v>
      </c>
      <c r="E9088" t="s">
        <v>295</v>
      </c>
      <c r="I9088" s="9"/>
    </row>
    <row r="9089" spans="1:9" x14ac:dyDescent="0.25">
      <c r="A9089">
        <v>734050</v>
      </c>
      <c r="B9089">
        <v>0.36499999999999999</v>
      </c>
      <c r="C9089">
        <v>4800</v>
      </c>
      <c r="D9089" s="9">
        <v>43228</v>
      </c>
      <c r="E9089" t="s">
        <v>296</v>
      </c>
      <c r="I9089" s="9"/>
    </row>
    <row r="9090" spans="1:9" x14ac:dyDescent="0.25">
      <c r="A9090">
        <v>734050</v>
      </c>
      <c r="B9090">
        <v>1.52</v>
      </c>
      <c r="C9090">
        <v>1200</v>
      </c>
      <c r="D9090" s="9">
        <v>43143</v>
      </c>
      <c r="E9090" t="s">
        <v>295</v>
      </c>
      <c r="I9090" s="9"/>
    </row>
    <row r="9091" spans="1:9" x14ac:dyDescent="0.25">
      <c r="A9091">
        <v>734050</v>
      </c>
      <c r="B9091">
        <v>0.36499999999999999</v>
      </c>
      <c r="C9091">
        <v>3000</v>
      </c>
      <c r="D9091" s="9">
        <v>43116</v>
      </c>
      <c r="E9091" t="s">
        <v>296</v>
      </c>
      <c r="I9091" s="9"/>
    </row>
    <row r="9092" spans="1:9" x14ac:dyDescent="0.25">
      <c r="A9092">
        <v>734050</v>
      </c>
      <c r="B9092">
        <v>0.36499999999999999</v>
      </c>
      <c r="C9092">
        <v>4800</v>
      </c>
      <c r="D9092" s="9">
        <v>42976</v>
      </c>
      <c r="E9092" t="s">
        <v>296</v>
      </c>
      <c r="I9092" s="9"/>
    </row>
    <row r="9093" spans="1:9" x14ac:dyDescent="0.25">
      <c r="A9093">
        <v>734050</v>
      </c>
      <c r="B9093">
        <v>0.36499999999999999</v>
      </c>
      <c r="C9093">
        <v>3600</v>
      </c>
      <c r="D9093" s="9">
        <v>42873</v>
      </c>
      <c r="E9093" t="s">
        <v>296</v>
      </c>
      <c r="I9093" s="9"/>
    </row>
    <row r="9094" spans="1:9" x14ac:dyDescent="0.25">
      <c r="A9094">
        <v>734050</v>
      </c>
      <c r="B9094">
        <v>0.36499999999999999</v>
      </c>
      <c r="C9094">
        <v>4320</v>
      </c>
      <c r="D9094" s="9">
        <v>42781</v>
      </c>
      <c r="E9094" t="s">
        <v>296</v>
      </c>
      <c r="I9094" s="9"/>
    </row>
    <row r="9095" spans="1:9" x14ac:dyDescent="0.25">
      <c r="A9095">
        <v>734050</v>
      </c>
      <c r="B9095">
        <v>0.38</v>
      </c>
      <c r="C9095">
        <v>3600</v>
      </c>
      <c r="D9095" s="9">
        <v>42656</v>
      </c>
      <c r="E9095" t="s">
        <v>296</v>
      </c>
      <c r="I9095" s="9"/>
    </row>
    <row r="9096" spans="1:9" x14ac:dyDescent="0.25">
      <c r="A9096">
        <v>734050</v>
      </c>
      <c r="B9096">
        <v>0.38</v>
      </c>
      <c r="C9096">
        <v>2400</v>
      </c>
      <c r="D9096" s="9">
        <v>42573</v>
      </c>
      <c r="E9096" t="s">
        <v>296</v>
      </c>
      <c r="I9096" s="9"/>
    </row>
    <row r="9097" spans="1:9" x14ac:dyDescent="0.25">
      <c r="A9097">
        <v>734050</v>
      </c>
      <c r="B9097">
        <v>0.41499999999999998</v>
      </c>
      <c r="C9097">
        <v>3600</v>
      </c>
      <c r="D9097" s="9">
        <v>42494</v>
      </c>
      <c r="E9097" t="s">
        <v>296</v>
      </c>
      <c r="I9097" s="9"/>
    </row>
    <row r="9098" spans="1:9" x14ac:dyDescent="0.25">
      <c r="A9098">
        <v>734050</v>
      </c>
      <c r="B9098">
        <v>0.41499999999999998</v>
      </c>
      <c r="C9098">
        <v>3600</v>
      </c>
      <c r="D9098" s="9">
        <v>42299</v>
      </c>
      <c r="E9098" t="s">
        <v>296</v>
      </c>
      <c r="I9098" s="9"/>
    </row>
    <row r="9099" spans="1:9" x14ac:dyDescent="0.25">
      <c r="A9099">
        <v>734050</v>
      </c>
      <c r="B9099">
        <v>0.42</v>
      </c>
      <c r="C9099">
        <v>3600</v>
      </c>
      <c r="D9099" s="9">
        <v>42191</v>
      </c>
      <c r="E9099" t="s">
        <v>296</v>
      </c>
      <c r="I9099" s="9"/>
    </row>
    <row r="9100" spans="1:9" x14ac:dyDescent="0.25">
      <c r="A9100">
        <v>734050</v>
      </c>
      <c r="B9100">
        <v>0.42</v>
      </c>
      <c r="C9100">
        <v>4800</v>
      </c>
      <c r="D9100" s="9">
        <v>41947</v>
      </c>
      <c r="E9100" t="s">
        <v>296</v>
      </c>
      <c r="I9100" s="9"/>
    </row>
    <row r="9101" spans="1:9" x14ac:dyDescent="0.25">
      <c r="A9101">
        <v>734050</v>
      </c>
      <c r="B9101">
        <v>0.42</v>
      </c>
      <c r="C9101">
        <v>4800</v>
      </c>
      <c r="D9101" s="9">
        <v>41947</v>
      </c>
      <c r="E9101" t="s">
        <v>296</v>
      </c>
      <c r="I9101" s="9"/>
    </row>
    <row r="9102" spans="1:9" x14ac:dyDescent="0.25">
      <c r="A9102">
        <v>734050</v>
      </c>
      <c r="B9102">
        <v>0.42</v>
      </c>
      <c r="C9102">
        <v>4800</v>
      </c>
      <c r="D9102" s="9">
        <v>41789</v>
      </c>
      <c r="E9102" t="s">
        <v>296</v>
      </c>
      <c r="I9102" s="9"/>
    </row>
    <row r="9103" spans="1:9" x14ac:dyDescent="0.25">
      <c r="A9103">
        <v>734050</v>
      </c>
      <c r="B9103">
        <v>0.42</v>
      </c>
      <c r="C9103">
        <v>3600</v>
      </c>
      <c r="D9103" s="9">
        <v>41718</v>
      </c>
      <c r="E9103" t="s">
        <v>296</v>
      </c>
      <c r="I9103" s="9"/>
    </row>
    <row r="9104" spans="1:9" x14ac:dyDescent="0.25">
      <c r="A9104">
        <v>734050</v>
      </c>
      <c r="B9104">
        <v>0.42</v>
      </c>
      <c r="C9104">
        <v>4320</v>
      </c>
      <c r="D9104" s="9">
        <v>41571</v>
      </c>
      <c r="E9104" t="s">
        <v>296</v>
      </c>
      <c r="I9104" s="9"/>
    </row>
    <row r="9105" spans="1:9" x14ac:dyDescent="0.25">
      <c r="A9105">
        <v>734050</v>
      </c>
      <c r="B9105">
        <v>0.42</v>
      </c>
      <c r="C9105">
        <v>3120</v>
      </c>
      <c r="D9105" s="9">
        <v>41484</v>
      </c>
      <c r="E9105" t="s">
        <v>296</v>
      </c>
      <c r="I9105" s="9"/>
    </row>
    <row r="9106" spans="1:9" x14ac:dyDescent="0.25">
      <c r="A9106">
        <v>734050</v>
      </c>
      <c r="B9106">
        <v>0.42</v>
      </c>
      <c r="C9106">
        <v>2880</v>
      </c>
      <c r="D9106" s="9">
        <v>41375</v>
      </c>
      <c r="E9106" t="s">
        <v>296</v>
      </c>
      <c r="I9106" s="9"/>
    </row>
    <row r="9107" spans="1:9" x14ac:dyDescent="0.25">
      <c r="A9107">
        <v>734050</v>
      </c>
      <c r="B9107">
        <v>0.42</v>
      </c>
      <c r="C9107">
        <v>2880</v>
      </c>
      <c r="D9107" s="9">
        <v>41281</v>
      </c>
      <c r="E9107" t="s">
        <v>296</v>
      </c>
      <c r="I9107" s="9"/>
    </row>
    <row r="9108" spans="1:9" x14ac:dyDescent="0.25">
      <c r="A9108">
        <v>734059</v>
      </c>
      <c r="B9108">
        <v>0.62</v>
      </c>
      <c r="C9108">
        <v>1920</v>
      </c>
      <c r="D9108" s="9">
        <v>44097</v>
      </c>
      <c r="E9108" t="s">
        <v>296</v>
      </c>
      <c r="I9108" s="9"/>
    </row>
    <row r="9109" spans="1:9" x14ac:dyDescent="0.25">
      <c r="A9109">
        <v>734059</v>
      </c>
      <c r="B9109">
        <v>0.62</v>
      </c>
      <c r="C9109">
        <v>1440</v>
      </c>
      <c r="D9109" s="9">
        <v>44039</v>
      </c>
      <c r="E9109" t="s">
        <v>296</v>
      </c>
      <c r="I9109" s="9"/>
    </row>
    <row r="9110" spans="1:9" x14ac:dyDescent="0.25">
      <c r="A9110">
        <v>734059</v>
      </c>
      <c r="B9110">
        <v>0.6</v>
      </c>
      <c r="C9110">
        <v>1200</v>
      </c>
      <c r="D9110" s="9">
        <v>43760</v>
      </c>
      <c r="E9110" t="s">
        <v>296</v>
      </c>
      <c r="I9110" s="9"/>
    </row>
    <row r="9111" spans="1:9" x14ac:dyDescent="0.25">
      <c r="A9111">
        <v>734059</v>
      </c>
      <c r="B9111">
        <v>0.62</v>
      </c>
      <c r="C9111">
        <v>1440</v>
      </c>
      <c r="D9111" s="9">
        <v>43592</v>
      </c>
      <c r="E9111" t="s">
        <v>296</v>
      </c>
      <c r="I9111" s="9"/>
    </row>
    <row r="9112" spans="1:9" x14ac:dyDescent="0.25">
      <c r="A9112">
        <v>734059</v>
      </c>
      <c r="B9112">
        <v>0.62</v>
      </c>
      <c r="C9112">
        <v>1200</v>
      </c>
      <c r="D9112" s="9">
        <v>43489</v>
      </c>
      <c r="E9112" t="s">
        <v>296</v>
      </c>
      <c r="I9112" s="9"/>
    </row>
    <row r="9113" spans="1:9" x14ac:dyDescent="0.25">
      <c r="A9113">
        <v>734059</v>
      </c>
      <c r="B9113">
        <v>0.62</v>
      </c>
      <c r="C9113">
        <v>1200</v>
      </c>
      <c r="D9113" s="9">
        <v>43409</v>
      </c>
      <c r="E9113" t="s">
        <v>296</v>
      </c>
      <c r="I9113" s="9"/>
    </row>
    <row r="9114" spans="1:9" x14ac:dyDescent="0.25">
      <c r="A9114">
        <v>734059</v>
      </c>
      <c r="B9114">
        <v>0.62</v>
      </c>
      <c r="C9114">
        <v>1920</v>
      </c>
      <c r="D9114" s="9">
        <v>43039</v>
      </c>
      <c r="E9114" t="s">
        <v>296</v>
      </c>
      <c r="I9114" s="9"/>
    </row>
    <row r="9115" spans="1:9" x14ac:dyDescent="0.25">
      <c r="A9115">
        <v>734059</v>
      </c>
      <c r="B9115">
        <v>0.55000000000000004</v>
      </c>
      <c r="C9115">
        <v>1920</v>
      </c>
      <c r="D9115" s="9">
        <v>42836</v>
      </c>
      <c r="E9115" t="s">
        <v>296</v>
      </c>
      <c r="I9115" s="9"/>
    </row>
    <row r="9116" spans="1:9" x14ac:dyDescent="0.25">
      <c r="A9116">
        <v>734059</v>
      </c>
      <c r="B9116">
        <v>0.56999999999999995</v>
      </c>
      <c r="C9116">
        <v>600</v>
      </c>
      <c r="D9116" s="9">
        <v>42573</v>
      </c>
      <c r="E9116" t="s">
        <v>296</v>
      </c>
      <c r="I9116" s="9"/>
    </row>
    <row r="9117" spans="1:9" x14ac:dyDescent="0.25">
      <c r="A9117">
        <v>734059</v>
      </c>
      <c r="B9117">
        <v>0.56999999999999995</v>
      </c>
      <c r="C9117">
        <v>1200</v>
      </c>
      <c r="D9117" s="9">
        <v>42530</v>
      </c>
      <c r="E9117" t="s">
        <v>296</v>
      </c>
      <c r="I9117" s="9"/>
    </row>
    <row r="9118" spans="1:9" x14ac:dyDescent="0.25">
      <c r="A9118">
        <v>734059</v>
      </c>
      <c r="B9118">
        <v>0.625</v>
      </c>
      <c r="C9118">
        <v>1200</v>
      </c>
      <c r="D9118" s="9">
        <v>42299</v>
      </c>
      <c r="E9118" t="s">
        <v>296</v>
      </c>
      <c r="I9118" s="9"/>
    </row>
    <row r="9119" spans="1:9" x14ac:dyDescent="0.25">
      <c r="A9119">
        <v>734059</v>
      </c>
      <c r="B9119">
        <v>0.63</v>
      </c>
      <c r="C9119">
        <v>1920</v>
      </c>
      <c r="D9119" s="9">
        <v>41571</v>
      </c>
      <c r="E9119" t="s">
        <v>296</v>
      </c>
      <c r="I9119" s="9"/>
    </row>
    <row r="9120" spans="1:9" x14ac:dyDescent="0.25">
      <c r="A9120">
        <v>734059</v>
      </c>
      <c r="B9120">
        <v>0.625</v>
      </c>
      <c r="C9120">
        <v>960</v>
      </c>
      <c r="D9120" s="9">
        <v>41281</v>
      </c>
      <c r="E9120" t="s">
        <v>296</v>
      </c>
      <c r="I9120" s="9"/>
    </row>
    <row r="9121" spans="1:9" x14ac:dyDescent="0.25">
      <c r="A9121">
        <v>734061</v>
      </c>
      <c r="B9121">
        <v>4.71</v>
      </c>
      <c r="C9121">
        <v>240</v>
      </c>
      <c r="D9121" s="9">
        <v>44102</v>
      </c>
      <c r="E9121" t="s">
        <v>296</v>
      </c>
      <c r="I9121" s="9"/>
    </row>
    <row r="9122" spans="1:9" x14ac:dyDescent="0.25">
      <c r="A9122">
        <v>734100</v>
      </c>
      <c r="B9122">
        <v>3.65</v>
      </c>
      <c r="C9122">
        <v>250</v>
      </c>
      <c r="D9122" s="9">
        <v>44133</v>
      </c>
      <c r="E9122" t="s">
        <v>296</v>
      </c>
      <c r="I9122" s="9"/>
    </row>
    <row r="9123" spans="1:9" x14ac:dyDescent="0.25">
      <c r="A9123">
        <v>734100</v>
      </c>
      <c r="B9123">
        <v>3.5</v>
      </c>
      <c r="C9123">
        <v>200</v>
      </c>
      <c r="D9123" s="9">
        <v>43955</v>
      </c>
      <c r="E9123" t="s">
        <v>296</v>
      </c>
      <c r="I9123" s="9"/>
    </row>
    <row r="9124" spans="1:9" x14ac:dyDescent="0.25">
      <c r="A9124">
        <v>734100</v>
      </c>
      <c r="B9124">
        <v>3.5</v>
      </c>
      <c r="C9124">
        <v>200</v>
      </c>
      <c r="D9124" s="9">
        <v>43760</v>
      </c>
      <c r="E9124" t="s">
        <v>296</v>
      </c>
      <c r="I9124" s="9"/>
    </row>
    <row r="9125" spans="1:9" x14ac:dyDescent="0.25">
      <c r="A9125">
        <v>734100</v>
      </c>
      <c r="B9125">
        <v>13.12</v>
      </c>
      <c r="C9125">
        <v>250</v>
      </c>
      <c r="D9125" s="9">
        <v>43263</v>
      </c>
      <c r="E9125" t="s">
        <v>295</v>
      </c>
      <c r="I9125" s="9"/>
    </row>
    <row r="9126" spans="1:9" x14ac:dyDescent="0.25">
      <c r="A9126">
        <v>734100</v>
      </c>
      <c r="B9126">
        <v>3.5</v>
      </c>
      <c r="C9126">
        <v>250</v>
      </c>
      <c r="D9126" s="9">
        <v>43228</v>
      </c>
      <c r="E9126" t="s">
        <v>296</v>
      </c>
      <c r="I9126" s="9"/>
    </row>
    <row r="9127" spans="1:9" x14ac:dyDescent="0.25">
      <c r="A9127">
        <v>734100</v>
      </c>
      <c r="B9127">
        <v>3.5</v>
      </c>
      <c r="C9127">
        <v>600</v>
      </c>
      <c r="D9127" s="9">
        <v>42781</v>
      </c>
      <c r="E9127" t="s">
        <v>296</v>
      </c>
      <c r="I9127" s="9"/>
    </row>
    <row r="9128" spans="1:9" x14ac:dyDescent="0.25">
      <c r="A9128">
        <v>734100</v>
      </c>
      <c r="B9128">
        <v>3.5</v>
      </c>
      <c r="C9128">
        <v>400</v>
      </c>
      <c r="D9128" s="9">
        <v>42617</v>
      </c>
      <c r="E9128" t="s">
        <v>296</v>
      </c>
      <c r="I9128" s="9"/>
    </row>
    <row r="9129" spans="1:9" x14ac:dyDescent="0.25">
      <c r="A9129">
        <v>734100</v>
      </c>
      <c r="B9129">
        <v>3.65</v>
      </c>
      <c r="C9129">
        <v>300</v>
      </c>
      <c r="D9129" s="9">
        <v>42494</v>
      </c>
      <c r="E9129" t="s">
        <v>296</v>
      </c>
      <c r="I9129" s="9"/>
    </row>
    <row r="9130" spans="1:9" x14ac:dyDescent="0.25">
      <c r="A9130">
        <v>734100</v>
      </c>
      <c r="B9130">
        <v>3.65</v>
      </c>
      <c r="C9130">
        <v>300</v>
      </c>
      <c r="D9130" s="9">
        <v>42270</v>
      </c>
      <c r="E9130" t="s">
        <v>296</v>
      </c>
      <c r="I9130" s="9"/>
    </row>
    <row r="9131" spans="1:9" x14ac:dyDescent="0.25">
      <c r="A9131">
        <v>734100</v>
      </c>
      <c r="B9131">
        <v>3.65</v>
      </c>
      <c r="C9131">
        <v>700</v>
      </c>
      <c r="D9131" s="9">
        <v>41718</v>
      </c>
      <c r="E9131" t="s">
        <v>296</v>
      </c>
      <c r="I9131" s="9"/>
    </row>
    <row r="9132" spans="1:9" x14ac:dyDescent="0.25">
      <c r="A9132">
        <v>734100</v>
      </c>
      <c r="B9132">
        <v>3.65</v>
      </c>
      <c r="C9132">
        <v>700</v>
      </c>
      <c r="D9132" s="9">
        <v>41618</v>
      </c>
      <c r="E9132" t="s">
        <v>296</v>
      </c>
      <c r="I9132" s="9"/>
    </row>
    <row r="9133" spans="1:9" x14ac:dyDescent="0.25">
      <c r="A9133">
        <v>734120</v>
      </c>
      <c r="B9133">
        <v>7.95</v>
      </c>
      <c r="C9133">
        <v>140</v>
      </c>
      <c r="D9133" s="9">
        <v>42912</v>
      </c>
      <c r="E9133" t="s">
        <v>296</v>
      </c>
      <c r="I9133" s="9"/>
    </row>
    <row r="9134" spans="1:9" x14ac:dyDescent="0.25">
      <c r="A9134">
        <v>734120</v>
      </c>
      <c r="B9134">
        <v>7.95</v>
      </c>
      <c r="C9134">
        <v>140</v>
      </c>
      <c r="D9134" s="9">
        <v>42655</v>
      </c>
      <c r="E9134" t="s">
        <v>296</v>
      </c>
      <c r="I9134" s="9"/>
    </row>
    <row r="9135" spans="1:9" x14ac:dyDescent="0.25">
      <c r="A9135">
        <v>734120</v>
      </c>
      <c r="B9135">
        <v>7.95</v>
      </c>
      <c r="C9135">
        <v>140</v>
      </c>
      <c r="D9135" s="9">
        <v>42655</v>
      </c>
      <c r="E9135" t="s">
        <v>296</v>
      </c>
      <c r="I9135" s="9"/>
    </row>
    <row r="9136" spans="1:9" x14ac:dyDescent="0.25">
      <c r="A9136">
        <v>734120</v>
      </c>
      <c r="B9136">
        <v>7.95</v>
      </c>
      <c r="C9136">
        <v>140</v>
      </c>
      <c r="D9136" s="9">
        <v>42655</v>
      </c>
      <c r="E9136" t="s">
        <v>296</v>
      </c>
      <c r="I9136" s="9"/>
    </row>
    <row r="9137" spans="1:9" x14ac:dyDescent="0.25">
      <c r="A9137">
        <v>734120</v>
      </c>
      <c r="B9137">
        <v>7.95</v>
      </c>
      <c r="C9137">
        <v>140</v>
      </c>
      <c r="D9137" s="9">
        <v>42655</v>
      </c>
      <c r="E9137" t="s">
        <v>296</v>
      </c>
      <c r="I9137" s="9"/>
    </row>
    <row r="9138" spans="1:9" x14ac:dyDescent="0.25">
      <c r="A9138">
        <v>734120</v>
      </c>
      <c r="B9138">
        <v>7.98</v>
      </c>
      <c r="C9138">
        <v>100</v>
      </c>
      <c r="D9138" s="9">
        <v>42325</v>
      </c>
      <c r="E9138" t="s">
        <v>296</v>
      </c>
      <c r="I9138" s="9"/>
    </row>
    <row r="9139" spans="1:9" x14ac:dyDescent="0.25">
      <c r="A9139">
        <v>734120</v>
      </c>
      <c r="B9139">
        <v>8.34</v>
      </c>
      <c r="C9139">
        <v>100</v>
      </c>
      <c r="D9139" s="9">
        <v>41934</v>
      </c>
      <c r="E9139" t="s">
        <v>296</v>
      </c>
      <c r="I9139" s="9"/>
    </row>
    <row r="9140" spans="1:9" x14ac:dyDescent="0.25">
      <c r="A9140">
        <v>734125</v>
      </c>
      <c r="B9140">
        <v>10.37</v>
      </c>
      <c r="C9140">
        <v>100</v>
      </c>
      <c r="D9140" s="9">
        <v>41934</v>
      </c>
      <c r="E9140" t="s">
        <v>296</v>
      </c>
      <c r="I9140" s="9"/>
    </row>
    <row r="9141" spans="1:9" x14ac:dyDescent="0.25">
      <c r="A9141">
        <v>734209</v>
      </c>
      <c r="B9141">
        <v>12.6</v>
      </c>
      <c r="C9141">
        <v>300</v>
      </c>
      <c r="D9141" s="9">
        <v>42864</v>
      </c>
      <c r="E9141" t="s">
        <v>296</v>
      </c>
      <c r="I9141" s="9"/>
    </row>
    <row r="9142" spans="1:9" x14ac:dyDescent="0.25">
      <c r="A9142">
        <v>734209</v>
      </c>
      <c r="B9142">
        <v>62.6</v>
      </c>
      <c r="C9142">
        <v>35</v>
      </c>
      <c r="D9142" s="9">
        <v>42863</v>
      </c>
      <c r="E9142" t="s">
        <v>295</v>
      </c>
      <c r="I9142" s="9"/>
    </row>
    <row r="9143" spans="1:9" x14ac:dyDescent="0.25">
      <c r="A9143">
        <v>734209</v>
      </c>
      <c r="B9143">
        <v>12.6</v>
      </c>
      <c r="C9143">
        <v>150</v>
      </c>
      <c r="D9143" s="9">
        <v>42325</v>
      </c>
      <c r="E9143" t="s">
        <v>296</v>
      </c>
      <c r="I9143" s="9"/>
    </row>
    <row r="9144" spans="1:9" x14ac:dyDescent="0.25">
      <c r="A9144">
        <v>734222</v>
      </c>
      <c r="B9144">
        <v>20.5</v>
      </c>
      <c r="C9144">
        <v>240</v>
      </c>
      <c r="D9144" s="9">
        <v>42912</v>
      </c>
      <c r="E9144" t="s">
        <v>296</v>
      </c>
      <c r="I9144" s="9"/>
    </row>
    <row r="9145" spans="1:9" x14ac:dyDescent="0.25">
      <c r="A9145">
        <v>734222</v>
      </c>
      <c r="B9145">
        <v>20.149999999999999</v>
      </c>
      <c r="C9145">
        <v>300</v>
      </c>
      <c r="D9145" s="9">
        <v>42748</v>
      </c>
      <c r="E9145" t="s">
        <v>296</v>
      </c>
      <c r="I9145" s="9"/>
    </row>
    <row r="9146" spans="1:9" x14ac:dyDescent="0.25">
      <c r="A9146">
        <v>734222</v>
      </c>
      <c r="B9146">
        <v>20</v>
      </c>
      <c r="C9146">
        <v>144</v>
      </c>
      <c r="D9146" s="9">
        <v>42655</v>
      </c>
      <c r="E9146" t="s">
        <v>296</v>
      </c>
      <c r="I9146" s="9"/>
    </row>
    <row r="9147" spans="1:9" x14ac:dyDescent="0.25">
      <c r="A9147">
        <v>734222</v>
      </c>
      <c r="B9147">
        <v>20</v>
      </c>
      <c r="C9147">
        <v>144</v>
      </c>
      <c r="D9147" s="9">
        <v>42655</v>
      </c>
      <c r="E9147" t="s">
        <v>296</v>
      </c>
      <c r="I9147" s="9"/>
    </row>
    <row r="9148" spans="1:9" x14ac:dyDescent="0.25">
      <c r="A9148">
        <v>734222</v>
      </c>
      <c r="B9148">
        <v>20.2</v>
      </c>
      <c r="C9148">
        <v>150</v>
      </c>
      <c r="D9148" s="9">
        <v>42325</v>
      </c>
      <c r="E9148" t="s">
        <v>296</v>
      </c>
      <c r="I9148" s="9"/>
    </row>
    <row r="9149" spans="1:9" x14ac:dyDescent="0.25">
      <c r="A9149">
        <v>735011</v>
      </c>
      <c r="B9149">
        <v>0.151</v>
      </c>
      <c r="C9149">
        <v>3200</v>
      </c>
      <c r="D9149" s="9">
        <v>44070</v>
      </c>
      <c r="E9149" t="s">
        <v>296</v>
      </c>
      <c r="I9149" s="9"/>
    </row>
    <row r="9150" spans="1:9" x14ac:dyDescent="0.25">
      <c r="A9150">
        <v>735011</v>
      </c>
      <c r="B9150">
        <v>0.18</v>
      </c>
      <c r="C9150">
        <v>2000</v>
      </c>
      <c r="D9150" s="9">
        <v>43992</v>
      </c>
      <c r="E9150" t="s">
        <v>296</v>
      </c>
      <c r="I9150" s="9"/>
    </row>
    <row r="9151" spans="1:9" x14ac:dyDescent="0.25">
      <c r="A9151">
        <v>735011</v>
      </c>
      <c r="B9151">
        <v>0.18</v>
      </c>
      <c r="C9151">
        <v>2000</v>
      </c>
      <c r="D9151" s="9">
        <v>43910</v>
      </c>
      <c r="E9151" t="s">
        <v>296</v>
      </c>
      <c r="I9151" s="9"/>
    </row>
    <row r="9152" spans="1:9" x14ac:dyDescent="0.25">
      <c r="A9152">
        <v>735011</v>
      </c>
      <c r="B9152">
        <v>0.18</v>
      </c>
      <c r="C9152">
        <v>2000</v>
      </c>
      <c r="D9152" s="9">
        <v>43839</v>
      </c>
      <c r="E9152" t="s">
        <v>296</v>
      </c>
      <c r="I9152" s="9"/>
    </row>
    <row r="9153" spans="1:9" x14ac:dyDescent="0.25">
      <c r="A9153">
        <v>735011</v>
      </c>
      <c r="B9153">
        <v>0.18099999999999999</v>
      </c>
      <c r="C9153">
        <v>4800</v>
      </c>
      <c r="D9153" s="9">
        <v>43340</v>
      </c>
      <c r="E9153" t="s">
        <v>296</v>
      </c>
      <c r="I9153" s="9"/>
    </row>
    <row r="9154" spans="1:9" x14ac:dyDescent="0.25">
      <c r="A9154">
        <v>735011</v>
      </c>
      <c r="B9154">
        <v>0.17199999999999999</v>
      </c>
      <c r="C9154">
        <v>6400</v>
      </c>
      <c r="D9154" s="9">
        <v>42919</v>
      </c>
      <c r="E9154" t="s">
        <v>296</v>
      </c>
      <c r="I9154" s="9"/>
    </row>
    <row r="9155" spans="1:9" x14ac:dyDescent="0.25">
      <c r="A9155">
        <v>735011</v>
      </c>
      <c r="B9155">
        <v>0.17499999999999999</v>
      </c>
      <c r="C9155">
        <v>10000</v>
      </c>
      <c r="D9155" s="9">
        <v>42520</v>
      </c>
      <c r="E9155" t="s">
        <v>297</v>
      </c>
      <c r="I9155" s="9"/>
    </row>
    <row r="9156" spans="1:9" x14ac:dyDescent="0.25">
      <c r="A9156">
        <v>735011</v>
      </c>
      <c r="B9156">
        <v>0.184</v>
      </c>
      <c r="C9156">
        <v>10000</v>
      </c>
      <c r="D9156" s="9">
        <v>41961</v>
      </c>
      <c r="E9156" t="s">
        <v>296</v>
      </c>
      <c r="I9156" s="9"/>
    </row>
    <row r="9157" spans="1:9" x14ac:dyDescent="0.25">
      <c r="A9157">
        <v>735011</v>
      </c>
      <c r="B9157">
        <v>0.184</v>
      </c>
      <c r="C9157">
        <v>10000</v>
      </c>
      <c r="D9157" s="9">
        <v>41912</v>
      </c>
      <c r="E9157" t="s">
        <v>296</v>
      </c>
      <c r="I9157" s="9"/>
    </row>
    <row r="9158" spans="1:9" x14ac:dyDescent="0.25">
      <c r="A9158">
        <v>735011</v>
      </c>
      <c r="B9158">
        <v>0.184</v>
      </c>
      <c r="C9158">
        <v>10000</v>
      </c>
      <c r="D9158" s="9">
        <v>41865</v>
      </c>
      <c r="E9158" t="s">
        <v>296</v>
      </c>
      <c r="I9158" s="9"/>
    </row>
    <row r="9159" spans="1:9" x14ac:dyDescent="0.25">
      <c r="A9159">
        <v>735011</v>
      </c>
      <c r="B9159">
        <v>0.184</v>
      </c>
      <c r="C9159">
        <v>10000</v>
      </c>
      <c r="D9159" s="9">
        <v>41865</v>
      </c>
      <c r="E9159" t="s">
        <v>296</v>
      </c>
      <c r="I9159" s="9"/>
    </row>
    <row r="9160" spans="1:9" x14ac:dyDescent="0.25">
      <c r="A9160">
        <v>735011</v>
      </c>
      <c r="B9160">
        <v>0.184</v>
      </c>
      <c r="C9160">
        <v>10000</v>
      </c>
      <c r="D9160" s="9">
        <v>41821</v>
      </c>
      <c r="E9160" t="s">
        <v>296</v>
      </c>
      <c r="I9160" s="9"/>
    </row>
    <row r="9161" spans="1:9" x14ac:dyDescent="0.25">
      <c r="A9161">
        <v>735011</v>
      </c>
      <c r="B9161">
        <v>0.56999999999999995</v>
      </c>
      <c r="C9161">
        <v>10000</v>
      </c>
      <c r="D9161" s="9">
        <v>41821</v>
      </c>
      <c r="E9161" t="s">
        <v>295</v>
      </c>
      <c r="I9161" s="9"/>
    </row>
    <row r="9162" spans="1:9" x14ac:dyDescent="0.25">
      <c r="A9162">
        <v>735011</v>
      </c>
      <c r="B9162">
        <v>0.17899999999999999</v>
      </c>
      <c r="C9162">
        <v>10000</v>
      </c>
      <c r="D9162" s="9">
        <v>41744</v>
      </c>
      <c r="E9162" t="s">
        <v>296</v>
      </c>
      <c r="I9162" s="9"/>
    </row>
    <row r="9163" spans="1:9" x14ac:dyDescent="0.25">
      <c r="A9163">
        <v>735011</v>
      </c>
      <c r="B9163">
        <v>0.17899999999999999</v>
      </c>
      <c r="C9163">
        <v>3200</v>
      </c>
      <c r="D9163" s="9">
        <v>41682</v>
      </c>
      <c r="E9163" t="s">
        <v>296</v>
      </c>
      <c r="I9163" s="9"/>
    </row>
    <row r="9164" spans="1:9" x14ac:dyDescent="0.25">
      <c r="A9164">
        <v>735011</v>
      </c>
      <c r="B9164">
        <v>0.17399999999999999</v>
      </c>
      <c r="C9164">
        <v>8000</v>
      </c>
      <c r="D9164" s="9">
        <v>41535</v>
      </c>
      <c r="E9164" t="s">
        <v>296</v>
      </c>
      <c r="I9164" s="9"/>
    </row>
    <row r="9165" spans="1:9" x14ac:dyDescent="0.25">
      <c r="A9165">
        <v>735011</v>
      </c>
      <c r="B9165">
        <v>0.17399999999999999</v>
      </c>
      <c r="C9165">
        <v>8000</v>
      </c>
      <c r="D9165" s="9">
        <v>41418</v>
      </c>
      <c r="E9165" t="s">
        <v>296</v>
      </c>
      <c r="I9165" s="9"/>
    </row>
    <row r="9166" spans="1:9" x14ac:dyDescent="0.25">
      <c r="A9166">
        <v>735011</v>
      </c>
      <c r="B9166">
        <v>0.17399999999999999</v>
      </c>
      <c r="C9166">
        <v>7200</v>
      </c>
      <c r="D9166" s="9">
        <v>41295</v>
      </c>
      <c r="E9166" t="s">
        <v>296</v>
      </c>
      <c r="I9166" s="9"/>
    </row>
    <row r="9167" spans="1:9" x14ac:dyDescent="0.25">
      <c r="A9167">
        <v>735056</v>
      </c>
      <c r="B9167">
        <v>0.19</v>
      </c>
      <c r="C9167">
        <v>4000</v>
      </c>
      <c r="D9167" s="9">
        <v>43910</v>
      </c>
      <c r="E9167" t="s">
        <v>296</v>
      </c>
      <c r="I9167" s="9"/>
    </row>
    <row r="9168" spans="1:9" x14ac:dyDescent="0.25">
      <c r="A9168">
        <v>735056</v>
      </c>
      <c r="B9168">
        <v>0.19</v>
      </c>
      <c r="C9168">
        <v>2400</v>
      </c>
      <c r="D9168" s="9">
        <v>42401</v>
      </c>
      <c r="E9168" t="s">
        <v>297</v>
      </c>
      <c r="I9168" s="9"/>
    </row>
    <row r="9169" spans="1:9" x14ac:dyDescent="0.25">
      <c r="A9169">
        <v>735056</v>
      </c>
      <c r="B9169">
        <v>0.2</v>
      </c>
      <c r="C9169">
        <v>2400</v>
      </c>
      <c r="D9169" s="9">
        <v>42040</v>
      </c>
      <c r="E9169" t="s">
        <v>296</v>
      </c>
      <c r="I9169" s="9"/>
    </row>
    <row r="9170" spans="1:9" x14ac:dyDescent="0.25">
      <c r="A9170">
        <v>735056</v>
      </c>
      <c r="B9170">
        <v>0.2</v>
      </c>
      <c r="C9170">
        <v>2800</v>
      </c>
      <c r="D9170" s="9">
        <v>41744</v>
      </c>
      <c r="E9170" t="s">
        <v>296</v>
      </c>
      <c r="I9170" s="9"/>
    </row>
    <row r="9171" spans="1:9" x14ac:dyDescent="0.25">
      <c r="A9171">
        <v>735056</v>
      </c>
      <c r="B9171">
        <v>0.19500000000000001</v>
      </c>
      <c r="C9171">
        <v>2560</v>
      </c>
      <c r="D9171" s="9">
        <v>41295</v>
      </c>
      <c r="E9171" t="s">
        <v>296</v>
      </c>
      <c r="I9171" s="9"/>
    </row>
    <row r="9172" spans="1:9" x14ac:dyDescent="0.25">
      <c r="A9172">
        <v>735062</v>
      </c>
      <c r="B9172">
        <v>0.54</v>
      </c>
      <c r="C9172">
        <v>2400</v>
      </c>
      <c r="D9172" s="9">
        <v>43972</v>
      </c>
      <c r="E9172" t="s">
        <v>296</v>
      </c>
      <c r="I9172" s="9"/>
    </row>
    <row r="9173" spans="1:9" x14ac:dyDescent="0.25">
      <c r="A9173">
        <v>735062</v>
      </c>
      <c r="B9173">
        <v>0.54</v>
      </c>
      <c r="C9173">
        <v>2400</v>
      </c>
      <c r="D9173" s="9">
        <v>43648</v>
      </c>
      <c r="E9173" t="s">
        <v>296</v>
      </c>
      <c r="I9173" s="9"/>
    </row>
    <row r="9174" spans="1:9" x14ac:dyDescent="0.25">
      <c r="A9174">
        <v>735062</v>
      </c>
      <c r="B9174">
        <v>0.502</v>
      </c>
      <c r="C9174">
        <v>1680</v>
      </c>
      <c r="D9174" s="9">
        <v>43340</v>
      </c>
      <c r="E9174" t="s">
        <v>296</v>
      </c>
      <c r="I9174" s="9"/>
    </row>
    <row r="9175" spans="1:9" x14ac:dyDescent="0.25">
      <c r="A9175">
        <v>735062</v>
      </c>
      <c r="B9175">
        <v>0.502</v>
      </c>
      <c r="C9175">
        <v>1680</v>
      </c>
      <c r="D9175" s="9">
        <v>42919</v>
      </c>
      <c r="E9175" t="s">
        <v>296</v>
      </c>
      <c r="I9175" s="9"/>
    </row>
    <row r="9176" spans="1:9" x14ac:dyDescent="0.25">
      <c r="A9176">
        <v>735062</v>
      </c>
      <c r="B9176">
        <v>0.53500000000000003</v>
      </c>
      <c r="C9176">
        <v>2400</v>
      </c>
      <c r="D9176" s="9">
        <v>42233</v>
      </c>
      <c r="E9176" t="s">
        <v>296</v>
      </c>
      <c r="I9176" s="9"/>
    </row>
    <row r="9177" spans="1:9" x14ac:dyDescent="0.25">
      <c r="A9177">
        <v>735062</v>
      </c>
      <c r="B9177">
        <v>0.53500000000000003</v>
      </c>
      <c r="C9177">
        <v>2400</v>
      </c>
      <c r="D9177" s="9">
        <v>41961</v>
      </c>
      <c r="E9177" t="s">
        <v>296</v>
      </c>
      <c r="I9177" s="9"/>
    </row>
    <row r="9178" spans="1:9" x14ac:dyDescent="0.25">
      <c r="A9178">
        <v>735062</v>
      </c>
      <c r="B9178">
        <v>1.78</v>
      </c>
      <c r="C9178">
        <v>2400</v>
      </c>
      <c r="D9178" s="9">
        <v>41957</v>
      </c>
      <c r="E9178" t="s">
        <v>295</v>
      </c>
      <c r="I9178" s="9"/>
    </row>
    <row r="9179" spans="1:9" x14ac:dyDescent="0.25">
      <c r="A9179">
        <v>735062</v>
      </c>
      <c r="B9179">
        <v>0.53500000000000003</v>
      </c>
      <c r="C9179">
        <v>2400</v>
      </c>
      <c r="D9179" s="9">
        <v>41912</v>
      </c>
      <c r="E9179" t="s">
        <v>296</v>
      </c>
      <c r="I9179" s="9"/>
    </row>
    <row r="9180" spans="1:9" x14ac:dyDescent="0.25">
      <c r="A9180">
        <v>735062</v>
      </c>
      <c r="B9180">
        <v>2.41</v>
      </c>
      <c r="C9180">
        <v>1</v>
      </c>
      <c r="D9180" s="9">
        <v>41884</v>
      </c>
      <c r="E9180" t="s">
        <v>295</v>
      </c>
      <c r="I9180" s="9"/>
    </row>
    <row r="9181" spans="1:9" x14ac:dyDescent="0.25">
      <c r="A9181">
        <v>735062</v>
      </c>
      <c r="B9181">
        <v>1.64</v>
      </c>
      <c r="C9181">
        <v>2400</v>
      </c>
      <c r="D9181" s="9">
        <v>41821</v>
      </c>
      <c r="E9181" t="s">
        <v>295</v>
      </c>
      <c r="I9181" s="9"/>
    </row>
    <row r="9182" spans="1:9" x14ac:dyDescent="0.25">
      <c r="A9182">
        <v>735062</v>
      </c>
      <c r="B9182">
        <v>0.53500000000000003</v>
      </c>
      <c r="C9182">
        <v>2400</v>
      </c>
      <c r="D9182" s="9">
        <v>41821</v>
      </c>
      <c r="E9182" t="s">
        <v>296</v>
      </c>
      <c r="I9182" s="9"/>
    </row>
    <row r="9183" spans="1:9" x14ac:dyDescent="0.25">
      <c r="A9183">
        <v>735062</v>
      </c>
      <c r="B9183">
        <v>0.53500000000000003</v>
      </c>
      <c r="C9183">
        <v>3000</v>
      </c>
      <c r="D9183" s="9">
        <v>41682</v>
      </c>
      <c r="E9183" t="s">
        <v>296</v>
      </c>
      <c r="I9183" s="9"/>
    </row>
    <row r="9184" spans="1:9" x14ac:dyDescent="0.25">
      <c r="A9184">
        <v>735062</v>
      </c>
      <c r="B9184">
        <v>0.53500000000000003</v>
      </c>
      <c r="C9184">
        <v>2880</v>
      </c>
      <c r="D9184" s="9">
        <v>41617</v>
      </c>
      <c r="E9184" t="s">
        <v>296</v>
      </c>
      <c r="I9184" s="9"/>
    </row>
    <row r="9185" spans="1:9" x14ac:dyDescent="0.25">
      <c r="A9185">
        <v>735062</v>
      </c>
      <c r="B9185">
        <v>0.51900000000000002</v>
      </c>
      <c r="C9185">
        <v>2880</v>
      </c>
      <c r="D9185" s="9">
        <v>41418</v>
      </c>
      <c r="E9185" t="s">
        <v>296</v>
      </c>
      <c r="I9185" s="9"/>
    </row>
    <row r="9186" spans="1:9" x14ac:dyDescent="0.25">
      <c r="A9186">
        <v>735063</v>
      </c>
      <c r="B9186">
        <v>0.59699999999999998</v>
      </c>
      <c r="C9186">
        <v>1440</v>
      </c>
      <c r="D9186" s="9">
        <v>42040</v>
      </c>
      <c r="E9186" t="s">
        <v>296</v>
      </c>
      <c r="I9186" s="9"/>
    </row>
    <row r="9187" spans="1:9" x14ac:dyDescent="0.25">
      <c r="A9187">
        <v>735063</v>
      </c>
      <c r="B9187">
        <v>0.57999999999999996</v>
      </c>
      <c r="C9187">
        <v>1080</v>
      </c>
      <c r="D9187" s="9">
        <v>41744</v>
      </c>
      <c r="E9187" t="s">
        <v>296</v>
      </c>
      <c r="I9187" s="9"/>
    </row>
    <row r="9188" spans="1:9" x14ac:dyDescent="0.25">
      <c r="A9188">
        <v>735071</v>
      </c>
      <c r="B9188">
        <v>0.16700000000000001</v>
      </c>
      <c r="C9188">
        <v>2500</v>
      </c>
      <c r="D9188" s="9">
        <v>44070</v>
      </c>
      <c r="E9188" t="s">
        <v>296</v>
      </c>
      <c r="I9188" s="9"/>
    </row>
    <row r="9189" spans="1:9" x14ac:dyDescent="0.25">
      <c r="A9189">
        <v>735071</v>
      </c>
      <c r="B9189">
        <v>0.19500000000000001</v>
      </c>
      <c r="C9189">
        <v>6000</v>
      </c>
      <c r="D9189" s="9">
        <v>43910</v>
      </c>
      <c r="E9189" t="s">
        <v>296</v>
      </c>
      <c r="I9189" s="9"/>
    </row>
    <row r="9190" spans="1:9" x14ac:dyDescent="0.25">
      <c r="A9190">
        <v>735071</v>
      </c>
      <c r="B9190">
        <v>0.19500000000000001</v>
      </c>
      <c r="C9190">
        <v>2500</v>
      </c>
      <c r="D9190" s="9">
        <v>43839</v>
      </c>
      <c r="E9190" t="s">
        <v>296</v>
      </c>
      <c r="I9190" s="9"/>
    </row>
    <row r="9191" spans="1:9" x14ac:dyDescent="0.25">
      <c r="A9191">
        <v>735071</v>
      </c>
      <c r="B9191">
        <v>0.6</v>
      </c>
      <c r="C9191">
        <v>10000</v>
      </c>
      <c r="D9191" s="9">
        <v>43782</v>
      </c>
      <c r="E9191" t="s">
        <v>295</v>
      </c>
      <c r="I9191" s="9"/>
    </row>
    <row r="9192" spans="1:9" x14ac:dyDescent="0.25">
      <c r="A9192">
        <v>735071</v>
      </c>
      <c r="B9192">
        <v>0.69</v>
      </c>
      <c r="C9192">
        <v>400</v>
      </c>
      <c r="D9192" s="9">
        <v>43613</v>
      </c>
      <c r="E9192" t="s">
        <v>295</v>
      </c>
      <c r="I9192" s="9"/>
    </row>
    <row r="9193" spans="1:9" x14ac:dyDescent="0.25">
      <c r="A9193">
        <v>735071</v>
      </c>
      <c r="B9193">
        <v>0.185</v>
      </c>
      <c r="C9193">
        <v>3200</v>
      </c>
      <c r="D9193" s="9">
        <v>43340</v>
      </c>
      <c r="E9193" t="s">
        <v>296</v>
      </c>
      <c r="I9193" s="9"/>
    </row>
    <row r="9194" spans="1:9" x14ac:dyDescent="0.25">
      <c r="A9194">
        <v>735071</v>
      </c>
      <c r="B9194">
        <v>0.187</v>
      </c>
      <c r="C9194">
        <v>20000</v>
      </c>
      <c r="D9194" s="9">
        <v>42607</v>
      </c>
      <c r="E9194" t="s">
        <v>297</v>
      </c>
      <c r="I9194" s="9"/>
    </row>
    <row r="9195" spans="1:9" x14ac:dyDescent="0.25">
      <c r="A9195">
        <v>735071</v>
      </c>
      <c r="B9195">
        <v>0.187</v>
      </c>
      <c r="C9195">
        <v>5600</v>
      </c>
      <c r="D9195" s="9">
        <v>42607</v>
      </c>
      <c r="E9195" t="s">
        <v>297</v>
      </c>
      <c r="I9195" s="9"/>
    </row>
    <row r="9196" spans="1:9" x14ac:dyDescent="0.25">
      <c r="A9196">
        <v>735071</v>
      </c>
      <c r="B9196">
        <v>0.187</v>
      </c>
      <c r="C9196">
        <v>14400</v>
      </c>
      <c r="D9196" s="9">
        <v>42401</v>
      </c>
      <c r="E9196" t="s">
        <v>297</v>
      </c>
      <c r="I9196" s="9"/>
    </row>
    <row r="9197" spans="1:9" x14ac:dyDescent="0.25">
      <c r="A9197">
        <v>735071</v>
      </c>
      <c r="B9197">
        <v>0.19700000000000001</v>
      </c>
      <c r="C9197">
        <v>10000</v>
      </c>
      <c r="D9197" s="9">
        <v>41961</v>
      </c>
      <c r="E9197" t="s">
        <v>296</v>
      </c>
      <c r="I9197" s="9"/>
    </row>
    <row r="9198" spans="1:9" x14ac:dyDescent="0.25">
      <c r="A9198">
        <v>735071</v>
      </c>
      <c r="B9198">
        <v>0.19700000000000001</v>
      </c>
      <c r="C9198">
        <v>10000</v>
      </c>
      <c r="D9198" s="9">
        <v>41912</v>
      </c>
      <c r="E9198" t="s">
        <v>296</v>
      </c>
      <c r="I9198" s="9"/>
    </row>
    <row r="9199" spans="1:9" x14ac:dyDescent="0.25">
      <c r="A9199">
        <v>735071</v>
      </c>
      <c r="B9199">
        <v>0.19700000000000001</v>
      </c>
      <c r="C9199">
        <v>10000</v>
      </c>
      <c r="D9199" s="9">
        <v>41865</v>
      </c>
      <c r="E9199" t="s">
        <v>296</v>
      </c>
      <c r="I9199" s="9"/>
    </row>
    <row r="9200" spans="1:9" x14ac:dyDescent="0.25">
      <c r="A9200">
        <v>735071</v>
      </c>
      <c r="B9200">
        <v>0.19700000000000001</v>
      </c>
      <c r="C9200">
        <v>10000</v>
      </c>
      <c r="D9200" s="9">
        <v>41865</v>
      </c>
      <c r="E9200" t="s">
        <v>296</v>
      </c>
      <c r="I9200" s="9"/>
    </row>
    <row r="9201" spans="1:9" x14ac:dyDescent="0.25">
      <c r="A9201">
        <v>735071</v>
      </c>
      <c r="B9201">
        <v>0.19700000000000001</v>
      </c>
      <c r="C9201">
        <v>10000</v>
      </c>
      <c r="D9201" s="9">
        <v>41821</v>
      </c>
      <c r="E9201" t="s">
        <v>296</v>
      </c>
      <c r="I9201" s="9"/>
    </row>
    <row r="9202" spans="1:9" x14ac:dyDescent="0.25">
      <c r="A9202">
        <v>735071</v>
      </c>
      <c r="B9202">
        <v>0.6</v>
      </c>
      <c r="C9202">
        <v>10000</v>
      </c>
      <c r="D9202" s="9">
        <v>41821</v>
      </c>
      <c r="E9202" t="s">
        <v>295</v>
      </c>
      <c r="I9202" s="9"/>
    </row>
    <row r="9203" spans="1:9" x14ac:dyDescent="0.25">
      <c r="A9203">
        <v>735071</v>
      </c>
      <c r="B9203">
        <v>0.19700000000000001</v>
      </c>
      <c r="C9203">
        <v>9600</v>
      </c>
      <c r="D9203" s="9">
        <v>41744</v>
      </c>
      <c r="E9203" t="s">
        <v>296</v>
      </c>
      <c r="I9203" s="9"/>
    </row>
    <row r="9204" spans="1:9" x14ac:dyDescent="0.25">
      <c r="A9204">
        <v>735071</v>
      </c>
      <c r="B9204">
        <v>0.19700000000000001</v>
      </c>
      <c r="C9204">
        <v>30000</v>
      </c>
      <c r="D9204" s="9">
        <v>41682</v>
      </c>
      <c r="E9204" t="s">
        <v>296</v>
      </c>
      <c r="I9204" s="9"/>
    </row>
    <row r="9205" spans="1:9" x14ac:dyDescent="0.25">
      <c r="A9205">
        <v>735071</v>
      </c>
      <c r="B9205">
        <v>0.192</v>
      </c>
      <c r="C9205">
        <v>9600</v>
      </c>
      <c r="D9205" s="9">
        <v>41617</v>
      </c>
      <c r="E9205" t="s">
        <v>296</v>
      </c>
      <c r="I9205" s="9"/>
    </row>
    <row r="9206" spans="1:9" x14ac:dyDescent="0.25">
      <c r="A9206">
        <v>735071</v>
      </c>
      <c r="B9206">
        <v>0.186</v>
      </c>
      <c r="C9206">
        <v>9600</v>
      </c>
      <c r="D9206" s="9">
        <v>41535</v>
      </c>
      <c r="E9206" t="s">
        <v>296</v>
      </c>
      <c r="I9206" s="9"/>
    </row>
    <row r="9207" spans="1:9" x14ac:dyDescent="0.25">
      <c r="A9207">
        <v>735071</v>
      </c>
      <c r="B9207">
        <v>0.186</v>
      </c>
      <c r="C9207">
        <v>9600</v>
      </c>
      <c r="D9207" s="9">
        <v>41418</v>
      </c>
      <c r="E9207" t="s">
        <v>296</v>
      </c>
      <c r="I9207" s="9"/>
    </row>
    <row r="9208" spans="1:9" x14ac:dyDescent="0.25">
      <c r="A9208">
        <v>735071</v>
      </c>
      <c r="B9208">
        <v>0.22500000000000001</v>
      </c>
      <c r="C9208">
        <v>9600</v>
      </c>
      <c r="D9208" s="9">
        <v>41417</v>
      </c>
      <c r="E9208" t="s">
        <v>296</v>
      </c>
      <c r="I9208" s="9"/>
    </row>
    <row r="9209" spans="1:9" x14ac:dyDescent="0.25">
      <c r="A9209">
        <v>735071</v>
      </c>
      <c r="B9209">
        <v>0.22500000000000001</v>
      </c>
      <c r="C9209">
        <v>7200</v>
      </c>
      <c r="D9209" s="9">
        <v>41366</v>
      </c>
      <c r="E9209" t="s">
        <v>296</v>
      </c>
      <c r="I9209" s="9"/>
    </row>
    <row r="9210" spans="1:9" x14ac:dyDescent="0.25">
      <c r="A9210">
        <v>735076</v>
      </c>
      <c r="B9210">
        <v>0.183</v>
      </c>
      <c r="C9210">
        <v>2000</v>
      </c>
      <c r="D9210" s="9">
        <v>44070</v>
      </c>
      <c r="E9210" t="s">
        <v>296</v>
      </c>
      <c r="I9210" s="9"/>
    </row>
    <row r="9211" spans="1:9" x14ac:dyDescent="0.25">
      <c r="A9211">
        <v>735076</v>
      </c>
      <c r="B9211">
        <v>0.20499999999999999</v>
      </c>
      <c r="C9211">
        <v>4000</v>
      </c>
      <c r="D9211" s="9">
        <v>43839</v>
      </c>
      <c r="E9211" t="s">
        <v>296</v>
      </c>
      <c r="I9211" s="9"/>
    </row>
    <row r="9212" spans="1:9" x14ac:dyDescent="0.25">
      <c r="A9212">
        <v>735076</v>
      </c>
      <c r="B9212">
        <v>0.19400000000000001</v>
      </c>
      <c r="C9212">
        <v>3200</v>
      </c>
      <c r="D9212" s="9">
        <v>43340</v>
      </c>
      <c r="E9212" t="s">
        <v>296</v>
      </c>
      <c r="I9212" s="9"/>
    </row>
    <row r="9213" spans="1:9" x14ac:dyDescent="0.25">
      <c r="A9213">
        <v>735076</v>
      </c>
      <c r="B9213">
        <v>0.20300000000000001</v>
      </c>
      <c r="C9213">
        <v>3200</v>
      </c>
      <c r="D9213" s="9">
        <v>42607</v>
      </c>
      <c r="E9213" t="s">
        <v>297</v>
      </c>
      <c r="I9213" s="9"/>
    </row>
    <row r="9214" spans="1:9" x14ac:dyDescent="0.25">
      <c r="A9214">
        <v>735076</v>
      </c>
      <c r="B9214">
        <v>0.20300000000000001</v>
      </c>
      <c r="C9214">
        <v>2800</v>
      </c>
      <c r="D9214" s="9">
        <v>42401</v>
      </c>
      <c r="E9214" t="s">
        <v>297</v>
      </c>
      <c r="I9214" s="9"/>
    </row>
    <row r="9215" spans="1:9" x14ac:dyDescent="0.25">
      <c r="A9215">
        <v>735076</v>
      </c>
      <c r="B9215">
        <v>0.223</v>
      </c>
      <c r="C9215">
        <v>2800</v>
      </c>
      <c r="D9215" s="9">
        <v>42040</v>
      </c>
      <c r="E9215" t="s">
        <v>296</v>
      </c>
      <c r="I9215" s="9"/>
    </row>
    <row r="9216" spans="1:9" x14ac:dyDescent="0.25">
      <c r="A9216">
        <v>735076</v>
      </c>
      <c r="B9216">
        <v>0.68</v>
      </c>
      <c r="C9216">
        <v>2800</v>
      </c>
      <c r="D9216" s="9">
        <v>41821</v>
      </c>
      <c r="E9216" t="s">
        <v>295</v>
      </c>
      <c r="I9216" s="9"/>
    </row>
    <row r="9217" spans="1:9" x14ac:dyDescent="0.25">
      <c r="A9217">
        <v>735076</v>
      </c>
      <c r="B9217">
        <v>0.223</v>
      </c>
      <c r="C9217">
        <v>2800</v>
      </c>
      <c r="D9217" s="9">
        <v>41821</v>
      </c>
      <c r="E9217" t="s">
        <v>296</v>
      </c>
      <c r="I9217" s="9"/>
    </row>
    <row r="9218" spans="1:9" x14ac:dyDescent="0.25">
      <c r="A9218">
        <v>735076</v>
      </c>
      <c r="B9218">
        <v>0.223</v>
      </c>
      <c r="C9218">
        <v>2800</v>
      </c>
      <c r="D9218" s="9">
        <v>41744</v>
      </c>
      <c r="E9218" t="s">
        <v>296</v>
      </c>
      <c r="I9218" s="9"/>
    </row>
    <row r="9219" spans="1:9" x14ac:dyDescent="0.25">
      <c r="A9219">
        <v>735076</v>
      </c>
      <c r="B9219">
        <v>0.223</v>
      </c>
      <c r="C9219">
        <v>2560</v>
      </c>
      <c r="D9219" s="9">
        <v>41535</v>
      </c>
      <c r="E9219" t="s">
        <v>296</v>
      </c>
      <c r="I9219" s="9"/>
    </row>
    <row r="9220" spans="1:9" x14ac:dyDescent="0.25">
      <c r="A9220">
        <v>735076</v>
      </c>
      <c r="B9220">
        <v>0.223</v>
      </c>
      <c r="C9220">
        <v>2560</v>
      </c>
      <c r="D9220" s="9">
        <v>41295</v>
      </c>
      <c r="E9220" t="s">
        <v>296</v>
      </c>
      <c r="I9220" s="9"/>
    </row>
    <row r="9221" spans="1:9" x14ac:dyDescent="0.25">
      <c r="A9221">
        <v>735163</v>
      </c>
      <c r="B9221">
        <v>0.61399999999999999</v>
      </c>
      <c r="C9221">
        <v>1620</v>
      </c>
      <c r="D9221" s="9">
        <v>41865</v>
      </c>
      <c r="E9221" t="s">
        <v>296</v>
      </c>
      <c r="I9221" s="9"/>
    </row>
    <row r="9222" spans="1:9" x14ac:dyDescent="0.25">
      <c r="A9222">
        <v>735240</v>
      </c>
      <c r="B9222">
        <v>0.77500000000000002</v>
      </c>
      <c r="C9222">
        <v>720</v>
      </c>
      <c r="D9222" s="9">
        <v>42401</v>
      </c>
      <c r="E9222" t="s">
        <v>297</v>
      </c>
      <c r="I9222" s="9"/>
    </row>
    <row r="9223" spans="1:9" x14ac:dyDescent="0.25">
      <c r="A9223">
        <v>735240</v>
      </c>
      <c r="B9223">
        <v>0.81599999999999995</v>
      </c>
      <c r="C9223">
        <v>1000</v>
      </c>
      <c r="D9223" s="9">
        <v>41682</v>
      </c>
      <c r="E9223" t="s">
        <v>296</v>
      </c>
      <c r="I9223" s="9"/>
    </row>
    <row r="9224" spans="1:9" x14ac:dyDescent="0.25">
      <c r="A9224">
        <v>735240</v>
      </c>
      <c r="B9224">
        <v>0.81599999999999995</v>
      </c>
      <c r="C9224">
        <v>720</v>
      </c>
      <c r="D9224" s="9">
        <v>41535</v>
      </c>
      <c r="E9224" t="s">
        <v>296</v>
      </c>
      <c r="I9224" s="9"/>
    </row>
    <row r="9225" spans="1:9" x14ac:dyDescent="0.25">
      <c r="A9225">
        <v>735240</v>
      </c>
      <c r="B9225">
        <v>0.81599999999999995</v>
      </c>
      <c r="C9225">
        <v>640</v>
      </c>
      <c r="D9225" s="9">
        <v>41418</v>
      </c>
      <c r="E9225" t="s">
        <v>296</v>
      </c>
      <c r="I9225" s="9"/>
    </row>
    <row r="9226" spans="1:9" x14ac:dyDescent="0.25">
      <c r="A9226">
        <v>735250</v>
      </c>
      <c r="B9226">
        <v>0.63</v>
      </c>
      <c r="C9226">
        <v>1280</v>
      </c>
      <c r="D9226" s="9">
        <v>41865</v>
      </c>
      <c r="E9226" t="s">
        <v>296</v>
      </c>
      <c r="I9226" s="9"/>
    </row>
    <row r="9227" spans="1:9" x14ac:dyDescent="0.25">
      <c r="A9227">
        <v>735250</v>
      </c>
      <c r="B9227">
        <v>0.6</v>
      </c>
      <c r="C9227">
        <v>960</v>
      </c>
      <c r="D9227" s="9">
        <v>41682</v>
      </c>
      <c r="E9227" t="s">
        <v>296</v>
      </c>
      <c r="I9227" s="9"/>
    </row>
    <row r="9228" spans="1:9" x14ac:dyDescent="0.25">
      <c r="A9228">
        <v>735250</v>
      </c>
      <c r="B9228">
        <v>0.6</v>
      </c>
      <c r="C9228">
        <v>960</v>
      </c>
      <c r="D9228" s="9">
        <v>41535</v>
      </c>
      <c r="E9228" t="s">
        <v>296</v>
      </c>
      <c r="I9228" s="9"/>
    </row>
    <row r="9229" spans="1:9" x14ac:dyDescent="0.25">
      <c r="A9229">
        <v>735250</v>
      </c>
      <c r="B9229">
        <v>0.6</v>
      </c>
      <c r="C9229">
        <v>1280</v>
      </c>
      <c r="D9229" s="9">
        <v>41418</v>
      </c>
      <c r="E9229" t="s">
        <v>296</v>
      </c>
      <c r="I9229" s="9"/>
    </row>
    <row r="9230" spans="1:9" x14ac:dyDescent="0.25">
      <c r="A9230">
        <v>735260</v>
      </c>
      <c r="B9230">
        <v>0.627</v>
      </c>
      <c r="C9230">
        <v>1800</v>
      </c>
      <c r="D9230" s="9">
        <v>42401</v>
      </c>
      <c r="E9230" t="s">
        <v>297</v>
      </c>
      <c r="I9230" s="9"/>
    </row>
    <row r="9231" spans="1:9" x14ac:dyDescent="0.25">
      <c r="A9231">
        <v>735260</v>
      </c>
      <c r="B9231">
        <v>0.66</v>
      </c>
      <c r="C9231">
        <v>3600</v>
      </c>
      <c r="D9231" s="9">
        <v>42040</v>
      </c>
      <c r="E9231" t="s">
        <v>296</v>
      </c>
      <c r="I9231" s="9"/>
    </row>
    <row r="9232" spans="1:9" x14ac:dyDescent="0.25">
      <c r="A9232">
        <v>735260</v>
      </c>
      <c r="B9232">
        <v>0.66</v>
      </c>
      <c r="C9232">
        <v>1680</v>
      </c>
      <c r="D9232" s="9">
        <v>41744</v>
      </c>
      <c r="E9232" t="s">
        <v>296</v>
      </c>
      <c r="I9232" s="9"/>
    </row>
    <row r="9233" spans="1:9" x14ac:dyDescent="0.25">
      <c r="A9233">
        <v>735270</v>
      </c>
      <c r="B9233">
        <v>0.78300000000000003</v>
      </c>
      <c r="C9233">
        <v>1200</v>
      </c>
      <c r="D9233" s="9">
        <v>41865</v>
      </c>
      <c r="E9233" t="s">
        <v>296</v>
      </c>
      <c r="I9233" s="9"/>
    </row>
    <row r="9234" spans="1:9" x14ac:dyDescent="0.25">
      <c r="A9234">
        <v>735270</v>
      </c>
      <c r="B9234">
        <v>0.76</v>
      </c>
      <c r="C9234">
        <v>1200</v>
      </c>
      <c r="D9234" s="9">
        <v>41535</v>
      </c>
      <c r="E9234" t="s">
        <v>296</v>
      </c>
      <c r="I9234" s="9"/>
    </row>
    <row r="9235" spans="1:9" x14ac:dyDescent="0.25">
      <c r="A9235">
        <v>735330</v>
      </c>
      <c r="B9235">
        <v>2.5750000000000002</v>
      </c>
      <c r="C9235">
        <v>320</v>
      </c>
      <c r="D9235" s="9">
        <v>42401</v>
      </c>
      <c r="E9235" t="s">
        <v>297</v>
      </c>
      <c r="I9235" s="9"/>
    </row>
    <row r="9236" spans="1:9" x14ac:dyDescent="0.25">
      <c r="A9236">
        <v>735330</v>
      </c>
      <c r="B9236">
        <v>2.71</v>
      </c>
      <c r="C9236">
        <v>560</v>
      </c>
      <c r="D9236" s="9">
        <v>41744</v>
      </c>
      <c r="E9236" t="s">
        <v>296</v>
      </c>
      <c r="I9236" s="9"/>
    </row>
    <row r="9237" spans="1:9" x14ac:dyDescent="0.25">
      <c r="A9237">
        <v>738434</v>
      </c>
      <c r="B9237">
        <v>1.0720000000000001</v>
      </c>
      <c r="C9237">
        <v>480</v>
      </c>
      <c r="D9237" s="9">
        <v>44140</v>
      </c>
      <c r="E9237" t="s">
        <v>296</v>
      </c>
      <c r="I9237" s="9"/>
    </row>
    <row r="9238" spans="1:9" x14ac:dyDescent="0.25">
      <c r="A9238">
        <v>738434</v>
      </c>
      <c r="B9238">
        <v>0.97</v>
      </c>
      <c r="C9238">
        <v>640</v>
      </c>
      <c r="D9238" s="9">
        <v>43959</v>
      </c>
      <c r="E9238" t="s">
        <v>296</v>
      </c>
      <c r="I9238" s="9"/>
    </row>
    <row r="9239" spans="1:9" x14ac:dyDescent="0.25">
      <c r="A9239">
        <v>738434</v>
      </c>
      <c r="B9239">
        <v>0.97</v>
      </c>
      <c r="C9239">
        <v>640</v>
      </c>
      <c r="D9239" s="9">
        <v>43684</v>
      </c>
      <c r="E9239" t="s">
        <v>296</v>
      </c>
      <c r="I9239" s="9"/>
    </row>
    <row r="9240" spans="1:9" x14ac:dyDescent="0.25">
      <c r="A9240">
        <v>738434</v>
      </c>
      <c r="B9240">
        <v>0.92800000000000005</v>
      </c>
      <c r="C9240">
        <v>640</v>
      </c>
      <c r="D9240" s="9">
        <v>43116</v>
      </c>
      <c r="E9240" t="s">
        <v>296</v>
      </c>
      <c r="I9240" s="9"/>
    </row>
    <row r="9241" spans="1:9" x14ac:dyDescent="0.25">
      <c r="A9241">
        <v>738434</v>
      </c>
      <c r="B9241">
        <v>1.22</v>
      </c>
      <c r="C9241">
        <v>640</v>
      </c>
      <c r="D9241" s="9">
        <v>43039</v>
      </c>
      <c r="E9241" t="s">
        <v>296</v>
      </c>
      <c r="I9241" s="9"/>
    </row>
    <row r="9242" spans="1:9" x14ac:dyDescent="0.25">
      <c r="A9242">
        <v>738434</v>
      </c>
      <c r="B9242">
        <v>1.1299999999999999</v>
      </c>
      <c r="C9242">
        <v>800</v>
      </c>
      <c r="D9242" s="9">
        <v>42530</v>
      </c>
      <c r="E9242" t="s">
        <v>296</v>
      </c>
      <c r="I9242" s="9"/>
    </row>
    <row r="9243" spans="1:9" x14ac:dyDescent="0.25">
      <c r="A9243">
        <v>738434</v>
      </c>
      <c r="B9243">
        <v>1.21</v>
      </c>
      <c r="C9243">
        <v>800</v>
      </c>
      <c r="D9243" s="9">
        <v>42397</v>
      </c>
      <c r="E9243" t="s">
        <v>296</v>
      </c>
      <c r="I9243" s="9"/>
    </row>
    <row r="9244" spans="1:9" x14ac:dyDescent="0.25">
      <c r="A9244">
        <v>738434</v>
      </c>
      <c r="B9244">
        <v>1.21</v>
      </c>
      <c r="C9244">
        <v>800</v>
      </c>
      <c r="D9244" s="9">
        <v>42270</v>
      </c>
      <c r="E9244" t="s">
        <v>296</v>
      </c>
      <c r="I9244" s="9"/>
    </row>
    <row r="9245" spans="1:9" x14ac:dyDescent="0.25">
      <c r="A9245">
        <v>738434</v>
      </c>
      <c r="B9245">
        <v>1.21</v>
      </c>
      <c r="C9245">
        <v>800</v>
      </c>
      <c r="D9245" s="9">
        <v>41982</v>
      </c>
      <c r="E9245" t="s">
        <v>296</v>
      </c>
      <c r="I9245" s="9"/>
    </row>
    <row r="9246" spans="1:9" x14ac:dyDescent="0.25">
      <c r="A9246">
        <v>738434</v>
      </c>
      <c r="B9246">
        <v>1.21</v>
      </c>
      <c r="C9246">
        <v>1200</v>
      </c>
      <c r="D9246" s="9">
        <v>41837</v>
      </c>
      <c r="E9246" t="s">
        <v>296</v>
      </c>
      <c r="I9246" s="9"/>
    </row>
    <row r="9247" spans="1:9" x14ac:dyDescent="0.25">
      <c r="A9247">
        <v>738434</v>
      </c>
      <c r="B9247">
        <v>1.21</v>
      </c>
      <c r="C9247">
        <v>1200</v>
      </c>
      <c r="D9247" s="9">
        <v>41682</v>
      </c>
      <c r="E9247" t="s">
        <v>296</v>
      </c>
      <c r="I9247" s="9"/>
    </row>
    <row r="9248" spans="1:9" x14ac:dyDescent="0.25">
      <c r="A9248">
        <v>738434</v>
      </c>
      <c r="B9248">
        <v>1.22</v>
      </c>
      <c r="C9248">
        <v>880</v>
      </c>
      <c r="D9248" s="9">
        <v>41526</v>
      </c>
      <c r="E9248" t="s">
        <v>296</v>
      </c>
      <c r="I9248" s="9"/>
    </row>
    <row r="9249" spans="1:9" x14ac:dyDescent="0.25">
      <c r="A9249">
        <v>738434</v>
      </c>
      <c r="B9249">
        <v>1.22</v>
      </c>
      <c r="C9249">
        <v>960</v>
      </c>
      <c r="D9249" s="9">
        <v>41366</v>
      </c>
      <c r="E9249" t="s">
        <v>296</v>
      </c>
      <c r="I9249" s="9"/>
    </row>
    <row r="9250" spans="1:9" x14ac:dyDescent="0.25">
      <c r="A9250">
        <v>738436</v>
      </c>
      <c r="B9250">
        <v>1.0349999999999999</v>
      </c>
      <c r="C9250">
        <v>480</v>
      </c>
      <c r="D9250" s="9">
        <v>44140</v>
      </c>
      <c r="E9250" t="s">
        <v>296</v>
      </c>
      <c r="I9250" s="9"/>
    </row>
    <row r="9251" spans="1:9" x14ac:dyDescent="0.25">
      <c r="A9251">
        <v>738436</v>
      </c>
      <c r="B9251">
        <v>0.92800000000000005</v>
      </c>
      <c r="C9251">
        <v>640</v>
      </c>
      <c r="D9251" s="9">
        <v>43959</v>
      </c>
      <c r="E9251" t="s">
        <v>296</v>
      </c>
      <c r="I9251" s="9"/>
    </row>
    <row r="9252" spans="1:9" x14ac:dyDescent="0.25">
      <c r="A9252">
        <v>738436</v>
      </c>
      <c r="B9252">
        <v>0.92800000000000005</v>
      </c>
      <c r="C9252">
        <v>640</v>
      </c>
      <c r="D9252" s="9">
        <v>43116</v>
      </c>
      <c r="E9252" t="s">
        <v>296</v>
      </c>
      <c r="I9252" s="9"/>
    </row>
    <row r="9253" spans="1:9" x14ac:dyDescent="0.25">
      <c r="A9253">
        <v>738436</v>
      </c>
      <c r="B9253">
        <v>1.22</v>
      </c>
      <c r="C9253">
        <v>640</v>
      </c>
      <c r="D9253" s="9">
        <v>43039</v>
      </c>
      <c r="E9253" t="s">
        <v>296</v>
      </c>
      <c r="I9253" s="9"/>
    </row>
    <row r="9254" spans="1:9" x14ac:dyDescent="0.25">
      <c r="A9254">
        <v>738436</v>
      </c>
      <c r="B9254">
        <v>1.1299999999999999</v>
      </c>
      <c r="C9254">
        <v>800</v>
      </c>
      <c r="D9254" s="9">
        <v>42617</v>
      </c>
      <c r="E9254" t="s">
        <v>296</v>
      </c>
      <c r="I9254" s="9"/>
    </row>
    <row r="9255" spans="1:9" x14ac:dyDescent="0.25">
      <c r="A9255">
        <v>738436</v>
      </c>
      <c r="B9255">
        <v>1.21</v>
      </c>
      <c r="C9255">
        <v>800</v>
      </c>
      <c r="D9255" s="9">
        <v>42397</v>
      </c>
      <c r="E9255" t="s">
        <v>296</v>
      </c>
      <c r="I9255" s="9"/>
    </row>
    <row r="9256" spans="1:9" x14ac:dyDescent="0.25">
      <c r="A9256">
        <v>738436</v>
      </c>
      <c r="B9256">
        <v>1.21</v>
      </c>
      <c r="C9256">
        <v>800</v>
      </c>
      <c r="D9256" s="9">
        <v>42270</v>
      </c>
      <c r="E9256" t="s">
        <v>296</v>
      </c>
      <c r="I9256" s="9"/>
    </row>
    <row r="9257" spans="1:9" x14ac:dyDescent="0.25">
      <c r="A9257">
        <v>738436</v>
      </c>
      <c r="B9257">
        <v>1.21</v>
      </c>
      <c r="C9257">
        <v>1600</v>
      </c>
      <c r="D9257" s="9">
        <v>41982</v>
      </c>
      <c r="E9257" t="s">
        <v>296</v>
      </c>
      <c r="I9257" s="9"/>
    </row>
    <row r="9258" spans="1:9" x14ac:dyDescent="0.25">
      <c r="A9258">
        <v>738436</v>
      </c>
      <c r="B9258">
        <v>1.21</v>
      </c>
      <c r="C9258">
        <v>1000</v>
      </c>
      <c r="D9258" s="9">
        <v>41837</v>
      </c>
      <c r="E9258" t="s">
        <v>296</v>
      </c>
      <c r="I9258" s="9"/>
    </row>
    <row r="9259" spans="1:9" x14ac:dyDescent="0.25">
      <c r="A9259">
        <v>738436</v>
      </c>
      <c r="B9259">
        <v>1.21</v>
      </c>
      <c r="C9259">
        <v>840</v>
      </c>
      <c r="D9259" s="9">
        <v>41682</v>
      </c>
      <c r="E9259" t="s">
        <v>296</v>
      </c>
      <c r="I9259" s="9"/>
    </row>
    <row r="9260" spans="1:9" x14ac:dyDescent="0.25">
      <c r="A9260">
        <v>738436</v>
      </c>
      <c r="B9260">
        <v>1.22</v>
      </c>
      <c r="C9260">
        <v>960</v>
      </c>
      <c r="D9260" s="9">
        <v>41526</v>
      </c>
      <c r="E9260" t="s">
        <v>296</v>
      </c>
      <c r="I9260" s="9"/>
    </row>
    <row r="9261" spans="1:9" x14ac:dyDescent="0.25">
      <c r="A9261">
        <v>738436</v>
      </c>
      <c r="B9261">
        <v>1.2170000000000001</v>
      </c>
      <c r="C9261">
        <v>1000</v>
      </c>
      <c r="D9261" s="9">
        <v>41366</v>
      </c>
      <c r="E9261" t="s">
        <v>296</v>
      </c>
      <c r="I9261" s="9"/>
    </row>
    <row r="9262" spans="1:9" x14ac:dyDescent="0.25">
      <c r="A9262">
        <v>738438</v>
      </c>
      <c r="B9262">
        <v>0.97699999999999998</v>
      </c>
      <c r="C9262">
        <v>480</v>
      </c>
      <c r="D9262" s="9">
        <v>44140</v>
      </c>
      <c r="E9262" t="s">
        <v>296</v>
      </c>
      <c r="I9262" s="9"/>
    </row>
    <row r="9263" spans="1:9" x14ac:dyDescent="0.25">
      <c r="A9263">
        <v>738438</v>
      </c>
      <c r="B9263">
        <v>0.92800000000000005</v>
      </c>
      <c r="C9263">
        <v>640</v>
      </c>
      <c r="D9263" s="9">
        <v>43991</v>
      </c>
      <c r="E9263" t="s">
        <v>296</v>
      </c>
      <c r="I9263" s="9"/>
    </row>
    <row r="9264" spans="1:9" x14ac:dyDescent="0.25">
      <c r="A9264">
        <v>738438</v>
      </c>
      <c r="B9264">
        <v>0.92800000000000005</v>
      </c>
      <c r="C9264">
        <v>640</v>
      </c>
      <c r="D9264" s="9">
        <v>43116</v>
      </c>
      <c r="E9264" t="s">
        <v>296</v>
      </c>
      <c r="I9264" s="9"/>
    </row>
    <row r="9265" spans="1:9" x14ac:dyDescent="0.25">
      <c r="A9265">
        <v>738438</v>
      </c>
      <c r="B9265">
        <v>1.22</v>
      </c>
      <c r="C9265">
        <v>640</v>
      </c>
      <c r="D9265" s="9">
        <v>43039</v>
      </c>
      <c r="E9265" t="s">
        <v>296</v>
      </c>
      <c r="I9265" s="9"/>
    </row>
    <row r="9266" spans="1:9" x14ac:dyDescent="0.25">
      <c r="A9266">
        <v>738438</v>
      </c>
      <c r="B9266">
        <v>1.1299999999999999</v>
      </c>
      <c r="C9266">
        <v>800</v>
      </c>
      <c r="D9266" s="9">
        <v>42530</v>
      </c>
      <c r="E9266" t="s">
        <v>296</v>
      </c>
      <c r="I9266" s="9"/>
    </row>
    <row r="9267" spans="1:9" x14ac:dyDescent="0.25">
      <c r="A9267">
        <v>738438</v>
      </c>
      <c r="B9267">
        <v>1.21</v>
      </c>
      <c r="C9267">
        <v>800</v>
      </c>
      <c r="D9267" s="9">
        <v>42325</v>
      </c>
      <c r="E9267" t="s">
        <v>296</v>
      </c>
      <c r="I9267" s="9"/>
    </row>
    <row r="9268" spans="1:9" x14ac:dyDescent="0.25">
      <c r="A9268">
        <v>738438</v>
      </c>
      <c r="B9268">
        <v>1.21</v>
      </c>
      <c r="C9268">
        <v>1600</v>
      </c>
      <c r="D9268" s="9">
        <v>41982</v>
      </c>
      <c r="E9268" t="s">
        <v>296</v>
      </c>
      <c r="I9268" s="9"/>
    </row>
    <row r="9269" spans="1:9" x14ac:dyDescent="0.25">
      <c r="A9269">
        <v>738438</v>
      </c>
      <c r="B9269">
        <v>1.21</v>
      </c>
      <c r="C9269">
        <v>1000</v>
      </c>
      <c r="D9269" s="9">
        <v>41837</v>
      </c>
      <c r="E9269" t="s">
        <v>296</v>
      </c>
      <c r="I9269" s="9"/>
    </row>
    <row r="9270" spans="1:9" x14ac:dyDescent="0.25">
      <c r="A9270">
        <v>738438</v>
      </c>
      <c r="B9270">
        <v>1.21</v>
      </c>
      <c r="C9270">
        <v>1000</v>
      </c>
      <c r="D9270" s="9">
        <v>41682</v>
      </c>
      <c r="E9270" t="s">
        <v>296</v>
      </c>
      <c r="I9270" s="9"/>
    </row>
    <row r="9271" spans="1:9" x14ac:dyDescent="0.25">
      <c r="A9271">
        <v>738438</v>
      </c>
      <c r="B9271">
        <v>1.2170000000000001</v>
      </c>
      <c r="C9271">
        <v>1000</v>
      </c>
      <c r="D9271" s="9">
        <v>41366</v>
      </c>
      <c r="E9271" t="s">
        <v>296</v>
      </c>
      <c r="I9271" s="9"/>
    </row>
    <row r="9272" spans="1:9" x14ac:dyDescent="0.25">
      <c r="A9272">
        <v>738440</v>
      </c>
      <c r="B9272">
        <v>0.97699999999999998</v>
      </c>
      <c r="C9272">
        <v>480</v>
      </c>
      <c r="D9272" s="9">
        <v>44140</v>
      </c>
      <c r="E9272" t="s">
        <v>296</v>
      </c>
      <c r="I9272" s="9"/>
    </row>
    <row r="9273" spans="1:9" x14ac:dyDescent="0.25">
      <c r="A9273">
        <v>738440</v>
      </c>
      <c r="B9273">
        <v>1.22</v>
      </c>
      <c r="C9273">
        <v>640</v>
      </c>
      <c r="D9273" s="9">
        <v>43991</v>
      </c>
      <c r="E9273" t="s">
        <v>296</v>
      </c>
      <c r="I9273" s="9"/>
    </row>
    <row r="9274" spans="1:9" x14ac:dyDescent="0.25">
      <c r="A9274">
        <v>738440</v>
      </c>
      <c r="B9274">
        <v>1.22</v>
      </c>
      <c r="C9274">
        <v>640</v>
      </c>
      <c r="D9274" s="9">
        <v>43116</v>
      </c>
      <c r="E9274" t="s">
        <v>296</v>
      </c>
      <c r="I9274" s="9"/>
    </row>
    <row r="9275" spans="1:9" x14ac:dyDescent="0.25">
      <c r="A9275">
        <v>738440</v>
      </c>
      <c r="B9275">
        <v>0.92800000000000005</v>
      </c>
      <c r="C9275">
        <v>640</v>
      </c>
      <c r="D9275" s="9">
        <v>43116</v>
      </c>
      <c r="E9275" t="s">
        <v>296</v>
      </c>
      <c r="I9275" s="9"/>
    </row>
    <row r="9276" spans="1:9" x14ac:dyDescent="0.25">
      <c r="A9276">
        <v>738440</v>
      </c>
      <c r="B9276">
        <v>1.21</v>
      </c>
      <c r="C9276">
        <v>800</v>
      </c>
      <c r="D9276" s="9">
        <v>42397</v>
      </c>
      <c r="E9276" t="s">
        <v>296</v>
      </c>
      <c r="I9276" s="9"/>
    </row>
    <row r="9277" spans="1:9" x14ac:dyDescent="0.25">
      <c r="A9277">
        <v>738440</v>
      </c>
      <c r="B9277">
        <v>1.21</v>
      </c>
      <c r="C9277">
        <v>800</v>
      </c>
      <c r="D9277" s="9">
        <v>42270</v>
      </c>
      <c r="E9277" t="s">
        <v>296</v>
      </c>
      <c r="I9277" s="9"/>
    </row>
    <row r="9278" spans="1:9" x14ac:dyDescent="0.25">
      <c r="A9278">
        <v>738440</v>
      </c>
      <c r="B9278">
        <v>1.21</v>
      </c>
      <c r="C9278">
        <v>1000</v>
      </c>
      <c r="D9278" s="9">
        <v>41982</v>
      </c>
      <c r="E9278" t="s">
        <v>296</v>
      </c>
      <c r="I9278" s="9"/>
    </row>
    <row r="9279" spans="1:9" x14ac:dyDescent="0.25">
      <c r="A9279">
        <v>738440</v>
      </c>
      <c r="B9279">
        <v>1.21</v>
      </c>
      <c r="C9279">
        <v>800</v>
      </c>
      <c r="D9279" s="9">
        <v>41837</v>
      </c>
      <c r="E9279" t="s">
        <v>296</v>
      </c>
      <c r="I9279" s="9"/>
    </row>
    <row r="9280" spans="1:9" x14ac:dyDescent="0.25">
      <c r="A9280">
        <v>738440</v>
      </c>
      <c r="B9280">
        <v>1.21</v>
      </c>
      <c r="C9280">
        <v>720</v>
      </c>
      <c r="D9280" s="9">
        <v>41682</v>
      </c>
      <c r="E9280" t="s">
        <v>296</v>
      </c>
      <c r="I9280" s="9"/>
    </row>
    <row r="9281" spans="1:9" x14ac:dyDescent="0.25">
      <c r="A9281">
        <v>738534</v>
      </c>
      <c r="B9281">
        <v>1.2150000000000001</v>
      </c>
      <c r="C9281">
        <v>640</v>
      </c>
      <c r="D9281" s="9">
        <v>44140</v>
      </c>
      <c r="E9281" t="s">
        <v>296</v>
      </c>
      <c r="I9281" s="9"/>
    </row>
    <row r="9282" spans="1:9" x14ac:dyDescent="0.25">
      <c r="A9282">
        <v>738534</v>
      </c>
      <c r="B9282">
        <v>1.35</v>
      </c>
      <c r="C9282">
        <v>640</v>
      </c>
      <c r="D9282" s="9">
        <v>43959</v>
      </c>
      <c r="E9282" t="s">
        <v>296</v>
      </c>
      <c r="I9282" s="9"/>
    </row>
    <row r="9283" spans="1:9" x14ac:dyDescent="0.25">
      <c r="A9283">
        <v>738534</v>
      </c>
      <c r="B9283">
        <v>1.35</v>
      </c>
      <c r="C9283">
        <v>640</v>
      </c>
      <c r="D9283" s="9">
        <v>43684</v>
      </c>
      <c r="E9283" t="s">
        <v>296</v>
      </c>
      <c r="I9283" s="9"/>
    </row>
    <row r="9284" spans="1:9" x14ac:dyDescent="0.25">
      <c r="A9284">
        <v>738534</v>
      </c>
      <c r="B9284">
        <v>1.25</v>
      </c>
      <c r="C9284">
        <v>640</v>
      </c>
      <c r="D9284" s="9">
        <v>43409</v>
      </c>
      <c r="E9284" t="s">
        <v>296</v>
      </c>
      <c r="I9284" s="9"/>
    </row>
    <row r="9285" spans="1:9" x14ac:dyDescent="0.25">
      <c r="A9285">
        <v>738534</v>
      </c>
      <c r="B9285">
        <v>1.35</v>
      </c>
      <c r="C9285">
        <v>720</v>
      </c>
      <c r="D9285" s="9">
        <v>43116</v>
      </c>
      <c r="E9285" t="s">
        <v>296</v>
      </c>
      <c r="I9285" s="9"/>
    </row>
    <row r="9286" spans="1:9" x14ac:dyDescent="0.25">
      <c r="A9286">
        <v>738534</v>
      </c>
      <c r="B9286">
        <v>1.3</v>
      </c>
      <c r="C9286">
        <v>1200</v>
      </c>
      <c r="D9286" s="9">
        <v>42617</v>
      </c>
      <c r="E9286" t="s">
        <v>296</v>
      </c>
      <c r="I9286" s="9"/>
    </row>
    <row r="9287" spans="1:9" x14ac:dyDescent="0.25">
      <c r="A9287">
        <v>738534</v>
      </c>
      <c r="B9287">
        <v>1.3</v>
      </c>
      <c r="C9287">
        <v>800</v>
      </c>
      <c r="D9287" s="9">
        <v>42530</v>
      </c>
      <c r="E9287" t="s">
        <v>296</v>
      </c>
      <c r="I9287" s="9"/>
    </row>
    <row r="9288" spans="1:9" x14ac:dyDescent="0.25">
      <c r="A9288">
        <v>738534</v>
      </c>
      <c r="B9288">
        <v>1.35</v>
      </c>
      <c r="C9288">
        <v>3000</v>
      </c>
      <c r="D9288" s="9">
        <v>41982</v>
      </c>
      <c r="E9288" t="s">
        <v>296</v>
      </c>
      <c r="I9288" s="9"/>
    </row>
    <row r="9289" spans="1:9" x14ac:dyDescent="0.25">
      <c r="A9289">
        <v>738534</v>
      </c>
      <c r="B9289">
        <v>1.35</v>
      </c>
      <c r="C9289">
        <v>1000</v>
      </c>
      <c r="D9289" s="9">
        <v>41837</v>
      </c>
      <c r="E9289" t="s">
        <v>296</v>
      </c>
      <c r="I9289" s="9"/>
    </row>
    <row r="9290" spans="1:9" x14ac:dyDescent="0.25">
      <c r="A9290">
        <v>738534</v>
      </c>
      <c r="B9290">
        <v>1.35</v>
      </c>
      <c r="C9290">
        <v>1040</v>
      </c>
      <c r="D9290" s="9">
        <v>41682</v>
      </c>
      <c r="E9290" t="s">
        <v>296</v>
      </c>
      <c r="I9290" s="9"/>
    </row>
    <row r="9291" spans="1:9" x14ac:dyDescent="0.25">
      <c r="A9291">
        <v>738534</v>
      </c>
      <c r="B9291">
        <v>1.3520000000000001</v>
      </c>
      <c r="C9291">
        <v>960</v>
      </c>
      <c r="D9291" s="9">
        <v>41417</v>
      </c>
      <c r="E9291" t="s">
        <v>296</v>
      </c>
      <c r="I9291" s="9"/>
    </row>
    <row r="9292" spans="1:9" x14ac:dyDescent="0.25">
      <c r="A9292">
        <v>738536</v>
      </c>
      <c r="B9292">
        <v>1.167</v>
      </c>
      <c r="C9292">
        <v>640</v>
      </c>
      <c r="D9292" s="9">
        <v>44140</v>
      </c>
      <c r="E9292" t="s">
        <v>296</v>
      </c>
      <c r="I9292" s="9"/>
    </row>
    <row r="9293" spans="1:9" x14ac:dyDescent="0.25">
      <c r="A9293">
        <v>738536</v>
      </c>
      <c r="B9293">
        <v>1.25</v>
      </c>
      <c r="C9293">
        <v>640</v>
      </c>
      <c r="D9293" s="9">
        <v>44117</v>
      </c>
      <c r="E9293" t="s">
        <v>296</v>
      </c>
      <c r="I9293" s="9"/>
    </row>
    <row r="9294" spans="1:9" x14ac:dyDescent="0.25">
      <c r="A9294">
        <v>738536</v>
      </c>
      <c r="B9294">
        <v>1.25</v>
      </c>
      <c r="C9294">
        <v>1280</v>
      </c>
      <c r="D9294" s="9">
        <v>43837</v>
      </c>
      <c r="E9294" t="s">
        <v>296</v>
      </c>
      <c r="I9294" s="9"/>
    </row>
    <row r="9295" spans="1:9" x14ac:dyDescent="0.25">
      <c r="A9295">
        <v>738536</v>
      </c>
      <c r="B9295">
        <v>1.25</v>
      </c>
      <c r="C9295">
        <v>640</v>
      </c>
      <c r="D9295" s="9">
        <v>43409</v>
      </c>
      <c r="E9295" t="s">
        <v>296</v>
      </c>
      <c r="I9295" s="9"/>
    </row>
    <row r="9296" spans="1:9" x14ac:dyDescent="0.25">
      <c r="A9296">
        <v>738536</v>
      </c>
      <c r="B9296">
        <v>1.264</v>
      </c>
      <c r="C9296">
        <v>640</v>
      </c>
      <c r="D9296" s="9">
        <v>43116</v>
      </c>
      <c r="E9296" t="s">
        <v>296</v>
      </c>
      <c r="I9296" s="9"/>
    </row>
    <row r="9297" spans="1:9" x14ac:dyDescent="0.25">
      <c r="A9297">
        <v>738536</v>
      </c>
      <c r="B9297">
        <v>1.405</v>
      </c>
      <c r="C9297">
        <v>640</v>
      </c>
      <c r="D9297" s="9">
        <v>43039</v>
      </c>
      <c r="E9297" t="s">
        <v>296</v>
      </c>
      <c r="I9297" s="9"/>
    </row>
    <row r="9298" spans="1:9" x14ac:dyDescent="0.25">
      <c r="A9298">
        <v>738536</v>
      </c>
      <c r="B9298">
        <v>1.3</v>
      </c>
      <c r="C9298">
        <v>960</v>
      </c>
      <c r="D9298" s="9">
        <v>42696</v>
      </c>
      <c r="E9298" t="s">
        <v>296</v>
      </c>
      <c r="I9298" s="9"/>
    </row>
    <row r="9299" spans="1:9" x14ac:dyDescent="0.25">
      <c r="A9299">
        <v>738536</v>
      </c>
      <c r="B9299">
        <v>1.35</v>
      </c>
      <c r="C9299">
        <v>800</v>
      </c>
      <c r="D9299" s="9">
        <v>42397</v>
      </c>
      <c r="E9299" t="s">
        <v>296</v>
      </c>
      <c r="I9299" s="9"/>
    </row>
    <row r="9300" spans="1:9" x14ac:dyDescent="0.25">
      <c r="A9300">
        <v>738536</v>
      </c>
      <c r="B9300">
        <v>1.35</v>
      </c>
      <c r="C9300">
        <v>800</v>
      </c>
      <c r="D9300" s="9">
        <v>42270</v>
      </c>
      <c r="E9300" t="s">
        <v>296</v>
      </c>
      <c r="I9300" s="9"/>
    </row>
    <row r="9301" spans="1:9" x14ac:dyDescent="0.25">
      <c r="A9301">
        <v>738536</v>
      </c>
      <c r="B9301">
        <v>1.35</v>
      </c>
      <c r="C9301">
        <v>1000</v>
      </c>
      <c r="D9301" s="9">
        <v>41982</v>
      </c>
      <c r="E9301" t="s">
        <v>296</v>
      </c>
      <c r="I9301" s="9"/>
    </row>
    <row r="9302" spans="1:9" x14ac:dyDescent="0.25">
      <c r="A9302">
        <v>738536</v>
      </c>
      <c r="B9302">
        <v>1.35</v>
      </c>
      <c r="C9302">
        <v>1000</v>
      </c>
      <c r="D9302" s="9">
        <v>41837</v>
      </c>
      <c r="E9302" t="s">
        <v>296</v>
      </c>
      <c r="I9302" s="9"/>
    </row>
    <row r="9303" spans="1:9" x14ac:dyDescent="0.25">
      <c r="A9303">
        <v>738536</v>
      </c>
      <c r="B9303">
        <v>1.35</v>
      </c>
      <c r="C9303">
        <v>1040</v>
      </c>
      <c r="D9303" s="9">
        <v>41682</v>
      </c>
      <c r="E9303" t="s">
        <v>296</v>
      </c>
      <c r="I9303" s="9"/>
    </row>
    <row r="9304" spans="1:9" x14ac:dyDescent="0.25">
      <c r="A9304">
        <v>738536</v>
      </c>
      <c r="B9304">
        <v>1.43</v>
      </c>
      <c r="C9304">
        <v>960</v>
      </c>
      <c r="D9304" s="9">
        <v>41366</v>
      </c>
      <c r="E9304" t="s">
        <v>296</v>
      </c>
      <c r="I9304" s="9"/>
    </row>
    <row r="9305" spans="1:9" x14ac:dyDescent="0.25">
      <c r="A9305">
        <v>738538</v>
      </c>
      <c r="B9305">
        <v>1.119</v>
      </c>
      <c r="C9305">
        <v>480</v>
      </c>
      <c r="D9305" s="9">
        <v>44140</v>
      </c>
      <c r="E9305" t="s">
        <v>296</v>
      </c>
      <c r="I9305" s="9"/>
    </row>
    <row r="9306" spans="1:9" x14ac:dyDescent="0.25">
      <c r="A9306">
        <v>738538</v>
      </c>
      <c r="B9306">
        <v>1.35</v>
      </c>
      <c r="C9306">
        <v>640</v>
      </c>
      <c r="D9306" s="9">
        <v>43959</v>
      </c>
      <c r="E9306" t="s">
        <v>296</v>
      </c>
      <c r="I9306" s="9"/>
    </row>
    <row r="9307" spans="1:9" x14ac:dyDescent="0.25">
      <c r="A9307">
        <v>738538</v>
      </c>
      <c r="B9307">
        <v>1.35</v>
      </c>
      <c r="C9307">
        <v>640</v>
      </c>
      <c r="D9307" s="9">
        <v>43598</v>
      </c>
      <c r="E9307" t="s">
        <v>296</v>
      </c>
      <c r="I9307" s="9"/>
    </row>
    <row r="9308" spans="1:9" x14ac:dyDescent="0.25">
      <c r="A9308">
        <v>738538</v>
      </c>
      <c r="B9308">
        <v>1.25</v>
      </c>
      <c r="C9308">
        <v>640</v>
      </c>
      <c r="D9308" s="9">
        <v>43409</v>
      </c>
      <c r="E9308" t="s">
        <v>296</v>
      </c>
      <c r="I9308" s="9"/>
    </row>
    <row r="9309" spans="1:9" x14ac:dyDescent="0.25">
      <c r="A9309">
        <v>738538</v>
      </c>
      <c r="B9309">
        <v>1.264</v>
      </c>
      <c r="C9309">
        <v>640</v>
      </c>
      <c r="D9309" s="9">
        <v>43116</v>
      </c>
      <c r="E9309" t="s">
        <v>296</v>
      </c>
      <c r="I9309" s="9"/>
    </row>
    <row r="9310" spans="1:9" x14ac:dyDescent="0.25">
      <c r="A9310">
        <v>738538</v>
      </c>
      <c r="B9310">
        <v>1.405</v>
      </c>
      <c r="C9310">
        <v>640</v>
      </c>
      <c r="D9310" s="9">
        <v>43039</v>
      </c>
      <c r="E9310" t="s">
        <v>296</v>
      </c>
      <c r="I9310" s="9"/>
    </row>
    <row r="9311" spans="1:9" x14ac:dyDescent="0.25">
      <c r="A9311">
        <v>738538</v>
      </c>
      <c r="B9311">
        <v>1.3</v>
      </c>
      <c r="C9311">
        <v>1440</v>
      </c>
      <c r="D9311" s="9">
        <v>42617</v>
      </c>
      <c r="E9311" t="s">
        <v>296</v>
      </c>
      <c r="I9311" s="9"/>
    </row>
    <row r="9312" spans="1:9" x14ac:dyDescent="0.25">
      <c r="A9312">
        <v>738538</v>
      </c>
      <c r="B9312">
        <v>1.35</v>
      </c>
      <c r="C9312">
        <v>1600</v>
      </c>
      <c r="D9312" s="9">
        <v>41982</v>
      </c>
      <c r="E9312" t="s">
        <v>296</v>
      </c>
      <c r="I9312" s="9"/>
    </row>
    <row r="9313" spans="1:9" x14ac:dyDescent="0.25">
      <c r="A9313">
        <v>738538</v>
      </c>
      <c r="B9313">
        <v>1.21</v>
      </c>
      <c r="C9313">
        <v>720</v>
      </c>
      <c r="D9313" s="9">
        <v>41837</v>
      </c>
      <c r="E9313" t="s">
        <v>296</v>
      </c>
      <c r="I9313" s="9"/>
    </row>
    <row r="9314" spans="1:9" x14ac:dyDescent="0.25">
      <c r="A9314">
        <v>738538</v>
      </c>
      <c r="B9314">
        <v>1.35</v>
      </c>
      <c r="C9314">
        <v>720</v>
      </c>
      <c r="D9314" s="9">
        <v>41682</v>
      </c>
      <c r="E9314" t="s">
        <v>296</v>
      </c>
      <c r="I9314" s="9"/>
    </row>
    <row r="9315" spans="1:9" x14ac:dyDescent="0.25">
      <c r="A9315">
        <v>739534</v>
      </c>
      <c r="B9315">
        <v>1.2150000000000001</v>
      </c>
      <c r="C9315">
        <v>640</v>
      </c>
      <c r="D9315" s="9">
        <v>44140</v>
      </c>
      <c r="E9315" t="s">
        <v>296</v>
      </c>
      <c r="I9315" s="9"/>
    </row>
    <row r="9316" spans="1:9" x14ac:dyDescent="0.25">
      <c r="A9316">
        <v>739534</v>
      </c>
      <c r="B9316">
        <v>7.42</v>
      </c>
      <c r="C9316">
        <v>640</v>
      </c>
      <c r="D9316" s="9">
        <v>44117</v>
      </c>
      <c r="E9316" t="s">
        <v>296</v>
      </c>
      <c r="I9316" s="9"/>
    </row>
    <row r="9317" spans="1:9" x14ac:dyDescent="0.25">
      <c r="A9317">
        <v>739534</v>
      </c>
      <c r="B9317">
        <v>7.42</v>
      </c>
      <c r="C9317">
        <v>640</v>
      </c>
      <c r="D9317" s="9">
        <v>43837</v>
      </c>
      <c r="E9317" t="s">
        <v>296</v>
      </c>
      <c r="I9317" s="9"/>
    </row>
    <row r="9318" spans="1:9" x14ac:dyDescent="0.25">
      <c r="A9318">
        <v>739534</v>
      </c>
      <c r="B9318">
        <v>1.35</v>
      </c>
      <c r="C9318">
        <v>640</v>
      </c>
      <c r="D9318" s="9">
        <v>43684</v>
      </c>
      <c r="E9318" t="s">
        <v>296</v>
      </c>
      <c r="I9318" s="9"/>
    </row>
    <row r="9319" spans="1:9" x14ac:dyDescent="0.25">
      <c r="A9319">
        <v>739534</v>
      </c>
      <c r="B9319">
        <v>1.3</v>
      </c>
      <c r="C9319">
        <v>640</v>
      </c>
      <c r="D9319" s="9">
        <v>43489</v>
      </c>
      <c r="E9319" t="s">
        <v>296</v>
      </c>
      <c r="I9319" s="9"/>
    </row>
    <row r="9320" spans="1:9" x14ac:dyDescent="0.25">
      <c r="A9320">
        <v>739534</v>
      </c>
      <c r="B9320">
        <v>1.3</v>
      </c>
      <c r="C9320">
        <v>960</v>
      </c>
      <c r="D9320" s="9">
        <v>42696</v>
      </c>
      <c r="E9320" t="s">
        <v>296</v>
      </c>
      <c r="I9320" s="9"/>
    </row>
    <row r="9321" spans="1:9" x14ac:dyDescent="0.25">
      <c r="A9321">
        <v>739534</v>
      </c>
      <c r="B9321">
        <v>1.35</v>
      </c>
      <c r="C9321">
        <v>800</v>
      </c>
      <c r="D9321" s="9">
        <v>42617</v>
      </c>
      <c r="E9321" t="s">
        <v>296</v>
      </c>
      <c r="I9321" s="9"/>
    </row>
    <row r="9322" spans="1:9" x14ac:dyDescent="0.25">
      <c r="A9322">
        <v>739534</v>
      </c>
      <c r="B9322">
        <v>1.35</v>
      </c>
      <c r="C9322">
        <v>800</v>
      </c>
      <c r="D9322" s="9">
        <v>42397</v>
      </c>
      <c r="E9322" t="s">
        <v>296</v>
      </c>
      <c r="I9322" s="9"/>
    </row>
    <row r="9323" spans="1:9" x14ac:dyDescent="0.25">
      <c r="A9323">
        <v>739534</v>
      </c>
      <c r="B9323">
        <v>1.35</v>
      </c>
      <c r="C9323">
        <v>720</v>
      </c>
      <c r="D9323" s="9">
        <v>41837</v>
      </c>
      <c r="E9323" t="s">
        <v>296</v>
      </c>
      <c r="I9323" s="9"/>
    </row>
    <row r="9324" spans="1:9" x14ac:dyDescent="0.25">
      <c r="A9324">
        <v>739536</v>
      </c>
      <c r="B9324">
        <v>1.167</v>
      </c>
      <c r="C9324">
        <v>480</v>
      </c>
      <c r="D9324" s="9">
        <v>44140</v>
      </c>
      <c r="E9324" t="s">
        <v>296</v>
      </c>
      <c r="I9324" s="9"/>
    </row>
    <row r="9325" spans="1:9" x14ac:dyDescent="0.25">
      <c r="A9325">
        <v>739536</v>
      </c>
      <c r="B9325">
        <v>1.35</v>
      </c>
      <c r="C9325">
        <v>640</v>
      </c>
      <c r="D9325" s="9">
        <v>43991</v>
      </c>
      <c r="E9325" t="s">
        <v>296</v>
      </c>
      <c r="I9325" s="9"/>
    </row>
    <row r="9326" spans="1:9" x14ac:dyDescent="0.25">
      <c r="A9326">
        <v>739536</v>
      </c>
      <c r="B9326">
        <v>1.35</v>
      </c>
      <c r="C9326">
        <v>560</v>
      </c>
      <c r="D9326" s="9">
        <v>43598</v>
      </c>
      <c r="E9326" t="s">
        <v>296</v>
      </c>
      <c r="I9326" s="9"/>
    </row>
    <row r="9327" spans="1:9" x14ac:dyDescent="0.25">
      <c r="A9327">
        <v>739536</v>
      </c>
      <c r="B9327">
        <v>1.35</v>
      </c>
      <c r="C9327">
        <v>720</v>
      </c>
      <c r="D9327" s="9">
        <v>43250</v>
      </c>
      <c r="E9327" t="s">
        <v>296</v>
      </c>
      <c r="I9327" s="9"/>
    </row>
    <row r="9328" spans="1:9" x14ac:dyDescent="0.25">
      <c r="A9328">
        <v>739536</v>
      </c>
      <c r="B9328">
        <v>1.35</v>
      </c>
      <c r="C9328">
        <v>720</v>
      </c>
      <c r="D9328" s="9">
        <v>43116</v>
      </c>
      <c r="E9328" t="s">
        <v>296</v>
      </c>
      <c r="I9328" s="9"/>
    </row>
    <row r="9329" spans="1:9" x14ac:dyDescent="0.25">
      <c r="A9329">
        <v>739536</v>
      </c>
      <c r="B9329">
        <v>1.35</v>
      </c>
      <c r="C9329">
        <v>720</v>
      </c>
      <c r="D9329" s="9">
        <v>41837</v>
      </c>
      <c r="E9329" t="s">
        <v>296</v>
      </c>
      <c r="I9329" s="9"/>
    </row>
    <row r="9330" spans="1:9" x14ac:dyDescent="0.25">
      <c r="A9330">
        <v>739536</v>
      </c>
      <c r="B9330">
        <v>1.35</v>
      </c>
      <c r="C9330">
        <v>640</v>
      </c>
      <c r="D9330" s="9">
        <v>41682</v>
      </c>
      <c r="E9330" t="s">
        <v>296</v>
      </c>
      <c r="I9330" s="9"/>
    </row>
    <row r="9331" spans="1:9" x14ac:dyDescent="0.25">
      <c r="A9331">
        <v>739536</v>
      </c>
      <c r="B9331">
        <v>1.3520000000000001</v>
      </c>
      <c r="C9331">
        <v>640</v>
      </c>
      <c r="D9331" s="9">
        <v>41417</v>
      </c>
      <c r="E9331" t="s">
        <v>296</v>
      </c>
      <c r="I9331" s="9"/>
    </row>
    <row r="9332" spans="1:9" x14ac:dyDescent="0.25">
      <c r="A9332">
        <v>739538</v>
      </c>
      <c r="B9332">
        <v>1.119</v>
      </c>
      <c r="C9332">
        <v>480</v>
      </c>
      <c r="D9332" s="9">
        <v>44140</v>
      </c>
      <c r="E9332" t="s">
        <v>296</v>
      </c>
      <c r="I9332" s="9"/>
    </row>
    <row r="9333" spans="1:9" x14ac:dyDescent="0.25">
      <c r="A9333">
        <v>739538</v>
      </c>
      <c r="B9333">
        <v>1.35</v>
      </c>
      <c r="C9333">
        <v>640</v>
      </c>
      <c r="D9333" s="9">
        <v>43837</v>
      </c>
      <c r="E9333" t="s">
        <v>296</v>
      </c>
      <c r="I9333" s="9"/>
    </row>
    <row r="9334" spans="1:9" x14ac:dyDescent="0.25">
      <c r="A9334">
        <v>739538</v>
      </c>
      <c r="B9334">
        <v>1.35</v>
      </c>
      <c r="C9334">
        <v>560</v>
      </c>
      <c r="D9334" s="9">
        <v>43598</v>
      </c>
      <c r="E9334" t="s">
        <v>296</v>
      </c>
      <c r="I9334" s="9"/>
    </row>
    <row r="9335" spans="1:9" x14ac:dyDescent="0.25">
      <c r="A9335">
        <v>739538</v>
      </c>
      <c r="B9335">
        <v>1.35</v>
      </c>
      <c r="C9335">
        <v>720</v>
      </c>
      <c r="D9335" s="9">
        <v>43250</v>
      </c>
      <c r="E9335" t="s">
        <v>296</v>
      </c>
      <c r="I9335" s="9"/>
    </row>
    <row r="9336" spans="1:9" x14ac:dyDescent="0.25">
      <c r="A9336">
        <v>739538</v>
      </c>
      <c r="B9336">
        <v>1.35</v>
      </c>
      <c r="C9336">
        <v>720</v>
      </c>
      <c r="D9336" s="9">
        <v>43116</v>
      </c>
      <c r="E9336" t="s">
        <v>296</v>
      </c>
      <c r="I9336" s="9"/>
    </row>
    <row r="9337" spans="1:9" x14ac:dyDescent="0.25">
      <c r="A9337">
        <v>739538</v>
      </c>
      <c r="B9337">
        <v>1.3</v>
      </c>
      <c r="C9337">
        <v>960</v>
      </c>
      <c r="D9337" s="9">
        <v>42696</v>
      </c>
      <c r="E9337" t="s">
        <v>296</v>
      </c>
      <c r="I9337" s="9"/>
    </row>
    <row r="9338" spans="1:9" x14ac:dyDescent="0.25">
      <c r="A9338">
        <v>739538</v>
      </c>
      <c r="B9338">
        <v>1.35</v>
      </c>
      <c r="C9338">
        <v>640</v>
      </c>
      <c r="D9338" s="9">
        <v>42270</v>
      </c>
      <c r="E9338" t="s">
        <v>296</v>
      </c>
      <c r="I9338" s="9"/>
    </row>
    <row r="9339" spans="1:9" x14ac:dyDescent="0.25">
      <c r="A9339">
        <v>739538</v>
      </c>
      <c r="B9339">
        <v>1.35</v>
      </c>
      <c r="C9339">
        <v>720</v>
      </c>
      <c r="D9339" s="9">
        <v>41837</v>
      </c>
      <c r="E9339" t="s">
        <v>296</v>
      </c>
      <c r="I9339" s="9"/>
    </row>
    <row r="9340" spans="1:9" x14ac:dyDescent="0.25">
      <c r="A9340">
        <v>740000</v>
      </c>
      <c r="B9340">
        <v>1.33</v>
      </c>
      <c r="C9340">
        <v>600</v>
      </c>
      <c r="D9340" s="9">
        <v>43684</v>
      </c>
      <c r="E9340" t="s">
        <v>296</v>
      </c>
      <c r="I9340" s="9"/>
    </row>
    <row r="9341" spans="1:9" x14ac:dyDescent="0.25">
      <c r="A9341">
        <v>740000</v>
      </c>
      <c r="B9341">
        <v>1.33</v>
      </c>
      <c r="C9341">
        <v>800</v>
      </c>
      <c r="D9341" s="9">
        <v>43684</v>
      </c>
      <c r="E9341" t="s">
        <v>296</v>
      </c>
      <c r="I9341" s="9"/>
    </row>
    <row r="9342" spans="1:9" x14ac:dyDescent="0.25">
      <c r="A9342">
        <v>740000</v>
      </c>
      <c r="B9342">
        <v>1.17</v>
      </c>
      <c r="C9342">
        <v>800</v>
      </c>
      <c r="D9342" s="9">
        <v>43489</v>
      </c>
      <c r="E9342" t="s">
        <v>296</v>
      </c>
      <c r="I9342" s="9"/>
    </row>
    <row r="9343" spans="1:9" x14ac:dyDescent="0.25">
      <c r="A9343">
        <v>740000</v>
      </c>
      <c r="B9343">
        <v>1.17</v>
      </c>
      <c r="C9343">
        <v>1000</v>
      </c>
      <c r="D9343" s="9">
        <v>43116</v>
      </c>
      <c r="E9343" t="s">
        <v>296</v>
      </c>
      <c r="I9343" s="9"/>
    </row>
    <row r="9344" spans="1:9" x14ac:dyDescent="0.25">
      <c r="A9344">
        <v>740000</v>
      </c>
      <c r="B9344">
        <v>1.1000000000000001</v>
      </c>
      <c r="C9344">
        <v>1200</v>
      </c>
      <c r="D9344" s="9">
        <v>42655</v>
      </c>
      <c r="E9344" t="s">
        <v>296</v>
      </c>
      <c r="I9344" s="9"/>
    </row>
    <row r="9345" spans="1:9" x14ac:dyDescent="0.25">
      <c r="A9345">
        <v>740000</v>
      </c>
      <c r="B9345">
        <v>1.1000000000000001</v>
      </c>
      <c r="C9345">
        <v>1200</v>
      </c>
      <c r="D9345" s="9">
        <v>42655</v>
      </c>
      <c r="E9345" t="s">
        <v>296</v>
      </c>
      <c r="I9345" s="9"/>
    </row>
    <row r="9346" spans="1:9" x14ac:dyDescent="0.25">
      <c r="A9346">
        <v>740000</v>
      </c>
      <c r="B9346">
        <v>1.25</v>
      </c>
      <c r="C9346">
        <v>800</v>
      </c>
      <c r="D9346" s="9">
        <v>42270</v>
      </c>
      <c r="E9346" t="s">
        <v>296</v>
      </c>
      <c r="I9346" s="9"/>
    </row>
    <row r="9347" spans="1:9" x14ac:dyDescent="0.25">
      <c r="A9347">
        <v>740000</v>
      </c>
      <c r="B9347">
        <v>1.2509999999999999</v>
      </c>
      <c r="C9347">
        <v>1200</v>
      </c>
      <c r="D9347" s="9">
        <v>41837</v>
      </c>
      <c r="E9347" t="s">
        <v>296</v>
      </c>
      <c r="I9347" s="9"/>
    </row>
    <row r="9348" spans="1:9" x14ac:dyDescent="0.25">
      <c r="A9348">
        <v>740000</v>
      </c>
      <c r="B9348">
        <v>1.35</v>
      </c>
      <c r="C9348">
        <v>1440</v>
      </c>
      <c r="D9348" s="9">
        <v>41526</v>
      </c>
      <c r="E9348" t="s">
        <v>296</v>
      </c>
      <c r="I9348" s="9"/>
    </row>
    <row r="9349" spans="1:9" x14ac:dyDescent="0.25">
      <c r="A9349">
        <v>740001</v>
      </c>
      <c r="B9349">
        <v>1.5</v>
      </c>
      <c r="C9349">
        <v>800</v>
      </c>
      <c r="D9349" s="9">
        <v>43598</v>
      </c>
      <c r="E9349" t="s">
        <v>296</v>
      </c>
      <c r="I9349" s="9"/>
    </row>
    <row r="9350" spans="1:9" x14ac:dyDescent="0.25">
      <c r="A9350">
        <v>740001</v>
      </c>
      <c r="B9350">
        <v>4.91</v>
      </c>
      <c r="C9350">
        <v>280</v>
      </c>
      <c r="D9350" s="9">
        <v>43090</v>
      </c>
      <c r="E9350" t="s">
        <v>295</v>
      </c>
      <c r="I9350" s="9"/>
    </row>
    <row r="9351" spans="1:9" x14ac:dyDescent="0.25">
      <c r="A9351">
        <v>740001</v>
      </c>
      <c r="B9351">
        <v>1.28</v>
      </c>
      <c r="C9351">
        <v>600</v>
      </c>
      <c r="D9351" s="9">
        <v>43052</v>
      </c>
      <c r="E9351" t="s">
        <v>296</v>
      </c>
      <c r="I9351" s="9"/>
    </row>
    <row r="9352" spans="1:9" x14ac:dyDescent="0.25">
      <c r="A9352">
        <v>740001</v>
      </c>
      <c r="B9352">
        <v>1.28</v>
      </c>
      <c r="C9352">
        <v>640</v>
      </c>
      <c r="D9352" s="9">
        <v>42719</v>
      </c>
      <c r="E9352" t="s">
        <v>296</v>
      </c>
      <c r="I9352" s="9"/>
    </row>
    <row r="9353" spans="1:9" x14ac:dyDescent="0.25">
      <c r="A9353">
        <v>740001</v>
      </c>
      <c r="B9353">
        <v>1.28</v>
      </c>
      <c r="C9353">
        <v>640</v>
      </c>
      <c r="D9353" s="9">
        <v>42586</v>
      </c>
      <c r="E9353" t="s">
        <v>296</v>
      </c>
      <c r="I9353" s="9"/>
    </row>
    <row r="9354" spans="1:9" x14ac:dyDescent="0.25">
      <c r="A9354">
        <v>740001</v>
      </c>
      <c r="B9354">
        <v>1.85</v>
      </c>
      <c r="C9354">
        <v>640</v>
      </c>
      <c r="D9354" s="9">
        <v>42270</v>
      </c>
      <c r="E9354" t="s">
        <v>296</v>
      </c>
      <c r="I9354" s="9"/>
    </row>
    <row r="9355" spans="1:9" x14ac:dyDescent="0.25">
      <c r="A9355">
        <v>740001</v>
      </c>
      <c r="B9355">
        <v>1.859</v>
      </c>
      <c r="C9355">
        <v>960</v>
      </c>
      <c r="D9355" s="9">
        <v>41837</v>
      </c>
      <c r="E9355" t="s">
        <v>296</v>
      </c>
      <c r="I9355" s="9"/>
    </row>
    <row r="9356" spans="1:9" x14ac:dyDescent="0.25">
      <c r="A9356">
        <v>740011</v>
      </c>
      <c r="B9356">
        <v>0.73</v>
      </c>
      <c r="C9356">
        <v>1000</v>
      </c>
      <c r="D9356" s="9">
        <v>44140</v>
      </c>
      <c r="E9356" t="s">
        <v>296</v>
      </c>
      <c r="I9356" s="9"/>
    </row>
    <row r="9357" spans="1:9" x14ac:dyDescent="0.25">
      <c r="A9357">
        <v>740011</v>
      </c>
      <c r="B9357">
        <v>0.68</v>
      </c>
      <c r="C9357">
        <v>900</v>
      </c>
      <c r="D9357" s="9">
        <v>43684</v>
      </c>
      <c r="E9357" t="s">
        <v>296</v>
      </c>
      <c r="I9357" s="9"/>
    </row>
    <row r="9358" spans="1:9" x14ac:dyDescent="0.25">
      <c r="A9358">
        <v>740011</v>
      </c>
      <c r="B9358">
        <v>0.68</v>
      </c>
      <c r="C9358">
        <v>300</v>
      </c>
      <c r="D9358" s="9">
        <v>43684</v>
      </c>
      <c r="E9358" t="s">
        <v>296</v>
      </c>
      <c r="I9358" s="9"/>
    </row>
    <row r="9359" spans="1:9" x14ac:dyDescent="0.25">
      <c r="A9359">
        <v>740011</v>
      </c>
      <c r="B9359">
        <v>0.875</v>
      </c>
      <c r="C9359">
        <v>600</v>
      </c>
      <c r="D9359" s="9">
        <v>43452</v>
      </c>
      <c r="E9359" t="s">
        <v>296</v>
      </c>
      <c r="I9359" s="9"/>
    </row>
    <row r="9360" spans="1:9" x14ac:dyDescent="0.25">
      <c r="A9360">
        <v>740011</v>
      </c>
      <c r="B9360">
        <v>0.85</v>
      </c>
      <c r="C9360">
        <v>1200</v>
      </c>
      <c r="D9360" s="9">
        <v>42815</v>
      </c>
      <c r="E9360" t="s">
        <v>296</v>
      </c>
      <c r="I9360" s="9"/>
    </row>
    <row r="9361" spans="1:9" x14ac:dyDescent="0.25">
      <c r="A9361">
        <v>740011</v>
      </c>
      <c r="B9361">
        <v>0.86199999999999999</v>
      </c>
      <c r="C9361">
        <v>720</v>
      </c>
      <c r="D9361" s="9">
        <v>42031</v>
      </c>
      <c r="E9361" t="s">
        <v>296</v>
      </c>
      <c r="I9361" s="9"/>
    </row>
    <row r="9362" spans="1:9" x14ac:dyDescent="0.25">
      <c r="A9362">
        <v>740011</v>
      </c>
      <c r="B9362">
        <v>0.86199999999999999</v>
      </c>
      <c r="C9362">
        <v>960</v>
      </c>
      <c r="D9362" s="9">
        <v>41505</v>
      </c>
      <c r="E9362" t="s">
        <v>296</v>
      </c>
      <c r="I9362" s="9"/>
    </row>
    <row r="9363" spans="1:9" x14ac:dyDescent="0.25">
      <c r="A9363">
        <v>740012</v>
      </c>
      <c r="B9363">
        <v>0.85</v>
      </c>
      <c r="C9363">
        <v>1300</v>
      </c>
      <c r="D9363" s="9">
        <v>43837</v>
      </c>
      <c r="E9363" t="s">
        <v>296</v>
      </c>
      <c r="I9363" s="9"/>
    </row>
    <row r="9364" spans="1:9" x14ac:dyDescent="0.25">
      <c r="A9364">
        <v>740012</v>
      </c>
      <c r="B9364">
        <v>0.84</v>
      </c>
      <c r="C9364">
        <v>1200</v>
      </c>
      <c r="D9364" s="9">
        <v>43438</v>
      </c>
      <c r="E9364" t="s">
        <v>296</v>
      </c>
      <c r="I9364" s="9"/>
    </row>
    <row r="9365" spans="1:9" x14ac:dyDescent="0.25">
      <c r="A9365">
        <v>740012</v>
      </c>
      <c r="B9365">
        <v>2.99</v>
      </c>
      <c r="C9365">
        <v>720</v>
      </c>
      <c r="D9365" s="9">
        <v>43230</v>
      </c>
      <c r="E9365" t="s">
        <v>295</v>
      </c>
      <c r="I9365" s="9"/>
    </row>
    <row r="9366" spans="1:9" x14ac:dyDescent="0.25">
      <c r="A9366">
        <v>740012</v>
      </c>
      <c r="B9366">
        <v>0.84</v>
      </c>
      <c r="C9366">
        <v>1280</v>
      </c>
      <c r="D9366" s="9">
        <v>43199</v>
      </c>
      <c r="E9366" t="s">
        <v>296</v>
      </c>
      <c r="I9366" s="9"/>
    </row>
    <row r="9367" spans="1:9" x14ac:dyDescent="0.25">
      <c r="A9367">
        <v>740012</v>
      </c>
      <c r="B9367">
        <v>0.8</v>
      </c>
      <c r="C9367">
        <v>960</v>
      </c>
      <c r="D9367" s="9">
        <v>43017</v>
      </c>
      <c r="E9367" t="s">
        <v>296</v>
      </c>
      <c r="I9367" s="9"/>
    </row>
    <row r="9368" spans="1:9" x14ac:dyDescent="0.25">
      <c r="A9368">
        <v>740012</v>
      </c>
      <c r="B9368">
        <v>0.75</v>
      </c>
      <c r="C9368">
        <v>960</v>
      </c>
      <c r="D9368" s="9">
        <v>42781</v>
      </c>
      <c r="E9368" t="s">
        <v>296</v>
      </c>
      <c r="I9368" s="9"/>
    </row>
    <row r="9369" spans="1:9" x14ac:dyDescent="0.25">
      <c r="A9369">
        <v>740012</v>
      </c>
      <c r="B9369">
        <v>0.75</v>
      </c>
      <c r="C9369">
        <v>800</v>
      </c>
      <c r="D9369" s="9">
        <v>42617</v>
      </c>
      <c r="E9369" t="s">
        <v>296</v>
      </c>
      <c r="I9369" s="9"/>
    </row>
    <row r="9370" spans="1:9" x14ac:dyDescent="0.25">
      <c r="A9370">
        <v>740012</v>
      </c>
      <c r="B9370">
        <v>0.75</v>
      </c>
      <c r="C9370">
        <v>1040</v>
      </c>
      <c r="D9370" s="9">
        <v>42207</v>
      </c>
      <c r="E9370" t="s">
        <v>296</v>
      </c>
      <c r="I9370" s="9"/>
    </row>
    <row r="9371" spans="1:9" x14ac:dyDescent="0.25">
      <c r="A9371">
        <v>740012</v>
      </c>
      <c r="B9371">
        <v>0.65</v>
      </c>
      <c r="C9371">
        <v>1040</v>
      </c>
      <c r="D9371" s="9">
        <v>42116</v>
      </c>
      <c r="E9371" t="s">
        <v>296</v>
      </c>
      <c r="I9371" s="9"/>
    </row>
    <row r="9372" spans="1:9" x14ac:dyDescent="0.25">
      <c r="A9372">
        <v>740012</v>
      </c>
      <c r="B9372">
        <v>1.19</v>
      </c>
      <c r="C9372">
        <v>1200</v>
      </c>
      <c r="D9372" s="9">
        <v>41837</v>
      </c>
      <c r="E9372" t="s">
        <v>296</v>
      </c>
      <c r="I9372" s="9"/>
    </row>
    <row r="9373" spans="1:9" x14ac:dyDescent="0.25">
      <c r="A9373">
        <v>740012</v>
      </c>
      <c r="B9373">
        <v>0.55000000000000004</v>
      </c>
      <c r="C9373">
        <v>1040</v>
      </c>
      <c r="D9373" s="9">
        <v>41558</v>
      </c>
      <c r="E9373" t="s">
        <v>296</v>
      </c>
      <c r="I9373" s="9"/>
    </row>
    <row r="9374" spans="1:9" x14ac:dyDescent="0.25">
      <c r="A9374">
        <v>740012</v>
      </c>
      <c r="B9374">
        <v>1.113</v>
      </c>
      <c r="C9374">
        <v>1120</v>
      </c>
      <c r="D9374" s="9">
        <v>41362</v>
      </c>
      <c r="E9374" t="s">
        <v>296</v>
      </c>
      <c r="I9374" s="9"/>
    </row>
    <row r="9375" spans="1:9" x14ac:dyDescent="0.25">
      <c r="A9375">
        <v>740050</v>
      </c>
      <c r="B9375">
        <v>7.51</v>
      </c>
      <c r="C9375">
        <v>5</v>
      </c>
      <c r="D9375" s="9">
        <v>44119</v>
      </c>
      <c r="E9375" t="s">
        <v>295</v>
      </c>
      <c r="I9375" s="9"/>
    </row>
    <row r="9376" spans="1:9" x14ac:dyDescent="0.25">
      <c r="A9376">
        <v>740050</v>
      </c>
      <c r="B9376">
        <v>1.1399999999999999</v>
      </c>
      <c r="C9376">
        <v>672</v>
      </c>
      <c r="D9376" s="9">
        <v>44025</v>
      </c>
      <c r="E9376" t="s">
        <v>296</v>
      </c>
      <c r="I9376" s="9"/>
    </row>
    <row r="9377" spans="1:9" x14ac:dyDescent="0.25">
      <c r="A9377">
        <v>740050</v>
      </c>
      <c r="B9377">
        <v>1.1399999999999999</v>
      </c>
      <c r="C9377">
        <v>640</v>
      </c>
      <c r="D9377" s="9">
        <v>43452</v>
      </c>
      <c r="E9377" t="s">
        <v>296</v>
      </c>
      <c r="I9377" s="9"/>
    </row>
    <row r="9378" spans="1:9" x14ac:dyDescent="0.25">
      <c r="A9378">
        <v>740050</v>
      </c>
      <c r="B9378">
        <v>1.075</v>
      </c>
      <c r="C9378">
        <v>720</v>
      </c>
      <c r="D9378" s="9">
        <v>43054</v>
      </c>
      <c r="E9378" t="s">
        <v>296</v>
      </c>
      <c r="I9378" s="9"/>
    </row>
    <row r="9379" spans="1:9" x14ac:dyDescent="0.25">
      <c r="A9379">
        <v>740050</v>
      </c>
      <c r="B9379">
        <v>1.091</v>
      </c>
      <c r="C9379">
        <v>1200</v>
      </c>
      <c r="D9379" s="9">
        <v>42271</v>
      </c>
      <c r="E9379" t="s">
        <v>296</v>
      </c>
      <c r="I9379" s="9"/>
    </row>
    <row r="9380" spans="1:9" x14ac:dyDescent="0.25">
      <c r="A9380">
        <v>740050</v>
      </c>
      <c r="B9380">
        <v>1.091</v>
      </c>
      <c r="C9380">
        <v>960</v>
      </c>
      <c r="D9380" s="9">
        <v>41751</v>
      </c>
      <c r="E9380" t="s">
        <v>296</v>
      </c>
      <c r="I9380" s="9"/>
    </row>
    <row r="9381" spans="1:9" x14ac:dyDescent="0.25">
      <c r="A9381">
        <v>740050</v>
      </c>
      <c r="B9381">
        <v>1.091</v>
      </c>
      <c r="C9381">
        <v>960</v>
      </c>
      <c r="D9381" s="9">
        <v>41435</v>
      </c>
      <c r="E9381" t="s">
        <v>296</v>
      </c>
      <c r="I9381" s="9"/>
    </row>
    <row r="9382" spans="1:9" x14ac:dyDescent="0.25">
      <c r="A9382">
        <v>740100</v>
      </c>
      <c r="B9382">
        <v>0.6</v>
      </c>
      <c r="C9382">
        <v>1200</v>
      </c>
      <c r="D9382" s="9">
        <v>43943</v>
      </c>
      <c r="E9382" t="s">
        <v>296</v>
      </c>
      <c r="I9382" s="9"/>
    </row>
    <row r="9383" spans="1:9" x14ac:dyDescent="0.25">
      <c r="A9383">
        <v>740100</v>
      </c>
      <c r="B9383">
        <v>0.6</v>
      </c>
      <c r="C9383">
        <v>1200</v>
      </c>
      <c r="D9383" s="9">
        <v>43648</v>
      </c>
      <c r="E9383" t="s">
        <v>296</v>
      </c>
      <c r="I9383" s="9"/>
    </row>
    <row r="9384" spans="1:9" x14ac:dyDescent="0.25">
      <c r="A9384">
        <v>740100</v>
      </c>
      <c r="B9384">
        <v>2.06</v>
      </c>
      <c r="C9384">
        <v>1900</v>
      </c>
      <c r="D9384" s="9">
        <v>43138</v>
      </c>
      <c r="E9384" t="s">
        <v>295</v>
      </c>
      <c r="I9384" s="9"/>
    </row>
    <row r="9385" spans="1:9" x14ac:dyDescent="0.25">
      <c r="A9385">
        <v>740100</v>
      </c>
      <c r="B9385">
        <v>0.57999999999999996</v>
      </c>
      <c r="C9385">
        <v>1900</v>
      </c>
      <c r="D9385" s="9">
        <v>43111</v>
      </c>
      <c r="E9385" t="s">
        <v>296</v>
      </c>
      <c r="I9385" s="9"/>
    </row>
    <row r="9386" spans="1:9" x14ac:dyDescent="0.25">
      <c r="A9386">
        <v>740100</v>
      </c>
      <c r="B9386">
        <v>0.51</v>
      </c>
      <c r="C9386">
        <v>1600</v>
      </c>
      <c r="D9386" s="9">
        <v>42698</v>
      </c>
      <c r="E9386" t="s">
        <v>296</v>
      </c>
      <c r="I9386" s="9"/>
    </row>
    <row r="9387" spans="1:9" x14ac:dyDescent="0.25">
      <c r="A9387">
        <v>740100</v>
      </c>
      <c r="B9387">
        <v>0.51</v>
      </c>
      <c r="C9387">
        <v>1000</v>
      </c>
      <c r="D9387" s="9">
        <v>42383</v>
      </c>
      <c r="E9387" t="s">
        <v>296</v>
      </c>
      <c r="I9387" s="9"/>
    </row>
    <row r="9388" spans="1:9" x14ac:dyDescent="0.25">
      <c r="A9388">
        <v>740100</v>
      </c>
      <c r="B9388">
        <v>0.48</v>
      </c>
      <c r="C9388">
        <v>1000</v>
      </c>
      <c r="D9388" s="9">
        <v>42116</v>
      </c>
      <c r="E9388" t="s">
        <v>296</v>
      </c>
      <c r="I9388" s="9"/>
    </row>
    <row r="9389" spans="1:9" x14ac:dyDescent="0.25">
      <c r="A9389">
        <v>740100</v>
      </c>
      <c r="B9389">
        <v>0.79900000000000004</v>
      </c>
      <c r="C9389">
        <v>1000</v>
      </c>
      <c r="D9389" s="9">
        <v>41837</v>
      </c>
      <c r="E9389" t="s">
        <v>296</v>
      </c>
      <c r="I9389" s="9"/>
    </row>
    <row r="9390" spans="1:9" x14ac:dyDescent="0.25">
      <c r="A9390">
        <v>740100</v>
      </c>
      <c r="B9390">
        <v>0.75</v>
      </c>
      <c r="C9390">
        <v>960</v>
      </c>
      <c r="D9390" s="9">
        <v>41526</v>
      </c>
      <c r="E9390" t="s">
        <v>296</v>
      </c>
      <c r="I9390" s="9"/>
    </row>
    <row r="9391" spans="1:9" x14ac:dyDescent="0.25">
      <c r="A9391">
        <v>740101</v>
      </c>
      <c r="B9391">
        <v>0.71</v>
      </c>
      <c r="C9391">
        <v>1000</v>
      </c>
      <c r="D9391" s="9">
        <v>43998</v>
      </c>
      <c r="E9391" t="s">
        <v>296</v>
      </c>
      <c r="I9391" s="9"/>
    </row>
    <row r="9392" spans="1:9" x14ac:dyDescent="0.25">
      <c r="A9392">
        <v>740101</v>
      </c>
      <c r="B9392">
        <v>0.68</v>
      </c>
      <c r="C9392">
        <v>1200</v>
      </c>
      <c r="D9392" s="9">
        <v>43648</v>
      </c>
      <c r="E9392" t="s">
        <v>296</v>
      </c>
      <c r="I9392" s="9"/>
    </row>
    <row r="9393" spans="1:9" x14ac:dyDescent="0.25">
      <c r="A9393">
        <v>740101</v>
      </c>
      <c r="B9393">
        <v>0.66</v>
      </c>
      <c r="C9393">
        <v>1300</v>
      </c>
      <c r="D9393" s="9">
        <v>43199</v>
      </c>
      <c r="E9393" t="s">
        <v>296</v>
      </c>
      <c r="I9393" s="9"/>
    </row>
    <row r="9394" spans="1:9" x14ac:dyDescent="0.25">
      <c r="A9394">
        <v>740101</v>
      </c>
      <c r="B9394">
        <v>2.38</v>
      </c>
      <c r="C9394">
        <v>1300</v>
      </c>
      <c r="D9394" s="9">
        <v>43138</v>
      </c>
      <c r="E9394" t="s">
        <v>295</v>
      </c>
      <c r="I9394" s="9"/>
    </row>
    <row r="9395" spans="1:9" x14ac:dyDescent="0.25">
      <c r="A9395">
        <v>740101</v>
      </c>
      <c r="B9395">
        <v>0.65800000000000003</v>
      </c>
      <c r="C9395">
        <v>1200</v>
      </c>
      <c r="D9395" s="9">
        <v>43116</v>
      </c>
      <c r="E9395" t="s">
        <v>296</v>
      </c>
      <c r="I9395" s="9"/>
    </row>
    <row r="9396" spans="1:9" x14ac:dyDescent="0.25">
      <c r="A9396">
        <v>740101</v>
      </c>
      <c r="B9396">
        <v>0.66</v>
      </c>
      <c r="C9396">
        <v>1300</v>
      </c>
      <c r="D9396" s="9">
        <v>43111</v>
      </c>
      <c r="E9396" t="s">
        <v>296</v>
      </c>
      <c r="I9396" s="9"/>
    </row>
    <row r="9397" spans="1:9" x14ac:dyDescent="0.25">
      <c r="A9397">
        <v>740101</v>
      </c>
      <c r="B9397">
        <v>0.6</v>
      </c>
      <c r="C9397">
        <v>1200</v>
      </c>
      <c r="D9397" s="9">
        <v>42972</v>
      </c>
      <c r="E9397" t="s">
        <v>296</v>
      </c>
      <c r="I9397" s="9"/>
    </row>
    <row r="9398" spans="1:9" x14ac:dyDescent="0.25">
      <c r="A9398">
        <v>740101</v>
      </c>
      <c r="B9398">
        <v>0.56999999999999995</v>
      </c>
      <c r="C9398">
        <v>1600</v>
      </c>
      <c r="D9398" s="9">
        <v>42698</v>
      </c>
      <c r="E9398" t="s">
        <v>296</v>
      </c>
      <c r="I9398" s="9"/>
    </row>
    <row r="9399" spans="1:9" x14ac:dyDescent="0.25">
      <c r="A9399">
        <v>740101</v>
      </c>
      <c r="B9399">
        <v>0.56999999999999995</v>
      </c>
      <c r="C9399">
        <v>1200</v>
      </c>
      <c r="D9399" s="9">
        <v>42530</v>
      </c>
      <c r="E9399" t="s">
        <v>296</v>
      </c>
      <c r="I9399" s="9"/>
    </row>
    <row r="9400" spans="1:9" x14ac:dyDescent="0.25">
      <c r="A9400">
        <v>740101</v>
      </c>
      <c r="B9400">
        <v>0.56999999999999995</v>
      </c>
      <c r="C9400">
        <v>1200</v>
      </c>
      <c r="D9400" s="9">
        <v>42383</v>
      </c>
      <c r="E9400" t="s">
        <v>296</v>
      </c>
      <c r="I9400" s="9"/>
    </row>
    <row r="9401" spans="1:9" x14ac:dyDescent="0.25">
      <c r="A9401">
        <v>740101</v>
      </c>
      <c r="B9401">
        <v>0.51</v>
      </c>
      <c r="C9401">
        <v>1200</v>
      </c>
      <c r="D9401" s="9">
        <v>42230</v>
      </c>
      <c r="E9401" t="s">
        <v>296</v>
      </c>
      <c r="I9401" s="9"/>
    </row>
    <row r="9402" spans="1:9" x14ac:dyDescent="0.25">
      <c r="A9402">
        <v>740101</v>
      </c>
      <c r="B9402">
        <v>0.51</v>
      </c>
      <c r="C9402">
        <v>1200</v>
      </c>
      <c r="D9402" s="9">
        <v>42116</v>
      </c>
      <c r="E9402" t="s">
        <v>296</v>
      </c>
      <c r="I9402" s="9"/>
    </row>
    <row r="9403" spans="1:9" x14ac:dyDescent="0.25">
      <c r="A9403">
        <v>740101</v>
      </c>
      <c r="B9403">
        <v>0.88</v>
      </c>
      <c r="C9403">
        <v>1400</v>
      </c>
      <c r="D9403" s="9">
        <v>41837</v>
      </c>
      <c r="E9403" t="s">
        <v>296</v>
      </c>
      <c r="I9403" s="9"/>
    </row>
    <row r="9404" spans="1:9" x14ac:dyDescent="0.25">
      <c r="A9404">
        <v>740101</v>
      </c>
      <c r="B9404">
        <v>0.72</v>
      </c>
      <c r="C9404">
        <v>1400</v>
      </c>
      <c r="D9404" s="9">
        <v>41526</v>
      </c>
      <c r="E9404" t="s">
        <v>296</v>
      </c>
      <c r="I9404" s="9"/>
    </row>
    <row r="9405" spans="1:9" x14ac:dyDescent="0.25">
      <c r="A9405">
        <v>740101</v>
      </c>
      <c r="B9405">
        <v>0.70799999999999996</v>
      </c>
      <c r="C9405">
        <v>1600</v>
      </c>
      <c r="D9405" s="9">
        <v>41366</v>
      </c>
      <c r="E9405" t="s">
        <v>296</v>
      </c>
      <c r="I9405" s="9"/>
    </row>
    <row r="9406" spans="1:9" x14ac:dyDescent="0.25">
      <c r="A9406">
        <v>740102</v>
      </c>
      <c r="B9406">
        <v>0.83</v>
      </c>
      <c r="C9406">
        <v>1200</v>
      </c>
      <c r="D9406" s="9">
        <v>43943</v>
      </c>
      <c r="E9406" t="s">
        <v>296</v>
      </c>
      <c r="I9406" s="9"/>
    </row>
    <row r="9407" spans="1:9" x14ac:dyDescent="0.25">
      <c r="A9407">
        <v>740102</v>
      </c>
      <c r="B9407">
        <v>0.83</v>
      </c>
      <c r="C9407">
        <v>1200</v>
      </c>
      <c r="D9407" s="9">
        <v>43648</v>
      </c>
      <c r="E9407" t="s">
        <v>296</v>
      </c>
      <c r="I9407" s="9"/>
    </row>
    <row r="9408" spans="1:9" x14ac:dyDescent="0.25">
      <c r="A9408">
        <v>740102</v>
      </c>
      <c r="B9408">
        <v>2.97</v>
      </c>
      <c r="C9408">
        <v>900</v>
      </c>
      <c r="D9408" s="9">
        <v>43230</v>
      </c>
      <c r="E9408" t="s">
        <v>295</v>
      </c>
      <c r="I9408" s="9"/>
    </row>
    <row r="9409" spans="1:9" x14ac:dyDescent="0.25">
      <c r="A9409">
        <v>740102</v>
      </c>
      <c r="B9409">
        <v>0.81</v>
      </c>
      <c r="C9409">
        <v>1800</v>
      </c>
      <c r="D9409" s="9">
        <v>43199</v>
      </c>
      <c r="E9409" t="s">
        <v>296</v>
      </c>
      <c r="I9409" s="9"/>
    </row>
    <row r="9410" spans="1:9" x14ac:dyDescent="0.25">
      <c r="A9410">
        <v>740102</v>
      </c>
      <c r="B9410">
        <v>0.79</v>
      </c>
      <c r="C9410">
        <v>1200</v>
      </c>
      <c r="D9410" s="9">
        <v>43017</v>
      </c>
      <c r="E9410" t="s">
        <v>296</v>
      </c>
      <c r="I9410" s="9"/>
    </row>
    <row r="9411" spans="1:9" x14ac:dyDescent="0.25">
      <c r="A9411">
        <v>740102</v>
      </c>
      <c r="B9411">
        <v>0.74</v>
      </c>
      <c r="C9411">
        <v>960</v>
      </c>
      <c r="D9411" s="9">
        <v>42719</v>
      </c>
      <c r="E9411" t="s">
        <v>296</v>
      </c>
      <c r="I9411" s="9"/>
    </row>
    <row r="9412" spans="1:9" x14ac:dyDescent="0.25">
      <c r="A9412">
        <v>740102</v>
      </c>
      <c r="B9412">
        <v>0.74</v>
      </c>
      <c r="C9412">
        <v>1200</v>
      </c>
      <c r="D9412" s="9">
        <v>42698</v>
      </c>
      <c r="E9412" t="s">
        <v>296</v>
      </c>
      <c r="I9412" s="9"/>
    </row>
    <row r="9413" spans="1:9" x14ac:dyDescent="0.25">
      <c r="A9413">
        <v>740102</v>
      </c>
      <c r="B9413">
        <v>0.74</v>
      </c>
      <c r="C9413">
        <v>960</v>
      </c>
      <c r="D9413" s="9">
        <v>42530</v>
      </c>
      <c r="E9413" t="s">
        <v>296</v>
      </c>
      <c r="I9413" s="9"/>
    </row>
    <row r="9414" spans="1:9" x14ac:dyDescent="0.25">
      <c r="A9414">
        <v>740102</v>
      </c>
      <c r="B9414">
        <v>0.68</v>
      </c>
      <c r="C9414">
        <v>960</v>
      </c>
      <c r="D9414" s="9">
        <v>42230</v>
      </c>
      <c r="E9414" t="s">
        <v>296</v>
      </c>
      <c r="I9414" s="9"/>
    </row>
    <row r="9415" spans="1:9" x14ac:dyDescent="0.25">
      <c r="A9415">
        <v>740102</v>
      </c>
      <c r="B9415">
        <v>0.68</v>
      </c>
      <c r="C9415">
        <v>1200</v>
      </c>
      <c r="D9415" s="9">
        <v>42116</v>
      </c>
      <c r="E9415" t="s">
        <v>296</v>
      </c>
      <c r="I9415" s="9"/>
    </row>
    <row r="9416" spans="1:9" x14ac:dyDescent="0.25">
      <c r="A9416">
        <v>740102</v>
      </c>
      <c r="B9416">
        <v>1.325</v>
      </c>
      <c r="C9416">
        <v>720</v>
      </c>
      <c r="D9416" s="9">
        <v>41837</v>
      </c>
      <c r="E9416" t="s">
        <v>296</v>
      </c>
      <c r="I9416" s="9"/>
    </row>
    <row r="9417" spans="1:9" x14ac:dyDescent="0.25">
      <c r="A9417">
        <v>740102</v>
      </c>
      <c r="B9417">
        <v>1.2</v>
      </c>
      <c r="C9417">
        <v>1000</v>
      </c>
      <c r="D9417" s="9">
        <v>41526</v>
      </c>
      <c r="E9417" t="s">
        <v>296</v>
      </c>
      <c r="I9417" s="9"/>
    </row>
    <row r="9418" spans="1:9" x14ac:dyDescent="0.25">
      <c r="A9418">
        <v>740102</v>
      </c>
      <c r="B9418">
        <v>1.1850000000000001</v>
      </c>
      <c r="C9418">
        <v>1000</v>
      </c>
      <c r="D9418" s="9">
        <v>41366</v>
      </c>
      <c r="E9418" t="s">
        <v>296</v>
      </c>
      <c r="I9418" s="9"/>
    </row>
    <row r="9419" spans="1:9" x14ac:dyDescent="0.25">
      <c r="A9419">
        <v>740104</v>
      </c>
      <c r="B9419">
        <v>1.02</v>
      </c>
      <c r="C9419">
        <v>960</v>
      </c>
      <c r="D9419" s="9">
        <v>42116</v>
      </c>
      <c r="E9419" t="s">
        <v>296</v>
      </c>
      <c r="I9419" s="9"/>
    </row>
    <row r="9420" spans="1:9" x14ac:dyDescent="0.25">
      <c r="A9420">
        <v>740104</v>
      </c>
      <c r="B9420">
        <v>2.343</v>
      </c>
      <c r="C9420">
        <v>450</v>
      </c>
      <c r="D9420" s="9">
        <v>41837</v>
      </c>
      <c r="E9420" t="s">
        <v>296</v>
      </c>
      <c r="I9420" s="9"/>
    </row>
    <row r="9421" spans="1:9" x14ac:dyDescent="0.25">
      <c r="A9421">
        <v>740104</v>
      </c>
      <c r="B9421">
        <v>2.0870000000000002</v>
      </c>
      <c r="C9421">
        <v>360</v>
      </c>
      <c r="D9421" s="9">
        <v>41505</v>
      </c>
      <c r="E9421" t="s">
        <v>296</v>
      </c>
      <c r="I9421" s="9"/>
    </row>
    <row r="9422" spans="1:9" x14ac:dyDescent="0.25">
      <c r="A9422">
        <v>740104</v>
      </c>
      <c r="B9422">
        <v>2.0870000000000002</v>
      </c>
      <c r="C9422">
        <v>360</v>
      </c>
      <c r="D9422" s="9">
        <v>41362</v>
      </c>
      <c r="E9422" t="s">
        <v>296</v>
      </c>
      <c r="I9422" s="9"/>
    </row>
    <row r="9423" spans="1:9" x14ac:dyDescent="0.25">
      <c r="A9423">
        <v>740130</v>
      </c>
      <c r="B9423">
        <v>0.98</v>
      </c>
      <c r="C9423">
        <v>768</v>
      </c>
      <c r="D9423" s="9">
        <v>42617</v>
      </c>
      <c r="E9423" t="s">
        <v>296</v>
      </c>
      <c r="I9423" s="9"/>
    </row>
    <row r="9424" spans="1:9" x14ac:dyDescent="0.25">
      <c r="A9424">
        <v>740130</v>
      </c>
      <c r="B9424">
        <v>1.115</v>
      </c>
      <c r="C9424">
        <v>672</v>
      </c>
      <c r="D9424" s="9">
        <v>42031</v>
      </c>
      <c r="E9424" t="s">
        <v>296</v>
      </c>
      <c r="I9424" s="9"/>
    </row>
    <row r="9425" spans="1:9" x14ac:dyDescent="0.25">
      <c r="A9425">
        <v>740130</v>
      </c>
      <c r="B9425">
        <v>1.115</v>
      </c>
      <c r="C9425">
        <v>700</v>
      </c>
      <c r="D9425" s="9">
        <v>41837</v>
      </c>
      <c r="E9425" t="s">
        <v>296</v>
      </c>
      <c r="I9425" s="9"/>
    </row>
    <row r="9426" spans="1:9" x14ac:dyDescent="0.25">
      <c r="A9426">
        <v>740130</v>
      </c>
      <c r="B9426">
        <v>1</v>
      </c>
      <c r="C9426">
        <v>540</v>
      </c>
      <c r="D9426" s="9">
        <v>41526</v>
      </c>
      <c r="E9426" t="s">
        <v>296</v>
      </c>
      <c r="I9426" s="9"/>
    </row>
    <row r="9427" spans="1:9" x14ac:dyDescent="0.25">
      <c r="A9427">
        <v>740130</v>
      </c>
      <c r="B9427">
        <v>0.96</v>
      </c>
      <c r="C9427">
        <v>510</v>
      </c>
      <c r="D9427" s="9">
        <v>41366</v>
      </c>
      <c r="E9427" t="s">
        <v>296</v>
      </c>
      <c r="I9427" s="9"/>
    </row>
    <row r="9428" spans="1:9" x14ac:dyDescent="0.25">
      <c r="A9428">
        <v>740230</v>
      </c>
      <c r="B9428">
        <v>0.84</v>
      </c>
      <c r="C9428">
        <v>1050</v>
      </c>
      <c r="D9428" s="9">
        <v>43648</v>
      </c>
      <c r="E9428" t="s">
        <v>296</v>
      </c>
      <c r="I9428" s="9"/>
    </row>
    <row r="9429" spans="1:9" x14ac:dyDescent="0.25">
      <c r="A9429">
        <v>740230</v>
      </c>
      <c r="B9429">
        <v>0.92</v>
      </c>
      <c r="C9429">
        <v>640</v>
      </c>
      <c r="D9429" s="9">
        <v>43452</v>
      </c>
      <c r="E9429" t="s">
        <v>296</v>
      </c>
      <c r="I9429" s="9"/>
    </row>
    <row r="9430" spans="1:9" x14ac:dyDescent="0.25">
      <c r="A9430">
        <v>740230</v>
      </c>
      <c r="B9430">
        <v>0.90300000000000002</v>
      </c>
      <c r="C9430">
        <v>1280</v>
      </c>
      <c r="D9430" s="9">
        <v>42641</v>
      </c>
      <c r="E9430" t="s">
        <v>296</v>
      </c>
      <c r="I9430" s="9"/>
    </row>
    <row r="9431" spans="1:9" x14ac:dyDescent="0.25">
      <c r="A9431">
        <v>740230</v>
      </c>
      <c r="B9431">
        <v>0.90300000000000002</v>
      </c>
      <c r="C9431">
        <v>1280</v>
      </c>
      <c r="D9431" s="9">
        <v>42641</v>
      </c>
      <c r="E9431" t="s">
        <v>296</v>
      </c>
      <c r="I9431" s="9"/>
    </row>
    <row r="9432" spans="1:9" x14ac:dyDescent="0.25">
      <c r="A9432">
        <v>740230</v>
      </c>
      <c r="B9432">
        <v>3.52</v>
      </c>
      <c r="C9432">
        <v>640</v>
      </c>
      <c r="D9432" s="9">
        <v>42508</v>
      </c>
      <c r="E9432" t="s">
        <v>295</v>
      </c>
      <c r="I9432" s="9"/>
    </row>
    <row r="9433" spans="1:9" x14ac:dyDescent="0.25">
      <c r="A9433">
        <v>740230</v>
      </c>
      <c r="B9433">
        <v>0.90300000000000002</v>
      </c>
      <c r="C9433">
        <v>640</v>
      </c>
      <c r="D9433" s="9">
        <v>42508</v>
      </c>
      <c r="E9433" t="s">
        <v>296</v>
      </c>
      <c r="I9433" s="9"/>
    </row>
    <row r="9434" spans="1:9" x14ac:dyDescent="0.25">
      <c r="A9434">
        <v>740230</v>
      </c>
      <c r="B9434">
        <v>0.98699999999999999</v>
      </c>
      <c r="C9434">
        <v>1760</v>
      </c>
      <c r="D9434" s="9">
        <v>41751</v>
      </c>
      <c r="E9434" t="s">
        <v>296</v>
      </c>
      <c r="I9434" s="9"/>
    </row>
    <row r="9435" spans="1:9" x14ac:dyDescent="0.25">
      <c r="A9435">
        <v>740230</v>
      </c>
      <c r="B9435">
        <v>0.98699999999999999</v>
      </c>
      <c r="C9435">
        <v>1760</v>
      </c>
      <c r="D9435" s="9">
        <v>41362</v>
      </c>
      <c r="E9435" t="s">
        <v>296</v>
      </c>
      <c r="I9435" s="9"/>
    </row>
    <row r="9436" spans="1:9" x14ac:dyDescent="0.25">
      <c r="A9436">
        <v>741002</v>
      </c>
      <c r="B9436">
        <v>1.1599999999999999</v>
      </c>
      <c r="C9436">
        <v>896</v>
      </c>
      <c r="D9436" s="9">
        <v>42641</v>
      </c>
      <c r="E9436" t="s">
        <v>296</v>
      </c>
      <c r="I9436" s="9"/>
    </row>
    <row r="9437" spans="1:9" x14ac:dyDescent="0.25">
      <c r="A9437">
        <v>741002</v>
      </c>
      <c r="B9437">
        <v>1.1599999999999999</v>
      </c>
      <c r="C9437">
        <v>896</v>
      </c>
      <c r="D9437" s="9">
        <v>42641</v>
      </c>
      <c r="E9437" t="s">
        <v>296</v>
      </c>
      <c r="I9437" s="9"/>
    </row>
    <row r="9438" spans="1:9" x14ac:dyDescent="0.25">
      <c r="A9438">
        <v>741002</v>
      </c>
      <c r="B9438">
        <v>1.1779999999999999</v>
      </c>
      <c r="C9438">
        <v>560</v>
      </c>
      <c r="D9438" s="9">
        <v>41983</v>
      </c>
      <c r="E9438" t="s">
        <v>296</v>
      </c>
      <c r="I9438" s="9"/>
    </row>
    <row r="9439" spans="1:9" x14ac:dyDescent="0.25">
      <c r="A9439">
        <v>741002</v>
      </c>
      <c r="B9439">
        <v>1.1200000000000001</v>
      </c>
      <c r="C9439">
        <v>560</v>
      </c>
      <c r="D9439" s="9">
        <v>41558</v>
      </c>
      <c r="E9439" t="s">
        <v>296</v>
      </c>
      <c r="I9439" s="9"/>
    </row>
    <row r="9440" spans="1:9" x14ac:dyDescent="0.25">
      <c r="A9440">
        <v>741002</v>
      </c>
      <c r="B9440">
        <v>1.0840000000000001</v>
      </c>
      <c r="C9440">
        <v>560</v>
      </c>
      <c r="D9440" s="9">
        <v>41295</v>
      </c>
      <c r="E9440" t="s">
        <v>296</v>
      </c>
      <c r="I9440" s="9"/>
    </row>
    <row r="9441" spans="1:9" x14ac:dyDescent="0.25">
      <c r="A9441">
        <v>741010</v>
      </c>
      <c r="B9441">
        <v>0.5</v>
      </c>
      <c r="C9441">
        <v>1248</v>
      </c>
      <c r="D9441" s="9">
        <v>43839</v>
      </c>
      <c r="E9441" t="s">
        <v>296</v>
      </c>
      <c r="I9441" s="9"/>
    </row>
    <row r="9442" spans="1:9" x14ac:dyDescent="0.25">
      <c r="A9442">
        <v>741010</v>
      </c>
      <c r="B9442">
        <v>0.5</v>
      </c>
      <c r="C9442">
        <v>1056</v>
      </c>
      <c r="D9442" s="9">
        <v>43438</v>
      </c>
      <c r="E9442" t="s">
        <v>296</v>
      </c>
      <c r="I9442" s="9"/>
    </row>
    <row r="9443" spans="1:9" x14ac:dyDescent="0.25">
      <c r="A9443">
        <v>741010</v>
      </c>
      <c r="B9443">
        <v>0.49</v>
      </c>
      <c r="C9443">
        <v>1152</v>
      </c>
      <c r="D9443" s="9">
        <v>43111</v>
      </c>
      <c r="E9443" t="s">
        <v>296</v>
      </c>
      <c r="I9443" s="9"/>
    </row>
    <row r="9444" spans="1:9" x14ac:dyDescent="0.25">
      <c r="A9444">
        <v>741010</v>
      </c>
      <c r="B9444">
        <v>0.44</v>
      </c>
      <c r="C9444">
        <v>1152</v>
      </c>
      <c r="D9444" s="9">
        <v>42972</v>
      </c>
      <c r="E9444" t="s">
        <v>296</v>
      </c>
      <c r="I9444" s="9"/>
    </row>
    <row r="9445" spans="1:9" x14ac:dyDescent="0.25">
      <c r="A9445">
        <v>741010</v>
      </c>
      <c r="B9445">
        <v>0.44800000000000001</v>
      </c>
      <c r="C9445">
        <v>1200</v>
      </c>
      <c r="D9445" s="9">
        <v>42815</v>
      </c>
      <c r="E9445" t="s">
        <v>296</v>
      </c>
      <c r="I9445" s="9"/>
    </row>
    <row r="9446" spans="1:9" x14ac:dyDescent="0.25">
      <c r="A9446">
        <v>741010</v>
      </c>
      <c r="B9446">
        <v>0.42899999999999999</v>
      </c>
      <c r="C9446">
        <v>1344</v>
      </c>
      <c r="D9446" s="9">
        <v>42040</v>
      </c>
      <c r="E9446" t="s">
        <v>296</v>
      </c>
      <c r="I9446" s="9"/>
    </row>
    <row r="9447" spans="1:9" x14ac:dyDescent="0.25">
      <c r="A9447">
        <v>741010</v>
      </c>
      <c r="B9447">
        <v>0.42899999999999999</v>
      </c>
      <c r="C9447">
        <v>1152</v>
      </c>
      <c r="D9447" s="9">
        <v>41865</v>
      </c>
      <c r="E9447" t="s">
        <v>296</v>
      </c>
      <c r="I9447" s="9"/>
    </row>
    <row r="9448" spans="1:9" x14ac:dyDescent="0.25">
      <c r="A9448">
        <v>741010</v>
      </c>
      <c r="B9448">
        <v>0.42899999999999999</v>
      </c>
      <c r="C9448">
        <v>1152</v>
      </c>
      <c r="D9448" s="9">
        <v>41535</v>
      </c>
      <c r="E9448" t="s">
        <v>296</v>
      </c>
      <c r="I9448" s="9"/>
    </row>
    <row r="9449" spans="1:9" x14ac:dyDescent="0.25">
      <c r="A9449">
        <v>741010</v>
      </c>
      <c r="B9449">
        <v>0.40899999999999997</v>
      </c>
      <c r="C9449">
        <v>1152</v>
      </c>
      <c r="D9449" s="9">
        <v>41295</v>
      </c>
      <c r="E9449" t="s">
        <v>296</v>
      </c>
      <c r="I9449" s="9"/>
    </row>
    <row r="9450" spans="1:9" x14ac:dyDescent="0.25">
      <c r="A9450">
        <v>741011</v>
      </c>
      <c r="B9450">
        <v>0.55000000000000004</v>
      </c>
      <c r="C9450">
        <v>1440</v>
      </c>
      <c r="D9450" s="9">
        <v>44062</v>
      </c>
      <c r="E9450" t="s">
        <v>296</v>
      </c>
      <c r="I9450" s="9"/>
    </row>
    <row r="9451" spans="1:9" x14ac:dyDescent="0.25">
      <c r="A9451">
        <v>741011</v>
      </c>
      <c r="B9451">
        <v>0.52</v>
      </c>
      <c r="C9451">
        <v>2208</v>
      </c>
      <c r="D9451" s="9">
        <v>43648</v>
      </c>
      <c r="E9451" t="s">
        <v>296</v>
      </c>
      <c r="I9451" s="9"/>
    </row>
    <row r="9452" spans="1:9" x14ac:dyDescent="0.25">
      <c r="A9452">
        <v>741011</v>
      </c>
      <c r="B9452">
        <v>0.5</v>
      </c>
      <c r="C9452">
        <v>1440</v>
      </c>
      <c r="D9452" s="9">
        <v>43111</v>
      </c>
      <c r="E9452" t="s">
        <v>296</v>
      </c>
      <c r="I9452" s="9"/>
    </row>
    <row r="9453" spans="1:9" x14ac:dyDescent="0.25">
      <c r="A9453">
        <v>741011</v>
      </c>
      <c r="B9453">
        <v>0.45</v>
      </c>
      <c r="C9453">
        <v>1728</v>
      </c>
      <c r="D9453" s="9">
        <v>42972</v>
      </c>
      <c r="E9453" t="s">
        <v>296</v>
      </c>
      <c r="I9453" s="9"/>
    </row>
    <row r="9454" spans="1:9" x14ac:dyDescent="0.25">
      <c r="A9454">
        <v>741011</v>
      </c>
      <c r="B9454">
        <v>0.42</v>
      </c>
      <c r="C9454">
        <v>1920</v>
      </c>
      <c r="D9454" s="9">
        <v>42698</v>
      </c>
      <c r="E9454" t="s">
        <v>296</v>
      </c>
      <c r="I9454" s="9"/>
    </row>
    <row r="9455" spans="1:9" x14ac:dyDescent="0.25">
      <c r="A9455">
        <v>741011</v>
      </c>
      <c r="B9455">
        <v>0.42</v>
      </c>
      <c r="C9455">
        <v>1344</v>
      </c>
      <c r="D9455" s="9">
        <v>42530</v>
      </c>
      <c r="E9455" t="s">
        <v>296</v>
      </c>
      <c r="I9455" s="9"/>
    </row>
    <row r="9456" spans="1:9" x14ac:dyDescent="0.25">
      <c r="A9456">
        <v>741011</v>
      </c>
      <c r="B9456">
        <v>0.42</v>
      </c>
      <c r="C9456">
        <v>1344</v>
      </c>
      <c r="D9456" s="9">
        <v>42321</v>
      </c>
      <c r="E9456" t="s">
        <v>296</v>
      </c>
      <c r="I9456" s="9"/>
    </row>
    <row r="9457" spans="1:9" x14ac:dyDescent="0.25">
      <c r="A9457">
        <v>741011</v>
      </c>
      <c r="B9457">
        <v>0.502</v>
      </c>
      <c r="C9457">
        <v>1344</v>
      </c>
      <c r="D9457" s="9">
        <v>42040</v>
      </c>
      <c r="E9457" t="s">
        <v>296</v>
      </c>
      <c r="I9457" s="9"/>
    </row>
    <row r="9458" spans="1:9" x14ac:dyDescent="0.25">
      <c r="A9458">
        <v>741011</v>
      </c>
      <c r="B9458">
        <v>0.502</v>
      </c>
      <c r="C9458">
        <v>1152</v>
      </c>
      <c r="D9458" s="9">
        <v>41865</v>
      </c>
      <c r="E9458" t="s">
        <v>296</v>
      </c>
      <c r="I9458" s="9"/>
    </row>
    <row r="9459" spans="1:9" x14ac:dyDescent="0.25">
      <c r="A9459">
        <v>741011</v>
      </c>
      <c r="B9459">
        <v>0.502</v>
      </c>
      <c r="C9459">
        <v>1152</v>
      </c>
      <c r="D9459" s="9">
        <v>41617</v>
      </c>
      <c r="E9459" t="s">
        <v>296</v>
      </c>
      <c r="I9459" s="9"/>
    </row>
    <row r="9460" spans="1:9" x14ac:dyDescent="0.25">
      <c r="A9460">
        <v>741011</v>
      </c>
      <c r="B9460">
        <v>0.48699999999999999</v>
      </c>
      <c r="C9460">
        <v>896</v>
      </c>
      <c r="D9460" s="9">
        <v>41295</v>
      </c>
      <c r="E9460" t="s">
        <v>296</v>
      </c>
      <c r="I9460" s="9"/>
    </row>
    <row r="9461" spans="1:9" x14ac:dyDescent="0.25">
      <c r="A9461">
        <v>741012</v>
      </c>
      <c r="B9461">
        <v>0.8</v>
      </c>
      <c r="C9461">
        <v>1288</v>
      </c>
      <c r="D9461" s="9">
        <v>43839</v>
      </c>
      <c r="E9461" t="s">
        <v>296</v>
      </c>
      <c r="I9461" s="9"/>
    </row>
    <row r="9462" spans="1:9" x14ac:dyDescent="0.25">
      <c r="A9462">
        <v>741012</v>
      </c>
      <c r="B9462">
        <v>0.77</v>
      </c>
      <c r="C9462">
        <v>952</v>
      </c>
      <c r="D9462" s="9">
        <v>43438</v>
      </c>
      <c r="E9462" t="s">
        <v>296</v>
      </c>
      <c r="I9462" s="9"/>
    </row>
    <row r="9463" spans="1:9" x14ac:dyDescent="0.25">
      <c r="A9463">
        <v>741012</v>
      </c>
      <c r="B9463">
        <v>0.75</v>
      </c>
      <c r="C9463">
        <v>616</v>
      </c>
      <c r="D9463" s="9">
        <v>43017</v>
      </c>
      <c r="E9463" t="s">
        <v>296</v>
      </c>
      <c r="I9463" s="9"/>
    </row>
    <row r="9464" spans="1:9" x14ac:dyDescent="0.25">
      <c r="A9464">
        <v>741012</v>
      </c>
      <c r="B9464">
        <v>0.69</v>
      </c>
      <c r="C9464">
        <v>616</v>
      </c>
      <c r="D9464" s="9">
        <v>42719</v>
      </c>
      <c r="E9464" t="s">
        <v>296</v>
      </c>
      <c r="I9464" s="9"/>
    </row>
    <row r="9465" spans="1:9" x14ac:dyDescent="0.25">
      <c r="A9465">
        <v>741012</v>
      </c>
      <c r="B9465">
        <v>0.69</v>
      </c>
      <c r="C9465">
        <v>392</v>
      </c>
      <c r="D9465" s="9">
        <v>42698</v>
      </c>
      <c r="E9465" t="s">
        <v>296</v>
      </c>
      <c r="I9465" s="9"/>
    </row>
    <row r="9466" spans="1:9" x14ac:dyDescent="0.25">
      <c r="A9466">
        <v>741012</v>
      </c>
      <c r="B9466">
        <v>0.69</v>
      </c>
      <c r="C9466">
        <v>896</v>
      </c>
      <c r="D9466" s="9">
        <v>42617</v>
      </c>
      <c r="E9466" t="s">
        <v>296</v>
      </c>
      <c r="I9466" s="9"/>
    </row>
    <row r="9467" spans="1:9" x14ac:dyDescent="0.25">
      <c r="A9467">
        <v>741012</v>
      </c>
      <c r="B9467">
        <v>0.69</v>
      </c>
      <c r="C9467">
        <v>896</v>
      </c>
      <c r="D9467" s="9">
        <v>42321</v>
      </c>
      <c r="E9467" t="s">
        <v>296</v>
      </c>
      <c r="I9467" s="9"/>
    </row>
    <row r="9468" spans="1:9" x14ac:dyDescent="0.25">
      <c r="A9468">
        <v>741012</v>
      </c>
      <c r="B9468">
        <v>0.753</v>
      </c>
      <c r="C9468">
        <v>896</v>
      </c>
      <c r="D9468" s="9">
        <v>42040</v>
      </c>
      <c r="E9468" t="s">
        <v>296</v>
      </c>
      <c r="I9468" s="9"/>
    </row>
    <row r="9469" spans="1:9" x14ac:dyDescent="0.25">
      <c r="A9469">
        <v>741012</v>
      </c>
      <c r="B9469">
        <v>0.753</v>
      </c>
      <c r="C9469">
        <v>896</v>
      </c>
      <c r="D9469" s="9">
        <v>41786</v>
      </c>
      <c r="E9469" t="s">
        <v>296</v>
      </c>
      <c r="I9469" s="9"/>
    </row>
    <row r="9470" spans="1:9" x14ac:dyDescent="0.25">
      <c r="A9470">
        <v>741012</v>
      </c>
      <c r="B9470">
        <v>0.71699999999999997</v>
      </c>
      <c r="C9470">
        <v>896</v>
      </c>
      <c r="D9470" s="9">
        <v>41295</v>
      </c>
      <c r="E9470" t="s">
        <v>296</v>
      </c>
      <c r="I9470" s="9"/>
    </row>
    <row r="9471" spans="1:9" x14ac:dyDescent="0.25">
      <c r="A9471">
        <v>741120</v>
      </c>
      <c r="B9471">
        <v>0.41</v>
      </c>
      <c r="C9471">
        <v>1000</v>
      </c>
      <c r="D9471" s="9">
        <v>43964</v>
      </c>
      <c r="E9471" t="s">
        <v>296</v>
      </c>
      <c r="I9471" s="9"/>
    </row>
    <row r="9472" spans="1:9" x14ac:dyDescent="0.25">
      <c r="A9472">
        <v>741120</v>
      </c>
      <c r="B9472">
        <v>0.41</v>
      </c>
      <c r="C9472">
        <v>1000</v>
      </c>
      <c r="D9472" s="9">
        <v>43648</v>
      </c>
      <c r="E9472" t="s">
        <v>296</v>
      </c>
      <c r="I9472" s="9"/>
    </row>
    <row r="9473" spans="1:9" x14ac:dyDescent="0.25">
      <c r="A9473">
        <v>741120</v>
      </c>
      <c r="B9473">
        <v>0.308</v>
      </c>
      <c r="C9473">
        <v>1728</v>
      </c>
      <c r="D9473" s="9">
        <v>42040</v>
      </c>
      <c r="E9473" t="s">
        <v>296</v>
      </c>
      <c r="I9473" s="9"/>
    </row>
    <row r="9474" spans="1:9" x14ac:dyDescent="0.25">
      <c r="A9474">
        <v>741120</v>
      </c>
      <c r="B9474">
        <v>0.308</v>
      </c>
      <c r="C9474">
        <v>1728</v>
      </c>
      <c r="D9474" s="9">
        <v>41865</v>
      </c>
      <c r="E9474" t="s">
        <v>296</v>
      </c>
      <c r="I9474" s="9"/>
    </row>
    <row r="9475" spans="1:9" x14ac:dyDescent="0.25">
      <c r="A9475">
        <v>741121</v>
      </c>
      <c r="B9475">
        <v>0.42</v>
      </c>
      <c r="C9475">
        <v>1280</v>
      </c>
      <c r="D9475" s="9">
        <v>44113</v>
      </c>
      <c r="E9475" t="s">
        <v>296</v>
      </c>
      <c r="I9475" s="9"/>
    </row>
    <row r="9476" spans="1:9" x14ac:dyDescent="0.25">
      <c r="A9476">
        <v>741121</v>
      </c>
      <c r="B9476">
        <v>0.4</v>
      </c>
      <c r="C9476">
        <v>2944</v>
      </c>
      <c r="D9476" s="9">
        <v>43648</v>
      </c>
      <c r="E9476" t="s">
        <v>296</v>
      </c>
      <c r="I9476" s="9"/>
    </row>
    <row r="9477" spans="1:9" x14ac:dyDescent="0.25">
      <c r="A9477">
        <v>741121</v>
      </c>
      <c r="B9477">
        <v>0.38</v>
      </c>
      <c r="C9477">
        <v>1280</v>
      </c>
      <c r="D9477" s="9">
        <v>42719</v>
      </c>
      <c r="E9477" t="s">
        <v>296</v>
      </c>
      <c r="I9477" s="9"/>
    </row>
    <row r="9478" spans="1:9" x14ac:dyDescent="0.25">
      <c r="A9478">
        <v>741121</v>
      </c>
      <c r="B9478">
        <v>0.38</v>
      </c>
      <c r="C9478">
        <v>2048</v>
      </c>
      <c r="D9478" s="9">
        <v>42698</v>
      </c>
      <c r="E9478" t="s">
        <v>296</v>
      </c>
      <c r="I9478" s="9"/>
    </row>
    <row r="9479" spans="1:9" x14ac:dyDescent="0.25">
      <c r="A9479">
        <v>741121</v>
      </c>
      <c r="B9479">
        <v>0.38</v>
      </c>
      <c r="C9479">
        <v>1536</v>
      </c>
      <c r="D9479" s="9">
        <v>42660</v>
      </c>
      <c r="E9479" t="s">
        <v>296</v>
      </c>
      <c r="I9479" s="9"/>
    </row>
    <row r="9480" spans="1:9" x14ac:dyDescent="0.25">
      <c r="A9480">
        <v>741121</v>
      </c>
      <c r="B9480">
        <v>0.38</v>
      </c>
      <c r="C9480">
        <v>1280</v>
      </c>
      <c r="D9480" s="9">
        <v>42321</v>
      </c>
      <c r="E9480" t="s">
        <v>296</v>
      </c>
      <c r="I9480" s="9"/>
    </row>
    <row r="9481" spans="1:9" x14ac:dyDescent="0.25">
      <c r="A9481">
        <v>741121</v>
      </c>
      <c r="B9481">
        <v>0.38</v>
      </c>
      <c r="C9481">
        <v>1536</v>
      </c>
      <c r="D9481" s="9">
        <v>42207</v>
      </c>
      <c r="E9481" t="s">
        <v>296</v>
      </c>
      <c r="I9481" s="9"/>
    </row>
    <row r="9482" spans="1:9" x14ac:dyDescent="0.25">
      <c r="A9482">
        <v>741121</v>
      </c>
      <c r="B9482">
        <v>0.33900000000000002</v>
      </c>
      <c r="C9482">
        <v>1536</v>
      </c>
      <c r="D9482" s="9">
        <v>42040</v>
      </c>
      <c r="E9482" t="s">
        <v>296</v>
      </c>
      <c r="I9482" s="9"/>
    </row>
    <row r="9483" spans="1:9" x14ac:dyDescent="0.25">
      <c r="A9483">
        <v>741121</v>
      </c>
      <c r="B9483">
        <v>0.33900000000000002</v>
      </c>
      <c r="C9483">
        <v>1280</v>
      </c>
      <c r="D9483" s="9">
        <v>41786</v>
      </c>
      <c r="E9483" t="s">
        <v>296</v>
      </c>
      <c r="I9483" s="9"/>
    </row>
    <row r="9484" spans="1:9" x14ac:dyDescent="0.25">
      <c r="A9484">
        <v>741121</v>
      </c>
      <c r="B9484">
        <v>0.33900000000000002</v>
      </c>
      <c r="C9484">
        <v>1280</v>
      </c>
      <c r="D9484" s="9">
        <v>41535</v>
      </c>
      <c r="E9484" t="s">
        <v>296</v>
      </c>
      <c r="I9484" s="9"/>
    </row>
    <row r="9485" spans="1:9" x14ac:dyDescent="0.25">
      <c r="A9485">
        <v>741121</v>
      </c>
      <c r="B9485">
        <v>0.33900000000000002</v>
      </c>
      <c r="C9485">
        <v>1280</v>
      </c>
      <c r="D9485" s="9">
        <v>41295</v>
      </c>
      <c r="E9485" t="s">
        <v>296</v>
      </c>
      <c r="I9485" s="9"/>
    </row>
    <row r="9486" spans="1:9" x14ac:dyDescent="0.25">
      <c r="A9486">
        <v>741122</v>
      </c>
      <c r="B9486">
        <v>0.48</v>
      </c>
      <c r="C9486">
        <v>1152</v>
      </c>
      <c r="D9486" s="9">
        <v>44141</v>
      </c>
      <c r="E9486" t="s">
        <v>296</v>
      </c>
      <c r="I9486" s="9"/>
    </row>
    <row r="9487" spans="1:9" x14ac:dyDescent="0.25">
      <c r="A9487">
        <v>741122</v>
      </c>
      <c r="B9487">
        <v>0.44</v>
      </c>
      <c r="C9487">
        <v>1152</v>
      </c>
      <c r="D9487" s="9">
        <v>43964</v>
      </c>
      <c r="E9487" t="s">
        <v>296</v>
      </c>
      <c r="I9487" s="9"/>
    </row>
    <row r="9488" spans="1:9" x14ac:dyDescent="0.25">
      <c r="A9488">
        <v>741122</v>
      </c>
      <c r="B9488">
        <v>0.44</v>
      </c>
      <c r="C9488">
        <v>2496</v>
      </c>
      <c r="D9488" s="9">
        <v>43648</v>
      </c>
      <c r="E9488" t="s">
        <v>296</v>
      </c>
      <c r="I9488" s="9"/>
    </row>
    <row r="9489" spans="1:9" x14ac:dyDescent="0.25">
      <c r="A9489">
        <v>741122</v>
      </c>
      <c r="B9489">
        <v>0.42</v>
      </c>
      <c r="C9489">
        <v>1536</v>
      </c>
      <c r="D9489" s="9">
        <v>42719</v>
      </c>
      <c r="E9489" t="s">
        <v>296</v>
      </c>
      <c r="I9489" s="9"/>
    </row>
    <row r="9490" spans="1:9" x14ac:dyDescent="0.25">
      <c r="A9490">
        <v>741122</v>
      </c>
      <c r="B9490">
        <v>0.42</v>
      </c>
      <c r="C9490">
        <v>2880</v>
      </c>
      <c r="D9490" s="9">
        <v>42698</v>
      </c>
      <c r="E9490" t="s">
        <v>296</v>
      </c>
      <c r="I9490" s="9"/>
    </row>
    <row r="9491" spans="1:9" x14ac:dyDescent="0.25">
      <c r="A9491">
        <v>741122</v>
      </c>
      <c r="B9491">
        <v>0.42</v>
      </c>
      <c r="C9491">
        <v>1536</v>
      </c>
      <c r="D9491" s="9">
        <v>42660</v>
      </c>
      <c r="E9491" t="s">
        <v>296</v>
      </c>
      <c r="I9491" s="9"/>
    </row>
    <row r="9492" spans="1:9" x14ac:dyDescent="0.25">
      <c r="A9492">
        <v>741122</v>
      </c>
      <c r="B9492">
        <v>0.42</v>
      </c>
      <c r="C9492">
        <v>1536</v>
      </c>
      <c r="D9492" s="9">
        <v>42321</v>
      </c>
      <c r="E9492" t="s">
        <v>296</v>
      </c>
      <c r="I9492" s="9"/>
    </row>
    <row r="9493" spans="1:9" x14ac:dyDescent="0.25">
      <c r="A9493">
        <v>741122</v>
      </c>
      <c r="B9493">
        <v>0.42</v>
      </c>
      <c r="C9493">
        <v>1536</v>
      </c>
      <c r="D9493" s="9">
        <v>42207</v>
      </c>
      <c r="E9493" t="s">
        <v>296</v>
      </c>
      <c r="I9493" s="9"/>
    </row>
    <row r="9494" spans="1:9" x14ac:dyDescent="0.25">
      <c r="A9494">
        <v>741122</v>
      </c>
      <c r="B9494">
        <v>0.51</v>
      </c>
      <c r="C9494">
        <v>1536</v>
      </c>
      <c r="D9494" s="9">
        <v>41865</v>
      </c>
      <c r="E9494" t="s">
        <v>296</v>
      </c>
      <c r="I9494" s="9"/>
    </row>
    <row r="9495" spans="1:9" x14ac:dyDescent="0.25">
      <c r="A9495">
        <v>741122</v>
      </c>
      <c r="B9495">
        <v>0.51</v>
      </c>
      <c r="C9495">
        <v>1536</v>
      </c>
      <c r="D9495" s="9">
        <v>41786</v>
      </c>
      <c r="E9495" t="s">
        <v>296</v>
      </c>
      <c r="I9495" s="9"/>
    </row>
    <row r="9496" spans="1:9" x14ac:dyDescent="0.25">
      <c r="A9496">
        <v>741122</v>
      </c>
      <c r="B9496">
        <v>0.51</v>
      </c>
      <c r="C9496">
        <v>1536</v>
      </c>
      <c r="D9496" s="9">
        <v>41617</v>
      </c>
      <c r="E9496" t="s">
        <v>296</v>
      </c>
      <c r="I9496" s="9"/>
    </row>
    <row r="9497" spans="1:9" x14ac:dyDescent="0.25">
      <c r="A9497">
        <v>741122</v>
      </c>
      <c r="B9497">
        <v>0.495</v>
      </c>
      <c r="C9497">
        <v>1728</v>
      </c>
      <c r="D9497" s="9">
        <v>41295</v>
      </c>
      <c r="E9497" t="s">
        <v>296</v>
      </c>
      <c r="I9497" s="9"/>
    </row>
    <row r="9498" spans="1:9" x14ac:dyDescent="0.25">
      <c r="A9498">
        <v>741124</v>
      </c>
      <c r="B9498">
        <v>0.51</v>
      </c>
      <c r="C9498">
        <v>1600</v>
      </c>
      <c r="D9498" s="9">
        <v>42719</v>
      </c>
      <c r="E9498" t="s">
        <v>296</v>
      </c>
      <c r="I9498" s="9"/>
    </row>
    <row r="9499" spans="1:9" x14ac:dyDescent="0.25">
      <c r="A9499">
        <v>741124</v>
      </c>
      <c r="B9499">
        <v>0.51</v>
      </c>
      <c r="C9499">
        <v>1024</v>
      </c>
      <c r="D9499" s="9">
        <v>42698</v>
      </c>
      <c r="E9499" t="s">
        <v>296</v>
      </c>
      <c r="I9499" s="9"/>
    </row>
    <row r="9500" spans="1:9" x14ac:dyDescent="0.25">
      <c r="A9500">
        <v>741124</v>
      </c>
      <c r="B9500">
        <v>0.51</v>
      </c>
      <c r="C9500">
        <v>800</v>
      </c>
      <c r="D9500" s="9">
        <v>42116</v>
      </c>
      <c r="E9500" t="s">
        <v>296</v>
      </c>
      <c r="I9500" s="9"/>
    </row>
    <row r="9501" spans="1:9" x14ac:dyDescent="0.25">
      <c r="A9501">
        <v>741124</v>
      </c>
      <c r="B9501">
        <v>0.91400000000000003</v>
      </c>
      <c r="C9501">
        <v>512</v>
      </c>
      <c r="D9501" s="9">
        <v>41435</v>
      </c>
      <c r="E9501" t="s">
        <v>296</v>
      </c>
      <c r="I9501" s="9"/>
    </row>
    <row r="9502" spans="1:9" x14ac:dyDescent="0.25">
      <c r="A9502">
        <v>741550</v>
      </c>
      <c r="B9502">
        <v>0.94</v>
      </c>
      <c r="C9502">
        <v>540</v>
      </c>
      <c r="D9502" s="9">
        <v>41934</v>
      </c>
      <c r="E9502" t="s">
        <v>296</v>
      </c>
      <c r="I9502" s="9"/>
    </row>
    <row r="9503" spans="1:9" x14ac:dyDescent="0.25">
      <c r="A9503">
        <v>741575</v>
      </c>
      <c r="B9503">
        <v>1.45</v>
      </c>
      <c r="C9503">
        <v>480</v>
      </c>
      <c r="D9503" s="9">
        <v>41934</v>
      </c>
      <c r="E9503" t="s">
        <v>296</v>
      </c>
      <c r="I9503" s="9"/>
    </row>
    <row r="9504" spans="1:9" x14ac:dyDescent="0.25">
      <c r="A9504">
        <v>750030</v>
      </c>
      <c r="B9504">
        <v>0.377</v>
      </c>
      <c r="C9504">
        <v>1440</v>
      </c>
      <c r="D9504" s="9">
        <v>44113</v>
      </c>
      <c r="E9504" t="s">
        <v>296</v>
      </c>
      <c r="I9504" s="9"/>
    </row>
    <row r="9505" spans="1:9" x14ac:dyDescent="0.25">
      <c r="A9505">
        <v>750030</v>
      </c>
      <c r="B9505">
        <v>0.377</v>
      </c>
      <c r="C9505">
        <v>1680</v>
      </c>
      <c r="D9505" s="9">
        <v>43972</v>
      </c>
      <c r="E9505" t="s">
        <v>296</v>
      </c>
      <c r="I9505" s="9"/>
    </row>
    <row r="9506" spans="1:9" x14ac:dyDescent="0.25">
      <c r="A9506">
        <v>750030</v>
      </c>
      <c r="B9506">
        <v>0.377</v>
      </c>
      <c r="C9506">
        <v>840</v>
      </c>
      <c r="D9506" s="9">
        <v>43972</v>
      </c>
      <c r="E9506" t="s">
        <v>296</v>
      </c>
      <c r="I9506" s="9"/>
    </row>
    <row r="9507" spans="1:9" x14ac:dyDescent="0.25">
      <c r="A9507">
        <v>750030</v>
      </c>
      <c r="B9507">
        <v>0.32800000000000001</v>
      </c>
      <c r="C9507">
        <v>2500</v>
      </c>
      <c r="D9507" s="9">
        <v>43452</v>
      </c>
      <c r="E9507" t="s">
        <v>296</v>
      </c>
      <c r="I9507" s="9"/>
    </row>
    <row r="9508" spans="1:9" x14ac:dyDescent="0.25">
      <c r="A9508">
        <v>750030</v>
      </c>
      <c r="B9508">
        <v>1.25</v>
      </c>
      <c r="C9508">
        <v>2500</v>
      </c>
      <c r="D9508" s="9">
        <v>43340</v>
      </c>
      <c r="E9508" t="s">
        <v>295</v>
      </c>
      <c r="I9508" s="9"/>
    </row>
    <row r="9509" spans="1:9" x14ac:dyDescent="0.25">
      <c r="A9509">
        <v>750030</v>
      </c>
      <c r="B9509">
        <v>0.32800000000000001</v>
      </c>
      <c r="C9509">
        <v>2500</v>
      </c>
      <c r="D9509" s="9">
        <v>43299</v>
      </c>
      <c r="E9509" t="s">
        <v>296</v>
      </c>
      <c r="I9509" s="9"/>
    </row>
    <row r="9510" spans="1:9" x14ac:dyDescent="0.25">
      <c r="A9510">
        <v>750030</v>
      </c>
      <c r="B9510">
        <v>0.32</v>
      </c>
      <c r="C9510">
        <v>2400</v>
      </c>
      <c r="D9510" s="9">
        <v>42976</v>
      </c>
      <c r="E9510" t="s">
        <v>296</v>
      </c>
      <c r="I9510" s="9"/>
    </row>
    <row r="9511" spans="1:9" x14ac:dyDescent="0.25">
      <c r="A9511">
        <v>750030</v>
      </c>
      <c r="B9511">
        <v>0.33400000000000002</v>
      </c>
      <c r="C9511">
        <v>2400</v>
      </c>
      <c r="D9511" s="9">
        <v>42815</v>
      </c>
      <c r="E9511" t="s">
        <v>296</v>
      </c>
      <c r="I9511" s="9"/>
    </row>
    <row r="9512" spans="1:9" x14ac:dyDescent="0.25">
      <c r="A9512">
        <v>750030</v>
      </c>
      <c r="B9512">
        <v>1.3</v>
      </c>
      <c r="C9512">
        <v>1300</v>
      </c>
      <c r="D9512" s="9">
        <v>42508</v>
      </c>
      <c r="E9512" t="s">
        <v>295</v>
      </c>
      <c r="I9512" s="9"/>
    </row>
    <row r="9513" spans="1:9" x14ac:dyDescent="0.25">
      <c r="A9513">
        <v>750030</v>
      </c>
      <c r="B9513">
        <v>0.33400000000000002</v>
      </c>
      <c r="C9513">
        <v>2500</v>
      </c>
      <c r="D9513" s="9">
        <v>42508</v>
      </c>
      <c r="E9513" t="s">
        <v>296</v>
      </c>
      <c r="I9513" s="9"/>
    </row>
    <row r="9514" spans="1:9" x14ac:dyDescent="0.25">
      <c r="A9514">
        <v>750030</v>
      </c>
      <c r="B9514">
        <v>0.33400000000000002</v>
      </c>
      <c r="C9514">
        <v>2500</v>
      </c>
      <c r="D9514" s="9">
        <v>42440</v>
      </c>
      <c r="E9514" t="s">
        <v>296</v>
      </c>
      <c r="I9514" s="9"/>
    </row>
    <row r="9515" spans="1:9" x14ac:dyDescent="0.25">
      <c r="A9515">
        <v>750030</v>
      </c>
      <c r="B9515">
        <v>0.33400000000000002</v>
      </c>
      <c r="C9515">
        <v>2500</v>
      </c>
      <c r="D9515" s="9">
        <v>42271</v>
      </c>
      <c r="E9515" t="s">
        <v>296</v>
      </c>
      <c r="I9515" s="9"/>
    </row>
    <row r="9516" spans="1:9" x14ac:dyDescent="0.25">
      <c r="A9516">
        <v>750030</v>
      </c>
      <c r="B9516">
        <v>0.33400000000000002</v>
      </c>
      <c r="C9516">
        <v>2600</v>
      </c>
      <c r="D9516" s="9">
        <v>42111</v>
      </c>
      <c r="E9516" t="s">
        <v>296</v>
      </c>
      <c r="I9516" s="9"/>
    </row>
    <row r="9517" spans="1:9" x14ac:dyDescent="0.25">
      <c r="A9517">
        <v>750030</v>
      </c>
      <c r="B9517">
        <v>0.33400000000000002</v>
      </c>
      <c r="C9517">
        <v>2600</v>
      </c>
      <c r="D9517" s="9">
        <v>41870</v>
      </c>
      <c r="E9517" t="s">
        <v>296</v>
      </c>
      <c r="I9517" s="9"/>
    </row>
    <row r="9518" spans="1:9" x14ac:dyDescent="0.25">
      <c r="A9518">
        <v>750030</v>
      </c>
      <c r="B9518">
        <v>0.33400000000000002</v>
      </c>
      <c r="C9518">
        <v>2600</v>
      </c>
      <c r="D9518" s="9">
        <v>41816</v>
      </c>
      <c r="E9518" t="s">
        <v>296</v>
      </c>
      <c r="I9518" s="9"/>
    </row>
    <row r="9519" spans="1:9" x14ac:dyDescent="0.25">
      <c r="A9519">
        <v>750030</v>
      </c>
      <c r="B9519">
        <v>0.33400000000000002</v>
      </c>
      <c r="C9519">
        <v>2400</v>
      </c>
      <c r="D9519" s="9">
        <v>41558</v>
      </c>
      <c r="E9519" t="s">
        <v>296</v>
      </c>
      <c r="I9519" s="9"/>
    </row>
    <row r="9520" spans="1:9" x14ac:dyDescent="0.25">
      <c r="A9520">
        <v>750030</v>
      </c>
      <c r="B9520">
        <v>0.33400000000000002</v>
      </c>
      <c r="C9520">
        <v>600</v>
      </c>
      <c r="D9520" s="9">
        <v>41558</v>
      </c>
      <c r="E9520" t="s">
        <v>296</v>
      </c>
      <c r="I9520" s="9"/>
    </row>
    <row r="9521" spans="1:9" x14ac:dyDescent="0.25">
      <c r="A9521">
        <v>750030</v>
      </c>
      <c r="B9521">
        <v>0.33400000000000002</v>
      </c>
      <c r="C9521">
        <v>2400</v>
      </c>
      <c r="D9521" s="9">
        <v>41505</v>
      </c>
      <c r="E9521" t="s">
        <v>296</v>
      </c>
      <c r="I9521" s="9"/>
    </row>
    <row r="9522" spans="1:9" x14ac:dyDescent="0.25">
      <c r="A9522">
        <v>750030</v>
      </c>
      <c r="B9522">
        <v>0.33400000000000002</v>
      </c>
      <c r="C9522">
        <v>1800</v>
      </c>
      <c r="D9522" s="9">
        <v>41435</v>
      </c>
      <c r="E9522" t="s">
        <v>296</v>
      </c>
      <c r="I9522" s="9"/>
    </row>
    <row r="9523" spans="1:9" x14ac:dyDescent="0.25">
      <c r="A9523">
        <v>750030</v>
      </c>
      <c r="B9523">
        <v>0.31900000000000001</v>
      </c>
      <c r="C9523">
        <v>2000</v>
      </c>
      <c r="D9523" s="9">
        <v>41295</v>
      </c>
      <c r="E9523" t="s">
        <v>296</v>
      </c>
      <c r="I9523" s="9"/>
    </row>
    <row r="9524" spans="1:9" x14ac:dyDescent="0.25">
      <c r="A9524">
        <v>750040</v>
      </c>
      <c r="B9524">
        <v>0.65</v>
      </c>
      <c r="C9524">
        <v>720</v>
      </c>
      <c r="D9524" s="9">
        <v>44035</v>
      </c>
      <c r="E9524" t="s">
        <v>296</v>
      </c>
      <c r="I9524" s="9"/>
    </row>
    <row r="9525" spans="1:9" x14ac:dyDescent="0.25">
      <c r="A9525">
        <v>750040</v>
      </c>
      <c r="B9525">
        <v>0.65</v>
      </c>
      <c r="C9525">
        <v>720</v>
      </c>
      <c r="D9525" s="9">
        <v>43972</v>
      </c>
      <c r="E9525" t="s">
        <v>296</v>
      </c>
      <c r="I9525" s="9"/>
    </row>
    <row r="9526" spans="1:9" x14ac:dyDescent="0.25">
      <c r="A9526">
        <v>750040</v>
      </c>
      <c r="B9526">
        <v>0.57999999999999996</v>
      </c>
      <c r="C9526">
        <v>720</v>
      </c>
      <c r="D9526" s="9">
        <v>43707</v>
      </c>
      <c r="E9526" t="s">
        <v>296</v>
      </c>
      <c r="I9526" s="9"/>
    </row>
    <row r="9527" spans="1:9" x14ac:dyDescent="0.25">
      <c r="A9527">
        <v>750040</v>
      </c>
      <c r="B9527">
        <v>0.57999999999999996</v>
      </c>
      <c r="C9527">
        <v>960</v>
      </c>
      <c r="D9527" s="9">
        <v>43452</v>
      </c>
      <c r="E9527" t="s">
        <v>296</v>
      </c>
      <c r="I9527" s="9"/>
    </row>
    <row r="9528" spans="1:9" x14ac:dyDescent="0.25">
      <c r="A9528">
        <v>750040</v>
      </c>
      <c r="B9528">
        <v>2.23</v>
      </c>
      <c r="C9528">
        <v>960</v>
      </c>
      <c r="D9528" s="9">
        <v>43340</v>
      </c>
      <c r="E9528" t="s">
        <v>295</v>
      </c>
      <c r="I9528" s="9"/>
    </row>
    <row r="9529" spans="1:9" x14ac:dyDescent="0.25">
      <c r="A9529">
        <v>750040</v>
      </c>
      <c r="B9529">
        <v>0.57999999999999996</v>
      </c>
      <c r="C9529">
        <v>960</v>
      </c>
      <c r="D9529" s="9">
        <v>43299</v>
      </c>
      <c r="E9529" t="s">
        <v>296</v>
      </c>
      <c r="I9529" s="9"/>
    </row>
    <row r="9530" spans="1:9" x14ac:dyDescent="0.25">
      <c r="A9530">
        <v>750040</v>
      </c>
      <c r="B9530">
        <v>0.56999999999999995</v>
      </c>
      <c r="C9530">
        <v>768</v>
      </c>
      <c r="D9530" s="9">
        <v>43136</v>
      </c>
      <c r="E9530" t="s">
        <v>296</v>
      </c>
      <c r="I9530" s="9"/>
    </row>
    <row r="9531" spans="1:9" x14ac:dyDescent="0.25">
      <c r="A9531">
        <v>750040</v>
      </c>
      <c r="B9531">
        <v>1.99</v>
      </c>
      <c r="C9531">
        <v>768</v>
      </c>
      <c r="D9531" s="9">
        <v>43136</v>
      </c>
      <c r="E9531" t="s">
        <v>295</v>
      </c>
      <c r="I9531" s="9"/>
    </row>
    <row r="9532" spans="1:9" x14ac:dyDescent="0.25">
      <c r="A9532">
        <v>750040</v>
      </c>
      <c r="B9532">
        <v>0.56999999999999995</v>
      </c>
      <c r="C9532">
        <v>768</v>
      </c>
      <c r="D9532" s="9">
        <v>42976</v>
      </c>
      <c r="E9532" t="s">
        <v>296</v>
      </c>
      <c r="I9532" s="9"/>
    </row>
    <row r="9533" spans="1:9" x14ac:dyDescent="0.25">
      <c r="A9533">
        <v>750040</v>
      </c>
      <c r="B9533">
        <v>0.56999999999999995</v>
      </c>
      <c r="C9533">
        <v>768</v>
      </c>
      <c r="D9533" s="9">
        <v>42815</v>
      </c>
      <c r="E9533" t="s">
        <v>296</v>
      </c>
      <c r="I9533" s="9"/>
    </row>
    <row r="9534" spans="1:9" x14ac:dyDescent="0.25">
      <c r="A9534">
        <v>750040</v>
      </c>
      <c r="B9534">
        <v>0.56999999999999995</v>
      </c>
      <c r="C9534">
        <v>768</v>
      </c>
      <c r="D9534" s="9">
        <v>42440</v>
      </c>
      <c r="E9534" t="s">
        <v>296</v>
      </c>
      <c r="I9534" s="9"/>
    </row>
    <row r="9535" spans="1:9" x14ac:dyDescent="0.25">
      <c r="A9535">
        <v>750040</v>
      </c>
      <c r="B9535">
        <v>0.56999999999999995</v>
      </c>
      <c r="C9535">
        <v>768</v>
      </c>
      <c r="D9535" s="9">
        <v>42177</v>
      </c>
      <c r="E9535" t="s">
        <v>296</v>
      </c>
      <c r="I9535" s="9"/>
    </row>
    <row r="9536" spans="1:9" x14ac:dyDescent="0.25">
      <c r="A9536">
        <v>750040</v>
      </c>
      <c r="B9536">
        <v>0.56999999999999995</v>
      </c>
      <c r="C9536">
        <v>768</v>
      </c>
      <c r="D9536" s="9">
        <v>41558</v>
      </c>
      <c r="E9536" t="s">
        <v>296</v>
      </c>
      <c r="I9536" s="9"/>
    </row>
    <row r="9537" spans="1:9" x14ac:dyDescent="0.25">
      <c r="A9537">
        <v>750040</v>
      </c>
      <c r="B9537">
        <v>0.56999999999999995</v>
      </c>
      <c r="C9537">
        <v>768</v>
      </c>
      <c r="D9537" s="9">
        <v>41435</v>
      </c>
      <c r="E9537" t="s">
        <v>296</v>
      </c>
      <c r="I9537" s="9"/>
    </row>
    <row r="9538" spans="1:9" x14ac:dyDescent="0.25">
      <c r="A9538">
        <v>750040</v>
      </c>
      <c r="B9538">
        <v>0.56100000000000005</v>
      </c>
      <c r="C9538">
        <v>768</v>
      </c>
      <c r="D9538" s="9">
        <v>41295</v>
      </c>
      <c r="E9538" t="s">
        <v>296</v>
      </c>
      <c r="I9538" s="9"/>
    </row>
    <row r="9539" spans="1:9" x14ac:dyDescent="0.25">
      <c r="A9539">
        <v>750100</v>
      </c>
      <c r="B9539">
        <v>0.33</v>
      </c>
      <c r="C9539">
        <v>2880</v>
      </c>
      <c r="D9539" s="9">
        <v>44117</v>
      </c>
      <c r="E9539" t="s">
        <v>296</v>
      </c>
      <c r="I9539" s="9"/>
    </row>
    <row r="9540" spans="1:9" x14ac:dyDescent="0.25">
      <c r="A9540">
        <v>750100</v>
      </c>
      <c r="B9540">
        <v>0.33</v>
      </c>
      <c r="C9540">
        <v>3600</v>
      </c>
      <c r="D9540" s="9">
        <v>44117</v>
      </c>
      <c r="E9540" t="s">
        <v>296</v>
      </c>
      <c r="I9540" s="9"/>
    </row>
    <row r="9541" spans="1:9" x14ac:dyDescent="0.25">
      <c r="A9541">
        <v>750100</v>
      </c>
      <c r="B9541">
        <v>0.33</v>
      </c>
      <c r="C9541">
        <v>3000</v>
      </c>
      <c r="D9541" s="9">
        <v>43837</v>
      </c>
      <c r="E9541" t="s">
        <v>296</v>
      </c>
      <c r="I9541" s="9"/>
    </row>
    <row r="9542" spans="1:9" x14ac:dyDescent="0.25">
      <c r="A9542">
        <v>750100</v>
      </c>
      <c r="B9542">
        <v>0.33</v>
      </c>
      <c r="C9542">
        <v>6000</v>
      </c>
      <c r="D9542" s="9">
        <v>43598</v>
      </c>
      <c r="E9542" t="s">
        <v>296</v>
      </c>
      <c r="I9542" s="9"/>
    </row>
    <row r="9543" spans="1:9" x14ac:dyDescent="0.25">
      <c r="A9543">
        <v>750100</v>
      </c>
      <c r="B9543">
        <v>0.33</v>
      </c>
      <c r="C9543">
        <v>3000</v>
      </c>
      <c r="D9543" s="9">
        <v>43489</v>
      </c>
      <c r="E9543" t="s">
        <v>296</v>
      </c>
      <c r="I9543" s="9"/>
    </row>
    <row r="9544" spans="1:9" x14ac:dyDescent="0.25">
      <c r="A9544">
        <v>750100</v>
      </c>
      <c r="B9544">
        <v>0.33</v>
      </c>
      <c r="C9544">
        <v>3000</v>
      </c>
      <c r="D9544" s="9">
        <v>43489</v>
      </c>
      <c r="E9544" t="s">
        <v>296</v>
      </c>
      <c r="I9544" s="9"/>
    </row>
    <row r="9545" spans="1:9" x14ac:dyDescent="0.25">
      <c r="A9545">
        <v>750100</v>
      </c>
      <c r="B9545">
        <v>0.33</v>
      </c>
      <c r="C9545">
        <v>3000</v>
      </c>
      <c r="D9545" s="9">
        <v>43250</v>
      </c>
      <c r="E9545" t="s">
        <v>296</v>
      </c>
      <c r="I9545" s="9"/>
    </row>
    <row r="9546" spans="1:9" x14ac:dyDescent="0.25">
      <c r="A9546">
        <v>750100</v>
      </c>
      <c r="B9546">
        <v>1.1499999999999999</v>
      </c>
      <c r="C9546">
        <v>3000</v>
      </c>
      <c r="D9546" s="9">
        <v>43090</v>
      </c>
      <c r="E9546" t="s">
        <v>295</v>
      </c>
      <c r="I9546" s="9"/>
    </row>
    <row r="9547" spans="1:9" x14ac:dyDescent="0.25">
      <c r="A9547">
        <v>750100</v>
      </c>
      <c r="B9547">
        <v>0.3</v>
      </c>
      <c r="C9547">
        <v>3000</v>
      </c>
      <c r="D9547" s="9">
        <v>43052</v>
      </c>
      <c r="E9547" t="s">
        <v>296</v>
      </c>
      <c r="I9547" s="9"/>
    </row>
    <row r="9548" spans="1:9" x14ac:dyDescent="0.25">
      <c r="A9548">
        <v>750100</v>
      </c>
      <c r="B9548">
        <v>0.3</v>
      </c>
      <c r="C9548">
        <v>6000</v>
      </c>
      <c r="D9548" s="9">
        <v>43052</v>
      </c>
      <c r="E9548" t="s">
        <v>296</v>
      </c>
      <c r="I9548" s="9"/>
    </row>
    <row r="9549" spans="1:9" x14ac:dyDescent="0.25">
      <c r="A9549">
        <v>750100</v>
      </c>
      <c r="B9549">
        <v>0.32</v>
      </c>
      <c r="C9549">
        <v>2880</v>
      </c>
      <c r="D9549" s="9">
        <v>42781</v>
      </c>
      <c r="E9549" t="s">
        <v>296</v>
      </c>
      <c r="I9549" s="9"/>
    </row>
    <row r="9550" spans="1:9" x14ac:dyDescent="0.25">
      <c r="A9550">
        <v>750100</v>
      </c>
      <c r="B9550">
        <v>0.36</v>
      </c>
      <c r="C9550">
        <v>6000</v>
      </c>
      <c r="D9550" s="9">
        <v>42696</v>
      </c>
      <c r="E9550" t="s">
        <v>296</v>
      </c>
      <c r="I9550" s="9"/>
    </row>
    <row r="9551" spans="1:9" x14ac:dyDescent="0.25">
      <c r="A9551">
        <v>750100</v>
      </c>
      <c r="B9551">
        <v>0.36</v>
      </c>
      <c r="C9551">
        <v>3960</v>
      </c>
      <c r="D9551" s="9">
        <v>42397</v>
      </c>
      <c r="E9551" t="s">
        <v>296</v>
      </c>
      <c r="I9551" s="9"/>
    </row>
    <row r="9552" spans="1:9" x14ac:dyDescent="0.25">
      <c r="A9552">
        <v>750100</v>
      </c>
      <c r="B9552">
        <v>0.36</v>
      </c>
      <c r="C9552">
        <v>6000</v>
      </c>
      <c r="D9552" s="9">
        <v>42325</v>
      </c>
      <c r="E9552" t="s">
        <v>296</v>
      </c>
      <c r="I9552" s="9"/>
    </row>
    <row r="9553" spans="1:9" x14ac:dyDescent="0.25">
      <c r="A9553">
        <v>750100</v>
      </c>
      <c r="B9553">
        <v>0.36499999999999999</v>
      </c>
      <c r="C9553">
        <v>2400</v>
      </c>
      <c r="D9553" s="9">
        <v>42270</v>
      </c>
      <c r="E9553" t="s">
        <v>296</v>
      </c>
      <c r="I9553" s="9"/>
    </row>
    <row r="9554" spans="1:9" x14ac:dyDescent="0.25">
      <c r="A9554">
        <v>750100</v>
      </c>
      <c r="B9554">
        <v>0.36</v>
      </c>
      <c r="C9554">
        <v>4800</v>
      </c>
      <c r="D9554" s="9">
        <v>42031</v>
      </c>
      <c r="E9554" t="s">
        <v>296</v>
      </c>
      <c r="I9554" s="9"/>
    </row>
    <row r="9555" spans="1:9" x14ac:dyDescent="0.25">
      <c r="A9555">
        <v>750100</v>
      </c>
      <c r="B9555">
        <v>0.36</v>
      </c>
      <c r="C9555">
        <v>7200</v>
      </c>
      <c r="D9555" s="9">
        <v>41789</v>
      </c>
      <c r="E9555" t="s">
        <v>296</v>
      </c>
      <c r="I9555" s="9"/>
    </row>
    <row r="9556" spans="1:9" x14ac:dyDescent="0.25">
      <c r="A9556">
        <v>750100</v>
      </c>
      <c r="B9556">
        <v>0.36</v>
      </c>
      <c r="C9556">
        <v>9600</v>
      </c>
      <c r="D9556" s="9">
        <v>41746</v>
      </c>
      <c r="E9556" t="s">
        <v>296</v>
      </c>
      <c r="I9556" s="9"/>
    </row>
    <row r="9557" spans="1:9" x14ac:dyDescent="0.25">
      <c r="A9557">
        <v>750100</v>
      </c>
      <c r="B9557">
        <v>0.246</v>
      </c>
      <c r="C9557">
        <v>1200</v>
      </c>
      <c r="D9557" s="9">
        <v>41558</v>
      </c>
      <c r="E9557" t="s">
        <v>296</v>
      </c>
      <c r="I9557" s="9"/>
    </row>
    <row r="9558" spans="1:9" x14ac:dyDescent="0.25">
      <c r="A9558">
        <v>750100</v>
      </c>
      <c r="B9558">
        <v>0.36</v>
      </c>
      <c r="C9558">
        <v>3840</v>
      </c>
      <c r="D9558" s="9">
        <v>41417</v>
      </c>
      <c r="E9558" t="s">
        <v>296</v>
      </c>
      <c r="I9558" s="9"/>
    </row>
    <row r="9559" spans="1:9" x14ac:dyDescent="0.25">
      <c r="A9559">
        <v>750100</v>
      </c>
      <c r="B9559">
        <v>0.36</v>
      </c>
      <c r="C9559">
        <v>7200</v>
      </c>
      <c r="D9559" s="9">
        <v>41366</v>
      </c>
      <c r="E9559" t="s">
        <v>296</v>
      </c>
      <c r="I9559" s="9"/>
    </row>
    <row r="9560" spans="1:9" x14ac:dyDescent="0.25">
      <c r="A9560">
        <v>750100</v>
      </c>
      <c r="B9560">
        <v>0.36</v>
      </c>
      <c r="C9560">
        <v>1320</v>
      </c>
      <c r="D9560" s="9">
        <v>41366</v>
      </c>
      <c r="E9560" t="s">
        <v>296</v>
      </c>
      <c r="I9560" s="9"/>
    </row>
    <row r="9561" spans="1:9" x14ac:dyDescent="0.25">
      <c r="A9561">
        <v>750130</v>
      </c>
      <c r="B9561">
        <v>0.65</v>
      </c>
      <c r="C9561">
        <v>756</v>
      </c>
      <c r="D9561" s="9">
        <v>44035</v>
      </c>
      <c r="E9561" t="s">
        <v>296</v>
      </c>
      <c r="I9561" s="9"/>
    </row>
    <row r="9562" spans="1:9" x14ac:dyDescent="0.25">
      <c r="A9562">
        <v>750130</v>
      </c>
      <c r="B9562">
        <v>0.65</v>
      </c>
      <c r="C9562">
        <v>756</v>
      </c>
      <c r="D9562" s="9">
        <v>43972</v>
      </c>
      <c r="E9562" t="s">
        <v>296</v>
      </c>
      <c r="I9562" s="9"/>
    </row>
    <row r="9563" spans="1:9" x14ac:dyDescent="0.25">
      <c r="A9563">
        <v>750130</v>
      </c>
      <c r="B9563">
        <v>0.57999999999999996</v>
      </c>
      <c r="C9563">
        <v>756</v>
      </c>
      <c r="D9563" s="9">
        <v>43707</v>
      </c>
      <c r="E9563" t="s">
        <v>296</v>
      </c>
      <c r="I9563" s="9"/>
    </row>
    <row r="9564" spans="1:9" x14ac:dyDescent="0.25">
      <c r="A9564">
        <v>750130</v>
      </c>
      <c r="B9564">
        <v>0.57999999999999996</v>
      </c>
      <c r="C9564">
        <v>612</v>
      </c>
      <c r="D9564" s="9">
        <v>43567</v>
      </c>
      <c r="E9564" t="s">
        <v>296</v>
      </c>
      <c r="I9564" s="9"/>
    </row>
    <row r="9565" spans="1:9" x14ac:dyDescent="0.25">
      <c r="A9565">
        <v>750130</v>
      </c>
      <c r="B9565">
        <v>0.56000000000000005</v>
      </c>
      <c r="C9565">
        <v>612</v>
      </c>
      <c r="D9565" s="9">
        <v>43299</v>
      </c>
      <c r="E9565" t="s">
        <v>296</v>
      </c>
      <c r="I9565" s="9"/>
    </row>
    <row r="9566" spans="1:9" x14ac:dyDescent="0.25">
      <c r="A9566">
        <v>750130</v>
      </c>
      <c r="B9566">
        <v>0.54300000000000004</v>
      </c>
      <c r="C9566">
        <v>612</v>
      </c>
      <c r="D9566" s="9">
        <v>43136</v>
      </c>
      <c r="E9566" t="s">
        <v>296</v>
      </c>
      <c r="I9566" s="9"/>
    </row>
    <row r="9567" spans="1:9" x14ac:dyDescent="0.25">
      <c r="A9567">
        <v>750130</v>
      </c>
      <c r="B9567">
        <v>1.94</v>
      </c>
      <c r="C9567">
        <v>612</v>
      </c>
      <c r="D9567" s="9">
        <v>43136</v>
      </c>
      <c r="E9567" t="s">
        <v>295</v>
      </c>
      <c r="I9567" s="9"/>
    </row>
    <row r="9568" spans="1:9" x14ac:dyDescent="0.25">
      <c r="A9568">
        <v>750130</v>
      </c>
      <c r="B9568">
        <v>0.52800000000000002</v>
      </c>
      <c r="C9568">
        <v>612</v>
      </c>
      <c r="D9568" s="9">
        <v>42976</v>
      </c>
      <c r="E9568" t="s">
        <v>296</v>
      </c>
      <c r="I9568" s="9"/>
    </row>
    <row r="9569" spans="1:9" x14ac:dyDescent="0.25">
      <c r="A9569">
        <v>750130</v>
      </c>
      <c r="B9569">
        <v>0.52800000000000002</v>
      </c>
      <c r="C9569">
        <v>612</v>
      </c>
      <c r="D9569" s="9">
        <v>42815</v>
      </c>
      <c r="E9569" t="s">
        <v>296</v>
      </c>
      <c r="I9569" s="9"/>
    </row>
    <row r="9570" spans="1:9" x14ac:dyDescent="0.25">
      <c r="A9570">
        <v>750130</v>
      </c>
      <c r="B9570">
        <v>0.52800000000000002</v>
      </c>
      <c r="C9570">
        <v>252</v>
      </c>
      <c r="D9570" s="9">
        <v>42641</v>
      </c>
      <c r="E9570" t="s">
        <v>296</v>
      </c>
      <c r="I9570" s="9"/>
    </row>
    <row r="9571" spans="1:9" x14ac:dyDescent="0.25">
      <c r="A9571">
        <v>750130</v>
      </c>
      <c r="B9571">
        <v>0.52800000000000002</v>
      </c>
      <c r="C9571">
        <v>252</v>
      </c>
      <c r="D9571" s="9">
        <v>42641</v>
      </c>
      <c r="E9571" t="s">
        <v>296</v>
      </c>
      <c r="I9571" s="9"/>
    </row>
    <row r="9572" spans="1:9" x14ac:dyDescent="0.25">
      <c r="A9572">
        <v>750130</v>
      </c>
      <c r="B9572">
        <v>0.52800000000000002</v>
      </c>
      <c r="C9572">
        <v>864</v>
      </c>
      <c r="D9572" s="9">
        <v>42600</v>
      </c>
      <c r="E9572" t="s">
        <v>296</v>
      </c>
      <c r="I9572" s="9"/>
    </row>
    <row r="9573" spans="1:9" x14ac:dyDescent="0.25">
      <c r="A9573">
        <v>750130</v>
      </c>
      <c r="B9573">
        <v>0.52800000000000002</v>
      </c>
      <c r="C9573">
        <v>864</v>
      </c>
      <c r="D9573" s="9">
        <v>42326</v>
      </c>
      <c r="E9573" t="s">
        <v>296</v>
      </c>
      <c r="I9573" s="9"/>
    </row>
    <row r="9574" spans="1:9" x14ac:dyDescent="0.25">
      <c r="A9574">
        <v>750130</v>
      </c>
      <c r="B9574">
        <v>0.51200000000000001</v>
      </c>
      <c r="C9574">
        <v>864</v>
      </c>
      <c r="D9574" s="9">
        <v>41870</v>
      </c>
      <c r="E9574" t="s">
        <v>296</v>
      </c>
      <c r="I9574" s="9"/>
    </row>
    <row r="9575" spans="1:9" x14ac:dyDescent="0.25">
      <c r="A9575">
        <v>750130</v>
      </c>
      <c r="B9575">
        <v>0.51200000000000001</v>
      </c>
      <c r="C9575">
        <v>864</v>
      </c>
      <c r="D9575" s="9">
        <v>41816</v>
      </c>
      <c r="E9575" t="s">
        <v>296</v>
      </c>
      <c r="I9575" s="9"/>
    </row>
    <row r="9576" spans="1:9" x14ac:dyDescent="0.25">
      <c r="A9576">
        <v>750130</v>
      </c>
      <c r="B9576">
        <v>0.49299999999999999</v>
      </c>
      <c r="C9576">
        <v>864</v>
      </c>
      <c r="D9576" s="9">
        <v>41558</v>
      </c>
      <c r="E9576" t="s">
        <v>296</v>
      </c>
      <c r="I9576" s="9"/>
    </row>
    <row r="9577" spans="1:9" x14ac:dyDescent="0.25">
      <c r="A9577">
        <v>750130</v>
      </c>
      <c r="B9577">
        <v>0.48</v>
      </c>
      <c r="C9577">
        <v>864</v>
      </c>
      <c r="D9577" s="9">
        <v>41435</v>
      </c>
      <c r="E9577" t="s">
        <v>296</v>
      </c>
      <c r="I9577" s="9"/>
    </row>
    <row r="9578" spans="1:9" x14ac:dyDescent="0.25">
      <c r="A9578">
        <v>750130</v>
      </c>
      <c r="B9578">
        <v>0.46600000000000003</v>
      </c>
      <c r="C9578">
        <v>864</v>
      </c>
      <c r="D9578" s="9">
        <v>41295</v>
      </c>
      <c r="E9578" t="s">
        <v>296</v>
      </c>
      <c r="I9578" s="9"/>
    </row>
    <row r="9579" spans="1:9" x14ac:dyDescent="0.25">
      <c r="A9579">
        <v>750140</v>
      </c>
      <c r="B9579">
        <v>0.23100000000000001</v>
      </c>
      <c r="C9579">
        <v>2880</v>
      </c>
      <c r="D9579" s="9">
        <v>44113</v>
      </c>
      <c r="E9579" t="s">
        <v>296</v>
      </c>
      <c r="I9579" s="9"/>
    </row>
    <row r="9580" spans="1:9" x14ac:dyDescent="0.25">
      <c r="A9580">
        <v>750140</v>
      </c>
      <c r="B9580">
        <v>0.23100000000000001</v>
      </c>
      <c r="C9580">
        <v>2880</v>
      </c>
      <c r="D9580" s="9">
        <v>44068</v>
      </c>
      <c r="E9580" t="s">
        <v>296</v>
      </c>
      <c r="I9580" s="9"/>
    </row>
    <row r="9581" spans="1:9" x14ac:dyDescent="0.25">
      <c r="A9581">
        <v>750140</v>
      </c>
      <c r="B9581">
        <v>0.23100000000000001</v>
      </c>
      <c r="C9581">
        <v>3000</v>
      </c>
      <c r="D9581" s="9">
        <v>43784</v>
      </c>
      <c r="E9581" t="s">
        <v>296</v>
      </c>
      <c r="I9581" s="9"/>
    </row>
    <row r="9582" spans="1:9" x14ac:dyDescent="0.25">
      <c r="A9582">
        <v>750140</v>
      </c>
      <c r="B9582">
        <v>0.23100000000000001</v>
      </c>
      <c r="C9582">
        <v>3000</v>
      </c>
      <c r="D9582" s="9">
        <v>43567</v>
      </c>
      <c r="E9582" t="s">
        <v>296</v>
      </c>
      <c r="I9582" s="9"/>
    </row>
    <row r="9583" spans="1:9" x14ac:dyDescent="0.25">
      <c r="A9583">
        <v>750140</v>
      </c>
      <c r="B9583">
        <v>0.23100000000000001</v>
      </c>
      <c r="C9583">
        <v>3000</v>
      </c>
      <c r="D9583" s="9">
        <v>43299</v>
      </c>
      <c r="E9583" t="s">
        <v>296</v>
      </c>
      <c r="I9583" s="9"/>
    </row>
    <row r="9584" spans="1:9" x14ac:dyDescent="0.25">
      <c r="A9584">
        <v>750140</v>
      </c>
      <c r="B9584">
        <v>0.76</v>
      </c>
      <c r="C9584">
        <v>3000</v>
      </c>
      <c r="D9584" s="9">
        <v>43136</v>
      </c>
      <c r="E9584" t="s">
        <v>295</v>
      </c>
      <c r="I9584" s="9"/>
    </row>
    <row r="9585" spans="1:9" x14ac:dyDescent="0.25">
      <c r="A9585">
        <v>750140</v>
      </c>
      <c r="B9585">
        <v>0.215</v>
      </c>
      <c r="C9585">
        <v>3000</v>
      </c>
      <c r="D9585" s="9">
        <v>43136</v>
      </c>
      <c r="E9585" t="s">
        <v>296</v>
      </c>
      <c r="I9585" s="9"/>
    </row>
    <row r="9586" spans="1:9" x14ac:dyDescent="0.25">
      <c r="A9586">
        <v>750140</v>
      </c>
      <c r="B9586">
        <v>0.215</v>
      </c>
      <c r="C9586">
        <v>3000</v>
      </c>
      <c r="D9586" s="9">
        <v>42976</v>
      </c>
      <c r="E9586" t="s">
        <v>296</v>
      </c>
      <c r="I9586" s="9"/>
    </row>
    <row r="9587" spans="1:9" x14ac:dyDescent="0.25">
      <c r="A9587">
        <v>750140</v>
      </c>
      <c r="B9587">
        <v>0.215</v>
      </c>
      <c r="C9587">
        <v>2160</v>
      </c>
      <c r="D9587" s="9">
        <v>42815</v>
      </c>
      <c r="E9587" t="s">
        <v>296</v>
      </c>
      <c r="I9587" s="9"/>
    </row>
    <row r="9588" spans="1:9" x14ac:dyDescent="0.25">
      <c r="A9588">
        <v>750140</v>
      </c>
      <c r="B9588">
        <v>0.22</v>
      </c>
      <c r="C9588">
        <v>3600</v>
      </c>
      <c r="D9588" s="9">
        <v>42641</v>
      </c>
      <c r="E9588" t="s">
        <v>296</v>
      </c>
      <c r="I9588" s="9"/>
    </row>
    <row r="9589" spans="1:9" x14ac:dyDescent="0.25">
      <c r="A9589">
        <v>750140</v>
      </c>
      <c r="B9589">
        <v>0.22</v>
      </c>
      <c r="C9589">
        <v>3600</v>
      </c>
      <c r="D9589" s="9">
        <v>42641</v>
      </c>
      <c r="E9589" t="s">
        <v>296</v>
      </c>
      <c r="I9589" s="9"/>
    </row>
    <row r="9590" spans="1:9" x14ac:dyDescent="0.25">
      <c r="A9590">
        <v>750140</v>
      </c>
      <c r="B9590">
        <v>0.22</v>
      </c>
      <c r="C9590">
        <v>2880</v>
      </c>
      <c r="D9590" s="9">
        <v>42271</v>
      </c>
      <c r="E9590" t="s">
        <v>296</v>
      </c>
      <c r="I9590" s="9"/>
    </row>
    <row r="9591" spans="1:9" x14ac:dyDescent="0.25">
      <c r="A9591">
        <v>750140</v>
      </c>
      <c r="B9591">
        <v>0.22</v>
      </c>
      <c r="C9591">
        <v>2880</v>
      </c>
      <c r="D9591" s="9">
        <v>42111</v>
      </c>
      <c r="E9591" t="s">
        <v>296</v>
      </c>
      <c r="I9591" s="9"/>
    </row>
    <row r="9592" spans="1:9" x14ac:dyDescent="0.25">
      <c r="A9592">
        <v>750140</v>
      </c>
      <c r="B9592">
        <v>0.69</v>
      </c>
      <c r="C9592">
        <v>2880</v>
      </c>
      <c r="D9592" s="9">
        <v>41927</v>
      </c>
      <c r="E9592" t="s">
        <v>295</v>
      </c>
      <c r="I9592" s="9"/>
    </row>
    <row r="9593" spans="1:9" x14ac:dyDescent="0.25">
      <c r="A9593">
        <v>750140</v>
      </c>
      <c r="B9593">
        <v>0.21299999999999999</v>
      </c>
      <c r="C9593">
        <v>2880</v>
      </c>
      <c r="D9593" s="9">
        <v>41870</v>
      </c>
      <c r="E9593" t="s">
        <v>296</v>
      </c>
      <c r="I9593" s="9"/>
    </row>
    <row r="9594" spans="1:9" x14ac:dyDescent="0.25">
      <c r="A9594">
        <v>750140</v>
      </c>
      <c r="B9594">
        <v>0.21299999999999999</v>
      </c>
      <c r="C9594">
        <v>2880</v>
      </c>
      <c r="D9594" s="9">
        <v>41816</v>
      </c>
      <c r="E9594" t="s">
        <v>296</v>
      </c>
      <c r="I9594" s="9"/>
    </row>
    <row r="9595" spans="1:9" x14ac:dyDescent="0.25">
      <c r="A9595">
        <v>750140</v>
      </c>
      <c r="B9595">
        <v>0.21299999999999999</v>
      </c>
      <c r="C9595">
        <v>2880</v>
      </c>
      <c r="D9595" s="9">
        <v>41435</v>
      </c>
      <c r="E9595" t="s">
        <v>296</v>
      </c>
      <c r="I9595" s="9"/>
    </row>
    <row r="9596" spans="1:9" x14ac:dyDescent="0.25">
      <c r="A9596">
        <v>750140</v>
      </c>
      <c r="B9596">
        <v>0.20699999999999999</v>
      </c>
      <c r="C9596">
        <v>2880</v>
      </c>
      <c r="D9596" s="9">
        <v>41295</v>
      </c>
      <c r="E9596" t="s">
        <v>296</v>
      </c>
      <c r="I9596" s="9"/>
    </row>
    <row r="9597" spans="1:9" x14ac:dyDescent="0.25">
      <c r="A9597">
        <v>750140</v>
      </c>
      <c r="B9597">
        <v>0.20200000000000001</v>
      </c>
      <c r="C9597">
        <v>2880</v>
      </c>
      <c r="D9597" s="9">
        <v>41295</v>
      </c>
      <c r="E9597" t="s">
        <v>296</v>
      </c>
      <c r="I9597" s="9"/>
    </row>
    <row r="9598" spans="1:9" x14ac:dyDescent="0.25">
      <c r="A9598">
        <v>750150</v>
      </c>
      <c r="B9598">
        <v>0.254</v>
      </c>
      <c r="C9598">
        <v>2040</v>
      </c>
      <c r="D9598" s="9">
        <v>43707</v>
      </c>
      <c r="E9598" t="s">
        <v>296</v>
      </c>
      <c r="I9598" s="9"/>
    </row>
    <row r="9599" spans="1:9" x14ac:dyDescent="0.25">
      <c r="A9599">
        <v>750150</v>
      </c>
      <c r="B9599">
        <v>0.254</v>
      </c>
      <c r="C9599">
        <v>6360</v>
      </c>
      <c r="D9599" s="9">
        <v>43612</v>
      </c>
      <c r="E9599" t="s">
        <v>296</v>
      </c>
      <c r="I9599" s="9"/>
    </row>
    <row r="9600" spans="1:9" x14ac:dyDescent="0.25">
      <c r="A9600">
        <v>750150</v>
      </c>
      <c r="B9600">
        <v>0.254</v>
      </c>
      <c r="C9600">
        <v>8400</v>
      </c>
      <c r="D9600" s="9">
        <v>43567</v>
      </c>
      <c r="E9600" t="s">
        <v>296</v>
      </c>
      <c r="I9600" s="9"/>
    </row>
    <row r="9601" spans="1:9" x14ac:dyDescent="0.25">
      <c r="A9601">
        <v>750150</v>
      </c>
      <c r="B9601">
        <v>1.18</v>
      </c>
      <c r="C9601">
        <v>4080</v>
      </c>
      <c r="D9601" s="9">
        <v>43503</v>
      </c>
      <c r="E9601" t="s">
        <v>295</v>
      </c>
      <c r="I9601" s="9"/>
    </row>
    <row r="9602" spans="1:9" x14ac:dyDescent="0.25">
      <c r="A9602">
        <v>750150</v>
      </c>
      <c r="B9602">
        <v>1.2</v>
      </c>
      <c r="C9602">
        <v>600</v>
      </c>
      <c r="D9602" s="9">
        <v>43473</v>
      </c>
      <c r="E9602" t="s">
        <v>295</v>
      </c>
      <c r="I9602" s="9"/>
    </row>
    <row r="9603" spans="1:9" x14ac:dyDescent="0.25">
      <c r="A9603">
        <v>750150</v>
      </c>
      <c r="B9603">
        <v>0.252</v>
      </c>
      <c r="C9603">
        <v>120</v>
      </c>
      <c r="D9603" s="9">
        <v>43452</v>
      </c>
      <c r="E9603" t="s">
        <v>296</v>
      </c>
      <c r="I9603" s="9"/>
    </row>
    <row r="9604" spans="1:9" x14ac:dyDescent="0.25">
      <c r="A9604">
        <v>750150</v>
      </c>
      <c r="B9604">
        <v>0.252</v>
      </c>
      <c r="C9604">
        <v>3600</v>
      </c>
      <c r="D9604" s="9">
        <v>43452</v>
      </c>
      <c r="E9604" t="s">
        <v>296</v>
      </c>
      <c r="I9604" s="9"/>
    </row>
    <row r="9605" spans="1:9" x14ac:dyDescent="0.25">
      <c r="A9605">
        <v>750150</v>
      </c>
      <c r="B9605">
        <v>0.252</v>
      </c>
      <c r="C9605">
        <v>3480</v>
      </c>
      <c r="D9605" s="9">
        <v>43299</v>
      </c>
      <c r="E9605" t="s">
        <v>296</v>
      </c>
      <c r="I9605" s="9"/>
    </row>
    <row r="9606" spans="1:9" x14ac:dyDescent="0.25">
      <c r="A9606">
        <v>750150</v>
      </c>
      <c r="B9606">
        <v>0.24299999999999999</v>
      </c>
      <c r="C9606">
        <v>6000</v>
      </c>
      <c r="D9606" s="9">
        <v>43136</v>
      </c>
      <c r="E9606" t="s">
        <v>296</v>
      </c>
      <c r="I9606" s="9"/>
    </row>
    <row r="9607" spans="1:9" x14ac:dyDescent="0.25">
      <c r="A9607">
        <v>750150</v>
      </c>
      <c r="B9607">
        <v>0.87</v>
      </c>
      <c r="C9607">
        <v>6000</v>
      </c>
      <c r="D9607" s="9">
        <v>43136</v>
      </c>
      <c r="E9607" t="s">
        <v>295</v>
      </c>
      <c r="I9607" s="9"/>
    </row>
    <row r="9608" spans="1:9" x14ac:dyDescent="0.25">
      <c r="A9608">
        <v>750150</v>
      </c>
      <c r="B9608">
        <v>0.23899999999999999</v>
      </c>
      <c r="C9608">
        <v>3000</v>
      </c>
      <c r="D9608" s="9">
        <v>42976</v>
      </c>
      <c r="E9608" t="s">
        <v>296</v>
      </c>
      <c r="I9608" s="9"/>
    </row>
    <row r="9609" spans="1:9" x14ac:dyDescent="0.25">
      <c r="A9609">
        <v>750150</v>
      </c>
      <c r="B9609">
        <v>0.23899999999999999</v>
      </c>
      <c r="C9609">
        <v>3000</v>
      </c>
      <c r="D9609" s="9">
        <v>42976</v>
      </c>
      <c r="E9609" t="s">
        <v>296</v>
      </c>
      <c r="I9609" s="9"/>
    </row>
    <row r="9610" spans="1:9" x14ac:dyDescent="0.25">
      <c r="A9610">
        <v>750150</v>
      </c>
      <c r="B9610">
        <v>0.23899999999999999</v>
      </c>
      <c r="C9610">
        <v>2400</v>
      </c>
      <c r="D9610" s="9">
        <v>42815</v>
      </c>
      <c r="E9610" t="s">
        <v>296</v>
      </c>
      <c r="I9610" s="9"/>
    </row>
    <row r="9611" spans="1:9" x14ac:dyDescent="0.25">
      <c r="A9611">
        <v>750150</v>
      </c>
      <c r="B9611">
        <v>0.23899999999999999</v>
      </c>
      <c r="C9611">
        <v>2400</v>
      </c>
      <c r="D9611" s="9">
        <v>42815</v>
      </c>
      <c r="E9611" t="s">
        <v>296</v>
      </c>
      <c r="I9611" s="9"/>
    </row>
    <row r="9612" spans="1:9" x14ac:dyDescent="0.25">
      <c r="A9612">
        <v>750150</v>
      </c>
      <c r="B9612">
        <v>0.23899999999999999</v>
      </c>
      <c r="C9612">
        <v>960</v>
      </c>
      <c r="D9612" s="9">
        <v>42641</v>
      </c>
      <c r="E9612" t="s">
        <v>296</v>
      </c>
      <c r="I9612" s="9"/>
    </row>
    <row r="9613" spans="1:9" x14ac:dyDescent="0.25">
      <c r="A9613">
        <v>750150</v>
      </c>
      <c r="B9613">
        <v>0.23899999999999999</v>
      </c>
      <c r="C9613">
        <v>960</v>
      </c>
      <c r="D9613" s="9">
        <v>42641</v>
      </c>
      <c r="E9613" t="s">
        <v>296</v>
      </c>
      <c r="I9613" s="9"/>
    </row>
    <row r="9614" spans="1:9" x14ac:dyDescent="0.25">
      <c r="A9614">
        <v>750150</v>
      </c>
      <c r="B9614">
        <v>0.23899999999999999</v>
      </c>
      <c r="C9614">
        <v>1200</v>
      </c>
      <c r="D9614" s="9">
        <v>42600</v>
      </c>
      <c r="E9614" t="s">
        <v>296</v>
      </c>
      <c r="I9614" s="9"/>
    </row>
    <row r="9615" spans="1:9" x14ac:dyDescent="0.25">
      <c r="A9615">
        <v>750150</v>
      </c>
      <c r="B9615">
        <v>0.23899999999999999</v>
      </c>
      <c r="C9615">
        <v>3960</v>
      </c>
      <c r="D9615" s="9">
        <v>42440</v>
      </c>
      <c r="E9615" t="s">
        <v>296</v>
      </c>
      <c r="I9615" s="9"/>
    </row>
    <row r="9616" spans="1:9" x14ac:dyDescent="0.25">
      <c r="A9616">
        <v>750150</v>
      </c>
      <c r="B9616">
        <v>0.23899999999999999</v>
      </c>
      <c r="C9616">
        <v>2400</v>
      </c>
      <c r="D9616" s="9">
        <v>42326</v>
      </c>
      <c r="E9616" t="s">
        <v>296</v>
      </c>
      <c r="I9616" s="9"/>
    </row>
    <row r="9617" spans="1:9" x14ac:dyDescent="0.25">
      <c r="A9617">
        <v>750150</v>
      </c>
      <c r="B9617">
        <v>0.23899999999999999</v>
      </c>
      <c r="C9617">
        <v>2040</v>
      </c>
      <c r="D9617" s="9">
        <v>42326</v>
      </c>
      <c r="E9617" t="s">
        <v>296</v>
      </c>
      <c r="I9617" s="9"/>
    </row>
    <row r="9618" spans="1:9" x14ac:dyDescent="0.25">
      <c r="A9618">
        <v>750150</v>
      </c>
      <c r="B9618">
        <v>0.23899999999999999</v>
      </c>
      <c r="C9618">
        <v>3600</v>
      </c>
      <c r="D9618" s="9">
        <v>42271</v>
      </c>
      <c r="E9618" t="s">
        <v>296</v>
      </c>
      <c r="I9618" s="9"/>
    </row>
    <row r="9619" spans="1:9" x14ac:dyDescent="0.25">
      <c r="A9619">
        <v>750150</v>
      </c>
      <c r="B9619">
        <v>0.249</v>
      </c>
      <c r="C9619">
        <v>6000</v>
      </c>
      <c r="D9619" s="9">
        <v>42177</v>
      </c>
      <c r="E9619" t="s">
        <v>296</v>
      </c>
      <c r="I9619" s="9"/>
    </row>
    <row r="9620" spans="1:9" x14ac:dyDescent="0.25">
      <c r="A9620">
        <v>750150</v>
      </c>
      <c r="B9620">
        <v>0.24</v>
      </c>
      <c r="C9620">
        <v>6000</v>
      </c>
      <c r="D9620" s="9">
        <v>41983</v>
      </c>
      <c r="E9620" t="s">
        <v>296</v>
      </c>
      <c r="I9620" s="9"/>
    </row>
    <row r="9621" spans="1:9" x14ac:dyDescent="0.25">
      <c r="A9621">
        <v>750150</v>
      </c>
      <c r="B9621">
        <v>0.78</v>
      </c>
      <c r="C9621">
        <v>4080</v>
      </c>
      <c r="D9621" s="9">
        <v>41927</v>
      </c>
      <c r="E9621" t="s">
        <v>295</v>
      </c>
      <c r="I9621" s="9"/>
    </row>
    <row r="9622" spans="1:9" x14ac:dyDescent="0.25">
      <c r="A9622">
        <v>750150</v>
      </c>
      <c r="B9622">
        <v>0.24</v>
      </c>
      <c r="C9622">
        <v>4080</v>
      </c>
      <c r="D9622" s="9">
        <v>41870</v>
      </c>
      <c r="E9622" t="s">
        <v>296</v>
      </c>
      <c r="I9622" s="9"/>
    </row>
    <row r="9623" spans="1:9" x14ac:dyDescent="0.25">
      <c r="A9623">
        <v>750150</v>
      </c>
      <c r="B9623">
        <v>0.24</v>
      </c>
      <c r="C9623">
        <v>4080</v>
      </c>
      <c r="D9623" s="9">
        <v>41751</v>
      </c>
      <c r="E9623" t="s">
        <v>296</v>
      </c>
      <c r="I9623" s="9"/>
    </row>
    <row r="9624" spans="1:9" x14ac:dyDescent="0.25">
      <c r="A9624">
        <v>750150</v>
      </c>
      <c r="B9624">
        <v>0.23</v>
      </c>
      <c r="C9624">
        <v>4800</v>
      </c>
      <c r="D9624" s="9">
        <v>41558</v>
      </c>
      <c r="E9624" t="s">
        <v>296</v>
      </c>
      <c r="I9624" s="9"/>
    </row>
    <row r="9625" spans="1:9" x14ac:dyDescent="0.25">
      <c r="A9625">
        <v>750150</v>
      </c>
      <c r="B9625">
        <v>0.23</v>
      </c>
      <c r="C9625">
        <v>4800</v>
      </c>
      <c r="D9625" s="9">
        <v>41435</v>
      </c>
      <c r="E9625" t="s">
        <v>296</v>
      </c>
      <c r="I9625" s="9"/>
    </row>
    <row r="9626" spans="1:9" x14ac:dyDescent="0.25">
      <c r="A9626">
        <v>750150</v>
      </c>
      <c r="B9626">
        <v>0.223</v>
      </c>
      <c r="C9626">
        <v>3840</v>
      </c>
      <c r="D9626" s="9">
        <v>41295</v>
      </c>
      <c r="E9626" t="s">
        <v>296</v>
      </c>
      <c r="I9626" s="9"/>
    </row>
    <row r="9627" spans="1:9" x14ac:dyDescent="0.25">
      <c r="A9627">
        <v>750160</v>
      </c>
      <c r="B9627">
        <v>0.26900000000000002</v>
      </c>
      <c r="C9627">
        <v>600</v>
      </c>
      <c r="D9627" s="9">
        <v>44068</v>
      </c>
      <c r="E9627" t="s">
        <v>296</v>
      </c>
      <c r="I9627" s="9"/>
    </row>
    <row r="9628" spans="1:9" x14ac:dyDescent="0.25">
      <c r="A9628">
        <v>750160</v>
      </c>
      <c r="B9628">
        <v>0.28199999999999997</v>
      </c>
      <c r="C9628">
        <v>1200</v>
      </c>
      <c r="D9628" s="9">
        <v>44035</v>
      </c>
      <c r="E9628" t="s">
        <v>296</v>
      </c>
      <c r="I9628" s="9"/>
    </row>
    <row r="9629" spans="1:9" x14ac:dyDescent="0.25">
      <c r="A9629">
        <v>750160</v>
      </c>
      <c r="B9629">
        <v>0.26900000000000002</v>
      </c>
      <c r="C9629">
        <v>600</v>
      </c>
      <c r="D9629" s="9">
        <v>43972</v>
      </c>
      <c r="E9629" t="s">
        <v>296</v>
      </c>
      <c r="I9629" s="9"/>
    </row>
    <row r="9630" spans="1:9" x14ac:dyDescent="0.25">
      <c r="A9630">
        <v>750160</v>
      </c>
      <c r="B9630">
        <v>0.26900000000000002</v>
      </c>
      <c r="C9630">
        <v>1200</v>
      </c>
      <c r="D9630" s="9">
        <v>43784</v>
      </c>
      <c r="E9630" t="s">
        <v>296</v>
      </c>
      <c r="I9630" s="9"/>
    </row>
    <row r="9631" spans="1:9" x14ac:dyDescent="0.25">
      <c r="A9631">
        <v>750160</v>
      </c>
      <c r="B9631">
        <v>0.26900000000000002</v>
      </c>
      <c r="C9631">
        <v>1200</v>
      </c>
      <c r="D9631" s="9">
        <v>43567</v>
      </c>
      <c r="E9631" t="s">
        <v>296</v>
      </c>
      <c r="I9631" s="9"/>
    </row>
    <row r="9632" spans="1:9" x14ac:dyDescent="0.25">
      <c r="A9632">
        <v>750160</v>
      </c>
      <c r="B9632">
        <v>0.26900000000000002</v>
      </c>
      <c r="C9632">
        <v>1200</v>
      </c>
      <c r="D9632" s="9">
        <v>43452</v>
      </c>
      <c r="E9632" t="s">
        <v>296</v>
      </c>
      <c r="I9632" s="9"/>
    </row>
    <row r="9633" spans="1:9" x14ac:dyDescent="0.25">
      <c r="A9633">
        <v>750160</v>
      </c>
      <c r="B9633">
        <v>0.96</v>
      </c>
      <c r="C9633">
        <v>2400</v>
      </c>
      <c r="D9633" s="9">
        <v>43136</v>
      </c>
      <c r="E9633" t="s">
        <v>295</v>
      </c>
      <c r="I9633" s="9"/>
    </row>
    <row r="9634" spans="1:9" x14ac:dyDescent="0.25">
      <c r="A9634">
        <v>750160</v>
      </c>
      <c r="B9634">
        <v>0.26900000000000002</v>
      </c>
      <c r="C9634">
        <v>2400</v>
      </c>
      <c r="D9634" s="9">
        <v>43136</v>
      </c>
      <c r="E9634" t="s">
        <v>296</v>
      </c>
      <c r="I9634" s="9"/>
    </row>
    <row r="9635" spans="1:9" x14ac:dyDescent="0.25">
      <c r="A9635">
        <v>750160</v>
      </c>
      <c r="B9635">
        <v>0.25800000000000001</v>
      </c>
      <c r="C9635">
        <v>2400</v>
      </c>
      <c r="D9635" s="9">
        <v>42976</v>
      </c>
      <c r="E9635" t="s">
        <v>296</v>
      </c>
      <c r="I9635" s="9"/>
    </row>
    <row r="9636" spans="1:9" x14ac:dyDescent="0.25">
      <c r="A9636">
        <v>750160</v>
      </c>
      <c r="B9636">
        <v>0.25800000000000001</v>
      </c>
      <c r="C9636">
        <v>2880</v>
      </c>
      <c r="D9636" s="9">
        <v>42815</v>
      </c>
      <c r="E9636" t="s">
        <v>296</v>
      </c>
      <c r="I9636" s="9"/>
    </row>
    <row r="9637" spans="1:9" x14ac:dyDescent="0.25">
      <c r="A9637">
        <v>750160</v>
      </c>
      <c r="B9637">
        <v>0.26200000000000001</v>
      </c>
      <c r="C9637">
        <v>3600</v>
      </c>
      <c r="D9637" s="9">
        <v>42326</v>
      </c>
      <c r="E9637" t="s">
        <v>296</v>
      </c>
      <c r="I9637" s="9"/>
    </row>
    <row r="9638" spans="1:9" x14ac:dyDescent="0.25">
      <c r="A9638">
        <v>750160</v>
      </c>
      <c r="B9638">
        <v>0.26200000000000001</v>
      </c>
      <c r="C9638">
        <v>3600</v>
      </c>
      <c r="D9638" s="9">
        <v>42111</v>
      </c>
      <c r="E9638" t="s">
        <v>296</v>
      </c>
      <c r="I9638" s="9"/>
    </row>
    <row r="9639" spans="1:9" x14ac:dyDescent="0.25">
      <c r="A9639">
        <v>750160</v>
      </c>
      <c r="B9639">
        <v>0.249</v>
      </c>
      <c r="C9639">
        <v>3600</v>
      </c>
      <c r="D9639" s="9">
        <v>41558</v>
      </c>
      <c r="E9639" t="s">
        <v>296</v>
      </c>
      <c r="I9639" s="9"/>
    </row>
    <row r="9640" spans="1:9" x14ac:dyDescent="0.25">
      <c r="A9640">
        <v>750160</v>
      </c>
      <c r="B9640">
        <v>0.246</v>
      </c>
      <c r="C9640">
        <v>4320</v>
      </c>
      <c r="D9640" s="9">
        <v>41435</v>
      </c>
      <c r="E9640" t="s">
        <v>296</v>
      </c>
      <c r="I9640" s="9"/>
    </row>
    <row r="9641" spans="1:9" x14ac:dyDescent="0.25">
      <c r="A9641">
        <v>750160</v>
      </c>
      <c r="B9641">
        <v>0.24199999999999999</v>
      </c>
      <c r="C9641">
        <v>2880</v>
      </c>
      <c r="D9641" s="9">
        <v>41295</v>
      </c>
      <c r="E9641" t="s">
        <v>296</v>
      </c>
      <c r="I9641" s="9"/>
    </row>
    <row r="9642" spans="1:9" x14ac:dyDescent="0.25">
      <c r="A9642">
        <v>770000</v>
      </c>
      <c r="B9642">
        <v>0.59399999999999997</v>
      </c>
      <c r="C9642">
        <v>1680</v>
      </c>
      <c r="D9642" s="9">
        <v>42508</v>
      </c>
      <c r="E9642" t="s">
        <v>296</v>
      </c>
      <c r="I9642" s="9"/>
    </row>
    <row r="9643" spans="1:9" x14ac:dyDescent="0.25">
      <c r="A9643">
        <v>770000</v>
      </c>
      <c r="B9643">
        <v>2.31</v>
      </c>
      <c r="C9643">
        <v>1680</v>
      </c>
      <c r="D9643" s="9">
        <v>42508</v>
      </c>
      <c r="E9643" t="s">
        <v>295</v>
      </c>
      <c r="I9643" s="9"/>
    </row>
    <row r="9644" spans="1:9" x14ac:dyDescent="0.25">
      <c r="A9644">
        <v>770000</v>
      </c>
      <c r="B9644">
        <v>0.59399999999999997</v>
      </c>
      <c r="C9644">
        <v>320</v>
      </c>
      <c r="D9644" s="9">
        <v>42440</v>
      </c>
      <c r="E9644" t="s">
        <v>296</v>
      </c>
      <c r="I9644" s="9"/>
    </row>
    <row r="9645" spans="1:9" x14ac:dyDescent="0.25">
      <c r="A9645">
        <v>770000</v>
      </c>
      <c r="B9645">
        <v>0.59399999999999997</v>
      </c>
      <c r="C9645">
        <v>2000</v>
      </c>
      <c r="D9645" s="9">
        <v>42326</v>
      </c>
      <c r="E9645" t="s">
        <v>296</v>
      </c>
      <c r="I9645" s="9"/>
    </row>
    <row r="9646" spans="1:9" x14ac:dyDescent="0.25">
      <c r="A9646">
        <v>770000</v>
      </c>
      <c r="B9646">
        <v>0.59399999999999997</v>
      </c>
      <c r="C9646">
        <v>2000</v>
      </c>
      <c r="D9646" s="9">
        <v>42177</v>
      </c>
      <c r="E9646" t="s">
        <v>296</v>
      </c>
      <c r="I9646" s="9"/>
    </row>
    <row r="9647" spans="1:9" x14ac:dyDescent="0.25">
      <c r="A9647">
        <v>770000</v>
      </c>
      <c r="B9647">
        <v>0.59399999999999997</v>
      </c>
      <c r="C9647">
        <v>720</v>
      </c>
      <c r="D9647" s="9">
        <v>42111</v>
      </c>
      <c r="E9647" t="s">
        <v>296</v>
      </c>
      <c r="I9647" s="9"/>
    </row>
    <row r="9648" spans="1:9" x14ac:dyDescent="0.25">
      <c r="A9648">
        <v>770000</v>
      </c>
      <c r="B9648">
        <v>0.59399999999999997</v>
      </c>
      <c r="C9648">
        <v>2080</v>
      </c>
      <c r="D9648" s="9">
        <v>41983</v>
      </c>
      <c r="E9648" t="s">
        <v>296</v>
      </c>
      <c r="I9648" s="9"/>
    </row>
    <row r="9649" spans="1:9" x14ac:dyDescent="0.25">
      <c r="A9649">
        <v>770000</v>
      </c>
      <c r="B9649">
        <v>1.92</v>
      </c>
      <c r="C9649">
        <v>2000</v>
      </c>
      <c r="D9649" s="9">
        <v>41927</v>
      </c>
      <c r="E9649" t="s">
        <v>295</v>
      </c>
      <c r="I9649" s="9"/>
    </row>
    <row r="9650" spans="1:9" x14ac:dyDescent="0.25">
      <c r="A9650">
        <v>770000</v>
      </c>
      <c r="B9650">
        <v>0.59399999999999997</v>
      </c>
      <c r="C9650">
        <v>2000</v>
      </c>
      <c r="D9650" s="9">
        <v>41870</v>
      </c>
      <c r="E9650" t="s">
        <v>296</v>
      </c>
      <c r="I9650" s="9"/>
    </row>
    <row r="9651" spans="1:9" x14ac:dyDescent="0.25">
      <c r="A9651">
        <v>770000</v>
      </c>
      <c r="B9651">
        <v>0.59399999999999997</v>
      </c>
      <c r="C9651">
        <v>1600</v>
      </c>
      <c r="D9651" s="9">
        <v>41816</v>
      </c>
      <c r="E9651" t="s">
        <v>296</v>
      </c>
      <c r="I9651" s="9"/>
    </row>
    <row r="9652" spans="1:9" x14ac:dyDescent="0.25">
      <c r="A9652">
        <v>770000</v>
      </c>
      <c r="B9652">
        <v>0.59399999999999997</v>
      </c>
      <c r="C9652">
        <v>1760</v>
      </c>
      <c r="D9652" s="9">
        <v>41505</v>
      </c>
      <c r="E9652" t="s">
        <v>296</v>
      </c>
      <c r="I9652" s="9"/>
    </row>
    <row r="9653" spans="1:9" x14ac:dyDescent="0.25">
      <c r="A9653">
        <v>770000</v>
      </c>
      <c r="B9653">
        <v>0.59399999999999997</v>
      </c>
      <c r="C9653">
        <v>2880</v>
      </c>
      <c r="D9653" s="9">
        <v>41418</v>
      </c>
      <c r="E9653" t="s">
        <v>296</v>
      </c>
      <c r="I9653" s="9"/>
    </row>
    <row r="9654" spans="1:9" x14ac:dyDescent="0.25">
      <c r="A9654">
        <v>770000</v>
      </c>
      <c r="B9654">
        <v>0.59399999999999997</v>
      </c>
      <c r="C9654">
        <v>2000</v>
      </c>
      <c r="D9654" s="9">
        <v>41295</v>
      </c>
      <c r="E9654" t="s">
        <v>296</v>
      </c>
      <c r="I9654" s="9"/>
    </row>
    <row r="9655" spans="1:9" x14ac:dyDescent="0.25">
      <c r="A9655">
        <v>770010</v>
      </c>
      <c r="B9655">
        <v>0.93</v>
      </c>
      <c r="C9655">
        <v>2500</v>
      </c>
      <c r="D9655" s="9">
        <v>44141</v>
      </c>
      <c r="E9655" t="s">
        <v>296</v>
      </c>
      <c r="I9655" s="9"/>
    </row>
    <row r="9656" spans="1:9" x14ac:dyDescent="0.25">
      <c r="A9656">
        <v>770010</v>
      </c>
      <c r="B9656">
        <v>0.86</v>
      </c>
      <c r="C9656">
        <v>2500</v>
      </c>
      <c r="D9656" s="9">
        <v>43992</v>
      </c>
      <c r="E9656" t="s">
        <v>296</v>
      </c>
      <c r="I9656" s="9"/>
    </row>
    <row r="9657" spans="1:9" x14ac:dyDescent="0.25">
      <c r="A9657">
        <v>770010</v>
      </c>
      <c r="B9657">
        <v>0.82</v>
      </c>
      <c r="C9657">
        <v>2500</v>
      </c>
      <c r="D9657" s="9">
        <v>43803</v>
      </c>
      <c r="E9657" t="s">
        <v>296</v>
      </c>
      <c r="I9657" s="9"/>
    </row>
    <row r="9658" spans="1:9" x14ac:dyDescent="0.25">
      <c r="A9658">
        <v>770010</v>
      </c>
      <c r="B9658">
        <v>0.82</v>
      </c>
      <c r="C9658">
        <v>2600</v>
      </c>
      <c r="D9658" s="9">
        <v>43686</v>
      </c>
      <c r="E9658" t="s">
        <v>296</v>
      </c>
      <c r="I9658" s="9"/>
    </row>
    <row r="9659" spans="1:9" x14ac:dyDescent="0.25">
      <c r="A9659">
        <v>770010</v>
      </c>
      <c r="B9659">
        <v>0.68</v>
      </c>
      <c r="C9659">
        <v>2000</v>
      </c>
      <c r="D9659" s="9">
        <v>43340</v>
      </c>
      <c r="E9659" t="s">
        <v>296</v>
      </c>
      <c r="I9659" s="9"/>
    </row>
    <row r="9660" spans="1:9" x14ac:dyDescent="0.25">
      <c r="A9660">
        <v>770010</v>
      </c>
      <c r="B9660">
        <v>0.68</v>
      </c>
      <c r="C9660">
        <v>2500</v>
      </c>
      <c r="D9660" s="9">
        <v>43132</v>
      </c>
      <c r="E9660" t="s">
        <v>296</v>
      </c>
      <c r="I9660" s="9"/>
    </row>
    <row r="9661" spans="1:9" x14ac:dyDescent="0.25">
      <c r="A9661">
        <v>770010</v>
      </c>
      <c r="B9661">
        <v>0.63</v>
      </c>
      <c r="C9661">
        <v>2500</v>
      </c>
      <c r="D9661" s="9">
        <v>42976</v>
      </c>
      <c r="E9661" t="s">
        <v>296</v>
      </c>
      <c r="I9661" s="9"/>
    </row>
    <row r="9662" spans="1:9" x14ac:dyDescent="0.25">
      <c r="A9662">
        <v>770010</v>
      </c>
      <c r="B9662">
        <v>0.69799999999999995</v>
      </c>
      <c r="C9662">
        <v>2500</v>
      </c>
      <c r="D9662" s="9">
        <v>42753</v>
      </c>
      <c r="E9662" t="s">
        <v>297</v>
      </c>
      <c r="I9662" s="9"/>
    </row>
    <row r="9663" spans="1:9" x14ac:dyDescent="0.25">
      <c r="A9663">
        <v>770010</v>
      </c>
      <c r="B9663">
        <v>0.63</v>
      </c>
      <c r="C9663">
        <v>1500</v>
      </c>
      <c r="D9663" s="9">
        <v>42753</v>
      </c>
      <c r="E9663" t="s">
        <v>296</v>
      </c>
      <c r="I9663" s="9"/>
    </row>
    <row r="9664" spans="1:9" x14ac:dyDescent="0.25">
      <c r="A9664">
        <v>770010</v>
      </c>
      <c r="B9664">
        <v>3.06</v>
      </c>
      <c r="C9664">
        <v>2000</v>
      </c>
      <c r="D9664" s="9">
        <v>42520</v>
      </c>
      <c r="E9664" t="s">
        <v>295</v>
      </c>
      <c r="I9664" s="9"/>
    </row>
    <row r="9665" spans="1:9" x14ac:dyDescent="0.25">
      <c r="A9665">
        <v>770010</v>
      </c>
      <c r="B9665">
        <v>0.69799999999999995</v>
      </c>
      <c r="C9665">
        <v>2000</v>
      </c>
      <c r="D9665" s="9">
        <v>42520</v>
      </c>
      <c r="E9665" t="s">
        <v>297</v>
      </c>
      <c r="I9665" s="9"/>
    </row>
    <row r="9666" spans="1:9" x14ac:dyDescent="0.25">
      <c r="A9666">
        <v>770010</v>
      </c>
      <c r="B9666">
        <v>0.69799999999999995</v>
      </c>
      <c r="C9666">
        <v>3000</v>
      </c>
      <c r="D9666" s="9">
        <v>42233</v>
      </c>
      <c r="E9666" t="s">
        <v>297</v>
      </c>
      <c r="I9666" s="9"/>
    </row>
    <row r="9667" spans="1:9" x14ac:dyDescent="0.25">
      <c r="A9667">
        <v>770010</v>
      </c>
      <c r="B9667">
        <v>0.75900000000000001</v>
      </c>
      <c r="C9667">
        <v>2500</v>
      </c>
      <c r="D9667" s="9">
        <v>42040</v>
      </c>
      <c r="E9667" t="s">
        <v>296</v>
      </c>
      <c r="I9667" s="9"/>
    </row>
    <row r="9668" spans="1:9" x14ac:dyDescent="0.25">
      <c r="A9668">
        <v>770010</v>
      </c>
      <c r="B9668">
        <v>0.75900000000000001</v>
      </c>
      <c r="C9668">
        <v>1200</v>
      </c>
      <c r="D9668" s="9">
        <v>41865</v>
      </c>
      <c r="E9668" t="s">
        <v>296</v>
      </c>
      <c r="I9668" s="9"/>
    </row>
    <row r="9669" spans="1:9" x14ac:dyDescent="0.25">
      <c r="A9669">
        <v>770010</v>
      </c>
      <c r="B9669">
        <v>0.69</v>
      </c>
      <c r="C9669">
        <v>1200</v>
      </c>
      <c r="D9669" s="9">
        <v>41744</v>
      </c>
      <c r="E9669" t="s">
        <v>296</v>
      </c>
      <c r="I9669" s="9"/>
    </row>
    <row r="9670" spans="1:9" x14ac:dyDescent="0.25">
      <c r="A9670">
        <v>770010</v>
      </c>
      <c r="B9670">
        <v>0.89600000000000002</v>
      </c>
      <c r="C9670">
        <v>1500</v>
      </c>
      <c r="D9670" s="9">
        <v>41435</v>
      </c>
      <c r="E9670" t="s">
        <v>296</v>
      </c>
      <c r="I9670" s="9"/>
    </row>
    <row r="9671" spans="1:9" x14ac:dyDescent="0.25">
      <c r="A9671">
        <v>770010</v>
      </c>
      <c r="B9671">
        <v>0.89600000000000002</v>
      </c>
      <c r="C9671">
        <v>1250</v>
      </c>
      <c r="D9671" s="9">
        <v>41362</v>
      </c>
      <c r="E9671" t="s">
        <v>296</v>
      </c>
      <c r="I9671" s="9"/>
    </row>
    <row r="9672" spans="1:9" x14ac:dyDescent="0.25">
      <c r="A9672">
        <v>771000</v>
      </c>
      <c r="B9672">
        <v>0.254</v>
      </c>
      <c r="C9672">
        <v>7440</v>
      </c>
      <c r="D9672" s="9">
        <v>41505</v>
      </c>
      <c r="E9672" t="s">
        <v>296</v>
      </c>
      <c r="I9672" s="9"/>
    </row>
    <row r="9673" spans="1:9" x14ac:dyDescent="0.25">
      <c r="A9673">
        <v>771000</v>
      </c>
      <c r="B9673">
        <v>0.247</v>
      </c>
      <c r="C9673">
        <v>9600</v>
      </c>
      <c r="D9673" s="9">
        <v>41418</v>
      </c>
      <c r="E9673" t="s">
        <v>296</v>
      </c>
      <c r="I9673" s="9"/>
    </row>
    <row r="9674" spans="1:9" x14ac:dyDescent="0.25">
      <c r="A9674">
        <v>771000</v>
      </c>
      <c r="B9674">
        <v>0.247</v>
      </c>
      <c r="C9674">
        <v>6720</v>
      </c>
      <c r="D9674" s="9">
        <v>41295</v>
      </c>
      <c r="E9674" t="s">
        <v>296</v>
      </c>
      <c r="I9674" s="9"/>
    </row>
    <row r="9675" spans="1:9" x14ac:dyDescent="0.25">
      <c r="A9675">
        <v>771100</v>
      </c>
      <c r="B9675">
        <v>0.52400000000000002</v>
      </c>
      <c r="C9675">
        <v>3200</v>
      </c>
      <c r="D9675" s="9">
        <v>44132</v>
      </c>
      <c r="E9675" t="s">
        <v>296</v>
      </c>
      <c r="I9675" s="9"/>
    </row>
    <row r="9676" spans="1:9" x14ac:dyDescent="0.25">
      <c r="A9676">
        <v>771100</v>
      </c>
      <c r="B9676">
        <v>0.51400000000000001</v>
      </c>
      <c r="C9676">
        <v>1000</v>
      </c>
      <c r="D9676" s="9">
        <v>44068</v>
      </c>
      <c r="E9676" t="s">
        <v>296</v>
      </c>
      <c r="I9676" s="9"/>
    </row>
    <row r="9677" spans="1:9" x14ac:dyDescent="0.25">
      <c r="A9677">
        <v>771100</v>
      </c>
      <c r="B9677">
        <v>0.52400000000000002</v>
      </c>
      <c r="C9677">
        <v>2000</v>
      </c>
      <c r="D9677" s="9">
        <v>44068</v>
      </c>
      <c r="E9677" t="s">
        <v>296</v>
      </c>
      <c r="I9677" s="9"/>
    </row>
    <row r="9678" spans="1:9" x14ac:dyDescent="0.25">
      <c r="A9678">
        <v>771100</v>
      </c>
      <c r="B9678">
        <v>1.51</v>
      </c>
      <c r="C9678">
        <v>1000</v>
      </c>
      <c r="D9678" s="9">
        <v>43888</v>
      </c>
      <c r="E9678" t="s">
        <v>295</v>
      </c>
      <c r="I9678" s="9"/>
    </row>
    <row r="9679" spans="1:9" x14ac:dyDescent="0.25">
      <c r="A9679">
        <v>771100</v>
      </c>
      <c r="B9679">
        <v>0.51400000000000001</v>
      </c>
      <c r="C9679">
        <v>2000</v>
      </c>
      <c r="D9679" s="9">
        <v>43784</v>
      </c>
      <c r="E9679" t="s">
        <v>296</v>
      </c>
      <c r="I9679" s="9"/>
    </row>
    <row r="9680" spans="1:9" x14ac:dyDescent="0.25">
      <c r="A9680">
        <v>771100</v>
      </c>
      <c r="B9680">
        <v>0.46899999999999997</v>
      </c>
      <c r="C9680">
        <v>2500</v>
      </c>
      <c r="D9680" s="9">
        <v>43427</v>
      </c>
      <c r="E9680" t="s">
        <v>296</v>
      </c>
      <c r="I9680" s="9"/>
    </row>
    <row r="9681" spans="1:9" x14ac:dyDescent="0.25">
      <c r="A9681">
        <v>771100</v>
      </c>
      <c r="B9681">
        <v>0.46899999999999997</v>
      </c>
      <c r="C9681">
        <v>2500</v>
      </c>
      <c r="D9681" s="9">
        <v>43427</v>
      </c>
      <c r="E9681" t="s">
        <v>296</v>
      </c>
      <c r="I9681" s="9"/>
    </row>
    <row r="9682" spans="1:9" x14ac:dyDescent="0.25">
      <c r="A9682">
        <v>771100</v>
      </c>
      <c r="B9682">
        <v>0.44700000000000001</v>
      </c>
      <c r="C9682">
        <v>2500</v>
      </c>
      <c r="D9682" s="9">
        <v>43063</v>
      </c>
      <c r="E9682" t="s">
        <v>296</v>
      </c>
      <c r="I9682" s="9"/>
    </row>
    <row r="9683" spans="1:9" x14ac:dyDescent="0.25">
      <c r="A9683">
        <v>771100</v>
      </c>
      <c r="B9683">
        <v>0.46600000000000003</v>
      </c>
      <c r="C9683">
        <v>8000</v>
      </c>
      <c r="D9683" s="9">
        <v>42285</v>
      </c>
      <c r="E9683" t="s">
        <v>297</v>
      </c>
      <c r="I9683" s="9"/>
    </row>
    <row r="9684" spans="1:9" x14ac:dyDescent="0.25">
      <c r="A9684">
        <v>771100</v>
      </c>
      <c r="B9684">
        <v>0.51200000000000001</v>
      </c>
      <c r="C9684">
        <v>8000</v>
      </c>
      <c r="D9684" s="9">
        <v>42129</v>
      </c>
      <c r="E9684" t="s">
        <v>296</v>
      </c>
      <c r="I9684" s="9"/>
    </row>
    <row r="9685" spans="1:9" x14ac:dyDescent="0.25">
      <c r="A9685">
        <v>771100</v>
      </c>
      <c r="B9685">
        <v>0.41</v>
      </c>
      <c r="C9685">
        <v>2400</v>
      </c>
      <c r="D9685" s="9">
        <v>41765</v>
      </c>
      <c r="E9685" t="s">
        <v>296</v>
      </c>
      <c r="I9685" s="9"/>
    </row>
    <row r="9686" spans="1:9" x14ac:dyDescent="0.25">
      <c r="A9686">
        <v>771100</v>
      </c>
      <c r="B9686">
        <v>0.45600000000000002</v>
      </c>
      <c r="C9686">
        <v>2880</v>
      </c>
      <c r="D9686" s="9">
        <v>41435</v>
      </c>
      <c r="E9686" t="s">
        <v>296</v>
      </c>
      <c r="I9686" s="9"/>
    </row>
    <row r="9687" spans="1:9" x14ac:dyDescent="0.25">
      <c r="A9687">
        <v>771100</v>
      </c>
      <c r="B9687">
        <v>0.45600000000000002</v>
      </c>
      <c r="C9687">
        <v>3120</v>
      </c>
      <c r="D9687" s="9">
        <v>41362</v>
      </c>
      <c r="E9687" t="s">
        <v>296</v>
      </c>
      <c r="I9687" s="9"/>
    </row>
    <row r="9688" spans="1:9" x14ac:dyDescent="0.25">
      <c r="A9688">
        <v>771200</v>
      </c>
      <c r="B9688">
        <v>0.40500000000000003</v>
      </c>
      <c r="C9688">
        <v>6000</v>
      </c>
      <c r="D9688" s="9">
        <v>44095</v>
      </c>
      <c r="E9688" t="s">
        <v>296</v>
      </c>
      <c r="I9688" s="9"/>
    </row>
    <row r="9689" spans="1:9" x14ac:dyDescent="0.25">
      <c r="A9689">
        <v>771200</v>
      </c>
      <c r="B9689">
        <v>0.40500000000000003</v>
      </c>
      <c r="C9689">
        <v>6000</v>
      </c>
      <c r="D9689" s="9">
        <v>44068</v>
      </c>
      <c r="E9689" t="s">
        <v>296</v>
      </c>
      <c r="I9689" s="9"/>
    </row>
    <row r="9690" spans="1:9" x14ac:dyDescent="0.25">
      <c r="A9690">
        <v>771200</v>
      </c>
      <c r="B9690">
        <v>0.35599999999999998</v>
      </c>
      <c r="C9690">
        <v>6000</v>
      </c>
      <c r="D9690" s="9">
        <v>43784</v>
      </c>
      <c r="E9690" t="s">
        <v>296</v>
      </c>
      <c r="I9690" s="9"/>
    </row>
    <row r="9691" spans="1:9" x14ac:dyDescent="0.25">
      <c r="A9691">
        <v>771200</v>
      </c>
      <c r="B9691">
        <v>0.36299999999999999</v>
      </c>
      <c r="C9691">
        <v>6000</v>
      </c>
      <c r="D9691" s="9">
        <v>43707</v>
      </c>
      <c r="E9691" t="s">
        <v>296</v>
      </c>
      <c r="I9691" s="9"/>
    </row>
    <row r="9692" spans="1:9" x14ac:dyDescent="0.25">
      <c r="A9692">
        <v>771200</v>
      </c>
      <c r="B9692">
        <v>0.35599999999999998</v>
      </c>
      <c r="C9692">
        <v>6000</v>
      </c>
      <c r="D9692" s="9">
        <v>43567</v>
      </c>
      <c r="E9692" t="s">
        <v>296</v>
      </c>
      <c r="I9692" s="9"/>
    </row>
    <row r="9693" spans="1:9" x14ac:dyDescent="0.25">
      <c r="A9693">
        <v>771200</v>
      </c>
      <c r="B9693">
        <v>0.32</v>
      </c>
      <c r="C9693">
        <v>240</v>
      </c>
      <c r="D9693" s="9">
        <v>43381</v>
      </c>
      <c r="E9693" t="s">
        <v>296</v>
      </c>
      <c r="I9693" s="9"/>
    </row>
    <row r="9694" spans="1:9" x14ac:dyDescent="0.25">
      <c r="A9694">
        <v>771200</v>
      </c>
      <c r="B9694">
        <v>0.32</v>
      </c>
      <c r="C9694">
        <v>4800</v>
      </c>
      <c r="D9694" s="9">
        <v>43381</v>
      </c>
      <c r="E9694" t="s">
        <v>296</v>
      </c>
      <c r="I9694" s="9"/>
    </row>
    <row r="9695" spans="1:9" x14ac:dyDescent="0.25">
      <c r="A9695">
        <v>771200</v>
      </c>
      <c r="B9695">
        <v>1.2</v>
      </c>
      <c r="C9695">
        <v>4800</v>
      </c>
      <c r="D9695" s="9">
        <v>43263</v>
      </c>
      <c r="E9695" t="s">
        <v>295</v>
      </c>
      <c r="I9695" s="9"/>
    </row>
    <row r="9696" spans="1:9" x14ac:dyDescent="0.25">
      <c r="A9696">
        <v>771200</v>
      </c>
      <c r="B9696">
        <v>0.32</v>
      </c>
      <c r="C9696">
        <v>4800</v>
      </c>
      <c r="D9696" s="9">
        <v>43228</v>
      </c>
      <c r="E9696" t="s">
        <v>296</v>
      </c>
      <c r="I9696" s="9"/>
    </row>
    <row r="9697" spans="1:9" x14ac:dyDescent="0.25">
      <c r="A9697">
        <v>771200</v>
      </c>
      <c r="B9697">
        <v>0.38200000000000001</v>
      </c>
      <c r="C9697">
        <v>4824</v>
      </c>
      <c r="D9697" s="9">
        <v>43054</v>
      </c>
      <c r="E9697" t="s">
        <v>296</v>
      </c>
      <c r="I9697" s="9"/>
    </row>
    <row r="9698" spans="1:9" x14ac:dyDescent="0.25">
      <c r="A9698">
        <v>771200</v>
      </c>
      <c r="B9698">
        <v>0.36</v>
      </c>
      <c r="C9698">
        <v>2880</v>
      </c>
      <c r="D9698" s="9">
        <v>42976</v>
      </c>
      <c r="E9698" t="s">
        <v>296</v>
      </c>
      <c r="I9698" s="9"/>
    </row>
    <row r="9699" spans="1:9" x14ac:dyDescent="0.25">
      <c r="A9699">
        <v>771200</v>
      </c>
      <c r="B9699">
        <v>2.2999999999999998</v>
      </c>
      <c r="C9699">
        <v>24</v>
      </c>
      <c r="D9699" s="9">
        <v>42880</v>
      </c>
      <c r="E9699" t="s">
        <v>295</v>
      </c>
      <c r="I9699" s="9"/>
    </row>
    <row r="9700" spans="1:9" x14ac:dyDescent="0.25">
      <c r="A9700">
        <v>771200</v>
      </c>
      <c r="B9700">
        <v>0.32</v>
      </c>
      <c r="C9700">
        <v>3600</v>
      </c>
      <c r="D9700" s="9">
        <v>42781</v>
      </c>
      <c r="E9700" t="s">
        <v>296</v>
      </c>
      <c r="I9700" s="9"/>
    </row>
    <row r="9701" spans="1:9" x14ac:dyDescent="0.25">
      <c r="A9701">
        <v>771200</v>
      </c>
      <c r="B9701">
        <v>0.41</v>
      </c>
      <c r="C9701">
        <v>3456</v>
      </c>
      <c r="D9701" s="9">
        <v>42698</v>
      </c>
      <c r="E9701" t="s">
        <v>296</v>
      </c>
      <c r="I9701" s="9"/>
    </row>
    <row r="9702" spans="1:9" x14ac:dyDescent="0.25">
      <c r="A9702">
        <v>771200</v>
      </c>
      <c r="B9702">
        <v>0.32</v>
      </c>
      <c r="C9702">
        <v>6480</v>
      </c>
      <c r="D9702" s="9">
        <v>42696</v>
      </c>
      <c r="E9702" t="s">
        <v>296</v>
      </c>
      <c r="I9702" s="9"/>
    </row>
    <row r="9703" spans="1:9" x14ac:dyDescent="0.25">
      <c r="A9703">
        <v>771200</v>
      </c>
      <c r="B9703">
        <v>0.41</v>
      </c>
      <c r="C9703">
        <v>2160</v>
      </c>
      <c r="D9703" s="9">
        <v>42617</v>
      </c>
      <c r="E9703" t="s">
        <v>296</v>
      </c>
      <c r="I9703" s="9"/>
    </row>
    <row r="9704" spans="1:9" x14ac:dyDescent="0.25">
      <c r="A9704">
        <v>771200</v>
      </c>
      <c r="B9704">
        <v>0.39300000000000002</v>
      </c>
      <c r="C9704">
        <v>5544</v>
      </c>
      <c r="D9704" s="9">
        <v>42271</v>
      </c>
      <c r="E9704" t="s">
        <v>296</v>
      </c>
      <c r="I9704" s="9"/>
    </row>
    <row r="9705" spans="1:9" x14ac:dyDescent="0.25">
      <c r="A9705">
        <v>771200</v>
      </c>
      <c r="B9705">
        <v>0.34499999999999997</v>
      </c>
      <c r="C9705">
        <v>8640</v>
      </c>
      <c r="D9705" s="9">
        <v>42271</v>
      </c>
      <c r="E9705" t="s">
        <v>296</v>
      </c>
      <c r="I9705" s="9"/>
    </row>
    <row r="9706" spans="1:9" x14ac:dyDescent="0.25">
      <c r="A9706">
        <v>771200</v>
      </c>
      <c r="B9706">
        <v>0.39300000000000002</v>
      </c>
      <c r="C9706">
        <v>1656</v>
      </c>
      <c r="D9706" s="9">
        <v>42177</v>
      </c>
      <c r="E9706" t="s">
        <v>296</v>
      </c>
      <c r="I9706" s="9"/>
    </row>
    <row r="9707" spans="1:9" x14ac:dyDescent="0.25">
      <c r="A9707">
        <v>771200</v>
      </c>
      <c r="B9707">
        <v>0.36</v>
      </c>
      <c r="C9707">
        <v>5760</v>
      </c>
      <c r="D9707" s="9">
        <v>42139</v>
      </c>
      <c r="E9707" t="s">
        <v>296</v>
      </c>
      <c r="I9707" s="9"/>
    </row>
    <row r="9708" spans="1:9" x14ac:dyDescent="0.25">
      <c r="A9708">
        <v>771200</v>
      </c>
      <c r="B9708">
        <v>0.38</v>
      </c>
      <c r="C9708">
        <v>5040</v>
      </c>
      <c r="D9708" s="9">
        <v>41947</v>
      </c>
      <c r="E9708" t="s">
        <v>296</v>
      </c>
      <c r="I9708" s="9"/>
    </row>
    <row r="9709" spans="1:9" x14ac:dyDescent="0.25">
      <c r="A9709">
        <v>771200</v>
      </c>
      <c r="B9709">
        <v>0.39300000000000002</v>
      </c>
      <c r="C9709">
        <v>3600</v>
      </c>
      <c r="D9709" s="9">
        <v>41782</v>
      </c>
      <c r="E9709" t="s">
        <v>296</v>
      </c>
      <c r="I9709" s="9"/>
    </row>
    <row r="9710" spans="1:9" x14ac:dyDescent="0.25">
      <c r="A9710">
        <v>771200</v>
      </c>
      <c r="B9710">
        <v>0.39300000000000002</v>
      </c>
      <c r="C9710">
        <v>3600</v>
      </c>
      <c r="D9710" s="9">
        <v>41647</v>
      </c>
      <c r="E9710" t="s">
        <v>296</v>
      </c>
      <c r="I9710" s="9"/>
    </row>
    <row r="9711" spans="1:9" x14ac:dyDescent="0.25">
      <c r="A9711">
        <v>771200</v>
      </c>
      <c r="B9711">
        <v>0.39300000000000002</v>
      </c>
      <c r="C9711">
        <v>3600</v>
      </c>
      <c r="D9711" s="9">
        <v>41558</v>
      </c>
      <c r="E9711" t="s">
        <v>296</v>
      </c>
      <c r="I9711" s="9"/>
    </row>
    <row r="9712" spans="1:9" x14ac:dyDescent="0.25">
      <c r="A9712">
        <v>771200</v>
      </c>
      <c r="B9712">
        <v>0.39300000000000002</v>
      </c>
      <c r="C9712">
        <v>3600</v>
      </c>
      <c r="D9712" s="9">
        <v>41558</v>
      </c>
      <c r="E9712" t="s">
        <v>296</v>
      </c>
      <c r="I9712" s="9"/>
    </row>
    <row r="9713" spans="1:9" x14ac:dyDescent="0.25">
      <c r="A9713">
        <v>771200</v>
      </c>
      <c r="B9713">
        <v>0.38300000000000001</v>
      </c>
      <c r="C9713">
        <v>3600</v>
      </c>
      <c r="D9713" s="9">
        <v>41435</v>
      </c>
      <c r="E9713" t="s">
        <v>296</v>
      </c>
      <c r="I9713" s="9"/>
    </row>
    <row r="9714" spans="1:9" x14ac:dyDescent="0.25">
      <c r="A9714">
        <v>771200</v>
      </c>
      <c r="B9714">
        <v>0.38300000000000001</v>
      </c>
      <c r="C9714">
        <v>5760</v>
      </c>
      <c r="D9714" s="9">
        <v>41362</v>
      </c>
      <c r="E9714" t="s">
        <v>296</v>
      </c>
      <c r="I9714" s="9"/>
    </row>
    <row r="9715" spans="1:9" x14ac:dyDescent="0.25">
      <c r="A9715">
        <v>771201</v>
      </c>
      <c r="B9715">
        <v>3</v>
      </c>
      <c r="C9715">
        <v>380</v>
      </c>
      <c r="D9715" s="9">
        <v>41865</v>
      </c>
      <c r="E9715" t="s">
        <v>296</v>
      </c>
      <c r="I9715" s="9"/>
    </row>
    <row r="9716" spans="1:9" x14ac:dyDescent="0.25">
      <c r="A9716">
        <v>771201</v>
      </c>
      <c r="B9716">
        <v>3</v>
      </c>
      <c r="C9716">
        <v>420</v>
      </c>
      <c r="D9716" s="9">
        <v>41456</v>
      </c>
      <c r="E9716" t="s">
        <v>296</v>
      </c>
      <c r="I9716" s="9"/>
    </row>
    <row r="9717" spans="1:9" x14ac:dyDescent="0.25">
      <c r="A9717">
        <v>771202</v>
      </c>
      <c r="B9717">
        <v>0.46</v>
      </c>
      <c r="C9717">
        <v>2600</v>
      </c>
      <c r="D9717" s="9">
        <v>44095</v>
      </c>
      <c r="E9717" t="s">
        <v>296</v>
      </c>
      <c r="I9717" s="9"/>
    </row>
    <row r="9718" spans="1:9" x14ac:dyDescent="0.25">
      <c r="A9718">
        <v>771202</v>
      </c>
      <c r="B9718">
        <v>0.41099999999999998</v>
      </c>
      <c r="C9718">
        <v>1000</v>
      </c>
      <c r="D9718" s="9">
        <v>44068</v>
      </c>
      <c r="E9718" t="s">
        <v>296</v>
      </c>
      <c r="I9718" s="9"/>
    </row>
    <row r="9719" spans="1:9" x14ac:dyDescent="0.25">
      <c r="A9719">
        <v>771202</v>
      </c>
      <c r="B9719">
        <v>0.46</v>
      </c>
      <c r="C9719">
        <v>2800</v>
      </c>
      <c r="D9719" s="9">
        <v>44068</v>
      </c>
      <c r="E9719" t="s">
        <v>296</v>
      </c>
      <c r="I9719" s="9"/>
    </row>
    <row r="9720" spans="1:9" x14ac:dyDescent="0.25">
      <c r="A9720">
        <v>771202</v>
      </c>
      <c r="B9720">
        <v>0.41099999999999998</v>
      </c>
      <c r="C9720">
        <v>2400</v>
      </c>
      <c r="D9720" s="9">
        <v>43784</v>
      </c>
      <c r="E9720" t="s">
        <v>296</v>
      </c>
      <c r="I9720" s="9"/>
    </row>
    <row r="9721" spans="1:9" x14ac:dyDescent="0.25">
      <c r="A9721">
        <v>771202</v>
      </c>
      <c r="B9721">
        <v>0.379</v>
      </c>
      <c r="C9721">
        <v>2400</v>
      </c>
      <c r="D9721" s="9">
        <v>43427</v>
      </c>
      <c r="E9721" t="s">
        <v>296</v>
      </c>
      <c r="I9721" s="9"/>
    </row>
    <row r="9722" spans="1:9" x14ac:dyDescent="0.25">
      <c r="A9722">
        <v>771202</v>
      </c>
      <c r="B9722">
        <v>0.379</v>
      </c>
      <c r="C9722">
        <v>1000</v>
      </c>
      <c r="D9722" s="9">
        <v>43427</v>
      </c>
      <c r="E9722" t="s">
        <v>296</v>
      </c>
      <c r="I9722" s="9"/>
    </row>
    <row r="9723" spans="1:9" x14ac:dyDescent="0.25">
      <c r="A9723">
        <v>771202</v>
      </c>
      <c r="B9723">
        <v>0.379</v>
      </c>
      <c r="C9723">
        <v>1400</v>
      </c>
      <c r="D9723" s="9">
        <v>43340</v>
      </c>
      <c r="E9723" t="s">
        <v>296</v>
      </c>
      <c r="I9723" s="9"/>
    </row>
    <row r="9724" spans="1:9" x14ac:dyDescent="0.25">
      <c r="A9724">
        <v>771202</v>
      </c>
      <c r="B9724">
        <v>0.36099999999999999</v>
      </c>
      <c r="C9724">
        <v>2400</v>
      </c>
      <c r="D9724" s="9">
        <v>43063</v>
      </c>
      <c r="E9724" t="s">
        <v>296</v>
      </c>
      <c r="I9724" s="9"/>
    </row>
    <row r="9725" spans="1:9" x14ac:dyDescent="0.25">
      <c r="A9725">
        <v>771202</v>
      </c>
      <c r="B9725">
        <v>1.82</v>
      </c>
      <c r="C9725">
        <v>400</v>
      </c>
      <c r="D9725" s="9">
        <v>43052</v>
      </c>
      <c r="E9725" t="s">
        <v>295</v>
      </c>
      <c r="I9725" s="9"/>
    </row>
    <row r="9726" spans="1:9" x14ac:dyDescent="0.25">
      <c r="A9726">
        <v>771202</v>
      </c>
      <c r="B9726">
        <v>0.35799999999999998</v>
      </c>
      <c r="C9726">
        <v>4000</v>
      </c>
      <c r="D9726" s="9">
        <v>42520</v>
      </c>
      <c r="E9726" t="s">
        <v>297</v>
      </c>
      <c r="I9726" s="9"/>
    </row>
    <row r="9727" spans="1:9" x14ac:dyDescent="0.25">
      <c r="A9727">
        <v>771202</v>
      </c>
      <c r="B9727">
        <v>1.57</v>
      </c>
      <c r="C9727">
        <v>2200</v>
      </c>
      <c r="D9727" s="9">
        <v>42520</v>
      </c>
      <c r="E9727" t="s">
        <v>295</v>
      </c>
      <c r="I9727" s="9"/>
    </row>
    <row r="9728" spans="1:9" x14ac:dyDescent="0.25">
      <c r="A9728">
        <v>771202</v>
      </c>
      <c r="B9728">
        <v>0.35799999999999998</v>
      </c>
      <c r="C9728">
        <v>4000</v>
      </c>
      <c r="D9728" s="9">
        <v>42285</v>
      </c>
      <c r="E9728" t="s">
        <v>297</v>
      </c>
      <c r="I9728" s="9"/>
    </row>
    <row r="9729" spans="1:9" x14ac:dyDescent="0.25">
      <c r="A9729">
        <v>771202</v>
      </c>
      <c r="B9729">
        <v>0.39300000000000002</v>
      </c>
      <c r="C9729">
        <v>3600</v>
      </c>
      <c r="D9729" s="9">
        <v>41865</v>
      </c>
      <c r="E9729" t="s">
        <v>296</v>
      </c>
      <c r="I9729" s="9"/>
    </row>
    <row r="9730" spans="1:9" x14ac:dyDescent="0.25">
      <c r="A9730">
        <v>771202</v>
      </c>
      <c r="B9730">
        <v>0.39300000000000002</v>
      </c>
      <c r="C9730">
        <v>3600</v>
      </c>
      <c r="D9730" s="9">
        <v>41865</v>
      </c>
      <c r="E9730" t="s">
        <v>296</v>
      </c>
      <c r="I9730" s="9"/>
    </row>
    <row r="9731" spans="1:9" x14ac:dyDescent="0.25">
      <c r="A9731">
        <v>771202</v>
      </c>
      <c r="B9731">
        <v>0.39300000000000002</v>
      </c>
      <c r="C9731">
        <v>3600</v>
      </c>
      <c r="D9731" s="9">
        <v>41744</v>
      </c>
      <c r="E9731" t="s">
        <v>296</v>
      </c>
      <c r="I9731" s="9"/>
    </row>
    <row r="9732" spans="1:9" x14ac:dyDescent="0.25">
      <c r="A9732">
        <v>771202</v>
      </c>
      <c r="B9732">
        <v>0.39300000000000002</v>
      </c>
      <c r="C9732">
        <v>3600</v>
      </c>
      <c r="D9732" s="9">
        <v>41456</v>
      </c>
      <c r="E9732" t="s">
        <v>296</v>
      </c>
      <c r="I9732" s="9"/>
    </row>
    <row r="9733" spans="1:9" x14ac:dyDescent="0.25">
      <c r="A9733">
        <v>771301</v>
      </c>
      <c r="B9733">
        <v>14.99</v>
      </c>
      <c r="C9733">
        <v>70</v>
      </c>
      <c r="D9733" s="9">
        <v>44104</v>
      </c>
      <c r="E9733" t="s">
        <v>295</v>
      </c>
      <c r="I9733" s="9"/>
    </row>
    <row r="9734" spans="1:9" x14ac:dyDescent="0.25">
      <c r="A9734">
        <v>771301</v>
      </c>
      <c r="B9734">
        <v>14.99</v>
      </c>
      <c r="C9734">
        <v>70</v>
      </c>
      <c r="D9734" s="9">
        <v>44069</v>
      </c>
      <c r="E9734" t="s">
        <v>295</v>
      </c>
      <c r="I9734" s="9"/>
    </row>
    <row r="9735" spans="1:9" x14ac:dyDescent="0.25">
      <c r="A9735">
        <v>771301</v>
      </c>
      <c r="B9735">
        <v>14.99</v>
      </c>
      <c r="C9735">
        <v>70</v>
      </c>
      <c r="D9735" s="9">
        <v>44013</v>
      </c>
      <c r="E9735" t="s">
        <v>295</v>
      </c>
      <c r="I9735" s="9"/>
    </row>
    <row r="9736" spans="1:9" x14ac:dyDescent="0.25">
      <c r="A9736">
        <v>771301</v>
      </c>
      <c r="B9736">
        <v>14.99</v>
      </c>
      <c r="C9736">
        <v>20</v>
      </c>
      <c r="D9736" s="9">
        <v>43971</v>
      </c>
      <c r="E9736" t="s">
        <v>295</v>
      </c>
      <c r="I9736" s="9"/>
    </row>
    <row r="9737" spans="1:9" x14ac:dyDescent="0.25">
      <c r="A9737">
        <v>771301</v>
      </c>
      <c r="B9737">
        <v>14.99</v>
      </c>
      <c r="C9737">
        <v>120</v>
      </c>
      <c r="D9737" s="9">
        <v>43966</v>
      </c>
      <c r="E9737" t="s">
        <v>295</v>
      </c>
      <c r="I9737" s="9"/>
    </row>
    <row r="9738" spans="1:9" x14ac:dyDescent="0.25">
      <c r="A9738">
        <v>771301</v>
      </c>
      <c r="B9738">
        <v>14.99</v>
      </c>
      <c r="C9738">
        <v>100</v>
      </c>
      <c r="D9738" s="9">
        <v>43958</v>
      </c>
      <c r="E9738" t="s">
        <v>295</v>
      </c>
      <c r="I9738" s="9"/>
    </row>
    <row r="9739" spans="1:9" x14ac:dyDescent="0.25">
      <c r="A9739">
        <v>771302</v>
      </c>
      <c r="B9739">
        <v>6.95</v>
      </c>
      <c r="C9739">
        <v>50</v>
      </c>
      <c r="D9739" s="9">
        <v>44133</v>
      </c>
      <c r="E9739" t="s">
        <v>295</v>
      </c>
      <c r="I9739" s="9"/>
    </row>
    <row r="9740" spans="1:9" x14ac:dyDescent="0.25">
      <c r="A9740">
        <v>771302</v>
      </c>
      <c r="B9740">
        <v>6.95</v>
      </c>
      <c r="C9740">
        <v>50</v>
      </c>
      <c r="D9740" s="9">
        <v>44117</v>
      </c>
      <c r="E9740" t="s">
        <v>295</v>
      </c>
      <c r="I9740" s="9"/>
    </row>
    <row r="9741" spans="1:9" x14ac:dyDescent="0.25">
      <c r="A9741">
        <v>771303</v>
      </c>
      <c r="B9741">
        <v>6.95</v>
      </c>
      <c r="C9741">
        <v>50</v>
      </c>
      <c r="D9741" s="9">
        <v>44117</v>
      </c>
      <c r="E9741" t="s">
        <v>295</v>
      </c>
      <c r="I9741" s="9"/>
    </row>
    <row r="9742" spans="1:9" x14ac:dyDescent="0.25">
      <c r="A9742">
        <v>772001</v>
      </c>
      <c r="B9742">
        <v>2.58</v>
      </c>
      <c r="C9742">
        <v>300</v>
      </c>
      <c r="D9742" s="9">
        <v>44070</v>
      </c>
      <c r="E9742" t="s">
        <v>295</v>
      </c>
      <c r="I9742" s="9"/>
    </row>
    <row r="9743" spans="1:9" x14ac:dyDescent="0.25">
      <c r="A9743">
        <v>772001</v>
      </c>
      <c r="B9743">
        <v>1.95</v>
      </c>
      <c r="C9743">
        <v>300</v>
      </c>
      <c r="D9743" s="9">
        <v>44004</v>
      </c>
      <c r="E9743" t="s">
        <v>295</v>
      </c>
      <c r="I9743" s="9"/>
    </row>
    <row r="9744" spans="1:9" x14ac:dyDescent="0.25">
      <c r="A9744">
        <v>772001</v>
      </c>
      <c r="B9744">
        <v>1.95</v>
      </c>
      <c r="C9744">
        <v>250</v>
      </c>
      <c r="D9744" s="9">
        <v>43980</v>
      </c>
      <c r="E9744" t="s">
        <v>295</v>
      </c>
      <c r="I9744" s="9"/>
    </row>
    <row r="9745" spans="1:9" x14ac:dyDescent="0.25">
      <c r="A9745">
        <v>772001</v>
      </c>
      <c r="B9745">
        <v>2.0499999999999998</v>
      </c>
      <c r="C9745">
        <v>15000</v>
      </c>
      <c r="D9745" s="9">
        <v>43963</v>
      </c>
      <c r="E9745" t="s">
        <v>295</v>
      </c>
      <c r="I9745" s="9"/>
    </row>
    <row r="9746" spans="1:9" x14ac:dyDescent="0.25">
      <c r="A9746">
        <v>772001</v>
      </c>
      <c r="B9746">
        <v>2.0499999999999998</v>
      </c>
      <c r="C9746">
        <v>10000</v>
      </c>
      <c r="D9746" s="9">
        <v>43963</v>
      </c>
      <c r="E9746" t="s">
        <v>295</v>
      </c>
      <c r="I9746" s="9"/>
    </row>
    <row r="9747" spans="1:9" x14ac:dyDescent="0.25">
      <c r="A9747">
        <v>772001</v>
      </c>
      <c r="B9747">
        <v>2.0499999999999998</v>
      </c>
      <c r="C9747">
        <v>5000</v>
      </c>
      <c r="D9747" s="9">
        <v>43963</v>
      </c>
      <c r="E9747" t="s">
        <v>295</v>
      </c>
      <c r="I9747" s="9"/>
    </row>
    <row r="9748" spans="1:9" x14ac:dyDescent="0.25">
      <c r="A9748">
        <v>772001</v>
      </c>
      <c r="B9748">
        <v>2.0499999999999998</v>
      </c>
      <c r="C9748">
        <v>20000</v>
      </c>
      <c r="D9748" s="9">
        <v>43956</v>
      </c>
      <c r="E9748" t="s">
        <v>295</v>
      </c>
      <c r="I9748" s="9"/>
    </row>
    <row r="9749" spans="1:9" x14ac:dyDescent="0.25">
      <c r="A9749">
        <v>772100</v>
      </c>
      <c r="B9749">
        <v>0.318</v>
      </c>
      <c r="C9749">
        <v>7000</v>
      </c>
      <c r="D9749" s="9">
        <v>44117</v>
      </c>
      <c r="E9749" t="s">
        <v>296</v>
      </c>
      <c r="I9749" s="9"/>
    </row>
    <row r="9750" spans="1:9" x14ac:dyDescent="0.25">
      <c r="A9750">
        <v>772100</v>
      </c>
      <c r="B9750">
        <v>0.26500000000000001</v>
      </c>
      <c r="C9750">
        <v>5000</v>
      </c>
      <c r="D9750" s="9">
        <v>44060</v>
      </c>
      <c r="E9750" t="s">
        <v>296</v>
      </c>
      <c r="I9750" s="9"/>
    </row>
    <row r="9751" spans="1:9" x14ac:dyDescent="0.25">
      <c r="A9751">
        <v>772100</v>
      </c>
      <c r="B9751">
        <v>0.26500000000000001</v>
      </c>
      <c r="C9751">
        <v>7000</v>
      </c>
      <c r="D9751" s="9">
        <v>43769</v>
      </c>
      <c r="E9751" t="s">
        <v>296</v>
      </c>
      <c r="I9751" s="9"/>
    </row>
    <row r="9752" spans="1:9" x14ac:dyDescent="0.25">
      <c r="A9752">
        <v>772100</v>
      </c>
      <c r="B9752">
        <v>0.26500000000000001</v>
      </c>
      <c r="C9752">
        <v>4000</v>
      </c>
      <c r="D9752" s="9">
        <v>43605</v>
      </c>
      <c r="E9752" t="s">
        <v>296</v>
      </c>
      <c r="I9752" s="9"/>
    </row>
    <row r="9753" spans="1:9" x14ac:dyDescent="0.25">
      <c r="A9753">
        <v>772100</v>
      </c>
      <c r="B9753">
        <v>1.42</v>
      </c>
      <c r="C9753">
        <v>50</v>
      </c>
      <c r="D9753" s="9">
        <v>42998</v>
      </c>
      <c r="E9753" t="s">
        <v>295</v>
      </c>
      <c r="I9753" s="9"/>
    </row>
    <row r="9754" spans="1:9" x14ac:dyDescent="0.25">
      <c r="A9754">
        <v>772100</v>
      </c>
      <c r="B9754">
        <v>0.21</v>
      </c>
      <c r="C9754">
        <v>12000</v>
      </c>
      <c r="D9754" s="9">
        <v>42912</v>
      </c>
      <c r="E9754" t="s">
        <v>296</v>
      </c>
      <c r="I9754" s="9"/>
    </row>
    <row r="9755" spans="1:9" x14ac:dyDescent="0.25">
      <c r="A9755">
        <v>772100</v>
      </c>
      <c r="B9755">
        <v>0.19500000000000001</v>
      </c>
      <c r="C9755">
        <v>6400</v>
      </c>
      <c r="D9755" s="9">
        <v>42698</v>
      </c>
      <c r="E9755" t="s">
        <v>296</v>
      </c>
      <c r="I9755" s="9"/>
    </row>
    <row r="9756" spans="1:9" x14ac:dyDescent="0.25">
      <c r="A9756">
        <v>772100</v>
      </c>
      <c r="B9756">
        <v>0.19500000000000001</v>
      </c>
      <c r="C9756">
        <v>8000</v>
      </c>
      <c r="D9756" s="9">
        <v>42696</v>
      </c>
      <c r="E9756" t="s">
        <v>296</v>
      </c>
      <c r="I9756" s="9"/>
    </row>
    <row r="9757" spans="1:9" x14ac:dyDescent="0.25">
      <c r="A9757">
        <v>772100</v>
      </c>
      <c r="B9757">
        <v>0.19500000000000001</v>
      </c>
      <c r="C9757">
        <v>8000</v>
      </c>
      <c r="D9757" s="9">
        <v>42660</v>
      </c>
      <c r="E9757" t="s">
        <v>296</v>
      </c>
      <c r="I9757" s="9"/>
    </row>
    <row r="9758" spans="1:9" x14ac:dyDescent="0.25">
      <c r="A9758">
        <v>772100</v>
      </c>
      <c r="B9758">
        <v>0.19500000000000001</v>
      </c>
      <c r="C9758">
        <v>6000</v>
      </c>
      <c r="D9758" s="9">
        <v>42530</v>
      </c>
      <c r="E9758" t="s">
        <v>296</v>
      </c>
      <c r="I9758" s="9"/>
    </row>
    <row r="9759" spans="1:9" x14ac:dyDescent="0.25">
      <c r="A9759">
        <v>772100</v>
      </c>
      <c r="B9759">
        <v>0.20499999999999999</v>
      </c>
      <c r="C9759">
        <v>5000</v>
      </c>
      <c r="D9759" s="9">
        <v>42440</v>
      </c>
      <c r="E9759" t="s">
        <v>296</v>
      </c>
      <c r="I9759" s="9"/>
    </row>
    <row r="9760" spans="1:9" x14ac:dyDescent="0.25">
      <c r="A9760">
        <v>772100</v>
      </c>
      <c r="B9760">
        <v>0.2</v>
      </c>
      <c r="C9760">
        <v>10000</v>
      </c>
      <c r="D9760" s="9">
        <v>42229</v>
      </c>
      <c r="E9760" t="s">
        <v>296</v>
      </c>
      <c r="I9760" s="9"/>
    </row>
    <row r="9761" spans="1:9" x14ac:dyDescent="0.25">
      <c r="A9761">
        <v>772100</v>
      </c>
      <c r="B9761">
        <v>0.19500000000000001</v>
      </c>
      <c r="C9761">
        <v>2000</v>
      </c>
      <c r="D9761" s="9">
        <v>42207</v>
      </c>
      <c r="E9761" t="s">
        <v>296</v>
      </c>
      <c r="I9761" s="9"/>
    </row>
    <row r="9762" spans="1:9" x14ac:dyDescent="0.25">
      <c r="A9762">
        <v>772100</v>
      </c>
      <c r="B9762">
        <v>0.26</v>
      </c>
      <c r="C9762">
        <v>7600</v>
      </c>
      <c r="D9762" s="9">
        <v>42139</v>
      </c>
      <c r="E9762" t="s">
        <v>296</v>
      </c>
      <c r="I9762" s="9"/>
    </row>
    <row r="9763" spans="1:9" x14ac:dyDescent="0.25">
      <c r="A9763">
        <v>772100</v>
      </c>
      <c r="B9763">
        <v>0.26</v>
      </c>
      <c r="C9763">
        <v>2400</v>
      </c>
      <c r="D9763" s="9">
        <v>42031</v>
      </c>
      <c r="E9763" t="s">
        <v>296</v>
      </c>
      <c r="I9763" s="9"/>
    </row>
    <row r="9764" spans="1:9" x14ac:dyDescent="0.25">
      <c r="A9764">
        <v>772100</v>
      </c>
      <c r="B9764">
        <v>0.19800000000000001</v>
      </c>
      <c r="C9764">
        <v>10000</v>
      </c>
      <c r="D9764" s="9">
        <v>41765</v>
      </c>
      <c r="E9764" t="s">
        <v>296</v>
      </c>
      <c r="I9764" s="9"/>
    </row>
    <row r="9765" spans="1:9" x14ac:dyDescent="0.25">
      <c r="A9765">
        <v>772100</v>
      </c>
      <c r="B9765">
        <v>0.26700000000000002</v>
      </c>
      <c r="C9765">
        <v>10000</v>
      </c>
      <c r="D9765" s="9">
        <v>41505</v>
      </c>
      <c r="E9765" t="s">
        <v>296</v>
      </c>
      <c r="I9765" s="9"/>
    </row>
    <row r="9766" spans="1:9" x14ac:dyDescent="0.25">
      <c r="A9766">
        <v>772100</v>
      </c>
      <c r="B9766">
        <v>0.26</v>
      </c>
      <c r="C9766">
        <v>6000</v>
      </c>
      <c r="D9766" s="9">
        <v>41456</v>
      </c>
      <c r="E9766" t="s">
        <v>296</v>
      </c>
      <c r="I9766" s="9"/>
    </row>
    <row r="9767" spans="1:9" x14ac:dyDescent="0.25">
      <c r="A9767">
        <v>772100</v>
      </c>
      <c r="B9767">
        <v>0.26700000000000002</v>
      </c>
      <c r="C9767">
        <v>10000</v>
      </c>
      <c r="D9767" s="9">
        <v>41418</v>
      </c>
      <c r="E9767" t="s">
        <v>296</v>
      </c>
      <c r="I9767" s="9"/>
    </row>
    <row r="9768" spans="1:9" x14ac:dyDescent="0.25">
      <c r="A9768">
        <v>772100</v>
      </c>
      <c r="B9768">
        <v>0.26700000000000002</v>
      </c>
      <c r="C9768">
        <v>5700</v>
      </c>
      <c r="D9768" s="9">
        <v>41362</v>
      </c>
      <c r="E9768" t="s">
        <v>296</v>
      </c>
      <c r="I9768" s="9"/>
    </row>
    <row r="9769" spans="1:9" x14ac:dyDescent="0.25">
      <c r="A9769">
        <v>772100</v>
      </c>
      <c r="B9769">
        <v>0.26700000000000002</v>
      </c>
      <c r="C9769">
        <v>2300</v>
      </c>
      <c r="D9769" s="9">
        <v>41295</v>
      </c>
      <c r="E9769" t="s">
        <v>296</v>
      </c>
      <c r="I9769" s="9"/>
    </row>
    <row r="9770" spans="1:9" x14ac:dyDescent="0.25">
      <c r="A9770">
        <v>772105</v>
      </c>
      <c r="B9770">
        <v>0.96</v>
      </c>
      <c r="C9770">
        <v>3840</v>
      </c>
      <c r="D9770" s="9">
        <v>43605</v>
      </c>
      <c r="E9770" t="s">
        <v>296</v>
      </c>
      <c r="I9770" s="9"/>
    </row>
    <row r="9771" spans="1:9" x14ac:dyDescent="0.25">
      <c r="A9771">
        <v>772120</v>
      </c>
      <c r="B9771">
        <v>0.53</v>
      </c>
      <c r="C9771">
        <v>960</v>
      </c>
      <c r="D9771" s="9">
        <v>43865</v>
      </c>
      <c r="E9771" t="s">
        <v>296</v>
      </c>
      <c r="I9771" s="9"/>
    </row>
    <row r="9772" spans="1:9" x14ac:dyDescent="0.25">
      <c r="A9772">
        <v>772120</v>
      </c>
      <c r="B9772">
        <v>0.53</v>
      </c>
      <c r="C9772">
        <v>1200</v>
      </c>
      <c r="D9772" s="9">
        <v>43686</v>
      </c>
      <c r="E9772" t="s">
        <v>296</v>
      </c>
      <c r="I9772" s="9"/>
    </row>
    <row r="9773" spans="1:9" x14ac:dyDescent="0.25">
      <c r="A9773">
        <v>772120</v>
      </c>
      <c r="B9773">
        <v>0.51</v>
      </c>
      <c r="C9773">
        <v>1800</v>
      </c>
      <c r="D9773" s="9">
        <v>42972</v>
      </c>
      <c r="E9773" t="s">
        <v>296</v>
      </c>
      <c r="I9773" s="9"/>
    </row>
    <row r="9774" spans="1:9" x14ac:dyDescent="0.25">
      <c r="A9774">
        <v>772120</v>
      </c>
      <c r="B9774">
        <v>0.49</v>
      </c>
      <c r="C9774">
        <v>1440</v>
      </c>
      <c r="D9774" s="9">
        <v>42698</v>
      </c>
      <c r="E9774" t="s">
        <v>296</v>
      </c>
      <c r="I9774" s="9"/>
    </row>
    <row r="9775" spans="1:9" x14ac:dyDescent="0.25">
      <c r="A9775">
        <v>772120</v>
      </c>
      <c r="B9775">
        <v>0.49</v>
      </c>
      <c r="C9775">
        <v>1440</v>
      </c>
      <c r="D9775" s="9">
        <v>42530</v>
      </c>
      <c r="E9775" t="s">
        <v>296</v>
      </c>
      <c r="I9775" s="9"/>
    </row>
    <row r="9776" spans="1:9" x14ac:dyDescent="0.25">
      <c r="A9776">
        <v>772120</v>
      </c>
      <c r="B9776">
        <v>0.48499999999999999</v>
      </c>
      <c r="C9776">
        <v>1800</v>
      </c>
      <c r="D9776" s="9">
        <v>42207</v>
      </c>
      <c r="E9776" t="s">
        <v>296</v>
      </c>
      <c r="I9776" s="9"/>
    </row>
    <row r="9777" spans="1:9" x14ac:dyDescent="0.25">
      <c r="A9777">
        <v>772120</v>
      </c>
      <c r="B9777">
        <v>0.628</v>
      </c>
      <c r="C9777">
        <v>960</v>
      </c>
      <c r="D9777" s="9">
        <v>42111</v>
      </c>
      <c r="E9777" t="s">
        <v>296</v>
      </c>
      <c r="I9777" s="9"/>
    </row>
    <row r="9778" spans="1:9" x14ac:dyDescent="0.25">
      <c r="A9778">
        <v>772120</v>
      </c>
      <c r="B9778">
        <v>0.628</v>
      </c>
      <c r="C9778">
        <v>960</v>
      </c>
      <c r="D9778" s="9">
        <v>41782</v>
      </c>
      <c r="E9778" t="s">
        <v>296</v>
      </c>
      <c r="I9778" s="9"/>
    </row>
    <row r="9779" spans="1:9" x14ac:dyDescent="0.25">
      <c r="A9779">
        <v>772120</v>
      </c>
      <c r="B9779">
        <v>0.628</v>
      </c>
      <c r="C9779">
        <v>1200</v>
      </c>
      <c r="D9779" s="9">
        <v>41505</v>
      </c>
      <c r="E9779" t="s">
        <v>296</v>
      </c>
      <c r="I9779" s="9"/>
    </row>
    <row r="9780" spans="1:9" x14ac:dyDescent="0.25">
      <c r="A9780">
        <v>772120</v>
      </c>
      <c r="B9780">
        <v>0.6</v>
      </c>
      <c r="C9780">
        <v>960</v>
      </c>
      <c r="D9780" s="9">
        <v>41418</v>
      </c>
      <c r="E9780" t="s">
        <v>296</v>
      </c>
      <c r="I9780" s="9"/>
    </row>
    <row r="9781" spans="1:9" x14ac:dyDescent="0.25">
      <c r="A9781">
        <v>772120</v>
      </c>
      <c r="B9781">
        <v>0.6</v>
      </c>
      <c r="C9781">
        <v>960</v>
      </c>
      <c r="D9781" s="9">
        <v>41295</v>
      </c>
      <c r="E9781" t="s">
        <v>296</v>
      </c>
      <c r="I9781" s="9"/>
    </row>
    <row r="9782" spans="1:9" x14ac:dyDescent="0.25">
      <c r="A9782">
        <v>772200</v>
      </c>
      <c r="B9782">
        <v>0.215</v>
      </c>
      <c r="C9782">
        <v>3200</v>
      </c>
      <c r="D9782" s="9">
        <v>44060</v>
      </c>
      <c r="E9782" t="s">
        <v>296</v>
      </c>
      <c r="I9782" s="9"/>
    </row>
    <row r="9783" spans="1:9" x14ac:dyDescent="0.25">
      <c r="A9783">
        <v>772200</v>
      </c>
      <c r="B9783">
        <v>0.185</v>
      </c>
      <c r="C9783">
        <v>6000</v>
      </c>
      <c r="D9783" s="9">
        <v>43605</v>
      </c>
      <c r="E9783" t="s">
        <v>296</v>
      </c>
      <c r="I9783" s="9"/>
    </row>
    <row r="9784" spans="1:9" x14ac:dyDescent="0.25">
      <c r="A9784">
        <v>772200</v>
      </c>
      <c r="B9784">
        <v>0.185</v>
      </c>
      <c r="C9784">
        <v>6000</v>
      </c>
      <c r="D9784" s="9">
        <v>42859</v>
      </c>
      <c r="E9784" t="s">
        <v>296</v>
      </c>
      <c r="I9784" s="9"/>
    </row>
    <row r="9785" spans="1:9" x14ac:dyDescent="0.25">
      <c r="A9785">
        <v>772200</v>
      </c>
      <c r="B9785">
        <v>0.185</v>
      </c>
      <c r="C9785">
        <v>6000</v>
      </c>
      <c r="D9785" s="9">
        <v>41947</v>
      </c>
      <c r="E9785" t="s">
        <v>296</v>
      </c>
      <c r="I9785" s="9"/>
    </row>
    <row r="9786" spans="1:9" x14ac:dyDescent="0.25">
      <c r="A9786">
        <v>772200</v>
      </c>
      <c r="B9786">
        <v>0.185</v>
      </c>
      <c r="C9786">
        <v>6000</v>
      </c>
      <c r="D9786" s="9">
        <v>41947</v>
      </c>
      <c r="E9786" t="s">
        <v>296</v>
      </c>
      <c r="I9786" s="9"/>
    </row>
    <row r="9787" spans="1:9" x14ac:dyDescent="0.25">
      <c r="A9787">
        <v>772200</v>
      </c>
      <c r="B9787">
        <v>0.115</v>
      </c>
      <c r="C9787">
        <v>6000</v>
      </c>
      <c r="D9787" s="9">
        <v>41765</v>
      </c>
      <c r="E9787" t="s">
        <v>296</v>
      </c>
      <c r="I9787" s="9"/>
    </row>
    <row r="9788" spans="1:9" x14ac:dyDescent="0.25">
      <c r="A9788">
        <v>772200</v>
      </c>
      <c r="B9788">
        <v>0.11</v>
      </c>
      <c r="C9788">
        <v>7600</v>
      </c>
      <c r="D9788" s="9">
        <v>41558</v>
      </c>
      <c r="E9788" t="s">
        <v>296</v>
      </c>
      <c r="I9788" s="9"/>
    </row>
    <row r="9789" spans="1:9" x14ac:dyDescent="0.25">
      <c r="A9789">
        <v>772200</v>
      </c>
      <c r="B9789">
        <v>0.14899999999999999</v>
      </c>
      <c r="C9789">
        <v>4000</v>
      </c>
      <c r="D9789" s="9">
        <v>41435</v>
      </c>
      <c r="E9789" t="s">
        <v>296</v>
      </c>
      <c r="I9789" s="9"/>
    </row>
    <row r="9790" spans="1:9" x14ac:dyDescent="0.25">
      <c r="A9790">
        <v>772200</v>
      </c>
      <c r="B9790">
        <v>0.14899999999999999</v>
      </c>
      <c r="C9790">
        <v>3000</v>
      </c>
      <c r="D9790" s="9">
        <v>41362</v>
      </c>
      <c r="E9790" t="s">
        <v>296</v>
      </c>
      <c r="I9790" s="9"/>
    </row>
    <row r="9791" spans="1:9" x14ac:dyDescent="0.25">
      <c r="A9791">
        <v>772200</v>
      </c>
      <c r="B9791">
        <v>0.14899999999999999</v>
      </c>
      <c r="C9791">
        <v>3200</v>
      </c>
      <c r="D9791" s="9">
        <v>41295</v>
      </c>
      <c r="E9791" t="s">
        <v>296</v>
      </c>
      <c r="I9791" s="9"/>
    </row>
    <row r="9792" spans="1:9" x14ac:dyDescent="0.25">
      <c r="A9792">
        <v>772200</v>
      </c>
      <c r="B9792">
        <v>0.14899999999999999</v>
      </c>
      <c r="C9792">
        <v>200</v>
      </c>
      <c r="D9792" s="9">
        <v>41295</v>
      </c>
      <c r="E9792" t="s">
        <v>296</v>
      </c>
      <c r="I9792" s="9"/>
    </row>
    <row r="9793" spans="1:9" x14ac:dyDescent="0.25">
      <c r="A9793">
        <v>772210</v>
      </c>
      <c r="B9793">
        <v>0.71199999999999997</v>
      </c>
      <c r="C9793">
        <v>1152</v>
      </c>
      <c r="D9793" s="9">
        <v>43871</v>
      </c>
      <c r="E9793" t="s">
        <v>296</v>
      </c>
      <c r="I9793" s="9"/>
    </row>
    <row r="9794" spans="1:9" x14ac:dyDescent="0.25">
      <c r="A9794">
        <v>772210</v>
      </c>
      <c r="B9794">
        <v>0.71199999999999997</v>
      </c>
      <c r="C9794">
        <v>1152</v>
      </c>
      <c r="D9794" s="9">
        <v>43803</v>
      </c>
      <c r="E9794" t="s">
        <v>296</v>
      </c>
      <c r="I9794" s="9"/>
    </row>
    <row r="9795" spans="1:9" x14ac:dyDescent="0.25">
      <c r="A9795">
        <v>772210</v>
      </c>
      <c r="B9795">
        <v>0.71199999999999997</v>
      </c>
      <c r="C9795">
        <v>1248</v>
      </c>
      <c r="D9795" s="9">
        <v>43612</v>
      </c>
      <c r="E9795" t="s">
        <v>296</v>
      </c>
      <c r="I9795" s="9"/>
    </row>
    <row r="9796" spans="1:9" x14ac:dyDescent="0.25">
      <c r="A9796">
        <v>772210</v>
      </c>
      <c r="B9796">
        <v>0.71199999999999997</v>
      </c>
      <c r="C9796">
        <v>1152</v>
      </c>
      <c r="D9796" s="9">
        <v>43567</v>
      </c>
      <c r="E9796" t="s">
        <v>296</v>
      </c>
      <c r="I9796" s="9"/>
    </row>
    <row r="9797" spans="1:9" x14ac:dyDescent="0.25">
      <c r="A9797">
        <v>772210</v>
      </c>
      <c r="B9797">
        <v>0.7</v>
      </c>
      <c r="C9797">
        <v>1152</v>
      </c>
      <c r="D9797" s="9">
        <v>43299</v>
      </c>
      <c r="E9797" t="s">
        <v>296</v>
      </c>
      <c r="I9797" s="9"/>
    </row>
    <row r="9798" spans="1:9" x14ac:dyDescent="0.25">
      <c r="A9798">
        <v>772210</v>
      </c>
      <c r="B9798">
        <v>0.7</v>
      </c>
      <c r="C9798">
        <v>1344</v>
      </c>
      <c r="D9798" s="9">
        <v>42976</v>
      </c>
      <c r="E9798" t="s">
        <v>296</v>
      </c>
      <c r="I9798" s="9"/>
    </row>
    <row r="9799" spans="1:9" x14ac:dyDescent="0.25">
      <c r="A9799">
        <v>772210</v>
      </c>
      <c r="B9799">
        <v>0.7</v>
      </c>
      <c r="C9799">
        <v>1344</v>
      </c>
      <c r="D9799" s="9">
        <v>42976</v>
      </c>
      <c r="E9799" t="s">
        <v>296</v>
      </c>
      <c r="I9799" s="9"/>
    </row>
    <row r="9800" spans="1:9" x14ac:dyDescent="0.25">
      <c r="A9800">
        <v>772210</v>
      </c>
      <c r="B9800">
        <v>0.73</v>
      </c>
      <c r="C9800">
        <v>1920</v>
      </c>
      <c r="D9800" s="9">
        <v>42641</v>
      </c>
      <c r="E9800" t="s">
        <v>296</v>
      </c>
      <c r="I9800" s="9"/>
    </row>
    <row r="9801" spans="1:9" x14ac:dyDescent="0.25">
      <c r="A9801">
        <v>772210</v>
      </c>
      <c r="B9801">
        <v>0.73</v>
      </c>
      <c r="C9801">
        <v>1152</v>
      </c>
      <c r="D9801" s="9">
        <v>42641</v>
      </c>
      <c r="E9801" t="s">
        <v>296</v>
      </c>
      <c r="I9801" s="9"/>
    </row>
    <row r="9802" spans="1:9" x14ac:dyDescent="0.25">
      <c r="A9802">
        <v>772210</v>
      </c>
      <c r="B9802">
        <v>0.73</v>
      </c>
      <c r="C9802">
        <v>1920</v>
      </c>
      <c r="D9802" s="9">
        <v>42641</v>
      </c>
      <c r="E9802" t="s">
        <v>296</v>
      </c>
      <c r="I9802" s="9"/>
    </row>
    <row r="9803" spans="1:9" x14ac:dyDescent="0.25">
      <c r="A9803">
        <v>772210</v>
      </c>
      <c r="B9803">
        <v>0.73</v>
      </c>
      <c r="C9803">
        <v>1152</v>
      </c>
      <c r="D9803" s="9">
        <v>42641</v>
      </c>
      <c r="E9803" t="s">
        <v>296</v>
      </c>
      <c r="I9803" s="9"/>
    </row>
    <row r="9804" spans="1:9" x14ac:dyDescent="0.25">
      <c r="A9804">
        <v>772210</v>
      </c>
      <c r="B9804">
        <v>0.73</v>
      </c>
      <c r="C9804">
        <v>1344</v>
      </c>
      <c r="D9804" s="9">
        <v>42440</v>
      </c>
      <c r="E9804" t="s">
        <v>296</v>
      </c>
      <c r="I9804" s="9"/>
    </row>
    <row r="9805" spans="1:9" x14ac:dyDescent="0.25">
      <c r="A9805">
        <v>772210</v>
      </c>
      <c r="B9805">
        <v>0.77100000000000002</v>
      </c>
      <c r="C9805">
        <v>1536</v>
      </c>
      <c r="D9805" s="9">
        <v>42177</v>
      </c>
      <c r="E9805" t="s">
        <v>296</v>
      </c>
      <c r="I9805" s="9"/>
    </row>
    <row r="9806" spans="1:9" x14ac:dyDescent="0.25">
      <c r="A9806">
        <v>772210</v>
      </c>
      <c r="B9806">
        <v>0.77100000000000002</v>
      </c>
      <c r="C9806">
        <v>1920</v>
      </c>
      <c r="D9806" s="9">
        <v>41505</v>
      </c>
      <c r="E9806" t="s">
        <v>296</v>
      </c>
      <c r="I9806" s="9"/>
    </row>
    <row r="9807" spans="1:9" x14ac:dyDescent="0.25">
      <c r="A9807">
        <v>772210</v>
      </c>
      <c r="B9807">
        <v>0.77100000000000002</v>
      </c>
      <c r="C9807">
        <v>2016</v>
      </c>
      <c r="D9807" s="9">
        <v>41435</v>
      </c>
      <c r="E9807" t="s">
        <v>296</v>
      </c>
      <c r="I9807" s="9"/>
    </row>
    <row r="9808" spans="1:9" x14ac:dyDescent="0.25">
      <c r="A9808">
        <v>772210</v>
      </c>
      <c r="B9808">
        <v>0.77100000000000002</v>
      </c>
      <c r="C9808">
        <v>864</v>
      </c>
      <c r="D9808" s="9">
        <v>41418</v>
      </c>
      <c r="E9808" t="s">
        <v>296</v>
      </c>
      <c r="I9808" s="9"/>
    </row>
    <row r="9809" spans="1:9" x14ac:dyDescent="0.25">
      <c r="A9809">
        <v>772210</v>
      </c>
      <c r="B9809">
        <v>0.77100000000000002</v>
      </c>
      <c r="C9809">
        <v>2304</v>
      </c>
      <c r="D9809" s="9">
        <v>41295</v>
      </c>
      <c r="E9809" t="s">
        <v>296</v>
      </c>
      <c r="I9809" s="9"/>
    </row>
    <row r="9810" spans="1:9" x14ac:dyDescent="0.25">
      <c r="A9810">
        <v>773012</v>
      </c>
      <c r="B9810">
        <v>0.8</v>
      </c>
      <c r="C9810">
        <v>17500</v>
      </c>
      <c r="D9810" s="9">
        <v>44005</v>
      </c>
      <c r="E9810" t="s">
        <v>295</v>
      </c>
      <c r="I9810" s="9"/>
    </row>
    <row r="9811" spans="1:9" x14ac:dyDescent="0.25">
      <c r="A9811">
        <v>773012</v>
      </c>
      <c r="B9811">
        <v>0.24</v>
      </c>
      <c r="C9811">
        <v>200000</v>
      </c>
      <c r="D9811" s="9">
        <v>43930</v>
      </c>
      <c r="E9811" t="s">
        <v>296</v>
      </c>
      <c r="I9811" s="9"/>
    </row>
    <row r="9812" spans="1:9" x14ac:dyDescent="0.25">
      <c r="A9812">
        <v>779000</v>
      </c>
      <c r="B9812">
        <v>3.45</v>
      </c>
      <c r="C9812">
        <v>5000</v>
      </c>
      <c r="D9812" s="9">
        <v>44145</v>
      </c>
      <c r="E9812" t="s">
        <v>296</v>
      </c>
      <c r="I9812" s="9"/>
    </row>
    <row r="9813" spans="1:9" x14ac:dyDescent="0.25">
      <c r="A9813">
        <v>779001</v>
      </c>
      <c r="B9813">
        <v>6.25</v>
      </c>
      <c r="C9813">
        <v>2000</v>
      </c>
      <c r="D9813" s="9">
        <v>44145</v>
      </c>
      <c r="E9813" t="s">
        <v>296</v>
      </c>
      <c r="I9813" s="9"/>
    </row>
    <row r="9814" spans="1:9" x14ac:dyDescent="0.25">
      <c r="A9814">
        <v>780400</v>
      </c>
      <c r="B9814">
        <v>0.6</v>
      </c>
      <c r="C9814">
        <v>2400</v>
      </c>
      <c r="D9814" s="9">
        <v>42230</v>
      </c>
      <c r="E9814" t="s">
        <v>296</v>
      </c>
      <c r="I9814" s="9"/>
    </row>
    <row r="9815" spans="1:9" x14ac:dyDescent="0.25">
      <c r="A9815">
        <v>780500</v>
      </c>
      <c r="B9815">
        <v>0.87</v>
      </c>
      <c r="C9815">
        <v>1920</v>
      </c>
      <c r="D9815" s="9">
        <v>42230</v>
      </c>
      <c r="E9815" t="s">
        <v>296</v>
      </c>
      <c r="I9815" s="9"/>
    </row>
    <row r="9816" spans="1:9" x14ac:dyDescent="0.25">
      <c r="A9816">
        <v>780600</v>
      </c>
      <c r="B9816">
        <v>1.0900000000000001</v>
      </c>
      <c r="C9816">
        <v>1344</v>
      </c>
      <c r="D9816" s="9">
        <v>42230</v>
      </c>
      <c r="E9816" t="s">
        <v>296</v>
      </c>
      <c r="I9816" s="9"/>
    </row>
    <row r="9817" spans="1:9" x14ac:dyDescent="0.25">
      <c r="A9817">
        <v>780700</v>
      </c>
      <c r="B9817">
        <v>1.41</v>
      </c>
      <c r="C9817">
        <v>660</v>
      </c>
      <c r="D9817" s="9">
        <v>42230</v>
      </c>
      <c r="E9817" t="s">
        <v>296</v>
      </c>
      <c r="I9817" s="9"/>
    </row>
    <row r="9818" spans="1:9" x14ac:dyDescent="0.25">
      <c r="A9818">
        <v>786000</v>
      </c>
      <c r="B9818">
        <v>0.71</v>
      </c>
      <c r="C9818">
        <v>1440</v>
      </c>
      <c r="D9818" s="9">
        <v>43966</v>
      </c>
      <c r="E9818" t="s">
        <v>296</v>
      </c>
      <c r="I9818" s="9"/>
    </row>
    <row r="9819" spans="1:9" x14ac:dyDescent="0.25">
      <c r="A9819">
        <v>786000</v>
      </c>
      <c r="B9819">
        <v>0.71</v>
      </c>
      <c r="C9819">
        <v>1800</v>
      </c>
      <c r="D9819" s="9">
        <v>43612</v>
      </c>
      <c r="E9819" t="s">
        <v>296</v>
      </c>
      <c r="I9819" s="9"/>
    </row>
    <row r="9820" spans="1:9" x14ac:dyDescent="0.25">
      <c r="A9820">
        <v>786000</v>
      </c>
      <c r="B9820">
        <v>0.56200000000000006</v>
      </c>
      <c r="C9820">
        <v>1800</v>
      </c>
      <c r="D9820" s="9">
        <v>42440</v>
      </c>
      <c r="E9820" t="s">
        <v>296</v>
      </c>
      <c r="I9820" s="9"/>
    </row>
    <row r="9821" spans="1:9" x14ac:dyDescent="0.25">
      <c r="A9821">
        <v>786000</v>
      </c>
      <c r="B9821">
        <v>0.74</v>
      </c>
      <c r="C9821">
        <v>2304</v>
      </c>
      <c r="D9821" s="9">
        <v>42325</v>
      </c>
      <c r="E9821" t="s">
        <v>296</v>
      </c>
      <c r="I9821" s="9"/>
    </row>
    <row r="9822" spans="1:9" x14ac:dyDescent="0.25">
      <c r="A9822">
        <v>786000</v>
      </c>
      <c r="B9822">
        <v>0.56200000000000006</v>
      </c>
      <c r="C9822">
        <v>1920</v>
      </c>
      <c r="D9822" s="9">
        <v>41535</v>
      </c>
      <c r="E9822" t="s">
        <v>296</v>
      </c>
      <c r="I9822" s="9"/>
    </row>
    <row r="9823" spans="1:9" x14ac:dyDescent="0.25">
      <c r="A9823">
        <v>786000</v>
      </c>
      <c r="B9823">
        <v>0.56200000000000006</v>
      </c>
      <c r="C9823">
        <v>1440</v>
      </c>
      <c r="D9823" s="9">
        <v>41295</v>
      </c>
      <c r="E9823" t="s">
        <v>296</v>
      </c>
      <c r="I9823" s="9"/>
    </row>
    <row r="9824" spans="1:9" x14ac:dyDescent="0.25">
      <c r="A9824">
        <v>786000</v>
      </c>
      <c r="B9824">
        <v>0.56200000000000006</v>
      </c>
      <c r="C9824">
        <v>1440</v>
      </c>
      <c r="D9824" s="9">
        <v>41295</v>
      </c>
      <c r="E9824" t="s">
        <v>296</v>
      </c>
      <c r="I9824" s="9"/>
    </row>
    <row r="9825" spans="1:9" x14ac:dyDescent="0.25">
      <c r="A9825">
        <v>786004</v>
      </c>
      <c r="B9825">
        <v>1.67</v>
      </c>
      <c r="C9825">
        <v>600</v>
      </c>
      <c r="D9825" s="9">
        <v>43612</v>
      </c>
      <c r="E9825" t="s">
        <v>296</v>
      </c>
      <c r="I9825" s="9"/>
    </row>
    <row r="9826" spans="1:9" x14ac:dyDescent="0.25">
      <c r="A9826">
        <v>786004</v>
      </c>
      <c r="B9826">
        <v>5.72</v>
      </c>
      <c r="C9826">
        <v>1020</v>
      </c>
      <c r="D9826" s="9">
        <v>43136</v>
      </c>
      <c r="E9826" t="s">
        <v>295</v>
      </c>
      <c r="I9826" s="9"/>
    </row>
    <row r="9827" spans="1:9" x14ac:dyDescent="0.25">
      <c r="A9827">
        <v>786004</v>
      </c>
      <c r="B9827">
        <v>1.67</v>
      </c>
      <c r="C9827">
        <v>1020</v>
      </c>
      <c r="D9827" s="9">
        <v>43136</v>
      </c>
      <c r="E9827" t="s">
        <v>296</v>
      </c>
      <c r="I9827" s="9"/>
    </row>
    <row r="9828" spans="1:9" x14ac:dyDescent="0.25">
      <c r="A9828">
        <v>786006</v>
      </c>
      <c r="B9828">
        <v>0.67</v>
      </c>
      <c r="C9828">
        <v>1800</v>
      </c>
      <c r="D9828" s="9">
        <v>42325</v>
      </c>
      <c r="E9828" t="s">
        <v>296</v>
      </c>
      <c r="I9828" s="9"/>
    </row>
    <row r="9829" spans="1:9" x14ac:dyDescent="0.25">
      <c r="A9829">
        <v>786006</v>
      </c>
      <c r="B9829">
        <v>0.67</v>
      </c>
      <c r="C9829">
        <v>2040</v>
      </c>
      <c r="D9829" s="9">
        <v>41934</v>
      </c>
      <c r="E9829" t="s">
        <v>296</v>
      </c>
      <c r="I9829" s="9"/>
    </row>
    <row r="9830" spans="1:9" x14ac:dyDescent="0.25">
      <c r="A9830">
        <v>786007</v>
      </c>
      <c r="B9830">
        <v>0.95</v>
      </c>
      <c r="C9830">
        <v>1080</v>
      </c>
      <c r="D9830" s="9">
        <v>43612</v>
      </c>
      <c r="E9830" t="s">
        <v>296</v>
      </c>
      <c r="I9830" s="9"/>
    </row>
    <row r="9831" spans="1:9" x14ac:dyDescent="0.25">
      <c r="A9831">
        <v>786007</v>
      </c>
      <c r="B9831">
        <v>0.75</v>
      </c>
      <c r="C9831">
        <v>1600</v>
      </c>
      <c r="D9831" s="9">
        <v>42325</v>
      </c>
      <c r="E9831" t="s">
        <v>296</v>
      </c>
      <c r="I9831" s="9"/>
    </row>
    <row r="9832" spans="1:9" x14ac:dyDescent="0.25">
      <c r="A9832">
        <v>786007</v>
      </c>
      <c r="B9832">
        <v>0.75</v>
      </c>
      <c r="C9832">
        <v>1600</v>
      </c>
      <c r="D9832" s="9">
        <v>41934</v>
      </c>
      <c r="E9832" t="s">
        <v>296</v>
      </c>
      <c r="I9832" s="9"/>
    </row>
    <row r="9833" spans="1:9" x14ac:dyDescent="0.25">
      <c r="A9833">
        <v>786008</v>
      </c>
      <c r="B9833">
        <v>0.74</v>
      </c>
      <c r="C9833">
        <v>2880</v>
      </c>
      <c r="D9833" s="9">
        <v>41934</v>
      </c>
      <c r="E9833" t="s">
        <v>296</v>
      </c>
      <c r="I9833" s="9"/>
    </row>
    <row r="9834" spans="1:9" x14ac:dyDescent="0.25">
      <c r="A9834">
        <v>786020</v>
      </c>
      <c r="B9834">
        <v>6.84</v>
      </c>
      <c r="C9834">
        <v>20</v>
      </c>
      <c r="D9834" s="9">
        <v>44102</v>
      </c>
      <c r="E9834" t="s">
        <v>295</v>
      </c>
      <c r="I9834" s="9"/>
    </row>
    <row r="9835" spans="1:9" x14ac:dyDescent="0.25">
      <c r="A9835">
        <v>786020</v>
      </c>
      <c r="B9835">
        <v>1</v>
      </c>
      <c r="C9835">
        <v>1000</v>
      </c>
      <c r="D9835" s="9">
        <v>43819</v>
      </c>
      <c r="E9835" t="s">
        <v>296</v>
      </c>
      <c r="I9835" s="9"/>
    </row>
    <row r="9836" spans="1:9" x14ac:dyDescent="0.25">
      <c r="A9836">
        <v>786020</v>
      </c>
      <c r="B9836">
        <v>0.9</v>
      </c>
      <c r="C9836">
        <v>1000</v>
      </c>
      <c r="D9836" s="9">
        <v>43819</v>
      </c>
      <c r="E9836" t="s">
        <v>296</v>
      </c>
      <c r="I9836" s="9"/>
    </row>
    <row r="9837" spans="1:9" x14ac:dyDescent="0.25">
      <c r="A9837">
        <v>786020</v>
      </c>
      <c r="B9837">
        <v>1.05</v>
      </c>
      <c r="C9837">
        <v>1000</v>
      </c>
      <c r="D9837" s="9">
        <v>43473</v>
      </c>
      <c r="E9837" t="s">
        <v>296</v>
      </c>
      <c r="I9837" s="9"/>
    </row>
    <row r="9838" spans="1:9" x14ac:dyDescent="0.25">
      <c r="A9838">
        <v>786020</v>
      </c>
      <c r="B9838">
        <v>1.1200000000000001</v>
      </c>
      <c r="C9838">
        <v>1000</v>
      </c>
      <c r="D9838" s="9">
        <v>43105</v>
      </c>
      <c r="E9838" t="s">
        <v>296</v>
      </c>
      <c r="I9838" s="9"/>
    </row>
    <row r="9839" spans="1:9" x14ac:dyDescent="0.25">
      <c r="A9839">
        <v>786020</v>
      </c>
      <c r="B9839">
        <v>1.1200000000000001</v>
      </c>
      <c r="C9839">
        <v>600</v>
      </c>
      <c r="D9839" s="9">
        <v>43039</v>
      </c>
      <c r="E9839" t="s">
        <v>296</v>
      </c>
      <c r="I9839" s="9"/>
    </row>
    <row r="9840" spans="1:9" x14ac:dyDescent="0.25">
      <c r="A9840">
        <v>786020</v>
      </c>
      <c r="B9840">
        <v>1.1200000000000001</v>
      </c>
      <c r="C9840">
        <v>500</v>
      </c>
      <c r="D9840" s="9">
        <v>42859</v>
      </c>
      <c r="E9840" t="s">
        <v>296</v>
      </c>
      <c r="I9840" s="9"/>
    </row>
    <row r="9841" spans="1:9" x14ac:dyDescent="0.25">
      <c r="A9841">
        <v>786020</v>
      </c>
      <c r="B9841">
        <v>1.1200000000000001</v>
      </c>
      <c r="C9841">
        <v>500</v>
      </c>
      <c r="D9841" s="9">
        <v>42585</v>
      </c>
      <c r="E9841" t="s">
        <v>296</v>
      </c>
      <c r="I9841" s="9"/>
    </row>
    <row r="9842" spans="1:9" x14ac:dyDescent="0.25">
      <c r="A9842">
        <v>786020</v>
      </c>
      <c r="B9842">
        <v>1.25</v>
      </c>
      <c r="C9842">
        <v>400</v>
      </c>
      <c r="D9842" s="9">
        <v>42380</v>
      </c>
      <c r="E9842" t="s">
        <v>296</v>
      </c>
      <c r="I9842" s="9"/>
    </row>
    <row r="9843" spans="1:9" x14ac:dyDescent="0.25">
      <c r="A9843">
        <v>786020</v>
      </c>
      <c r="B9843">
        <v>1.25</v>
      </c>
      <c r="C9843">
        <v>400</v>
      </c>
      <c r="D9843" s="9">
        <v>42270</v>
      </c>
      <c r="E9843" t="s">
        <v>296</v>
      </c>
      <c r="I9843" s="9"/>
    </row>
    <row r="9844" spans="1:9" x14ac:dyDescent="0.25">
      <c r="A9844">
        <v>786020</v>
      </c>
      <c r="B9844">
        <v>1.25</v>
      </c>
      <c r="C9844">
        <v>400</v>
      </c>
      <c r="D9844" s="9">
        <v>42031</v>
      </c>
      <c r="E9844" t="s">
        <v>296</v>
      </c>
      <c r="I9844" s="9"/>
    </row>
    <row r="9845" spans="1:9" x14ac:dyDescent="0.25">
      <c r="A9845">
        <v>786020</v>
      </c>
      <c r="B9845">
        <v>1.8</v>
      </c>
      <c r="C9845">
        <v>100</v>
      </c>
      <c r="D9845" s="9">
        <v>41837</v>
      </c>
      <c r="E9845" t="s">
        <v>296</v>
      </c>
      <c r="I9845" s="9"/>
    </row>
    <row r="9846" spans="1:9" x14ac:dyDescent="0.25">
      <c r="A9846">
        <v>786030</v>
      </c>
      <c r="B9846">
        <v>0.9</v>
      </c>
      <c r="C9846">
        <v>1000</v>
      </c>
      <c r="D9846" s="9">
        <v>44074</v>
      </c>
      <c r="E9846" t="s">
        <v>296</v>
      </c>
      <c r="I9846" s="9"/>
    </row>
    <row r="9847" spans="1:9" x14ac:dyDescent="0.25">
      <c r="A9847">
        <v>786030</v>
      </c>
      <c r="B9847">
        <v>0.84</v>
      </c>
      <c r="C9847">
        <v>1000</v>
      </c>
      <c r="D9847" s="9">
        <v>43438</v>
      </c>
      <c r="E9847" t="s">
        <v>296</v>
      </c>
      <c r="I9847" s="9"/>
    </row>
    <row r="9848" spans="1:9" x14ac:dyDescent="0.25">
      <c r="A9848">
        <v>786030</v>
      </c>
      <c r="B9848">
        <v>0.81</v>
      </c>
      <c r="C9848">
        <v>1000</v>
      </c>
      <c r="D9848" s="9">
        <v>42853</v>
      </c>
      <c r="E9848" t="s">
        <v>296</v>
      </c>
      <c r="I9848" s="9"/>
    </row>
    <row r="9849" spans="1:9" x14ac:dyDescent="0.25">
      <c r="A9849">
        <v>786030</v>
      </c>
      <c r="B9849">
        <v>0.94</v>
      </c>
      <c r="C9849">
        <v>1200</v>
      </c>
      <c r="D9849" s="9">
        <v>42270</v>
      </c>
      <c r="E9849" t="s">
        <v>296</v>
      </c>
      <c r="I9849" s="9"/>
    </row>
    <row r="9850" spans="1:9" x14ac:dyDescent="0.25">
      <c r="A9850">
        <v>786030</v>
      </c>
      <c r="B9850">
        <v>0.9</v>
      </c>
      <c r="C9850">
        <v>1000</v>
      </c>
      <c r="D9850" s="9">
        <v>41934</v>
      </c>
      <c r="E9850" t="s">
        <v>296</v>
      </c>
      <c r="I9850" s="9"/>
    </row>
    <row r="9851" spans="1:9" x14ac:dyDescent="0.25">
      <c r="A9851">
        <v>786035</v>
      </c>
      <c r="B9851">
        <v>7.5</v>
      </c>
      <c r="C9851">
        <v>300</v>
      </c>
      <c r="D9851" s="9">
        <v>43381</v>
      </c>
      <c r="E9851" t="s">
        <v>296</v>
      </c>
      <c r="I9851" s="9"/>
    </row>
    <row r="9852" spans="1:9" x14ac:dyDescent="0.25">
      <c r="A9852">
        <v>786035</v>
      </c>
      <c r="B9852">
        <v>7.6</v>
      </c>
      <c r="C9852">
        <v>500</v>
      </c>
      <c r="D9852" s="9">
        <v>43039</v>
      </c>
      <c r="E9852" t="s">
        <v>296</v>
      </c>
      <c r="I9852" s="9"/>
    </row>
    <row r="9853" spans="1:9" x14ac:dyDescent="0.25">
      <c r="A9853">
        <v>786035</v>
      </c>
      <c r="B9853">
        <v>7.2</v>
      </c>
      <c r="C9853">
        <v>160</v>
      </c>
      <c r="D9853" s="9">
        <v>42859</v>
      </c>
      <c r="E9853" t="s">
        <v>296</v>
      </c>
      <c r="I9853" s="9"/>
    </row>
    <row r="9854" spans="1:9" x14ac:dyDescent="0.25">
      <c r="A9854">
        <v>786036</v>
      </c>
      <c r="B9854">
        <v>7</v>
      </c>
      <c r="C9854">
        <v>360</v>
      </c>
      <c r="D9854" s="9">
        <v>43991</v>
      </c>
      <c r="E9854" t="s">
        <v>296</v>
      </c>
      <c r="I9854" s="9"/>
    </row>
    <row r="9855" spans="1:9" x14ac:dyDescent="0.25">
      <c r="A9855">
        <v>786036</v>
      </c>
      <c r="B9855">
        <v>7</v>
      </c>
      <c r="C9855">
        <v>360</v>
      </c>
      <c r="D9855" s="9">
        <v>43973</v>
      </c>
      <c r="E9855" t="s">
        <v>296</v>
      </c>
      <c r="I9855" s="9"/>
    </row>
    <row r="9856" spans="1:9" x14ac:dyDescent="0.25">
      <c r="A9856">
        <v>786046</v>
      </c>
      <c r="B9856">
        <v>2.2000000000000002</v>
      </c>
      <c r="C9856">
        <v>50</v>
      </c>
      <c r="D9856" s="9">
        <v>43910</v>
      </c>
      <c r="E9856" t="s">
        <v>295</v>
      </c>
      <c r="I9856" s="9"/>
    </row>
    <row r="9857" spans="1:9" x14ac:dyDescent="0.25">
      <c r="A9857">
        <v>786046</v>
      </c>
      <c r="B9857">
        <v>2.2000000000000002</v>
      </c>
      <c r="C9857">
        <v>50</v>
      </c>
      <c r="D9857" s="9">
        <v>43697</v>
      </c>
      <c r="E9857" t="s">
        <v>295</v>
      </c>
      <c r="I9857" s="9"/>
    </row>
    <row r="9858" spans="1:9" x14ac:dyDescent="0.25">
      <c r="A9858">
        <v>786046</v>
      </c>
      <c r="B9858">
        <v>2.2000000000000002</v>
      </c>
      <c r="C9858">
        <v>50</v>
      </c>
      <c r="D9858" s="9">
        <v>43475</v>
      </c>
      <c r="E9858" t="s">
        <v>295</v>
      </c>
      <c r="I9858" s="9"/>
    </row>
    <row r="9859" spans="1:9" x14ac:dyDescent="0.25">
      <c r="A9859">
        <v>786046</v>
      </c>
      <c r="B9859">
        <v>2.2000000000000002</v>
      </c>
      <c r="C9859">
        <v>50</v>
      </c>
      <c r="D9859" s="9">
        <v>43182</v>
      </c>
      <c r="E9859" t="s">
        <v>295</v>
      </c>
      <c r="I9859" s="9"/>
    </row>
    <row r="9860" spans="1:9" x14ac:dyDescent="0.25">
      <c r="A9860">
        <v>786046</v>
      </c>
      <c r="B9860">
        <v>2.2000000000000002</v>
      </c>
      <c r="C9860">
        <v>50</v>
      </c>
      <c r="D9860" s="9">
        <v>42891</v>
      </c>
      <c r="E9860" t="s">
        <v>295</v>
      </c>
      <c r="I9860" s="9"/>
    </row>
    <row r="9861" spans="1:9" x14ac:dyDescent="0.25">
      <c r="A9861">
        <v>786046</v>
      </c>
      <c r="B9861">
        <v>2.2000000000000002</v>
      </c>
      <c r="C9861">
        <v>50</v>
      </c>
      <c r="D9861" s="9">
        <v>42549</v>
      </c>
      <c r="E9861" t="s">
        <v>295</v>
      </c>
      <c r="I9861" s="9"/>
    </row>
    <row r="9862" spans="1:9" x14ac:dyDescent="0.25">
      <c r="A9862">
        <v>786046</v>
      </c>
      <c r="B9862">
        <v>0</v>
      </c>
      <c r="C9862">
        <v>50</v>
      </c>
      <c r="D9862" s="9">
        <v>42408</v>
      </c>
      <c r="E9862" t="s">
        <v>295</v>
      </c>
      <c r="I9862" s="9"/>
    </row>
    <row r="9863" spans="1:9" x14ac:dyDescent="0.25">
      <c r="A9863">
        <v>786049</v>
      </c>
      <c r="B9863">
        <v>4.45</v>
      </c>
      <c r="C9863">
        <v>50</v>
      </c>
      <c r="D9863" s="9">
        <v>42471</v>
      </c>
      <c r="E9863" t="s">
        <v>295</v>
      </c>
      <c r="I9863" s="9"/>
    </row>
    <row r="9864" spans="1:9" x14ac:dyDescent="0.25">
      <c r="A9864">
        <v>786049</v>
      </c>
      <c r="B9864">
        <v>0</v>
      </c>
      <c r="C9864">
        <v>50</v>
      </c>
      <c r="D9864" s="9">
        <v>42408</v>
      </c>
      <c r="E9864" t="s">
        <v>295</v>
      </c>
      <c r="I9864" s="9"/>
    </row>
    <row r="9865" spans="1:9" x14ac:dyDescent="0.25">
      <c r="A9865">
        <v>800503</v>
      </c>
      <c r="B9865">
        <v>30.91</v>
      </c>
      <c r="C9865">
        <v>48</v>
      </c>
      <c r="D9865" s="9">
        <v>43027</v>
      </c>
      <c r="E9865" t="s">
        <v>295</v>
      </c>
      <c r="I9865" s="9"/>
    </row>
    <row r="9866" spans="1:9" x14ac:dyDescent="0.25">
      <c r="A9866">
        <v>800524</v>
      </c>
      <c r="B9866">
        <v>31.02</v>
      </c>
      <c r="C9866">
        <v>14</v>
      </c>
      <c r="D9866" s="9">
        <v>43123</v>
      </c>
      <c r="E9866" t="s">
        <v>295</v>
      </c>
      <c r="I9866" s="9"/>
    </row>
    <row r="9867" spans="1:9" x14ac:dyDescent="0.25">
      <c r="A9867">
        <v>800524</v>
      </c>
      <c r="B9867">
        <v>31.02</v>
      </c>
      <c r="C9867">
        <v>28</v>
      </c>
      <c r="D9867" s="9">
        <v>43027</v>
      </c>
      <c r="E9867" t="s">
        <v>295</v>
      </c>
      <c r="I9867" s="9"/>
    </row>
    <row r="9868" spans="1:9" x14ac:dyDescent="0.25">
      <c r="A9868">
        <v>800524</v>
      </c>
      <c r="B9868">
        <v>31.02</v>
      </c>
      <c r="C9868">
        <v>28</v>
      </c>
      <c r="D9868" s="9">
        <v>42654</v>
      </c>
      <c r="E9868" t="s">
        <v>295</v>
      </c>
      <c r="I9868" s="9"/>
    </row>
    <row r="9869" spans="1:9" x14ac:dyDescent="0.25">
      <c r="A9869">
        <v>800525</v>
      </c>
      <c r="B9869">
        <v>35.67</v>
      </c>
      <c r="C9869">
        <v>24</v>
      </c>
      <c r="D9869" s="9">
        <v>43060</v>
      </c>
      <c r="E9869" t="s">
        <v>295</v>
      </c>
      <c r="I9869" s="9"/>
    </row>
    <row r="9870" spans="1:9" x14ac:dyDescent="0.25">
      <c r="A9870">
        <v>800525</v>
      </c>
      <c r="B9870">
        <v>35.67</v>
      </c>
      <c r="C9870">
        <v>24</v>
      </c>
      <c r="D9870" s="9">
        <v>43027</v>
      </c>
      <c r="E9870" t="s">
        <v>295</v>
      </c>
      <c r="I9870" s="9"/>
    </row>
    <row r="9871" spans="1:9" x14ac:dyDescent="0.25">
      <c r="A9871">
        <v>800525</v>
      </c>
      <c r="B9871">
        <v>35.67</v>
      </c>
      <c r="C9871">
        <v>24</v>
      </c>
      <c r="D9871" s="9">
        <v>42836</v>
      </c>
      <c r="E9871" t="s">
        <v>295</v>
      </c>
      <c r="I9871" s="9"/>
    </row>
    <row r="9872" spans="1:9" x14ac:dyDescent="0.25">
      <c r="A9872">
        <v>800525</v>
      </c>
      <c r="B9872">
        <v>35.67</v>
      </c>
      <c r="C9872">
        <v>24</v>
      </c>
      <c r="D9872" s="9">
        <v>42654</v>
      </c>
      <c r="E9872" t="s">
        <v>295</v>
      </c>
      <c r="I9872" s="9"/>
    </row>
    <row r="9873" spans="1:9" x14ac:dyDescent="0.25">
      <c r="A9873">
        <v>800543</v>
      </c>
      <c r="B9873">
        <v>6.85</v>
      </c>
      <c r="C9873">
        <v>60</v>
      </c>
      <c r="D9873" s="9">
        <v>44110</v>
      </c>
      <c r="E9873" t="s">
        <v>295</v>
      </c>
      <c r="I9873" s="9"/>
    </row>
    <row r="9874" spans="1:9" x14ac:dyDescent="0.25">
      <c r="A9874">
        <v>800543</v>
      </c>
      <c r="B9874">
        <v>6.85</v>
      </c>
      <c r="C9874">
        <v>60</v>
      </c>
      <c r="D9874" s="9">
        <v>43978</v>
      </c>
      <c r="E9874" t="s">
        <v>295</v>
      </c>
      <c r="I9874" s="9"/>
    </row>
    <row r="9875" spans="1:9" x14ac:dyDescent="0.25">
      <c r="A9875">
        <v>800543</v>
      </c>
      <c r="B9875">
        <v>7.1</v>
      </c>
      <c r="C9875">
        <v>60</v>
      </c>
      <c r="D9875" s="9">
        <v>43530</v>
      </c>
      <c r="E9875" t="s">
        <v>295</v>
      </c>
      <c r="I9875" s="9"/>
    </row>
    <row r="9876" spans="1:9" x14ac:dyDescent="0.25">
      <c r="A9876">
        <v>800543</v>
      </c>
      <c r="B9876">
        <v>7.1</v>
      </c>
      <c r="C9876">
        <v>60</v>
      </c>
      <c r="D9876" s="9">
        <v>43424</v>
      </c>
      <c r="E9876" t="s">
        <v>295</v>
      </c>
      <c r="I9876" s="9"/>
    </row>
    <row r="9877" spans="1:9" x14ac:dyDescent="0.25">
      <c r="A9877">
        <v>800543</v>
      </c>
      <c r="B9877">
        <v>6.69</v>
      </c>
      <c r="C9877">
        <v>150</v>
      </c>
      <c r="D9877" s="9">
        <v>43027</v>
      </c>
      <c r="E9877" t="s">
        <v>295</v>
      </c>
      <c r="I9877" s="9"/>
    </row>
    <row r="9878" spans="1:9" x14ac:dyDescent="0.25">
      <c r="A9878">
        <v>800543</v>
      </c>
      <c r="B9878">
        <v>6.69</v>
      </c>
      <c r="C9878">
        <v>140</v>
      </c>
      <c r="D9878" s="9">
        <v>42810</v>
      </c>
      <c r="E9878" t="s">
        <v>295</v>
      </c>
      <c r="I9878" s="9"/>
    </row>
    <row r="9879" spans="1:9" x14ac:dyDescent="0.25">
      <c r="A9879">
        <v>800543</v>
      </c>
      <c r="B9879">
        <v>6.69</v>
      </c>
      <c r="C9879">
        <v>140</v>
      </c>
      <c r="D9879" s="9">
        <v>42515</v>
      </c>
      <c r="E9879" t="s">
        <v>295</v>
      </c>
      <c r="I9879" s="9"/>
    </row>
    <row r="9880" spans="1:9" x14ac:dyDescent="0.25">
      <c r="A9880">
        <v>800544</v>
      </c>
      <c r="B9880">
        <v>11.7</v>
      </c>
      <c r="C9880">
        <v>108</v>
      </c>
      <c r="D9880" s="9">
        <v>43978</v>
      </c>
      <c r="E9880" t="s">
        <v>295</v>
      </c>
      <c r="I9880" s="9"/>
    </row>
    <row r="9881" spans="1:9" x14ac:dyDescent="0.25">
      <c r="A9881">
        <v>800544</v>
      </c>
      <c r="B9881">
        <v>12.48</v>
      </c>
      <c r="C9881">
        <v>108</v>
      </c>
      <c r="D9881" s="9">
        <v>43530</v>
      </c>
      <c r="E9881" t="s">
        <v>295</v>
      </c>
      <c r="I9881" s="9"/>
    </row>
    <row r="9882" spans="1:9" x14ac:dyDescent="0.25">
      <c r="A9882">
        <v>800544</v>
      </c>
      <c r="B9882">
        <v>12.48</v>
      </c>
      <c r="C9882">
        <v>36</v>
      </c>
      <c r="D9882" s="9">
        <v>43424</v>
      </c>
      <c r="E9882" t="s">
        <v>295</v>
      </c>
      <c r="I9882" s="9"/>
    </row>
    <row r="9883" spans="1:9" x14ac:dyDescent="0.25">
      <c r="A9883">
        <v>800544</v>
      </c>
      <c r="B9883">
        <v>11.83</v>
      </c>
      <c r="C9883">
        <v>60</v>
      </c>
      <c r="D9883" s="9">
        <v>43073</v>
      </c>
      <c r="E9883" t="s">
        <v>295</v>
      </c>
      <c r="I9883" s="9"/>
    </row>
    <row r="9884" spans="1:9" x14ac:dyDescent="0.25">
      <c r="A9884">
        <v>800544</v>
      </c>
      <c r="B9884">
        <v>11.83</v>
      </c>
      <c r="C9884">
        <v>60</v>
      </c>
      <c r="D9884" s="9">
        <v>43070</v>
      </c>
      <c r="E9884" t="s">
        <v>295</v>
      </c>
      <c r="I9884" s="9"/>
    </row>
    <row r="9885" spans="1:9" x14ac:dyDescent="0.25">
      <c r="A9885">
        <v>800544</v>
      </c>
      <c r="B9885">
        <v>11.83</v>
      </c>
      <c r="C9885">
        <v>60</v>
      </c>
      <c r="D9885" s="9">
        <v>43027</v>
      </c>
      <c r="E9885" t="s">
        <v>295</v>
      </c>
      <c r="I9885" s="9"/>
    </row>
    <row r="9886" spans="1:9" x14ac:dyDescent="0.25">
      <c r="A9886">
        <v>800544</v>
      </c>
      <c r="B9886">
        <v>11.83</v>
      </c>
      <c r="C9886">
        <v>108</v>
      </c>
      <c r="D9886" s="9">
        <v>42810</v>
      </c>
      <c r="E9886" t="s">
        <v>295</v>
      </c>
      <c r="I9886" s="9"/>
    </row>
    <row r="9887" spans="1:9" x14ac:dyDescent="0.25">
      <c r="A9887">
        <v>800544</v>
      </c>
      <c r="B9887">
        <v>11.83</v>
      </c>
      <c r="C9887">
        <v>60</v>
      </c>
      <c r="D9887" s="9">
        <v>42654</v>
      </c>
      <c r="E9887" t="s">
        <v>295</v>
      </c>
      <c r="I9887" s="9"/>
    </row>
    <row r="9888" spans="1:9" x14ac:dyDescent="0.25">
      <c r="A9888">
        <v>800544</v>
      </c>
      <c r="B9888">
        <v>11.83</v>
      </c>
      <c r="C9888">
        <v>54</v>
      </c>
      <c r="D9888" s="9">
        <v>42520</v>
      </c>
      <c r="E9888" t="s">
        <v>295</v>
      </c>
      <c r="I9888" s="9"/>
    </row>
    <row r="9889" spans="1:9" x14ac:dyDescent="0.25">
      <c r="A9889">
        <v>800544</v>
      </c>
      <c r="B9889">
        <v>11.83</v>
      </c>
      <c r="C9889">
        <v>54</v>
      </c>
      <c r="D9889" s="9">
        <v>42515</v>
      </c>
      <c r="E9889" t="s">
        <v>295</v>
      </c>
      <c r="I9889" s="9"/>
    </row>
    <row r="9890" spans="1:9" x14ac:dyDescent="0.25">
      <c r="A9890">
        <v>800545</v>
      </c>
      <c r="B9890">
        <v>19.399999999999999</v>
      </c>
      <c r="C9890">
        <v>28</v>
      </c>
      <c r="D9890" s="9">
        <v>44110</v>
      </c>
      <c r="E9890" t="s">
        <v>295</v>
      </c>
      <c r="I9890" s="9"/>
    </row>
    <row r="9891" spans="1:9" x14ac:dyDescent="0.25">
      <c r="A9891">
        <v>800545</v>
      </c>
      <c r="B9891">
        <v>19.399999999999999</v>
      </c>
      <c r="C9891">
        <v>28</v>
      </c>
      <c r="D9891" s="9">
        <v>43978</v>
      </c>
      <c r="E9891" t="s">
        <v>295</v>
      </c>
      <c r="I9891" s="9"/>
    </row>
    <row r="9892" spans="1:9" x14ac:dyDescent="0.25">
      <c r="A9892">
        <v>800545</v>
      </c>
      <c r="B9892">
        <v>23.3</v>
      </c>
      <c r="C9892">
        <v>30</v>
      </c>
      <c r="D9892" s="9">
        <v>43530</v>
      </c>
      <c r="E9892" t="s">
        <v>295</v>
      </c>
      <c r="I9892" s="9"/>
    </row>
    <row r="9893" spans="1:9" x14ac:dyDescent="0.25">
      <c r="A9893">
        <v>800545</v>
      </c>
      <c r="B9893">
        <v>23.3</v>
      </c>
      <c r="C9893">
        <v>14</v>
      </c>
      <c r="D9893" s="9">
        <v>43424</v>
      </c>
      <c r="E9893" t="s">
        <v>295</v>
      </c>
      <c r="I9893" s="9"/>
    </row>
    <row r="9894" spans="1:9" x14ac:dyDescent="0.25">
      <c r="A9894">
        <v>800545</v>
      </c>
      <c r="B9894">
        <v>22.13</v>
      </c>
      <c r="C9894">
        <v>14</v>
      </c>
      <c r="D9894" s="9">
        <v>43123</v>
      </c>
      <c r="E9894" t="s">
        <v>295</v>
      </c>
      <c r="I9894" s="9"/>
    </row>
    <row r="9895" spans="1:9" x14ac:dyDescent="0.25">
      <c r="A9895">
        <v>800545</v>
      </c>
      <c r="B9895">
        <v>22.13</v>
      </c>
      <c r="C9895">
        <v>21</v>
      </c>
      <c r="D9895" s="9">
        <v>43027</v>
      </c>
      <c r="E9895" t="s">
        <v>295</v>
      </c>
      <c r="I9895" s="9"/>
    </row>
    <row r="9896" spans="1:9" x14ac:dyDescent="0.25">
      <c r="A9896">
        <v>800545</v>
      </c>
      <c r="B9896">
        <v>22.13</v>
      </c>
      <c r="C9896">
        <v>21</v>
      </c>
      <c r="D9896" s="9">
        <v>42836</v>
      </c>
      <c r="E9896" t="s">
        <v>295</v>
      </c>
      <c r="I9896" s="9"/>
    </row>
    <row r="9897" spans="1:9" x14ac:dyDescent="0.25">
      <c r="A9897">
        <v>800545</v>
      </c>
      <c r="B9897">
        <v>22.13</v>
      </c>
      <c r="C9897">
        <v>21</v>
      </c>
      <c r="D9897" s="9">
        <v>42810</v>
      </c>
      <c r="E9897" t="s">
        <v>295</v>
      </c>
      <c r="I9897" s="9"/>
    </row>
    <row r="9898" spans="1:9" x14ac:dyDescent="0.25">
      <c r="A9898">
        <v>800545</v>
      </c>
      <c r="B9898">
        <v>22.13</v>
      </c>
      <c r="C9898">
        <v>49</v>
      </c>
      <c r="D9898" s="9">
        <v>42654</v>
      </c>
      <c r="E9898" t="s">
        <v>295</v>
      </c>
      <c r="I9898" s="9"/>
    </row>
    <row r="9899" spans="1:9" x14ac:dyDescent="0.25">
      <c r="A9899">
        <v>800545</v>
      </c>
      <c r="B9899">
        <v>22.13</v>
      </c>
      <c r="C9899">
        <v>49</v>
      </c>
      <c r="D9899" s="9">
        <v>42515</v>
      </c>
      <c r="E9899" t="s">
        <v>295</v>
      </c>
      <c r="I9899" s="9"/>
    </row>
    <row r="9900" spans="1:9" x14ac:dyDescent="0.25">
      <c r="A9900">
        <v>800546</v>
      </c>
      <c r="B9900">
        <v>33.24</v>
      </c>
      <c r="C9900">
        <v>8</v>
      </c>
      <c r="D9900" s="9">
        <v>44110</v>
      </c>
      <c r="E9900" t="s">
        <v>295</v>
      </c>
      <c r="I9900" s="9"/>
    </row>
    <row r="9901" spans="1:9" x14ac:dyDescent="0.25">
      <c r="A9901">
        <v>800546</v>
      </c>
      <c r="B9901">
        <v>33.24</v>
      </c>
      <c r="C9901">
        <v>8</v>
      </c>
      <c r="D9901" s="9">
        <v>43978</v>
      </c>
      <c r="E9901" t="s">
        <v>295</v>
      </c>
      <c r="I9901" s="9"/>
    </row>
    <row r="9902" spans="1:9" x14ac:dyDescent="0.25">
      <c r="A9902">
        <v>800546</v>
      </c>
      <c r="B9902">
        <v>33.24</v>
      </c>
      <c r="C9902">
        <v>16</v>
      </c>
      <c r="D9902" s="9">
        <v>43123</v>
      </c>
      <c r="E9902" t="s">
        <v>295</v>
      </c>
      <c r="I9902" s="9"/>
    </row>
    <row r="9903" spans="1:9" x14ac:dyDescent="0.25">
      <c r="A9903">
        <v>800546</v>
      </c>
      <c r="B9903">
        <v>33.24</v>
      </c>
      <c r="C9903">
        <v>24</v>
      </c>
      <c r="D9903" s="9">
        <v>42836</v>
      </c>
      <c r="E9903" t="s">
        <v>295</v>
      </c>
      <c r="I9903" s="9"/>
    </row>
    <row r="9904" spans="1:9" x14ac:dyDescent="0.25">
      <c r="A9904">
        <v>800546</v>
      </c>
      <c r="B9904">
        <v>33.24</v>
      </c>
      <c r="C9904">
        <v>24</v>
      </c>
      <c r="D9904" s="9">
        <v>42654</v>
      </c>
      <c r="E9904" t="s">
        <v>295</v>
      </c>
      <c r="I9904" s="9"/>
    </row>
    <row r="9905" spans="1:9" x14ac:dyDescent="0.25">
      <c r="A9905">
        <v>800546</v>
      </c>
      <c r="B9905">
        <v>33.24</v>
      </c>
      <c r="C9905">
        <v>24</v>
      </c>
      <c r="D9905" s="9">
        <v>42520</v>
      </c>
      <c r="E9905" t="s">
        <v>295</v>
      </c>
      <c r="I9905" s="9"/>
    </row>
    <row r="9906" spans="1:9" x14ac:dyDescent="0.25">
      <c r="A9906">
        <v>800546</v>
      </c>
      <c r="B9906">
        <v>33.24</v>
      </c>
      <c r="C9906">
        <v>24</v>
      </c>
      <c r="D9906" s="9">
        <v>42515</v>
      </c>
      <c r="E9906" t="s">
        <v>295</v>
      </c>
      <c r="I9906" s="9"/>
    </row>
    <row r="9907" spans="1:9" x14ac:dyDescent="0.25">
      <c r="A9907">
        <v>800620</v>
      </c>
      <c r="B9907">
        <v>1.3</v>
      </c>
      <c r="C9907">
        <v>560</v>
      </c>
      <c r="D9907" s="9">
        <v>43998</v>
      </c>
      <c r="E9907" t="s">
        <v>296</v>
      </c>
      <c r="I9907" s="9"/>
    </row>
    <row r="9908" spans="1:9" x14ac:dyDescent="0.25">
      <c r="A9908">
        <v>800620</v>
      </c>
      <c r="B9908">
        <v>1.3</v>
      </c>
      <c r="C9908">
        <v>480</v>
      </c>
      <c r="D9908" s="9">
        <v>43592</v>
      </c>
      <c r="E9908" t="s">
        <v>296</v>
      </c>
      <c r="I9908" s="9"/>
    </row>
    <row r="9909" spans="1:9" x14ac:dyDescent="0.25">
      <c r="A9909">
        <v>800620</v>
      </c>
      <c r="B9909">
        <v>1.3</v>
      </c>
      <c r="C9909">
        <v>480</v>
      </c>
      <c r="D9909" s="9">
        <v>43333</v>
      </c>
      <c r="E9909" t="s">
        <v>296</v>
      </c>
      <c r="I9909" s="9"/>
    </row>
    <row r="9910" spans="1:9" x14ac:dyDescent="0.25">
      <c r="A9910">
        <v>800620</v>
      </c>
      <c r="B9910">
        <v>1.3</v>
      </c>
      <c r="C9910">
        <v>320</v>
      </c>
      <c r="D9910" s="9">
        <v>42781</v>
      </c>
      <c r="E9910" t="s">
        <v>296</v>
      </c>
      <c r="I9910" s="9"/>
    </row>
    <row r="9911" spans="1:9" x14ac:dyDescent="0.25">
      <c r="A9911">
        <v>800620</v>
      </c>
      <c r="B9911">
        <v>1.488</v>
      </c>
      <c r="C9911">
        <v>480</v>
      </c>
      <c r="D9911" s="9">
        <v>42326</v>
      </c>
      <c r="E9911" t="s">
        <v>296</v>
      </c>
      <c r="I9911" s="9"/>
    </row>
    <row r="9912" spans="1:9" x14ac:dyDescent="0.25">
      <c r="A9912">
        <v>800620</v>
      </c>
      <c r="B9912">
        <v>1.488</v>
      </c>
      <c r="C9912">
        <v>560</v>
      </c>
      <c r="D9912" s="9">
        <v>41983</v>
      </c>
      <c r="E9912" t="s">
        <v>296</v>
      </c>
      <c r="I9912" s="9"/>
    </row>
    <row r="9913" spans="1:9" x14ac:dyDescent="0.25">
      <c r="A9913">
        <v>800620</v>
      </c>
      <c r="B9913">
        <v>1.488</v>
      </c>
      <c r="C9913">
        <v>960</v>
      </c>
      <c r="D9913" s="9">
        <v>41295</v>
      </c>
      <c r="E9913" t="s">
        <v>296</v>
      </c>
      <c r="I9913" s="9"/>
    </row>
    <row r="9914" spans="1:9" x14ac:dyDescent="0.25">
      <c r="A9914">
        <v>800624</v>
      </c>
      <c r="B9914">
        <v>3.7</v>
      </c>
      <c r="C9914">
        <v>480</v>
      </c>
      <c r="D9914" s="9">
        <v>43333</v>
      </c>
      <c r="E9914" t="s">
        <v>296</v>
      </c>
      <c r="I9914" s="9"/>
    </row>
    <row r="9915" spans="1:9" x14ac:dyDescent="0.25">
      <c r="A9915">
        <v>812500</v>
      </c>
      <c r="B9915">
        <v>1.58</v>
      </c>
      <c r="C9915">
        <v>1020</v>
      </c>
      <c r="D9915" s="9">
        <v>44013</v>
      </c>
      <c r="E9915" t="s">
        <v>296</v>
      </c>
      <c r="I9915" s="9"/>
    </row>
    <row r="9916" spans="1:9" x14ac:dyDescent="0.25">
      <c r="A9916">
        <v>812500</v>
      </c>
      <c r="B9916">
        <v>1.5</v>
      </c>
      <c r="C9916">
        <v>1020</v>
      </c>
      <c r="D9916" s="9">
        <v>43438</v>
      </c>
      <c r="E9916" t="s">
        <v>296</v>
      </c>
      <c r="I9916" s="9"/>
    </row>
    <row r="9917" spans="1:9" x14ac:dyDescent="0.25">
      <c r="A9917">
        <v>812500</v>
      </c>
      <c r="B9917">
        <v>1.403</v>
      </c>
      <c r="C9917">
        <v>1800</v>
      </c>
      <c r="D9917" s="9">
        <v>43427</v>
      </c>
      <c r="E9917" t="s">
        <v>296</v>
      </c>
      <c r="I9917" s="9"/>
    </row>
    <row r="9918" spans="1:9" x14ac:dyDescent="0.25">
      <c r="A9918">
        <v>812500</v>
      </c>
      <c r="B9918">
        <v>1.403</v>
      </c>
      <c r="C9918">
        <v>900</v>
      </c>
      <c r="D9918" s="9">
        <v>43427</v>
      </c>
      <c r="E9918" t="s">
        <v>296</v>
      </c>
      <c r="I9918" s="9"/>
    </row>
    <row r="9919" spans="1:9" x14ac:dyDescent="0.25">
      <c r="A9919">
        <v>812500</v>
      </c>
      <c r="B9919">
        <v>1.22</v>
      </c>
      <c r="C9919">
        <v>480</v>
      </c>
      <c r="D9919" s="9">
        <v>43244</v>
      </c>
      <c r="E9919" t="s">
        <v>296</v>
      </c>
      <c r="I9919" s="9"/>
    </row>
    <row r="9920" spans="1:9" x14ac:dyDescent="0.25">
      <c r="A9920">
        <v>812500</v>
      </c>
      <c r="B9920">
        <v>1.22</v>
      </c>
      <c r="C9920">
        <v>2220</v>
      </c>
      <c r="D9920" s="9">
        <v>43132</v>
      </c>
      <c r="E9920" t="s">
        <v>296</v>
      </c>
      <c r="I9920" s="9"/>
    </row>
    <row r="9921" spans="1:9" x14ac:dyDescent="0.25">
      <c r="A9921">
        <v>812500</v>
      </c>
      <c r="B9921">
        <v>4.3499999999999996</v>
      </c>
      <c r="C9921">
        <v>1140</v>
      </c>
      <c r="D9921" s="9">
        <v>43132</v>
      </c>
      <c r="E9921" t="s">
        <v>295</v>
      </c>
      <c r="I9921" s="9"/>
    </row>
    <row r="9922" spans="1:9" x14ac:dyDescent="0.25">
      <c r="A9922">
        <v>812500</v>
      </c>
      <c r="B9922">
        <v>1.125</v>
      </c>
      <c r="C9922">
        <v>1980</v>
      </c>
      <c r="D9922" s="9">
        <v>42919</v>
      </c>
      <c r="E9922" t="s">
        <v>296</v>
      </c>
      <c r="I9922" s="9"/>
    </row>
    <row r="9923" spans="1:9" x14ac:dyDescent="0.25">
      <c r="A9923">
        <v>812500</v>
      </c>
      <c r="B9923">
        <v>1.4630000000000001</v>
      </c>
      <c r="C9923">
        <v>14400</v>
      </c>
      <c r="D9923" s="9">
        <v>41928</v>
      </c>
      <c r="E9923" t="s">
        <v>296</v>
      </c>
      <c r="I9923" s="9"/>
    </row>
    <row r="9924" spans="1:9" x14ac:dyDescent="0.25">
      <c r="A9924">
        <v>812500</v>
      </c>
      <c r="B9924">
        <v>1.577</v>
      </c>
      <c r="C9924">
        <v>2400</v>
      </c>
      <c r="D9924" s="9">
        <v>41617</v>
      </c>
      <c r="E9924" t="s">
        <v>296</v>
      </c>
      <c r="I9924" s="9"/>
    </row>
    <row r="9925" spans="1:9" x14ac:dyDescent="0.25">
      <c r="A9925">
        <v>812500</v>
      </c>
      <c r="B9925">
        <v>1.5609999999999999</v>
      </c>
      <c r="C9925">
        <v>3600</v>
      </c>
      <c r="D9925" s="9">
        <v>41535</v>
      </c>
      <c r="E9925" t="s">
        <v>296</v>
      </c>
      <c r="I9925" s="9"/>
    </row>
    <row r="9926" spans="1:9" x14ac:dyDescent="0.25">
      <c r="A9926">
        <v>812500</v>
      </c>
      <c r="B9926">
        <v>1.5609999999999999</v>
      </c>
      <c r="C9926">
        <v>3600</v>
      </c>
      <c r="D9926" s="9">
        <v>41418</v>
      </c>
      <c r="E9926" t="s">
        <v>296</v>
      </c>
      <c r="I9926" s="9"/>
    </row>
    <row r="9927" spans="1:9" x14ac:dyDescent="0.25">
      <c r="A9927">
        <v>812500</v>
      </c>
      <c r="B9927">
        <v>1.5609999999999999</v>
      </c>
      <c r="C9927">
        <v>3600</v>
      </c>
      <c r="D9927" s="9">
        <v>41295</v>
      </c>
      <c r="E9927" t="s">
        <v>296</v>
      </c>
      <c r="I9927" s="9"/>
    </row>
    <row r="9928" spans="1:9" x14ac:dyDescent="0.25">
      <c r="A9928">
        <v>812502</v>
      </c>
      <c r="B9928">
        <v>1.89</v>
      </c>
      <c r="C9928">
        <v>1008</v>
      </c>
      <c r="D9928" s="9">
        <v>44013</v>
      </c>
      <c r="E9928" t="s">
        <v>296</v>
      </c>
      <c r="I9928" s="9"/>
    </row>
    <row r="9929" spans="1:9" x14ac:dyDescent="0.25">
      <c r="A9929">
        <v>812502</v>
      </c>
      <c r="B9929">
        <v>1.89</v>
      </c>
      <c r="C9929">
        <v>1200</v>
      </c>
      <c r="D9929" s="9">
        <v>43839</v>
      </c>
      <c r="E9929" t="s">
        <v>296</v>
      </c>
      <c r="I9929" s="9"/>
    </row>
    <row r="9930" spans="1:9" x14ac:dyDescent="0.25">
      <c r="A9930">
        <v>812502</v>
      </c>
      <c r="B9930">
        <v>1.82</v>
      </c>
      <c r="C9930">
        <v>1008</v>
      </c>
      <c r="D9930" s="9">
        <v>43438</v>
      </c>
      <c r="E9930" t="s">
        <v>296</v>
      </c>
      <c r="I9930" s="9"/>
    </row>
    <row r="9931" spans="1:9" x14ac:dyDescent="0.25">
      <c r="A9931">
        <v>812502</v>
      </c>
      <c r="B9931">
        <v>1.57</v>
      </c>
      <c r="C9931">
        <v>1200</v>
      </c>
      <c r="D9931" s="9">
        <v>43427</v>
      </c>
      <c r="E9931" t="s">
        <v>296</v>
      </c>
      <c r="I9931" s="9"/>
    </row>
    <row r="9932" spans="1:9" x14ac:dyDescent="0.25">
      <c r="A9932">
        <v>812502</v>
      </c>
      <c r="B9932">
        <v>1.57</v>
      </c>
      <c r="C9932">
        <v>960</v>
      </c>
      <c r="D9932" s="9">
        <v>43427</v>
      </c>
      <c r="E9932" t="s">
        <v>296</v>
      </c>
      <c r="I9932" s="9"/>
    </row>
    <row r="9933" spans="1:9" x14ac:dyDescent="0.25">
      <c r="A9933">
        <v>812502</v>
      </c>
      <c r="B9933">
        <v>1.57</v>
      </c>
      <c r="C9933">
        <v>1200</v>
      </c>
      <c r="D9933" s="9">
        <v>43063</v>
      </c>
      <c r="E9933" t="s">
        <v>296</v>
      </c>
      <c r="I9933" s="9"/>
    </row>
    <row r="9934" spans="1:9" x14ac:dyDescent="0.25">
      <c r="A9934">
        <v>812502</v>
      </c>
      <c r="B9934">
        <v>1.58</v>
      </c>
      <c r="C9934">
        <v>1176</v>
      </c>
      <c r="D9934" s="9">
        <v>42753</v>
      </c>
      <c r="E9934" t="s">
        <v>297</v>
      </c>
      <c r="I9934" s="9"/>
    </row>
    <row r="9935" spans="1:9" x14ac:dyDescent="0.25">
      <c r="A9935">
        <v>812502</v>
      </c>
      <c r="B9935">
        <v>1.58</v>
      </c>
      <c r="C9935">
        <v>696</v>
      </c>
      <c r="D9935" s="9">
        <v>42676</v>
      </c>
      <c r="E9935" t="s">
        <v>297</v>
      </c>
      <c r="I9935" s="9"/>
    </row>
    <row r="9936" spans="1:9" x14ac:dyDescent="0.25">
      <c r="A9936">
        <v>812502</v>
      </c>
      <c r="B9936">
        <v>1.667</v>
      </c>
      <c r="C9936">
        <v>5520</v>
      </c>
      <c r="D9936" s="9">
        <v>41928</v>
      </c>
      <c r="E9936" t="s">
        <v>296</v>
      </c>
      <c r="I9936" s="9"/>
    </row>
    <row r="9937" spans="1:9" x14ac:dyDescent="0.25">
      <c r="A9937">
        <v>812502</v>
      </c>
      <c r="B9937">
        <v>1.909</v>
      </c>
      <c r="C9937">
        <v>960</v>
      </c>
      <c r="D9937" s="9">
        <v>41617</v>
      </c>
      <c r="E9937" t="s">
        <v>296</v>
      </c>
      <c r="I9937" s="9"/>
    </row>
    <row r="9938" spans="1:9" x14ac:dyDescent="0.25">
      <c r="A9938">
        <v>812502</v>
      </c>
      <c r="B9938">
        <v>1.89</v>
      </c>
      <c r="C9938">
        <v>1440</v>
      </c>
      <c r="D9938" s="9">
        <v>41535</v>
      </c>
      <c r="E9938" t="s">
        <v>296</v>
      </c>
      <c r="I9938" s="9"/>
    </row>
    <row r="9939" spans="1:9" x14ac:dyDescent="0.25">
      <c r="A9939">
        <v>812502</v>
      </c>
      <c r="B9939">
        <v>1.89</v>
      </c>
      <c r="C9939">
        <v>1440</v>
      </c>
      <c r="D9939" s="9">
        <v>41418</v>
      </c>
      <c r="E9939" t="s">
        <v>296</v>
      </c>
      <c r="I9939" s="9"/>
    </row>
    <row r="9940" spans="1:9" x14ac:dyDescent="0.25">
      <c r="A9940">
        <v>812502</v>
      </c>
      <c r="B9940">
        <v>1.89</v>
      </c>
      <c r="C9940">
        <v>1440</v>
      </c>
      <c r="D9940" s="9">
        <v>41295</v>
      </c>
      <c r="E9940" t="s">
        <v>296</v>
      </c>
      <c r="I9940" s="9"/>
    </row>
    <row r="9941" spans="1:9" x14ac:dyDescent="0.25">
      <c r="A9941">
        <v>812504</v>
      </c>
      <c r="B9941">
        <v>1.641</v>
      </c>
      <c r="C9941">
        <v>288</v>
      </c>
      <c r="D9941" s="9">
        <v>42753</v>
      </c>
      <c r="E9941" t="s">
        <v>297</v>
      </c>
      <c r="I9941" s="9"/>
    </row>
    <row r="9942" spans="1:9" x14ac:dyDescent="0.25">
      <c r="A9942">
        <v>812504</v>
      </c>
      <c r="B9942">
        <v>1.641</v>
      </c>
      <c r="C9942">
        <v>768</v>
      </c>
      <c r="D9942" s="9">
        <v>42753</v>
      </c>
      <c r="E9942" t="s">
        <v>297</v>
      </c>
      <c r="I9942" s="9"/>
    </row>
    <row r="9943" spans="1:9" x14ac:dyDescent="0.25">
      <c r="A9943">
        <v>812504</v>
      </c>
      <c r="B9943">
        <v>1.641</v>
      </c>
      <c r="C9943">
        <v>672</v>
      </c>
      <c r="D9943" s="9">
        <v>42676</v>
      </c>
      <c r="E9943" t="s">
        <v>297</v>
      </c>
      <c r="I9943" s="9"/>
    </row>
    <row r="9944" spans="1:9" x14ac:dyDescent="0.25">
      <c r="A9944">
        <v>812504</v>
      </c>
      <c r="B9944">
        <v>1.728</v>
      </c>
      <c r="C9944">
        <v>3480</v>
      </c>
      <c r="D9944" s="9">
        <v>41928</v>
      </c>
      <c r="E9944" t="s">
        <v>296</v>
      </c>
      <c r="I9944" s="9"/>
    </row>
    <row r="9945" spans="1:9" x14ac:dyDescent="0.25">
      <c r="A9945">
        <v>812504</v>
      </c>
      <c r="B9945">
        <v>1.9790000000000001</v>
      </c>
      <c r="C9945">
        <v>624</v>
      </c>
      <c r="D9945" s="9">
        <v>41535</v>
      </c>
      <c r="E9945" t="s">
        <v>296</v>
      </c>
      <c r="I9945" s="9"/>
    </row>
    <row r="9946" spans="1:9" x14ac:dyDescent="0.25">
      <c r="A9946">
        <v>812504</v>
      </c>
      <c r="B9946">
        <v>1.9790000000000001</v>
      </c>
      <c r="C9946">
        <v>1200</v>
      </c>
      <c r="D9946" s="9">
        <v>41418</v>
      </c>
      <c r="E9946" t="s">
        <v>296</v>
      </c>
      <c r="I9946" s="9"/>
    </row>
    <row r="9947" spans="1:9" x14ac:dyDescent="0.25">
      <c r="A9947">
        <v>812504</v>
      </c>
      <c r="B9947">
        <v>1.9790000000000001</v>
      </c>
      <c r="C9947">
        <v>1200</v>
      </c>
      <c r="D9947" s="9">
        <v>41295</v>
      </c>
      <c r="E9947" t="s">
        <v>296</v>
      </c>
      <c r="I9947" s="9"/>
    </row>
    <row r="9948" spans="1:9" x14ac:dyDescent="0.25">
      <c r="A9948">
        <v>812510</v>
      </c>
      <c r="B9948">
        <v>1E-3</v>
      </c>
      <c r="C9948">
        <v>96</v>
      </c>
      <c r="D9948" s="9">
        <v>41295</v>
      </c>
      <c r="E9948" t="s">
        <v>296</v>
      </c>
      <c r="I9948" s="9"/>
    </row>
    <row r="9949" spans="1:9" x14ac:dyDescent="0.25">
      <c r="A9949">
        <v>812512</v>
      </c>
      <c r="B9949">
        <v>1E-3</v>
      </c>
      <c r="C9949">
        <v>72</v>
      </c>
      <c r="D9949" s="9">
        <v>41295</v>
      </c>
      <c r="E9949" t="s">
        <v>296</v>
      </c>
      <c r="I9949" s="9"/>
    </row>
    <row r="9950" spans="1:9" x14ac:dyDescent="0.25">
      <c r="A9950">
        <v>812514</v>
      </c>
      <c r="B9950">
        <v>1E-3</v>
      </c>
      <c r="C9950">
        <v>72</v>
      </c>
      <c r="D9950" s="9">
        <v>41295</v>
      </c>
      <c r="E9950" t="s">
        <v>296</v>
      </c>
      <c r="I9950" s="9"/>
    </row>
    <row r="9951" spans="1:9" x14ac:dyDescent="0.25">
      <c r="A9951">
        <v>812600</v>
      </c>
      <c r="B9951">
        <v>2.6</v>
      </c>
      <c r="C9951">
        <v>1008</v>
      </c>
      <c r="D9951" s="9">
        <v>44025</v>
      </c>
      <c r="E9951" t="s">
        <v>296</v>
      </c>
      <c r="I9951" s="9"/>
    </row>
    <row r="9952" spans="1:9" x14ac:dyDescent="0.25">
      <c r="A9952">
        <v>812600</v>
      </c>
      <c r="B9952">
        <v>1.75</v>
      </c>
      <c r="C9952">
        <v>360</v>
      </c>
      <c r="D9952" s="9">
        <v>43427</v>
      </c>
      <c r="E9952" t="s">
        <v>296</v>
      </c>
      <c r="I9952" s="9"/>
    </row>
    <row r="9953" spans="1:9" x14ac:dyDescent="0.25">
      <c r="A9953">
        <v>812600</v>
      </c>
      <c r="B9953">
        <v>1.75</v>
      </c>
      <c r="C9953">
        <v>180</v>
      </c>
      <c r="D9953" s="9">
        <v>43063</v>
      </c>
      <c r="E9953" t="s">
        <v>296</v>
      </c>
      <c r="I9953" s="9"/>
    </row>
    <row r="9954" spans="1:9" x14ac:dyDescent="0.25">
      <c r="A9954">
        <v>812852</v>
      </c>
      <c r="B9954">
        <v>3.5</v>
      </c>
      <c r="C9954">
        <v>30</v>
      </c>
      <c r="D9954" s="9">
        <v>43265</v>
      </c>
      <c r="E9954" t="s">
        <v>295</v>
      </c>
      <c r="I9954" s="9"/>
    </row>
    <row r="9955" spans="1:9" x14ac:dyDescent="0.25">
      <c r="A9955">
        <v>812852</v>
      </c>
      <c r="B9955">
        <v>0.64</v>
      </c>
      <c r="C9955">
        <v>960</v>
      </c>
      <c r="D9955" s="9">
        <v>42853</v>
      </c>
      <c r="E9955" t="s">
        <v>296</v>
      </c>
      <c r="I9955" s="9"/>
    </row>
    <row r="9956" spans="1:9" x14ac:dyDescent="0.25">
      <c r="A9956">
        <v>812861</v>
      </c>
      <c r="B9956">
        <v>0.36</v>
      </c>
      <c r="C9956">
        <v>3840</v>
      </c>
      <c r="D9956" s="9">
        <v>42853</v>
      </c>
      <c r="E9956" t="s">
        <v>296</v>
      </c>
      <c r="I9956" s="9"/>
    </row>
    <row r="9957" spans="1:9" x14ac:dyDescent="0.25">
      <c r="A9957">
        <v>812861</v>
      </c>
      <c r="B9957">
        <v>0.35</v>
      </c>
      <c r="C9957">
        <v>240</v>
      </c>
      <c r="D9957" s="9">
        <v>42530</v>
      </c>
      <c r="E9957" t="s">
        <v>296</v>
      </c>
      <c r="I9957" s="9"/>
    </row>
    <row r="9958" spans="1:9" x14ac:dyDescent="0.25">
      <c r="A9958">
        <v>812862</v>
      </c>
      <c r="B9958">
        <v>0.36</v>
      </c>
      <c r="C9958">
        <v>1920</v>
      </c>
      <c r="D9958" s="9">
        <v>42853</v>
      </c>
      <c r="E9958" t="s">
        <v>296</v>
      </c>
      <c r="I9958" s="9"/>
    </row>
    <row r="9959" spans="1:9" x14ac:dyDescent="0.25">
      <c r="A9959">
        <v>812862</v>
      </c>
      <c r="B9959">
        <v>0.35</v>
      </c>
      <c r="C9959">
        <v>240</v>
      </c>
      <c r="D9959" s="9">
        <v>42530</v>
      </c>
      <c r="E9959" t="s">
        <v>296</v>
      </c>
      <c r="I9959" s="9"/>
    </row>
    <row r="9960" spans="1:9" x14ac:dyDescent="0.25">
      <c r="A9960">
        <v>812863</v>
      </c>
      <c r="B9960">
        <v>0.36</v>
      </c>
      <c r="C9960">
        <v>1920</v>
      </c>
      <c r="D9960" s="9">
        <v>42853</v>
      </c>
      <c r="E9960" t="s">
        <v>296</v>
      </c>
      <c r="I9960" s="9"/>
    </row>
    <row r="9961" spans="1:9" x14ac:dyDescent="0.25">
      <c r="A9961">
        <v>812863</v>
      </c>
      <c r="B9961">
        <v>0.35</v>
      </c>
      <c r="C9961">
        <v>240</v>
      </c>
      <c r="D9961" s="9">
        <v>42530</v>
      </c>
      <c r="E9961" t="s">
        <v>296</v>
      </c>
      <c r="I9961" s="9"/>
    </row>
    <row r="9962" spans="1:9" x14ac:dyDescent="0.25">
      <c r="A9962">
        <v>812864</v>
      </c>
      <c r="B9962">
        <v>0.36</v>
      </c>
      <c r="C9962">
        <v>1920</v>
      </c>
      <c r="D9962" s="9">
        <v>42853</v>
      </c>
      <c r="E9962" t="s">
        <v>296</v>
      </c>
      <c r="I9962" s="9"/>
    </row>
    <row r="9963" spans="1:9" x14ac:dyDescent="0.25">
      <c r="A9963">
        <v>812864</v>
      </c>
      <c r="B9963">
        <v>0.35</v>
      </c>
      <c r="C9963">
        <v>480</v>
      </c>
      <c r="D9963" s="9">
        <v>42530</v>
      </c>
      <c r="E9963" t="s">
        <v>296</v>
      </c>
      <c r="I9963" s="9"/>
    </row>
    <row r="9964" spans="1:9" x14ac:dyDescent="0.25">
      <c r="A9964">
        <v>812865</v>
      </c>
      <c r="B9964">
        <v>0.96</v>
      </c>
      <c r="C9964">
        <v>720</v>
      </c>
      <c r="D9964" s="9">
        <v>42530</v>
      </c>
      <c r="E9964" t="s">
        <v>296</v>
      </c>
      <c r="I9964" s="9"/>
    </row>
    <row r="9965" spans="1:9" x14ac:dyDescent="0.25">
      <c r="A9965">
        <v>812866</v>
      </c>
      <c r="B9965">
        <v>1.1499999999999999</v>
      </c>
      <c r="C9965">
        <v>480</v>
      </c>
      <c r="D9965" s="9">
        <v>42853</v>
      </c>
      <c r="E9965" t="s">
        <v>296</v>
      </c>
      <c r="I9965" s="9"/>
    </row>
    <row r="9966" spans="1:9" x14ac:dyDescent="0.25">
      <c r="A9966">
        <v>812866</v>
      </c>
      <c r="B9966">
        <v>1.1000000000000001</v>
      </c>
      <c r="C9966">
        <v>480</v>
      </c>
      <c r="D9966" s="9">
        <v>42530</v>
      </c>
      <c r="E9966" t="s">
        <v>296</v>
      </c>
      <c r="I9966" s="9"/>
    </row>
    <row r="9967" spans="1:9" x14ac:dyDescent="0.25">
      <c r="A9967">
        <v>812877</v>
      </c>
      <c r="B9967">
        <v>1.05</v>
      </c>
      <c r="C9967">
        <v>2016</v>
      </c>
      <c r="D9967" s="9">
        <v>44025</v>
      </c>
      <c r="E9967" t="s">
        <v>296</v>
      </c>
      <c r="I9967" s="9"/>
    </row>
    <row r="9968" spans="1:9" x14ac:dyDescent="0.25">
      <c r="A9968">
        <v>812878</v>
      </c>
      <c r="B9968">
        <v>1.03</v>
      </c>
      <c r="C9968">
        <v>1000</v>
      </c>
      <c r="D9968" s="9">
        <v>43600</v>
      </c>
      <c r="E9968" t="s">
        <v>296</v>
      </c>
      <c r="I9968" s="9"/>
    </row>
    <row r="9969" spans="1:9" x14ac:dyDescent="0.25">
      <c r="A9969">
        <v>812878</v>
      </c>
      <c r="B9969">
        <v>1.03</v>
      </c>
      <c r="C9969">
        <v>1000</v>
      </c>
      <c r="D9969" s="9">
        <v>43305</v>
      </c>
      <c r="E9969" t="s">
        <v>296</v>
      </c>
      <c r="I9969" s="9"/>
    </row>
    <row r="9970" spans="1:9" x14ac:dyDescent="0.25">
      <c r="A9970">
        <v>812878</v>
      </c>
      <c r="B9970">
        <v>0.95</v>
      </c>
      <c r="C9970">
        <v>1000</v>
      </c>
      <c r="D9970" s="9">
        <v>42853</v>
      </c>
      <c r="E9970" t="s">
        <v>296</v>
      </c>
      <c r="I9970" s="9"/>
    </row>
    <row r="9971" spans="1:9" x14ac:dyDescent="0.25">
      <c r="A9971">
        <v>812878</v>
      </c>
      <c r="B9971">
        <v>0.92</v>
      </c>
      <c r="C9971">
        <v>1000</v>
      </c>
      <c r="D9971" s="9">
        <v>42510</v>
      </c>
      <c r="E9971" t="s">
        <v>296</v>
      </c>
      <c r="I9971" s="9"/>
    </row>
    <row r="9972" spans="1:9" x14ac:dyDescent="0.25">
      <c r="A9972">
        <v>812878</v>
      </c>
      <c r="B9972">
        <v>1</v>
      </c>
      <c r="C9972">
        <v>1000</v>
      </c>
      <c r="D9972" s="9">
        <v>42270</v>
      </c>
      <c r="E9972" t="s">
        <v>296</v>
      </c>
      <c r="I9972" s="9"/>
    </row>
    <row r="9973" spans="1:9" x14ac:dyDescent="0.25">
      <c r="A9973">
        <v>812878</v>
      </c>
      <c r="B9973">
        <v>1.1100000000000001</v>
      </c>
      <c r="C9973">
        <v>500</v>
      </c>
      <c r="D9973" s="9">
        <v>41934</v>
      </c>
      <c r="E9973" t="s">
        <v>296</v>
      </c>
      <c r="I9973" s="9"/>
    </row>
    <row r="9974" spans="1:9" x14ac:dyDescent="0.25">
      <c r="A9974">
        <v>812879</v>
      </c>
      <c r="B9974">
        <v>1.42</v>
      </c>
      <c r="C9974">
        <v>1632</v>
      </c>
      <c r="D9974" s="9">
        <v>43381</v>
      </c>
      <c r="E9974" t="s">
        <v>296</v>
      </c>
      <c r="I9974" s="9"/>
    </row>
    <row r="9975" spans="1:9" x14ac:dyDescent="0.25">
      <c r="A9975">
        <v>812879</v>
      </c>
      <c r="B9975">
        <v>4.68</v>
      </c>
      <c r="C9975">
        <v>480</v>
      </c>
      <c r="D9975" s="9">
        <v>43230</v>
      </c>
      <c r="E9975" t="s">
        <v>295</v>
      </c>
      <c r="I9975" s="9"/>
    </row>
    <row r="9976" spans="1:9" x14ac:dyDescent="0.25">
      <c r="A9976">
        <v>812879</v>
      </c>
      <c r="B9976">
        <v>1.36</v>
      </c>
      <c r="C9976">
        <v>1056</v>
      </c>
      <c r="D9976" s="9">
        <v>43199</v>
      </c>
      <c r="E9976" t="s">
        <v>296</v>
      </c>
      <c r="I9976" s="9"/>
    </row>
    <row r="9977" spans="1:9" x14ac:dyDescent="0.25">
      <c r="A9977">
        <v>812879</v>
      </c>
      <c r="B9977">
        <v>1.89</v>
      </c>
      <c r="C9977">
        <v>400</v>
      </c>
      <c r="D9977" s="9">
        <v>42864</v>
      </c>
      <c r="E9977" t="s">
        <v>296</v>
      </c>
      <c r="I9977" s="9"/>
    </row>
    <row r="9978" spans="1:9" x14ac:dyDescent="0.25">
      <c r="A9978">
        <v>812879</v>
      </c>
      <c r="B9978">
        <v>1.34</v>
      </c>
      <c r="C9978">
        <v>400</v>
      </c>
      <c r="D9978" s="9">
        <v>42325</v>
      </c>
      <c r="E9978" t="s">
        <v>296</v>
      </c>
      <c r="I9978" s="9"/>
    </row>
    <row r="9979" spans="1:9" x14ac:dyDescent="0.25">
      <c r="A9979">
        <v>812881</v>
      </c>
      <c r="B9979">
        <v>1.4</v>
      </c>
      <c r="C9979">
        <v>1008</v>
      </c>
      <c r="D9979" s="9">
        <v>43305</v>
      </c>
      <c r="E9979" t="s">
        <v>296</v>
      </c>
      <c r="I9979" s="9"/>
    </row>
    <row r="9980" spans="1:9" x14ac:dyDescent="0.25">
      <c r="A9980">
        <v>812881</v>
      </c>
      <c r="B9980">
        <v>1.53</v>
      </c>
      <c r="C9980">
        <v>1000</v>
      </c>
      <c r="D9980" s="9">
        <v>42586</v>
      </c>
      <c r="E9980" t="s">
        <v>296</v>
      </c>
      <c r="I9980" s="9"/>
    </row>
    <row r="9981" spans="1:9" x14ac:dyDescent="0.25">
      <c r="A9981">
        <v>812890</v>
      </c>
      <c r="B9981">
        <v>0.51</v>
      </c>
      <c r="C9981">
        <v>3000</v>
      </c>
      <c r="D9981" s="9">
        <v>44025</v>
      </c>
      <c r="E9981" t="s">
        <v>296</v>
      </c>
      <c r="I9981" s="9"/>
    </row>
    <row r="9982" spans="1:9" x14ac:dyDescent="0.25">
      <c r="A9982">
        <v>812890</v>
      </c>
      <c r="B9982">
        <v>0.63</v>
      </c>
      <c r="C9982">
        <v>1600</v>
      </c>
      <c r="D9982" s="9">
        <v>43483</v>
      </c>
      <c r="E9982" t="s">
        <v>296</v>
      </c>
      <c r="I9982" s="9"/>
    </row>
    <row r="9983" spans="1:9" x14ac:dyDescent="0.25">
      <c r="A9983">
        <v>812890</v>
      </c>
      <c r="B9983">
        <v>0.63</v>
      </c>
      <c r="C9983">
        <v>2000</v>
      </c>
      <c r="D9983" s="9">
        <v>42853</v>
      </c>
      <c r="E9983" t="s">
        <v>296</v>
      </c>
      <c r="I9983" s="9"/>
    </row>
    <row r="9984" spans="1:9" x14ac:dyDescent="0.25">
      <c r="A9984">
        <v>812890</v>
      </c>
      <c r="B9984">
        <v>0.59</v>
      </c>
      <c r="C9984">
        <v>2000</v>
      </c>
      <c r="D9984" s="9">
        <v>42383</v>
      </c>
      <c r="E9984" t="s">
        <v>296</v>
      </c>
      <c r="I9984" s="9"/>
    </row>
    <row r="9985" spans="1:9" x14ac:dyDescent="0.25">
      <c r="A9985">
        <v>812890</v>
      </c>
      <c r="B9985">
        <v>0.75</v>
      </c>
      <c r="C9985">
        <v>2000</v>
      </c>
      <c r="D9985" s="9">
        <v>42191</v>
      </c>
      <c r="E9985" t="s">
        <v>296</v>
      </c>
      <c r="I9985" s="9"/>
    </row>
    <row r="9986" spans="1:9" x14ac:dyDescent="0.25">
      <c r="A9986">
        <v>812890</v>
      </c>
      <c r="B9986">
        <v>0.75</v>
      </c>
      <c r="C9986">
        <v>2400</v>
      </c>
      <c r="D9986" s="9">
        <v>41747</v>
      </c>
      <c r="E9986" t="s">
        <v>296</v>
      </c>
      <c r="I9986" s="9"/>
    </row>
    <row r="9987" spans="1:9" x14ac:dyDescent="0.25">
      <c r="A9987">
        <v>812890</v>
      </c>
      <c r="B9987">
        <v>0.75</v>
      </c>
      <c r="C9987">
        <v>2400</v>
      </c>
      <c r="D9987" s="9">
        <v>41682</v>
      </c>
      <c r="E9987" t="s">
        <v>296</v>
      </c>
      <c r="I9987" s="9"/>
    </row>
    <row r="9988" spans="1:9" x14ac:dyDescent="0.25">
      <c r="A9988">
        <v>812890</v>
      </c>
      <c r="B9988">
        <v>0.75</v>
      </c>
      <c r="C9988">
        <v>2800</v>
      </c>
      <c r="D9988" s="9">
        <v>41526</v>
      </c>
      <c r="E9988" t="s">
        <v>296</v>
      </c>
      <c r="I9988" s="9"/>
    </row>
    <row r="9989" spans="1:9" x14ac:dyDescent="0.25">
      <c r="A9989">
        <v>812890</v>
      </c>
      <c r="B9989">
        <v>0.745</v>
      </c>
      <c r="C9989">
        <v>2400</v>
      </c>
      <c r="D9989" s="9">
        <v>41417</v>
      </c>
      <c r="E9989" t="s">
        <v>296</v>
      </c>
      <c r="I9989" s="9"/>
    </row>
    <row r="9990" spans="1:9" x14ac:dyDescent="0.25">
      <c r="A9990">
        <v>812895</v>
      </c>
      <c r="B9990">
        <v>0.89300000000000002</v>
      </c>
      <c r="C9990">
        <v>864</v>
      </c>
      <c r="D9990" s="9">
        <v>43340</v>
      </c>
      <c r="E9990" t="s">
        <v>296</v>
      </c>
      <c r="I9990" s="9"/>
    </row>
    <row r="9991" spans="1:9" x14ac:dyDescent="0.25">
      <c r="A9991">
        <v>812895</v>
      </c>
      <c r="B9991">
        <v>0.85</v>
      </c>
      <c r="C9991">
        <v>864</v>
      </c>
      <c r="D9991" s="9">
        <v>42976</v>
      </c>
      <c r="E9991" t="s">
        <v>296</v>
      </c>
      <c r="I9991" s="9"/>
    </row>
    <row r="9992" spans="1:9" x14ac:dyDescent="0.25">
      <c r="A9992">
        <v>812895</v>
      </c>
      <c r="B9992">
        <v>0.93100000000000005</v>
      </c>
      <c r="C9992">
        <v>864</v>
      </c>
      <c r="D9992" s="9">
        <v>42676</v>
      </c>
      <c r="E9992" t="s">
        <v>297</v>
      </c>
      <c r="I9992" s="9"/>
    </row>
    <row r="9993" spans="1:9" x14ac:dyDescent="0.25">
      <c r="A9993">
        <v>812895</v>
      </c>
      <c r="B9993">
        <v>0.93100000000000005</v>
      </c>
      <c r="C9993">
        <v>960</v>
      </c>
      <c r="D9993" s="9">
        <v>42401</v>
      </c>
      <c r="E9993" t="s">
        <v>297</v>
      </c>
      <c r="I9993" s="9"/>
    </row>
    <row r="9994" spans="1:9" x14ac:dyDescent="0.25">
      <c r="A9994">
        <v>812895</v>
      </c>
      <c r="B9994">
        <v>0.98</v>
      </c>
      <c r="C9994">
        <v>1152</v>
      </c>
      <c r="D9994" s="9">
        <v>42040</v>
      </c>
      <c r="E9994" t="s">
        <v>296</v>
      </c>
      <c r="I9994" s="9"/>
    </row>
    <row r="9995" spans="1:9" x14ac:dyDescent="0.25">
      <c r="A9995">
        <v>812895</v>
      </c>
      <c r="B9995">
        <v>0.98</v>
      </c>
      <c r="C9995">
        <v>1536</v>
      </c>
      <c r="D9995" s="9">
        <v>41786</v>
      </c>
      <c r="E9995" t="s">
        <v>296</v>
      </c>
      <c r="I9995" s="9"/>
    </row>
    <row r="9996" spans="1:9" x14ac:dyDescent="0.25">
      <c r="A9996">
        <v>812895</v>
      </c>
      <c r="B9996">
        <v>1.3720000000000001</v>
      </c>
      <c r="C9996">
        <v>2304</v>
      </c>
      <c r="D9996" s="9">
        <v>41295</v>
      </c>
      <c r="E9996" t="s">
        <v>296</v>
      </c>
      <c r="I9996" s="9"/>
    </row>
    <row r="9997" spans="1:9" x14ac:dyDescent="0.25">
      <c r="A9997">
        <v>812897</v>
      </c>
      <c r="B9997">
        <v>0.88</v>
      </c>
      <c r="C9997">
        <v>2016</v>
      </c>
      <c r="D9997" s="9">
        <v>44025</v>
      </c>
      <c r="E9997" t="s">
        <v>296</v>
      </c>
      <c r="I9997" s="9"/>
    </row>
    <row r="9998" spans="1:9" x14ac:dyDescent="0.25">
      <c r="A9998">
        <v>812910</v>
      </c>
      <c r="B9998">
        <v>0.76</v>
      </c>
      <c r="C9998">
        <v>1632</v>
      </c>
      <c r="D9998" s="9">
        <v>44025</v>
      </c>
      <c r="E9998" t="s">
        <v>296</v>
      </c>
      <c r="I9998" s="9"/>
    </row>
    <row r="9999" spans="1:9" x14ac:dyDescent="0.25">
      <c r="A9999">
        <v>812912</v>
      </c>
      <c r="B9999">
        <v>1.64</v>
      </c>
      <c r="C9999">
        <v>960</v>
      </c>
      <c r="D9999" s="9">
        <v>44025</v>
      </c>
      <c r="E9999" t="s">
        <v>296</v>
      </c>
      <c r="I9999" s="9"/>
    </row>
    <row r="10000" spans="1:9" x14ac:dyDescent="0.25">
      <c r="A10000">
        <v>812930</v>
      </c>
      <c r="B10000">
        <v>1.6</v>
      </c>
      <c r="C10000">
        <v>1008</v>
      </c>
      <c r="D10000" s="9">
        <v>44025</v>
      </c>
      <c r="E10000" t="s">
        <v>296</v>
      </c>
      <c r="I10000" s="9"/>
    </row>
    <row r="10001" spans="1:9" x14ac:dyDescent="0.25">
      <c r="A10001">
        <v>812932</v>
      </c>
      <c r="B10001">
        <v>1.6</v>
      </c>
      <c r="C10001">
        <v>1008</v>
      </c>
      <c r="D10001" s="9">
        <v>44025</v>
      </c>
      <c r="E10001" t="s">
        <v>296</v>
      </c>
      <c r="I10001" s="9"/>
    </row>
    <row r="10002" spans="1:9" x14ac:dyDescent="0.25">
      <c r="A10002">
        <v>812950</v>
      </c>
      <c r="B10002">
        <v>3.8</v>
      </c>
      <c r="C10002">
        <v>480</v>
      </c>
      <c r="D10002" s="9">
        <v>44025</v>
      </c>
      <c r="E10002" t="s">
        <v>296</v>
      </c>
      <c r="I10002" s="9"/>
    </row>
    <row r="10003" spans="1:9" x14ac:dyDescent="0.25">
      <c r="A10003">
        <v>820000</v>
      </c>
      <c r="B10003">
        <v>2.75</v>
      </c>
      <c r="C10003">
        <v>360</v>
      </c>
      <c r="D10003" s="9">
        <v>44074</v>
      </c>
      <c r="E10003" t="s">
        <v>296</v>
      </c>
      <c r="I10003" s="9"/>
    </row>
    <row r="10004" spans="1:9" x14ac:dyDescent="0.25">
      <c r="A10004">
        <v>820000</v>
      </c>
      <c r="B10004">
        <v>2.65</v>
      </c>
      <c r="C10004">
        <v>360</v>
      </c>
      <c r="D10004" s="9">
        <v>43686</v>
      </c>
      <c r="E10004" t="s">
        <v>296</v>
      </c>
      <c r="I10004" s="9"/>
    </row>
    <row r="10005" spans="1:9" x14ac:dyDescent="0.25">
      <c r="A10005">
        <v>820000</v>
      </c>
      <c r="B10005">
        <v>2.65</v>
      </c>
      <c r="C10005">
        <v>360</v>
      </c>
      <c r="D10005" s="9">
        <v>43483</v>
      </c>
      <c r="E10005" t="s">
        <v>296</v>
      </c>
      <c r="I10005" s="9"/>
    </row>
    <row r="10006" spans="1:9" x14ac:dyDescent="0.25">
      <c r="A10006">
        <v>820000</v>
      </c>
      <c r="B10006">
        <v>9.18</v>
      </c>
      <c r="C10006">
        <v>380</v>
      </c>
      <c r="D10006" s="9">
        <v>43090</v>
      </c>
      <c r="E10006" t="s">
        <v>295</v>
      </c>
      <c r="I10006" s="9"/>
    </row>
    <row r="10007" spans="1:9" x14ac:dyDescent="0.25">
      <c r="A10007">
        <v>820000</v>
      </c>
      <c r="B10007">
        <v>2.37</v>
      </c>
      <c r="C10007">
        <v>780</v>
      </c>
      <c r="D10007" s="9">
        <v>43052</v>
      </c>
      <c r="E10007" t="s">
        <v>296</v>
      </c>
      <c r="I10007" s="9"/>
    </row>
    <row r="10008" spans="1:9" x14ac:dyDescent="0.25">
      <c r="A10008">
        <v>820000</v>
      </c>
      <c r="B10008">
        <v>2.37</v>
      </c>
      <c r="C10008">
        <v>780</v>
      </c>
      <c r="D10008" s="9">
        <v>42586</v>
      </c>
      <c r="E10008" t="s">
        <v>296</v>
      </c>
      <c r="I10008" s="9"/>
    </row>
    <row r="10009" spans="1:9" x14ac:dyDescent="0.25">
      <c r="A10009">
        <v>820000</v>
      </c>
      <c r="B10009">
        <v>2.69</v>
      </c>
      <c r="C10009">
        <v>768</v>
      </c>
      <c r="D10009" s="9">
        <v>41934</v>
      </c>
      <c r="E10009" t="s">
        <v>296</v>
      </c>
      <c r="I10009" s="9"/>
    </row>
    <row r="10010" spans="1:9" x14ac:dyDescent="0.25">
      <c r="A10010">
        <v>820000</v>
      </c>
      <c r="B10010">
        <v>3.75</v>
      </c>
      <c r="C10010">
        <v>432</v>
      </c>
      <c r="D10010" s="9">
        <v>41505</v>
      </c>
      <c r="E10010" t="s">
        <v>296</v>
      </c>
      <c r="I10010" s="9"/>
    </row>
    <row r="10011" spans="1:9" x14ac:dyDescent="0.25">
      <c r="A10011">
        <v>820000</v>
      </c>
      <c r="B10011">
        <v>3.75</v>
      </c>
      <c r="C10011">
        <v>288</v>
      </c>
      <c r="D10011" s="9">
        <v>41362</v>
      </c>
      <c r="E10011" t="s">
        <v>296</v>
      </c>
      <c r="I10011" s="9"/>
    </row>
    <row r="10012" spans="1:9" x14ac:dyDescent="0.25">
      <c r="A10012">
        <v>820500</v>
      </c>
      <c r="B10012">
        <v>1.88</v>
      </c>
      <c r="C10012">
        <v>160</v>
      </c>
      <c r="D10012" s="9">
        <v>44071</v>
      </c>
      <c r="E10012" t="s">
        <v>296</v>
      </c>
      <c r="I10012" s="9"/>
    </row>
    <row r="10013" spans="1:9" x14ac:dyDescent="0.25">
      <c r="A10013">
        <v>820500</v>
      </c>
      <c r="B10013">
        <v>1.88</v>
      </c>
      <c r="C10013">
        <v>160</v>
      </c>
      <c r="D10013" s="9">
        <v>44005</v>
      </c>
      <c r="E10013" t="s">
        <v>296</v>
      </c>
      <c r="I10013" s="9"/>
    </row>
    <row r="10014" spans="1:9" x14ac:dyDescent="0.25">
      <c r="A10014">
        <v>820500</v>
      </c>
      <c r="B10014">
        <v>1.81</v>
      </c>
      <c r="C10014">
        <v>240</v>
      </c>
      <c r="D10014" s="9">
        <v>43578</v>
      </c>
      <c r="E10014" t="s">
        <v>296</v>
      </c>
      <c r="I10014" s="9"/>
    </row>
    <row r="10015" spans="1:9" x14ac:dyDescent="0.25">
      <c r="A10015">
        <v>820500</v>
      </c>
      <c r="B10015">
        <v>1.81</v>
      </c>
      <c r="C10015">
        <v>180</v>
      </c>
      <c r="D10015" s="9">
        <v>43350</v>
      </c>
      <c r="E10015" t="s">
        <v>296</v>
      </c>
      <c r="I10015" s="9"/>
    </row>
    <row r="10016" spans="1:9" x14ac:dyDescent="0.25">
      <c r="A10016">
        <v>820500</v>
      </c>
      <c r="B10016">
        <v>1.81</v>
      </c>
      <c r="C10016">
        <v>180</v>
      </c>
      <c r="D10016" s="9">
        <v>43270</v>
      </c>
      <c r="E10016" t="s">
        <v>296</v>
      </c>
      <c r="I10016" s="9"/>
    </row>
    <row r="10017" spans="1:9" x14ac:dyDescent="0.25">
      <c r="A10017">
        <v>820500</v>
      </c>
      <c r="B10017">
        <v>6.37</v>
      </c>
      <c r="C10017">
        <v>180</v>
      </c>
      <c r="D10017" s="9">
        <v>43234</v>
      </c>
      <c r="E10017" t="s">
        <v>295</v>
      </c>
      <c r="I10017" s="9"/>
    </row>
    <row r="10018" spans="1:9" x14ac:dyDescent="0.25">
      <c r="A10018">
        <v>820500</v>
      </c>
      <c r="B10018">
        <v>1.7270000000000001</v>
      </c>
      <c r="C10018">
        <v>360</v>
      </c>
      <c r="D10018" s="9">
        <v>43049</v>
      </c>
      <c r="E10018" t="s">
        <v>296</v>
      </c>
      <c r="I10018" s="9"/>
    </row>
    <row r="10019" spans="1:9" x14ac:dyDescent="0.25">
      <c r="A10019">
        <v>820500</v>
      </c>
      <c r="B10019">
        <v>1.7270000000000001</v>
      </c>
      <c r="C10019">
        <v>500</v>
      </c>
      <c r="D10019" s="9">
        <v>42634</v>
      </c>
      <c r="E10019" t="s">
        <v>296</v>
      </c>
      <c r="I10019" s="9"/>
    </row>
    <row r="10020" spans="1:9" x14ac:dyDescent="0.25">
      <c r="A10020">
        <v>820500</v>
      </c>
      <c r="B10020">
        <v>1.7270000000000001</v>
      </c>
      <c r="C10020">
        <v>500</v>
      </c>
      <c r="D10020" s="9">
        <v>42472</v>
      </c>
      <c r="E10020" t="s">
        <v>296</v>
      </c>
      <c r="I10020" s="9"/>
    </row>
    <row r="10021" spans="1:9" x14ac:dyDescent="0.25">
      <c r="A10021">
        <v>820500</v>
      </c>
      <c r="B10021">
        <v>1.9</v>
      </c>
      <c r="C10021">
        <v>780</v>
      </c>
      <c r="D10021" s="9">
        <v>42136</v>
      </c>
      <c r="E10021" t="s">
        <v>296</v>
      </c>
      <c r="I10021" s="9"/>
    </row>
    <row r="10022" spans="1:9" x14ac:dyDescent="0.25">
      <c r="A10022">
        <v>820500</v>
      </c>
      <c r="B10022">
        <v>1.94</v>
      </c>
      <c r="C10022">
        <v>700</v>
      </c>
      <c r="D10022" s="9">
        <v>41943</v>
      </c>
      <c r="E10022" t="s">
        <v>296</v>
      </c>
      <c r="I10022" s="9"/>
    </row>
    <row r="10023" spans="1:9" x14ac:dyDescent="0.25">
      <c r="A10023">
        <v>820500</v>
      </c>
      <c r="B10023">
        <v>1.94</v>
      </c>
      <c r="C10023">
        <v>1000</v>
      </c>
      <c r="D10023" s="9">
        <v>41744</v>
      </c>
      <c r="E10023" t="s">
        <v>296</v>
      </c>
      <c r="I10023" s="9"/>
    </row>
    <row r="10024" spans="1:9" x14ac:dyDescent="0.25">
      <c r="A10024">
        <v>820500</v>
      </c>
      <c r="B10024">
        <v>1.94</v>
      </c>
      <c r="C10024">
        <v>920</v>
      </c>
      <c r="D10024" s="9">
        <v>41479</v>
      </c>
      <c r="E10024" t="s">
        <v>296</v>
      </c>
      <c r="I10024" s="9"/>
    </row>
    <row r="10025" spans="1:9" x14ac:dyDescent="0.25">
      <c r="A10025">
        <v>820511</v>
      </c>
      <c r="B10025">
        <v>2.62</v>
      </c>
      <c r="C10025">
        <v>160</v>
      </c>
      <c r="D10025" s="9">
        <v>44005</v>
      </c>
      <c r="E10025" t="s">
        <v>296</v>
      </c>
      <c r="I10025" s="9"/>
    </row>
    <row r="10026" spans="1:9" x14ac:dyDescent="0.25">
      <c r="A10026">
        <v>820511</v>
      </c>
      <c r="B10026">
        <v>2.62</v>
      </c>
      <c r="C10026">
        <v>180</v>
      </c>
      <c r="D10026" s="9">
        <v>43717</v>
      </c>
      <c r="E10026" t="s">
        <v>296</v>
      </c>
      <c r="I10026" s="9"/>
    </row>
    <row r="10027" spans="1:9" x14ac:dyDescent="0.25">
      <c r="A10027">
        <v>820511</v>
      </c>
      <c r="B10027">
        <v>2.62</v>
      </c>
      <c r="C10027">
        <v>160</v>
      </c>
      <c r="D10027" s="9">
        <v>43578</v>
      </c>
      <c r="E10027" t="s">
        <v>296</v>
      </c>
      <c r="I10027" s="9"/>
    </row>
    <row r="10028" spans="1:9" x14ac:dyDescent="0.25">
      <c r="A10028">
        <v>820511</v>
      </c>
      <c r="B10028">
        <v>9.56</v>
      </c>
      <c r="C10028">
        <v>120</v>
      </c>
      <c r="D10028" s="9">
        <v>43234</v>
      </c>
      <c r="E10028" t="s">
        <v>295</v>
      </c>
      <c r="I10028" s="9"/>
    </row>
    <row r="10029" spans="1:9" x14ac:dyDescent="0.25">
      <c r="A10029">
        <v>820511</v>
      </c>
      <c r="B10029">
        <v>2.62</v>
      </c>
      <c r="C10029">
        <v>220</v>
      </c>
      <c r="D10029" s="9">
        <v>43049</v>
      </c>
      <c r="E10029" t="s">
        <v>296</v>
      </c>
      <c r="I10029" s="9"/>
    </row>
    <row r="10030" spans="1:9" x14ac:dyDescent="0.25">
      <c r="A10030">
        <v>820511</v>
      </c>
      <c r="B10030">
        <v>2.62</v>
      </c>
      <c r="C10030">
        <v>180</v>
      </c>
      <c r="D10030" s="9">
        <v>42634</v>
      </c>
      <c r="E10030" t="s">
        <v>296</v>
      </c>
      <c r="I10030" s="9"/>
    </row>
    <row r="10031" spans="1:9" x14ac:dyDescent="0.25">
      <c r="A10031">
        <v>820511</v>
      </c>
      <c r="B10031">
        <v>2.62</v>
      </c>
      <c r="C10031">
        <v>180</v>
      </c>
      <c r="D10031" s="9">
        <v>42472</v>
      </c>
      <c r="E10031" t="s">
        <v>296</v>
      </c>
      <c r="I10031" s="9"/>
    </row>
    <row r="10032" spans="1:9" x14ac:dyDescent="0.25">
      <c r="A10032">
        <v>820511</v>
      </c>
      <c r="B10032">
        <v>2.88</v>
      </c>
      <c r="C10032">
        <v>180</v>
      </c>
      <c r="D10032" s="9">
        <v>42136</v>
      </c>
      <c r="E10032" t="s">
        <v>296</v>
      </c>
      <c r="I10032" s="9"/>
    </row>
    <row r="10033" spans="1:9" x14ac:dyDescent="0.25">
      <c r="A10033">
        <v>820511</v>
      </c>
      <c r="B10033">
        <v>2.88</v>
      </c>
      <c r="C10033">
        <v>160</v>
      </c>
      <c r="D10033" s="9">
        <v>41943</v>
      </c>
      <c r="E10033" t="s">
        <v>296</v>
      </c>
      <c r="I10033" s="9"/>
    </row>
    <row r="10034" spans="1:9" x14ac:dyDescent="0.25">
      <c r="A10034">
        <v>820511</v>
      </c>
      <c r="B10034">
        <v>2.88</v>
      </c>
      <c r="C10034">
        <v>160</v>
      </c>
      <c r="D10034" s="9">
        <v>41744</v>
      </c>
      <c r="E10034" t="s">
        <v>296</v>
      </c>
      <c r="I10034" s="9"/>
    </row>
    <row r="10035" spans="1:9" x14ac:dyDescent="0.25">
      <c r="A10035">
        <v>820511</v>
      </c>
      <c r="B10035">
        <v>2.88</v>
      </c>
      <c r="C10035">
        <v>100</v>
      </c>
      <c r="D10035" s="9">
        <v>41479</v>
      </c>
      <c r="E10035" t="s">
        <v>296</v>
      </c>
      <c r="I10035" s="9"/>
    </row>
    <row r="10036" spans="1:9" x14ac:dyDescent="0.25">
      <c r="A10036">
        <v>820612</v>
      </c>
      <c r="B10036">
        <v>9.84</v>
      </c>
      <c r="C10036">
        <v>100</v>
      </c>
      <c r="D10036" s="9">
        <v>44102</v>
      </c>
      <c r="E10036" t="s">
        <v>296</v>
      </c>
      <c r="I10036" s="9"/>
    </row>
    <row r="10037" spans="1:9" x14ac:dyDescent="0.25">
      <c r="A10037">
        <v>820612</v>
      </c>
      <c r="B10037">
        <v>52.5</v>
      </c>
      <c r="C10037">
        <v>36</v>
      </c>
      <c r="D10037" s="9">
        <v>43979</v>
      </c>
      <c r="E10037" t="s">
        <v>295</v>
      </c>
      <c r="I10037" s="9"/>
    </row>
    <row r="10038" spans="1:9" x14ac:dyDescent="0.25">
      <c r="A10038">
        <v>820612</v>
      </c>
      <c r="B10038">
        <v>11.8</v>
      </c>
      <c r="C10038">
        <v>150</v>
      </c>
      <c r="D10038" s="9">
        <v>43972</v>
      </c>
      <c r="E10038" t="s">
        <v>296</v>
      </c>
      <c r="I10038" s="9"/>
    </row>
    <row r="10039" spans="1:9" x14ac:dyDescent="0.25">
      <c r="A10039">
        <v>820612</v>
      </c>
      <c r="B10039">
        <v>49</v>
      </c>
      <c r="C10039">
        <v>40</v>
      </c>
      <c r="D10039" s="9">
        <v>43865</v>
      </c>
      <c r="E10039" t="s">
        <v>295</v>
      </c>
      <c r="I10039" s="9"/>
    </row>
    <row r="10040" spans="1:9" x14ac:dyDescent="0.25">
      <c r="A10040">
        <v>820612</v>
      </c>
      <c r="B10040">
        <v>49</v>
      </c>
      <c r="C10040">
        <v>40</v>
      </c>
      <c r="D10040" s="9">
        <v>43818</v>
      </c>
      <c r="E10040" t="s">
        <v>295</v>
      </c>
      <c r="I10040" s="9"/>
    </row>
    <row r="10041" spans="1:9" x14ac:dyDescent="0.25">
      <c r="A10041">
        <v>820612</v>
      </c>
      <c r="B10041">
        <v>11.8</v>
      </c>
      <c r="C10041">
        <v>100</v>
      </c>
      <c r="D10041" s="9">
        <v>43686</v>
      </c>
      <c r="E10041" t="s">
        <v>296</v>
      </c>
      <c r="I10041" s="9"/>
    </row>
    <row r="10042" spans="1:9" x14ac:dyDescent="0.25">
      <c r="A10042">
        <v>820612</v>
      </c>
      <c r="B10042">
        <v>37.36</v>
      </c>
      <c r="C10042">
        <v>180</v>
      </c>
      <c r="D10042" s="9">
        <v>43090</v>
      </c>
      <c r="E10042" t="s">
        <v>295</v>
      </c>
      <c r="I10042" s="9"/>
    </row>
    <row r="10043" spans="1:9" x14ac:dyDescent="0.25">
      <c r="A10043">
        <v>820612</v>
      </c>
      <c r="B10043">
        <v>10.08</v>
      </c>
      <c r="C10043">
        <v>360</v>
      </c>
      <c r="D10043" s="9">
        <v>43052</v>
      </c>
      <c r="E10043" t="s">
        <v>296</v>
      </c>
      <c r="I10043" s="9"/>
    </row>
    <row r="10044" spans="1:9" x14ac:dyDescent="0.25">
      <c r="A10044">
        <v>820612</v>
      </c>
      <c r="B10044">
        <v>9.6300000000000008</v>
      </c>
      <c r="C10044">
        <v>192</v>
      </c>
      <c r="D10044" s="9">
        <v>42864</v>
      </c>
      <c r="E10044" t="s">
        <v>296</v>
      </c>
      <c r="I10044" s="9"/>
    </row>
    <row r="10045" spans="1:9" x14ac:dyDescent="0.25">
      <c r="A10045">
        <v>820612</v>
      </c>
      <c r="B10045">
        <v>9.6300000000000008</v>
      </c>
      <c r="C10045">
        <v>192</v>
      </c>
      <c r="D10045" s="9">
        <v>42655</v>
      </c>
      <c r="E10045" t="s">
        <v>296</v>
      </c>
      <c r="I10045" s="9"/>
    </row>
    <row r="10046" spans="1:9" x14ac:dyDescent="0.25">
      <c r="A10046">
        <v>820612</v>
      </c>
      <c r="B10046">
        <v>9.6300000000000008</v>
      </c>
      <c r="C10046">
        <v>192</v>
      </c>
      <c r="D10046" s="9">
        <v>42655</v>
      </c>
      <c r="E10046" t="s">
        <v>296</v>
      </c>
      <c r="I10046" s="9"/>
    </row>
    <row r="10047" spans="1:9" x14ac:dyDescent="0.25">
      <c r="A10047">
        <v>820613</v>
      </c>
      <c r="B10047">
        <v>7.91</v>
      </c>
      <c r="C10047">
        <v>100</v>
      </c>
      <c r="D10047" s="9">
        <v>44102</v>
      </c>
      <c r="E10047" t="s">
        <v>296</v>
      </c>
      <c r="I10047" s="9"/>
    </row>
    <row r="10048" spans="1:9" x14ac:dyDescent="0.25">
      <c r="A10048">
        <v>820614</v>
      </c>
      <c r="B10048">
        <v>6.86</v>
      </c>
      <c r="C10048">
        <v>100</v>
      </c>
      <c r="D10048" s="9">
        <v>44102</v>
      </c>
      <c r="E10048" t="s">
        <v>296</v>
      </c>
      <c r="I10048" s="9"/>
    </row>
    <row r="10049" spans="1:9" x14ac:dyDescent="0.25">
      <c r="A10049">
        <v>820614</v>
      </c>
      <c r="B10049">
        <v>8.9</v>
      </c>
      <c r="C10049">
        <v>300</v>
      </c>
      <c r="D10049" s="9">
        <v>43964</v>
      </c>
      <c r="E10049" t="s">
        <v>296</v>
      </c>
      <c r="I10049" s="9"/>
    </row>
    <row r="10050" spans="1:9" x14ac:dyDescent="0.25">
      <c r="A10050">
        <v>820705</v>
      </c>
      <c r="B10050">
        <v>1.1299999999999999</v>
      </c>
      <c r="C10050">
        <v>300</v>
      </c>
      <c r="D10050" s="9">
        <v>44005</v>
      </c>
      <c r="E10050" t="s">
        <v>296</v>
      </c>
      <c r="I10050" s="9"/>
    </row>
    <row r="10051" spans="1:9" x14ac:dyDescent="0.25">
      <c r="A10051">
        <v>830250</v>
      </c>
      <c r="B10051">
        <v>5.0199999999999996</v>
      </c>
      <c r="C10051">
        <v>400</v>
      </c>
      <c r="D10051" s="9">
        <v>44071</v>
      </c>
      <c r="E10051" t="s">
        <v>296</v>
      </c>
      <c r="I10051" s="9"/>
    </row>
    <row r="10052" spans="1:9" x14ac:dyDescent="0.25">
      <c r="A10052">
        <v>830250</v>
      </c>
      <c r="B10052">
        <v>5.0199999999999996</v>
      </c>
      <c r="C10052">
        <v>410</v>
      </c>
      <c r="D10052" s="9">
        <v>44005</v>
      </c>
      <c r="E10052" t="s">
        <v>296</v>
      </c>
      <c r="I10052" s="9"/>
    </row>
    <row r="10053" spans="1:9" x14ac:dyDescent="0.25">
      <c r="A10053">
        <v>830250</v>
      </c>
      <c r="B10053">
        <v>5.0199999999999996</v>
      </c>
      <c r="C10053">
        <v>540</v>
      </c>
      <c r="D10053" s="9">
        <v>43717</v>
      </c>
      <c r="E10053" t="s">
        <v>296</v>
      </c>
      <c r="I10053" s="9"/>
    </row>
    <row r="10054" spans="1:9" x14ac:dyDescent="0.25">
      <c r="A10054">
        <v>830250</v>
      </c>
      <c r="B10054">
        <v>5.0199999999999996</v>
      </c>
      <c r="C10054">
        <v>500</v>
      </c>
      <c r="D10054" s="9">
        <v>43578</v>
      </c>
      <c r="E10054" t="s">
        <v>296</v>
      </c>
      <c r="I10054" s="9"/>
    </row>
    <row r="10055" spans="1:9" x14ac:dyDescent="0.25">
      <c r="A10055">
        <v>830250</v>
      </c>
      <c r="B10055">
        <v>5.0199999999999996</v>
      </c>
      <c r="C10055">
        <v>650</v>
      </c>
      <c r="D10055" s="9">
        <v>43350</v>
      </c>
      <c r="E10055" t="s">
        <v>296</v>
      </c>
      <c r="I10055" s="9"/>
    </row>
    <row r="10056" spans="1:9" x14ac:dyDescent="0.25">
      <c r="A10056">
        <v>830250</v>
      </c>
      <c r="B10056">
        <v>5.0199999999999996</v>
      </c>
      <c r="C10056">
        <v>650</v>
      </c>
      <c r="D10056" s="9">
        <v>43270</v>
      </c>
      <c r="E10056" t="s">
        <v>296</v>
      </c>
      <c r="I10056" s="9"/>
    </row>
    <row r="10057" spans="1:9" x14ac:dyDescent="0.25">
      <c r="A10057">
        <v>830250</v>
      </c>
      <c r="B10057">
        <v>17.8</v>
      </c>
      <c r="C10057">
        <v>480</v>
      </c>
      <c r="D10057" s="9">
        <v>43234</v>
      </c>
      <c r="E10057" t="s">
        <v>295</v>
      </c>
      <c r="I10057" s="9"/>
    </row>
    <row r="10058" spans="1:9" x14ac:dyDescent="0.25">
      <c r="A10058">
        <v>830250</v>
      </c>
      <c r="B10058">
        <v>4.88</v>
      </c>
      <c r="C10058">
        <v>480</v>
      </c>
      <c r="D10058" s="9">
        <v>43049</v>
      </c>
      <c r="E10058" t="s">
        <v>296</v>
      </c>
      <c r="I10058" s="9"/>
    </row>
    <row r="10059" spans="1:9" x14ac:dyDescent="0.25">
      <c r="A10059">
        <v>830250</v>
      </c>
      <c r="B10059">
        <v>4.88</v>
      </c>
      <c r="C10059">
        <v>540</v>
      </c>
      <c r="D10059" s="9">
        <v>42892</v>
      </c>
      <c r="E10059" t="s">
        <v>296</v>
      </c>
      <c r="I10059" s="9"/>
    </row>
    <row r="10060" spans="1:9" x14ac:dyDescent="0.25">
      <c r="A10060">
        <v>830250</v>
      </c>
      <c r="B10060">
        <v>4.88</v>
      </c>
      <c r="C10060">
        <v>440</v>
      </c>
      <c r="D10060" s="9">
        <v>42844</v>
      </c>
      <c r="E10060" t="s">
        <v>296</v>
      </c>
      <c r="I10060" s="9"/>
    </row>
    <row r="10061" spans="1:9" x14ac:dyDescent="0.25">
      <c r="A10061">
        <v>830250</v>
      </c>
      <c r="B10061">
        <v>4.88</v>
      </c>
      <c r="C10061">
        <v>300</v>
      </c>
      <c r="D10061" s="9">
        <v>42634</v>
      </c>
      <c r="E10061" t="s">
        <v>296</v>
      </c>
      <c r="I10061" s="9"/>
    </row>
    <row r="10062" spans="1:9" x14ac:dyDescent="0.25">
      <c r="A10062">
        <v>830250</v>
      </c>
      <c r="B10062">
        <v>4.88</v>
      </c>
      <c r="C10062">
        <v>300</v>
      </c>
      <c r="D10062" s="9">
        <v>42367</v>
      </c>
      <c r="E10062" t="s">
        <v>296</v>
      </c>
      <c r="I10062" s="9"/>
    </row>
    <row r="10063" spans="1:9" x14ac:dyDescent="0.25">
      <c r="A10063">
        <v>830250</v>
      </c>
      <c r="B10063">
        <v>4.88</v>
      </c>
      <c r="C10063">
        <v>780</v>
      </c>
      <c r="D10063" s="9">
        <v>42136</v>
      </c>
      <c r="E10063" t="s">
        <v>296</v>
      </c>
      <c r="I10063" s="9"/>
    </row>
    <row r="10064" spans="1:9" x14ac:dyDescent="0.25">
      <c r="A10064">
        <v>830250</v>
      </c>
      <c r="B10064">
        <v>4.88</v>
      </c>
      <c r="C10064">
        <v>700</v>
      </c>
      <c r="D10064" s="9">
        <v>41943</v>
      </c>
      <c r="E10064" t="s">
        <v>296</v>
      </c>
      <c r="I10064" s="9"/>
    </row>
    <row r="10065" spans="1:9" x14ac:dyDescent="0.25">
      <c r="A10065">
        <v>830250</v>
      </c>
      <c r="B10065">
        <v>5.09</v>
      </c>
      <c r="C10065">
        <v>350</v>
      </c>
      <c r="D10065" s="9">
        <v>41744</v>
      </c>
      <c r="E10065" t="s">
        <v>296</v>
      </c>
      <c r="I10065" s="9"/>
    </row>
    <row r="10066" spans="1:9" x14ac:dyDescent="0.25">
      <c r="A10066">
        <v>830250</v>
      </c>
      <c r="B10066">
        <v>5.09</v>
      </c>
      <c r="C10066">
        <v>400</v>
      </c>
      <c r="D10066" s="9">
        <v>41479</v>
      </c>
      <c r="E10066" t="s">
        <v>296</v>
      </c>
      <c r="I10066" s="9"/>
    </row>
    <row r="10067" spans="1:9" x14ac:dyDescent="0.25">
      <c r="A10067">
        <v>831030</v>
      </c>
      <c r="B10067">
        <v>4.3</v>
      </c>
      <c r="C10067">
        <v>2600</v>
      </c>
      <c r="D10067" s="9">
        <v>44071</v>
      </c>
      <c r="E10067" t="s">
        <v>296</v>
      </c>
      <c r="I10067" s="9"/>
    </row>
    <row r="10068" spans="1:9" x14ac:dyDescent="0.25">
      <c r="A10068">
        <v>831030</v>
      </c>
      <c r="B10068">
        <v>4.3</v>
      </c>
      <c r="C10068">
        <v>1440</v>
      </c>
      <c r="D10068" s="9">
        <v>44005</v>
      </c>
      <c r="E10068" t="s">
        <v>296</v>
      </c>
      <c r="I10068" s="9"/>
    </row>
    <row r="10069" spans="1:9" x14ac:dyDescent="0.25">
      <c r="A10069">
        <v>831030</v>
      </c>
      <c r="B10069">
        <v>4.3</v>
      </c>
      <c r="C10069">
        <v>1200</v>
      </c>
      <c r="D10069" s="9">
        <v>43717</v>
      </c>
      <c r="E10069" t="s">
        <v>296</v>
      </c>
      <c r="I10069" s="9"/>
    </row>
    <row r="10070" spans="1:9" x14ac:dyDescent="0.25">
      <c r="A10070">
        <v>831030</v>
      </c>
      <c r="B10070">
        <v>4.3</v>
      </c>
      <c r="C10070">
        <v>800</v>
      </c>
      <c r="D10070" s="9">
        <v>43578</v>
      </c>
      <c r="E10070" t="s">
        <v>296</v>
      </c>
      <c r="I10070" s="9"/>
    </row>
    <row r="10071" spans="1:9" x14ac:dyDescent="0.25">
      <c r="A10071">
        <v>831030</v>
      </c>
      <c r="B10071">
        <v>4.3</v>
      </c>
      <c r="C10071">
        <v>2400</v>
      </c>
      <c r="D10071" s="9">
        <v>43486</v>
      </c>
      <c r="E10071" t="s">
        <v>296</v>
      </c>
      <c r="I10071" s="9"/>
    </row>
    <row r="10072" spans="1:9" x14ac:dyDescent="0.25">
      <c r="A10072">
        <v>831030</v>
      </c>
      <c r="B10072">
        <v>4.3</v>
      </c>
      <c r="C10072">
        <v>2000</v>
      </c>
      <c r="D10072" s="9">
        <v>43350</v>
      </c>
      <c r="E10072" t="s">
        <v>296</v>
      </c>
      <c r="I10072" s="9"/>
    </row>
    <row r="10073" spans="1:9" x14ac:dyDescent="0.25">
      <c r="A10073">
        <v>831030</v>
      </c>
      <c r="B10073">
        <v>4.3</v>
      </c>
      <c r="C10073">
        <v>2000</v>
      </c>
      <c r="D10073" s="9">
        <v>43270</v>
      </c>
      <c r="E10073" t="s">
        <v>296</v>
      </c>
      <c r="I10073" s="9"/>
    </row>
    <row r="10074" spans="1:9" x14ac:dyDescent="0.25">
      <c r="A10074">
        <v>831030</v>
      </c>
      <c r="B10074">
        <v>15.18</v>
      </c>
      <c r="C10074">
        <v>1808</v>
      </c>
      <c r="D10074" s="9">
        <v>43234</v>
      </c>
      <c r="E10074" t="s">
        <v>295</v>
      </c>
      <c r="I10074" s="9"/>
    </row>
    <row r="10075" spans="1:9" x14ac:dyDescent="0.25">
      <c r="A10075">
        <v>831030</v>
      </c>
      <c r="B10075">
        <v>4.18</v>
      </c>
      <c r="C10075">
        <v>1808</v>
      </c>
      <c r="D10075" s="9">
        <v>43049</v>
      </c>
      <c r="E10075" t="s">
        <v>296</v>
      </c>
      <c r="I10075" s="9"/>
    </row>
    <row r="10076" spans="1:9" x14ac:dyDescent="0.25">
      <c r="A10076">
        <v>831030</v>
      </c>
      <c r="B10076">
        <v>4.18</v>
      </c>
      <c r="C10076">
        <v>2200</v>
      </c>
      <c r="D10076" s="9">
        <v>42892</v>
      </c>
      <c r="E10076" t="s">
        <v>296</v>
      </c>
      <c r="I10076" s="9"/>
    </row>
    <row r="10077" spans="1:9" x14ac:dyDescent="0.25">
      <c r="A10077">
        <v>831030</v>
      </c>
      <c r="B10077">
        <v>4.18</v>
      </c>
      <c r="C10077">
        <v>1680</v>
      </c>
      <c r="D10077" s="9">
        <v>42844</v>
      </c>
      <c r="E10077" t="s">
        <v>296</v>
      </c>
      <c r="I10077" s="9"/>
    </row>
    <row r="10078" spans="1:9" x14ac:dyDescent="0.25">
      <c r="A10078">
        <v>831030</v>
      </c>
      <c r="B10078">
        <v>4.18</v>
      </c>
      <c r="C10078">
        <v>2600</v>
      </c>
      <c r="D10078" s="9">
        <v>42472</v>
      </c>
      <c r="E10078" t="s">
        <v>296</v>
      </c>
      <c r="I10078" s="9"/>
    </row>
    <row r="10079" spans="1:9" x14ac:dyDescent="0.25">
      <c r="A10079">
        <v>831030</v>
      </c>
      <c r="B10079">
        <v>4.5999999999999996</v>
      </c>
      <c r="C10079">
        <v>480</v>
      </c>
      <c r="D10079" s="9">
        <v>42367</v>
      </c>
      <c r="E10079" t="s">
        <v>296</v>
      </c>
      <c r="I10079" s="9"/>
    </row>
    <row r="10080" spans="1:9" x14ac:dyDescent="0.25">
      <c r="A10080">
        <v>831030</v>
      </c>
      <c r="B10080">
        <v>4.5999999999999996</v>
      </c>
      <c r="C10080">
        <v>2200</v>
      </c>
      <c r="D10080" s="9">
        <v>42136</v>
      </c>
      <c r="E10080" t="s">
        <v>296</v>
      </c>
      <c r="I10080" s="9"/>
    </row>
    <row r="10081" spans="1:9" x14ac:dyDescent="0.25">
      <c r="A10081">
        <v>831030</v>
      </c>
      <c r="B10081">
        <v>4.5999999999999996</v>
      </c>
      <c r="C10081">
        <v>2000</v>
      </c>
      <c r="D10081" s="9">
        <v>41943</v>
      </c>
      <c r="E10081" t="s">
        <v>296</v>
      </c>
      <c r="I10081" s="9"/>
    </row>
    <row r="10082" spans="1:9" x14ac:dyDescent="0.25">
      <c r="A10082">
        <v>831030</v>
      </c>
      <c r="B10082">
        <v>4.7</v>
      </c>
      <c r="C10082">
        <v>1400</v>
      </c>
      <c r="D10082" s="9">
        <v>41744</v>
      </c>
      <c r="E10082" t="s">
        <v>296</v>
      </c>
      <c r="I10082" s="9"/>
    </row>
    <row r="10083" spans="1:9" x14ac:dyDescent="0.25">
      <c r="A10083">
        <v>831030</v>
      </c>
      <c r="B10083">
        <v>5.0999999999999996</v>
      </c>
      <c r="C10083">
        <v>1200</v>
      </c>
      <c r="D10083" s="9">
        <v>41479</v>
      </c>
      <c r="E10083" t="s">
        <v>296</v>
      </c>
      <c r="I10083" s="9"/>
    </row>
    <row r="10084" spans="1:9" x14ac:dyDescent="0.25">
      <c r="A10084">
        <v>831033</v>
      </c>
      <c r="B10084">
        <v>4.3600000000000003</v>
      </c>
      <c r="C10084">
        <v>1280</v>
      </c>
      <c r="D10084" s="9">
        <v>44071</v>
      </c>
      <c r="E10084" t="s">
        <v>296</v>
      </c>
      <c r="I10084" s="9"/>
    </row>
    <row r="10085" spans="1:9" x14ac:dyDescent="0.25">
      <c r="A10085">
        <v>831033</v>
      </c>
      <c r="B10085">
        <v>4.3600000000000003</v>
      </c>
      <c r="C10085">
        <v>1120</v>
      </c>
      <c r="D10085" s="9">
        <v>44005</v>
      </c>
      <c r="E10085" t="s">
        <v>296</v>
      </c>
      <c r="I10085" s="9"/>
    </row>
    <row r="10086" spans="1:9" x14ac:dyDescent="0.25">
      <c r="A10086">
        <v>831033</v>
      </c>
      <c r="B10086">
        <v>4.3600000000000003</v>
      </c>
      <c r="C10086">
        <v>1280</v>
      </c>
      <c r="D10086" s="9">
        <v>43717</v>
      </c>
      <c r="E10086" t="s">
        <v>296</v>
      </c>
      <c r="I10086" s="9"/>
    </row>
    <row r="10087" spans="1:9" x14ac:dyDescent="0.25">
      <c r="A10087">
        <v>831033</v>
      </c>
      <c r="B10087">
        <v>4.3600000000000003</v>
      </c>
      <c r="C10087">
        <v>864</v>
      </c>
      <c r="D10087" s="9">
        <v>43578</v>
      </c>
      <c r="E10087" t="s">
        <v>296</v>
      </c>
      <c r="I10087" s="9"/>
    </row>
    <row r="10088" spans="1:9" x14ac:dyDescent="0.25">
      <c r="A10088">
        <v>831033</v>
      </c>
      <c r="B10088">
        <v>4.3600000000000003</v>
      </c>
      <c r="C10088">
        <v>872</v>
      </c>
      <c r="D10088" s="9">
        <v>43350</v>
      </c>
      <c r="E10088" t="s">
        <v>296</v>
      </c>
      <c r="I10088" s="9"/>
    </row>
    <row r="10089" spans="1:9" x14ac:dyDescent="0.25">
      <c r="A10089">
        <v>831033</v>
      </c>
      <c r="B10089">
        <v>4.3600000000000003</v>
      </c>
      <c r="C10089">
        <v>880</v>
      </c>
      <c r="D10089" s="9">
        <v>43270</v>
      </c>
      <c r="E10089" t="s">
        <v>296</v>
      </c>
      <c r="I10089" s="9"/>
    </row>
    <row r="10090" spans="1:9" x14ac:dyDescent="0.25">
      <c r="A10090">
        <v>831033</v>
      </c>
      <c r="B10090">
        <v>15.42</v>
      </c>
      <c r="C10090">
        <v>864</v>
      </c>
      <c r="D10090" s="9">
        <v>43234</v>
      </c>
      <c r="E10090" t="s">
        <v>295</v>
      </c>
      <c r="I10090" s="9"/>
    </row>
    <row r="10091" spans="1:9" x14ac:dyDescent="0.25">
      <c r="A10091">
        <v>831033</v>
      </c>
      <c r="B10091">
        <v>53.87</v>
      </c>
      <c r="C10091">
        <v>1</v>
      </c>
      <c r="D10091" s="9">
        <v>43151</v>
      </c>
      <c r="E10091" t="s">
        <v>295</v>
      </c>
      <c r="I10091" s="9"/>
    </row>
    <row r="10092" spans="1:9" x14ac:dyDescent="0.25">
      <c r="A10092">
        <v>831033</v>
      </c>
      <c r="B10092">
        <v>23.666</v>
      </c>
      <c r="C10092">
        <v>299</v>
      </c>
      <c r="D10092" s="9">
        <v>43151</v>
      </c>
      <c r="E10092" t="s">
        <v>295</v>
      </c>
      <c r="I10092" s="9"/>
    </row>
    <row r="10093" spans="1:9" x14ac:dyDescent="0.25">
      <c r="A10093">
        <v>831033</v>
      </c>
      <c r="B10093">
        <v>4.24</v>
      </c>
      <c r="C10093">
        <v>864</v>
      </c>
      <c r="D10093" s="9">
        <v>43049</v>
      </c>
      <c r="E10093" t="s">
        <v>296</v>
      </c>
      <c r="I10093" s="9"/>
    </row>
    <row r="10094" spans="1:9" x14ac:dyDescent="0.25">
      <c r="A10094">
        <v>831033</v>
      </c>
      <c r="B10094">
        <v>4.24</v>
      </c>
      <c r="C10094">
        <v>720</v>
      </c>
      <c r="D10094" s="9">
        <v>42892</v>
      </c>
      <c r="E10094" t="s">
        <v>296</v>
      </c>
      <c r="I10094" s="9"/>
    </row>
    <row r="10095" spans="1:9" x14ac:dyDescent="0.25">
      <c r="A10095">
        <v>831033</v>
      </c>
      <c r="B10095">
        <v>4.24</v>
      </c>
      <c r="C10095">
        <v>640</v>
      </c>
      <c r="D10095" s="9">
        <v>42844</v>
      </c>
      <c r="E10095" t="s">
        <v>296</v>
      </c>
      <c r="I10095" s="9"/>
    </row>
    <row r="10096" spans="1:9" x14ac:dyDescent="0.25">
      <c r="A10096">
        <v>832000</v>
      </c>
      <c r="B10096">
        <v>0.59</v>
      </c>
      <c r="C10096">
        <v>400</v>
      </c>
      <c r="D10096" s="9">
        <v>44071</v>
      </c>
      <c r="E10096" t="s">
        <v>296</v>
      </c>
      <c r="I10096" s="9"/>
    </row>
    <row r="10097" spans="1:9" x14ac:dyDescent="0.25">
      <c r="A10097">
        <v>832000</v>
      </c>
      <c r="B10097">
        <v>0.59</v>
      </c>
      <c r="C10097">
        <v>600</v>
      </c>
      <c r="D10097" s="9">
        <v>44005</v>
      </c>
      <c r="E10097" t="s">
        <v>296</v>
      </c>
      <c r="I10097" s="9"/>
    </row>
    <row r="10098" spans="1:9" x14ac:dyDescent="0.25">
      <c r="A10098">
        <v>832000</v>
      </c>
      <c r="B10098">
        <v>0.59</v>
      </c>
      <c r="C10098">
        <v>480</v>
      </c>
      <c r="D10098" s="9">
        <v>43717</v>
      </c>
      <c r="E10098" t="s">
        <v>296</v>
      </c>
      <c r="I10098" s="9"/>
    </row>
    <row r="10099" spans="1:9" x14ac:dyDescent="0.25">
      <c r="A10099">
        <v>832000</v>
      </c>
      <c r="B10099">
        <v>0.59</v>
      </c>
      <c r="C10099">
        <v>400</v>
      </c>
      <c r="D10099" s="9">
        <v>43578</v>
      </c>
      <c r="E10099" t="s">
        <v>296</v>
      </c>
      <c r="I10099" s="9"/>
    </row>
    <row r="10100" spans="1:9" x14ac:dyDescent="0.25">
      <c r="A10100">
        <v>832000</v>
      </c>
      <c r="B10100">
        <v>0.59</v>
      </c>
      <c r="C10100">
        <v>600</v>
      </c>
      <c r="D10100" s="9">
        <v>43486</v>
      </c>
      <c r="E10100" t="s">
        <v>296</v>
      </c>
      <c r="I10100" s="9"/>
    </row>
    <row r="10101" spans="1:9" x14ac:dyDescent="0.25">
      <c r="A10101">
        <v>832000</v>
      </c>
      <c r="B10101">
        <v>0.59</v>
      </c>
      <c r="C10101">
        <v>1320</v>
      </c>
      <c r="D10101" s="9">
        <v>42844</v>
      </c>
      <c r="E10101" t="s">
        <v>296</v>
      </c>
      <c r="I10101" s="9"/>
    </row>
    <row r="10102" spans="1:9" x14ac:dyDescent="0.25">
      <c r="A10102">
        <v>832000</v>
      </c>
      <c r="B10102">
        <v>0.59</v>
      </c>
      <c r="C10102">
        <v>1200</v>
      </c>
      <c r="D10102" s="9">
        <v>42472</v>
      </c>
      <c r="E10102" t="s">
        <v>296</v>
      </c>
      <c r="I10102" s="9"/>
    </row>
    <row r="10103" spans="1:9" x14ac:dyDescent="0.25">
      <c r="A10103">
        <v>832000</v>
      </c>
      <c r="B10103">
        <v>0.65</v>
      </c>
      <c r="C10103">
        <v>1360</v>
      </c>
      <c r="D10103" s="9">
        <v>42136</v>
      </c>
      <c r="E10103" t="s">
        <v>296</v>
      </c>
      <c r="I10103" s="9"/>
    </row>
    <row r="10104" spans="1:9" x14ac:dyDescent="0.25">
      <c r="A10104">
        <v>832000</v>
      </c>
      <c r="B10104">
        <v>0.65</v>
      </c>
      <c r="C10104">
        <v>1600</v>
      </c>
      <c r="D10104" s="9">
        <v>41744</v>
      </c>
      <c r="E10104" t="s">
        <v>296</v>
      </c>
      <c r="I10104" s="9"/>
    </row>
    <row r="10105" spans="1:9" x14ac:dyDescent="0.25">
      <c r="A10105">
        <v>832005</v>
      </c>
      <c r="B10105">
        <v>5.86</v>
      </c>
      <c r="C10105">
        <v>20</v>
      </c>
      <c r="D10105" s="9">
        <v>44102</v>
      </c>
      <c r="E10105" t="s">
        <v>295</v>
      </c>
      <c r="I10105" s="9"/>
    </row>
    <row r="10106" spans="1:9" x14ac:dyDescent="0.25">
      <c r="A10106">
        <v>832005</v>
      </c>
      <c r="B10106">
        <v>1.01</v>
      </c>
      <c r="C10106">
        <v>500</v>
      </c>
      <c r="D10106" s="9">
        <v>44071</v>
      </c>
      <c r="E10106" t="s">
        <v>296</v>
      </c>
      <c r="I10106" s="9"/>
    </row>
    <row r="10107" spans="1:9" x14ac:dyDescent="0.25">
      <c r="A10107">
        <v>832005</v>
      </c>
      <c r="B10107">
        <v>1.01</v>
      </c>
      <c r="C10107">
        <v>300</v>
      </c>
      <c r="D10107" s="9">
        <v>44005</v>
      </c>
      <c r="E10107" t="s">
        <v>296</v>
      </c>
      <c r="I10107" s="9"/>
    </row>
    <row r="10108" spans="1:9" x14ac:dyDescent="0.25">
      <c r="A10108">
        <v>832005</v>
      </c>
      <c r="B10108">
        <v>1.01</v>
      </c>
      <c r="C10108">
        <v>500</v>
      </c>
      <c r="D10108" s="9">
        <v>43717</v>
      </c>
      <c r="E10108" t="s">
        <v>296</v>
      </c>
      <c r="I10108" s="9"/>
    </row>
    <row r="10109" spans="1:9" x14ac:dyDescent="0.25">
      <c r="A10109">
        <v>832005</v>
      </c>
      <c r="B10109">
        <v>1.01</v>
      </c>
      <c r="C10109">
        <v>300</v>
      </c>
      <c r="D10109" s="9">
        <v>43578</v>
      </c>
      <c r="E10109" t="s">
        <v>296</v>
      </c>
      <c r="I10109" s="9"/>
    </row>
    <row r="10110" spans="1:9" x14ac:dyDescent="0.25">
      <c r="A10110">
        <v>832005</v>
      </c>
      <c r="B10110">
        <v>1.01</v>
      </c>
      <c r="C10110">
        <v>400</v>
      </c>
      <c r="D10110" s="9">
        <v>43350</v>
      </c>
      <c r="E10110" t="s">
        <v>296</v>
      </c>
      <c r="I10110" s="9"/>
    </row>
    <row r="10111" spans="1:9" x14ac:dyDescent="0.25">
      <c r="A10111">
        <v>832005</v>
      </c>
      <c r="B10111">
        <v>1.01</v>
      </c>
      <c r="C10111">
        <v>300</v>
      </c>
      <c r="D10111" s="9">
        <v>43270</v>
      </c>
      <c r="E10111" t="s">
        <v>296</v>
      </c>
      <c r="I10111" s="9"/>
    </row>
    <row r="10112" spans="1:9" x14ac:dyDescent="0.25">
      <c r="A10112">
        <v>832005</v>
      </c>
      <c r="B10112">
        <v>3.42</v>
      </c>
      <c r="C10112">
        <v>700</v>
      </c>
      <c r="D10112" s="9">
        <v>43234</v>
      </c>
      <c r="E10112" t="s">
        <v>295</v>
      </c>
      <c r="I10112" s="9"/>
    </row>
    <row r="10113" spans="1:9" x14ac:dyDescent="0.25">
      <c r="A10113">
        <v>832005</v>
      </c>
      <c r="B10113">
        <v>0.96</v>
      </c>
      <c r="C10113">
        <v>700</v>
      </c>
      <c r="D10113" s="9">
        <v>43049</v>
      </c>
      <c r="E10113" t="s">
        <v>296</v>
      </c>
      <c r="I10113" s="9"/>
    </row>
    <row r="10114" spans="1:9" x14ac:dyDescent="0.25">
      <c r="A10114">
        <v>832005</v>
      </c>
      <c r="B10114">
        <v>0.96</v>
      </c>
      <c r="C10114">
        <v>1000</v>
      </c>
      <c r="D10114" s="9">
        <v>42844</v>
      </c>
      <c r="E10114" t="s">
        <v>296</v>
      </c>
      <c r="I10114" s="9"/>
    </row>
    <row r="10115" spans="1:9" x14ac:dyDescent="0.25">
      <c r="A10115">
        <v>832005</v>
      </c>
      <c r="B10115">
        <v>0.96</v>
      </c>
      <c r="C10115">
        <v>1000</v>
      </c>
      <c r="D10115" s="9">
        <v>42472</v>
      </c>
      <c r="E10115" t="s">
        <v>296</v>
      </c>
      <c r="I10115" s="9"/>
    </row>
    <row r="10116" spans="1:9" x14ac:dyDescent="0.25">
      <c r="A10116">
        <v>832005</v>
      </c>
      <c r="B10116">
        <v>1.05</v>
      </c>
      <c r="C10116">
        <v>1000</v>
      </c>
      <c r="D10116" s="9">
        <v>41943</v>
      </c>
      <c r="E10116" t="s">
        <v>296</v>
      </c>
      <c r="I10116" s="9"/>
    </row>
    <row r="10117" spans="1:9" x14ac:dyDescent="0.25">
      <c r="A10117">
        <v>832005</v>
      </c>
      <c r="B10117">
        <v>1.05</v>
      </c>
      <c r="C10117">
        <v>1400</v>
      </c>
      <c r="D10117" s="9">
        <v>41744</v>
      </c>
      <c r="E10117" t="s">
        <v>296</v>
      </c>
      <c r="I10117" s="9"/>
    </row>
    <row r="10118" spans="1:9" x14ac:dyDescent="0.25">
      <c r="A10118">
        <v>832005</v>
      </c>
      <c r="B10118">
        <v>1.05</v>
      </c>
      <c r="C10118">
        <v>700</v>
      </c>
      <c r="D10118" s="9">
        <v>41479</v>
      </c>
      <c r="E10118" t="s">
        <v>296</v>
      </c>
      <c r="I10118" s="9"/>
    </row>
    <row r="10119" spans="1:9" x14ac:dyDescent="0.25">
      <c r="A10119">
        <v>832008</v>
      </c>
      <c r="B10119">
        <v>2.7</v>
      </c>
      <c r="C10119">
        <v>240</v>
      </c>
      <c r="D10119" s="9">
        <v>43839</v>
      </c>
      <c r="E10119" t="s">
        <v>296</v>
      </c>
      <c r="I10119" s="9"/>
    </row>
    <row r="10120" spans="1:9" x14ac:dyDescent="0.25">
      <c r="A10120">
        <v>832008</v>
      </c>
      <c r="B10120">
        <v>2.7</v>
      </c>
      <c r="C10120">
        <v>240</v>
      </c>
      <c r="D10120" s="9">
        <v>43648</v>
      </c>
      <c r="E10120" t="s">
        <v>296</v>
      </c>
      <c r="I10120" s="9"/>
    </row>
    <row r="10121" spans="1:9" x14ac:dyDescent="0.25">
      <c r="A10121">
        <v>832008</v>
      </c>
      <c r="B10121">
        <v>9.25</v>
      </c>
      <c r="C10121">
        <v>240</v>
      </c>
      <c r="D10121" s="9">
        <v>43090</v>
      </c>
      <c r="E10121" t="s">
        <v>295</v>
      </c>
      <c r="I10121" s="9"/>
    </row>
    <row r="10122" spans="1:9" x14ac:dyDescent="0.25">
      <c r="A10122">
        <v>832008</v>
      </c>
      <c r="B10122">
        <v>2.46</v>
      </c>
      <c r="C10122">
        <v>240</v>
      </c>
      <c r="D10122" s="9">
        <v>43052</v>
      </c>
      <c r="E10122" t="s">
        <v>296</v>
      </c>
      <c r="I10122" s="9"/>
    </row>
    <row r="10123" spans="1:9" x14ac:dyDescent="0.25">
      <c r="A10123">
        <v>832008</v>
      </c>
      <c r="B10123">
        <v>2.4500000000000002</v>
      </c>
      <c r="C10123">
        <v>200</v>
      </c>
      <c r="D10123" s="9">
        <v>42912</v>
      </c>
      <c r="E10123" t="s">
        <v>296</v>
      </c>
      <c r="I10123" s="9"/>
    </row>
    <row r="10124" spans="1:9" x14ac:dyDescent="0.25">
      <c r="A10124">
        <v>832008</v>
      </c>
      <c r="B10124">
        <v>2.4500000000000002</v>
      </c>
      <c r="C10124">
        <v>200</v>
      </c>
      <c r="D10124" s="9">
        <v>42655</v>
      </c>
      <c r="E10124" t="s">
        <v>296</v>
      </c>
      <c r="I10124" s="9"/>
    </row>
    <row r="10125" spans="1:9" x14ac:dyDescent="0.25">
      <c r="A10125">
        <v>832008</v>
      </c>
      <c r="B10125">
        <v>2.4500000000000002</v>
      </c>
      <c r="C10125">
        <v>200</v>
      </c>
      <c r="D10125" s="9">
        <v>42655</v>
      </c>
      <c r="E10125" t="s">
        <v>296</v>
      </c>
      <c r="I10125" s="9"/>
    </row>
    <row r="10126" spans="1:9" x14ac:dyDescent="0.25">
      <c r="A10126">
        <v>832008</v>
      </c>
      <c r="B10126">
        <v>11.86</v>
      </c>
      <c r="C10126">
        <v>50</v>
      </c>
      <c r="D10126" s="9">
        <v>42354</v>
      </c>
      <c r="E10126" t="s">
        <v>295</v>
      </c>
      <c r="I10126" s="9"/>
    </row>
    <row r="10127" spans="1:9" x14ac:dyDescent="0.25">
      <c r="A10127">
        <v>832008</v>
      </c>
      <c r="B10127">
        <v>2.4500000000000002</v>
      </c>
      <c r="C10127">
        <v>200</v>
      </c>
      <c r="D10127" s="9">
        <v>42325</v>
      </c>
      <c r="E10127" t="s">
        <v>296</v>
      </c>
      <c r="I10127" s="9"/>
    </row>
    <row r="10128" spans="1:9" x14ac:dyDescent="0.25">
      <c r="A10128">
        <v>832008</v>
      </c>
      <c r="B10128">
        <v>2.4500000000000002</v>
      </c>
      <c r="C10128">
        <v>200</v>
      </c>
      <c r="D10128" s="9">
        <v>41934</v>
      </c>
      <c r="E10128" t="s">
        <v>296</v>
      </c>
      <c r="I10128" s="9"/>
    </row>
    <row r="10129" spans="1:9" x14ac:dyDescent="0.25">
      <c r="A10129">
        <v>832023</v>
      </c>
      <c r="B10129">
        <v>19.399999999999999</v>
      </c>
      <c r="C10129">
        <v>30</v>
      </c>
      <c r="D10129" s="9">
        <v>43686</v>
      </c>
      <c r="E10129" t="s">
        <v>296</v>
      </c>
      <c r="I10129" s="9"/>
    </row>
    <row r="10130" spans="1:9" x14ac:dyDescent="0.25">
      <c r="A10130">
        <v>833012</v>
      </c>
      <c r="B10130">
        <v>1.7150000000000001</v>
      </c>
      <c r="C10130">
        <v>280</v>
      </c>
      <c r="D10130" s="9">
        <v>43941</v>
      </c>
      <c r="E10130" t="s">
        <v>296</v>
      </c>
      <c r="I10130" s="9"/>
    </row>
    <row r="10131" spans="1:9" x14ac:dyDescent="0.25">
      <c r="A10131">
        <v>833012</v>
      </c>
      <c r="B10131">
        <v>1.7150000000000001</v>
      </c>
      <c r="C10131">
        <v>300</v>
      </c>
      <c r="D10131" s="9">
        <v>43684</v>
      </c>
      <c r="E10131" t="s">
        <v>296</v>
      </c>
      <c r="I10131" s="9"/>
    </row>
    <row r="10132" spans="1:9" x14ac:dyDescent="0.25">
      <c r="A10132">
        <v>833012</v>
      </c>
      <c r="B10132">
        <v>1.55</v>
      </c>
      <c r="C10132">
        <v>300</v>
      </c>
      <c r="D10132" s="9">
        <v>43473</v>
      </c>
      <c r="E10132" t="s">
        <v>296</v>
      </c>
      <c r="I10132" s="9"/>
    </row>
    <row r="10133" spans="1:9" x14ac:dyDescent="0.25">
      <c r="A10133">
        <v>833012</v>
      </c>
      <c r="B10133">
        <v>1.55</v>
      </c>
      <c r="C10133">
        <v>600</v>
      </c>
      <c r="D10133" s="9">
        <v>43116</v>
      </c>
      <c r="E10133" t="s">
        <v>296</v>
      </c>
      <c r="I10133" s="9"/>
    </row>
    <row r="10134" spans="1:9" x14ac:dyDescent="0.25">
      <c r="A10134">
        <v>833012</v>
      </c>
      <c r="B10134">
        <v>1.55</v>
      </c>
      <c r="C10134">
        <v>576</v>
      </c>
      <c r="D10134" s="9">
        <v>42905</v>
      </c>
      <c r="E10134" t="s">
        <v>296</v>
      </c>
      <c r="I10134" s="9"/>
    </row>
    <row r="10135" spans="1:9" x14ac:dyDescent="0.25">
      <c r="A10135">
        <v>833012</v>
      </c>
      <c r="B10135">
        <v>1.54</v>
      </c>
      <c r="C10135">
        <v>240</v>
      </c>
      <c r="D10135" s="9">
        <v>42781</v>
      </c>
      <c r="E10135" t="s">
        <v>296</v>
      </c>
      <c r="I10135" s="9"/>
    </row>
    <row r="10136" spans="1:9" x14ac:dyDescent="0.25">
      <c r="A10136">
        <v>833013</v>
      </c>
      <c r="B10136">
        <v>1.86</v>
      </c>
      <c r="C10136">
        <v>360</v>
      </c>
      <c r="D10136" s="9">
        <v>44141</v>
      </c>
      <c r="E10136" t="s">
        <v>296</v>
      </c>
      <c r="I10136" s="9"/>
    </row>
    <row r="10137" spans="1:9" x14ac:dyDescent="0.25">
      <c r="A10137">
        <v>833013</v>
      </c>
      <c r="B10137">
        <v>1.76</v>
      </c>
      <c r="C10137">
        <v>360</v>
      </c>
      <c r="D10137" s="9">
        <v>44043</v>
      </c>
      <c r="E10137" t="s">
        <v>296</v>
      </c>
      <c r="I10137" s="9"/>
    </row>
    <row r="10138" spans="1:9" x14ac:dyDescent="0.25">
      <c r="A10138">
        <v>833013</v>
      </c>
      <c r="B10138">
        <v>1.76</v>
      </c>
      <c r="C10138">
        <v>360</v>
      </c>
      <c r="D10138" s="9">
        <v>43686</v>
      </c>
      <c r="E10138" t="s">
        <v>296</v>
      </c>
      <c r="I10138" s="9"/>
    </row>
    <row r="10139" spans="1:9" x14ac:dyDescent="0.25">
      <c r="A10139">
        <v>833013</v>
      </c>
      <c r="B10139">
        <v>1.76</v>
      </c>
      <c r="C10139">
        <v>360</v>
      </c>
      <c r="D10139" s="9">
        <v>43381</v>
      </c>
      <c r="E10139" t="s">
        <v>296</v>
      </c>
      <c r="I10139" s="9"/>
    </row>
    <row r="10140" spans="1:9" x14ac:dyDescent="0.25">
      <c r="A10140">
        <v>833013</v>
      </c>
      <c r="B10140">
        <v>1.6</v>
      </c>
      <c r="C10140">
        <v>360</v>
      </c>
      <c r="D10140" s="9">
        <v>42972</v>
      </c>
      <c r="E10140" t="s">
        <v>296</v>
      </c>
      <c r="I10140" s="9"/>
    </row>
    <row r="10141" spans="1:9" x14ac:dyDescent="0.25">
      <c r="A10141">
        <v>833051</v>
      </c>
      <c r="B10141">
        <v>1.55</v>
      </c>
      <c r="C10141">
        <v>672</v>
      </c>
      <c r="D10141" s="9">
        <v>43600</v>
      </c>
      <c r="E10141" t="s">
        <v>296</v>
      </c>
      <c r="I10141" s="9"/>
    </row>
    <row r="10142" spans="1:9" x14ac:dyDescent="0.25">
      <c r="A10142">
        <v>833051</v>
      </c>
      <c r="B10142">
        <v>1.55</v>
      </c>
      <c r="C10142">
        <v>288</v>
      </c>
      <c r="D10142" s="9">
        <v>43483</v>
      </c>
      <c r="E10142" t="s">
        <v>296</v>
      </c>
      <c r="I10142" s="9"/>
    </row>
    <row r="10143" spans="1:9" x14ac:dyDescent="0.25">
      <c r="A10143">
        <v>833052</v>
      </c>
      <c r="B10143">
        <v>1.93</v>
      </c>
      <c r="C10143">
        <v>300</v>
      </c>
      <c r="D10143" s="9">
        <v>44102</v>
      </c>
      <c r="E10143" t="s">
        <v>296</v>
      </c>
      <c r="I10143" s="9"/>
    </row>
    <row r="10144" spans="1:9" x14ac:dyDescent="0.25">
      <c r="A10144">
        <v>833053</v>
      </c>
      <c r="B10144">
        <v>0.73</v>
      </c>
      <c r="C10144">
        <v>600</v>
      </c>
      <c r="D10144" s="9">
        <v>44131</v>
      </c>
      <c r="E10144" t="s">
        <v>296</v>
      </c>
      <c r="I10144" s="9"/>
    </row>
    <row r="10145" spans="1:9" x14ac:dyDescent="0.25">
      <c r="A10145">
        <v>833053</v>
      </c>
      <c r="B10145">
        <v>0.73</v>
      </c>
      <c r="C10145">
        <v>600</v>
      </c>
      <c r="D10145" s="9">
        <v>44043</v>
      </c>
      <c r="E10145" t="s">
        <v>296</v>
      </c>
      <c r="I10145" s="9"/>
    </row>
    <row r="10146" spans="1:9" x14ac:dyDescent="0.25">
      <c r="A10146">
        <v>833053</v>
      </c>
      <c r="B10146">
        <v>0.73</v>
      </c>
      <c r="C10146">
        <v>600</v>
      </c>
      <c r="D10146" s="9">
        <v>43803</v>
      </c>
      <c r="E10146" t="s">
        <v>296</v>
      </c>
      <c r="I10146" s="9"/>
    </row>
    <row r="10147" spans="1:9" x14ac:dyDescent="0.25">
      <c r="A10147">
        <v>833053</v>
      </c>
      <c r="B10147">
        <v>0.73</v>
      </c>
      <c r="C10147">
        <v>600</v>
      </c>
      <c r="D10147" s="9">
        <v>43483</v>
      </c>
      <c r="E10147" t="s">
        <v>296</v>
      </c>
      <c r="I10147" s="9"/>
    </row>
    <row r="10148" spans="1:9" x14ac:dyDescent="0.25">
      <c r="A10148">
        <v>833053</v>
      </c>
      <c r="B10148">
        <v>1.409</v>
      </c>
      <c r="C10148">
        <v>600</v>
      </c>
      <c r="D10148" s="9">
        <v>42753</v>
      </c>
      <c r="E10148" t="s">
        <v>297</v>
      </c>
      <c r="I10148" s="9"/>
    </row>
    <row r="10149" spans="1:9" x14ac:dyDescent="0.25">
      <c r="A10149">
        <v>833053</v>
      </c>
      <c r="B10149">
        <v>1.409</v>
      </c>
      <c r="C10149">
        <v>600</v>
      </c>
      <c r="D10149" s="9">
        <v>42520</v>
      </c>
      <c r="E10149" t="s">
        <v>297</v>
      </c>
      <c r="I10149" s="9"/>
    </row>
    <row r="10150" spans="1:9" x14ac:dyDescent="0.25">
      <c r="A10150">
        <v>833053</v>
      </c>
      <c r="B10150">
        <v>6.19</v>
      </c>
      <c r="C10150">
        <v>300</v>
      </c>
      <c r="D10150" s="9">
        <v>42520</v>
      </c>
      <c r="E10150" t="s">
        <v>295</v>
      </c>
      <c r="I10150" s="9"/>
    </row>
    <row r="10151" spans="1:9" x14ac:dyDescent="0.25">
      <c r="A10151">
        <v>833053</v>
      </c>
      <c r="B10151">
        <v>1.46</v>
      </c>
      <c r="C10151">
        <v>960</v>
      </c>
      <c r="D10151" s="9">
        <v>41456</v>
      </c>
      <c r="E10151" t="s">
        <v>296</v>
      </c>
      <c r="I10151" s="9"/>
    </row>
    <row r="10152" spans="1:9" x14ac:dyDescent="0.25">
      <c r="A10152">
        <v>833054</v>
      </c>
      <c r="B10152">
        <v>1.87</v>
      </c>
      <c r="C10152">
        <v>300</v>
      </c>
      <c r="D10152" s="9">
        <v>44102</v>
      </c>
      <c r="E10152" t="s">
        <v>296</v>
      </c>
      <c r="I10152" s="9"/>
    </row>
    <row r="10153" spans="1:9" x14ac:dyDescent="0.25">
      <c r="A10153">
        <v>833060</v>
      </c>
      <c r="B10153">
        <v>2.1800000000000002</v>
      </c>
      <c r="C10153">
        <v>160</v>
      </c>
      <c r="D10153" s="9">
        <v>44102</v>
      </c>
      <c r="E10153" t="s">
        <v>296</v>
      </c>
      <c r="I10153" s="9"/>
    </row>
    <row r="10154" spans="1:9" x14ac:dyDescent="0.25">
      <c r="A10154">
        <v>833062</v>
      </c>
      <c r="B10154">
        <v>1.2</v>
      </c>
      <c r="C10154">
        <v>480</v>
      </c>
      <c r="D10154" s="9">
        <v>42905</v>
      </c>
      <c r="E10154" t="s">
        <v>296</v>
      </c>
      <c r="I10154" s="9"/>
    </row>
    <row r="10155" spans="1:9" x14ac:dyDescent="0.25">
      <c r="A10155">
        <v>833062</v>
      </c>
      <c r="B10155">
        <v>1.2</v>
      </c>
      <c r="C10155">
        <v>384</v>
      </c>
      <c r="D10155" s="9">
        <v>42781</v>
      </c>
      <c r="E10155" t="s">
        <v>296</v>
      </c>
      <c r="I10155" s="9"/>
    </row>
    <row r="10156" spans="1:9" x14ac:dyDescent="0.25">
      <c r="A10156">
        <v>833063</v>
      </c>
      <c r="B10156">
        <v>1.32</v>
      </c>
      <c r="C10156">
        <v>384</v>
      </c>
      <c r="D10156" s="9">
        <v>43592</v>
      </c>
      <c r="E10156" t="s">
        <v>296</v>
      </c>
      <c r="I10156" s="9"/>
    </row>
    <row r="10157" spans="1:9" x14ac:dyDescent="0.25">
      <c r="A10157">
        <v>833063</v>
      </c>
      <c r="B10157">
        <v>1.32</v>
      </c>
      <c r="C10157">
        <v>384</v>
      </c>
      <c r="D10157" s="9">
        <v>43391</v>
      </c>
      <c r="E10157" t="s">
        <v>296</v>
      </c>
      <c r="I10157" s="9"/>
    </row>
    <row r="10158" spans="1:9" x14ac:dyDescent="0.25">
      <c r="A10158">
        <v>833063</v>
      </c>
      <c r="B10158">
        <v>5.24</v>
      </c>
      <c r="C10158">
        <v>384</v>
      </c>
      <c r="D10158" s="9">
        <v>43263</v>
      </c>
      <c r="E10158" t="s">
        <v>295</v>
      </c>
      <c r="I10158" s="9"/>
    </row>
    <row r="10159" spans="1:9" x14ac:dyDescent="0.25">
      <c r="A10159">
        <v>833063</v>
      </c>
      <c r="B10159">
        <v>1.38</v>
      </c>
      <c r="C10159">
        <v>384</v>
      </c>
      <c r="D10159" s="9">
        <v>43228</v>
      </c>
      <c r="E10159" t="s">
        <v>296</v>
      </c>
      <c r="I10159" s="9"/>
    </row>
    <row r="10160" spans="1:9" x14ac:dyDescent="0.25">
      <c r="A10160">
        <v>833063</v>
      </c>
      <c r="B10160">
        <v>1.38</v>
      </c>
      <c r="C10160">
        <v>384</v>
      </c>
      <c r="D10160" s="9">
        <v>42781</v>
      </c>
      <c r="E10160" t="s">
        <v>296</v>
      </c>
      <c r="I10160" s="9"/>
    </row>
    <row r="10161" spans="1:9" x14ac:dyDescent="0.25">
      <c r="A10161">
        <v>833064</v>
      </c>
      <c r="B10161">
        <v>3.1</v>
      </c>
      <c r="C10161">
        <v>720</v>
      </c>
      <c r="D10161" s="9">
        <v>44117</v>
      </c>
      <c r="E10161" t="s">
        <v>296</v>
      </c>
      <c r="I10161" s="9"/>
    </row>
    <row r="10162" spans="1:9" x14ac:dyDescent="0.25">
      <c r="A10162">
        <v>833064</v>
      </c>
      <c r="B10162">
        <v>3.1</v>
      </c>
      <c r="C10162">
        <v>768</v>
      </c>
      <c r="D10162" s="9">
        <v>44111</v>
      </c>
      <c r="E10162" t="s">
        <v>296</v>
      </c>
      <c r="I10162" s="9"/>
    </row>
    <row r="10163" spans="1:9" x14ac:dyDescent="0.25">
      <c r="A10163">
        <v>833064</v>
      </c>
      <c r="B10163">
        <v>3.1</v>
      </c>
      <c r="C10163">
        <v>720</v>
      </c>
      <c r="D10163" s="9">
        <v>43991</v>
      </c>
      <c r="E10163" t="s">
        <v>296</v>
      </c>
      <c r="I10163" s="9"/>
    </row>
    <row r="10164" spans="1:9" x14ac:dyDescent="0.25">
      <c r="A10164">
        <v>833064</v>
      </c>
      <c r="B10164">
        <v>3.1</v>
      </c>
      <c r="C10164">
        <v>480</v>
      </c>
      <c r="D10164" s="9">
        <v>43941</v>
      </c>
      <c r="E10164" t="s">
        <v>296</v>
      </c>
      <c r="I10164" s="9"/>
    </row>
    <row r="10165" spans="1:9" x14ac:dyDescent="0.25">
      <c r="A10165">
        <v>833064</v>
      </c>
      <c r="B10165">
        <v>3.1</v>
      </c>
      <c r="C10165">
        <v>1920</v>
      </c>
      <c r="D10165" s="9">
        <v>43592</v>
      </c>
      <c r="E10165" t="s">
        <v>296</v>
      </c>
      <c r="I10165" s="9"/>
    </row>
    <row r="10166" spans="1:9" x14ac:dyDescent="0.25">
      <c r="A10166">
        <v>833064</v>
      </c>
      <c r="B10166">
        <v>3.1</v>
      </c>
      <c r="C10166">
        <v>960</v>
      </c>
      <c r="D10166" s="9">
        <v>43473</v>
      </c>
      <c r="E10166" t="s">
        <v>296</v>
      </c>
      <c r="I10166" s="9"/>
    </row>
    <row r="10167" spans="1:9" x14ac:dyDescent="0.25">
      <c r="A10167">
        <v>833064</v>
      </c>
      <c r="B10167">
        <v>3.1</v>
      </c>
      <c r="C10167">
        <v>960</v>
      </c>
      <c r="D10167" s="9">
        <v>43391</v>
      </c>
      <c r="E10167" t="s">
        <v>296</v>
      </c>
      <c r="I10167" s="9"/>
    </row>
    <row r="10168" spans="1:9" x14ac:dyDescent="0.25">
      <c r="A10168">
        <v>833064</v>
      </c>
      <c r="B10168">
        <v>3.42</v>
      </c>
      <c r="C10168">
        <v>480</v>
      </c>
      <c r="D10168" s="9">
        <v>43284</v>
      </c>
      <c r="E10168" t="s">
        <v>296</v>
      </c>
      <c r="I10168" s="9"/>
    </row>
    <row r="10169" spans="1:9" x14ac:dyDescent="0.25">
      <c r="A10169">
        <v>833064</v>
      </c>
      <c r="B10169">
        <v>12.16</v>
      </c>
      <c r="C10169">
        <v>264</v>
      </c>
      <c r="D10169" s="9">
        <v>43263</v>
      </c>
      <c r="E10169" t="s">
        <v>295</v>
      </c>
      <c r="I10169" s="9"/>
    </row>
    <row r="10170" spans="1:9" x14ac:dyDescent="0.25">
      <c r="A10170">
        <v>833064</v>
      </c>
      <c r="B10170">
        <v>20.29</v>
      </c>
      <c r="C10170">
        <v>129</v>
      </c>
      <c r="D10170" s="9">
        <v>43241</v>
      </c>
      <c r="E10170" t="s">
        <v>295</v>
      </c>
      <c r="I10170" s="9"/>
    </row>
    <row r="10171" spans="1:9" x14ac:dyDescent="0.25">
      <c r="A10171">
        <v>833064</v>
      </c>
      <c r="B10171">
        <v>21.57</v>
      </c>
      <c r="C10171">
        <v>1</v>
      </c>
      <c r="D10171" s="9">
        <v>43241</v>
      </c>
      <c r="E10171" t="s">
        <v>295</v>
      </c>
      <c r="I10171" s="9"/>
    </row>
    <row r="10172" spans="1:9" x14ac:dyDescent="0.25">
      <c r="A10172">
        <v>833064</v>
      </c>
      <c r="B10172">
        <v>3.22</v>
      </c>
      <c r="C10172">
        <v>264</v>
      </c>
      <c r="D10172" s="9">
        <v>43228</v>
      </c>
      <c r="E10172" t="s">
        <v>296</v>
      </c>
      <c r="I10172" s="9"/>
    </row>
    <row r="10173" spans="1:9" x14ac:dyDescent="0.25">
      <c r="A10173">
        <v>833064</v>
      </c>
      <c r="B10173">
        <v>11.45</v>
      </c>
      <c r="C10173">
        <v>360</v>
      </c>
      <c r="D10173" s="9">
        <v>43123</v>
      </c>
      <c r="E10173" t="s">
        <v>295</v>
      </c>
      <c r="I10173" s="9"/>
    </row>
    <row r="10174" spans="1:9" x14ac:dyDescent="0.25">
      <c r="A10174">
        <v>833064</v>
      </c>
      <c r="B10174">
        <v>3.15</v>
      </c>
      <c r="C10174">
        <v>360</v>
      </c>
      <c r="D10174" s="9">
        <v>43067</v>
      </c>
      <c r="E10174" t="s">
        <v>296</v>
      </c>
      <c r="I10174" s="9"/>
    </row>
    <row r="10175" spans="1:9" x14ac:dyDescent="0.25">
      <c r="A10175">
        <v>833064</v>
      </c>
      <c r="B10175">
        <v>3.86</v>
      </c>
      <c r="C10175">
        <v>10</v>
      </c>
      <c r="D10175" s="9">
        <v>42950</v>
      </c>
      <c r="E10175" t="s">
        <v>297</v>
      </c>
      <c r="I10175" s="9"/>
    </row>
    <row r="10176" spans="1:9" x14ac:dyDescent="0.25">
      <c r="A10176">
        <v>833064</v>
      </c>
      <c r="B10176">
        <v>3.05</v>
      </c>
      <c r="C10176">
        <v>480</v>
      </c>
      <c r="D10176" s="9">
        <v>42781</v>
      </c>
      <c r="E10176" t="s">
        <v>296</v>
      </c>
      <c r="I10176" s="9"/>
    </row>
    <row r="10177" spans="1:9" x14ac:dyDescent="0.25">
      <c r="A10177">
        <v>833064</v>
      </c>
      <c r="B10177">
        <v>3.47</v>
      </c>
      <c r="C10177">
        <v>360</v>
      </c>
      <c r="D10177" s="9">
        <v>42660</v>
      </c>
      <c r="E10177" t="s">
        <v>296</v>
      </c>
      <c r="I10177" s="9"/>
    </row>
    <row r="10178" spans="1:9" x14ac:dyDescent="0.25">
      <c r="A10178">
        <v>833064</v>
      </c>
      <c r="B10178">
        <v>3.55</v>
      </c>
      <c r="C10178">
        <v>400</v>
      </c>
      <c r="D10178" s="9">
        <v>42655</v>
      </c>
      <c r="E10178" t="s">
        <v>296</v>
      </c>
      <c r="I10178" s="9"/>
    </row>
    <row r="10179" spans="1:9" x14ac:dyDescent="0.25">
      <c r="A10179">
        <v>833064</v>
      </c>
      <c r="B10179">
        <v>3.55</v>
      </c>
      <c r="C10179">
        <v>400</v>
      </c>
      <c r="D10179" s="9">
        <v>42655</v>
      </c>
      <c r="E10179" t="s">
        <v>296</v>
      </c>
      <c r="I10179" s="9"/>
    </row>
    <row r="10180" spans="1:9" x14ac:dyDescent="0.25">
      <c r="A10180">
        <v>833064</v>
      </c>
      <c r="B10180">
        <v>3.55</v>
      </c>
      <c r="C10180">
        <v>360</v>
      </c>
      <c r="D10180" s="9">
        <v>42325</v>
      </c>
      <c r="E10180" t="s">
        <v>296</v>
      </c>
      <c r="I10180" s="9"/>
    </row>
    <row r="10181" spans="1:9" x14ac:dyDescent="0.25">
      <c r="A10181">
        <v>833064</v>
      </c>
      <c r="B10181">
        <v>3.86</v>
      </c>
      <c r="C10181">
        <v>144</v>
      </c>
      <c r="D10181" s="9">
        <v>41934</v>
      </c>
      <c r="E10181" t="s">
        <v>296</v>
      </c>
      <c r="I10181" s="9"/>
    </row>
    <row r="10182" spans="1:9" x14ac:dyDescent="0.25">
      <c r="A10182">
        <v>833070</v>
      </c>
      <c r="B10182">
        <v>5.13</v>
      </c>
      <c r="C10182">
        <v>192</v>
      </c>
      <c r="D10182" s="9">
        <v>44117</v>
      </c>
      <c r="E10182" t="s">
        <v>296</v>
      </c>
      <c r="I10182" s="9"/>
    </row>
    <row r="10183" spans="1:9" x14ac:dyDescent="0.25">
      <c r="A10183">
        <v>833070</v>
      </c>
      <c r="B10183">
        <v>5.13</v>
      </c>
      <c r="C10183">
        <v>192</v>
      </c>
      <c r="D10183" s="9">
        <v>43829</v>
      </c>
      <c r="E10183" t="s">
        <v>296</v>
      </c>
      <c r="I10183" s="9"/>
    </row>
    <row r="10184" spans="1:9" x14ac:dyDescent="0.25">
      <c r="A10184">
        <v>833070</v>
      </c>
      <c r="B10184">
        <v>5.4</v>
      </c>
      <c r="C10184">
        <v>168</v>
      </c>
      <c r="D10184" s="9">
        <v>43769</v>
      </c>
      <c r="E10184" t="s">
        <v>296</v>
      </c>
      <c r="I10184" s="9"/>
    </row>
    <row r="10185" spans="1:9" x14ac:dyDescent="0.25">
      <c r="A10185">
        <v>833070</v>
      </c>
      <c r="B10185">
        <v>5.4</v>
      </c>
      <c r="C10185">
        <v>120</v>
      </c>
      <c r="D10185" s="9">
        <v>43592</v>
      </c>
      <c r="E10185" t="s">
        <v>296</v>
      </c>
      <c r="I10185" s="9"/>
    </row>
    <row r="10186" spans="1:9" x14ac:dyDescent="0.25">
      <c r="A10186">
        <v>833070</v>
      </c>
      <c r="B10186">
        <v>5.4</v>
      </c>
      <c r="C10186">
        <v>120</v>
      </c>
      <c r="D10186" s="9">
        <v>43473</v>
      </c>
      <c r="E10186" t="s">
        <v>296</v>
      </c>
      <c r="I10186" s="9"/>
    </row>
    <row r="10187" spans="1:9" x14ac:dyDescent="0.25">
      <c r="A10187">
        <v>833070</v>
      </c>
      <c r="B10187">
        <v>20.239999999999998</v>
      </c>
      <c r="C10187">
        <v>240</v>
      </c>
      <c r="D10187" s="9">
        <v>43263</v>
      </c>
      <c r="E10187" t="s">
        <v>295</v>
      </c>
      <c r="I10187" s="9"/>
    </row>
    <row r="10188" spans="1:9" x14ac:dyDescent="0.25">
      <c r="A10188">
        <v>833070</v>
      </c>
      <c r="B10188">
        <v>5.4</v>
      </c>
      <c r="C10188">
        <v>240</v>
      </c>
      <c r="D10188" s="9">
        <v>43228</v>
      </c>
      <c r="E10188" t="s">
        <v>296</v>
      </c>
      <c r="I10188" s="9"/>
    </row>
    <row r="10189" spans="1:9" x14ac:dyDescent="0.25">
      <c r="A10189">
        <v>833070</v>
      </c>
      <c r="B10189">
        <v>6.53</v>
      </c>
      <c r="C10189">
        <v>24</v>
      </c>
      <c r="D10189" s="9">
        <v>42950</v>
      </c>
      <c r="E10189" t="s">
        <v>297</v>
      </c>
      <c r="I10189" s="9"/>
    </row>
    <row r="10190" spans="1:9" x14ac:dyDescent="0.25">
      <c r="A10190">
        <v>833070</v>
      </c>
      <c r="B10190">
        <v>5</v>
      </c>
      <c r="C10190">
        <v>240</v>
      </c>
      <c r="D10190" s="9">
        <v>42781</v>
      </c>
      <c r="E10190" t="s">
        <v>296</v>
      </c>
      <c r="I10190" s="9"/>
    </row>
    <row r="10191" spans="1:9" x14ac:dyDescent="0.25">
      <c r="A10191">
        <v>833076</v>
      </c>
      <c r="B10191">
        <v>2.08</v>
      </c>
      <c r="C10191">
        <v>288</v>
      </c>
      <c r="D10191" s="9">
        <v>44117</v>
      </c>
      <c r="E10191" t="s">
        <v>296</v>
      </c>
      <c r="I10191" s="9"/>
    </row>
    <row r="10192" spans="1:9" x14ac:dyDescent="0.25">
      <c r="A10192">
        <v>833076</v>
      </c>
      <c r="B10192">
        <v>2.08</v>
      </c>
      <c r="C10192">
        <v>384</v>
      </c>
      <c r="D10192" s="9">
        <v>43684</v>
      </c>
      <c r="E10192" t="s">
        <v>296</v>
      </c>
      <c r="I10192" s="9"/>
    </row>
    <row r="10193" spans="1:9" x14ac:dyDescent="0.25">
      <c r="A10193">
        <v>833076</v>
      </c>
      <c r="B10193">
        <v>2.08</v>
      </c>
      <c r="C10193">
        <v>336</v>
      </c>
      <c r="D10193" s="9">
        <v>43592</v>
      </c>
      <c r="E10193" t="s">
        <v>296</v>
      </c>
      <c r="I10193" s="9"/>
    </row>
    <row r="10194" spans="1:9" x14ac:dyDescent="0.25">
      <c r="A10194">
        <v>833076</v>
      </c>
      <c r="B10194">
        <v>2.08</v>
      </c>
      <c r="C10194">
        <v>336</v>
      </c>
      <c r="D10194" s="9">
        <v>43284</v>
      </c>
      <c r="E10194" t="s">
        <v>296</v>
      </c>
      <c r="I10194" s="9"/>
    </row>
    <row r="10195" spans="1:9" x14ac:dyDescent="0.25">
      <c r="A10195">
        <v>833076</v>
      </c>
      <c r="B10195">
        <v>7.51</v>
      </c>
      <c r="C10195">
        <v>312</v>
      </c>
      <c r="D10195" s="9">
        <v>43263</v>
      </c>
      <c r="E10195" t="s">
        <v>295</v>
      </c>
      <c r="I10195" s="9"/>
    </row>
    <row r="10196" spans="1:9" x14ac:dyDescent="0.25">
      <c r="A10196">
        <v>833076</v>
      </c>
      <c r="B10196">
        <v>2</v>
      </c>
      <c r="C10196">
        <v>312</v>
      </c>
      <c r="D10196" s="9">
        <v>43228</v>
      </c>
      <c r="E10196" t="s">
        <v>296</v>
      </c>
      <c r="I10196" s="9"/>
    </row>
    <row r="10197" spans="1:9" x14ac:dyDescent="0.25">
      <c r="A10197">
        <v>833076</v>
      </c>
      <c r="B10197">
        <v>1.76</v>
      </c>
      <c r="C10197">
        <v>300</v>
      </c>
      <c r="D10197" s="9">
        <v>42905</v>
      </c>
      <c r="E10197" t="s">
        <v>296</v>
      </c>
      <c r="I10197" s="9"/>
    </row>
    <row r="10198" spans="1:9" x14ac:dyDescent="0.25">
      <c r="A10198">
        <v>833076</v>
      </c>
      <c r="B10198">
        <v>1.76</v>
      </c>
      <c r="C10198">
        <v>240</v>
      </c>
      <c r="D10198" s="9">
        <v>42781</v>
      </c>
      <c r="E10198" t="s">
        <v>296</v>
      </c>
      <c r="I10198" s="9"/>
    </row>
    <row r="10199" spans="1:9" x14ac:dyDescent="0.25">
      <c r="A10199">
        <v>833080</v>
      </c>
      <c r="B10199">
        <v>2.38</v>
      </c>
      <c r="C10199">
        <v>480</v>
      </c>
      <c r="D10199" s="9">
        <v>44043</v>
      </c>
      <c r="E10199" t="s">
        <v>296</v>
      </c>
      <c r="I10199" s="9"/>
    </row>
    <row r="10200" spans="1:9" x14ac:dyDescent="0.25">
      <c r="A10200">
        <v>833080</v>
      </c>
      <c r="B10200">
        <v>2.38</v>
      </c>
      <c r="C10200">
        <v>576</v>
      </c>
      <c r="D10200" s="9">
        <v>44043</v>
      </c>
      <c r="E10200" t="s">
        <v>296</v>
      </c>
      <c r="I10200" s="9"/>
    </row>
    <row r="10201" spans="1:9" x14ac:dyDescent="0.25">
      <c r="A10201">
        <v>833080</v>
      </c>
      <c r="B10201">
        <v>2.38</v>
      </c>
      <c r="C10201">
        <v>480</v>
      </c>
      <c r="D10201" s="9">
        <v>43686</v>
      </c>
      <c r="E10201" t="s">
        <v>296</v>
      </c>
      <c r="I10201" s="9"/>
    </row>
    <row r="10202" spans="1:9" x14ac:dyDescent="0.25">
      <c r="A10202">
        <v>833080</v>
      </c>
      <c r="B10202">
        <v>2.38</v>
      </c>
      <c r="C10202">
        <v>1104</v>
      </c>
      <c r="D10202" s="9">
        <v>43600</v>
      </c>
      <c r="E10202" t="s">
        <v>296</v>
      </c>
      <c r="I10202" s="9"/>
    </row>
    <row r="10203" spans="1:9" x14ac:dyDescent="0.25">
      <c r="A10203">
        <v>833080</v>
      </c>
      <c r="B10203">
        <v>2.38</v>
      </c>
      <c r="C10203">
        <v>1008</v>
      </c>
      <c r="D10203" s="9">
        <v>43381</v>
      </c>
      <c r="E10203" t="s">
        <v>296</v>
      </c>
      <c r="I10203" s="9"/>
    </row>
    <row r="10204" spans="1:9" x14ac:dyDescent="0.25">
      <c r="A10204">
        <v>833080</v>
      </c>
      <c r="B10204">
        <v>9.0399999999999991</v>
      </c>
      <c r="C10204">
        <v>456</v>
      </c>
      <c r="D10204" s="9">
        <v>43298</v>
      </c>
      <c r="E10204" t="s">
        <v>295</v>
      </c>
      <c r="I10204" s="9"/>
    </row>
    <row r="10205" spans="1:9" x14ac:dyDescent="0.25">
      <c r="A10205">
        <v>833080</v>
      </c>
      <c r="B10205">
        <v>2.38</v>
      </c>
      <c r="C10205">
        <v>480</v>
      </c>
      <c r="D10205" s="9">
        <v>43264</v>
      </c>
      <c r="E10205" t="s">
        <v>296</v>
      </c>
      <c r="I10205" s="9"/>
    </row>
    <row r="10206" spans="1:9" x14ac:dyDescent="0.25">
      <c r="A10206">
        <v>833080</v>
      </c>
      <c r="B10206">
        <v>7.89</v>
      </c>
      <c r="C10206">
        <v>480</v>
      </c>
      <c r="D10206" s="9">
        <v>43138</v>
      </c>
      <c r="E10206" t="s">
        <v>295</v>
      </c>
      <c r="I10206" s="9"/>
    </row>
    <row r="10207" spans="1:9" x14ac:dyDescent="0.25">
      <c r="A10207">
        <v>833080</v>
      </c>
      <c r="B10207">
        <v>2.2799999999999998</v>
      </c>
      <c r="C10207">
        <v>480</v>
      </c>
      <c r="D10207" s="9">
        <v>43111</v>
      </c>
      <c r="E10207" t="s">
        <v>296</v>
      </c>
      <c r="I10207" s="9"/>
    </row>
    <row r="10208" spans="1:9" x14ac:dyDescent="0.25">
      <c r="A10208">
        <v>833080</v>
      </c>
      <c r="B10208">
        <v>2.23</v>
      </c>
      <c r="C10208">
        <v>480</v>
      </c>
      <c r="D10208" s="9">
        <v>42781</v>
      </c>
      <c r="E10208" t="s">
        <v>296</v>
      </c>
      <c r="I10208" s="9"/>
    </row>
    <row r="10209" spans="1:9" x14ac:dyDescent="0.25">
      <c r="A10209">
        <v>833082</v>
      </c>
      <c r="B10209">
        <v>1.93</v>
      </c>
      <c r="C10209">
        <v>288</v>
      </c>
      <c r="D10209" s="9">
        <v>44125</v>
      </c>
      <c r="E10209" t="s">
        <v>296</v>
      </c>
      <c r="I10209" s="9"/>
    </row>
    <row r="10210" spans="1:9" x14ac:dyDescent="0.25">
      <c r="A10210">
        <v>833082</v>
      </c>
      <c r="B10210">
        <v>1.93</v>
      </c>
      <c r="C10210">
        <v>240</v>
      </c>
      <c r="D10210" s="9">
        <v>43941</v>
      </c>
      <c r="E10210" t="s">
        <v>296</v>
      </c>
      <c r="I10210" s="9"/>
    </row>
    <row r="10211" spans="1:9" x14ac:dyDescent="0.25">
      <c r="A10211">
        <v>833082</v>
      </c>
      <c r="B10211">
        <v>1.93</v>
      </c>
      <c r="C10211">
        <v>240</v>
      </c>
      <c r="D10211" s="9">
        <v>43684</v>
      </c>
      <c r="E10211" t="s">
        <v>296</v>
      </c>
      <c r="I10211" s="9"/>
    </row>
    <row r="10212" spans="1:9" x14ac:dyDescent="0.25">
      <c r="A10212">
        <v>833082</v>
      </c>
      <c r="B10212">
        <v>1.93</v>
      </c>
      <c r="C10212">
        <v>480</v>
      </c>
      <c r="D10212" s="9">
        <v>43284</v>
      </c>
      <c r="E10212" t="s">
        <v>296</v>
      </c>
      <c r="I10212" s="9"/>
    </row>
    <row r="10213" spans="1:9" x14ac:dyDescent="0.25">
      <c r="A10213">
        <v>833083</v>
      </c>
      <c r="B10213">
        <v>2</v>
      </c>
      <c r="C10213">
        <v>336</v>
      </c>
      <c r="D10213" s="9">
        <v>43991</v>
      </c>
      <c r="E10213" t="s">
        <v>296</v>
      </c>
      <c r="I10213" s="9"/>
    </row>
    <row r="10214" spans="1:9" x14ac:dyDescent="0.25">
      <c r="A10214">
        <v>833083</v>
      </c>
      <c r="B10214">
        <v>2</v>
      </c>
      <c r="C10214">
        <v>360</v>
      </c>
      <c r="D10214" s="9">
        <v>43684</v>
      </c>
      <c r="E10214" t="s">
        <v>296</v>
      </c>
      <c r="I10214" s="9"/>
    </row>
    <row r="10215" spans="1:9" x14ac:dyDescent="0.25">
      <c r="A10215">
        <v>833083</v>
      </c>
      <c r="B10215">
        <v>2</v>
      </c>
      <c r="C10215">
        <v>480</v>
      </c>
      <c r="D10215" s="9">
        <v>43473</v>
      </c>
      <c r="E10215" t="s">
        <v>296</v>
      </c>
      <c r="I10215" s="9"/>
    </row>
    <row r="10216" spans="1:9" x14ac:dyDescent="0.25">
      <c r="A10216">
        <v>833083</v>
      </c>
      <c r="B10216">
        <v>2</v>
      </c>
      <c r="C10216">
        <v>480</v>
      </c>
      <c r="D10216" s="9">
        <v>43284</v>
      </c>
      <c r="E10216" t="s">
        <v>296</v>
      </c>
      <c r="I10216" s="9"/>
    </row>
    <row r="10217" spans="1:9" x14ac:dyDescent="0.25">
      <c r="A10217">
        <v>833087</v>
      </c>
      <c r="B10217">
        <v>1.75</v>
      </c>
      <c r="C10217">
        <v>600</v>
      </c>
      <c r="D10217" s="9">
        <v>44060</v>
      </c>
      <c r="E10217" t="s">
        <v>296</v>
      </c>
      <c r="I10217" s="9"/>
    </row>
    <row r="10218" spans="1:9" x14ac:dyDescent="0.25">
      <c r="A10218">
        <v>833087</v>
      </c>
      <c r="B10218">
        <v>1.78</v>
      </c>
      <c r="C10218">
        <v>720</v>
      </c>
      <c r="D10218" s="9">
        <v>43769</v>
      </c>
      <c r="E10218" t="s">
        <v>296</v>
      </c>
      <c r="I10218" s="9"/>
    </row>
    <row r="10219" spans="1:9" x14ac:dyDescent="0.25">
      <c r="A10219">
        <v>833087</v>
      </c>
      <c r="B10219">
        <v>1.78</v>
      </c>
      <c r="C10219">
        <v>720</v>
      </c>
      <c r="D10219" s="9">
        <v>43592</v>
      </c>
      <c r="E10219" t="s">
        <v>296</v>
      </c>
      <c r="I10219" s="9"/>
    </row>
    <row r="10220" spans="1:9" x14ac:dyDescent="0.25">
      <c r="A10220">
        <v>833087</v>
      </c>
      <c r="B10220">
        <v>1.78</v>
      </c>
      <c r="C10220">
        <v>720</v>
      </c>
      <c r="D10220" s="9">
        <v>43391</v>
      </c>
      <c r="E10220" t="s">
        <v>296</v>
      </c>
      <c r="I10220" s="9"/>
    </row>
    <row r="10221" spans="1:9" x14ac:dyDescent="0.25">
      <c r="A10221">
        <v>833087</v>
      </c>
      <c r="B10221">
        <v>1.95</v>
      </c>
      <c r="C10221">
        <v>480</v>
      </c>
      <c r="D10221" s="9">
        <v>43284</v>
      </c>
      <c r="E10221" t="s">
        <v>296</v>
      </c>
      <c r="I10221" s="9"/>
    </row>
    <row r="10222" spans="1:9" x14ac:dyDescent="0.25">
      <c r="A10222">
        <v>833089</v>
      </c>
      <c r="B10222">
        <v>1.67</v>
      </c>
      <c r="C10222">
        <v>200</v>
      </c>
      <c r="D10222" s="9">
        <v>44102</v>
      </c>
      <c r="E10222" t="s">
        <v>296</v>
      </c>
      <c r="I10222" s="9"/>
    </row>
    <row r="10223" spans="1:9" x14ac:dyDescent="0.25">
      <c r="A10223">
        <v>833090</v>
      </c>
      <c r="B10223">
        <v>4.43</v>
      </c>
      <c r="C10223">
        <v>208</v>
      </c>
      <c r="D10223" s="9">
        <v>44102</v>
      </c>
      <c r="E10223" t="s">
        <v>296</v>
      </c>
      <c r="I10223" s="9"/>
    </row>
    <row r="10224" spans="1:9" x14ac:dyDescent="0.25">
      <c r="A10224">
        <v>833091</v>
      </c>
      <c r="B10224">
        <v>2.11</v>
      </c>
      <c r="C10224">
        <v>200</v>
      </c>
      <c r="D10224" s="9">
        <v>44102</v>
      </c>
      <c r="E10224" t="s">
        <v>296</v>
      </c>
      <c r="I10224" s="9"/>
    </row>
    <row r="10225" spans="1:9" x14ac:dyDescent="0.25">
      <c r="A10225">
        <v>833092</v>
      </c>
      <c r="B10225">
        <v>4.4800000000000004</v>
      </c>
      <c r="C10225">
        <v>120</v>
      </c>
      <c r="D10225" s="9">
        <v>44102</v>
      </c>
      <c r="E10225" t="s">
        <v>296</v>
      </c>
      <c r="I10225" s="9"/>
    </row>
    <row r="10226" spans="1:9" x14ac:dyDescent="0.25">
      <c r="A10226">
        <v>840205</v>
      </c>
      <c r="B10226">
        <v>2.4500000000000002</v>
      </c>
      <c r="C10226">
        <v>540</v>
      </c>
      <c r="D10226" s="9">
        <v>44048</v>
      </c>
      <c r="E10226" t="s">
        <v>295</v>
      </c>
      <c r="I10226" s="9"/>
    </row>
    <row r="10227" spans="1:9" x14ac:dyDescent="0.25">
      <c r="A10227">
        <v>840205</v>
      </c>
      <c r="B10227">
        <v>2.4500000000000002</v>
      </c>
      <c r="C10227">
        <v>420</v>
      </c>
      <c r="D10227" s="9">
        <v>43910</v>
      </c>
      <c r="E10227" t="s">
        <v>295</v>
      </c>
      <c r="I10227" s="9"/>
    </row>
    <row r="10228" spans="1:9" x14ac:dyDescent="0.25">
      <c r="A10228">
        <v>840205</v>
      </c>
      <c r="B10228">
        <v>2.4500000000000002</v>
      </c>
      <c r="C10228">
        <v>540</v>
      </c>
      <c r="D10228" s="9">
        <v>43900</v>
      </c>
      <c r="E10228" t="s">
        <v>295</v>
      </c>
      <c r="I10228" s="9"/>
    </row>
    <row r="10229" spans="1:9" x14ac:dyDescent="0.25">
      <c r="A10229">
        <v>840205</v>
      </c>
      <c r="B10229">
        <v>2.4500000000000002</v>
      </c>
      <c r="C10229">
        <v>480</v>
      </c>
      <c r="D10229" s="9">
        <v>43844</v>
      </c>
      <c r="E10229" t="s">
        <v>295</v>
      </c>
      <c r="I10229" s="9"/>
    </row>
    <row r="10230" spans="1:9" x14ac:dyDescent="0.25">
      <c r="A10230">
        <v>840205</v>
      </c>
      <c r="B10230">
        <v>2.4500000000000002</v>
      </c>
      <c r="C10230">
        <v>360</v>
      </c>
      <c r="D10230" s="9">
        <v>43727</v>
      </c>
      <c r="E10230" t="s">
        <v>295</v>
      </c>
      <c r="I10230" s="9"/>
    </row>
    <row r="10231" spans="1:9" x14ac:dyDescent="0.25">
      <c r="A10231">
        <v>840205</v>
      </c>
      <c r="B10231">
        <v>2.4500000000000002</v>
      </c>
      <c r="C10231">
        <v>540</v>
      </c>
      <c r="D10231" s="9">
        <v>43697</v>
      </c>
      <c r="E10231" t="s">
        <v>295</v>
      </c>
      <c r="I10231" s="9"/>
    </row>
    <row r="10232" spans="1:9" x14ac:dyDescent="0.25">
      <c r="A10232">
        <v>840205</v>
      </c>
      <c r="B10232">
        <v>2.4500000000000002</v>
      </c>
      <c r="C10232">
        <v>1080</v>
      </c>
      <c r="D10232" s="9">
        <v>43545</v>
      </c>
      <c r="E10232" t="s">
        <v>295</v>
      </c>
      <c r="I10232" s="9"/>
    </row>
    <row r="10233" spans="1:9" x14ac:dyDescent="0.25">
      <c r="A10233">
        <v>840205</v>
      </c>
      <c r="B10233">
        <v>2.4500000000000002</v>
      </c>
      <c r="C10233">
        <v>540</v>
      </c>
      <c r="D10233" s="9">
        <v>43530</v>
      </c>
      <c r="E10233" t="s">
        <v>295</v>
      </c>
      <c r="I10233" s="9"/>
    </row>
    <row r="10234" spans="1:9" x14ac:dyDescent="0.25">
      <c r="A10234">
        <v>840205</v>
      </c>
      <c r="B10234">
        <v>2.4500000000000002</v>
      </c>
      <c r="C10234">
        <v>480</v>
      </c>
      <c r="D10234" s="9">
        <v>43494</v>
      </c>
      <c r="E10234" t="s">
        <v>295</v>
      </c>
      <c r="I10234" s="9"/>
    </row>
    <row r="10235" spans="1:9" x14ac:dyDescent="0.25">
      <c r="A10235">
        <v>840205</v>
      </c>
      <c r="B10235">
        <v>2.4500000000000002</v>
      </c>
      <c r="C10235">
        <v>480</v>
      </c>
      <c r="D10235" s="9">
        <v>43475</v>
      </c>
      <c r="E10235" t="s">
        <v>295</v>
      </c>
      <c r="I10235" s="9"/>
    </row>
    <row r="10236" spans="1:9" x14ac:dyDescent="0.25">
      <c r="A10236">
        <v>840205</v>
      </c>
      <c r="B10236">
        <v>2.4500000000000002</v>
      </c>
      <c r="C10236">
        <v>360</v>
      </c>
      <c r="D10236" s="9">
        <v>43369</v>
      </c>
      <c r="E10236" t="s">
        <v>295</v>
      </c>
      <c r="I10236" s="9"/>
    </row>
    <row r="10237" spans="1:9" x14ac:dyDescent="0.25">
      <c r="A10237">
        <v>840205</v>
      </c>
      <c r="B10237">
        <v>2.4500000000000002</v>
      </c>
      <c r="C10237">
        <v>480</v>
      </c>
      <c r="D10237" s="9">
        <v>43312</v>
      </c>
      <c r="E10237" t="s">
        <v>295</v>
      </c>
      <c r="I10237" s="9"/>
    </row>
    <row r="10238" spans="1:9" x14ac:dyDescent="0.25">
      <c r="A10238">
        <v>840205</v>
      </c>
      <c r="B10238">
        <v>2.4500000000000002</v>
      </c>
      <c r="C10238">
        <v>480</v>
      </c>
      <c r="D10238" s="9">
        <v>43227</v>
      </c>
      <c r="E10238" t="s">
        <v>295</v>
      </c>
      <c r="I10238" s="9"/>
    </row>
    <row r="10239" spans="1:9" x14ac:dyDescent="0.25">
      <c r="A10239">
        <v>840205</v>
      </c>
      <c r="B10239">
        <v>2.4500000000000002</v>
      </c>
      <c r="C10239">
        <v>300</v>
      </c>
      <c r="D10239" s="9">
        <v>43182</v>
      </c>
      <c r="E10239" t="s">
        <v>295</v>
      </c>
      <c r="I10239" s="9"/>
    </row>
    <row r="10240" spans="1:9" x14ac:dyDescent="0.25">
      <c r="A10240">
        <v>840205</v>
      </c>
      <c r="B10240">
        <v>2.4500000000000002</v>
      </c>
      <c r="C10240">
        <v>480</v>
      </c>
      <c r="D10240" s="9">
        <v>43061</v>
      </c>
      <c r="E10240" t="s">
        <v>295</v>
      </c>
      <c r="I10240" s="9"/>
    </row>
    <row r="10241" spans="1:9" x14ac:dyDescent="0.25">
      <c r="A10241">
        <v>840205</v>
      </c>
      <c r="B10241">
        <v>2.4500000000000002</v>
      </c>
      <c r="C10241">
        <v>480</v>
      </c>
      <c r="D10241" s="9">
        <v>43055</v>
      </c>
      <c r="E10241" t="s">
        <v>295</v>
      </c>
      <c r="I10241" s="9"/>
    </row>
    <row r="10242" spans="1:9" x14ac:dyDescent="0.25">
      <c r="A10242">
        <v>840205</v>
      </c>
      <c r="B10242">
        <v>2.4500000000000002</v>
      </c>
      <c r="C10242">
        <v>480</v>
      </c>
      <c r="D10242" s="9">
        <v>43047</v>
      </c>
      <c r="E10242" t="s">
        <v>295</v>
      </c>
      <c r="I10242" s="9"/>
    </row>
    <row r="10243" spans="1:9" x14ac:dyDescent="0.25">
      <c r="A10243">
        <v>840205</v>
      </c>
      <c r="B10243">
        <v>2.4500000000000002</v>
      </c>
      <c r="C10243">
        <v>480</v>
      </c>
      <c r="D10243" s="9">
        <v>43045</v>
      </c>
      <c r="E10243" t="s">
        <v>295</v>
      </c>
      <c r="I10243" s="9"/>
    </row>
    <row r="10244" spans="1:9" x14ac:dyDescent="0.25">
      <c r="A10244">
        <v>840205</v>
      </c>
      <c r="B10244">
        <v>2.4500000000000002</v>
      </c>
      <c r="C10244">
        <v>1</v>
      </c>
      <c r="D10244" s="9">
        <v>43024</v>
      </c>
      <c r="E10244" t="s">
        <v>295</v>
      </c>
      <c r="I10244" s="9"/>
    </row>
    <row r="10245" spans="1:9" x14ac:dyDescent="0.25">
      <c r="A10245">
        <v>840205</v>
      </c>
      <c r="B10245">
        <v>2.4500000000000002</v>
      </c>
      <c r="C10245">
        <v>480</v>
      </c>
      <c r="D10245" s="9">
        <v>42990</v>
      </c>
      <c r="E10245" t="s">
        <v>295</v>
      </c>
      <c r="I10245" s="9"/>
    </row>
    <row r="10246" spans="1:9" x14ac:dyDescent="0.25">
      <c r="A10246">
        <v>840205</v>
      </c>
      <c r="B10246">
        <v>2.4500000000000002</v>
      </c>
      <c r="C10246">
        <v>480</v>
      </c>
      <c r="D10246" s="9">
        <v>42871</v>
      </c>
      <c r="E10246" t="s">
        <v>295</v>
      </c>
      <c r="I10246" s="9"/>
    </row>
    <row r="10247" spans="1:9" x14ac:dyDescent="0.25">
      <c r="A10247">
        <v>840205</v>
      </c>
      <c r="B10247">
        <v>2.4500000000000002</v>
      </c>
      <c r="C10247">
        <v>480</v>
      </c>
      <c r="D10247" s="9">
        <v>42864</v>
      </c>
      <c r="E10247" t="s">
        <v>295</v>
      </c>
      <c r="I10247" s="9"/>
    </row>
    <row r="10248" spans="1:9" x14ac:dyDescent="0.25">
      <c r="A10248">
        <v>840205</v>
      </c>
      <c r="B10248">
        <v>2.4500000000000002</v>
      </c>
      <c r="C10248">
        <v>480</v>
      </c>
      <c r="D10248" s="9">
        <v>42786</v>
      </c>
      <c r="E10248" t="s">
        <v>295</v>
      </c>
      <c r="I10248" s="9"/>
    </row>
    <row r="10249" spans="1:9" x14ac:dyDescent="0.25">
      <c r="A10249">
        <v>840205</v>
      </c>
      <c r="B10249">
        <v>2.35</v>
      </c>
      <c r="C10249">
        <v>480</v>
      </c>
      <c r="D10249" s="9">
        <v>42779</v>
      </c>
      <c r="E10249" t="s">
        <v>295</v>
      </c>
      <c r="I10249" s="9"/>
    </row>
    <row r="10250" spans="1:9" x14ac:dyDescent="0.25">
      <c r="A10250">
        <v>840205</v>
      </c>
      <c r="B10250">
        <v>2.35</v>
      </c>
      <c r="C10250">
        <v>480</v>
      </c>
      <c r="D10250" s="9">
        <v>42716</v>
      </c>
      <c r="E10250" t="s">
        <v>295</v>
      </c>
      <c r="I10250" s="9"/>
    </row>
    <row r="10251" spans="1:9" x14ac:dyDescent="0.25">
      <c r="A10251">
        <v>840205</v>
      </c>
      <c r="B10251">
        <v>2.35</v>
      </c>
      <c r="C10251">
        <v>420</v>
      </c>
      <c r="D10251" s="9">
        <v>42615</v>
      </c>
      <c r="E10251" t="s">
        <v>295</v>
      </c>
      <c r="I10251" s="9"/>
    </row>
    <row r="10252" spans="1:9" x14ac:dyDescent="0.25">
      <c r="A10252">
        <v>840205</v>
      </c>
      <c r="B10252">
        <v>2.35</v>
      </c>
      <c r="C10252">
        <v>480</v>
      </c>
      <c r="D10252" s="9">
        <v>42473</v>
      </c>
      <c r="E10252" t="s">
        <v>295</v>
      </c>
      <c r="I10252" s="9"/>
    </row>
    <row r="10253" spans="1:9" x14ac:dyDescent="0.25">
      <c r="A10253">
        <v>840205</v>
      </c>
      <c r="B10253">
        <v>2.35</v>
      </c>
      <c r="C10253">
        <v>480</v>
      </c>
      <c r="D10253" s="9">
        <v>42305</v>
      </c>
      <c r="E10253" t="s">
        <v>295</v>
      </c>
      <c r="I10253" s="9"/>
    </row>
    <row r="10254" spans="1:9" x14ac:dyDescent="0.25">
      <c r="A10254">
        <v>840205</v>
      </c>
      <c r="B10254">
        <v>2.35</v>
      </c>
      <c r="C10254">
        <v>480</v>
      </c>
      <c r="D10254" s="9">
        <v>42277</v>
      </c>
      <c r="E10254" t="s">
        <v>295</v>
      </c>
      <c r="I10254" s="9"/>
    </row>
    <row r="10255" spans="1:9" x14ac:dyDescent="0.25">
      <c r="A10255">
        <v>840205</v>
      </c>
      <c r="B10255">
        <v>2.35</v>
      </c>
      <c r="C10255">
        <v>420</v>
      </c>
      <c r="D10255" s="9">
        <v>42271</v>
      </c>
      <c r="E10255" t="s">
        <v>295</v>
      </c>
      <c r="I10255" s="9"/>
    </row>
    <row r="10256" spans="1:9" x14ac:dyDescent="0.25">
      <c r="A10256">
        <v>840205</v>
      </c>
      <c r="B10256">
        <v>2.35</v>
      </c>
      <c r="C10256">
        <v>540</v>
      </c>
      <c r="D10256" s="9">
        <v>42177</v>
      </c>
      <c r="E10256" t="s">
        <v>295</v>
      </c>
      <c r="I10256" s="9"/>
    </row>
    <row r="10257" spans="1:9" x14ac:dyDescent="0.25">
      <c r="A10257">
        <v>840205</v>
      </c>
      <c r="B10257">
        <v>2.35</v>
      </c>
      <c r="C10257">
        <v>540</v>
      </c>
      <c r="D10257" s="9">
        <v>42101</v>
      </c>
      <c r="E10257" t="s">
        <v>295</v>
      </c>
      <c r="I10257" s="9"/>
    </row>
    <row r="10258" spans="1:9" x14ac:dyDescent="0.25">
      <c r="A10258">
        <v>840205</v>
      </c>
      <c r="B10258">
        <v>2.35</v>
      </c>
      <c r="C10258">
        <v>540</v>
      </c>
      <c r="D10258" s="9">
        <v>42034</v>
      </c>
      <c r="E10258" t="s">
        <v>295</v>
      </c>
      <c r="I10258" s="9"/>
    </row>
    <row r="10259" spans="1:9" x14ac:dyDescent="0.25">
      <c r="A10259">
        <v>840205</v>
      </c>
      <c r="B10259">
        <v>2.35</v>
      </c>
      <c r="C10259">
        <v>540</v>
      </c>
      <c r="D10259" s="9">
        <v>41855</v>
      </c>
      <c r="E10259" t="s">
        <v>295</v>
      </c>
      <c r="I10259" s="9"/>
    </row>
    <row r="10260" spans="1:9" x14ac:dyDescent="0.25">
      <c r="A10260">
        <v>840205</v>
      </c>
      <c r="B10260">
        <v>2.35</v>
      </c>
      <c r="C10260">
        <v>540</v>
      </c>
      <c r="D10260" s="9">
        <v>41802</v>
      </c>
      <c r="E10260" t="s">
        <v>295</v>
      </c>
      <c r="I10260" s="9"/>
    </row>
    <row r="10261" spans="1:9" x14ac:dyDescent="0.25">
      <c r="A10261">
        <v>840205</v>
      </c>
      <c r="B10261">
        <v>2.35</v>
      </c>
      <c r="C10261">
        <v>540</v>
      </c>
      <c r="D10261" s="9">
        <v>41703</v>
      </c>
      <c r="E10261" t="s">
        <v>295</v>
      </c>
      <c r="I10261" s="9"/>
    </row>
    <row r="10262" spans="1:9" x14ac:dyDescent="0.25">
      <c r="A10262">
        <v>840205</v>
      </c>
      <c r="B10262">
        <v>2.4500000000000002</v>
      </c>
      <c r="C10262">
        <v>540</v>
      </c>
      <c r="D10262" s="9">
        <v>41563</v>
      </c>
      <c r="E10262" t="s">
        <v>295</v>
      </c>
      <c r="I10262" s="9"/>
    </row>
    <row r="10263" spans="1:9" x14ac:dyDescent="0.25">
      <c r="A10263">
        <v>840206</v>
      </c>
      <c r="B10263">
        <v>1.38</v>
      </c>
      <c r="C10263">
        <v>600</v>
      </c>
      <c r="D10263" s="9">
        <v>44105</v>
      </c>
      <c r="E10263" t="s">
        <v>295</v>
      </c>
      <c r="I10263" s="9"/>
    </row>
    <row r="10264" spans="1:9" x14ac:dyDescent="0.25">
      <c r="A10264">
        <v>840206</v>
      </c>
      <c r="B10264">
        <v>1.38</v>
      </c>
      <c r="C10264">
        <v>600</v>
      </c>
      <c r="D10264" s="9">
        <v>44048</v>
      </c>
      <c r="E10264" t="s">
        <v>295</v>
      </c>
      <c r="I10264" s="9"/>
    </row>
    <row r="10265" spans="1:9" x14ac:dyDescent="0.25">
      <c r="A10265">
        <v>840206</v>
      </c>
      <c r="B10265">
        <v>1.38</v>
      </c>
      <c r="C10265">
        <v>600</v>
      </c>
      <c r="D10265" s="9">
        <v>44035</v>
      </c>
      <c r="E10265" t="s">
        <v>295</v>
      </c>
      <c r="I10265" s="9"/>
    </row>
    <row r="10266" spans="1:9" x14ac:dyDescent="0.25">
      <c r="A10266">
        <v>840206</v>
      </c>
      <c r="B10266">
        <v>1.38</v>
      </c>
      <c r="C10266">
        <v>600</v>
      </c>
      <c r="D10266" s="9">
        <v>43978</v>
      </c>
      <c r="E10266" t="s">
        <v>295</v>
      </c>
      <c r="I10266" s="9"/>
    </row>
    <row r="10267" spans="1:9" x14ac:dyDescent="0.25">
      <c r="A10267">
        <v>840206</v>
      </c>
      <c r="B10267">
        <v>1.38</v>
      </c>
      <c r="C10267">
        <v>600</v>
      </c>
      <c r="D10267" s="9">
        <v>43893</v>
      </c>
      <c r="E10267" t="s">
        <v>295</v>
      </c>
      <c r="I10267" s="9"/>
    </row>
    <row r="10268" spans="1:9" x14ac:dyDescent="0.25">
      <c r="A10268">
        <v>840206</v>
      </c>
      <c r="B10268">
        <v>1.38</v>
      </c>
      <c r="C10268">
        <v>200</v>
      </c>
      <c r="D10268" s="9">
        <v>43864</v>
      </c>
      <c r="E10268" t="s">
        <v>295</v>
      </c>
      <c r="I10268" s="9"/>
    </row>
    <row r="10269" spans="1:9" x14ac:dyDescent="0.25">
      <c r="A10269">
        <v>840206</v>
      </c>
      <c r="B10269">
        <v>1.38</v>
      </c>
      <c r="C10269">
        <v>400</v>
      </c>
      <c r="D10269" s="9">
        <v>43837</v>
      </c>
      <c r="E10269" t="s">
        <v>295</v>
      </c>
      <c r="I10269" s="9"/>
    </row>
    <row r="10270" spans="1:9" x14ac:dyDescent="0.25">
      <c r="A10270">
        <v>840206</v>
      </c>
      <c r="B10270">
        <v>1.38</v>
      </c>
      <c r="C10270">
        <v>600</v>
      </c>
      <c r="D10270" s="9">
        <v>43775</v>
      </c>
      <c r="E10270" t="s">
        <v>295</v>
      </c>
      <c r="I10270" s="9"/>
    </row>
    <row r="10271" spans="1:9" x14ac:dyDescent="0.25">
      <c r="A10271">
        <v>840206</v>
      </c>
      <c r="B10271">
        <v>1.38</v>
      </c>
      <c r="C10271">
        <v>600</v>
      </c>
      <c r="D10271" s="9">
        <v>43697</v>
      </c>
      <c r="E10271" t="s">
        <v>295</v>
      </c>
      <c r="I10271" s="9"/>
    </row>
    <row r="10272" spans="1:9" x14ac:dyDescent="0.25">
      <c r="A10272">
        <v>840206</v>
      </c>
      <c r="B10272">
        <v>1.38</v>
      </c>
      <c r="C10272">
        <v>600</v>
      </c>
      <c r="D10272" s="9">
        <v>43677</v>
      </c>
      <c r="E10272" t="s">
        <v>295</v>
      </c>
      <c r="I10272" s="9"/>
    </row>
    <row r="10273" spans="1:9" x14ac:dyDescent="0.25">
      <c r="A10273">
        <v>840206</v>
      </c>
      <c r="B10273">
        <v>1.38</v>
      </c>
      <c r="C10273">
        <v>200</v>
      </c>
      <c r="D10273" s="9">
        <v>43662</v>
      </c>
      <c r="E10273" t="s">
        <v>295</v>
      </c>
      <c r="I10273" s="9"/>
    </row>
    <row r="10274" spans="1:9" x14ac:dyDescent="0.25">
      <c r="A10274">
        <v>840206</v>
      </c>
      <c r="B10274">
        <v>1.38</v>
      </c>
      <c r="C10274">
        <v>600</v>
      </c>
      <c r="D10274" s="9">
        <v>43627</v>
      </c>
      <c r="E10274" t="s">
        <v>295</v>
      </c>
      <c r="I10274" s="9"/>
    </row>
    <row r="10275" spans="1:9" x14ac:dyDescent="0.25">
      <c r="A10275">
        <v>840206</v>
      </c>
      <c r="B10275">
        <v>1.38</v>
      </c>
      <c r="C10275">
        <v>600</v>
      </c>
      <c r="D10275" s="9">
        <v>43591</v>
      </c>
      <c r="E10275" t="s">
        <v>295</v>
      </c>
      <c r="I10275" s="9"/>
    </row>
    <row r="10276" spans="1:9" x14ac:dyDescent="0.25">
      <c r="A10276">
        <v>840206</v>
      </c>
      <c r="B10276">
        <v>1.38</v>
      </c>
      <c r="C10276">
        <v>200</v>
      </c>
      <c r="D10276" s="9">
        <v>43543</v>
      </c>
      <c r="E10276" t="s">
        <v>295</v>
      </c>
      <c r="I10276" s="9"/>
    </row>
    <row r="10277" spans="1:9" x14ac:dyDescent="0.25">
      <c r="A10277">
        <v>840206</v>
      </c>
      <c r="B10277">
        <v>1.38</v>
      </c>
      <c r="C10277">
        <v>400</v>
      </c>
      <c r="D10277" s="9">
        <v>43530</v>
      </c>
      <c r="E10277" t="s">
        <v>295</v>
      </c>
      <c r="I10277" s="9"/>
    </row>
    <row r="10278" spans="1:9" x14ac:dyDescent="0.25">
      <c r="A10278">
        <v>840206</v>
      </c>
      <c r="B10278">
        <v>1.38</v>
      </c>
      <c r="C10278">
        <v>600</v>
      </c>
      <c r="D10278" s="9">
        <v>43480</v>
      </c>
      <c r="E10278" t="s">
        <v>295</v>
      </c>
      <c r="I10278" s="9"/>
    </row>
    <row r="10279" spans="1:9" x14ac:dyDescent="0.25">
      <c r="A10279">
        <v>840206</v>
      </c>
      <c r="B10279">
        <v>1.38</v>
      </c>
      <c r="C10279">
        <v>200</v>
      </c>
      <c r="D10279" s="9">
        <v>43417</v>
      </c>
      <c r="E10279" t="s">
        <v>295</v>
      </c>
      <c r="I10279" s="9"/>
    </row>
    <row r="10280" spans="1:9" x14ac:dyDescent="0.25">
      <c r="A10280">
        <v>840206</v>
      </c>
      <c r="B10280">
        <v>1.38</v>
      </c>
      <c r="C10280">
        <v>600</v>
      </c>
      <c r="D10280" s="9">
        <v>43412</v>
      </c>
      <c r="E10280" t="s">
        <v>295</v>
      </c>
      <c r="I10280" s="9"/>
    </row>
    <row r="10281" spans="1:9" x14ac:dyDescent="0.25">
      <c r="A10281">
        <v>840206</v>
      </c>
      <c r="B10281">
        <v>1.38</v>
      </c>
      <c r="C10281">
        <v>400</v>
      </c>
      <c r="D10281" s="9">
        <v>43276</v>
      </c>
      <c r="E10281" t="s">
        <v>295</v>
      </c>
      <c r="I10281" s="9"/>
    </row>
    <row r="10282" spans="1:9" x14ac:dyDescent="0.25">
      <c r="A10282">
        <v>840206</v>
      </c>
      <c r="B10282">
        <v>1.38</v>
      </c>
      <c r="C10282">
        <v>800</v>
      </c>
      <c r="D10282" s="9">
        <v>43265</v>
      </c>
      <c r="E10282" t="s">
        <v>295</v>
      </c>
      <c r="I10282" s="9"/>
    </row>
    <row r="10283" spans="1:9" x14ac:dyDescent="0.25">
      <c r="A10283">
        <v>840206</v>
      </c>
      <c r="B10283">
        <v>1.38</v>
      </c>
      <c r="C10283">
        <v>800</v>
      </c>
      <c r="D10283" s="9">
        <v>43257</v>
      </c>
      <c r="E10283" t="s">
        <v>295</v>
      </c>
      <c r="I10283" s="9"/>
    </row>
    <row r="10284" spans="1:9" x14ac:dyDescent="0.25">
      <c r="A10284">
        <v>840206</v>
      </c>
      <c r="B10284">
        <v>1.38</v>
      </c>
      <c r="C10284">
        <v>800</v>
      </c>
      <c r="D10284" s="9">
        <v>43229</v>
      </c>
      <c r="E10284" t="s">
        <v>295</v>
      </c>
      <c r="I10284" s="9"/>
    </row>
    <row r="10285" spans="1:9" x14ac:dyDescent="0.25">
      <c r="A10285">
        <v>840206</v>
      </c>
      <c r="B10285">
        <v>1.38</v>
      </c>
      <c r="C10285">
        <v>800</v>
      </c>
      <c r="D10285" s="9">
        <v>43161</v>
      </c>
      <c r="E10285" t="s">
        <v>295</v>
      </c>
      <c r="I10285" s="9"/>
    </row>
    <row r="10286" spans="1:9" x14ac:dyDescent="0.25">
      <c r="A10286">
        <v>840206</v>
      </c>
      <c r="B10286">
        <v>1.38</v>
      </c>
      <c r="C10286">
        <v>783</v>
      </c>
      <c r="D10286" s="9">
        <v>43103</v>
      </c>
      <c r="E10286" t="s">
        <v>295</v>
      </c>
      <c r="I10286" s="9"/>
    </row>
    <row r="10287" spans="1:9" x14ac:dyDescent="0.25">
      <c r="A10287">
        <v>840206</v>
      </c>
      <c r="B10287">
        <v>1.38</v>
      </c>
      <c r="C10287">
        <v>500</v>
      </c>
      <c r="D10287" s="9">
        <v>43020</v>
      </c>
      <c r="E10287" t="s">
        <v>295</v>
      </c>
      <c r="I10287" s="9"/>
    </row>
    <row r="10288" spans="1:9" x14ac:dyDescent="0.25">
      <c r="A10288">
        <v>840206</v>
      </c>
      <c r="B10288">
        <v>1.38</v>
      </c>
      <c r="C10288">
        <v>500</v>
      </c>
      <c r="D10288" s="9">
        <v>42990</v>
      </c>
      <c r="E10288" t="s">
        <v>295</v>
      </c>
      <c r="I10288" s="9"/>
    </row>
    <row r="10289" spans="1:9" x14ac:dyDescent="0.25">
      <c r="A10289">
        <v>840206</v>
      </c>
      <c r="B10289">
        <v>1.38</v>
      </c>
      <c r="C10289">
        <v>500</v>
      </c>
      <c r="D10289" s="9">
        <v>42894</v>
      </c>
      <c r="E10289" t="s">
        <v>295</v>
      </c>
      <c r="I10289" s="9"/>
    </row>
    <row r="10290" spans="1:9" x14ac:dyDescent="0.25">
      <c r="A10290">
        <v>840206</v>
      </c>
      <c r="B10290">
        <v>1.38</v>
      </c>
      <c r="C10290">
        <v>500</v>
      </c>
      <c r="D10290" s="9">
        <v>42864</v>
      </c>
      <c r="E10290" t="s">
        <v>295</v>
      </c>
      <c r="I10290" s="9"/>
    </row>
    <row r="10291" spans="1:9" x14ac:dyDescent="0.25">
      <c r="A10291">
        <v>840206</v>
      </c>
      <c r="B10291">
        <v>1.38</v>
      </c>
      <c r="C10291">
        <v>500</v>
      </c>
      <c r="D10291" s="9">
        <v>42804</v>
      </c>
      <c r="E10291" t="s">
        <v>295</v>
      </c>
      <c r="I10291" s="9"/>
    </row>
    <row r="10292" spans="1:9" x14ac:dyDescent="0.25">
      <c r="A10292">
        <v>840206</v>
      </c>
      <c r="B10292">
        <v>1.27</v>
      </c>
      <c r="C10292">
        <v>500</v>
      </c>
      <c r="D10292" s="9">
        <v>42733</v>
      </c>
      <c r="E10292" t="s">
        <v>295</v>
      </c>
      <c r="I10292" s="9"/>
    </row>
    <row r="10293" spans="1:9" x14ac:dyDescent="0.25">
      <c r="A10293">
        <v>840206</v>
      </c>
      <c r="B10293">
        <v>1.3</v>
      </c>
      <c r="C10293">
        <v>500</v>
      </c>
      <c r="D10293" s="9">
        <v>42662</v>
      </c>
      <c r="E10293" t="s">
        <v>295</v>
      </c>
      <c r="I10293" s="9"/>
    </row>
    <row r="10294" spans="1:9" x14ac:dyDescent="0.25">
      <c r="A10294">
        <v>840206</v>
      </c>
      <c r="B10294">
        <v>1.3</v>
      </c>
      <c r="C10294">
        <v>1500</v>
      </c>
      <c r="D10294" s="9">
        <v>42628</v>
      </c>
      <c r="E10294" t="s">
        <v>295</v>
      </c>
      <c r="I10294" s="9"/>
    </row>
    <row r="10295" spans="1:9" x14ac:dyDescent="0.25">
      <c r="A10295">
        <v>840206</v>
      </c>
      <c r="B10295">
        <v>1.3</v>
      </c>
      <c r="C10295">
        <v>200</v>
      </c>
      <c r="D10295" s="9">
        <v>42619</v>
      </c>
      <c r="E10295" t="s">
        <v>295</v>
      </c>
      <c r="I10295" s="9"/>
    </row>
    <row r="10296" spans="1:9" x14ac:dyDescent="0.25">
      <c r="A10296">
        <v>840206</v>
      </c>
      <c r="B10296">
        <v>1.3</v>
      </c>
      <c r="C10296">
        <v>400</v>
      </c>
      <c r="D10296" s="9">
        <v>42584</v>
      </c>
      <c r="E10296" t="s">
        <v>295</v>
      </c>
      <c r="I10296" s="9"/>
    </row>
    <row r="10297" spans="1:9" x14ac:dyDescent="0.25">
      <c r="A10297">
        <v>840206</v>
      </c>
      <c r="B10297">
        <v>1.3</v>
      </c>
      <c r="C10297">
        <v>500</v>
      </c>
      <c r="D10297" s="9">
        <v>42524</v>
      </c>
      <c r="E10297" t="s">
        <v>295</v>
      </c>
      <c r="I10297" s="9"/>
    </row>
    <row r="10298" spans="1:9" x14ac:dyDescent="0.25">
      <c r="A10298">
        <v>840206</v>
      </c>
      <c r="B10298">
        <v>1.3</v>
      </c>
      <c r="C10298">
        <v>400</v>
      </c>
      <c r="D10298" s="9">
        <v>42500</v>
      </c>
      <c r="E10298" t="s">
        <v>295</v>
      </c>
      <c r="I10298" s="9"/>
    </row>
    <row r="10299" spans="1:9" x14ac:dyDescent="0.25">
      <c r="A10299">
        <v>840206</v>
      </c>
      <c r="B10299">
        <v>1.3</v>
      </c>
      <c r="C10299">
        <v>500</v>
      </c>
      <c r="D10299" s="9">
        <v>42446</v>
      </c>
      <c r="E10299" t="s">
        <v>295</v>
      </c>
      <c r="I10299" s="9"/>
    </row>
    <row r="10300" spans="1:9" x14ac:dyDescent="0.25">
      <c r="A10300">
        <v>840206</v>
      </c>
      <c r="B10300">
        <v>1.3</v>
      </c>
      <c r="C10300">
        <v>300</v>
      </c>
      <c r="D10300" s="9">
        <v>42398</v>
      </c>
      <c r="E10300" t="s">
        <v>295</v>
      </c>
      <c r="I10300" s="9"/>
    </row>
    <row r="10301" spans="1:9" x14ac:dyDescent="0.25">
      <c r="A10301">
        <v>840206</v>
      </c>
      <c r="B10301">
        <v>1.3</v>
      </c>
      <c r="C10301">
        <v>300</v>
      </c>
      <c r="D10301" s="9">
        <v>42381</v>
      </c>
      <c r="E10301" t="s">
        <v>295</v>
      </c>
      <c r="I10301" s="9"/>
    </row>
    <row r="10302" spans="1:9" x14ac:dyDescent="0.25">
      <c r="A10302">
        <v>840206</v>
      </c>
      <c r="B10302">
        <v>1.3</v>
      </c>
      <c r="C10302">
        <v>300</v>
      </c>
      <c r="D10302" s="9">
        <v>42334</v>
      </c>
      <c r="E10302" t="s">
        <v>295</v>
      </c>
      <c r="I10302" s="9"/>
    </row>
    <row r="10303" spans="1:9" x14ac:dyDescent="0.25">
      <c r="A10303">
        <v>840206</v>
      </c>
      <c r="B10303">
        <v>1.3</v>
      </c>
      <c r="C10303">
        <v>300</v>
      </c>
      <c r="D10303" s="9">
        <v>42296</v>
      </c>
      <c r="E10303" t="s">
        <v>295</v>
      </c>
      <c r="I10303" s="9"/>
    </row>
    <row r="10304" spans="1:9" x14ac:dyDescent="0.25">
      <c r="A10304">
        <v>840206</v>
      </c>
      <c r="B10304">
        <v>1.3</v>
      </c>
      <c r="C10304">
        <v>300</v>
      </c>
      <c r="D10304" s="9">
        <v>42271</v>
      </c>
      <c r="E10304" t="s">
        <v>295</v>
      </c>
      <c r="I10304" s="9"/>
    </row>
    <row r="10305" spans="1:9" x14ac:dyDescent="0.25">
      <c r="A10305">
        <v>840206</v>
      </c>
      <c r="B10305">
        <v>1.3</v>
      </c>
      <c r="C10305">
        <v>300</v>
      </c>
      <c r="D10305" s="9">
        <v>42177</v>
      </c>
      <c r="E10305" t="s">
        <v>295</v>
      </c>
      <c r="I10305" s="9"/>
    </row>
    <row r="10306" spans="1:9" x14ac:dyDescent="0.25">
      <c r="A10306">
        <v>840206</v>
      </c>
      <c r="B10306">
        <v>1.3</v>
      </c>
      <c r="C10306">
        <v>300</v>
      </c>
      <c r="D10306" s="9">
        <v>42136</v>
      </c>
      <c r="E10306" t="s">
        <v>295</v>
      </c>
      <c r="I10306" s="9"/>
    </row>
    <row r="10307" spans="1:9" x14ac:dyDescent="0.25">
      <c r="A10307">
        <v>840206</v>
      </c>
      <c r="B10307">
        <v>1.3</v>
      </c>
      <c r="C10307">
        <v>500</v>
      </c>
      <c r="D10307" s="9">
        <v>42111</v>
      </c>
      <c r="E10307" t="s">
        <v>295</v>
      </c>
      <c r="I10307" s="9"/>
    </row>
    <row r="10308" spans="1:9" x14ac:dyDescent="0.25">
      <c r="A10308">
        <v>840206</v>
      </c>
      <c r="B10308">
        <v>1.3</v>
      </c>
      <c r="C10308">
        <v>800</v>
      </c>
      <c r="D10308" s="9">
        <v>42034</v>
      </c>
      <c r="E10308" t="s">
        <v>295</v>
      </c>
      <c r="I10308" s="9"/>
    </row>
    <row r="10309" spans="1:9" x14ac:dyDescent="0.25">
      <c r="A10309">
        <v>840206</v>
      </c>
      <c r="B10309">
        <v>1.3</v>
      </c>
      <c r="C10309">
        <v>800</v>
      </c>
      <c r="D10309" s="9">
        <v>41921</v>
      </c>
      <c r="E10309" t="s">
        <v>295</v>
      </c>
      <c r="I10309" s="9"/>
    </row>
    <row r="10310" spans="1:9" x14ac:dyDescent="0.25">
      <c r="A10310">
        <v>840206</v>
      </c>
      <c r="B10310">
        <v>1.3</v>
      </c>
      <c r="C10310">
        <v>800</v>
      </c>
      <c r="D10310" s="9">
        <v>41862</v>
      </c>
      <c r="E10310" t="s">
        <v>295</v>
      </c>
      <c r="I10310" s="9"/>
    </row>
    <row r="10311" spans="1:9" x14ac:dyDescent="0.25">
      <c r="A10311">
        <v>840206</v>
      </c>
      <c r="B10311">
        <v>1.3</v>
      </c>
      <c r="C10311">
        <v>800</v>
      </c>
      <c r="D10311" s="9">
        <v>41855</v>
      </c>
      <c r="E10311" t="s">
        <v>295</v>
      </c>
      <c r="I10311" s="9"/>
    </row>
    <row r="10312" spans="1:9" x14ac:dyDescent="0.25">
      <c r="A10312">
        <v>840206</v>
      </c>
      <c r="B10312">
        <v>1.3</v>
      </c>
      <c r="C10312">
        <v>800</v>
      </c>
      <c r="D10312" s="9">
        <v>41775</v>
      </c>
      <c r="E10312" t="s">
        <v>295</v>
      </c>
      <c r="I10312" s="9"/>
    </row>
    <row r="10313" spans="1:9" x14ac:dyDescent="0.25">
      <c r="A10313">
        <v>840206</v>
      </c>
      <c r="B10313">
        <v>1.3</v>
      </c>
      <c r="C10313">
        <v>800</v>
      </c>
      <c r="D10313" s="9">
        <v>41743</v>
      </c>
      <c r="E10313" t="s">
        <v>295</v>
      </c>
      <c r="I10313" s="9"/>
    </row>
    <row r="10314" spans="1:9" x14ac:dyDescent="0.25">
      <c r="A10314">
        <v>840206</v>
      </c>
      <c r="B10314">
        <v>1.3</v>
      </c>
      <c r="C10314">
        <v>800</v>
      </c>
      <c r="D10314" s="9">
        <v>41737</v>
      </c>
      <c r="E10314" t="s">
        <v>295</v>
      </c>
      <c r="I10314" s="9"/>
    </row>
    <row r="10315" spans="1:9" x14ac:dyDescent="0.25">
      <c r="A10315">
        <v>840206</v>
      </c>
      <c r="B10315">
        <v>1.3</v>
      </c>
      <c r="C10315">
        <v>800</v>
      </c>
      <c r="D10315" s="9">
        <v>41733</v>
      </c>
      <c r="E10315" t="s">
        <v>295</v>
      </c>
      <c r="I10315" s="9"/>
    </row>
    <row r="10316" spans="1:9" x14ac:dyDescent="0.25">
      <c r="A10316">
        <v>840206</v>
      </c>
      <c r="B10316">
        <v>1.3</v>
      </c>
      <c r="C10316">
        <v>768</v>
      </c>
      <c r="D10316" s="9">
        <v>41670</v>
      </c>
      <c r="E10316" t="s">
        <v>295</v>
      </c>
      <c r="I10316" s="9"/>
    </row>
    <row r="10317" spans="1:9" x14ac:dyDescent="0.25">
      <c r="A10317">
        <v>840206</v>
      </c>
      <c r="B10317">
        <v>1.3</v>
      </c>
      <c r="C10317">
        <v>300</v>
      </c>
      <c r="D10317" s="9">
        <v>41603</v>
      </c>
      <c r="E10317" t="s">
        <v>295</v>
      </c>
      <c r="I10317" s="9"/>
    </row>
    <row r="10318" spans="1:9" x14ac:dyDescent="0.25">
      <c r="A10318">
        <v>840207</v>
      </c>
      <c r="B10318">
        <v>1.69</v>
      </c>
      <c r="C10318">
        <v>300</v>
      </c>
      <c r="D10318" s="9">
        <v>44119</v>
      </c>
      <c r="E10318" t="s">
        <v>295</v>
      </c>
      <c r="I10318" s="9"/>
    </row>
    <row r="10319" spans="1:9" x14ac:dyDescent="0.25">
      <c r="A10319">
        <v>840207</v>
      </c>
      <c r="B10319">
        <v>1.69</v>
      </c>
      <c r="C10319">
        <v>300</v>
      </c>
      <c r="D10319" s="9">
        <v>44035</v>
      </c>
      <c r="E10319" t="s">
        <v>295</v>
      </c>
      <c r="I10319" s="9"/>
    </row>
    <row r="10320" spans="1:9" x14ac:dyDescent="0.25">
      <c r="A10320">
        <v>840207</v>
      </c>
      <c r="B10320">
        <v>1.69</v>
      </c>
      <c r="C10320">
        <v>300</v>
      </c>
      <c r="D10320" s="9">
        <v>43775</v>
      </c>
      <c r="E10320" t="s">
        <v>295</v>
      </c>
      <c r="I10320" s="9"/>
    </row>
    <row r="10321" spans="1:9" x14ac:dyDescent="0.25">
      <c r="A10321">
        <v>840207</v>
      </c>
      <c r="B10321">
        <v>1.69</v>
      </c>
      <c r="C10321">
        <v>600</v>
      </c>
      <c r="D10321" s="9">
        <v>43650</v>
      </c>
      <c r="E10321" t="s">
        <v>295</v>
      </c>
      <c r="I10321" s="9"/>
    </row>
    <row r="10322" spans="1:9" x14ac:dyDescent="0.25">
      <c r="A10322">
        <v>840207</v>
      </c>
      <c r="B10322">
        <v>1.69</v>
      </c>
      <c r="C10322">
        <v>400</v>
      </c>
      <c r="D10322" s="9">
        <v>43552</v>
      </c>
      <c r="E10322" t="s">
        <v>295</v>
      </c>
      <c r="I10322" s="9"/>
    </row>
    <row r="10323" spans="1:9" x14ac:dyDescent="0.25">
      <c r="A10323">
        <v>840207</v>
      </c>
      <c r="B10323">
        <v>1.69</v>
      </c>
      <c r="C10323">
        <v>400</v>
      </c>
      <c r="D10323" s="9">
        <v>43424</v>
      </c>
      <c r="E10323" t="s">
        <v>295</v>
      </c>
      <c r="I10323" s="9"/>
    </row>
    <row r="10324" spans="1:9" x14ac:dyDescent="0.25">
      <c r="A10324">
        <v>840207</v>
      </c>
      <c r="B10324">
        <v>1.69</v>
      </c>
      <c r="C10324">
        <v>200</v>
      </c>
      <c r="D10324" s="9">
        <v>43417</v>
      </c>
      <c r="E10324" t="s">
        <v>295</v>
      </c>
      <c r="I10324" s="9"/>
    </row>
    <row r="10325" spans="1:9" x14ac:dyDescent="0.25">
      <c r="A10325">
        <v>840207</v>
      </c>
      <c r="B10325">
        <v>1.69</v>
      </c>
      <c r="C10325">
        <v>200</v>
      </c>
      <c r="D10325" s="9">
        <v>43319</v>
      </c>
      <c r="E10325" t="s">
        <v>295</v>
      </c>
      <c r="I10325" s="9"/>
    </row>
    <row r="10326" spans="1:9" x14ac:dyDescent="0.25">
      <c r="A10326">
        <v>840207</v>
      </c>
      <c r="B10326">
        <v>1.69</v>
      </c>
      <c r="C10326">
        <v>200</v>
      </c>
      <c r="D10326" s="9">
        <v>43229</v>
      </c>
      <c r="E10326" t="s">
        <v>295</v>
      </c>
      <c r="I10326" s="9"/>
    </row>
    <row r="10327" spans="1:9" x14ac:dyDescent="0.25">
      <c r="A10327">
        <v>840207</v>
      </c>
      <c r="B10327">
        <v>1.69</v>
      </c>
      <c r="C10327">
        <v>200</v>
      </c>
      <c r="D10327" s="9">
        <v>43161</v>
      </c>
      <c r="E10327" t="s">
        <v>295</v>
      </c>
      <c r="I10327" s="9"/>
    </row>
    <row r="10328" spans="1:9" x14ac:dyDescent="0.25">
      <c r="A10328">
        <v>840207</v>
      </c>
      <c r="B10328">
        <v>1.69</v>
      </c>
      <c r="C10328">
        <v>300</v>
      </c>
      <c r="D10328" s="9">
        <v>43103</v>
      </c>
      <c r="E10328" t="s">
        <v>295</v>
      </c>
      <c r="I10328" s="9"/>
    </row>
    <row r="10329" spans="1:9" x14ac:dyDescent="0.25">
      <c r="A10329">
        <v>840207</v>
      </c>
      <c r="B10329">
        <v>1.69</v>
      </c>
      <c r="C10329">
        <v>200</v>
      </c>
      <c r="D10329" s="9">
        <v>43020</v>
      </c>
      <c r="E10329" t="s">
        <v>295</v>
      </c>
      <c r="I10329" s="9"/>
    </row>
    <row r="10330" spans="1:9" x14ac:dyDescent="0.25">
      <c r="A10330">
        <v>840207</v>
      </c>
      <c r="B10330">
        <v>1.69</v>
      </c>
      <c r="C10330">
        <v>200</v>
      </c>
      <c r="D10330" s="9">
        <v>42990</v>
      </c>
      <c r="E10330" t="s">
        <v>295</v>
      </c>
      <c r="I10330" s="9"/>
    </row>
    <row r="10331" spans="1:9" x14ac:dyDescent="0.25">
      <c r="A10331">
        <v>840207</v>
      </c>
      <c r="B10331">
        <v>1.69</v>
      </c>
      <c r="C10331">
        <v>200</v>
      </c>
      <c r="D10331" s="9">
        <v>42894</v>
      </c>
      <c r="E10331" t="s">
        <v>295</v>
      </c>
      <c r="I10331" s="9"/>
    </row>
    <row r="10332" spans="1:9" x14ac:dyDescent="0.25">
      <c r="A10332">
        <v>840207</v>
      </c>
      <c r="B10332">
        <v>1.69</v>
      </c>
      <c r="C10332">
        <v>200</v>
      </c>
      <c r="D10332" s="9">
        <v>42864</v>
      </c>
      <c r="E10332" t="s">
        <v>295</v>
      </c>
      <c r="I10332" s="9"/>
    </row>
    <row r="10333" spans="1:9" x14ac:dyDescent="0.25">
      <c r="A10333">
        <v>840207</v>
      </c>
      <c r="B10333">
        <v>1.69</v>
      </c>
      <c r="C10333">
        <v>200</v>
      </c>
      <c r="D10333" s="9">
        <v>42804</v>
      </c>
      <c r="E10333" t="s">
        <v>295</v>
      </c>
      <c r="I10333" s="9"/>
    </row>
    <row r="10334" spans="1:9" x14ac:dyDescent="0.25">
      <c r="A10334">
        <v>840207</v>
      </c>
      <c r="B10334">
        <v>1.4</v>
      </c>
      <c r="C10334">
        <v>100</v>
      </c>
      <c r="D10334" s="9">
        <v>42754</v>
      </c>
      <c r="E10334" t="s">
        <v>295</v>
      </c>
      <c r="I10334" s="9"/>
    </row>
    <row r="10335" spans="1:9" x14ac:dyDescent="0.25">
      <c r="A10335">
        <v>840207</v>
      </c>
      <c r="B10335">
        <v>1.4</v>
      </c>
      <c r="C10335">
        <v>96</v>
      </c>
      <c r="D10335" s="9">
        <v>42584</v>
      </c>
      <c r="E10335" t="s">
        <v>295</v>
      </c>
      <c r="I10335" s="9"/>
    </row>
    <row r="10336" spans="1:9" x14ac:dyDescent="0.25">
      <c r="A10336">
        <v>840207</v>
      </c>
      <c r="B10336">
        <v>1.4</v>
      </c>
      <c r="C10336">
        <v>200</v>
      </c>
      <c r="D10336" s="9">
        <v>42500</v>
      </c>
      <c r="E10336" t="s">
        <v>295</v>
      </c>
      <c r="I10336" s="9"/>
    </row>
    <row r="10337" spans="1:9" x14ac:dyDescent="0.25">
      <c r="A10337">
        <v>840207</v>
      </c>
      <c r="B10337">
        <v>1.4</v>
      </c>
      <c r="C10337">
        <v>200</v>
      </c>
      <c r="D10337" s="9">
        <v>42458</v>
      </c>
      <c r="E10337" t="s">
        <v>295</v>
      </c>
      <c r="I10337" s="9"/>
    </row>
    <row r="10338" spans="1:9" x14ac:dyDescent="0.25">
      <c r="A10338">
        <v>840207</v>
      </c>
      <c r="B10338">
        <v>1.4</v>
      </c>
      <c r="C10338">
        <v>200</v>
      </c>
      <c r="D10338" s="9">
        <v>42451</v>
      </c>
      <c r="E10338" t="s">
        <v>295</v>
      </c>
      <c r="I10338" s="9"/>
    </row>
    <row r="10339" spans="1:9" x14ac:dyDescent="0.25">
      <c r="A10339">
        <v>840207</v>
      </c>
      <c r="B10339">
        <v>1.4</v>
      </c>
      <c r="C10339">
        <v>200</v>
      </c>
      <c r="D10339" s="9">
        <v>42398</v>
      </c>
      <c r="E10339" t="s">
        <v>295</v>
      </c>
      <c r="I10339" s="9"/>
    </row>
    <row r="10340" spans="1:9" x14ac:dyDescent="0.25">
      <c r="A10340">
        <v>840207</v>
      </c>
      <c r="B10340">
        <v>1.4</v>
      </c>
      <c r="C10340">
        <v>300</v>
      </c>
      <c r="D10340" s="9">
        <v>42186</v>
      </c>
      <c r="E10340" t="s">
        <v>295</v>
      </c>
      <c r="I10340" s="9"/>
    </row>
    <row r="10341" spans="1:9" x14ac:dyDescent="0.25">
      <c r="A10341">
        <v>840207</v>
      </c>
      <c r="B10341">
        <v>1.4</v>
      </c>
      <c r="C10341">
        <v>300</v>
      </c>
      <c r="D10341" s="9">
        <v>42177</v>
      </c>
      <c r="E10341" t="s">
        <v>295</v>
      </c>
      <c r="I10341" s="9"/>
    </row>
    <row r="10342" spans="1:9" x14ac:dyDescent="0.25">
      <c r="A10342">
        <v>840207</v>
      </c>
      <c r="B10342">
        <v>1.4</v>
      </c>
      <c r="C10342">
        <v>300</v>
      </c>
      <c r="D10342" s="9">
        <v>42047</v>
      </c>
      <c r="E10342" t="s">
        <v>295</v>
      </c>
      <c r="I10342" s="9"/>
    </row>
    <row r="10343" spans="1:9" x14ac:dyDescent="0.25">
      <c r="A10343">
        <v>840207</v>
      </c>
      <c r="B10343">
        <v>1.4</v>
      </c>
      <c r="C10343">
        <v>300</v>
      </c>
      <c r="D10343" s="9">
        <v>42034</v>
      </c>
      <c r="E10343" t="s">
        <v>295</v>
      </c>
      <c r="I10343" s="9"/>
    </row>
    <row r="10344" spans="1:9" x14ac:dyDescent="0.25">
      <c r="A10344">
        <v>840207</v>
      </c>
      <c r="B10344">
        <v>1.4</v>
      </c>
      <c r="C10344">
        <v>300</v>
      </c>
      <c r="D10344" s="9">
        <v>41855</v>
      </c>
      <c r="E10344" t="s">
        <v>295</v>
      </c>
      <c r="I10344" s="9"/>
    </row>
    <row r="10345" spans="1:9" x14ac:dyDescent="0.25">
      <c r="A10345">
        <v>840207</v>
      </c>
      <c r="B10345">
        <v>1.4</v>
      </c>
      <c r="C10345">
        <v>300</v>
      </c>
      <c r="D10345" s="9">
        <v>41794</v>
      </c>
      <c r="E10345" t="s">
        <v>295</v>
      </c>
      <c r="I10345" s="9"/>
    </row>
    <row r="10346" spans="1:9" x14ac:dyDescent="0.25">
      <c r="A10346">
        <v>840207</v>
      </c>
      <c r="B10346">
        <v>1.4</v>
      </c>
      <c r="C10346">
        <v>200</v>
      </c>
      <c r="D10346" s="9">
        <v>41733</v>
      </c>
      <c r="E10346" t="s">
        <v>295</v>
      </c>
      <c r="I10346" s="9"/>
    </row>
    <row r="10347" spans="1:9" x14ac:dyDescent="0.25">
      <c r="A10347">
        <v>840207</v>
      </c>
      <c r="B10347">
        <v>1.4</v>
      </c>
      <c r="C10347">
        <v>200</v>
      </c>
      <c r="D10347" s="9">
        <v>41603</v>
      </c>
      <c r="E10347" t="s">
        <v>295</v>
      </c>
      <c r="I10347" s="9"/>
    </row>
    <row r="10348" spans="1:9" x14ac:dyDescent="0.25">
      <c r="A10348">
        <v>840207</v>
      </c>
      <c r="B10348">
        <v>1.4</v>
      </c>
      <c r="C10348">
        <v>150</v>
      </c>
      <c r="D10348" s="9">
        <v>41556</v>
      </c>
      <c r="E10348" t="s">
        <v>295</v>
      </c>
      <c r="I10348" s="9"/>
    </row>
    <row r="10349" spans="1:9" x14ac:dyDescent="0.25">
      <c r="A10349">
        <v>840240</v>
      </c>
      <c r="B10349">
        <v>1.38</v>
      </c>
      <c r="C10349">
        <v>600</v>
      </c>
      <c r="D10349" s="9">
        <v>44110</v>
      </c>
      <c r="E10349" t="s">
        <v>295</v>
      </c>
      <c r="I10349" s="9"/>
    </row>
    <row r="10350" spans="1:9" x14ac:dyDescent="0.25">
      <c r="A10350">
        <v>840240</v>
      </c>
      <c r="B10350">
        <v>1.38</v>
      </c>
      <c r="C10350">
        <v>600</v>
      </c>
      <c r="D10350" s="9">
        <v>44035</v>
      </c>
      <c r="E10350" t="s">
        <v>295</v>
      </c>
      <c r="I10350" s="9"/>
    </row>
    <row r="10351" spans="1:9" x14ac:dyDescent="0.25">
      <c r="A10351">
        <v>840240</v>
      </c>
      <c r="B10351">
        <v>1.38</v>
      </c>
      <c r="C10351">
        <v>600</v>
      </c>
      <c r="D10351" s="9">
        <v>43978</v>
      </c>
      <c r="E10351" t="s">
        <v>295</v>
      </c>
      <c r="I10351" s="9"/>
    </row>
    <row r="10352" spans="1:9" x14ac:dyDescent="0.25">
      <c r="A10352">
        <v>840240</v>
      </c>
      <c r="B10352">
        <v>1.45</v>
      </c>
      <c r="C10352">
        <v>600</v>
      </c>
      <c r="D10352" s="9">
        <v>43872</v>
      </c>
      <c r="E10352" t="s">
        <v>295</v>
      </c>
      <c r="I10352" s="9"/>
    </row>
    <row r="10353" spans="1:9" x14ac:dyDescent="0.25">
      <c r="A10353">
        <v>840240</v>
      </c>
      <c r="B10353">
        <v>1.38</v>
      </c>
      <c r="C10353">
        <v>300</v>
      </c>
      <c r="D10353" s="9">
        <v>43761</v>
      </c>
      <c r="E10353" t="s">
        <v>295</v>
      </c>
      <c r="I10353" s="9"/>
    </row>
    <row r="10354" spans="1:9" x14ac:dyDescent="0.25">
      <c r="A10354">
        <v>840240</v>
      </c>
      <c r="B10354">
        <v>1.45</v>
      </c>
      <c r="C10354">
        <v>630</v>
      </c>
      <c r="D10354" s="9">
        <v>43627</v>
      </c>
      <c r="E10354" t="s">
        <v>295</v>
      </c>
      <c r="I10354" s="9"/>
    </row>
    <row r="10355" spans="1:9" x14ac:dyDescent="0.25">
      <c r="A10355">
        <v>840240</v>
      </c>
      <c r="B10355">
        <v>1.45</v>
      </c>
      <c r="C10355">
        <v>630</v>
      </c>
      <c r="D10355" s="9">
        <v>43552</v>
      </c>
      <c r="E10355" t="s">
        <v>295</v>
      </c>
      <c r="I10355" s="9"/>
    </row>
    <row r="10356" spans="1:9" x14ac:dyDescent="0.25">
      <c r="A10356">
        <v>840240</v>
      </c>
      <c r="B10356">
        <v>1.45</v>
      </c>
      <c r="C10356">
        <v>420</v>
      </c>
      <c r="D10356" s="9">
        <v>43494</v>
      </c>
      <c r="E10356" t="s">
        <v>295</v>
      </c>
      <c r="I10356" s="9"/>
    </row>
    <row r="10357" spans="1:9" x14ac:dyDescent="0.25">
      <c r="A10357">
        <v>840240</v>
      </c>
      <c r="B10357">
        <v>1.45</v>
      </c>
      <c r="C10357">
        <v>420</v>
      </c>
      <c r="D10357" s="9">
        <v>43483</v>
      </c>
      <c r="E10357" t="s">
        <v>295</v>
      </c>
      <c r="I10357" s="9"/>
    </row>
    <row r="10358" spans="1:9" x14ac:dyDescent="0.25">
      <c r="A10358">
        <v>840240</v>
      </c>
      <c r="B10358">
        <v>1.45</v>
      </c>
      <c r="C10358">
        <v>420</v>
      </c>
      <c r="D10358" s="9">
        <v>43384</v>
      </c>
      <c r="E10358" t="s">
        <v>295</v>
      </c>
      <c r="I10358" s="9"/>
    </row>
    <row r="10359" spans="1:9" x14ac:dyDescent="0.25">
      <c r="A10359">
        <v>840240</v>
      </c>
      <c r="B10359">
        <v>1.45</v>
      </c>
      <c r="C10359">
        <v>600</v>
      </c>
      <c r="D10359" s="9">
        <v>43300</v>
      </c>
      <c r="E10359" t="s">
        <v>295</v>
      </c>
      <c r="I10359" s="9"/>
    </row>
    <row r="10360" spans="1:9" x14ac:dyDescent="0.25">
      <c r="A10360">
        <v>840240</v>
      </c>
      <c r="B10360">
        <v>1.38</v>
      </c>
      <c r="C10360">
        <v>300</v>
      </c>
      <c r="D10360" s="9">
        <v>43284</v>
      </c>
      <c r="E10360" t="s">
        <v>295</v>
      </c>
      <c r="I10360" s="9"/>
    </row>
    <row r="10361" spans="1:9" x14ac:dyDescent="0.25">
      <c r="A10361">
        <v>840240</v>
      </c>
      <c r="B10361">
        <v>1.38</v>
      </c>
      <c r="C10361">
        <v>300</v>
      </c>
      <c r="D10361" s="9">
        <v>43229</v>
      </c>
      <c r="E10361" t="s">
        <v>295</v>
      </c>
      <c r="I10361" s="9"/>
    </row>
    <row r="10362" spans="1:9" x14ac:dyDescent="0.25">
      <c r="A10362">
        <v>840240</v>
      </c>
      <c r="B10362">
        <v>1.38</v>
      </c>
      <c r="C10362">
        <v>810</v>
      </c>
      <c r="D10362" s="9">
        <v>43103</v>
      </c>
      <c r="E10362" t="s">
        <v>295</v>
      </c>
      <c r="I10362" s="9"/>
    </row>
    <row r="10363" spans="1:9" x14ac:dyDescent="0.25">
      <c r="A10363">
        <v>840240</v>
      </c>
      <c r="B10363">
        <v>1.38</v>
      </c>
      <c r="C10363">
        <v>810</v>
      </c>
      <c r="D10363" s="9">
        <v>42990</v>
      </c>
      <c r="E10363" t="s">
        <v>295</v>
      </c>
      <c r="I10363" s="9"/>
    </row>
    <row r="10364" spans="1:9" x14ac:dyDescent="0.25">
      <c r="A10364">
        <v>840240</v>
      </c>
      <c r="B10364">
        <v>1.55</v>
      </c>
      <c r="C10364">
        <v>600</v>
      </c>
      <c r="D10364" s="9">
        <v>42907</v>
      </c>
      <c r="E10364" t="s">
        <v>295</v>
      </c>
      <c r="I10364" s="9"/>
    </row>
    <row r="10365" spans="1:9" x14ac:dyDescent="0.25">
      <c r="A10365">
        <v>840240</v>
      </c>
      <c r="B10365">
        <v>1.55</v>
      </c>
      <c r="C10365">
        <v>600</v>
      </c>
      <c r="D10365" s="9">
        <v>42894</v>
      </c>
      <c r="E10365" t="s">
        <v>295</v>
      </c>
      <c r="I10365" s="9"/>
    </row>
    <row r="10366" spans="1:9" x14ac:dyDescent="0.25">
      <c r="A10366">
        <v>840240</v>
      </c>
      <c r="B10366">
        <v>2.02</v>
      </c>
      <c r="C10366">
        <v>10</v>
      </c>
      <c r="D10366" s="9">
        <v>42880</v>
      </c>
      <c r="E10366" t="s">
        <v>295</v>
      </c>
      <c r="I10366" s="9"/>
    </row>
    <row r="10367" spans="1:9" x14ac:dyDescent="0.25">
      <c r="A10367">
        <v>840240</v>
      </c>
      <c r="B10367">
        <v>1.55</v>
      </c>
      <c r="C10367">
        <v>600</v>
      </c>
      <c r="D10367" s="9">
        <v>42828</v>
      </c>
      <c r="E10367" t="s">
        <v>295</v>
      </c>
      <c r="I10367" s="9"/>
    </row>
    <row r="10368" spans="1:9" x14ac:dyDescent="0.25">
      <c r="A10368">
        <v>840240</v>
      </c>
      <c r="B10368">
        <v>1.38</v>
      </c>
      <c r="C10368">
        <v>600</v>
      </c>
      <c r="D10368" s="9">
        <v>42779</v>
      </c>
      <c r="E10368" t="s">
        <v>295</v>
      </c>
      <c r="I10368" s="9"/>
    </row>
    <row r="10369" spans="1:9" x14ac:dyDescent="0.25">
      <c r="A10369">
        <v>840240</v>
      </c>
      <c r="B10369">
        <v>1.38</v>
      </c>
      <c r="C10369">
        <v>600</v>
      </c>
      <c r="D10369" s="9">
        <v>42725</v>
      </c>
      <c r="E10369" t="s">
        <v>295</v>
      </c>
      <c r="I10369" s="9"/>
    </row>
    <row r="10370" spans="1:9" x14ac:dyDescent="0.25">
      <c r="A10370">
        <v>840240</v>
      </c>
      <c r="B10370">
        <v>1.38</v>
      </c>
      <c r="C10370">
        <v>600</v>
      </c>
      <c r="D10370" s="9">
        <v>42716</v>
      </c>
      <c r="E10370" t="s">
        <v>295</v>
      </c>
      <c r="I10370" s="9"/>
    </row>
    <row r="10371" spans="1:9" x14ac:dyDescent="0.25">
      <c r="A10371">
        <v>840240</v>
      </c>
      <c r="B10371">
        <v>1.3</v>
      </c>
      <c r="C10371">
        <v>600</v>
      </c>
      <c r="D10371" s="9">
        <v>42662</v>
      </c>
      <c r="E10371" t="s">
        <v>295</v>
      </c>
      <c r="I10371" s="9"/>
    </row>
    <row r="10372" spans="1:9" x14ac:dyDescent="0.25">
      <c r="A10372">
        <v>840240</v>
      </c>
      <c r="B10372">
        <v>1.3</v>
      </c>
      <c r="C10372">
        <v>300</v>
      </c>
      <c r="D10372" s="9">
        <v>42619</v>
      </c>
      <c r="E10372" t="s">
        <v>295</v>
      </c>
      <c r="I10372" s="9"/>
    </row>
    <row r="10373" spans="1:9" x14ac:dyDescent="0.25">
      <c r="A10373">
        <v>840240</v>
      </c>
      <c r="B10373">
        <v>1.3</v>
      </c>
      <c r="C10373">
        <v>300</v>
      </c>
      <c r="D10373" s="9">
        <v>42584</v>
      </c>
      <c r="E10373" t="s">
        <v>295</v>
      </c>
      <c r="I10373" s="9"/>
    </row>
    <row r="10374" spans="1:9" x14ac:dyDescent="0.25">
      <c r="A10374">
        <v>840240</v>
      </c>
      <c r="B10374">
        <v>1.3</v>
      </c>
      <c r="C10374">
        <v>300</v>
      </c>
      <c r="D10374" s="9">
        <v>42500</v>
      </c>
      <c r="E10374" t="s">
        <v>295</v>
      </c>
      <c r="I10374" s="9"/>
    </row>
    <row r="10375" spans="1:9" x14ac:dyDescent="0.25">
      <c r="A10375">
        <v>840240</v>
      </c>
      <c r="B10375">
        <v>1.3</v>
      </c>
      <c r="C10375">
        <v>150</v>
      </c>
      <c r="D10375" s="9">
        <v>42461</v>
      </c>
      <c r="E10375" t="s">
        <v>295</v>
      </c>
      <c r="I10375" s="9"/>
    </row>
    <row r="10376" spans="1:9" x14ac:dyDescent="0.25">
      <c r="A10376">
        <v>840240</v>
      </c>
      <c r="B10376">
        <v>1.3</v>
      </c>
      <c r="C10376">
        <v>330</v>
      </c>
      <c r="D10376" s="9">
        <v>42451</v>
      </c>
      <c r="E10376" t="s">
        <v>295</v>
      </c>
      <c r="I10376" s="9"/>
    </row>
    <row r="10377" spans="1:9" x14ac:dyDescent="0.25">
      <c r="A10377">
        <v>840240</v>
      </c>
      <c r="B10377">
        <v>1.3</v>
      </c>
      <c r="C10377">
        <v>300</v>
      </c>
      <c r="D10377" s="9">
        <v>42398</v>
      </c>
      <c r="E10377" t="s">
        <v>295</v>
      </c>
      <c r="I10377" s="9"/>
    </row>
    <row r="10378" spans="1:9" x14ac:dyDescent="0.25">
      <c r="A10378">
        <v>840240</v>
      </c>
      <c r="B10378">
        <v>1.3</v>
      </c>
      <c r="C10378">
        <v>480</v>
      </c>
      <c r="D10378" s="9">
        <v>42381</v>
      </c>
      <c r="E10378" t="s">
        <v>295</v>
      </c>
      <c r="I10378" s="9"/>
    </row>
    <row r="10379" spans="1:9" x14ac:dyDescent="0.25">
      <c r="A10379">
        <v>840240</v>
      </c>
      <c r="B10379">
        <v>1.3</v>
      </c>
      <c r="C10379">
        <v>480</v>
      </c>
      <c r="D10379" s="9">
        <v>42334</v>
      </c>
      <c r="E10379" t="s">
        <v>295</v>
      </c>
      <c r="I10379" s="9"/>
    </row>
    <row r="10380" spans="1:9" x14ac:dyDescent="0.25">
      <c r="A10380">
        <v>840240</v>
      </c>
      <c r="B10380">
        <v>1.3</v>
      </c>
      <c r="C10380">
        <v>300</v>
      </c>
      <c r="D10380" s="9">
        <v>42305</v>
      </c>
      <c r="E10380" t="s">
        <v>295</v>
      </c>
      <c r="I10380" s="9"/>
    </row>
    <row r="10381" spans="1:9" x14ac:dyDescent="0.25">
      <c r="A10381">
        <v>840240</v>
      </c>
      <c r="B10381">
        <v>1.3</v>
      </c>
      <c r="C10381">
        <v>480</v>
      </c>
      <c r="D10381" s="9">
        <v>42271</v>
      </c>
      <c r="E10381" t="s">
        <v>295</v>
      </c>
      <c r="I10381" s="9"/>
    </row>
    <row r="10382" spans="1:9" x14ac:dyDescent="0.25">
      <c r="A10382">
        <v>840240</v>
      </c>
      <c r="B10382">
        <v>1.3</v>
      </c>
      <c r="C10382">
        <v>480</v>
      </c>
      <c r="D10382" s="9">
        <v>42213</v>
      </c>
      <c r="E10382" t="s">
        <v>295</v>
      </c>
      <c r="I10382" s="9"/>
    </row>
    <row r="10383" spans="1:9" x14ac:dyDescent="0.25">
      <c r="A10383">
        <v>840240</v>
      </c>
      <c r="B10383">
        <v>1.3</v>
      </c>
      <c r="C10383">
        <v>300</v>
      </c>
      <c r="D10383" s="9">
        <v>42188</v>
      </c>
      <c r="E10383" t="s">
        <v>295</v>
      </c>
      <c r="I10383" s="9"/>
    </row>
    <row r="10384" spans="1:9" x14ac:dyDescent="0.25">
      <c r="A10384">
        <v>840240</v>
      </c>
      <c r="B10384">
        <v>1.3</v>
      </c>
      <c r="C10384">
        <v>300</v>
      </c>
      <c r="D10384" s="9">
        <v>42177</v>
      </c>
      <c r="E10384" t="s">
        <v>295</v>
      </c>
      <c r="I10384" s="9"/>
    </row>
    <row r="10385" spans="1:9" x14ac:dyDescent="0.25">
      <c r="A10385">
        <v>840240</v>
      </c>
      <c r="B10385">
        <v>1.3</v>
      </c>
      <c r="C10385">
        <v>300</v>
      </c>
      <c r="D10385" s="9">
        <v>42136</v>
      </c>
      <c r="E10385" t="s">
        <v>295</v>
      </c>
      <c r="I10385" s="9"/>
    </row>
    <row r="10386" spans="1:9" x14ac:dyDescent="0.25">
      <c r="A10386">
        <v>840240</v>
      </c>
      <c r="B10386">
        <v>1.3</v>
      </c>
      <c r="C10386">
        <v>300</v>
      </c>
      <c r="D10386" s="9">
        <v>42101</v>
      </c>
      <c r="E10386" t="s">
        <v>295</v>
      </c>
      <c r="I10386" s="9"/>
    </row>
    <row r="10387" spans="1:9" x14ac:dyDescent="0.25">
      <c r="A10387">
        <v>840240</v>
      </c>
      <c r="B10387">
        <v>1.3</v>
      </c>
      <c r="C10387">
        <v>300</v>
      </c>
      <c r="D10387" s="9">
        <v>42034</v>
      </c>
      <c r="E10387" t="s">
        <v>295</v>
      </c>
      <c r="I10387" s="9"/>
    </row>
    <row r="10388" spans="1:9" x14ac:dyDescent="0.25">
      <c r="A10388">
        <v>840240</v>
      </c>
      <c r="B10388">
        <v>1.3</v>
      </c>
      <c r="C10388">
        <v>480</v>
      </c>
      <c r="D10388" s="9">
        <v>41947</v>
      </c>
      <c r="E10388" t="s">
        <v>295</v>
      </c>
      <c r="I10388" s="9"/>
    </row>
    <row r="10389" spans="1:9" x14ac:dyDescent="0.25">
      <c r="A10389">
        <v>840240</v>
      </c>
      <c r="B10389">
        <v>1.3</v>
      </c>
      <c r="C10389">
        <v>480</v>
      </c>
      <c r="D10389" s="9">
        <v>41921</v>
      </c>
      <c r="E10389" t="s">
        <v>295</v>
      </c>
      <c r="I10389" s="9"/>
    </row>
    <row r="10390" spans="1:9" x14ac:dyDescent="0.25">
      <c r="A10390">
        <v>840240</v>
      </c>
      <c r="B10390">
        <v>1.3</v>
      </c>
      <c r="C10390">
        <v>480</v>
      </c>
      <c r="D10390" s="9">
        <v>41855</v>
      </c>
      <c r="E10390" t="s">
        <v>295</v>
      </c>
      <c r="I10390" s="9"/>
    </row>
    <row r="10391" spans="1:9" x14ac:dyDescent="0.25">
      <c r="A10391">
        <v>840240</v>
      </c>
      <c r="B10391">
        <v>1.3</v>
      </c>
      <c r="C10391">
        <v>240</v>
      </c>
      <c r="D10391" s="9">
        <v>41815</v>
      </c>
      <c r="E10391" t="s">
        <v>295</v>
      </c>
      <c r="I10391" s="9"/>
    </row>
    <row r="10392" spans="1:9" x14ac:dyDescent="0.25">
      <c r="A10392">
        <v>840240</v>
      </c>
      <c r="B10392">
        <v>1.3</v>
      </c>
      <c r="C10392">
        <v>240</v>
      </c>
      <c r="D10392" s="9">
        <v>41794</v>
      </c>
      <c r="E10392" t="s">
        <v>295</v>
      </c>
      <c r="I10392" s="9"/>
    </row>
    <row r="10393" spans="1:9" x14ac:dyDescent="0.25">
      <c r="A10393">
        <v>840240</v>
      </c>
      <c r="B10393">
        <v>1.3</v>
      </c>
      <c r="C10393">
        <v>976</v>
      </c>
      <c r="D10393" s="9">
        <v>41737</v>
      </c>
      <c r="E10393" t="s">
        <v>295</v>
      </c>
      <c r="I10393" s="9"/>
    </row>
    <row r="10394" spans="1:9" x14ac:dyDescent="0.25">
      <c r="A10394">
        <v>840240</v>
      </c>
      <c r="B10394">
        <v>1.3</v>
      </c>
      <c r="C10394">
        <v>1600</v>
      </c>
      <c r="D10394" s="9">
        <v>41733</v>
      </c>
      <c r="E10394" t="s">
        <v>295</v>
      </c>
      <c r="I10394" s="9"/>
    </row>
    <row r="10395" spans="1:9" x14ac:dyDescent="0.25">
      <c r="A10395">
        <v>840240</v>
      </c>
      <c r="B10395">
        <v>1.3</v>
      </c>
      <c r="C10395">
        <v>336</v>
      </c>
      <c r="D10395" s="9">
        <v>41667</v>
      </c>
      <c r="E10395" t="s">
        <v>295</v>
      </c>
      <c r="I10395" s="9"/>
    </row>
    <row r="10396" spans="1:9" x14ac:dyDescent="0.25">
      <c r="A10396">
        <v>840240</v>
      </c>
      <c r="B10396">
        <v>1.3</v>
      </c>
      <c r="C10396">
        <v>432</v>
      </c>
      <c r="D10396" s="9">
        <v>41654</v>
      </c>
      <c r="E10396" t="s">
        <v>295</v>
      </c>
      <c r="I10396" s="9"/>
    </row>
    <row r="10397" spans="1:9" x14ac:dyDescent="0.25">
      <c r="A10397">
        <v>840240</v>
      </c>
      <c r="B10397">
        <v>1.3</v>
      </c>
      <c r="C10397">
        <v>768</v>
      </c>
      <c r="D10397" s="9">
        <v>41556</v>
      </c>
      <c r="E10397" t="s">
        <v>295</v>
      </c>
      <c r="I10397" s="9"/>
    </row>
    <row r="10398" spans="1:9" x14ac:dyDescent="0.25">
      <c r="A10398">
        <v>841102</v>
      </c>
      <c r="B10398">
        <v>0.96</v>
      </c>
      <c r="C10398">
        <v>960</v>
      </c>
      <c r="D10398" s="9">
        <v>43955</v>
      </c>
      <c r="E10398" t="s">
        <v>296</v>
      </c>
      <c r="I10398" s="9"/>
    </row>
    <row r="10399" spans="1:9" x14ac:dyDescent="0.25">
      <c r="A10399">
        <v>841102</v>
      </c>
      <c r="B10399">
        <v>0.96</v>
      </c>
      <c r="C10399">
        <v>960</v>
      </c>
      <c r="D10399" s="9">
        <v>43391</v>
      </c>
      <c r="E10399" t="s">
        <v>296</v>
      </c>
      <c r="I10399" s="9"/>
    </row>
    <row r="10400" spans="1:9" x14ac:dyDescent="0.25">
      <c r="A10400">
        <v>841102</v>
      </c>
      <c r="B10400">
        <v>4.88</v>
      </c>
      <c r="C10400">
        <v>960</v>
      </c>
      <c r="D10400" s="9">
        <v>43285</v>
      </c>
      <c r="E10400" t="s">
        <v>295</v>
      </c>
      <c r="I10400" s="9"/>
    </row>
    <row r="10401" spans="1:9" x14ac:dyDescent="0.25">
      <c r="A10401">
        <v>841102</v>
      </c>
      <c r="B10401">
        <v>1</v>
      </c>
      <c r="C10401">
        <v>960</v>
      </c>
      <c r="D10401" s="9">
        <v>43234</v>
      </c>
      <c r="E10401" t="s">
        <v>296</v>
      </c>
      <c r="I10401" s="9"/>
    </row>
    <row r="10402" spans="1:9" x14ac:dyDescent="0.25">
      <c r="A10402">
        <v>841102</v>
      </c>
      <c r="B10402">
        <v>0.65</v>
      </c>
      <c r="C10402">
        <v>2304</v>
      </c>
      <c r="D10402" s="9">
        <v>42656</v>
      </c>
      <c r="E10402" t="s">
        <v>296</v>
      </c>
      <c r="I10402" s="9"/>
    </row>
    <row r="10403" spans="1:9" x14ac:dyDescent="0.25">
      <c r="A10403">
        <v>841102</v>
      </c>
      <c r="B10403">
        <v>0.65</v>
      </c>
      <c r="C10403">
        <v>1056</v>
      </c>
      <c r="D10403" s="9">
        <v>42530</v>
      </c>
      <c r="E10403" t="s">
        <v>296</v>
      </c>
      <c r="I10403" s="9"/>
    </row>
    <row r="10404" spans="1:9" x14ac:dyDescent="0.25">
      <c r="A10404">
        <v>841102</v>
      </c>
      <c r="B10404">
        <v>0.69</v>
      </c>
      <c r="C10404">
        <v>1248</v>
      </c>
      <c r="D10404" s="9">
        <v>41982</v>
      </c>
      <c r="E10404" t="s">
        <v>296</v>
      </c>
      <c r="I10404" s="9"/>
    </row>
    <row r="10405" spans="1:9" x14ac:dyDescent="0.25">
      <c r="A10405">
        <v>841102</v>
      </c>
      <c r="B10405">
        <v>0.69</v>
      </c>
      <c r="C10405">
        <v>1152</v>
      </c>
      <c r="D10405" s="9">
        <v>41837</v>
      </c>
      <c r="E10405" t="s">
        <v>296</v>
      </c>
      <c r="I10405" s="9"/>
    </row>
    <row r="10406" spans="1:9" x14ac:dyDescent="0.25">
      <c r="A10406">
        <v>841104</v>
      </c>
      <c r="B10406">
        <v>1.35</v>
      </c>
      <c r="C10406">
        <v>720</v>
      </c>
      <c r="D10406" s="9">
        <v>44133</v>
      </c>
      <c r="E10406" t="s">
        <v>296</v>
      </c>
      <c r="I10406" s="9"/>
    </row>
    <row r="10407" spans="1:9" x14ac:dyDescent="0.25">
      <c r="A10407">
        <v>841104</v>
      </c>
      <c r="B10407">
        <v>1.35</v>
      </c>
      <c r="C10407">
        <v>720</v>
      </c>
      <c r="D10407" s="9">
        <v>44039</v>
      </c>
      <c r="E10407" t="s">
        <v>296</v>
      </c>
      <c r="I10407" s="9"/>
    </row>
    <row r="10408" spans="1:9" x14ac:dyDescent="0.25">
      <c r="A10408">
        <v>841104</v>
      </c>
      <c r="B10408">
        <v>1.35</v>
      </c>
      <c r="C10408">
        <v>480</v>
      </c>
      <c r="D10408" s="9">
        <v>43955</v>
      </c>
      <c r="E10408" t="s">
        <v>296</v>
      </c>
      <c r="I10408" s="9"/>
    </row>
    <row r="10409" spans="1:9" x14ac:dyDescent="0.25">
      <c r="A10409">
        <v>841104</v>
      </c>
      <c r="B10409">
        <v>1.35</v>
      </c>
      <c r="C10409">
        <v>768</v>
      </c>
      <c r="D10409" s="9">
        <v>43684</v>
      </c>
      <c r="E10409" t="s">
        <v>296</v>
      </c>
      <c r="I10409" s="9"/>
    </row>
    <row r="10410" spans="1:9" x14ac:dyDescent="0.25">
      <c r="A10410">
        <v>841104</v>
      </c>
      <c r="B10410">
        <v>5.36</v>
      </c>
      <c r="C10410">
        <v>768</v>
      </c>
      <c r="D10410" s="9">
        <v>43285</v>
      </c>
      <c r="E10410" t="s">
        <v>295</v>
      </c>
      <c r="I10410" s="9"/>
    </row>
    <row r="10411" spans="1:9" x14ac:dyDescent="0.25">
      <c r="A10411">
        <v>841104</v>
      </c>
      <c r="B10411">
        <v>1.35</v>
      </c>
      <c r="C10411">
        <v>768</v>
      </c>
      <c r="D10411" s="9">
        <v>43234</v>
      </c>
      <c r="E10411" t="s">
        <v>296</v>
      </c>
      <c r="I10411" s="9"/>
    </row>
    <row r="10412" spans="1:9" x14ac:dyDescent="0.25">
      <c r="A10412">
        <v>841104</v>
      </c>
      <c r="B10412">
        <v>1.35</v>
      </c>
      <c r="C10412">
        <v>1296</v>
      </c>
      <c r="D10412" s="9">
        <v>42873</v>
      </c>
      <c r="E10412" t="s">
        <v>296</v>
      </c>
      <c r="I10412" s="9"/>
    </row>
    <row r="10413" spans="1:9" x14ac:dyDescent="0.25">
      <c r="A10413">
        <v>841104</v>
      </c>
      <c r="B10413">
        <v>1.35</v>
      </c>
      <c r="C10413">
        <v>1728</v>
      </c>
      <c r="D10413" s="9">
        <v>42656</v>
      </c>
      <c r="E10413" t="s">
        <v>296</v>
      </c>
      <c r="I10413" s="9"/>
    </row>
    <row r="10414" spans="1:9" x14ac:dyDescent="0.25">
      <c r="A10414">
        <v>841104</v>
      </c>
      <c r="B10414">
        <v>1.35</v>
      </c>
      <c r="C10414">
        <v>648</v>
      </c>
      <c r="D10414" s="9">
        <v>42530</v>
      </c>
      <c r="E10414" t="s">
        <v>296</v>
      </c>
      <c r="I10414" s="9"/>
    </row>
    <row r="10415" spans="1:9" x14ac:dyDescent="0.25">
      <c r="A10415">
        <v>841104</v>
      </c>
      <c r="B10415">
        <v>1.41</v>
      </c>
      <c r="C10415">
        <v>936</v>
      </c>
      <c r="D10415" s="9">
        <v>41982</v>
      </c>
      <c r="E10415" t="s">
        <v>296</v>
      </c>
      <c r="I10415" s="9"/>
    </row>
    <row r="10416" spans="1:9" x14ac:dyDescent="0.25">
      <c r="A10416">
        <v>841104</v>
      </c>
      <c r="B10416">
        <v>1.41</v>
      </c>
      <c r="C10416">
        <v>864</v>
      </c>
      <c r="D10416" s="9">
        <v>41837</v>
      </c>
      <c r="E10416" t="s">
        <v>296</v>
      </c>
      <c r="I10416" s="9"/>
    </row>
    <row r="10417" spans="1:9" x14ac:dyDescent="0.25">
      <c r="A10417">
        <v>841202</v>
      </c>
      <c r="B10417">
        <v>1.6</v>
      </c>
      <c r="C10417">
        <v>1440</v>
      </c>
      <c r="D10417" s="9">
        <v>44140</v>
      </c>
      <c r="E10417" t="s">
        <v>296</v>
      </c>
      <c r="I10417" s="9"/>
    </row>
    <row r="10418" spans="1:9" x14ac:dyDescent="0.25">
      <c r="A10418">
        <v>841202</v>
      </c>
      <c r="B10418">
        <v>1.6</v>
      </c>
      <c r="C10418">
        <v>1140</v>
      </c>
      <c r="D10418" s="9">
        <v>43955</v>
      </c>
      <c r="E10418" t="s">
        <v>296</v>
      </c>
      <c r="I10418" s="9"/>
    </row>
    <row r="10419" spans="1:9" x14ac:dyDescent="0.25">
      <c r="A10419">
        <v>841202</v>
      </c>
      <c r="B10419">
        <v>1.6</v>
      </c>
      <c r="C10419">
        <v>1560</v>
      </c>
      <c r="D10419" s="9">
        <v>43819</v>
      </c>
      <c r="E10419" t="s">
        <v>296</v>
      </c>
      <c r="I10419" s="9"/>
    </row>
    <row r="10420" spans="1:9" x14ac:dyDescent="0.25">
      <c r="A10420">
        <v>841202</v>
      </c>
      <c r="B10420">
        <v>1.65</v>
      </c>
      <c r="C10420">
        <v>1600</v>
      </c>
      <c r="D10420" s="9">
        <v>43473</v>
      </c>
      <c r="E10420" t="s">
        <v>296</v>
      </c>
      <c r="I10420" s="9"/>
    </row>
    <row r="10421" spans="1:9" x14ac:dyDescent="0.25">
      <c r="A10421">
        <v>841202</v>
      </c>
      <c r="B10421">
        <v>1.65</v>
      </c>
      <c r="C10421">
        <v>800</v>
      </c>
      <c r="D10421" s="9">
        <v>43391</v>
      </c>
      <c r="E10421" t="s">
        <v>296</v>
      </c>
      <c r="I10421" s="9"/>
    </row>
    <row r="10422" spans="1:9" x14ac:dyDescent="0.25">
      <c r="A10422">
        <v>841202</v>
      </c>
      <c r="B10422">
        <v>7.49</v>
      </c>
      <c r="C10422">
        <v>800</v>
      </c>
      <c r="D10422" s="9">
        <v>43285</v>
      </c>
      <c r="E10422" t="s">
        <v>295</v>
      </c>
      <c r="I10422" s="9"/>
    </row>
    <row r="10423" spans="1:9" x14ac:dyDescent="0.25">
      <c r="A10423">
        <v>841202</v>
      </c>
      <c r="B10423">
        <v>1.65</v>
      </c>
      <c r="C10423">
        <v>800</v>
      </c>
      <c r="D10423" s="9">
        <v>43234</v>
      </c>
      <c r="E10423" t="s">
        <v>296</v>
      </c>
      <c r="I10423" s="9"/>
    </row>
    <row r="10424" spans="1:9" x14ac:dyDescent="0.25">
      <c r="A10424">
        <v>841202</v>
      </c>
      <c r="B10424">
        <v>1.55</v>
      </c>
      <c r="C10424">
        <v>2880</v>
      </c>
      <c r="D10424" s="9">
        <v>42976</v>
      </c>
      <c r="E10424" t="s">
        <v>296</v>
      </c>
      <c r="I10424" s="9"/>
    </row>
    <row r="10425" spans="1:9" x14ac:dyDescent="0.25">
      <c r="A10425">
        <v>841202</v>
      </c>
      <c r="B10425">
        <v>1.55</v>
      </c>
      <c r="C10425">
        <v>1920</v>
      </c>
      <c r="D10425" s="9">
        <v>42873</v>
      </c>
      <c r="E10425" t="s">
        <v>296</v>
      </c>
      <c r="I10425" s="9"/>
    </row>
    <row r="10426" spans="1:9" x14ac:dyDescent="0.25">
      <c r="A10426">
        <v>841202</v>
      </c>
      <c r="B10426">
        <v>1.55</v>
      </c>
      <c r="C10426">
        <v>1920</v>
      </c>
      <c r="D10426" s="9">
        <v>42656</v>
      </c>
      <c r="E10426" t="s">
        <v>296</v>
      </c>
      <c r="I10426" s="9"/>
    </row>
    <row r="10427" spans="1:9" x14ac:dyDescent="0.25">
      <c r="A10427">
        <v>841202</v>
      </c>
      <c r="B10427">
        <v>1.55</v>
      </c>
      <c r="C10427">
        <v>600</v>
      </c>
      <c r="D10427" s="9">
        <v>42617</v>
      </c>
      <c r="E10427" t="s">
        <v>296</v>
      </c>
      <c r="I10427" s="9"/>
    </row>
    <row r="10428" spans="1:9" x14ac:dyDescent="0.25">
      <c r="A10428">
        <v>841202</v>
      </c>
      <c r="B10428">
        <v>1.62</v>
      </c>
      <c r="C10428">
        <v>600</v>
      </c>
      <c r="D10428" s="9">
        <v>42530</v>
      </c>
      <c r="E10428" t="s">
        <v>296</v>
      </c>
      <c r="I10428" s="9"/>
    </row>
    <row r="10429" spans="1:9" x14ac:dyDescent="0.25">
      <c r="A10429">
        <v>841202</v>
      </c>
      <c r="B10429">
        <v>1.62</v>
      </c>
      <c r="C10429">
        <v>1000</v>
      </c>
      <c r="D10429" s="9">
        <v>42031</v>
      </c>
      <c r="E10429" t="s">
        <v>296</v>
      </c>
      <c r="I10429" s="9"/>
    </row>
    <row r="10430" spans="1:9" x14ac:dyDescent="0.25">
      <c r="A10430">
        <v>841202</v>
      </c>
      <c r="B10430">
        <v>1.62</v>
      </c>
      <c r="C10430">
        <v>1280</v>
      </c>
      <c r="D10430" s="9">
        <v>41837</v>
      </c>
      <c r="E10430" t="s">
        <v>296</v>
      </c>
      <c r="I10430" s="9"/>
    </row>
    <row r="10431" spans="1:9" x14ac:dyDescent="0.25">
      <c r="A10431">
        <v>841202</v>
      </c>
      <c r="B10431">
        <v>1.6279999999999999</v>
      </c>
      <c r="C10431">
        <v>800</v>
      </c>
      <c r="D10431" s="9">
        <v>41682</v>
      </c>
      <c r="E10431" t="s">
        <v>296</v>
      </c>
      <c r="I10431" s="9"/>
    </row>
    <row r="10432" spans="1:9" x14ac:dyDescent="0.25">
      <c r="A10432">
        <v>841202</v>
      </c>
      <c r="B10432">
        <v>7.12</v>
      </c>
      <c r="C10432">
        <v>200</v>
      </c>
      <c r="D10432" s="9">
        <v>41617</v>
      </c>
      <c r="E10432" t="s">
        <v>295</v>
      </c>
      <c r="I10432" s="9"/>
    </row>
    <row r="10433" spans="1:9" x14ac:dyDescent="0.25">
      <c r="A10433">
        <v>841261</v>
      </c>
      <c r="B10433">
        <v>15.8</v>
      </c>
      <c r="C10433">
        <v>80</v>
      </c>
      <c r="D10433" s="9">
        <v>41617</v>
      </c>
      <c r="E10433" t="s">
        <v>295</v>
      </c>
      <c r="I10433" s="9"/>
    </row>
    <row r="10434" spans="1:9" x14ac:dyDescent="0.25">
      <c r="A10434">
        <v>841261</v>
      </c>
      <c r="B10434">
        <v>15.8</v>
      </c>
      <c r="C10434">
        <v>340</v>
      </c>
      <c r="D10434" s="9">
        <v>41613</v>
      </c>
      <c r="E10434" t="s">
        <v>295</v>
      </c>
      <c r="I10434" s="9"/>
    </row>
    <row r="10435" spans="1:9" x14ac:dyDescent="0.25">
      <c r="A10435">
        <v>841261</v>
      </c>
      <c r="B10435">
        <v>15.8</v>
      </c>
      <c r="C10435">
        <v>400</v>
      </c>
      <c r="D10435" s="9">
        <v>41612</v>
      </c>
      <c r="E10435" t="s">
        <v>295</v>
      </c>
      <c r="I10435" s="9"/>
    </row>
    <row r="10436" spans="1:9" x14ac:dyDescent="0.25">
      <c r="A10436">
        <v>841262</v>
      </c>
      <c r="B10436">
        <v>3.65</v>
      </c>
      <c r="C10436">
        <v>1200</v>
      </c>
      <c r="D10436" s="9">
        <v>44140</v>
      </c>
      <c r="E10436" t="s">
        <v>296</v>
      </c>
      <c r="I10436" s="9"/>
    </row>
    <row r="10437" spans="1:9" x14ac:dyDescent="0.25">
      <c r="A10437">
        <v>841262</v>
      </c>
      <c r="B10437">
        <v>3.65</v>
      </c>
      <c r="C10437">
        <v>1000</v>
      </c>
      <c r="D10437" s="9">
        <v>43819</v>
      </c>
      <c r="E10437" t="s">
        <v>296</v>
      </c>
      <c r="I10437" s="9"/>
    </row>
    <row r="10438" spans="1:9" x14ac:dyDescent="0.25">
      <c r="A10438">
        <v>841262</v>
      </c>
      <c r="B10438">
        <v>3.88</v>
      </c>
      <c r="C10438">
        <v>1000</v>
      </c>
      <c r="D10438" s="9">
        <v>43333</v>
      </c>
      <c r="E10438" t="s">
        <v>296</v>
      </c>
      <c r="I10438" s="9"/>
    </row>
    <row r="10439" spans="1:9" x14ac:dyDescent="0.25">
      <c r="A10439">
        <v>841262</v>
      </c>
      <c r="B10439">
        <v>14.21</v>
      </c>
      <c r="C10439">
        <v>1000</v>
      </c>
      <c r="D10439" s="9">
        <v>43285</v>
      </c>
      <c r="E10439" t="s">
        <v>295</v>
      </c>
      <c r="I10439" s="9"/>
    </row>
    <row r="10440" spans="1:9" x14ac:dyDescent="0.25">
      <c r="A10440">
        <v>841262</v>
      </c>
      <c r="B10440">
        <v>3.68</v>
      </c>
      <c r="C10440">
        <v>1000</v>
      </c>
      <c r="D10440" s="9">
        <v>43234</v>
      </c>
      <c r="E10440" t="s">
        <v>296</v>
      </c>
      <c r="I10440" s="9"/>
    </row>
    <row r="10441" spans="1:9" x14ac:dyDescent="0.25">
      <c r="A10441">
        <v>841262</v>
      </c>
      <c r="B10441">
        <v>10.85</v>
      </c>
      <c r="C10441">
        <v>810</v>
      </c>
      <c r="D10441" s="9">
        <v>43123</v>
      </c>
      <c r="E10441" t="s">
        <v>295</v>
      </c>
      <c r="I10441" s="9"/>
    </row>
    <row r="10442" spans="1:9" x14ac:dyDescent="0.25">
      <c r="A10442">
        <v>841262</v>
      </c>
      <c r="B10442">
        <v>2.78</v>
      </c>
      <c r="C10442">
        <v>190</v>
      </c>
      <c r="D10442" s="9">
        <v>43105</v>
      </c>
      <c r="E10442" t="s">
        <v>296</v>
      </c>
      <c r="I10442" s="9"/>
    </row>
    <row r="10443" spans="1:9" x14ac:dyDescent="0.25">
      <c r="A10443">
        <v>841262</v>
      </c>
      <c r="B10443">
        <v>2.78</v>
      </c>
      <c r="C10443">
        <v>1000</v>
      </c>
      <c r="D10443" s="9">
        <v>43067</v>
      </c>
      <c r="E10443" t="s">
        <v>296</v>
      </c>
      <c r="I10443" s="9"/>
    </row>
    <row r="10444" spans="1:9" x14ac:dyDescent="0.25">
      <c r="A10444">
        <v>841262</v>
      </c>
      <c r="B10444">
        <v>2.78</v>
      </c>
      <c r="C10444">
        <v>800</v>
      </c>
      <c r="D10444" s="9">
        <v>42656</v>
      </c>
      <c r="E10444" t="s">
        <v>296</v>
      </c>
      <c r="I10444" s="9"/>
    </row>
    <row r="10445" spans="1:9" x14ac:dyDescent="0.25">
      <c r="A10445">
        <v>841262</v>
      </c>
      <c r="B10445">
        <v>2.92</v>
      </c>
      <c r="C10445">
        <v>798</v>
      </c>
      <c r="D10445" s="9">
        <v>42325</v>
      </c>
      <c r="E10445" t="s">
        <v>296</v>
      </c>
      <c r="I10445" s="9"/>
    </row>
    <row r="10446" spans="1:9" x14ac:dyDescent="0.25">
      <c r="A10446">
        <v>841262</v>
      </c>
      <c r="B10446">
        <v>11.27</v>
      </c>
      <c r="C10446">
        <v>800</v>
      </c>
      <c r="D10446" s="9">
        <v>42269</v>
      </c>
      <c r="E10446" t="s">
        <v>295</v>
      </c>
      <c r="I10446" s="9"/>
    </row>
    <row r="10447" spans="1:9" x14ac:dyDescent="0.25">
      <c r="A10447">
        <v>841262</v>
      </c>
      <c r="B10447">
        <v>2.92</v>
      </c>
      <c r="C10447">
        <v>800</v>
      </c>
      <c r="D10447" s="9">
        <v>42229</v>
      </c>
      <c r="E10447" t="s">
        <v>296</v>
      </c>
      <c r="I10447" s="9"/>
    </row>
    <row r="10448" spans="1:9" x14ac:dyDescent="0.25">
      <c r="A10448">
        <v>841262</v>
      </c>
      <c r="B10448">
        <v>2.92</v>
      </c>
      <c r="C10448">
        <v>800</v>
      </c>
      <c r="D10448" s="9">
        <v>41982</v>
      </c>
      <c r="E10448" t="s">
        <v>296</v>
      </c>
      <c r="I10448" s="9"/>
    </row>
    <row r="10449" spans="1:9" x14ac:dyDescent="0.25">
      <c r="A10449">
        <v>841262</v>
      </c>
      <c r="B10449">
        <v>2.92</v>
      </c>
      <c r="C10449">
        <v>600</v>
      </c>
      <c r="D10449" s="9">
        <v>41837</v>
      </c>
      <c r="E10449" t="s">
        <v>296</v>
      </c>
      <c r="I10449" s="9"/>
    </row>
    <row r="10450" spans="1:9" x14ac:dyDescent="0.25">
      <c r="A10450">
        <v>841262</v>
      </c>
      <c r="B10450">
        <v>23.5</v>
      </c>
      <c r="C10450">
        <v>90</v>
      </c>
      <c r="D10450" s="9">
        <v>41613</v>
      </c>
      <c r="E10450" t="s">
        <v>295</v>
      </c>
      <c r="I10450" s="9"/>
    </row>
    <row r="10451" spans="1:9" x14ac:dyDescent="0.25">
      <c r="A10451">
        <v>841262</v>
      </c>
      <c r="B10451">
        <v>23.5</v>
      </c>
      <c r="C10451">
        <v>200</v>
      </c>
      <c r="D10451" s="9">
        <v>41612</v>
      </c>
      <c r="E10451" t="s">
        <v>295</v>
      </c>
      <c r="I10451" s="9"/>
    </row>
    <row r="10452" spans="1:9" x14ac:dyDescent="0.25">
      <c r="A10452">
        <v>841262</v>
      </c>
      <c r="B10452">
        <v>17.25</v>
      </c>
      <c r="C10452">
        <v>360</v>
      </c>
      <c r="D10452" s="9">
        <v>41555</v>
      </c>
      <c r="E10452" t="s">
        <v>295</v>
      </c>
      <c r="I10452" s="9"/>
    </row>
    <row r="10453" spans="1:9" x14ac:dyDescent="0.25">
      <c r="A10453">
        <v>841263</v>
      </c>
      <c r="B10453">
        <v>17.8</v>
      </c>
      <c r="C10453">
        <v>300</v>
      </c>
      <c r="D10453" s="9">
        <v>41922</v>
      </c>
      <c r="E10453" t="s">
        <v>295</v>
      </c>
      <c r="I10453" s="9"/>
    </row>
    <row r="10454" spans="1:9" x14ac:dyDescent="0.25">
      <c r="A10454">
        <v>841282</v>
      </c>
      <c r="B10454">
        <v>2.93</v>
      </c>
      <c r="C10454">
        <v>400</v>
      </c>
      <c r="D10454" s="9">
        <v>41682</v>
      </c>
      <c r="E10454" t="s">
        <v>296</v>
      </c>
      <c r="I10454" s="9"/>
    </row>
    <row r="10455" spans="1:9" x14ac:dyDescent="0.25">
      <c r="A10455">
        <v>841282</v>
      </c>
      <c r="B10455">
        <v>2.93</v>
      </c>
      <c r="C10455">
        <v>700</v>
      </c>
      <c r="D10455" s="9">
        <v>41309</v>
      </c>
      <c r="E10455" t="s">
        <v>296</v>
      </c>
      <c r="I10455" s="9"/>
    </row>
    <row r="10456" spans="1:9" x14ac:dyDescent="0.25">
      <c r="A10456">
        <v>841300</v>
      </c>
      <c r="B10456">
        <v>3.35</v>
      </c>
      <c r="C10456">
        <v>850</v>
      </c>
      <c r="D10456" s="9">
        <v>43727</v>
      </c>
      <c r="E10456" t="s">
        <v>295</v>
      </c>
      <c r="I10456" s="9"/>
    </row>
    <row r="10457" spans="1:9" x14ac:dyDescent="0.25">
      <c r="A10457">
        <v>841300</v>
      </c>
      <c r="B10457">
        <v>3.35</v>
      </c>
      <c r="C10457">
        <v>120</v>
      </c>
      <c r="D10457" s="9">
        <v>43482</v>
      </c>
      <c r="E10457" t="s">
        <v>295</v>
      </c>
      <c r="I10457" s="9"/>
    </row>
    <row r="10458" spans="1:9" x14ac:dyDescent="0.25">
      <c r="A10458">
        <v>841300</v>
      </c>
      <c r="B10458">
        <v>3.35</v>
      </c>
      <c r="C10458">
        <v>600</v>
      </c>
      <c r="D10458" s="9">
        <v>43369</v>
      </c>
      <c r="E10458" t="s">
        <v>295</v>
      </c>
      <c r="I10458" s="9"/>
    </row>
    <row r="10459" spans="1:9" x14ac:dyDescent="0.25">
      <c r="A10459">
        <v>841300</v>
      </c>
      <c r="B10459">
        <v>3.35</v>
      </c>
      <c r="C10459">
        <v>250</v>
      </c>
      <c r="D10459" s="9">
        <v>43055</v>
      </c>
      <c r="E10459" t="s">
        <v>295</v>
      </c>
      <c r="I10459" s="9"/>
    </row>
    <row r="10460" spans="1:9" x14ac:dyDescent="0.25">
      <c r="A10460">
        <v>841300</v>
      </c>
      <c r="B10460">
        <v>3.35</v>
      </c>
      <c r="C10460">
        <v>245</v>
      </c>
      <c r="D10460" s="9">
        <v>43020</v>
      </c>
      <c r="E10460" t="s">
        <v>295</v>
      </c>
      <c r="I10460" s="9"/>
    </row>
    <row r="10461" spans="1:9" x14ac:dyDescent="0.25">
      <c r="A10461">
        <v>841300</v>
      </c>
      <c r="B10461">
        <v>3.35</v>
      </c>
      <c r="C10461">
        <v>140</v>
      </c>
      <c r="D10461" s="9">
        <v>42993</v>
      </c>
      <c r="E10461" t="s">
        <v>295</v>
      </c>
      <c r="I10461" s="9"/>
    </row>
    <row r="10462" spans="1:9" x14ac:dyDescent="0.25">
      <c r="A10462">
        <v>841300</v>
      </c>
      <c r="B10462">
        <v>3.35</v>
      </c>
      <c r="C10462">
        <v>60</v>
      </c>
      <c r="D10462" s="9">
        <v>42725</v>
      </c>
      <c r="E10462" t="s">
        <v>295</v>
      </c>
      <c r="I10462" s="9"/>
    </row>
    <row r="10463" spans="1:9" x14ac:dyDescent="0.25">
      <c r="A10463">
        <v>841300</v>
      </c>
      <c r="B10463">
        <v>2.6</v>
      </c>
      <c r="C10463">
        <v>60</v>
      </c>
      <c r="D10463" s="9">
        <v>42716</v>
      </c>
      <c r="E10463" t="s">
        <v>295</v>
      </c>
      <c r="I10463" s="9"/>
    </row>
    <row r="10464" spans="1:9" x14ac:dyDescent="0.25">
      <c r="A10464">
        <v>841300</v>
      </c>
      <c r="B10464">
        <v>2.6</v>
      </c>
      <c r="C10464">
        <v>60</v>
      </c>
      <c r="D10464" s="9">
        <v>42305</v>
      </c>
      <c r="E10464" t="s">
        <v>295</v>
      </c>
      <c r="I10464" s="9"/>
    </row>
    <row r="10465" spans="1:9" x14ac:dyDescent="0.25">
      <c r="A10465">
        <v>841300</v>
      </c>
      <c r="B10465">
        <v>0</v>
      </c>
      <c r="C10465">
        <v>30</v>
      </c>
      <c r="D10465" s="9">
        <v>42271</v>
      </c>
      <c r="E10465" t="s">
        <v>295</v>
      </c>
      <c r="I10465" s="9"/>
    </row>
    <row r="10466" spans="1:9" x14ac:dyDescent="0.25">
      <c r="A10466">
        <v>841300</v>
      </c>
      <c r="B10466">
        <v>2.92</v>
      </c>
      <c r="C10466">
        <v>24</v>
      </c>
      <c r="D10466" s="9">
        <v>41982</v>
      </c>
      <c r="E10466" t="s">
        <v>295</v>
      </c>
      <c r="I10466" s="9"/>
    </row>
    <row r="10467" spans="1:9" x14ac:dyDescent="0.25">
      <c r="A10467">
        <v>841300</v>
      </c>
      <c r="B10467">
        <v>0</v>
      </c>
      <c r="C10467">
        <v>72</v>
      </c>
      <c r="D10467" s="9">
        <v>41935</v>
      </c>
      <c r="E10467" t="s">
        <v>295</v>
      </c>
      <c r="I10467" s="9"/>
    </row>
    <row r="10468" spans="1:9" x14ac:dyDescent="0.25">
      <c r="A10468">
        <v>841301</v>
      </c>
      <c r="B10468">
        <v>3.65</v>
      </c>
      <c r="C10468">
        <v>120</v>
      </c>
      <c r="D10468" s="9">
        <v>43775</v>
      </c>
      <c r="E10468" t="s">
        <v>295</v>
      </c>
      <c r="I10468" s="9"/>
    </row>
    <row r="10469" spans="1:9" x14ac:dyDescent="0.25">
      <c r="A10469">
        <v>841302</v>
      </c>
      <c r="B10469">
        <v>1.8</v>
      </c>
      <c r="C10469">
        <v>264</v>
      </c>
      <c r="D10469" s="9">
        <v>43369</v>
      </c>
      <c r="E10469" t="s">
        <v>295</v>
      </c>
      <c r="I10469" s="9"/>
    </row>
    <row r="10470" spans="1:9" x14ac:dyDescent="0.25">
      <c r="A10470">
        <v>841302</v>
      </c>
      <c r="B10470">
        <v>1.8</v>
      </c>
      <c r="C10470">
        <v>264</v>
      </c>
      <c r="D10470" s="9">
        <v>43011</v>
      </c>
      <c r="E10470" t="s">
        <v>295</v>
      </c>
      <c r="I10470" s="9"/>
    </row>
    <row r="10471" spans="1:9" x14ac:dyDescent="0.25">
      <c r="A10471">
        <v>841302</v>
      </c>
      <c r="B10471">
        <v>1.62</v>
      </c>
      <c r="C10471">
        <v>264</v>
      </c>
      <c r="D10471" s="9">
        <v>42689</v>
      </c>
      <c r="E10471" t="s">
        <v>295</v>
      </c>
      <c r="I10471" s="9"/>
    </row>
    <row r="10472" spans="1:9" x14ac:dyDescent="0.25">
      <c r="A10472">
        <v>841302</v>
      </c>
      <c r="B10472">
        <v>1.62</v>
      </c>
      <c r="C10472">
        <v>256</v>
      </c>
      <c r="D10472" s="9">
        <v>42662</v>
      </c>
      <c r="E10472" t="s">
        <v>295</v>
      </c>
      <c r="I10472" s="9"/>
    </row>
    <row r="10473" spans="1:9" x14ac:dyDescent="0.25">
      <c r="A10473">
        <v>841302</v>
      </c>
      <c r="B10473">
        <v>1.62</v>
      </c>
      <c r="C10473">
        <v>256</v>
      </c>
      <c r="D10473" s="9">
        <v>42305</v>
      </c>
      <c r="E10473" t="s">
        <v>295</v>
      </c>
      <c r="I10473" s="9"/>
    </row>
    <row r="10474" spans="1:9" x14ac:dyDescent="0.25">
      <c r="A10474">
        <v>841302</v>
      </c>
      <c r="B10474">
        <v>1.62</v>
      </c>
      <c r="C10474">
        <v>256</v>
      </c>
      <c r="D10474" s="9">
        <v>41982</v>
      </c>
      <c r="E10474" t="s">
        <v>295</v>
      </c>
      <c r="I10474" s="9"/>
    </row>
    <row r="10475" spans="1:9" x14ac:dyDescent="0.25">
      <c r="A10475">
        <v>841302</v>
      </c>
      <c r="B10475">
        <v>1.62</v>
      </c>
      <c r="C10475">
        <v>240</v>
      </c>
      <c r="D10475" s="9">
        <v>41947</v>
      </c>
      <c r="E10475" t="s">
        <v>295</v>
      </c>
      <c r="I10475" s="9"/>
    </row>
    <row r="10476" spans="1:9" x14ac:dyDescent="0.25">
      <c r="A10476">
        <v>841302</v>
      </c>
      <c r="B10476">
        <v>0</v>
      </c>
      <c r="C10476">
        <v>240</v>
      </c>
      <c r="D10476" s="9">
        <v>41935</v>
      </c>
      <c r="E10476" t="s">
        <v>295</v>
      </c>
      <c r="I10476" s="9"/>
    </row>
    <row r="10477" spans="1:9" x14ac:dyDescent="0.25">
      <c r="A10477">
        <v>841303</v>
      </c>
      <c r="B10477">
        <v>2.0299999999999998</v>
      </c>
      <c r="C10477">
        <v>240</v>
      </c>
      <c r="D10477" s="9">
        <v>43774</v>
      </c>
      <c r="E10477" t="s">
        <v>295</v>
      </c>
      <c r="I10477" s="9"/>
    </row>
    <row r="10478" spans="1:9" x14ac:dyDescent="0.25">
      <c r="A10478">
        <v>841303</v>
      </c>
      <c r="B10478">
        <v>2.0299999999999998</v>
      </c>
      <c r="C10478">
        <v>720</v>
      </c>
      <c r="D10478" s="9">
        <v>43369</v>
      </c>
      <c r="E10478" t="s">
        <v>295</v>
      </c>
      <c r="I10478" s="9"/>
    </row>
    <row r="10479" spans="1:9" x14ac:dyDescent="0.25">
      <c r="A10479">
        <v>841303</v>
      </c>
      <c r="B10479">
        <v>2.0299999999999998</v>
      </c>
      <c r="C10479">
        <v>480</v>
      </c>
      <c r="D10479" s="9">
        <v>43045</v>
      </c>
      <c r="E10479" t="s">
        <v>295</v>
      </c>
      <c r="I10479" s="9"/>
    </row>
    <row r="10480" spans="1:9" x14ac:dyDescent="0.25">
      <c r="A10480">
        <v>841303</v>
      </c>
      <c r="B10480">
        <v>2.0299999999999998</v>
      </c>
      <c r="C10480">
        <v>480</v>
      </c>
      <c r="D10480" s="9">
        <v>43020</v>
      </c>
      <c r="E10480" t="s">
        <v>295</v>
      </c>
      <c r="I10480" s="9"/>
    </row>
    <row r="10481" spans="1:9" x14ac:dyDescent="0.25">
      <c r="A10481">
        <v>841303</v>
      </c>
      <c r="B10481">
        <v>1.85</v>
      </c>
      <c r="C10481">
        <v>480</v>
      </c>
      <c r="D10481" s="9">
        <v>42716</v>
      </c>
      <c r="E10481" t="s">
        <v>295</v>
      </c>
      <c r="I10481" s="9"/>
    </row>
    <row r="10482" spans="1:9" x14ac:dyDescent="0.25">
      <c r="A10482">
        <v>841303</v>
      </c>
      <c r="B10482">
        <v>1.85</v>
      </c>
      <c r="C10482">
        <v>480</v>
      </c>
      <c r="D10482" s="9">
        <v>42662</v>
      </c>
      <c r="E10482" t="s">
        <v>295</v>
      </c>
      <c r="I10482" s="9"/>
    </row>
    <row r="10483" spans="1:9" x14ac:dyDescent="0.25">
      <c r="A10483">
        <v>841303</v>
      </c>
      <c r="B10483">
        <v>1.85</v>
      </c>
      <c r="C10483">
        <v>648</v>
      </c>
      <c r="D10483" s="9">
        <v>42305</v>
      </c>
      <c r="E10483" t="s">
        <v>295</v>
      </c>
      <c r="I10483" s="9"/>
    </row>
    <row r="10484" spans="1:9" x14ac:dyDescent="0.25">
      <c r="A10484">
        <v>841303</v>
      </c>
      <c r="B10484">
        <v>1.85</v>
      </c>
      <c r="C10484">
        <v>216</v>
      </c>
      <c r="D10484" s="9">
        <v>42271</v>
      </c>
      <c r="E10484" t="s">
        <v>295</v>
      </c>
      <c r="I10484" s="9"/>
    </row>
    <row r="10485" spans="1:9" x14ac:dyDescent="0.25">
      <c r="A10485">
        <v>841303</v>
      </c>
      <c r="B10485">
        <v>1.85</v>
      </c>
      <c r="C10485">
        <v>840</v>
      </c>
      <c r="D10485" s="9">
        <v>41934</v>
      </c>
      <c r="E10485" t="s">
        <v>295</v>
      </c>
      <c r="I10485" s="9"/>
    </row>
    <row r="10486" spans="1:9" x14ac:dyDescent="0.25">
      <c r="A10486">
        <v>841303</v>
      </c>
      <c r="B10486">
        <v>1.85</v>
      </c>
      <c r="C10486">
        <v>800</v>
      </c>
      <c r="D10486" s="9">
        <v>41619</v>
      </c>
      <c r="E10486" t="s">
        <v>295</v>
      </c>
      <c r="I10486" s="9"/>
    </row>
    <row r="10487" spans="1:9" x14ac:dyDescent="0.25">
      <c r="A10487">
        <v>841305</v>
      </c>
      <c r="B10487">
        <v>2.2999999999999998</v>
      </c>
      <c r="C10487">
        <v>120</v>
      </c>
      <c r="D10487" s="9">
        <v>43774</v>
      </c>
      <c r="E10487" t="s">
        <v>295</v>
      </c>
      <c r="I10487" s="9"/>
    </row>
    <row r="10488" spans="1:9" x14ac:dyDescent="0.25">
      <c r="A10488">
        <v>841306</v>
      </c>
      <c r="B10488">
        <v>2.1800000000000002</v>
      </c>
      <c r="C10488">
        <v>600</v>
      </c>
      <c r="D10488" s="9">
        <v>43369</v>
      </c>
      <c r="E10488" t="s">
        <v>295</v>
      </c>
      <c r="I10488" s="9"/>
    </row>
    <row r="10489" spans="1:9" x14ac:dyDescent="0.25">
      <c r="A10489">
        <v>841306</v>
      </c>
      <c r="B10489">
        <v>2.1800000000000002</v>
      </c>
      <c r="C10489">
        <v>100</v>
      </c>
      <c r="D10489" s="9">
        <v>43081</v>
      </c>
      <c r="E10489" t="s">
        <v>295</v>
      </c>
      <c r="I10489" s="9"/>
    </row>
    <row r="10490" spans="1:9" x14ac:dyDescent="0.25">
      <c r="A10490">
        <v>841306</v>
      </c>
      <c r="B10490">
        <v>2.1800000000000002</v>
      </c>
      <c r="C10490">
        <v>420</v>
      </c>
      <c r="D10490" s="9">
        <v>43045</v>
      </c>
      <c r="E10490" t="s">
    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      </c>
      <c r="D10491" s="9">
        <v>43020</v>
      </c>
      <c r="E10491" t="s">
        <v>295</v>
      </c>
      <c r="I10491" s="9"/>
    </row>
    <row r="10492" spans="1:9" x14ac:dyDescent="0.25">
      <c r="A10492">
        <v>841306</v>
      </c>
      <c r="B10492">
        <v>1.99</v>
      </c>
      <c r="C10492">
        <v>80</v>
      </c>
      <c r="D10492" s="9">
        <v>42716</v>
      </c>
      <c r="E10492" t="s">
        <v>295</v>
      </c>
      <c r="I10492" s="9"/>
    </row>
    <row r="10493" spans="1:9" x14ac:dyDescent="0.25">
      <c r="A10493">
        <v>841306</v>
      </c>
      <c r="B10493">
        <v>1.99</v>
      </c>
      <c r="C10493">
        <v>120</v>
      </c>
      <c r="D10493" s="9">
        <v>42710</v>
      </c>
      <c r="E10493" t="s">
        <v>295</v>
      </c>
      <c r="I10493" s="9"/>
    </row>
    <row r="10494" spans="1:9" x14ac:dyDescent="0.25">
      <c r="A10494">
        <v>841306</v>
      </c>
      <c r="B10494">
        <v>2.16</v>
      </c>
      <c r="C10494">
        <v>100</v>
      </c>
      <c r="D10494" s="9">
        <v>42689</v>
      </c>
      <c r="E10494" t="s">
        <v>295</v>
      </c>
      <c r="I10494" s="9"/>
    </row>
    <row r="10495" spans="1:9" x14ac:dyDescent="0.25">
      <c r="A10495">
        <v>841306</v>
      </c>
      <c r="B10495">
        <v>2.16</v>
      </c>
      <c r="C10495">
        <v>100</v>
      </c>
      <c r="D10495" s="9">
        <v>42662</v>
      </c>
      <c r="E10495" t="s">
        <v>295</v>
      </c>
      <c r="I10495" s="9"/>
    </row>
    <row r="10496" spans="1:9" x14ac:dyDescent="0.25">
      <c r="A10496">
        <v>841306</v>
      </c>
      <c r="B10496">
        <v>2.16</v>
      </c>
      <c r="C10496">
        <v>200</v>
      </c>
      <c r="D10496" s="9">
        <v>42305</v>
      </c>
      <c r="E10496" t="s">
        <v>295</v>
      </c>
      <c r="I10496" s="9"/>
    </row>
    <row r="10497" spans="1:9" x14ac:dyDescent="0.25">
      <c r="A10497">
        <v>841306</v>
      </c>
      <c r="B10497">
        <v>2.16</v>
      </c>
      <c r="C10497">
        <v>200</v>
      </c>
      <c r="D10497" s="9">
        <v>41982</v>
      </c>
      <c r="E10497" t="s">
        <v>295</v>
      </c>
      <c r="I10497" s="9"/>
    </row>
    <row r="10498" spans="1:9" x14ac:dyDescent="0.25">
      <c r="A10498">
        <v>841306</v>
      </c>
      <c r="B10498">
        <v>2.16</v>
      </c>
      <c r="C10498">
        <v>480</v>
      </c>
      <c r="D10498" s="9">
        <v>41955</v>
      </c>
      <c r="E10498" t="s">
        <v>295</v>
      </c>
      <c r="I10498" s="9"/>
    </row>
    <row r="10499" spans="1:9" x14ac:dyDescent="0.25">
      <c r="A10499">
        <v>841306</v>
      </c>
      <c r="B10499">
        <v>2.16</v>
      </c>
      <c r="C10499">
        <v>240</v>
      </c>
      <c r="D10499" s="9">
        <v>41947</v>
      </c>
      <c r="E10499" t="s">
        <v>295</v>
      </c>
      <c r="I10499" s="9"/>
    </row>
    <row r="10500" spans="1:9" x14ac:dyDescent="0.25">
      <c r="A10500">
        <v>841306</v>
      </c>
      <c r="B10500">
        <v>2.16</v>
      </c>
      <c r="C10500">
        <v>240</v>
      </c>
      <c r="D10500" s="9">
        <v>41946</v>
      </c>
      <c r="E10500" t="s">
        <v>295</v>
      </c>
      <c r="I10500" s="9"/>
    </row>
    <row r="10501" spans="1:9" x14ac:dyDescent="0.25">
      <c r="A10501">
        <v>841306</v>
      </c>
      <c r="B10501">
        <v>2.16</v>
      </c>
      <c r="C10501">
        <v>240</v>
      </c>
      <c r="D10501" s="9">
        <v>41934</v>
      </c>
      <c r="E10501" t="s">
        <v>295</v>
      </c>
      <c r="I10501" s="9"/>
    </row>
    <row r="10502" spans="1:9" x14ac:dyDescent="0.25">
      <c r="A10502">
        <v>841306</v>
      </c>
      <c r="B10502">
        <v>2.76</v>
      </c>
      <c r="C10502">
        <v>240</v>
      </c>
      <c r="D10502" s="9">
        <v>41592</v>
      </c>
      <c r="E10502" t="s">
        <v>295</v>
      </c>
      <c r="I10502" s="9"/>
    </row>
    <row r="10503" spans="1:9" x14ac:dyDescent="0.25">
      <c r="A10503">
        <v>841306</v>
      </c>
      <c r="B10503">
        <v>2.76</v>
      </c>
      <c r="C10503">
        <v>240</v>
      </c>
      <c r="D10503" s="9">
        <v>41571</v>
      </c>
      <c r="E10503" t="s">
        <v>295</v>
      </c>
      <c r="I10503" s="9"/>
    </row>
    <row r="10504" spans="1:9" x14ac:dyDescent="0.25">
      <c r="A10504">
        <v>841307</v>
      </c>
      <c r="B10504">
        <v>0.55000000000000004</v>
      </c>
      <c r="C10504">
        <v>780</v>
      </c>
      <c r="D10504" s="9">
        <v>43727</v>
      </c>
      <c r="E10504" t="s">
        <v>295</v>
      </c>
      <c r="I10504" s="9"/>
    </row>
    <row r="10505" spans="1:9" x14ac:dyDescent="0.25">
      <c r="A10505">
        <v>841307</v>
      </c>
      <c r="B10505">
        <v>0.55000000000000004</v>
      </c>
      <c r="C10505">
        <v>780</v>
      </c>
      <c r="D10505" s="9">
        <v>43369</v>
      </c>
      <c r="E10505" t="s">
        <v>295</v>
      </c>
      <c r="I10505" s="9"/>
    </row>
    <row r="10506" spans="1:9" x14ac:dyDescent="0.25">
      <c r="A10506">
        <v>841307</v>
      </c>
      <c r="B10506">
        <v>0.55000000000000004</v>
      </c>
      <c r="C10506">
        <v>780</v>
      </c>
      <c r="D10506" s="9">
        <v>43047</v>
      </c>
      <c r="E10506" t="s">
        <v>295</v>
      </c>
      <c r="I10506" s="9"/>
    </row>
    <row r="10507" spans="1:9" x14ac:dyDescent="0.25">
      <c r="A10507">
        <v>841307</v>
      </c>
      <c r="B10507">
        <v>0.55000000000000004</v>
      </c>
      <c r="C10507">
        <v>780</v>
      </c>
      <c r="D10507" s="9">
        <v>43045</v>
      </c>
      <c r="E10507" t="s">
        <v>295</v>
      </c>
      <c r="I10507" s="9"/>
    </row>
    <row r="10508" spans="1:9" x14ac:dyDescent="0.25">
      <c r="A10508">
        <v>841307</v>
      </c>
      <c r="B10508">
        <v>0.49</v>
      </c>
      <c r="C10508">
        <v>780</v>
      </c>
      <c r="D10508" s="9">
        <v>42990</v>
      </c>
      <c r="E10508" t="s">
        <v>295</v>
      </c>
      <c r="I10508" s="9"/>
    </row>
    <row r="10509" spans="1:9" x14ac:dyDescent="0.25">
      <c r="A10509">
        <v>841307</v>
      </c>
      <c r="B10509">
        <v>0.49</v>
      </c>
      <c r="C10509">
        <v>792</v>
      </c>
      <c r="D10509" s="9">
        <v>42334</v>
      </c>
      <c r="E10509" t="s">
        <v>295</v>
      </c>
      <c r="I10509" s="9"/>
    </row>
    <row r="10510" spans="1:9" x14ac:dyDescent="0.25">
      <c r="A10510">
        <v>841307</v>
      </c>
      <c r="B10510">
        <v>0.55000000000000004</v>
      </c>
      <c r="C10510">
        <v>780</v>
      </c>
      <c r="D10510" s="9">
        <v>42277</v>
      </c>
      <c r="E10510" t="s">
        <v>295</v>
      </c>
      <c r="I10510" s="9"/>
    </row>
    <row r="10511" spans="1:9" x14ac:dyDescent="0.25">
      <c r="A10511">
        <v>841307</v>
      </c>
      <c r="B10511">
        <v>0</v>
      </c>
      <c r="C10511">
        <v>780</v>
      </c>
      <c r="D10511" s="9">
        <v>42271</v>
      </c>
      <c r="E10511" t="s">
        <v>295</v>
      </c>
      <c r="I10511" s="9"/>
    </row>
    <row r="10512" spans="1:9" x14ac:dyDescent="0.25">
      <c r="A10512">
        <v>841307</v>
      </c>
      <c r="B10512">
        <v>0.49</v>
      </c>
      <c r="C10512">
        <v>1008</v>
      </c>
      <c r="D10512" s="9">
        <v>41955</v>
      </c>
      <c r="E10512" t="s">
        <v>295</v>
      </c>
      <c r="I10512" s="9"/>
    </row>
    <row r="10513" spans="1:9" x14ac:dyDescent="0.25">
      <c r="A10513">
        <v>841307</v>
      </c>
      <c r="B10513">
        <v>0.49</v>
      </c>
      <c r="C10513">
        <v>1000</v>
      </c>
      <c r="D10513" s="9">
        <v>41947</v>
      </c>
      <c r="E10513" t="s">
        <v>295</v>
      </c>
      <c r="I10513" s="9"/>
    </row>
    <row r="10514" spans="1:9" x14ac:dyDescent="0.25">
      <c r="A10514">
        <v>841307</v>
      </c>
      <c r="B10514">
        <v>0.53</v>
      </c>
      <c r="C10514">
        <v>800</v>
      </c>
      <c r="D10514" s="9">
        <v>41612</v>
      </c>
      <c r="E10514" t="s">
        <v>295</v>
      </c>
      <c r="I10514" s="9"/>
    </row>
    <row r="10515" spans="1:9" x14ac:dyDescent="0.25">
      <c r="A10515">
        <v>841307</v>
      </c>
      <c r="B10515">
        <v>0.53</v>
      </c>
      <c r="C10515">
        <v>800</v>
      </c>
      <c r="D10515" s="9">
        <v>41592</v>
      </c>
      <c r="E10515" t="s">
        <v>295</v>
      </c>
      <c r="I10515" s="9"/>
    </row>
    <row r="10516" spans="1:9" x14ac:dyDescent="0.25">
      <c r="A10516">
        <v>841307</v>
      </c>
      <c r="B10516">
        <v>0.53</v>
      </c>
      <c r="C10516">
        <v>800</v>
      </c>
      <c r="D10516" s="9">
        <v>41571</v>
      </c>
      <c r="E10516" t="s">
        <v>295</v>
      </c>
      <c r="I10516" s="9"/>
    </row>
    <row r="10517" spans="1:9" x14ac:dyDescent="0.25">
      <c r="A10517">
        <v>841309</v>
      </c>
      <c r="B10517">
        <v>3.9</v>
      </c>
      <c r="C10517">
        <v>220</v>
      </c>
      <c r="D10517" s="9">
        <v>43816</v>
      </c>
      <c r="E10517" t="s">
        <v>295</v>
      </c>
      <c r="I10517" s="9"/>
    </row>
    <row r="10518" spans="1:9" x14ac:dyDescent="0.25">
      <c r="A10518">
        <v>841309</v>
      </c>
      <c r="B10518">
        <v>3.9</v>
      </c>
      <c r="C10518">
        <v>40</v>
      </c>
      <c r="D10518" s="9">
        <v>43774</v>
      </c>
      <c r="E10518" t="s">
        <v>295</v>
      </c>
      <c r="I10518" s="9"/>
    </row>
    <row r="10519" spans="1:9" x14ac:dyDescent="0.25">
      <c r="A10519">
        <v>841309</v>
      </c>
      <c r="B10519">
        <v>3.9</v>
      </c>
      <c r="C10519">
        <v>400</v>
      </c>
      <c r="D10519" s="9">
        <v>43369</v>
      </c>
      <c r="E10519" t="s">
        <v>295</v>
      </c>
      <c r="I10519" s="9"/>
    </row>
    <row r="10520" spans="1:9" x14ac:dyDescent="0.25">
      <c r="A10520">
        <v>841309</v>
      </c>
      <c r="B10520">
        <v>3.61</v>
      </c>
      <c r="C10520">
        <v>100</v>
      </c>
      <c r="D10520" s="9">
        <v>43081</v>
      </c>
      <c r="E10520" t="s">
        <v>295</v>
      </c>
      <c r="I10520" s="9"/>
    </row>
    <row r="10521" spans="1:9" x14ac:dyDescent="0.25">
      <c r="A10521">
        <v>841309</v>
      </c>
      <c r="B10521">
        <v>3.61</v>
      </c>
      <c r="C10521">
        <v>260</v>
      </c>
      <c r="D10521" s="9">
        <v>43020</v>
      </c>
      <c r="E10521" t="s">
        <v>295</v>
      </c>
      <c r="I10521" s="9"/>
    </row>
    <row r="10522" spans="1:9" x14ac:dyDescent="0.25">
      <c r="A10522">
        <v>841309</v>
      </c>
      <c r="B10522">
        <v>3.3</v>
      </c>
      <c r="C10522">
        <v>60</v>
      </c>
      <c r="D10522" s="9">
        <v>42716</v>
      </c>
      <c r="E10522" t="s">
        <v>295</v>
      </c>
      <c r="I10522" s="9"/>
    </row>
    <row r="10523" spans="1:9" x14ac:dyDescent="0.25">
      <c r="A10523">
        <v>841309</v>
      </c>
      <c r="B10523">
        <v>3.51</v>
      </c>
      <c r="C10523">
        <v>100</v>
      </c>
      <c r="D10523" s="9">
        <v>42662</v>
      </c>
      <c r="E10523" t="s">
        <v>295</v>
      </c>
      <c r="I10523" s="9"/>
    </row>
    <row r="10524" spans="1:9" x14ac:dyDescent="0.25">
      <c r="A10524">
        <v>841309</v>
      </c>
      <c r="B10524">
        <v>3.9</v>
      </c>
      <c r="C10524">
        <v>120</v>
      </c>
      <c r="D10524" s="9">
        <v>42305</v>
      </c>
      <c r="E10524" t="s">
        <v>295</v>
      </c>
      <c r="I10524" s="9"/>
    </row>
    <row r="10525" spans="1:9" x14ac:dyDescent="0.25">
      <c r="A10525">
        <v>841309</v>
      </c>
      <c r="B10525">
        <v>3.51</v>
      </c>
      <c r="C10525">
        <v>100</v>
      </c>
      <c r="D10525" s="9">
        <v>41982</v>
      </c>
      <c r="E10525" t="s">
        <v>295</v>
      </c>
      <c r="I10525" s="9"/>
    </row>
    <row r="10526" spans="1:9" x14ac:dyDescent="0.25">
      <c r="A10526">
        <v>841309</v>
      </c>
      <c r="B10526">
        <v>0</v>
      </c>
      <c r="C10526">
        <v>80</v>
      </c>
      <c r="D10526" s="9">
        <v>41935</v>
      </c>
      <c r="E10526" t="s">
        <v>295</v>
      </c>
      <c r="I10526" s="9"/>
    </row>
    <row r="10527" spans="1:9" x14ac:dyDescent="0.25">
      <c r="A10527">
        <v>841315</v>
      </c>
      <c r="B10527">
        <v>6.97</v>
      </c>
      <c r="C10527">
        <v>112</v>
      </c>
      <c r="D10527" s="9">
        <v>43809</v>
      </c>
      <c r="E10527" t="s">
        <v>295</v>
      </c>
      <c r="I10527" s="9"/>
    </row>
    <row r="10528" spans="1:9" x14ac:dyDescent="0.25">
      <c r="A10528">
        <v>841315</v>
      </c>
      <c r="B10528">
        <v>6.97</v>
      </c>
      <c r="C10528">
        <v>224</v>
      </c>
      <c r="D10528" s="9">
        <v>43388</v>
      </c>
      <c r="E10528" t="s">
        <v>295</v>
      </c>
      <c r="I10528" s="9"/>
    </row>
    <row r="10529" spans="1:9" x14ac:dyDescent="0.25">
      <c r="A10529">
        <v>841315</v>
      </c>
      <c r="B10529">
        <v>6.97</v>
      </c>
      <c r="C10529">
        <v>224</v>
      </c>
      <c r="D10529" s="9">
        <v>43369</v>
      </c>
      <c r="E10529" t="s">
        <v>295</v>
      </c>
      <c r="I10529" s="9"/>
    </row>
    <row r="10530" spans="1:9" x14ac:dyDescent="0.25">
      <c r="A10530">
        <v>841315</v>
      </c>
      <c r="B10530">
        <v>6.97</v>
      </c>
      <c r="C10530">
        <v>112</v>
      </c>
      <c r="D10530" s="9">
        <v>43045</v>
      </c>
      <c r="E10530" t="s">
        <v>295</v>
      </c>
      <c r="I10530" s="9"/>
    </row>
    <row r="10531" spans="1:9" x14ac:dyDescent="0.25">
      <c r="A10531">
        <v>841315</v>
      </c>
      <c r="B10531">
        <v>6.97</v>
      </c>
      <c r="C10531">
        <v>112</v>
      </c>
      <c r="D10531" s="9">
        <v>42990</v>
      </c>
      <c r="E10531" t="s">
        <v>295</v>
      </c>
      <c r="I10531" s="9"/>
    </row>
    <row r="10532" spans="1:9" x14ac:dyDescent="0.25">
      <c r="A10532">
        <v>841315</v>
      </c>
      <c r="B10532">
        <v>6.36</v>
      </c>
      <c r="C10532">
        <v>112</v>
      </c>
      <c r="D10532" s="9">
        <v>42716</v>
      </c>
      <c r="E10532" t="s">
        <v>295</v>
      </c>
      <c r="I10532" s="9"/>
    </row>
    <row r="10533" spans="1:9" x14ac:dyDescent="0.25">
      <c r="A10533">
        <v>841315</v>
      </c>
      <c r="B10533">
        <v>7.8</v>
      </c>
      <c r="C10533">
        <v>96</v>
      </c>
      <c r="D10533" s="9">
        <v>42689</v>
      </c>
      <c r="E10533" t="s">
        <v>295</v>
      </c>
      <c r="I10533" s="9"/>
    </row>
    <row r="10534" spans="1:9" x14ac:dyDescent="0.25">
      <c r="A10534">
        <v>841315</v>
      </c>
      <c r="B10534">
        <v>7.8</v>
      </c>
      <c r="C10534">
        <v>112</v>
      </c>
      <c r="D10534" s="9">
        <v>42662</v>
      </c>
      <c r="E10534" t="s">
        <v>295</v>
      </c>
      <c r="I10534" s="9"/>
    </row>
    <row r="10535" spans="1:9" x14ac:dyDescent="0.25">
      <c r="A10535">
        <v>841315</v>
      </c>
      <c r="B10535">
        <v>7.8</v>
      </c>
      <c r="C10535">
        <v>112</v>
      </c>
      <c r="D10535" s="9">
        <v>42334</v>
      </c>
      <c r="E10535" t="s">
        <v>295</v>
      </c>
      <c r="I10535" s="9"/>
    </row>
    <row r="10536" spans="1:9" x14ac:dyDescent="0.25">
      <c r="A10536">
        <v>841315</v>
      </c>
      <c r="B10536">
        <v>6.89</v>
      </c>
      <c r="C10536">
        <v>480</v>
      </c>
      <c r="D10536" s="9">
        <v>41934</v>
      </c>
      <c r="E10536" t="s">
        <v>295</v>
      </c>
      <c r="I10536" s="9"/>
    </row>
    <row r="10537" spans="1:9" x14ac:dyDescent="0.25">
      <c r="A10537">
        <v>841315</v>
      </c>
      <c r="B10537">
        <v>5.07</v>
      </c>
      <c r="C10537">
        <v>192</v>
      </c>
      <c r="D10537" s="9">
        <v>41619</v>
      </c>
      <c r="E10537" t="s">
        <v>295</v>
      </c>
      <c r="I10537" s="9"/>
    </row>
    <row r="10538" spans="1:9" x14ac:dyDescent="0.25">
      <c r="A10538">
        <v>841315</v>
      </c>
      <c r="B10538">
        <v>5.07</v>
      </c>
      <c r="C10538">
        <v>192</v>
      </c>
      <c r="D10538" s="9">
        <v>41592</v>
      </c>
      <c r="E10538" t="s">
        <v>295</v>
      </c>
      <c r="I10538" s="9"/>
    </row>
    <row r="10539" spans="1:9" x14ac:dyDescent="0.25">
      <c r="A10539">
        <v>841315</v>
      </c>
      <c r="B10539">
        <v>5.07</v>
      </c>
      <c r="C10539">
        <v>192</v>
      </c>
      <c r="D10539" s="9">
        <v>41571</v>
      </c>
      <c r="E10539" t="s">
        <v>295</v>
      </c>
      <c r="I10539" s="9"/>
    </row>
    <row r="10540" spans="1:9" x14ac:dyDescent="0.25">
      <c r="A10540">
        <v>841315</v>
      </c>
      <c r="B10540">
        <v>5</v>
      </c>
      <c r="C10540">
        <v>192</v>
      </c>
      <c r="D10540" s="9">
        <v>41558</v>
      </c>
      <c r="E10540" t="s">
        <v>295</v>
      </c>
      <c r="I10540" s="9"/>
    </row>
    <row r="10541" spans="1:9" x14ac:dyDescent="0.25">
      <c r="A10541">
        <v>841316</v>
      </c>
      <c r="B10541">
        <v>7.42</v>
      </c>
      <c r="C10541">
        <v>176</v>
      </c>
      <c r="D10541" s="9">
        <v>43816</v>
      </c>
      <c r="E10541" t="s">
        <v>295</v>
      </c>
      <c r="I10541" s="9"/>
    </row>
    <row r="10542" spans="1:9" x14ac:dyDescent="0.25">
      <c r="A10542">
        <v>841316</v>
      </c>
      <c r="B10542">
        <v>7.42</v>
      </c>
      <c r="C10542">
        <v>176</v>
      </c>
      <c r="D10542" s="9">
        <v>43774</v>
      </c>
      <c r="E10542" t="s">
        <v>295</v>
      </c>
      <c r="I10542" s="9"/>
    </row>
    <row r="10543" spans="1:9" x14ac:dyDescent="0.25">
      <c r="A10543">
        <v>841316</v>
      </c>
      <c r="B10543">
        <v>7.42</v>
      </c>
      <c r="C10543">
        <v>112</v>
      </c>
      <c r="D10543" s="9">
        <v>43402</v>
      </c>
      <c r="E10543" t="s">
        <v>295</v>
      </c>
      <c r="I10543" s="9"/>
    </row>
    <row r="10544" spans="1:9" x14ac:dyDescent="0.25">
      <c r="A10544">
        <v>841316</v>
      </c>
      <c r="B10544">
        <v>7.42</v>
      </c>
      <c r="C10544">
        <v>352</v>
      </c>
      <c r="D10544" s="9">
        <v>43388</v>
      </c>
      <c r="E10544" t="s">
        <v>295</v>
      </c>
      <c r="I10544" s="9"/>
    </row>
    <row r="10545" spans="1:9" x14ac:dyDescent="0.25">
      <c r="A10545">
        <v>841316</v>
      </c>
      <c r="B10545">
        <v>7.42</v>
      </c>
      <c r="C10545">
        <v>460</v>
      </c>
      <c r="D10545" s="9">
        <v>43369</v>
      </c>
      <c r="E10545" t="s">
        <v>295</v>
      </c>
      <c r="I10545" s="9"/>
    </row>
    <row r="10546" spans="1:9" x14ac:dyDescent="0.25">
      <c r="A10546">
        <v>841316</v>
      </c>
      <c r="B10546">
        <v>7.42</v>
      </c>
      <c r="C10546">
        <v>240</v>
      </c>
      <c r="D10546" s="9">
        <v>43081</v>
      </c>
      <c r="E10546" t="s">
        <v>295</v>
      </c>
      <c r="I10546" s="9"/>
    </row>
    <row r="10547" spans="1:9" x14ac:dyDescent="0.25">
      <c r="A10547">
        <v>841316</v>
      </c>
      <c r="B10547">
        <v>7.42</v>
      </c>
      <c r="C10547">
        <v>112</v>
      </c>
      <c r="D10547" s="9">
        <v>43045</v>
      </c>
      <c r="E10547" t="s">
        <v>295</v>
      </c>
      <c r="I10547" s="9"/>
    </row>
    <row r="10548" spans="1:9" x14ac:dyDescent="0.25">
      <c r="A10548">
        <v>841316</v>
      </c>
      <c r="B10548">
        <v>7.42</v>
      </c>
      <c r="C10548">
        <v>256</v>
      </c>
      <c r="D10548" s="9">
        <v>43020</v>
      </c>
      <c r="E10548" t="s">
        <v>295</v>
      </c>
      <c r="I10548" s="9"/>
    </row>
    <row r="10549" spans="1:9" x14ac:dyDescent="0.25">
      <c r="A10549">
        <v>841316</v>
      </c>
      <c r="B10549">
        <v>7.42</v>
      </c>
      <c r="C10549">
        <v>112</v>
      </c>
      <c r="D10549" s="9">
        <v>42990</v>
      </c>
      <c r="E10549" t="s">
        <v>295</v>
      </c>
      <c r="I10549" s="9"/>
    </row>
    <row r="10550" spans="1:9" x14ac:dyDescent="0.25">
      <c r="A10550">
        <v>841316</v>
      </c>
      <c r="B10550">
        <v>4.95</v>
      </c>
      <c r="C10550">
        <v>96</v>
      </c>
      <c r="D10550" s="9">
        <v>42716</v>
      </c>
      <c r="E10550" t="s">
        <v>295</v>
      </c>
      <c r="I10550" s="9"/>
    </row>
    <row r="10551" spans="1:9" x14ac:dyDescent="0.25">
      <c r="A10551">
        <v>841316</v>
      </c>
      <c r="B10551">
        <v>4.95</v>
      </c>
      <c r="C10551">
        <v>1</v>
      </c>
      <c r="D10551" s="9">
        <v>42689</v>
      </c>
      <c r="E10551" t="s">
        <v>295</v>
      </c>
      <c r="I10551" s="9"/>
    </row>
    <row r="10552" spans="1:9" x14ac:dyDescent="0.25">
      <c r="A10552">
        <v>841316</v>
      </c>
      <c r="B10552">
        <v>7.35</v>
      </c>
      <c r="C10552">
        <v>320</v>
      </c>
      <c r="D10552" s="9">
        <v>41946</v>
      </c>
      <c r="E10552" t="s">
        <v>295</v>
      </c>
      <c r="I10552" s="9"/>
    </row>
    <row r="10553" spans="1:9" x14ac:dyDescent="0.25">
      <c r="A10553">
        <v>841316</v>
      </c>
      <c r="B10553">
        <v>7.35</v>
      </c>
      <c r="C10553">
        <v>320</v>
      </c>
      <c r="D10553" s="9">
        <v>41934</v>
      </c>
      <c r="E10553" t="s">
        <v>295</v>
      </c>
      <c r="I10553" s="9"/>
    </row>
    <row r="10554" spans="1:9" x14ac:dyDescent="0.25">
      <c r="A10554">
        <v>841316</v>
      </c>
      <c r="B10554">
        <v>6.7</v>
      </c>
      <c r="C10554">
        <v>192</v>
      </c>
      <c r="D10554" s="9">
        <v>41592</v>
      </c>
      <c r="E10554" t="s">
        <v>295</v>
      </c>
      <c r="I10554" s="9"/>
    </row>
    <row r="10555" spans="1:9" x14ac:dyDescent="0.25">
      <c r="A10555">
        <v>841316</v>
      </c>
      <c r="B10555">
        <v>6.5</v>
      </c>
      <c r="C10555">
        <v>192</v>
      </c>
      <c r="D10555" s="9">
        <v>41558</v>
      </c>
      <c r="E10555" t="s">
        <v>295</v>
      </c>
      <c r="I10555" s="9"/>
    </row>
    <row r="10556" spans="1:9" x14ac:dyDescent="0.25">
      <c r="A10556">
        <v>841317</v>
      </c>
      <c r="B10556">
        <v>7.39</v>
      </c>
      <c r="C10556">
        <v>272</v>
      </c>
      <c r="D10556" s="9">
        <v>43784</v>
      </c>
      <c r="E10556" t="s">
        <v>295</v>
      </c>
      <c r="I10556" s="9"/>
    </row>
    <row r="10557" spans="1:9" x14ac:dyDescent="0.25">
      <c r="A10557">
        <v>841317</v>
      </c>
      <c r="B10557">
        <v>7.39</v>
      </c>
      <c r="C10557">
        <v>16</v>
      </c>
      <c r="D10557" s="9">
        <v>43402</v>
      </c>
      <c r="E10557" t="s">
        <v>295</v>
      </c>
      <c r="I10557" s="9"/>
    </row>
    <row r="10558" spans="1:9" x14ac:dyDescent="0.25">
      <c r="A10558">
        <v>841317</v>
      </c>
      <c r="B10558">
        <v>7.39</v>
      </c>
      <c r="C10558">
        <v>240</v>
      </c>
      <c r="D10558" s="9">
        <v>43388</v>
      </c>
      <c r="E10558" t="s">
        <v>295</v>
      </c>
      <c r="I10558" s="9"/>
    </row>
    <row r="10559" spans="1:9" x14ac:dyDescent="0.25">
      <c r="A10559">
        <v>841317</v>
      </c>
      <c r="B10559">
        <v>7.39</v>
      </c>
      <c r="C10559">
        <v>256</v>
      </c>
      <c r="D10559" s="9">
        <v>43369</v>
      </c>
      <c r="E10559" t="s">
        <v>295</v>
      </c>
      <c r="I10559" s="9"/>
    </row>
    <row r="10560" spans="1:9" x14ac:dyDescent="0.25">
      <c r="A10560">
        <v>841317</v>
      </c>
      <c r="B10560">
        <v>7.39</v>
      </c>
      <c r="C10560">
        <v>160</v>
      </c>
      <c r="D10560" s="9">
        <v>43081</v>
      </c>
      <c r="E10560" t="s">
        <v>295</v>
      </c>
      <c r="I10560" s="9"/>
    </row>
    <row r="10561" spans="1:9" x14ac:dyDescent="0.25">
      <c r="A10561">
        <v>841317</v>
      </c>
      <c r="B10561">
        <v>7.39</v>
      </c>
      <c r="C10561">
        <v>256</v>
      </c>
      <c r="D10561" s="9">
        <v>43045</v>
      </c>
      <c r="E10561" t="s">
        <v>295</v>
      </c>
      <c r="I10561" s="9"/>
    </row>
    <row r="10562" spans="1:9" x14ac:dyDescent="0.25">
      <c r="A10562">
        <v>841317</v>
      </c>
      <c r="B10562">
        <v>7.39</v>
      </c>
      <c r="C10562">
        <v>256</v>
      </c>
      <c r="D10562" s="9">
        <v>43020</v>
      </c>
      <c r="E10562" t="s">
        <v>295</v>
      </c>
      <c r="I10562" s="9"/>
    </row>
    <row r="10563" spans="1:9" x14ac:dyDescent="0.25">
      <c r="A10563">
        <v>841317</v>
      </c>
      <c r="B10563">
        <v>7.39</v>
      </c>
      <c r="C10563">
        <v>112</v>
      </c>
      <c r="D10563" s="9">
        <v>42990</v>
      </c>
      <c r="E10563" t="s">
        <v>295</v>
      </c>
      <c r="I10563" s="9"/>
    </row>
    <row r="10564" spans="1:9" x14ac:dyDescent="0.25">
      <c r="A10564">
        <v>841317</v>
      </c>
      <c r="B10564">
        <v>6.75</v>
      </c>
      <c r="C10564">
        <v>112</v>
      </c>
      <c r="D10564" s="9">
        <v>42716</v>
      </c>
      <c r="E10564" t="s">
        <v>295</v>
      </c>
      <c r="I10564" s="9"/>
    </row>
    <row r="10565" spans="1:9" x14ac:dyDescent="0.25">
      <c r="A10565">
        <v>841317</v>
      </c>
      <c r="B10565">
        <v>6.6</v>
      </c>
      <c r="C10565">
        <v>240</v>
      </c>
      <c r="D10565" s="9">
        <v>42317</v>
      </c>
      <c r="E10565" t="s">
        <v>295</v>
      </c>
      <c r="I10565" s="9"/>
    </row>
    <row r="10566" spans="1:9" x14ac:dyDescent="0.25">
      <c r="A10566">
        <v>841317</v>
      </c>
      <c r="B10566">
        <v>6.6</v>
      </c>
      <c r="C10566">
        <v>240</v>
      </c>
      <c r="D10566" s="9">
        <v>42305</v>
      </c>
      <c r="E10566" t="s">
        <v>295</v>
      </c>
      <c r="I10566" s="9"/>
    </row>
    <row r="10567" spans="1:9" x14ac:dyDescent="0.25">
      <c r="A10567">
        <v>841317</v>
      </c>
      <c r="B10567">
        <v>7.15</v>
      </c>
      <c r="C10567">
        <v>320</v>
      </c>
      <c r="D10567" s="9">
        <v>41934</v>
      </c>
      <c r="E10567" t="s">
        <v>295</v>
      </c>
      <c r="I10567" s="9"/>
    </row>
    <row r="10568" spans="1:9" x14ac:dyDescent="0.25">
      <c r="A10568">
        <v>841317</v>
      </c>
      <c r="B10568">
        <v>7.15</v>
      </c>
      <c r="C10568">
        <v>240</v>
      </c>
      <c r="D10568" s="9">
        <v>41612</v>
      </c>
      <c r="E10568" t="s">
        <v>295</v>
      </c>
      <c r="I10568" s="9"/>
    </row>
    <row r="10569" spans="1:9" x14ac:dyDescent="0.25">
      <c r="A10569">
        <v>841317</v>
      </c>
      <c r="B10569">
        <v>7.15</v>
      </c>
      <c r="C10569">
        <v>120</v>
      </c>
      <c r="D10569" s="9">
        <v>41592</v>
      </c>
      <c r="E10569" t="s">
        <v>295</v>
      </c>
      <c r="I10569" s="9"/>
    </row>
    <row r="10570" spans="1:9" x14ac:dyDescent="0.25">
      <c r="A10570">
        <v>841317</v>
      </c>
      <c r="B10570">
        <v>7.15</v>
      </c>
      <c r="C10570">
        <v>120</v>
      </c>
      <c r="D10570" s="9">
        <v>41571</v>
      </c>
      <c r="E10570" t="s">
        <v>295</v>
      </c>
      <c r="I10570" s="9"/>
    </row>
    <row r="10571" spans="1:9" x14ac:dyDescent="0.25">
      <c r="A10571">
        <v>841318</v>
      </c>
      <c r="B10571">
        <v>9.4</v>
      </c>
      <c r="C10571">
        <v>60</v>
      </c>
      <c r="D10571" s="9">
        <v>43774</v>
      </c>
      <c r="E10571" t="s">
        <v>295</v>
      </c>
      <c r="I10571" s="9"/>
    </row>
    <row r="10572" spans="1:9" x14ac:dyDescent="0.25">
      <c r="A10572">
        <v>841320</v>
      </c>
      <c r="B10572">
        <v>1.31</v>
      </c>
      <c r="C10572">
        <v>300</v>
      </c>
      <c r="D10572" s="9">
        <v>44117</v>
      </c>
      <c r="E10572" t="s">
        <v>295</v>
      </c>
      <c r="I10572" s="9"/>
    </row>
    <row r="10573" spans="1:9" x14ac:dyDescent="0.25">
      <c r="A10573">
        <v>841320</v>
      </c>
      <c r="B10573">
        <v>1.25</v>
      </c>
      <c r="C10573">
        <v>324</v>
      </c>
      <c r="D10573" s="9">
        <v>43748</v>
      </c>
      <c r="E10573" t="s">
        <v>295</v>
      </c>
      <c r="I10573" s="9"/>
    </row>
    <row r="10574" spans="1:9" x14ac:dyDescent="0.25">
      <c r="A10574">
        <v>841320</v>
      </c>
      <c r="B10574">
        <v>1.25</v>
      </c>
      <c r="C10574">
        <v>300</v>
      </c>
      <c r="D10574" s="9">
        <v>43475</v>
      </c>
      <c r="E10574" t="s">
        <v>295</v>
      </c>
      <c r="I10574" s="9"/>
    </row>
    <row r="10575" spans="1:9" x14ac:dyDescent="0.25">
      <c r="A10575">
        <v>841320</v>
      </c>
      <c r="B10575">
        <v>1.25</v>
      </c>
      <c r="C10575">
        <v>300</v>
      </c>
      <c r="D10575" s="9">
        <v>43384</v>
      </c>
      <c r="E10575" t="s">
        <v>295</v>
      </c>
      <c r="I10575" s="9"/>
    </row>
    <row r="10576" spans="1:9" x14ac:dyDescent="0.25">
      <c r="A10576">
        <v>841320</v>
      </c>
      <c r="B10576">
        <v>1.25</v>
      </c>
      <c r="C10576">
        <v>300</v>
      </c>
      <c r="D10576" s="9">
        <v>43277</v>
      </c>
      <c r="E10576" t="s">
        <v>295</v>
      </c>
      <c r="I10576" s="9"/>
    </row>
    <row r="10577" spans="1:9" x14ac:dyDescent="0.25">
      <c r="A10577">
        <v>841320</v>
      </c>
      <c r="B10577">
        <v>1.25</v>
      </c>
      <c r="C10577">
        <v>300</v>
      </c>
      <c r="D10577" s="9">
        <v>43020</v>
      </c>
      <c r="E10577" t="s">
        <v>295</v>
      </c>
      <c r="I10577" s="9"/>
    </row>
    <row r="10578" spans="1:9" x14ac:dyDescent="0.25">
      <c r="A10578">
        <v>841320</v>
      </c>
      <c r="B10578">
        <v>1.25</v>
      </c>
      <c r="C10578">
        <v>300</v>
      </c>
      <c r="D10578" s="9">
        <v>42891</v>
      </c>
      <c r="E10578" t="s">
        <v>295</v>
      </c>
      <c r="I10578" s="9"/>
    </row>
    <row r="10579" spans="1:9" x14ac:dyDescent="0.25">
      <c r="A10579">
        <v>841320</v>
      </c>
      <c r="B10579">
        <v>1.25</v>
      </c>
      <c r="C10579">
        <v>570</v>
      </c>
      <c r="D10579" s="9">
        <v>42640</v>
      </c>
      <c r="E10579" t="s">
        <v>295</v>
      </c>
      <c r="I10579" s="9"/>
    </row>
    <row r="10580" spans="1:9" x14ac:dyDescent="0.25">
      <c r="A10580">
        <v>841320</v>
      </c>
      <c r="B10580">
        <v>1.25</v>
      </c>
      <c r="C10580">
        <v>643</v>
      </c>
      <c r="D10580" s="9">
        <v>42271</v>
      </c>
      <c r="E10580" t="s">
        <v>295</v>
      </c>
      <c r="I10580" s="9"/>
    </row>
    <row r="10581" spans="1:9" x14ac:dyDescent="0.25">
      <c r="A10581">
        <v>841320</v>
      </c>
      <c r="B10581">
        <v>1.25</v>
      </c>
      <c r="C10581">
        <v>600</v>
      </c>
      <c r="D10581" s="9">
        <v>41925</v>
      </c>
      <c r="E10581" t="s">
        <v>295</v>
      </c>
      <c r="I10581" s="9"/>
    </row>
    <row r="10582" spans="1:9" x14ac:dyDescent="0.25">
      <c r="A10582">
        <v>841322</v>
      </c>
      <c r="B10582">
        <v>1.2</v>
      </c>
      <c r="C10582">
        <v>720</v>
      </c>
      <c r="D10582" s="9">
        <v>44117</v>
      </c>
      <c r="E10582" t="s">
        <v>295</v>
      </c>
      <c r="I10582" s="9"/>
    </row>
    <row r="10583" spans="1:9" x14ac:dyDescent="0.25">
      <c r="A10583">
        <v>841322</v>
      </c>
      <c r="B10583">
        <v>1.2</v>
      </c>
      <c r="C10583">
        <v>720</v>
      </c>
      <c r="D10583" s="9">
        <v>44078</v>
      </c>
      <c r="E10583" t="s">
        <v>295</v>
      </c>
      <c r="I10583" s="9"/>
    </row>
    <row r="10584" spans="1:9" x14ac:dyDescent="0.25">
      <c r="A10584">
        <v>841322</v>
      </c>
      <c r="B10584">
        <v>1.2</v>
      </c>
      <c r="C10584">
        <v>589</v>
      </c>
      <c r="D10584" s="9">
        <v>43833</v>
      </c>
      <c r="E10584" t="s">
        <v>295</v>
      </c>
      <c r="I10584" s="9"/>
    </row>
    <row r="10585" spans="1:9" x14ac:dyDescent="0.25">
      <c r="A10585">
        <v>841322</v>
      </c>
      <c r="B10585">
        <v>1.2</v>
      </c>
      <c r="C10585">
        <v>720</v>
      </c>
      <c r="D10585" s="9">
        <v>43735</v>
      </c>
      <c r="E10585" t="s">
        <v>295</v>
      </c>
      <c r="I10585" s="9"/>
    </row>
    <row r="10586" spans="1:9" x14ac:dyDescent="0.25">
      <c r="A10586">
        <v>841322</v>
      </c>
      <c r="B10586">
        <v>1.1499999999999999</v>
      </c>
      <c r="C10586">
        <v>840</v>
      </c>
      <c r="D10586" s="9">
        <v>43595</v>
      </c>
      <c r="E10586" t="s">
        <v>295</v>
      </c>
      <c r="I10586" s="9"/>
    </row>
    <row r="10587" spans="1:9" x14ac:dyDescent="0.25">
      <c r="A10587">
        <v>841322</v>
      </c>
      <c r="B10587">
        <v>1.1499999999999999</v>
      </c>
      <c r="C10587">
        <v>1500</v>
      </c>
      <c r="D10587" s="9">
        <v>43580</v>
      </c>
      <c r="E10587" t="s">
        <v>295</v>
      </c>
      <c r="I10587" s="9"/>
    </row>
    <row r="10588" spans="1:9" x14ac:dyDescent="0.25">
      <c r="A10588">
        <v>841322</v>
      </c>
      <c r="B10588">
        <v>1.1499999999999999</v>
      </c>
      <c r="C10588">
        <v>780</v>
      </c>
      <c r="D10588" s="9">
        <v>43409</v>
      </c>
      <c r="E10588" t="s">
        <v>295</v>
      </c>
      <c r="I10588" s="9"/>
    </row>
    <row r="10589" spans="1:9" x14ac:dyDescent="0.25">
      <c r="A10589">
        <v>841322</v>
      </c>
      <c r="B10589">
        <v>1.1499999999999999</v>
      </c>
      <c r="C10589">
        <v>720</v>
      </c>
      <c r="D10589" s="9">
        <v>43325</v>
      </c>
      <c r="E10589" t="s">
        <v>295</v>
      </c>
      <c r="I10589" s="9"/>
    </row>
    <row r="10590" spans="1:9" x14ac:dyDescent="0.25">
      <c r="A10590">
        <v>841322</v>
      </c>
      <c r="B10590">
        <v>1.1499999999999999</v>
      </c>
      <c r="C10590">
        <v>600</v>
      </c>
      <c r="D10590" s="9">
        <v>43313</v>
      </c>
      <c r="E10590" t="s">
        <v>295</v>
      </c>
      <c r="I10590" s="9"/>
    </row>
    <row r="10591" spans="1:9" x14ac:dyDescent="0.25">
      <c r="A10591">
        <v>841322</v>
      </c>
      <c r="B10591">
        <v>1.1499999999999999</v>
      </c>
      <c r="C10591">
        <v>900</v>
      </c>
      <c r="D10591" s="9">
        <v>43280</v>
      </c>
      <c r="E10591" t="s">
        <v>295</v>
      </c>
      <c r="I10591" s="9"/>
    </row>
    <row r="10592" spans="1:9" x14ac:dyDescent="0.25">
      <c r="A10592">
        <v>841322</v>
      </c>
      <c r="B10592">
        <v>1.1499999999999999</v>
      </c>
      <c r="C10592">
        <v>900</v>
      </c>
      <c r="D10592" s="9">
        <v>43277</v>
      </c>
      <c r="E10592" t="s">
        <v>295</v>
      </c>
      <c r="I10592" s="9"/>
    </row>
    <row r="10593" spans="1:9" x14ac:dyDescent="0.25">
      <c r="A10593">
        <v>841322</v>
      </c>
      <c r="B10593">
        <v>1.1499999999999999</v>
      </c>
      <c r="C10593">
        <v>900</v>
      </c>
      <c r="D10593" s="9">
        <v>43242</v>
      </c>
      <c r="E10593" t="s">
        <v>295</v>
      </c>
      <c r="I10593" s="9"/>
    </row>
    <row r="10594" spans="1:9" x14ac:dyDescent="0.25">
      <c r="A10594">
        <v>841322</v>
      </c>
      <c r="B10594">
        <v>1.1499999999999999</v>
      </c>
      <c r="C10594">
        <v>720</v>
      </c>
      <c r="D10594" s="9">
        <v>43215</v>
      </c>
      <c r="E10594" t="s">
        <v>295</v>
      </c>
      <c r="I10594" s="9"/>
    </row>
    <row r="10595" spans="1:9" x14ac:dyDescent="0.25">
      <c r="A10595">
        <v>841322</v>
      </c>
      <c r="B10595">
        <v>1.1499999999999999</v>
      </c>
      <c r="C10595">
        <v>720</v>
      </c>
      <c r="D10595" s="9">
        <v>43173</v>
      </c>
      <c r="E10595" t="s">
        <v>295</v>
      </c>
      <c r="I10595" s="9"/>
    </row>
    <row r="10596" spans="1:9" x14ac:dyDescent="0.25">
      <c r="A10596">
        <v>841322</v>
      </c>
      <c r="B10596">
        <v>1.1499999999999999</v>
      </c>
      <c r="C10596">
        <v>1440</v>
      </c>
      <c r="D10596" s="9">
        <v>43160</v>
      </c>
      <c r="E10596" t="s">
        <v>295</v>
      </c>
      <c r="I10596" s="9"/>
    </row>
    <row r="10597" spans="1:9" x14ac:dyDescent="0.25">
      <c r="A10597">
        <v>841322</v>
      </c>
      <c r="B10597">
        <v>1.1499999999999999</v>
      </c>
      <c r="C10597">
        <v>510</v>
      </c>
      <c r="D10597" s="9">
        <v>43159</v>
      </c>
      <c r="E10597" t="s">
        <v>295</v>
      </c>
      <c r="I10597" s="9"/>
    </row>
    <row r="10598" spans="1:9" x14ac:dyDescent="0.25">
      <c r="A10598">
        <v>841322</v>
      </c>
      <c r="B10598">
        <v>1.1499999999999999</v>
      </c>
      <c r="C10598">
        <v>720</v>
      </c>
      <c r="D10598" s="9">
        <v>43108</v>
      </c>
      <c r="E10598" t="s">
        <v>295</v>
      </c>
      <c r="I10598" s="9"/>
    </row>
    <row r="10599" spans="1:9" x14ac:dyDescent="0.25">
      <c r="A10599">
        <v>841322</v>
      </c>
      <c r="B10599">
        <v>1.1499999999999999</v>
      </c>
      <c r="C10599">
        <v>720</v>
      </c>
      <c r="D10599" s="9">
        <v>42943</v>
      </c>
      <c r="E10599" t="s">
        <v>295</v>
      </c>
      <c r="I10599" s="9"/>
    </row>
    <row r="10600" spans="1:9" x14ac:dyDescent="0.25">
      <c r="A10600">
        <v>841322</v>
      </c>
      <c r="B10600">
        <v>1.1499999999999999</v>
      </c>
      <c r="C10600">
        <v>720</v>
      </c>
      <c r="D10600" s="9">
        <v>42891</v>
      </c>
      <c r="E10600" t="s">
        <v>295</v>
      </c>
      <c r="I10600" s="9"/>
    </row>
    <row r="10601" spans="1:9" x14ac:dyDescent="0.25">
      <c r="A10601">
        <v>841322</v>
      </c>
      <c r="B10601">
        <v>1.1499999999999999</v>
      </c>
      <c r="C10601">
        <v>720</v>
      </c>
      <c r="D10601" s="9">
        <v>42864</v>
      </c>
      <c r="E10601" t="s">
        <v>295</v>
      </c>
      <c r="I10601" s="9"/>
    </row>
    <row r="10602" spans="1:9" x14ac:dyDescent="0.25">
      <c r="A10602">
        <v>841322</v>
      </c>
      <c r="B10602">
        <v>1.1499999999999999</v>
      </c>
      <c r="C10602">
        <v>600</v>
      </c>
      <c r="D10602" s="9">
        <v>42739</v>
      </c>
      <c r="E10602" t="s">
        <v>295</v>
      </c>
      <c r="I10602" s="9"/>
    </row>
    <row r="10603" spans="1:9" x14ac:dyDescent="0.25">
      <c r="A10603">
        <v>841322</v>
      </c>
      <c r="B10603">
        <v>1.1499999999999999</v>
      </c>
      <c r="C10603">
        <v>600</v>
      </c>
      <c r="D10603" s="9">
        <v>42716</v>
      </c>
      <c r="E10603" t="s">
        <v>295</v>
      </c>
      <c r="I10603" s="9"/>
    </row>
    <row r="10604" spans="1:9" x14ac:dyDescent="0.25">
      <c r="A10604">
        <v>841322</v>
      </c>
      <c r="B10604">
        <v>1.1499999999999999</v>
      </c>
      <c r="C10604">
        <v>780</v>
      </c>
      <c r="D10604" s="9">
        <v>42662</v>
      </c>
      <c r="E10604" t="s">
        <v>295</v>
      </c>
      <c r="I10604" s="9"/>
    </row>
    <row r="10605" spans="1:9" x14ac:dyDescent="0.25">
      <c r="A10605">
        <v>841322</v>
      </c>
      <c r="B10605">
        <v>1.1499999999999999</v>
      </c>
      <c r="C10605">
        <v>600</v>
      </c>
      <c r="D10605" s="9">
        <v>42565</v>
      </c>
      <c r="E10605" t="s">
        <v>295</v>
      </c>
      <c r="I10605" s="9"/>
    </row>
    <row r="10606" spans="1:9" x14ac:dyDescent="0.25">
      <c r="A10606">
        <v>841322</v>
      </c>
      <c r="B10606">
        <v>1.1499999999999999</v>
      </c>
      <c r="C10606">
        <v>600</v>
      </c>
      <c r="D10606" s="9">
        <v>42558</v>
      </c>
      <c r="E10606" t="s">
        <v>295</v>
      </c>
      <c r="I10606" s="9"/>
    </row>
    <row r="10607" spans="1:9" x14ac:dyDescent="0.25">
      <c r="A10607">
        <v>841322</v>
      </c>
      <c r="B10607">
        <v>1.1499999999999999</v>
      </c>
      <c r="C10607">
        <v>600</v>
      </c>
      <c r="D10607" s="9">
        <v>42502</v>
      </c>
      <c r="E10607" t="s">
        <v>295</v>
      </c>
      <c r="I10607" s="9"/>
    </row>
    <row r="10608" spans="1:9" x14ac:dyDescent="0.25">
      <c r="A10608">
        <v>841322</v>
      </c>
      <c r="B10608">
        <v>1.1499999999999999</v>
      </c>
      <c r="C10608">
        <v>720</v>
      </c>
      <c r="D10608" s="9">
        <v>42451</v>
      </c>
      <c r="E10608" t="s">
        <v>295</v>
      </c>
      <c r="I10608" s="9"/>
    </row>
    <row r="10609" spans="1:9" x14ac:dyDescent="0.25">
      <c r="A10609">
        <v>841322</v>
      </c>
      <c r="B10609">
        <v>1.1499999999999999</v>
      </c>
      <c r="C10609">
        <v>620</v>
      </c>
      <c r="D10609" s="9">
        <v>42381</v>
      </c>
      <c r="E10609" t="s">
        <v>295</v>
      </c>
      <c r="I10609" s="9"/>
    </row>
    <row r="10610" spans="1:9" x14ac:dyDescent="0.25">
      <c r="A10610">
        <v>841322</v>
      </c>
      <c r="B10610">
        <v>1.1499999999999999</v>
      </c>
      <c r="C10610">
        <v>620</v>
      </c>
      <c r="D10610" s="9">
        <v>42271</v>
      </c>
      <c r="E10610" t="s">
        <v>295</v>
      </c>
      <c r="I10610" s="9"/>
    </row>
    <row r="10611" spans="1:9" x14ac:dyDescent="0.25">
      <c r="A10611">
        <v>841322</v>
      </c>
      <c r="B10611">
        <v>1.1499999999999999</v>
      </c>
      <c r="C10611">
        <v>621</v>
      </c>
      <c r="D10611" s="9">
        <v>42188</v>
      </c>
      <c r="E10611" t="s">
        <v>295</v>
      </c>
      <c r="I10611" s="9"/>
    </row>
    <row r="10612" spans="1:9" x14ac:dyDescent="0.25">
      <c r="A10612">
        <v>841322</v>
      </c>
      <c r="B10612">
        <v>1.1499999999999999</v>
      </c>
      <c r="C10612">
        <v>720</v>
      </c>
      <c r="D10612" s="9">
        <v>42136</v>
      </c>
      <c r="E10612" t="s">
        <v>295</v>
      </c>
      <c r="I10612" s="9"/>
    </row>
    <row r="10613" spans="1:9" x14ac:dyDescent="0.25">
      <c r="A10613">
        <v>841322</v>
      </c>
      <c r="B10613">
        <v>0</v>
      </c>
      <c r="C10613">
        <v>720</v>
      </c>
      <c r="D10613" s="9">
        <v>42086</v>
      </c>
      <c r="E10613" t="s">
        <v>295</v>
      </c>
      <c r="I10613" s="9"/>
    </row>
    <row r="10614" spans="1:9" x14ac:dyDescent="0.25">
      <c r="A10614">
        <v>841322</v>
      </c>
      <c r="B10614">
        <v>1.1499999999999999</v>
      </c>
      <c r="C10614">
        <v>720</v>
      </c>
      <c r="D10614" s="9">
        <v>41921</v>
      </c>
      <c r="E10614" t="s">
        <v>295</v>
      </c>
      <c r="I10614" s="9"/>
    </row>
    <row r="10615" spans="1:9" x14ac:dyDescent="0.25">
      <c r="A10615">
        <v>841322</v>
      </c>
      <c r="B10615">
        <v>1.1499999999999999</v>
      </c>
      <c r="C10615">
        <v>1000</v>
      </c>
      <c r="D10615" s="9">
        <v>41715</v>
      </c>
      <c r="E10615" t="s">
        <v>295</v>
      </c>
      <c r="I10615" s="9"/>
    </row>
    <row r="10616" spans="1:9" x14ac:dyDescent="0.25">
      <c r="A10616">
        <v>841324</v>
      </c>
      <c r="B10616">
        <v>1.33</v>
      </c>
      <c r="C10616">
        <v>648</v>
      </c>
      <c r="D10616" s="9">
        <v>43900</v>
      </c>
      <c r="E10616" t="s">
        <v>295</v>
      </c>
      <c r="I10616" s="9"/>
    </row>
    <row r="10617" spans="1:9" x14ac:dyDescent="0.25">
      <c r="A10617">
        <v>841324</v>
      </c>
      <c r="B10617">
        <v>1.33</v>
      </c>
      <c r="C10617">
        <v>600</v>
      </c>
      <c r="D10617" s="9">
        <v>43530</v>
      </c>
      <c r="E10617" t="s">
        <v>295</v>
      </c>
      <c r="I10617" s="9"/>
    </row>
    <row r="10618" spans="1:9" x14ac:dyDescent="0.25">
      <c r="A10618">
        <v>841328</v>
      </c>
      <c r="B10618">
        <v>2.2000000000000002</v>
      </c>
      <c r="C10618">
        <v>60</v>
      </c>
      <c r="D10618" s="9">
        <v>43910</v>
      </c>
      <c r="E10618" t="s">
        <v>295</v>
      </c>
      <c r="I10618" s="9"/>
    </row>
    <row r="10619" spans="1:9" x14ac:dyDescent="0.25">
      <c r="A10619">
        <v>841328</v>
      </c>
      <c r="B10619">
        <v>2.2000000000000002</v>
      </c>
      <c r="C10619">
        <v>180</v>
      </c>
      <c r="D10619" s="9">
        <v>43494</v>
      </c>
      <c r="E10619" t="s">
        <v>295</v>
      </c>
      <c r="I10619" s="9"/>
    </row>
    <row r="10620" spans="1:9" x14ac:dyDescent="0.25">
      <c r="A10620">
        <v>841328</v>
      </c>
      <c r="B10620">
        <v>2.2000000000000002</v>
      </c>
      <c r="C10620">
        <v>120</v>
      </c>
      <c r="D10620" s="9">
        <v>43182</v>
      </c>
      <c r="E10620" t="s">
        <v>295</v>
      </c>
      <c r="I10620" s="9"/>
    </row>
    <row r="10621" spans="1:9" x14ac:dyDescent="0.25">
      <c r="A10621">
        <v>841328</v>
      </c>
      <c r="B10621">
        <v>2.15</v>
      </c>
      <c r="C10621">
        <v>120</v>
      </c>
      <c r="D10621" s="9">
        <v>42725</v>
      </c>
      <c r="E10621" t="s">
        <v>295</v>
      </c>
      <c r="I10621" s="9"/>
    </row>
    <row r="10622" spans="1:9" x14ac:dyDescent="0.25">
      <c r="A10622">
        <v>841328</v>
      </c>
      <c r="B10622">
        <v>2.15</v>
      </c>
      <c r="C10622">
        <v>120</v>
      </c>
      <c r="D10622" s="9">
        <v>42716</v>
      </c>
      <c r="E10622" t="s">
        <v>295</v>
      </c>
      <c r="I10622" s="9"/>
    </row>
    <row r="10623" spans="1:9" x14ac:dyDescent="0.25">
      <c r="A10623">
        <v>841328</v>
      </c>
      <c r="B10623">
        <v>2.15</v>
      </c>
      <c r="C10623">
        <v>120</v>
      </c>
      <c r="D10623" s="9">
        <v>42549</v>
      </c>
      <c r="E10623" t="s">
        <v>295</v>
      </c>
      <c r="I10623" s="9"/>
    </row>
    <row r="10624" spans="1:9" x14ac:dyDescent="0.25">
      <c r="A10624">
        <v>841328</v>
      </c>
      <c r="B10624">
        <v>0</v>
      </c>
      <c r="C10624">
        <v>120</v>
      </c>
      <c r="D10624" s="9">
        <v>42408</v>
      </c>
      <c r="E10624" t="s">
        <v>295</v>
      </c>
      <c r="I10624" s="9"/>
    </row>
    <row r="10625" spans="1:9" x14ac:dyDescent="0.25">
      <c r="A10625">
        <v>841328</v>
      </c>
      <c r="B10625">
        <v>2.41</v>
      </c>
      <c r="C10625">
        <v>240</v>
      </c>
      <c r="D10625" s="9">
        <v>42034</v>
      </c>
      <c r="E10625" t="s">
        <v>295</v>
      </c>
      <c r="I10625" s="9"/>
    </row>
    <row r="10626" spans="1:9" x14ac:dyDescent="0.25">
      <c r="A10626">
        <v>841328</v>
      </c>
      <c r="B10626">
        <v>2.41</v>
      </c>
      <c r="C10626">
        <v>240</v>
      </c>
      <c r="D10626" s="9">
        <v>41743</v>
      </c>
      <c r="E10626" t="s">
        <v>295</v>
      </c>
      <c r="I10626" s="9"/>
    </row>
    <row r="10627" spans="1:9" x14ac:dyDescent="0.25">
      <c r="A10627">
        <v>841328</v>
      </c>
      <c r="B10627">
        <v>2.41</v>
      </c>
      <c r="C10627">
        <v>240</v>
      </c>
      <c r="D10627" s="9">
        <v>41737</v>
      </c>
      <c r="E10627" t="s">
        <v>295</v>
      </c>
      <c r="I10627" s="9"/>
    </row>
    <row r="10628" spans="1:9" x14ac:dyDescent="0.25">
      <c r="A10628">
        <v>841328</v>
      </c>
      <c r="B10628">
        <v>2.41</v>
      </c>
      <c r="C10628">
        <v>240</v>
      </c>
      <c r="D10628" s="9">
        <v>41733</v>
      </c>
      <c r="E10628" t="s">
        <v>295</v>
      </c>
      <c r="I10628" s="9"/>
    </row>
    <row r="10629" spans="1:9" x14ac:dyDescent="0.25">
      <c r="A10629">
        <v>841328</v>
      </c>
      <c r="B10629">
        <v>2.41</v>
      </c>
      <c r="C10629">
        <v>240</v>
      </c>
      <c r="D10629" s="9">
        <v>41592</v>
      </c>
      <c r="E10629" t="s">
        <v>295</v>
      </c>
      <c r="I10629" s="9"/>
    </row>
    <row r="10630" spans="1:9" x14ac:dyDescent="0.25">
      <c r="A10630">
        <v>841328</v>
      </c>
      <c r="B10630">
        <v>2.41</v>
      </c>
      <c r="C10630">
        <v>240</v>
      </c>
      <c r="D10630" s="9">
        <v>41563</v>
      </c>
      <c r="E10630" t="s">
        <v>295</v>
      </c>
      <c r="I10630" s="9"/>
    </row>
    <row r="10631" spans="1:9" x14ac:dyDescent="0.25">
      <c r="A10631">
        <v>841330</v>
      </c>
      <c r="B10631">
        <v>0.79</v>
      </c>
      <c r="C10631">
        <v>1020</v>
      </c>
      <c r="D10631" s="9">
        <v>43600</v>
      </c>
      <c r="E10631" t="s">
        <v>296</v>
      </c>
      <c r="I10631" s="9"/>
    </row>
    <row r="10632" spans="1:9" x14ac:dyDescent="0.25">
      <c r="A10632">
        <v>841330</v>
      </c>
      <c r="B10632">
        <v>0.65</v>
      </c>
      <c r="C10632">
        <v>1500</v>
      </c>
      <c r="D10632" s="9">
        <v>42836</v>
      </c>
      <c r="E10632" t="s">
        <v>296</v>
      </c>
      <c r="I10632" s="9"/>
    </row>
    <row r="10633" spans="1:9" x14ac:dyDescent="0.25">
      <c r="A10633">
        <v>841330</v>
      </c>
      <c r="B10633">
        <v>0.9</v>
      </c>
      <c r="C10633">
        <v>480</v>
      </c>
      <c r="D10633" s="9">
        <v>42482</v>
      </c>
      <c r="E10633" t="s">
        <v>296</v>
      </c>
      <c r="I10633" s="9"/>
    </row>
    <row r="10634" spans="1:9" x14ac:dyDescent="0.25">
      <c r="A10634">
        <v>841330</v>
      </c>
      <c r="B10634">
        <v>0.9</v>
      </c>
      <c r="C10634">
        <v>1020</v>
      </c>
      <c r="D10634" s="9">
        <v>42397</v>
      </c>
      <c r="E10634" t="s">
        <v>296</v>
      </c>
      <c r="I10634" s="9"/>
    </row>
    <row r="10635" spans="1:9" x14ac:dyDescent="0.25">
      <c r="A10635">
        <v>841330</v>
      </c>
      <c r="B10635">
        <v>0.98</v>
      </c>
      <c r="C10635">
        <v>1500</v>
      </c>
      <c r="D10635" s="9">
        <v>41747</v>
      </c>
      <c r="E10635" t="s">
        <v>296</v>
      </c>
      <c r="I10635" s="9"/>
    </row>
    <row r="10636" spans="1:9" x14ac:dyDescent="0.25">
      <c r="A10636">
        <v>841330</v>
      </c>
      <c r="B10636">
        <v>0.95</v>
      </c>
      <c r="C10636">
        <v>1200</v>
      </c>
      <c r="D10636" s="9">
        <v>41647</v>
      </c>
      <c r="E10636" t="s">
        <v>296</v>
      </c>
      <c r="I10636" s="9"/>
    </row>
    <row r="10637" spans="1:9" x14ac:dyDescent="0.25">
      <c r="A10637">
        <v>841340</v>
      </c>
      <c r="B10637">
        <v>2.35</v>
      </c>
      <c r="C10637">
        <v>252</v>
      </c>
      <c r="D10637" s="9">
        <v>43910</v>
      </c>
      <c r="E10637" t="s">
        <v>295</v>
      </c>
      <c r="I10637" s="9"/>
    </row>
    <row r="10638" spans="1:9" x14ac:dyDescent="0.25">
      <c r="A10638">
        <v>841340</v>
      </c>
      <c r="B10638">
        <v>3.1459999999999999</v>
      </c>
      <c r="C10638">
        <v>143</v>
      </c>
      <c r="D10638" s="9">
        <v>43875</v>
      </c>
      <c r="E10638" t="s">
        <v>295</v>
      </c>
      <c r="I10638" s="9"/>
    </row>
    <row r="10639" spans="1:9" x14ac:dyDescent="0.25">
      <c r="A10639">
        <v>841340</v>
      </c>
      <c r="B10639">
        <v>3.25</v>
      </c>
      <c r="C10639">
        <v>1</v>
      </c>
      <c r="D10639" s="9">
        <v>43875</v>
      </c>
      <c r="E10639" t="s">
        <v>295</v>
      </c>
      <c r="I10639" s="9"/>
    </row>
    <row r="10640" spans="1:9" x14ac:dyDescent="0.25">
      <c r="A10640">
        <v>841340</v>
      </c>
      <c r="B10640">
        <v>2.35</v>
      </c>
      <c r="C10640">
        <v>108</v>
      </c>
      <c r="D10640" s="9">
        <v>43844</v>
      </c>
      <c r="E10640" t="s">
        <v>295</v>
      </c>
      <c r="I10640" s="9"/>
    </row>
    <row r="10641" spans="1:9" x14ac:dyDescent="0.25">
      <c r="A10641">
        <v>841340</v>
      </c>
      <c r="B10641">
        <v>2.35</v>
      </c>
      <c r="C10641">
        <v>108</v>
      </c>
      <c r="D10641" s="9">
        <v>43593</v>
      </c>
      <c r="E10641" t="s">
        <v>295</v>
      </c>
      <c r="I10641" s="9"/>
    </row>
    <row r="10642" spans="1:9" x14ac:dyDescent="0.25">
      <c r="A10642">
        <v>841340</v>
      </c>
      <c r="B10642">
        <v>2.15</v>
      </c>
      <c r="C10642">
        <v>180</v>
      </c>
      <c r="D10642" s="9">
        <v>43475</v>
      </c>
      <c r="E10642" t="s">
        <v>295</v>
      </c>
      <c r="I10642" s="9"/>
    </row>
    <row r="10643" spans="1:9" x14ac:dyDescent="0.25">
      <c r="A10643">
        <v>841340</v>
      </c>
      <c r="B10643">
        <v>2.15</v>
      </c>
      <c r="C10643">
        <v>108</v>
      </c>
      <c r="D10643" s="9">
        <v>43312</v>
      </c>
      <c r="E10643" t="s">
        <v>295</v>
      </c>
      <c r="I10643" s="9"/>
    </row>
    <row r="10644" spans="1:9" x14ac:dyDescent="0.25">
      <c r="A10644">
        <v>841340</v>
      </c>
      <c r="B10644">
        <v>0.69</v>
      </c>
      <c r="C10644">
        <v>36</v>
      </c>
      <c r="D10644" s="9">
        <v>43270</v>
      </c>
      <c r="E10644" t="s">
        <v>297</v>
      </c>
      <c r="I10644" s="9"/>
    </row>
    <row r="10645" spans="1:9" x14ac:dyDescent="0.25">
      <c r="A10645">
        <v>841340</v>
      </c>
      <c r="B10645">
        <v>2.15</v>
      </c>
      <c r="C10645">
        <v>216</v>
      </c>
      <c r="D10645" s="9">
        <v>43227</v>
      </c>
      <c r="E10645" t="s">
        <v>295</v>
      </c>
      <c r="I10645" s="9"/>
    </row>
    <row r="10646" spans="1:9" x14ac:dyDescent="0.25">
      <c r="A10646">
        <v>841340</v>
      </c>
      <c r="B10646">
        <v>2.15</v>
      </c>
      <c r="C10646">
        <v>180</v>
      </c>
      <c r="D10646" s="9">
        <v>43182</v>
      </c>
      <c r="E10646" t="s">
        <v>295</v>
      </c>
      <c r="I10646" s="9"/>
    </row>
    <row r="10647" spans="1:9" x14ac:dyDescent="0.25">
      <c r="A10647">
        <v>841340</v>
      </c>
      <c r="B10647">
        <v>2.15</v>
      </c>
      <c r="C10647">
        <v>252</v>
      </c>
      <c r="D10647" s="9">
        <v>42864</v>
      </c>
      <c r="E10647" t="s">
        <v>295</v>
      </c>
      <c r="I10647" s="9"/>
    </row>
    <row r="10648" spans="1:9" x14ac:dyDescent="0.25">
      <c r="A10648">
        <v>841340</v>
      </c>
      <c r="B10648">
        <v>2.0499999999999998</v>
      </c>
      <c r="C10648">
        <v>252</v>
      </c>
      <c r="D10648" s="9">
        <v>42779</v>
      </c>
      <c r="E10648" t="s">
        <v>295</v>
      </c>
      <c r="I10648" s="9"/>
    </row>
    <row r="10649" spans="1:9" x14ac:dyDescent="0.25">
      <c r="A10649">
        <v>841340</v>
      </c>
      <c r="B10649">
        <v>2.0499999999999998</v>
      </c>
      <c r="C10649">
        <v>216</v>
      </c>
      <c r="D10649" s="9">
        <v>42620</v>
      </c>
      <c r="E10649" t="s">
        <v>295</v>
      </c>
      <c r="I10649" s="9"/>
    </row>
    <row r="10650" spans="1:9" x14ac:dyDescent="0.25">
      <c r="A10650">
        <v>841340</v>
      </c>
      <c r="B10650">
        <v>2.0499999999999998</v>
      </c>
      <c r="C10650">
        <v>216</v>
      </c>
      <c r="D10650" s="9">
        <v>42615</v>
      </c>
      <c r="E10650" t="s">
        <v>295</v>
      </c>
      <c r="I10650" s="9"/>
    </row>
    <row r="10651" spans="1:9" x14ac:dyDescent="0.25">
      <c r="A10651">
        <v>841340</v>
      </c>
      <c r="B10651">
        <v>2.0499999999999998</v>
      </c>
      <c r="C10651">
        <v>216</v>
      </c>
      <c r="D10651" s="9">
        <v>42549</v>
      </c>
      <c r="E10651" t="s">
        <v>295</v>
      </c>
      <c r="I10651" s="9"/>
    </row>
    <row r="10652" spans="1:9" x14ac:dyDescent="0.25">
      <c r="A10652">
        <v>841340</v>
      </c>
      <c r="B10652">
        <v>2.0499999999999998</v>
      </c>
      <c r="C10652">
        <v>144</v>
      </c>
      <c r="D10652" s="9">
        <v>42500</v>
      </c>
      <c r="E10652" t="s">
        <v>295</v>
      </c>
      <c r="I10652" s="9"/>
    </row>
    <row r="10653" spans="1:9" x14ac:dyDescent="0.25">
      <c r="A10653">
        <v>841340</v>
      </c>
      <c r="B10653">
        <v>2.0499999999999998</v>
      </c>
      <c r="C10653">
        <v>72</v>
      </c>
      <c r="D10653" s="9">
        <v>42471</v>
      </c>
      <c r="E10653" t="s">
        <v>295</v>
      </c>
      <c r="I10653" s="9"/>
    </row>
    <row r="10654" spans="1:9" x14ac:dyDescent="0.25">
      <c r="A10654">
        <v>841340</v>
      </c>
      <c r="B10654">
        <v>2.0499999999999998</v>
      </c>
      <c r="C10654">
        <v>72</v>
      </c>
      <c r="D10654" s="9">
        <v>42310</v>
      </c>
      <c r="E10654" t="s">
        <v>295</v>
      </c>
      <c r="I10654" s="9"/>
    </row>
    <row r="10655" spans="1:9" x14ac:dyDescent="0.25">
      <c r="A10655">
        <v>841340</v>
      </c>
      <c r="B10655">
        <v>2.0499999999999998</v>
      </c>
      <c r="C10655">
        <v>72</v>
      </c>
      <c r="D10655" s="9">
        <v>42305</v>
      </c>
      <c r="E10655" t="s">
        <v>295</v>
      </c>
      <c r="I10655" s="9"/>
    </row>
    <row r="10656" spans="1:9" x14ac:dyDescent="0.25">
      <c r="A10656">
        <v>841340</v>
      </c>
      <c r="B10656">
        <v>0</v>
      </c>
      <c r="C10656">
        <v>36</v>
      </c>
      <c r="D10656" s="9">
        <v>42271</v>
      </c>
      <c r="E10656" t="s">
        <v>295</v>
      </c>
      <c r="I10656" s="9"/>
    </row>
    <row r="10657" spans="1:9" x14ac:dyDescent="0.25">
      <c r="A10657">
        <v>841402</v>
      </c>
      <c r="B10657">
        <v>2</v>
      </c>
      <c r="C10657">
        <v>300</v>
      </c>
      <c r="D10657" s="9">
        <v>43864</v>
      </c>
      <c r="E10657" t="s">
        <v>295</v>
      </c>
      <c r="I10657" s="9"/>
    </row>
    <row r="10658" spans="1:9" x14ac:dyDescent="0.25">
      <c r="A10658">
        <v>841402</v>
      </c>
      <c r="B10658">
        <v>2.2999999999999998</v>
      </c>
      <c r="C10658">
        <v>60</v>
      </c>
      <c r="D10658" s="9">
        <v>43529</v>
      </c>
      <c r="E10658" t="s">
        <v>295</v>
      </c>
      <c r="I10658" s="9"/>
    </row>
    <row r="10659" spans="1:9" x14ac:dyDescent="0.25">
      <c r="A10659">
        <v>841402</v>
      </c>
      <c r="B10659">
        <v>2.2999999999999998</v>
      </c>
      <c r="C10659">
        <v>200</v>
      </c>
      <c r="D10659" s="9">
        <v>43494</v>
      </c>
      <c r="E10659" t="s">
        <v>295</v>
      </c>
      <c r="I10659" s="9"/>
    </row>
    <row r="10660" spans="1:9" x14ac:dyDescent="0.25">
      <c r="A10660">
        <v>841402</v>
      </c>
      <c r="B10660">
        <v>2.2999999999999998</v>
      </c>
      <c r="C10660">
        <v>400</v>
      </c>
      <c r="D10660" s="9">
        <v>43480</v>
      </c>
      <c r="E10660" t="s">
        <v>295</v>
      </c>
      <c r="I10660" s="9"/>
    </row>
    <row r="10661" spans="1:9" x14ac:dyDescent="0.25">
      <c r="A10661">
        <v>841402</v>
      </c>
      <c r="B10661">
        <v>2.2999999999999998</v>
      </c>
      <c r="C10661">
        <v>200</v>
      </c>
      <c r="D10661" s="9">
        <v>43395</v>
      </c>
      <c r="E10661" t="s">
        <v>295</v>
      </c>
      <c r="I10661" s="9"/>
    </row>
    <row r="10662" spans="1:9" x14ac:dyDescent="0.25">
      <c r="A10662">
        <v>841402</v>
      </c>
      <c r="B10662">
        <v>2.1</v>
      </c>
      <c r="C10662">
        <v>80</v>
      </c>
      <c r="D10662" s="9">
        <v>43319</v>
      </c>
      <c r="E10662" t="s">
        <v>295</v>
      </c>
      <c r="I10662" s="9"/>
    </row>
    <row r="10663" spans="1:9" x14ac:dyDescent="0.25">
      <c r="A10663">
        <v>841402</v>
      </c>
      <c r="B10663">
        <v>2.1</v>
      </c>
      <c r="C10663">
        <v>200</v>
      </c>
      <c r="D10663" s="9">
        <v>43103</v>
      </c>
      <c r="E10663" t="s">
        <v>295</v>
      </c>
      <c r="I10663" s="9"/>
    </row>
    <row r="10664" spans="1:9" x14ac:dyDescent="0.25">
      <c r="A10664">
        <v>841402</v>
      </c>
      <c r="B10664">
        <v>2.1</v>
      </c>
      <c r="C10664">
        <v>200</v>
      </c>
      <c r="D10664" s="9">
        <v>43045</v>
      </c>
      <c r="E10664" t="s">
        <v>295</v>
      </c>
      <c r="I10664" s="9"/>
    </row>
    <row r="10665" spans="1:9" x14ac:dyDescent="0.25">
      <c r="A10665">
        <v>841402</v>
      </c>
      <c r="B10665">
        <v>2.1</v>
      </c>
      <c r="C10665">
        <v>100</v>
      </c>
      <c r="D10665" s="9">
        <v>42990</v>
      </c>
      <c r="E10665" t="s">
        <v>295</v>
      </c>
      <c r="I10665" s="9"/>
    </row>
    <row r="10666" spans="1:9" x14ac:dyDescent="0.25">
      <c r="A10666">
        <v>841402</v>
      </c>
      <c r="B10666">
        <v>2.2799999999999998</v>
      </c>
      <c r="C10666">
        <v>100</v>
      </c>
      <c r="D10666" s="9">
        <v>42894</v>
      </c>
      <c r="E10666" t="s">
        <v>295</v>
      </c>
      <c r="I10666" s="9"/>
    </row>
    <row r="10667" spans="1:9" x14ac:dyDescent="0.25">
      <c r="A10667">
        <v>841402</v>
      </c>
      <c r="B10667">
        <v>2.2799999999999998</v>
      </c>
      <c r="C10667">
        <v>100</v>
      </c>
      <c r="D10667" s="9">
        <v>42864</v>
      </c>
      <c r="E10667" t="s">
        <v>295</v>
      </c>
      <c r="I10667" s="9"/>
    </row>
    <row r="10668" spans="1:9" x14ac:dyDescent="0.25">
      <c r="A10668">
        <v>841402</v>
      </c>
      <c r="B10668">
        <v>2.2799999999999998</v>
      </c>
      <c r="C10668">
        <v>100</v>
      </c>
      <c r="D10668" s="9">
        <v>42779</v>
      </c>
      <c r="E10668" t="s">
        <v>295</v>
      </c>
      <c r="I10668" s="9"/>
    </row>
    <row r="10669" spans="1:9" x14ac:dyDescent="0.25">
      <c r="A10669">
        <v>841402</v>
      </c>
      <c r="B10669">
        <v>2.2799999999999998</v>
      </c>
      <c r="C10669">
        <v>100</v>
      </c>
      <c r="D10669" s="9">
        <v>42754</v>
      </c>
      <c r="E10669" t="s">
        <v>295</v>
      </c>
      <c r="I10669" s="9"/>
    </row>
    <row r="10670" spans="1:9" x14ac:dyDescent="0.25">
      <c r="A10670">
        <v>841402</v>
      </c>
      <c r="B10670">
        <v>2.2799999999999998</v>
      </c>
      <c r="C10670">
        <v>40</v>
      </c>
      <c r="D10670" s="9">
        <v>42619</v>
      </c>
      <c r="E10670" t="s">
        <v>295</v>
      </c>
      <c r="I10670" s="9"/>
    </row>
    <row r="10671" spans="1:9" x14ac:dyDescent="0.25">
      <c r="A10671">
        <v>841402</v>
      </c>
      <c r="B10671">
        <v>2.2799999999999998</v>
      </c>
      <c r="C10671">
        <v>400</v>
      </c>
      <c r="D10671" s="9">
        <v>42398</v>
      </c>
      <c r="E10671" t="s">
        <v>295</v>
      </c>
      <c r="I10671" s="9"/>
    </row>
    <row r="10672" spans="1:9" x14ac:dyDescent="0.25">
      <c r="A10672">
        <v>841402</v>
      </c>
      <c r="B10672">
        <v>2.2799999999999998</v>
      </c>
      <c r="C10672">
        <v>140</v>
      </c>
      <c r="D10672" s="9">
        <v>42213</v>
      </c>
      <c r="E10672" t="s">
        <v>295</v>
      </c>
      <c r="I10672" s="9"/>
    </row>
    <row r="10673" spans="1:9" x14ac:dyDescent="0.25">
      <c r="A10673">
        <v>841402</v>
      </c>
      <c r="B10673">
        <v>2.2799999999999998</v>
      </c>
      <c r="C10673">
        <v>100</v>
      </c>
      <c r="D10673" s="9">
        <v>42177</v>
      </c>
      <c r="E10673" t="s">
        <v>295</v>
      </c>
      <c r="I10673" s="9"/>
    </row>
    <row r="10674" spans="1:9" x14ac:dyDescent="0.25">
      <c r="A10674">
        <v>841402</v>
      </c>
      <c r="B10674">
        <v>2.2799999999999998</v>
      </c>
      <c r="C10674">
        <v>100</v>
      </c>
      <c r="D10674" s="9">
        <v>42111</v>
      </c>
      <c r="E10674" t="s">
        <v>295</v>
      </c>
      <c r="I10674" s="9"/>
    </row>
    <row r="10675" spans="1:9" x14ac:dyDescent="0.25">
      <c r="A10675">
        <v>841402</v>
      </c>
      <c r="B10675">
        <v>2.2799999999999998</v>
      </c>
      <c r="C10675">
        <v>60</v>
      </c>
      <c r="D10675" s="9">
        <v>42034</v>
      </c>
      <c r="E10675" t="s">
        <v>295</v>
      </c>
      <c r="I10675" s="9"/>
    </row>
    <row r="10676" spans="1:9" x14ac:dyDescent="0.25">
      <c r="A10676">
        <v>841402</v>
      </c>
      <c r="B10676">
        <v>0</v>
      </c>
      <c r="C10676">
        <v>60</v>
      </c>
      <c r="D10676" s="9">
        <v>41935</v>
      </c>
      <c r="E10676" t="s">
        <v>295</v>
      </c>
      <c r="I10676" s="9"/>
    </row>
    <row r="10677" spans="1:9" x14ac:dyDescent="0.25">
      <c r="A10677">
        <v>841405</v>
      </c>
      <c r="B10677">
        <v>4.01</v>
      </c>
      <c r="C10677">
        <v>280</v>
      </c>
      <c r="D10677" s="9">
        <v>43864</v>
      </c>
      <c r="E10677" t="s">
        <v>295</v>
      </c>
      <c r="I10677" s="9"/>
    </row>
    <row r="10678" spans="1:9" x14ac:dyDescent="0.25">
      <c r="A10678">
        <v>841405</v>
      </c>
      <c r="B10678">
        <v>4.01</v>
      </c>
      <c r="C10678">
        <v>112</v>
      </c>
      <c r="D10678" s="9">
        <v>43809</v>
      </c>
      <c r="E10678" t="s">
        <v>295</v>
      </c>
      <c r="I10678" s="9"/>
    </row>
    <row r="10679" spans="1:9" x14ac:dyDescent="0.25">
      <c r="A10679">
        <v>841405</v>
      </c>
      <c r="B10679">
        <v>4.01</v>
      </c>
      <c r="C10679">
        <v>112</v>
      </c>
      <c r="D10679" s="9">
        <v>43775</v>
      </c>
      <c r="E10679" t="s">
        <v>295</v>
      </c>
      <c r="I10679" s="9"/>
    </row>
    <row r="10680" spans="1:9" x14ac:dyDescent="0.25">
      <c r="A10680">
        <v>841405</v>
      </c>
      <c r="B10680">
        <v>4.01</v>
      </c>
      <c r="C10680">
        <v>140</v>
      </c>
      <c r="D10680" s="9">
        <v>43697</v>
      </c>
      <c r="E10680" t="s">
        <v>295</v>
      </c>
      <c r="I10680" s="9"/>
    </row>
    <row r="10681" spans="1:9" x14ac:dyDescent="0.25">
      <c r="A10681">
        <v>841405</v>
      </c>
      <c r="B10681">
        <v>4.01</v>
      </c>
      <c r="C10681">
        <v>140</v>
      </c>
      <c r="D10681" s="9">
        <v>43529</v>
      </c>
      <c r="E10681" t="s">
        <v>295</v>
      </c>
      <c r="I10681" s="9"/>
    </row>
    <row r="10682" spans="1:9" x14ac:dyDescent="0.25">
      <c r="A10682">
        <v>841405</v>
      </c>
      <c r="B10682">
        <v>4.01</v>
      </c>
      <c r="C10682">
        <v>140</v>
      </c>
      <c r="D10682" s="9">
        <v>43494</v>
      </c>
      <c r="E10682" t="s">
        <v>295</v>
      </c>
      <c r="I10682" s="9"/>
    </row>
    <row r="10683" spans="1:9" x14ac:dyDescent="0.25">
      <c r="A10683">
        <v>841405</v>
      </c>
      <c r="B10683">
        <v>4.01</v>
      </c>
      <c r="C10683">
        <v>252</v>
      </c>
      <c r="D10683" s="9">
        <v>43451</v>
      </c>
      <c r="E10683" t="s">
        <v>295</v>
      </c>
      <c r="I10683" s="9"/>
    </row>
    <row r="10684" spans="1:9" x14ac:dyDescent="0.25">
      <c r="A10684">
        <v>841405</v>
      </c>
      <c r="B10684">
        <v>4.01</v>
      </c>
      <c r="C10684">
        <v>56</v>
      </c>
      <c r="D10684" s="9">
        <v>43412</v>
      </c>
      <c r="E10684" t="s">
        <v>295</v>
      </c>
      <c r="I10684" s="9"/>
    </row>
    <row r="10685" spans="1:9" x14ac:dyDescent="0.25">
      <c r="A10685">
        <v>841405</v>
      </c>
      <c r="B10685">
        <v>4.01</v>
      </c>
      <c r="C10685">
        <v>112</v>
      </c>
      <c r="D10685" s="9">
        <v>43332</v>
      </c>
      <c r="E10685" t="s">
        <v>295</v>
      </c>
      <c r="I10685" s="9"/>
    </row>
    <row r="10686" spans="1:9" x14ac:dyDescent="0.25">
      <c r="A10686">
        <v>841405</v>
      </c>
      <c r="B10686">
        <v>4.01</v>
      </c>
      <c r="C10686">
        <v>112</v>
      </c>
      <c r="D10686" s="9">
        <v>43319</v>
      </c>
      <c r="E10686" t="s">
        <v>295</v>
      </c>
      <c r="I10686" s="9"/>
    </row>
    <row r="10687" spans="1:9" x14ac:dyDescent="0.25">
      <c r="A10687">
        <v>841405</v>
      </c>
      <c r="B10687">
        <v>4.01</v>
      </c>
      <c r="C10687">
        <v>70</v>
      </c>
      <c r="D10687" s="9">
        <v>43229</v>
      </c>
      <c r="E10687" t="s">
        <v>295</v>
      </c>
      <c r="I10687" s="9"/>
    </row>
    <row r="10688" spans="1:9" x14ac:dyDescent="0.25">
      <c r="A10688">
        <v>841405</v>
      </c>
      <c r="B10688">
        <v>4.01</v>
      </c>
      <c r="C10688">
        <v>70</v>
      </c>
      <c r="D10688" s="9">
        <v>43103</v>
      </c>
      <c r="E10688" t="s">
        <v>295</v>
      </c>
      <c r="I10688" s="9"/>
    </row>
    <row r="10689" spans="1:9" x14ac:dyDescent="0.25">
      <c r="A10689">
        <v>841405</v>
      </c>
      <c r="B10689">
        <v>4.01</v>
      </c>
      <c r="C10689">
        <v>182</v>
      </c>
      <c r="D10689" s="9">
        <v>43045</v>
      </c>
      <c r="E10689" t="s">
        <v>295</v>
      </c>
      <c r="I10689" s="9"/>
    </row>
    <row r="10690" spans="1:9" x14ac:dyDescent="0.25">
      <c r="A10690">
        <v>841405</v>
      </c>
      <c r="B10690">
        <v>3.66</v>
      </c>
      <c r="C10690">
        <v>70</v>
      </c>
      <c r="D10690" s="9">
        <v>42990</v>
      </c>
      <c r="E10690" t="s">
        <v>295</v>
      </c>
      <c r="I10690" s="9"/>
    </row>
    <row r="10691" spans="1:9" x14ac:dyDescent="0.25">
      <c r="A10691">
        <v>841405</v>
      </c>
      <c r="B10691">
        <v>3.74</v>
      </c>
      <c r="C10691">
        <v>70</v>
      </c>
      <c r="D10691" s="9">
        <v>42894</v>
      </c>
      <c r="E10691" t="s">
        <v>295</v>
      </c>
      <c r="I10691" s="9"/>
    </row>
    <row r="10692" spans="1:9" x14ac:dyDescent="0.25">
      <c r="A10692">
        <v>841405</v>
      </c>
      <c r="B10692">
        <v>3.74</v>
      </c>
      <c r="C10692">
        <v>70</v>
      </c>
      <c r="D10692" s="9">
        <v>42864</v>
      </c>
      <c r="E10692" t="s">
        <v>295</v>
      </c>
      <c r="I10692" s="9"/>
    </row>
    <row r="10693" spans="1:9" x14ac:dyDescent="0.25">
      <c r="A10693">
        <v>841405</v>
      </c>
      <c r="B10693">
        <v>3.74</v>
      </c>
      <c r="C10693">
        <v>70</v>
      </c>
      <c r="D10693" s="9">
        <v>42754</v>
      </c>
      <c r="E10693" t="s">
        <v>295</v>
      </c>
      <c r="I10693" s="9"/>
    </row>
    <row r="10694" spans="1:9" x14ac:dyDescent="0.25">
      <c r="A10694">
        <v>841405</v>
      </c>
      <c r="B10694">
        <v>3.74</v>
      </c>
      <c r="C10694">
        <v>56</v>
      </c>
      <c r="D10694" s="9">
        <v>42710</v>
      </c>
      <c r="E10694" t="s">
        <v>295</v>
      </c>
      <c r="I10694" s="9"/>
    </row>
    <row r="10695" spans="1:9" x14ac:dyDescent="0.25">
      <c r="A10695">
        <v>841405</v>
      </c>
      <c r="B10695">
        <v>3.74</v>
      </c>
      <c r="C10695">
        <v>56</v>
      </c>
      <c r="D10695" s="9">
        <v>42689</v>
      </c>
      <c r="E10695" t="s">
        <v>295</v>
      </c>
      <c r="I10695" s="9"/>
    </row>
    <row r="10696" spans="1:9" x14ac:dyDescent="0.25">
      <c r="A10696">
        <v>841405</v>
      </c>
      <c r="B10696">
        <v>3.74</v>
      </c>
      <c r="C10696">
        <v>56</v>
      </c>
      <c r="D10696" s="9">
        <v>42662</v>
      </c>
      <c r="E10696" t="s">
        <v>295</v>
      </c>
      <c r="I10696" s="9"/>
    </row>
    <row r="10697" spans="1:9" x14ac:dyDescent="0.25">
      <c r="A10697">
        <v>841405</v>
      </c>
      <c r="B10697">
        <v>3.74</v>
      </c>
      <c r="C10697">
        <v>42</v>
      </c>
      <c r="D10697" s="9">
        <v>42619</v>
      </c>
      <c r="E10697" t="s">
        <v>295</v>
      </c>
      <c r="I10697" s="9"/>
    </row>
    <row r="10698" spans="1:9" x14ac:dyDescent="0.25">
      <c r="A10698">
        <v>841405</v>
      </c>
      <c r="B10698">
        <v>3.74</v>
      </c>
      <c r="C10698">
        <v>280</v>
      </c>
      <c r="D10698" s="9">
        <v>42398</v>
      </c>
      <c r="E10698" t="s">
        <v>295</v>
      </c>
      <c r="I10698" s="9"/>
    </row>
    <row r="10699" spans="1:9" x14ac:dyDescent="0.25">
      <c r="A10699">
        <v>841405</v>
      </c>
      <c r="B10699">
        <v>3.74</v>
      </c>
      <c r="C10699">
        <v>140</v>
      </c>
      <c r="D10699" s="9">
        <v>42317</v>
      </c>
      <c r="E10699" t="s">
        <v>295</v>
      </c>
      <c r="I10699" s="9"/>
    </row>
    <row r="10700" spans="1:9" x14ac:dyDescent="0.25">
      <c r="A10700">
        <v>841405</v>
      </c>
      <c r="B10700">
        <v>3.74</v>
      </c>
      <c r="C10700">
        <v>140</v>
      </c>
      <c r="D10700" s="9">
        <v>42305</v>
      </c>
      <c r="E10700" t="s">
        <v>295</v>
      </c>
      <c r="I10700" s="9"/>
    </row>
    <row r="10701" spans="1:9" x14ac:dyDescent="0.25">
      <c r="A10701">
        <v>841405</v>
      </c>
      <c r="B10701">
        <v>3.74</v>
      </c>
      <c r="C10701">
        <v>112</v>
      </c>
      <c r="D10701" s="9">
        <v>42271</v>
      </c>
      <c r="E10701" t="s">
        <v>295</v>
      </c>
      <c r="I10701" s="9"/>
    </row>
    <row r="10702" spans="1:9" x14ac:dyDescent="0.25">
      <c r="A10702">
        <v>841405</v>
      </c>
      <c r="B10702">
        <v>3.74</v>
      </c>
      <c r="C10702">
        <v>56</v>
      </c>
      <c r="D10702" s="9">
        <v>42213</v>
      </c>
      <c r="E10702" t="s">
        <v>295</v>
      </c>
      <c r="I10702" s="9"/>
    </row>
    <row r="10703" spans="1:9" x14ac:dyDescent="0.25">
      <c r="A10703">
        <v>841405</v>
      </c>
      <c r="B10703">
        <v>3.74</v>
      </c>
      <c r="C10703">
        <v>140</v>
      </c>
      <c r="D10703" s="9">
        <v>42200</v>
      </c>
      <c r="E10703" t="s">
        <v>295</v>
      </c>
      <c r="I10703" s="9"/>
    </row>
    <row r="10704" spans="1:9" x14ac:dyDescent="0.25">
      <c r="A10704">
        <v>841405</v>
      </c>
      <c r="B10704">
        <v>3.74</v>
      </c>
      <c r="C10704">
        <v>56</v>
      </c>
      <c r="D10704" s="9">
        <v>42177</v>
      </c>
      <c r="E10704" t="s">
        <v>295</v>
      </c>
      <c r="I10704" s="9"/>
    </row>
    <row r="10705" spans="1:9" x14ac:dyDescent="0.25">
      <c r="A10705">
        <v>841405</v>
      </c>
      <c r="B10705">
        <v>3.74</v>
      </c>
      <c r="C10705">
        <v>28</v>
      </c>
      <c r="D10705" s="9">
        <v>42136</v>
      </c>
      <c r="E10705" t="s">
        <v>295</v>
      </c>
      <c r="I10705" s="9"/>
    </row>
    <row r="10706" spans="1:9" x14ac:dyDescent="0.25">
      <c r="A10706">
        <v>841405</v>
      </c>
      <c r="B10706">
        <v>3.74</v>
      </c>
      <c r="C10706">
        <v>42</v>
      </c>
      <c r="D10706" s="9">
        <v>42111</v>
      </c>
      <c r="E10706" t="s">
        <v>295</v>
      </c>
      <c r="I10706" s="9"/>
    </row>
    <row r="10707" spans="1:9" x14ac:dyDescent="0.25">
      <c r="A10707">
        <v>841405</v>
      </c>
      <c r="B10707">
        <v>0</v>
      </c>
      <c r="C10707">
        <v>42</v>
      </c>
      <c r="D10707" s="9">
        <v>41935</v>
      </c>
      <c r="E10707" t="s">
        <v>295</v>
      </c>
      <c r="I10707" s="9"/>
    </row>
    <row r="10708" spans="1:9" x14ac:dyDescent="0.25">
      <c r="A10708">
        <v>841451</v>
      </c>
      <c r="B10708">
        <v>6.65</v>
      </c>
      <c r="C10708">
        <v>40</v>
      </c>
      <c r="D10708" s="9">
        <v>43837</v>
      </c>
      <c r="E10708" t="s">
        <v>295</v>
      </c>
      <c r="I10708" s="9"/>
    </row>
    <row r="10709" spans="1:9" x14ac:dyDescent="0.25">
      <c r="A10709">
        <v>841451</v>
      </c>
      <c r="B10709">
        <v>6.65</v>
      </c>
      <c r="C10709">
        <v>72</v>
      </c>
      <c r="D10709" s="9">
        <v>43182</v>
      </c>
      <c r="E10709" t="s">
        <v>295</v>
      </c>
      <c r="I10709" s="9"/>
    </row>
    <row r="10710" spans="1:9" x14ac:dyDescent="0.25">
      <c r="A10710">
        <v>841451</v>
      </c>
      <c r="B10710">
        <v>6.25</v>
      </c>
      <c r="C10710">
        <v>36</v>
      </c>
      <c r="D10710" s="9">
        <v>42779</v>
      </c>
      <c r="E10710" t="s">
        <v>295</v>
      </c>
      <c r="I10710" s="9"/>
    </row>
    <row r="10711" spans="1:9" x14ac:dyDescent="0.25">
      <c r="A10711">
        <v>841451</v>
      </c>
      <c r="B10711">
        <v>0</v>
      </c>
      <c r="C10711">
        <v>36</v>
      </c>
      <c r="D10711" s="9">
        <v>42408</v>
      </c>
      <c r="E10711" t="s">
        <v>295</v>
      </c>
      <c r="I10711" s="9"/>
    </row>
    <row r="10712" spans="1:9" x14ac:dyDescent="0.25">
      <c r="A10712">
        <v>841452</v>
      </c>
      <c r="B10712">
        <v>3.8</v>
      </c>
      <c r="C10712">
        <v>48</v>
      </c>
      <c r="D10712" s="9">
        <v>42725</v>
      </c>
      <c r="E10712" t="s">
        <v>295</v>
      </c>
      <c r="I10712" s="9"/>
    </row>
    <row r="10713" spans="1:9" x14ac:dyDescent="0.25">
      <c r="A10713">
        <v>841452</v>
      </c>
      <c r="B10713">
        <v>3.8</v>
      </c>
      <c r="C10713">
        <v>48</v>
      </c>
      <c r="D10713" s="9">
        <v>42716</v>
      </c>
      <c r="E10713" t="s">
        <v>295</v>
      </c>
      <c r="I10713" s="9"/>
    </row>
    <row r="10714" spans="1:9" x14ac:dyDescent="0.25">
      <c r="A10714">
        <v>841452</v>
      </c>
      <c r="B10714">
        <v>0</v>
      </c>
      <c r="C10714">
        <v>48</v>
      </c>
      <c r="D10714" s="9">
        <v>42408</v>
      </c>
      <c r="E10714" t="s">
        <v>295</v>
      </c>
      <c r="I10714" s="9"/>
    </row>
    <row r="10715" spans="1:9" x14ac:dyDescent="0.25">
      <c r="A10715">
        <v>841454</v>
      </c>
      <c r="B10715">
        <v>6.2</v>
      </c>
      <c r="C10715">
        <v>50</v>
      </c>
      <c r="D10715" s="9">
        <v>42471</v>
      </c>
      <c r="E10715" t="s">
        <v>295</v>
      </c>
      <c r="I10715" s="9"/>
    </row>
    <row r="10716" spans="1:9" x14ac:dyDescent="0.25">
      <c r="A10716">
        <v>841455</v>
      </c>
      <c r="B10716">
        <v>5.5</v>
      </c>
      <c r="C10716">
        <v>40</v>
      </c>
      <c r="D10716" s="9">
        <v>43697</v>
      </c>
      <c r="E10716" t="s">
        <v>295</v>
      </c>
      <c r="I10716" s="9"/>
    </row>
    <row r="10717" spans="1:9" x14ac:dyDescent="0.25">
      <c r="A10717">
        <v>841455</v>
      </c>
      <c r="B10717">
        <v>5.5</v>
      </c>
      <c r="C10717">
        <v>40</v>
      </c>
      <c r="D10717" s="9">
        <v>43593</v>
      </c>
      <c r="E10717" t="s">
        <v>295</v>
      </c>
      <c r="I10717" s="9"/>
    </row>
    <row r="10718" spans="1:9" x14ac:dyDescent="0.25">
      <c r="A10718">
        <v>841455</v>
      </c>
      <c r="B10718">
        <v>5.5</v>
      </c>
      <c r="C10718">
        <v>80</v>
      </c>
      <c r="D10718" s="9">
        <v>43312</v>
      </c>
      <c r="E10718" t="s">
        <v>295</v>
      </c>
      <c r="I10718" s="9"/>
    </row>
    <row r="10719" spans="1:9" x14ac:dyDescent="0.25">
      <c r="A10719">
        <v>841455</v>
      </c>
      <c r="B10719">
        <v>5.5</v>
      </c>
      <c r="C10719">
        <v>35</v>
      </c>
      <c r="D10719" s="9">
        <v>43227</v>
      </c>
      <c r="E10719" t="s">
        <v>295</v>
      </c>
      <c r="I10719" s="9"/>
    </row>
    <row r="10720" spans="1:9" x14ac:dyDescent="0.25">
      <c r="A10720">
        <v>841455</v>
      </c>
      <c r="B10720">
        <v>5.5</v>
      </c>
      <c r="C10720">
        <v>40</v>
      </c>
      <c r="D10720" s="9">
        <v>43182</v>
      </c>
      <c r="E10720" t="s">
        <v>295</v>
      </c>
      <c r="I10720" s="9"/>
    </row>
    <row r="10721" spans="1:9" x14ac:dyDescent="0.25">
      <c r="A10721">
        <v>841455</v>
      </c>
      <c r="B10721">
        <v>5.5</v>
      </c>
      <c r="C10721">
        <v>40</v>
      </c>
      <c r="D10721" s="9">
        <v>43055</v>
      </c>
      <c r="E10721" t="s">
        <v>295</v>
      </c>
      <c r="I10721" s="9"/>
    </row>
    <row r="10722" spans="1:9" x14ac:dyDescent="0.25">
      <c r="A10722">
        <v>841455</v>
      </c>
      <c r="B10722">
        <v>5.5</v>
      </c>
      <c r="C10722">
        <v>40</v>
      </c>
      <c r="D10722" s="9">
        <v>42891</v>
      </c>
      <c r="E10722" t="s">
        <v>295</v>
      </c>
      <c r="I10722" s="9"/>
    </row>
    <row r="10723" spans="1:9" x14ac:dyDescent="0.25">
      <c r="A10723">
        <v>841455</v>
      </c>
      <c r="B10723">
        <v>5.25</v>
      </c>
      <c r="C10723">
        <v>40</v>
      </c>
      <c r="D10723" s="9">
        <v>42725</v>
      </c>
      <c r="E10723" t="s">
        <v>295</v>
      </c>
      <c r="I10723" s="9"/>
    </row>
    <row r="10724" spans="1:9" x14ac:dyDescent="0.25">
      <c r="A10724">
        <v>841455</v>
      </c>
      <c r="B10724">
        <v>5.25</v>
      </c>
      <c r="C10724">
        <v>36</v>
      </c>
      <c r="D10724" s="9">
        <v>42716</v>
      </c>
      <c r="E10724" t="s">
        <v>295</v>
      </c>
      <c r="I10724" s="9"/>
    </row>
    <row r="10725" spans="1:9" x14ac:dyDescent="0.25">
      <c r="A10725">
        <v>841455</v>
      </c>
      <c r="B10725">
        <v>5.25</v>
      </c>
      <c r="C10725">
        <v>36</v>
      </c>
      <c r="D10725" s="9">
        <v>42471</v>
      </c>
      <c r="E10725" t="s">
        <v>295</v>
      </c>
      <c r="I10725" s="9"/>
    </row>
    <row r="10726" spans="1:9" x14ac:dyDescent="0.25">
      <c r="A10726">
        <v>841455</v>
      </c>
      <c r="B10726">
        <v>0</v>
      </c>
      <c r="C10726">
        <v>36</v>
      </c>
      <c r="D10726" s="9">
        <v>42408</v>
      </c>
      <c r="E10726" t="s">
        <v>295</v>
      </c>
      <c r="I10726" s="9"/>
    </row>
    <row r="10727" spans="1:9" x14ac:dyDescent="0.25">
      <c r="A10727">
        <v>841456</v>
      </c>
      <c r="B10727">
        <v>4.5</v>
      </c>
      <c r="C10727">
        <v>72</v>
      </c>
      <c r="D10727" s="9">
        <v>43697</v>
      </c>
      <c r="E10727" t="s">
        <v>295</v>
      </c>
      <c r="I10727" s="9"/>
    </row>
    <row r="10728" spans="1:9" x14ac:dyDescent="0.25">
      <c r="A10728">
        <v>841456</v>
      </c>
      <c r="B10728">
        <v>4.5</v>
      </c>
      <c r="C10728">
        <v>40</v>
      </c>
      <c r="D10728" s="9">
        <v>43545</v>
      </c>
      <c r="E10728" t="s">
        <v>295</v>
      </c>
      <c r="I10728" s="9"/>
    </row>
    <row r="10729" spans="1:9" x14ac:dyDescent="0.25">
      <c r="A10729">
        <v>841456</v>
      </c>
      <c r="B10729">
        <v>4.5</v>
      </c>
      <c r="C10729">
        <v>65</v>
      </c>
      <c r="D10729" s="9">
        <v>43369</v>
      </c>
      <c r="E10729" t="s">
        <v>295</v>
      </c>
      <c r="I10729" s="9"/>
    </row>
    <row r="10730" spans="1:9" x14ac:dyDescent="0.25">
      <c r="A10730">
        <v>841456</v>
      </c>
      <c r="B10730">
        <v>4.5</v>
      </c>
      <c r="C10730">
        <v>36</v>
      </c>
      <c r="D10730" s="9">
        <v>43312</v>
      </c>
      <c r="E10730" t="s">
        <v>295</v>
      </c>
      <c r="I10730" s="9"/>
    </row>
    <row r="10731" spans="1:9" x14ac:dyDescent="0.25">
      <c r="A10731">
        <v>841456</v>
      </c>
      <c r="B10731">
        <v>4.5</v>
      </c>
      <c r="C10731">
        <v>36</v>
      </c>
      <c r="D10731" s="9">
        <v>43227</v>
      </c>
      <c r="E10731" t="s">
        <v>295</v>
      </c>
      <c r="I10731" s="9"/>
    </row>
    <row r="10732" spans="1:9" x14ac:dyDescent="0.25">
      <c r="A10732">
        <v>841456</v>
      </c>
      <c r="B10732">
        <v>4.5</v>
      </c>
      <c r="C10732">
        <v>65</v>
      </c>
      <c r="D10732" s="9">
        <v>43182</v>
      </c>
      <c r="E10732" t="s">
        <v>295</v>
      </c>
      <c r="I10732" s="9"/>
    </row>
    <row r="10733" spans="1:9" x14ac:dyDescent="0.25">
      <c r="A10733">
        <v>841456</v>
      </c>
      <c r="B10733">
        <v>4.5</v>
      </c>
      <c r="C10733">
        <v>36</v>
      </c>
      <c r="D10733" s="9">
        <v>43045</v>
      </c>
      <c r="E10733" t="s">
        <v>295</v>
      </c>
      <c r="I10733" s="9"/>
    </row>
    <row r="10734" spans="1:9" x14ac:dyDescent="0.25">
      <c r="A10734">
        <v>841456</v>
      </c>
      <c r="B10734">
        <v>4.5</v>
      </c>
      <c r="C10734">
        <v>36</v>
      </c>
      <c r="D10734" s="9">
        <v>43020</v>
      </c>
      <c r="E10734" t="s">
        <v>295</v>
      </c>
      <c r="I10734" s="9"/>
    </row>
    <row r="10735" spans="1:9" x14ac:dyDescent="0.25">
      <c r="A10735">
        <v>841456</v>
      </c>
      <c r="B10735">
        <v>4.5</v>
      </c>
      <c r="C10735">
        <v>32</v>
      </c>
      <c r="D10735" s="9">
        <v>42993</v>
      </c>
      <c r="E10735" t="s">
        <v>295</v>
      </c>
      <c r="I10735" s="9"/>
    </row>
    <row r="10736" spans="1:9" x14ac:dyDescent="0.25">
      <c r="A10736">
        <v>841456</v>
      </c>
      <c r="B10736">
        <v>4.5</v>
      </c>
      <c r="C10736">
        <v>72</v>
      </c>
      <c r="D10736" s="9">
        <v>42891</v>
      </c>
      <c r="E10736" t="s">
        <v>295</v>
      </c>
      <c r="I10736" s="9"/>
    </row>
    <row r="10737" spans="1:9" x14ac:dyDescent="0.25">
      <c r="A10737">
        <v>841456</v>
      </c>
      <c r="B10737">
        <v>6.55</v>
      </c>
      <c r="C10737">
        <v>36</v>
      </c>
      <c r="D10737" s="9">
        <v>42725</v>
      </c>
      <c r="E10737" t="s">
        <v>295</v>
      </c>
      <c r="I10737" s="9"/>
    </row>
    <row r="10738" spans="1:9" x14ac:dyDescent="0.25">
      <c r="A10738">
        <v>841456</v>
      </c>
      <c r="B10738">
        <v>6.55</v>
      </c>
      <c r="C10738">
        <v>36</v>
      </c>
      <c r="D10738" s="9">
        <v>42716</v>
      </c>
      <c r="E10738" t="s">
        <v>295</v>
      </c>
      <c r="I10738" s="9"/>
    </row>
    <row r="10739" spans="1:9" x14ac:dyDescent="0.25">
      <c r="A10739">
        <v>841456</v>
      </c>
      <c r="B10739">
        <v>6.55</v>
      </c>
      <c r="C10739">
        <v>36</v>
      </c>
      <c r="D10739" s="9">
        <v>42549</v>
      </c>
      <c r="E10739" t="s">
        <v>295</v>
      </c>
      <c r="I10739" s="9"/>
    </row>
    <row r="10740" spans="1:9" x14ac:dyDescent="0.25">
      <c r="A10740">
        <v>841456</v>
      </c>
      <c r="B10740">
        <v>6.55</v>
      </c>
      <c r="C10740">
        <v>36</v>
      </c>
      <c r="D10740" s="9">
        <v>42471</v>
      </c>
      <c r="E10740" t="s">
        <v>295</v>
      </c>
      <c r="I10740" s="9"/>
    </row>
    <row r="10741" spans="1:9" x14ac:dyDescent="0.25">
      <c r="A10741">
        <v>841456</v>
      </c>
      <c r="B10741">
        <v>0</v>
      </c>
      <c r="C10741">
        <v>36</v>
      </c>
      <c r="D10741" s="9">
        <v>42408</v>
      </c>
      <c r="E10741" t="s">
        <v>295</v>
      </c>
      <c r="I10741" s="9"/>
    </row>
    <row r="10742" spans="1:9" x14ac:dyDescent="0.25">
      <c r="A10742">
        <v>841457</v>
      </c>
      <c r="B10742">
        <v>6.65</v>
      </c>
      <c r="C10742">
        <v>50</v>
      </c>
      <c r="D10742" s="9">
        <v>42471</v>
      </c>
      <c r="E10742" t="s">
        <v>295</v>
      </c>
      <c r="I10742" s="9"/>
    </row>
    <row r="10743" spans="1:9" x14ac:dyDescent="0.25">
      <c r="A10743">
        <v>841457</v>
      </c>
      <c r="B10743">
        <v>0</v>
      </c>
      <c r="C10743">
        <v>36</v>
      </c>
      <c r="D10743" s="9">
        <v>42408</v>
      </c>
      <c r="E10743" t="s">
        <v>295</v>
      </c>
      <c r="I10743" s="9"/>
    </row>
    <row r="10744" spans="1:9" x14ac:dyDescent="0.25">
      <c r="A10744">
        <v>841459</v>
      </c>
      <c r="B10744">
        <v>7.95</v>
      </c>
      <c r="C10744">
        <v>150</v>
      </c>
      <c r="D10744" s="9">
        <v>42471</v>
      </c>
      <c r="E10744" t="s">
        <v>295</v>
      </c>
      <c r="I10744" s="9"/>
    </row>
    <row r="10745" spans="1:9" x14ac:dyDescent="0.25">
      <c r="A10745">
        <v>841624</v>
      </c>
      <c r="B10745">
        <v>7.48</v>
      </c>
      <c r="C10745">
        <v>100</v>
      </c>
      <c r="D10745" s="9">
        <v>43054</v>
      </c>
      <c r="E10745" t="s">
        <v>295</v>
      </c>
      <c r="I10745" s="9"/>
    </row>
    <row r="10746" spans="1:9" x14ac:dyDescent="0.25">
      <c r="A10746">
        <v>841624</v>
      </c>
      <c r="B10746">
        <v>7.48</v>
      </c>
      <c r="C10746">
        <v>100</v>
      </c>
      <c r="D10746" s="9">
        <v>41590</v>
      </c>
      <c r="E10746" t="s">
        <v>295</v>
      </c>
      <c r="I10746" s="9"/>
    </row>
    <row r="10747" spans="1:9" x14ac:dyDescent="0.25">
      <c r="A10747">
        <v>841631</v>
      </c>
      <c r="B10747">
        <v>14.03</v>
      </c>
      <c r="C10747">
        <v>200</v>
      </c>
      <c r="D10747" s="9">
        <v>41590</v>
      </c>
      <c r="E10747" t="s">
        <v>295</v>
      </c>
      <c r="I10747" s="9"/>
    </row>
    <row r="10748" spans="1:9" x14ac:dyDescent="0.25">
      <c r="A10748">
        <v>841691</v>
      </c>
      <c r="B10748">
        <v>30.17</v>
      </c>
      <c r="C10748">
        <v>135</v>
      </c>
      <c r="D10748" s="9">
        <v>43304</v>
      </c>
      <c r="E10748" t="s">
        <v>295</v>
      </c>
      <c r="I10748" s="9"/>
    </row>
    <row r="10749" spans="1:9" x14ac:dyDescent="0.25">
      <c r="A10749">
        <v>841691</v>
      </c>
      <c r="B10749">
        <v>30.16</v>
      </c>
      <c r="C10749">
        <v>200</v>
      </c>
      <c r="D10749" s="9">
        <v>43046</v>
      </c>
      <c r="E10749" t="s">
        <v>295</v>
      </c>
      <c r="I10749" s="9"/>
    </row>
    <row r="10750" spans="1:9" x14ac:dyDescent="0.25">
      <c r="A10750">
        <v>841691</v>
      </c>
      <c r="B10750">
        <v>30.16</v>
      </c>
      <c r="C10750">
        <v>95</v>
      </c>
      <c r="D10750" s="9">
        <v>42765</v>
      </c>
      <c r="E10750" t="s">
        <v>295</v>
      </c>
      <c r="I10750" s="9"/>
    </row>
    <row r="10751" spans="1:9" x14ac:dyDescent="0.25">
      <c r="A10751">
        <v>841691</v>
      </c>
      <c r="B10751">
        <v>30.17</v>
      </c>
      <c r="C10751">
        <v>40</v>
      </c>
      <c r="D10751" s="9">
        <v>42765</v>
      </c>
      <c r="E10751" t="s">
        <v>295</v>
      </c>
      <c r="I10751" s="9"/>
    </row>
    <row r="10752" spans="1:9" x14ac:dyDescent="0.25">
      <c r="A10752">
        <v>841691</v>
      </c>
      <c r="B10752">
        <v>33.9</v>
      </c>
      <c r="C10752">
        <v>336</v>
      </c>
      <c r="D10752" s="9">
        <v>42600</v>
      </c>
      <c r="E10752" t="s">
        <v>295</v>
      </c>
      <c r="I10752" s="9"/>
    </row>
    <row r="10753" spans="1:9" x14ac:dyDescent="0.25">
      <c r="A10753">
        <v>841691</v>
      </c>
      <c r="B10753">
        <v>33.9</v>
      </c>
      <c r="C10753">
        <v>150</v>
      </c>
      <c r="D10753" s="9">
        <v>41614</v>
      </c>
      <c r="E10753" t="s">
        <v>295</v>
      </c>
      <c r="I10753" s="9"/>
    </row>
    <row r="10754" spans="1:9" x14ac:dyDescent="0.25">
      <c r="A10754">
        <v>841695</v>
      </c>
      <c r="B10754">
        <v>1</v>
      </c>
      <c r="C10754">
        <v>1</v>
      </c>
      <c r="D10754" s="9">
        <v>43028</v>
      </c>
      <c r="E10754" t="s">
        <v>295</v>
      </c>
      <c r="I10754" s="9"/>
    </row>
    <row r="10755" spans="1:9" x14ac:dyDescent="0.25">
      <c r="A10755">
        <v>841699</v>
      </c>
      <c r="B10755">
        <v>8.64</v>
      </c>
      <c r="C10755">
        <v>180</v>
      </c>
      <c r="D10755" s="9">
        <v>43475</v>
      </c>
      <c r="E10755" t="s">
        <v>295</v>
      </c>
      <c r="I10755" s="9"/>
    </row>
    <row r="10756" spans="1:9" x14ac:dyDescent="0.25">
      <c r="A10756">
        <v>841699</v>
      </c>
      <c r="B10756">
        <v>8.64</v>
      </c>
      <c r="C10756">
        <v>1440</v>
      </c>
      <c r="D10756" s="9">
        <v>43433</v>
      </c>
      <c r="E10756" t="s">
        <v>295</v>
      </c>
      <c r="I10756" s="9"/>
    </row>
    <row r="10757" spans="1:9" x14ac:dyDescent="0.25">
      <c r="A10757">
        <v>841699</v>
      </c>
      <c r="B10757">
        <v>8.64</v>
      </c>
      <c r="C10757">
        <v>180</v>
      </c>
      <c r="D10757" s="9">
        <v>43426</v>
      </c>
      <c r="E10757" t="s">
        <v>295</v>
      </c>
      <c r="I10757" s="9"/>
    </row>
    <row r="10758" spans="1:9" x14ac:dyDescent="0.25">
      <c r="A10758">
        <v>842000</v>
      </c>
      <c r="B10758">
        <v>23</v>
      </c>
      <c r="C10758">
        <v>10</v>
      </c>
      <c r="D10758" s="9">
        <v>42503</v>
      </c>
      <c r="E10758" t="s">
        <v>295</v>
      </c>
      <c r="I10758" s="9"/>
    </row>
    <row r="10759" spans="1:9" x14ac:dyDescent="0.25">
      <c r="A10759">
        <v>842200</v>
      </c>
      <c r="B10759">
        <v>55</v>
      </c>
      <c r="C10759">
        <v>6</v>
      </c>
      <c r="D10759" s="9">
        <v>42503</v>
      </c>
      <c r="E10759" t="s">
        <v>295</v>
      </c>
      <c r="I10759" s="9"/>
    </row>
    <row r="10760" spans="1:9" x14ac:dyDescent="0.25">
      <c r="A10760">
        <v>842200</v>
      </c>
      <c r="B10760">
        <v>55</v>
      </c>
      <c r="C10760">
        <v>20</v>
      </c>
      <c r="D10760" s="9">
        <v>42149</v>
      </c>
      <c r="E10760" t="s">
        <v>295</v>
      </c>
      <c r="I10760" s="9"/>
    </row>
    <row r="10761" spans="1:9" x14ac:dyDescent="0.25">
      <c r="A10761">
        <v>842200</v>
      </c>
      <c r="B10761">
        <v>52</v>
      </c>
      <c r="C10761">
        <v>50</v>
      </c>
      <c r="D10761" s="9">
        <v>41772</v>
      </c>
      <c r="E10761" t="s">
        <v>295</v>
      </c>
      <c r="I10761" s="9"/>
    </row>
    <row r="10762" spans="1:9" x14ac:dyDescent="0.25">
      <c r="A10762">
        <v>842200</v>
      </c>
      <c r="B10762">
        <v>52.3</v>
      </c>
      <c r="C10762">
        <v>60</v>
      </c>
      <c r="D10762" s="9">
        <v>41619</v>
      </c>
      <c r="E10762" t="s">
        <v>295</v>
      </c>
      <c r="I10762" s="9"/>
    </row>
    <row r="10763" spans="1:9" x14ac:dyDescent="0.25">
      <c r="A10763">
        <v>842200</v>
      </c>
      <c r="B10763">
        <v>52.5</v>
      </c>
      <c r="C10763">
        <v>50</v>
      </c>
      <c r="D10763" s="9">
        <v>41586</v>
      </c>
      <c r="E10763" t="s">
        <v>295</v>
      </c>
      <c r="I10763" s="9"/>
    </row>
    <row r="10764" spans="1:9" x14ac:dyDescent="0.25">
      <c r="A10764">
        <v>843020</v>
      </c>
      <c r="B10764">
        <v>7.94</v>
      </c>
      <c r="C10764">
        <v>204</v>
      </c>
      <c r="D10764" s="9">
        <v>43843</v>
      </c>
      <c r="E10764" t="s">
        <v>296</v>
      </c>
      <c r="I10764" s="9"/>
    </row>
    <row r="10765" spans="1:9" x14ac:dyDescent="0.25">
      <c r="A10765">
        <v>843020</v>
      </c>
      <c r="B10765">
        <v>7.94</v>
      </c>
      <c r="C10765">
        <v>102</v>
      </c>
      <c r="D10765" s="9">
        <v>43843</v>
      </c>
      <c r="E10765" t="s">
        <v>296</v>
      </c>
      <c r="I10765" s="9"/>
    </row>
    <row r="10766" spans="1:9" x14ac:dyDescent="0.25">
      <c r="A10766">
        <v>843020</v>
      </c>
      <c r="B10766">
        <v>7.94</v>
      </c>
      <c r="C10766">
        <v>180</v>
      </c>
      <c r="D10766" s="9">
        <v>43403</v>
      </c>
      <c r="E10766" t="s">
        <v>296</v>
      </c>
      <c r="I10766" s="9"/>
    </row>
    <row r="10767" spans="1:9" x14ac:dyDescent="0.25">
      <c r="A10767">
        <v>843020</v>
      </c>
      <c r="B10767">
        <v>6.8</v>
      </c>
      <c r="C10767">
        <v>300</v>
      </c>
      <c r="D10767" s="9">
        <v>42864</v>
      </c>
      <c r="E10767" t="s">
        <v>296</v>
      </c>
      <c r="I10767" s="9"/>
    </row>
    <row r="10768" spans="1:9" x14ac:dyDescent="0.25">
      <c r="A10768">
        <v>843020</v>
      </c>
      <c r="B10768">
        <v>6.46</v>
      </c>
      <c r="C10768">
        <v>240</v>
      </c>
      <c r="D10768" s="9">
        <v>42586</v>
      </c>
      <c r="E10768" t="s">
        <v>296</v>
      </c>
      <c r="I10768" s="9"/>
    </row>
    <row r="10769" spans="1:9" x14ac:dyDescent="0.25">
      <c r="A10769">
        <v>843020</v>
      </c>
      <c r="B10769">
        <v>7.3570000000000002</v>
      </c>
      <c r="C10769">
        <v>300</v>
      </c>
      <c r="D10769" s="9">
        <v>41983</v>
      </c>
      <c r="E10769" t="s">
        <v>296</v>
      </c>
      <c r="I10769" s="9"/>
    </row>
    <row r="10770" spans="1:9" x14ac:dyDescent="0.25">
      <c r="A10770">
        <v>843020</v>
      </c>
      <c r="B10770">
        <v>7.3570000000000002</v>
      </c>
      <c r="C10770">
        <v>420</v>
      </c>
      <c r="D10770" s="9">
        <v>41782</v>
      </c>
      <c r="E10770" t="s">
        <v>296</v>
      </c>
      <c r="I10770" s="9"/>
    </row>
    <row r="10771" spans="1:9" x14ac:dyDescent="0.25">
      <c r="A10771">
        <v>843020</v>
      </c>
      <c r="B10771">
        <v>7.3570000000000002</v>
      </c>
      <c r="C10771">
        <v>192</v>
      </c>
      <c r="D10771" s="9">
        <v>41647</v>
      </c>
      <c r="E10771" t="s">
        <v>296</v>
      </c>
      <c r="I10771" s="9"/>
    </row>
    <row r="10772" spans="1:9" x14ac:dyDescent="0.25">
      <c r="A10772">
        <v>843020</v>
      </c>
      <c r="B10772">
        <v>7.2279999999999998</v>
      </c>
      <c r="C10772">
        <v>192</v>
      </c>
      <c r="D10772" s="9">
        <v>41295</v>
      </c>
      <c r="E10772" t="s">
        <v>296</v>
      </c>
      <c r="I10772" s="9"/>
    </row>
    <row r="10773" spans="1:9" x14ac:dyDescent="0.25">
      <c r="A10773">
        <v>843030</v>
      </c>
      <c r="B10773">
        <v>8.69</v>
      </c>
      <c r="C10773">
        <v>104</v>
      </c>
      <c r="D10773" s="9">
        <v>43578</v>
      </c>
      <c r="E10773" t="s">
        <v>296</v>
      </c>
      <c r="I10773" s="9"/>
    </row>
    <row r="10774" spans="1:9" x14ac:dyDescent="0.25">
      <c r="A10774">
        <v>843030</v>
      </c>
      <c r="B10774">
        <v>10.130000000000001</v>
      </c>
      <c r="C10774">
        <v>600</v>
      </c>
      <c r="D10774" s="9">
        <v>43403</v>
      </c>
      <c r="E10774" t="s">
        <v>296</v>
      </c>
      <c r="I10774" s="9"/>
    </row>
    <row r="10775" spans="1:9" x14ac:dyDescent="0.25">
      <c r="A10775">
        <v>843030</v>
      </c>
      <c r="B10775">
        <v>9.4</v>
      </c>
      <c r="C10775">
        <v>600</v>
      </c>
      <c r="D10775" s="9">
        <v>43305</v>
      </c>
      <c r="E10775" t="s">
        <v>296</v>
      </c>
      <c r="I10775" s="9"/>
    </row>
    <row r="10776" spans="1:9" x14ac:dyDescent="0.25">
      <c r="A10776">
        <v>843030</v>
      </c>
      <c r="B10776">
        <v>8.5500000000000007</v>
      </c>
      <c r="C10776">
        <v>400</v>
      </c>
      <c r="D10776" s="9">
        <v>43052</v>
      </c>
      <c r="E10776" t="s">
        <v>296</v>
      </c>
      <c r="I10776" s="9"/>
    </row>
    <row r="10777" spans="1:9" x14ac:dyDescent="0.25">
      <c r="A10777">
        <v>843030</v>
      </c>
      <c r="B10777">
        <v>8.4</v>
      </c>
      <c r="C10777">
        <v>402</v>
      </c>
      <c r="D10777" s="9">
        <v>42912</v>
      </c>
      <c r="E10777" t="s">
        <v>296</v>
      </c>
      <c r="I10777" s="9"/>
    </row>
    <row r="10778" spans="1:9" x14ac:dyDescent="0.25">
      <c r="A10778">
        <v>843030</v>
      </c>
      <c r="B10778">
        <v>8.4</v>
      </c>
      <c r="C10778">
        <v>400</v>
      </c>
      <c r="D10778" s="9">
        <v>42748</v>
      </c>
      <c r="E10778" t="s">
        <v>296</v>
      </c>
      <c r="I10778" s="9"/>
    </row>
    <row r="10779" spans="1:9" x14ac:dyDescent="0.25">
      <c r="A10779">
        <v>843030</v>
      </c>
      <c r="B10779">
        <v>6.8</v>
      </c>
      <c r="C10779">
        <v>400</v>
      </c>
      <c r="D10779" s="9">
        <v>42586</v>
      </c>
      <c r="E10779" t="s">
        <v>296</v>
      </c>
      <c r="I10779" s="9"/>
    </row>
    <row r="10780" spans="1:9" x14ac:dyDescent="0.25">
      <c r="A10780">
        <v>843030</v>
      </c>
      <c r="B10780">
        <v>7.65</v>
      </c>
      <c r="C10780">
        <v>200</v>
      </c>
      <c r="D10780" s="9">
        <v>42325</v>
      </c>
      <c r="E10780" t="s">
        <v>296</v>
      </c>
      <c r="I10780" s="9"/>
    </row>
    <row r="10781" spans="1:9" x14ac:dyDescent="0.25">
      <c r="A10781">
        <v>844180</v>
      </c>
      <c r="B10781">
        <v>1.623</v>
      </c>
      <c r="C10781">
        <v>720</v>
      </c>
      <c r="D10781" s="9">
        <v>44111</v>
      </c>
      <c r="E10781" t="s">
        <v>296</v>
      </c>
      <c r="I10781" s="9"/>
    </row>
    <row r="10782" spans="1:9" x14ac:dyDescent="0.25">
      <c r="A10782">
        <v>844180</v>
      </c>
      <c r="B10782">
        <v>1.623</v>
      </c>
      <c r="C10782">
        <v>680</v>
      </c>
      <c r="D10782" s="9">
        <v>44060</v>
      </c>
      <c r="E10782" t="s">
        <v>296</v>
      </c>
      <c r="I10782" s="9"/>
    </row>
    <row r="10783" spans="1:9" x14ac:dyDescent="0.25">
      <c r="A10783">
        <v>844180</v>
      </c>
      <c r="B10783">
        <v>1.623</v>
      </c>
      <c r="C10783">
        <v>640</v>
      </c>
      <c r="D10783" s="9">
        <v>43941</v>
      </c>
      <c r="E10783" t="s">
        <v>296</v>
      </c>
      <c r="I10783" s="9"/>
    </row>
    <row r="10784" spans="1:9" x14ac:dyDescent="0.25">
      <c r="A10784">
        <v>844180</v>
      </c>
      <c r="B10784">
        <v>1.623</v>
      </c>
      <c r="C10784">
        <v>720</v>
      </c>
      <c r="D10784" s="9">
        <v>43769</v>
      </c>
      <c r="E10784" t="s">
        <v>296</v>
      </c>
      <c r="I10784" s="9"/>
    </row>
    <row r="10785" spans="1:9" x14ac:dyDescent="0.25">
      <c r="A10785">
        <v>844180</v>
      </c>
      <c r="B10785">
        <v>1.623</v>
      </c>
      <c r="C10785">
        <v>600</v>
      </c>
      <c r="D10785" s="9">
        <v>43598</v>
      </c>
      <c r="E10785" t="s">
        <v>296</v>
      </c>
      <c r="I10785" s="9"/>
    </row>
    <row r="10786" spans="1:9" x14ac:dyDescent="0.25">
      <c r="A10786">
        <v>844180</v>
      </c>
      <c r="B10786">
        <v>1.65</v>
      </c>
      <c r="C10786">
        <v>600</v>
      </c>
      <c r="D10786" s="9">
        <v>43598</v>
      </c>
      <c r="E10786" t="s">
        <v>296</v>
      </c>
      <c r="I10786" s="9"/>
    </row>
    <row r="10787" spans="1:9" x14ac:dyDescent="0.25">
      <c r="A10787">
        <v>844180</v>
      </c>
      <c r="B10787">
        <v>7.5</v>
      </c>
      <c r="C10787">
        <v>350</v>
      </c>
      <c r="D10787" s="9">
        <v>43595</v>
      </c>
      <c r="E10787" t="s">
        <v>295</v>
      </c>
      <c r="I10787" s="9"/>
    </row>
    <row r="10788" spans="1:9" x14ac:dyDescent="0.25">
      <c r="A10788">
        <v>844180</v>
      </c>
      <c r="B10788">
        <v>1.623</v>
      </c>
      <c r="C10788">
        <v>600</v>
      </c>
      <c r="D10788" s="9">
        <v>43473</v>
      </c>
      <c r="E10788" t="s">
        <v>296</v>
      </c>
      <c r="I10788" s="9"/>
    </row>
    <row r="10789" spans="1:9" x14ac:dyDescent="0.25">
      <c r="A10789">
        <v>844180</v>
      </c>
      <c r="B10789">
        <v>1.623</v>
      </c>
      <c r="C10789">
        <v>600</v>
      </c>
      <c r="D10789" s="9">
        <v>43284</v>
      </c>
      <c r="E10789" t="s">
        <v>296</v>
      </c>
      <c r="I10789" s="9"/>
    </row>
    <row r="10790" spans="1:9" x14ac:dyDescent="0.25">
      <c r="A10790">
        <v>844180</v>
      </c>
      <c r="B10790">
        <v>6.19</v>
      </c>
      <c r="C10790">
        <v>800</v>
      </c>
      <c r="D10790" s="9">
        <v>43263</v>
      </c>
      <c r="E10790" t="s">
        <v>295</v>
      </c>
      <c r="I10790" s="9"/>
    </row>
    <row r="10791" spans="1:9" x14ac:dyDescent="0.25">
      <c r="A10791">
        <v>844180</v>
      </c>
      <c r="B10791">
        <v>1.623</v>
      </c>
      <c r="C10791">
        <v>800</v>
      </c>
      <c r="D10791" s="9">
        <v>43228</v>
      </c>
      <c r="E10791" t="s">
        <v>296</v>
      </c>
      <c r="I10791" s="9"/>
    </row>
    <row r="10792" spans="1:9" x14ac:dyDescent="0.25">
      <c r="A10792">
        <v>844180</v>
      </c>
      <c r="B10792">
        <v>1.623</v>
      </c>
      <c r="C10792">
        <v>500</v>
      </c>
      <c r="D10792" s="9">
        <v>43116</v>
      </c>
      <c r="E10792" t="s">
        <v>296</v>
      </c>
      <c r="I10792" s="9"/>
    </row>
    <row r="10793" spans="1:9" x14ac:dyDescent="0.25">
      <c r="A10793">
        <v>844180</v>
      </c>
      <c r="B10793">
        <v>1.623</v>
      </c>
      <c r="C10793">
        <v>500</v>
      </c>
      <c r="D10793" s="9">
        <v>43039</v>
      </c>
      <c r="E10793" t="s">
        <v>296</v>
      </c>
      <c r="I10793" s="9"/>
    </row>
    <row r="10794" spans="1:9" x14ac:dyDescent="0.25">
      <c r="A10794">
        <v>844180</v>
      </c>
      <c r="B10794">
        <v>1.4</v>
      </c>
      <c r="C10794">
        <v>800</v>
      </c>
      <c r="D10794" s="9">
        <v>42573</v>
      </c>
      <c r="E10794" t="s">
        <v>296</v>
      </c>
      <c r="I10794" s="9"/>
    </row>
    <row r="10795" spans="1:9" x14ac:dyDescent="0.25">
      <c r="A10795">
        <v>844180</v>
      </c>
      <c r="B10795">
        <v>1.45</v>
      </c>
      <c r="C10795">
        <v>600</v>
      </c>
      <c r="D10795" s="9">
        <v>42482</v>
      </c>
      <c r="E10795" t="s">
        <v>296</v>
      </c>
      <c r="I10795" s="9"/>
    </row>
    <row r="10796" spans="1:9" x14ac:dyDescent="0.25">
      <c r="A10796">
        <v>844180</v>
      </c>
      <c r="B10796">
        <v>1.52</v>
      </c>
      <c r="C10796">
        <v>800</v>
      </c>
      <c r="D10796" s="9">
        <v>42191</v>
      </c>
      <c r="E10796" t="s">
        <v>296</v>
      </c>
      <c r="I10796" s="9"/>
    </row>
    <row r="10797" spans="1:9" x14ac:dyDescent="0.25">
      <c r="A10797">
        <v>844180</v>
      </c>
      <c r="B10797">
        <v>1.52</v>
      </c>
      <c r="C10797">
        <v>800</v>
      </c>
      <c r="D10797" s="9">
        <v>41982</v>
      </c>
      <c r="E10797" t="s">
        <v>296</v>
      </c>
      <c r="I10797" s="9"/>
    </row>
    <row r="10798" spans="1:9" x14ac:dyDescent="0.25">
      <c r="A10798">
        <v>844180</v>
      </c>
      <c r="B10798">
        <v>1.52</v>
      </c>
      <c r="C10798">
        <v>600</v>
      </c>
      <c r="D10798" s="9">
        <v>41789</v>
      </c>
      <c r="E10798" t="s">
        <v>296</v>
      </c>
      <c r="I10798" s="9"/>
    </row>
    <row r="10799" spans="1:9" x14ac:dyDescent="0.25">
      <c r="A10799">
        <v>844270</v>
      </c>
      <c r="B10799">
        <v>1.55</v>
      </c>
      <c r="C10799">
        <v>420</v>
      </c>
      <c r="D10799" s="9">
        <v>43473</v>
      </c>
      <c r="E10799" t="s">
        <v>296</v>
      </c>
      <c r="I10799" s="9"/>
    </row>
    <row r="10800" spans="1:9" x14ac:dyDescent="0.25">
      <c r="A10800">
        <v>844270</v>
      </c>
      <c r="B10800">
        <v>1.55</v>
      </c>
      <c r="C10800">
        <v>420</v>
      </c>
      <c r="D10800" s="9">
        <v>43391</v>
      </c>
      <c r="E10800" t="s">
        <v>296</v>
      </c>
      <c r="I10800" s="9"/>
    </row>
    <row r="10801" spans="1:9" x14ac:dyDescent="0.25">
      <c r="A10801">
        <v>844270</v>
      </c>
      <c r="B10801">
        <v>1.6</v>
      </c>
      <c r="C10801">
        <v>420</v>
      </c>
      <c r="D10801" s="9">
        <v>43228</v>
      </c>
      <c r="E10801" t="s">
        <v>296</v>
      </c>
      <c r="I10801" s="9"/>
    </row>
    <row r="10802" spans="1:9" x14ac:dyDescent="0.25">
      <c r="A10802">
        <v>844270</v>
      </c>
      <c r="B10802">
        <v>1.6</v>
      </c>
      <c r="C10802">
        <v>504</v>
      </c>
      <c r="D10802" s="9">
        <v>42859</v>
      </c>
      <c r="E10802" t="s">
        <v>296</v>
      </c>
      <c r="I10802" s="9"/>
    </row>
    <row r="10803" spans="1:9" x14ac:dyDescent="0.25">
      <c r="A10803">
        <v>844270</v>
      </c>
      <c r="B10803">
        <v>1.57</v>
      </c>
      <c r="C10803">
        <v>728</v>
      </c>
      <c r="D10803" s="9">
        <v>42397</v>
      </c>
      <c r="E10803" t="s">
        <v>296</v>
      </c>
      <c r="I10803" s="9"/>
    </row>
    <row r="10804" spans="1:9" x14ac:dyDescent="0.25">
      <c r="A10804">
        <v>844270</v>
      </c>
      <c r="B10804">
        <v>1.57</v>
      </c>
      <c r="C10804">
        <v>540</v>
      </c>
      <c r="D10804" s="9">
        <v>42191</v>
      </c>
      <c r="E10804" t="s">
        <v>296</v>
      </c>
      <c r="I10804" s="9"/>
    </row>
    <row r="10805" spans="1:9" x14ac:dyDescent="0.25">
      <c r="A10805">
        <v>844270</v>
      </c>
      <c r="B10805">
        <v>1.57</v>
      </c>
      <c r="C10805">
        <v>720</v>
      </c>
      <c r="D10805" s="9">
        <v>41746</v>
      </c>
      <c r="E10805" t="s">
        <v>296</v>
      </c>
      <c r="I10805" s="9"/>
    </row>
    <row r="10806" spans="1:9" x14ac:dyDescent="0.25">
      <c r="A10806">
        <v>844270</v>
      </c>
      <c r="B10806">
        <v>1.57</v>
      </c>
      <c r="C10806">
        <v>612</v>
      </c>
      <c r="D10806" s="9">
        <v>41682</v>
      </c>
      <c r="E10806" t="s">
        <v>296</v>
      </c>
      <c r="I10806" s="9"/>
    </row>
    <row r="10807" spans="1:9" x14ac:dyDescent="0.25">
      <c r="A10807">
        <v>844270</v>
      </c>
      <c r="B10807">
        <v>1.56</v>
      </c>
      <c r="C10807">
        <v>720</v>
      </c>
      <c r="D10807" s="9">
        <v>41484</v>
      </c>
      <c r="E10807" t="s">
        <v>296</v>
      </c>
      <c r="I10807" s="9"/>
    </row>
    <row r="10808" spans="1:9" x14ac:dyDescent="0.25">
      <c r="A10808">
        <v>844290</v>
      </c>
      <c r="B10808">
        <v>2</v>
      </c>
      <c r="C10808">
        <v>1080</v>
      </c>
      <c r="D10808" s="9">
        <v>44140</v>
      </c>
      <c r="E10808" t="s">
        <v>296</v>
      </c>
      <c r="I10808" s="9"/>
    </row>
    <row r="10809" spans="1:9" x14ac:dyDescent="0.25">
      <c r="A10809">
        <v>844290</v>
      </c>
      <c r="B10809">
        <v>10.93</v>
      </c>
      <c r="C10809">
        <v>24</v>
      </c>
      <c r="D10809" s="9">
        <v>44133</v>
      </c>
      <c r="E10809" t="s">
        <v>295</v>
      </c>
      <c r="I10809" s="9"/>
    </row>
    <row r="10810" spans="1:9" x14ac:dyDescent="0.25">
      <c r="A10810">
        <v>844290</v>
      </c>
      <c r="B10810">
        <v>1.756</v>
      </c>
      <c r="C10810">
        <v>960</v>
      </c>
      <c r="D10810" s="9">
        <v>44060</v>
      </c>
      <c r="E10810" t="s">
        <v>296</v>
      </c>
      <c r="I10810" s="9"/>
    </row>
    <row r="10811" spans="1:9" x14ac:dyDescent="0.25">
      <c r="A10811">
        <v>844290</v>
      </c>
      <c r="B10811">
        <v>1.756</v>
      </c>
      <c r="C10811">
        <v>900</v>
      </c>
      <c r="D10811" s="9">
        <v>43941</v>
      </c>
      <c r="E10811" t="s">
        <v>296</v>
      </c>
      <c r="I10811" s="9"/>
    </row>
    <row r="10812" spans="1:9" x14ac:dyDescent="0.25">
      <c r="A10812">
        <v>844290</v>
      </c>
      <c r="B10812">
        <v>1.756</v>
      </c>
      <c r="C10812">
        <v>900</v>
      </c>
      <c r="D10812" s="9">
        <v>43769</v>
      </c>
      <c r="E10812" t="s">
        <v>296</v>
      </c>
      <c r="I10812" s="9"/>
    </row>
    <row r="10813" spans="1:9" x14ac:dyDescent="0.25">
      <c r="A10813">
        <v>844290</v>
      </c>
      <c r="B10813">
        <v>1.85</v>
      </c>
      <c r="C10813">
        <v>1200</v>
      </c>
      <c r="D10813" s="9">
        <v>43473</v>
      </c>
      <c r="E10813" t="s">
        <v>296</v>
      </c>
      <c r="I10813" s="9"/>
    </row>
    <row r="10814" spans="1:9" x14ac:dyDescent="0.25">
      <c r="A10814">
        <v>844290</v>
      </c>
      <c r="B10814">
        <v>1.85</v>
      </c>
      <c r="C10814">
        <v>1200</v>
      </c>
      <c r="D10814" s="9">
        <v>43391</v>
      </c>
      <c r="E10814" t="s">
        <v>296</v>
      </c>
      <c r="I10814" s="9"/>
    </row>
    <row r="10815" spans="1:9" x14ac:dyDescent="0.25">
      <c r="A10815">
        <v>844290</v>
      </c>
      <c r="B10815">
        <v>1.992</v>
      </c>
      <c r="C10815">
        <v>1200</v>
      </c>
      <c r="D10815" s="9">
        <v>43228</v>
      </c>
      <c r="E10815" t="s">
        <v>296</v>
      </c>
      <c r="I10815" s="9"/>
    </row>
    <row r="10816" spans="1:9" x14ac:dyDescent="0.25">
      <c r="A10816">
        <v>844290</v>
      </c>
      <c r="B10816">
        <v>1.992</v>
      </c>
      <c r="C10816">
        <v>1440</v>
      </c>
      <c r="D10816" s="9">
        <v>43116</v>
      </c>
      <c r="E10816" t="s">
        <v>296</v>
      </c>
      <c r="I10816" s="9"/>
    </row>
    <row r="10817" spans="1:9" x14ac:dyDescent="0.25">
      <c r="A10817">
        <v>844290</v>
      </c>
      <c r="B10817">
        <v>1.992</v>
      </c>
      <c r="C10817">
        <v>960</v>
      </c>
      <c r="D10817" s="9">
        <v>43039</v>
      </c>
      <c r="E10817" t="s">
        <v>296</v>
      </c>
      <c r="I10817" s="9"/>
    </row>
    <row r="10818" spans="1:9" x14ac:dyDescent="0.25">
      <c r="A10818">
        <v>844290</v>
      </c>
      <c r="B10818">
        <v>1.82</v>
      </c>
      <c r="C10818">
        <v>960</v>
      </c>
      <c r="D10818" s="9">
        <v>42976</v>
      </c>
      <c r="E10818" t="s">
        <v>296</v>
      </c>
      <c r="I10818" s="9"/>
    </row>
    <row r="10819" spans="1:9" x14ac:dyDescent="0.25">
      <c r="A10819">
        <v>844290</v>
      </c>
      <c r="B10819">
        <v>1.82</v>
      </c>
      <c r="C10819">
        <v>1200</v>
      </c>
      <c r="D10819" s="9">
        <v>42781</v>
      </c>
      <c r="E10819" t="s">
        <v>296</v>
      </c>
      <c r="I10819" s="9"/>
    </row>
    <row r="10820" spans="1:9" x14ac:dyDescent="0.25">
      <c r="A10820">
        <v>844290</v>
      </c>
      <c r="B10820">
        <v>1.87</v>
      </c>
      <c r="C10820">
        <v>576</v>
      </c>
      <c r="D10820" s="9">
        <v>42573</v>
      </c>
      <c r="E10820" t="s">
        <v>296</v>
      </c>
      <c r="I10820" s="9"/>
    </row>
    <row r="10821" spans="1:9" x14ac:dyDescent="0.25">
      <c r="A10821">
        <v>844290</v>
      </c>
      <c r="B10821">
        <v>1.9</v>
      </c>
      <c r="C10821">
        <v>960</v>
      </c>
      <c r="D10821" s="9">
        <v>42482</v>
      </c>
      <c r="E10821" t="s">
        <v>296</v>
      </c>
      <c r="I10821" s="9"/>
    </row>
    <row r="10822" spans="1:9" x14ac:dyDescent="0.25">
      <c r="A10822">
        <v>844290</v>
      </c>
      <c r="B10822">
        <v>1.96</v>
      </c>
      <c r="C10822">
        <v>1080</v>
      </c>
      <c r="D10822" s="9">
        <v>42397</v>
      </c>
      <c r="E10822" t="s">
        <v>296</v>
      </c>
      <c r="I10822" s="9"/>
    </row>
    <row r="10823" spans="1:9" x14ac:dyDescent="0.25">
      <c r="A10823">
        <v>844290</v>
      </c>
      <c r="B10823">
        <v>1.96</v>
      </c>
      <c r="C10823">
        <v>720</v>
      </c>
      <c r="D10823" s="9">
        <v>42299</v>
      </c>
      <c r="E10823" t="s">
        <v>296</v>
      </c>
      <c r="I10823" s="9"/>
    </row>
    <row r="10824" spans="1:9" x14ac:dyDescent="0.25">
      <c r="A10824">
        <v>844290</v>
      </c>
      <c r="B10824">
        <v>7.8</v>
      </c>
      <c r="C10824">
        <v>480</v>
      </c>
      <c r="D10824" s="9">
        <v>42269</v>
      </c>
      <c r="E10824" t="s">
        <v>295</v>
      </c>
      <c r="I10824" s="9"/>
    </row>
    <row r="10825" spans="1:9" x14ac:dyDescent="0.25">
      <c r="A10825">
        <v>844290</v>
      </c>
      <c r="B10825">
        <v>1.96</v>
      </c>
      <c r="C10825">
        <v>480</v>
      </c>
      <c r="D10825" s="9">
        <v>42229</v>
      </c>
      <c r="E10825" t="s">
        <v>296</v>
      </c>
      <c r="I10825" s="9"/>
    </row>
    <row r="10826" spans="1:9" x14ac:dyDescent="0.25">
      <c r="A10826">
        <v>844290</v>
      </c>
      <c r="B10826">
        <v>1.96</v>
      </c>
      <c r="C10826">
        <v>480</v>
      </c>
      <c r="D10826" s="9">
        <v>42191</v>
      </c>
      <c r="E10826" t="s">
        <v>296</v>
      </c>
      <c r="I10826" s="9"/>
    </row>
    <row r="10827" spans="1:9" x14ac:dyDescent="0.25">
      <c r="A10827">
        <v>844290</v>
      </c>
      <c r="B10827">
        <v>1.96</v>
      </c>
      <c r="C10827">
        <v>720</v>
      </c>
      <c r="D10827" s="9">
        <v>42031</v>
      </c>
      <c r="E10827" t="s">
        <v>296</v>
      </c>
      <c r="I10827" s="9"/>
    </row>
    <row r="10828" spans="1:9" x14ac:dyDescent="0.25">
      <c r="A10828">
        <v>844290</v>
      </c>
      <c r="B10828">
        <v>6.88</v>
      </c>
      <c r="C10828">
        <v>720</v>
      </c>
      <c r="D10828" s="9">
        <v>42011</v>
      </c>
      <c r="E10828" t="s">
        <v>295</v>
      </c>
      <c r="I10828" s="9"/>
    </row>
    <row r="10829" spans="1:9" x14ac:dyDescent="0.25">
      <c r="A10829">
        <v>844290</v>
      </c>
      <c r="B10829">
        <v>1.95</v>
      </c>
      <c r="C10829">
        <v>720</v>
      </c>
      <c r="D10829" s="9">
        <v>41961</v>
      </c>
      <c r="E10829" t="s">
        <v>296</v>
      </c>
      <c r="I10829" s="9"/>
    </row>
    <row r="10830" spans="1:9" x14ac:dyDescent="0.25">
      <c r="A10830">
        <v>844290</v>
      </c>
      <c r="B10830">
        <v>1.95</v>
      </c>
      <c r="C10830">
        <v>960</v>
      </c>
      <c r="D10830" s="9">
        <v>41746</v>
      </c>
      <c r="E10830" t="s">
        <v>296</v>
      </c>
      <c r="I10830" s="9"/>
    </row>
    <row r="10831" spans="1:9" x14ac:dyDescent="0.25">
      <c r="A10831">
        <v>844290</v>
      </c>
      <c r="B10831">
        <v>1.95</v>
      </c>
      <c r="C10831">
        <v>840</v>
      </c>
      <c r="D10831" s="9">
        <v>41647</v>
      </c>
      <c r="E10831" t="s">
        <v>296</v>
      </c>
      <c r="I10831" s="9"/>
    </row>
    <row r="10832" spans="1:9" x14ac:dyDescent="0.25">
      <c r="A10832">
        <v>844290</v>
      </c>
      <c r="B10832">
        <v>1.95</v>
      </c>
      <c r="C10832">
        <v>408</v>
      </c>
      <c r="D10832" s="9">
        <v>41571</v>
      </c>
      <c r="E10832" t="s">
        <v>296</v>
      </c>
      <c r="I10832" s="9"/>
    </row>
    <row r="10833" spans="1:9" x14ac:dyDescent="0.25">
      <c r="A10833">
        <v>844290</v>
      </c>
      <c r="B10833">
        <v>1.93</v>
      </c>
      <c r="C10833">
        <v>576</v>
      </c>
      <c r="D10833" s="9">
        <v>41571</v>
      </c>
      <c r="E10833" t="s">
        <v>296</v>
      </c>
      <c r="I10833" s="9"/>
    </row>
    <row r="10834" spans="1:9" x14ac:dyDescent="0.25">
      <c r="A10834">
        <v>844290</v>
      </c>
      <c r="B10834">
        <v>1.95</v>
      </c>
      <c r="C10834">
        <v>576</v>
      </c>
      <c r="D10834" s="9">
        <v>41484</v>
      </c>
      <c r="E10834" t="s">
        <v>296</v>
      </c>
      <c r="I10834" s="9"/>
    </row>
    <row r="10835" spans="1:9" x14ac:dyDescent="0.25">
      <c r="A10835">
        <v>844290</v>
      </c>
      <c r="B10835">
        <v>1.95</v>
      </c>
      <c r="C10835">
        <v>576</v>
      </c>
      <c r="D10835" s="9">
        <v>41330</v>
      </c>
      <c r="E10835" t="s">
        <v>296</v>
      </c>
      <c r="I10835" s="9"/>
    </row>
    <row r="10836" spans="1:9" x14ac:dyDescent="0.25">
      <c r="A10836">
        <v>844292</v>
      </c>
      <c r="B10836">
        <v>1.72</v>
      </c>
      <c r="C10836">
        <v>1000</v>
      </c>
      <c r="D10836" s="9">
        <v>43598</v>
      </c>
      <c r="E10836" t="s">
        <v>296</v>
      </c>
      <c r="I10836" s="9"/>
    </row>
    <row r="10837" spans="1:9" x14ac:dyDescent="0.25">
      <c r="A10837">
        <v>844292</v>
      </c>
      <c r="B10837">
        <v>1.72</v>
      </c>
      <c r="C10837">
        <v>1000</v>
      </c>
      <c r="D10837" s="9">
        <v>43391</v>
      </c>
      <c r="E10837" t="s">
        <v>296</v>
      </c>
      <c r="I10837" s="9"/>
    </row>
    <row r="10838" spans="1:9" x14ac:dyDescent="0.25">
      <c r="A10838">
        <v>844292</v>
      </c>
      <c r="B10838">
        <v>1.78</v>
      </c>
      <c r="C10838">
        <v>1120</v>
      </c>
      <c r="D10838" s="9">
        <v>42859</v>
      </c>
      <c r="E10838" t="s">
        <v>296</v>
      </c>
      <c r="I10838" s="9"/>
    </row>
    <row r="10839" spans="1:9" x14ac:dyDescent="0.25">
      <c r="A10839">
        <v>844292</v>
      </c>
      <c r="B10839">
        <v>1.35</v>
      </c>
      <c r="C10839">
        <v>1000</v>
      </c>
      <c r="D10839" s="9">
        <v>42781</v>
      </c>
      <c r="E10839" t="s">
        <v>296</v>
      </c>
      <c r="I10839" s="9"/>
    </row>
    <row r="10840" spans="1:9" x14ac:dyDescent="0.25">
      <c r="A10840">
        <v>844302</v>
      </c>
      <c r="B10840">
        <v>1.6</v>
      </c>
      <c r="C10840">
        <v>560</v>
      </c>
      <c r="D10840" s="9">
        <v>43972</v>
      </c>
      <c r="E10840" t="s">
        <v>296</v>
      </c>
      <c r="I10840" s="9"/>
    </row>
    <row r="10841" spans="1:9" x14ac:dyDescent="0.25">
      <c r="A10841">
        <v>844302</v>
      </c>
      <c r="B10841">
        <v>1.6</v>
      </c>
      <c r="C10841">
        <v>640</v>
      </c>
      <c r="D10841" s="9">
        <v>43483</v>
      </c>
      <c r="E10841" t="s">
        <v>296</v>
      </c>
      <c r="I10841" s="9"/>
    </row>
    <row r="10842" spans="1:9" x14ac:dyDescent="0.25">
      <c r="A10842">
        <v>844302</v>
      </c>
      <c r="B10842">
        <v>1.1499999999999999</v>
      </c>
      <c r="C10842">
        <v>1080</v>
      </c>
      <c r="D10842" s="9">
        <v>42586</v>
      </c>
      <c r="E10842" t="s">
        <v>296</v>
      </c>
      <c r="I10842" s="9"/>
    </row>
    <row r="10843" spans="1:9" x14ac:dyDescent="0.25">
      <c r="A10843">
        <v>844302</v>
      </c>
      <c r="B10843">
        <v>1.8540000000000001</v>
      </c>
      <c r="C10843">
        <v>400</v>
      </c>
      <c r="D10843" s="9">
        <v>42508</v>
      </c>
      <c r="E10843" t="s">
        <v>296</v>
      </c>
      <c r="I10843" s="9"/>
    </row>
    <row r="10844" spans="1:9" x14ac:dyDescent="0.25">
      <c r="A10844">
        <v>844302</v>
      </c>
      <c r="B10844">
        <v>7.22</v>
      </c>
      <c r="C10844">
        <v>200</v>
      </c>
      <c r="D10844" s="9">
        <v>42508</v>
      </c>
      <c r="E10844" t="s">
        <v>295</v>
      </c>
      <c r="I10844" s="9"/>
    </row>
    <row r="10845" spans="1:9" x14ac:dyDescent="0.25">
      <c r="A10845">
        <v>844302</v>
      </c>
      <c r="B10845">
        <v>1.8540000000000001</v>
      </c>
      <c r="C10845">
        <v>480</v>
      </c>
      <c r="D10845" s="9">
        <v>42177</v>
      </c>
      <c r="E10845" t="s">
        <v>296</v>
      </c>
      <c r="I10845" s="9"/>
    </row>
    <row r="10846" spans="1:9" x14ac:dyDescent="0.25">
      <c r="A10846">
        <v>844302</v>
      </c>
      <c r="B10846">
        <v>1.8540000000000001</v>
      </c>
      <c r="C10846">
        <v>720</v>
      </c>
      <c r="D10846" s="9">
        <v>41782</v>
      </c>
      <c r="E10846" t="s">
        <v>296</v>
      </c>
      <c r="I10846" s="9"/>
    </row>
    <row r="10847" spans="1:9" x14ac:dyDescent="0.25">
      <c r="A10847">
        <v>844302</v>
      </c>
      <c r="B10847">
        <v>1.835</v>
      </c>
      <c r="C10847">
        <v>720</v>
      </c>
      <c r="D10847" s="9">
        <v>41435</v>
      </c>
      <c r="E10847" t="s">
        <v>296</v>
      </c>
      <c r="I10847" s="9"/>
    </row>
    <row r="10848" spans="1:9" x14ac:dyDescent="0.25">
      <c r="A10848">
        <v>850010</v>
      </c>
      <c r="B10848">
        <v>1.32</v>
      </c>
      <c r="C10848">
        <v>600</v>
      </c>
      <c r="D10848" s="9">
        <v>43760</v>
      </c>
      <c r="E10848" t="s">
        <v>296</v>
      </c>
      <c r="I10848" s="9"/>
    </row>
    <row r="10849" spans="1:9" x14ac:dyDescent="0.25">
      <c r="A10849">
        <v>850010</v>
      </c>
      <c r="B10849">
        <v>1.38</v>
      </c>
      <c r="C10849">
        <v>600</v>
      </c>
      <c r="D10849" s="9">
        <v>43284</v>
      </c>
      <c r="E10849" t="s">
        <v>296</v>
      </c>
      <c r="I10849" s="9"/>
    </row>
    <row r="10850" spans="1:9" x14ac:dyDescent="0.25">
      <c r="A10850">
        <v>850010</v>
      </c>
      <c r="B10850">
        <v>1.3</v>
      </c>
      <c r="C10850">
        <v>800</v>
      </c>
      <c r="D10850" s="9">
        <v>42873</v>
      </c>
      <c r="E10850" t="s">
        <v>296</v>
      </c>
      <c r="I10850" s="9"/>
    </row>
    <row r="10851" spans="1:9" x14ac:dyDescent="0.25">
      <c r="A10851">
        <v>850010</v>
      </c>
      <c r="B10851">
        <v>1.3</v>
      </c>
      <c r="C10851">
        <v>1700</v>
      </c>
      <c r="D10851" s="9">
        <v>42530</v>
      </c>
      <c r="E10851" t="s">
        <v>296</v>
      </c>
      <c r="I10851" s="9"/>
    </row>
    <row r="10852" spans="1:9" x14ac:dyDescent="0.25">
      <c r="A10852">
        <v>850010</v>
      </c>
      <c r="B10852">
        <v>1.42</v>
      </c>
      <c r="C10852">
        <v>600</v>
      </c>
      <c r="D10852" s="9">
        <v>42325</v>
      </c>
      <c r="E10852" t="s">
        <v>296</v>
      </c>
      <c r="I10852" s="9"/>
    </row>
    <row r="10853" spans="1:9" x14ac:dyDescent="0.25">
      <c r="A10853">
        <v>850010</v>
      </c>
      <c r="B10853">
        <v>1.42</v>
      </c>
      <c r="C10853">
        <v>600</v>
      </c>
      <c r="D10853" s="9">
        <v>42270</v>
      </c>
      <c r="E10853" t="s">
        <v>296</v>
      </c>
      <c r="I10853" s="9"/>
    </row>
    <row r="10854" spans="1:9" x14ac:dyDescent="0.25">
      <c r="A10854">
        <v>850010</v>
      </c>
      <c r="B10854">
        <v>1.42</v>
      </c>
      <c r="C10854">
        <v>1000</v>
      </c>
      <c r="D10854" s="9">
        <v>41961</v>
      </c>
      <c r="E10854" t="s">
        <v>296</v>
      </c>
      <c r="I10854" s="9"/>
    </row>
    <row r="10855" spans="1:9" x14ac:dyDescent="0.25">
      <c r="A10855">
        <v>850010</v>
      </c>
      <c r="B10855">
        <v>1.42</v>
      </c>
      <c r="C10855">
        <v>1200</v>
      </c>
      <c r="D10855" s="9">
        <v>41877</v>
      </c>
      <c r="E10855" t="s">
        <v>296</v>
      </c>
      <c r="I10855" s="9"/>
    </row>
    <row r="10856" spans="1:9" x14ac:dyDescent="0.25">
      <c r="A10856">
        <v>850010</v>
      </c>
      <c r="B10856">
        <v>1.42</v>
      </c>
      <c r="C10856">
        <v>450</v>
      </c>
      <c r="D10856" s="9">
        <v>41718</v>
      </c>
      <c r="E10856" t="s">
        <v>296</v>
      </c>
      <c r="I10856" s="9"/>
    </row>
    <row r="10857" spans="1:9" x14ac:dyDescent="0.25">
      <c r="A10857">
        <v>850010</v>
      </c>
      <c r="B10857">
        <v>1.42</v>
      </c>
      <c r="C10857">
        <v>450</v>
      </c>
      <c r="D10857" s="9">
        <v>41718</v>
      </c>
      <c r="E10857" t="s">
        <v>296</v>
      </c>
      <c r="I10857" s="9"/>
    </row>
    <row r="10858" spans="1:9" x14ac:dyDescent="0.25">
      <c r="A10858">
        <v>850020</v>
      </c>
      <c r="B10858">
        <v>2.15</v>
      </c>
      <c r="C10858">
        <v>300</v>
      </c>
      <c r="D10858" s="9">
        <v>43760</v>
      </c>
      <c r="E10858" t="s">
        <v>296</v>
      </c>
      <c r="I10858" s="9"/>
    </row>
    <row r="10859" spans="1:9" x14ac:dyDescent="0.25">
      <c r="A10859">
        <v>850020</v>
      </c>
      <c r="B10859">
        <v>2.15</v>
      </c>
      <c r="C10859">
        <v>300</v>
      </c>
      <c r="D10859" s="9">
        <v>43284</v>
      </c>
      <c r="E10859" t="s">
        <v>296</v>
      </c>
      <c r="I10859" s="9"/>
    </row>
    <row r="10860" spans="1:9" x14ac:dyDescent="0.25">
      <c r="A10860">
        <v>850020</v>
      </c>
      <c r="B10860">
        <v>2.15</v>
      </c>
      <c r="C10860">
        <v>375</v>
      </c>
      <c r="D10860" s="9">
        <v>42873</v>
      </c>
      <c r="E10860" t="s">
        <v>296</v>
      </c>
      <c r="I10860" s="9"/>
    </row>
    <row r="10861" spans="1:9" x14ac:dyDescent="0.25">
      <c r="A10861">
        <v>850020</v>
      </c>
      <c r="B10861">
        <v>2.4</v>
      </c>
      <c r="C10861">
        <v>330</v>
      </c>
      <c r="D10861" s="9">
        <v>42530</v>
      </c>
      <c r="E10861" t="s">
        <v>296</v>
      </c>
      <c r="I10861" s="9"/>
    </row>
    <row r="10862" spans="1:9" x14ac:dyDescent="0.25">
      <c r="A10862">
        <v>850020</v>
      </c>
      <c r="B10862">
        <v>2.5299999999999998</v>
      </c>
      <c r="C10862">
        <v>330</v>
      </c>
      <c r="D10862" s="9">
        <v>42270</v>
      </c>
      <c r="E10862" t="s">
        <v>296</v>
      </c>
      <c r="I10862" s="9"/>
    </row>
    <row r="10863" spans="1:9" x14ac:dyDescent="0.25">
      <c r="A10863">
        <v>850020</v>
      </c>
      <c r="B10863">
        <v>2.5299999999999998</v>
      </c>
      <c r="C10863">
        <v>600</v>
      </c>
      <c r="D10863" s="9">
        <v>41877</v>
      </c>
      <c r="E10863" t="s">
        <v>296</v>
      </c>
      <c r="I10863" s="9"/>
    </row>
    <row r="10864" spans="1:9" x14ac:dyDescent="0.25">
      <c r="A10864">
        <v>850020</v>
      </c>
      <c r="B10864">
        <v>2.5310000000000001</v>
      </c>
      <c r="C10864">
        <v>300</v>
      </c>
      <c r="D10864" s="9">
        <v>41718</v>
      </c>
      <c r="E10864" t="s">
        <v>296</v>
      </c>
      <c r="I10864" s="9"/>
    </row>
    <row r="10865" spans="1:9" x14ac:dyDescent="0.25">
      <c r="A10865">
        <v>850101</v>
      </c>
      <c r="B10865">
        <v>1.1499999999999999</v>
      </c>
      <c r="C10865">
        <v>480</v>
      </c>
      <c r="D10865" s="9">
        <v>43972</v>
      </c>
      <c r="E10865" t="s">
        <v>296</v>
      </c>
      <c r="I10865" s="9"/>
    </row>
    <row r="10866" spans="1:9" x14ac:dyDescent="0.25">
      <c r="A10866">
        <v>850101</v>
      </c>
      <c r="B10866">
        <v>1.1499999999999999</v>
      </c>
      <c r="C10866">
        <v>420</v>
      </c>
      <c r="D10866" s="9">
        <v>43483</v>
      </c>
      <c r="E10866" t="s">
        <v>296</v>
      </c>
      <c r="I10866" s="9"/>
    </row>
    <row r="10867" spans="1:9" x14ac:dyDescent="0.25">
      <c r="A10867">
        <v>850101</v>
      </c>
      <c r="B10867">
        <v>1</v>
      </c>
      <c r="C10867">
        <v>320</v>
      </c>
      <c r="D10867" s="9">
        <v>43340</v>
      </c>
      <c r="E10867" t="s">
        <v>296</v>
      </c>
      <c r="I10867" s="9"/>
    </row>
    <row r="10868" spans="1:9" x14ac:dyDescent="0.25">
      <c r="A10868">
        <v>850101</v>
      </c>
      <c r="B10868">
        <v>1.2350000000000001</v>
      </c>
      <c r="C10868">
        <v>200</v>
      </c>
      <c r="D10868" s="9">
        <v>42676</v>
      </c>
      <c r="E10868" t="s">
        <v>297</v>
      </c>
      <c r="I10868" s="9"/>
    </row>
    <row r="10869" spans="1:9" x14ac:dyDescent="0.25">
      <c r="A10869">
        <v>850101</v>
      </c>
      <c r="B10869">
        <v>1.1830000000000001</v>
      </c>
      <c r="C10869">
        <v>120</v>
      </c>
      <c r="D10869" s="9">
        <v>42285</v>
      </c>
      <c r="E10869" t="s">
        <v>297</v>
      </c>
      <c r="I10869" s="9"/>
    </row>
    <row r="10870" spans="1:9" x14ac:dyDescent="0.25">
      <c r="A10870">
        <v>850101</v>
      </c>
      <c r="B10870">
        <v>1.3</v>
      </c>
      <c r="C10870">
        <v>180</v>
      </c>
      <c r="D10870" s="9">
        <v>42040</v>
      </c>
      <c r="E10870" t="s">
        <v>296</v>
      </c>
      <c r="I10870" s="9"/>
    </row>
    <row r="10871" spans="1:9" x14ac:dyDescent="0.25">
      <c r="A10871">
        <v>850101</v>
      </c>
      <c r="B10871">
        <v>1.3</v>
      </c>
      <c r="C10871">
        <v>120</v>
      </c>
      <c r="D10871" s="9">
        <v>41744</v>
      </c>
      <c r="E10871" t="s">
        <v>296</v>
      </c>
      <c r="I10871" s="9"/>
    </row>
    <row r="10872" spans="1:9" x14ac:dyDescent="0.25">
      <c r="A10872">
        <v>850102</v>
      </c>
      <c r="B10872">
        <v>2.25</v>
      </c>
      <c r="C10872">
        <v>280</v>
      </c>
      <c r="D10872" s="9">
        <v>43972</v>
      </c>
      <c r="E10872" t="s">
        <v>296</v>
      </c>
      <c r="I10872" s="9"/>
    </row>
    <row r="10873" spans="1:9" x14ac:dyDescent="0.25">
      <c r="A10873">
        <v>850102</v>
      </c>
      <c r="B10873">
        <v>2.25</v>
      </c>
      <c r="C10873">
        <v>200</v>
      </c>
      <c r="D10873" s="9">
        <v>43483</v>
      </c>
      <c r="E10873" t="s">
        <v>296</v>
      </c>
      <c r="I10873" s="9"/>
    </row>
    <row r="10874" spans="1:9" x14ac:dyDescent="0.25">
      <c r="A10874">
        <v>850102</v>
      </c>
      <c r="B10874">
        <v>2.11</v>
      </c>
      <c r="C10874">
        <v>120</v>
      </c>
      <c r="D10874" s="9">
        <v>43340</v>
      </c>
      <c r="E10874" t="s">
        <v>296</v>
      </c>
      <c r="I10874" s="9"/>
    </row>
    <row r="10875" spans="1:9" x14ac:dyDescent="0.25">
      <c r="A10875">
        <v>850102</v>
      </c>
      <c r="B10875">
        <v>1.9390000000000001</v>
      </c>
      <c r="C10875">
        <v>72</v>
      </c>
      <c r="D10875" s="9">
        <v>42860</v>
      </c>
      <c r="E10875" t="s">
        <v>296</v>
      </c>
      <c r="I10875" s="9"/>
    </row>
    <row r="10876" spans="1:9" x14ac:dyDescent="0.25">
      <c r="A10876">
        <v>850102</v>
      </c>
      <c r="B10876">
        <v>2.2749999999999999</v>
      </c>
      <c r="C10876">
        <v>72</v>
      </c>
      <c r="D10876" s="9">
        <v>42676</v>
      </c>
      <c r="E10876" t="s">
        <v>297</v>
      </c>
      <c r="I10876" s="9"/>
    </row>
    <row r="10877" spans="1:9" x14ac:dyDescent="0.25">
      <c r="A10877">
        <v>850102</v>
      </c>
      <c r="B10877">
        <v>2.2749999999999999</v>
      </c>
      <c r="C10877">
        <v>120</v>
      </c>
      <c r="D10877" s="9">
        <v>42285</v>
      </c>
      <c r="E10877" t="s">
        <v>297</v>
      </c>
      <c r="I10877" s="9"/>
    </row>
    <row r="10878" spans="1:9" x14ac:dyDescent="0.25">
      <c r="A10878">
        <v>850102</v>
      </c>
      <c r="B10878">
        <v>2.5</v>
      </c>
      <c r="C10878">
        <v>192</v>
      </c>
      <c r="D10878" s="9">
        <v>42040</v>
      </c>
      <c r="E10878" t="s">
        <v>296</v>
      </c>
      <c r="I10878" s="9"/>
    </row>
    <row r="10879" spans="1:9" x14ac:dyDescent="0.25">
      <c r="A10879">
        <v>850102</v>
      </c>
      <c r="B10879">
        <v>2.5</v>
      </c>
      <c r="C10879">
        <v>84</v>
      </c>
      <c r="D10879" s="9">
        <v>41744</v>
      </c>
      <c r="E10879" t="s">
        <v>296</v>
      </c>
      <c r="I10879" s="9"/>
    </row>
    <row r="10880" spans="1:9" x14ac:dyDescent="0.25">
      <c r="A10880">
        <v>870130</v>
      </c>
      <c r="B10880">
        <v>0.37</v>
      </c>
      <c r="C10880">
        <v>1920</v>
      </c>
      <c r="D10880" s="9">
        <v>44013</v>
      </c>
      <c r="E10880" t="s">
        <v>296</v>
      </c>
      <c r="I10880" s="9"/>
    </row>
    <row r="10881" spans="1:9" x14ac:dyDescent="0.25">
      <c r="A10881">
        <v>870130</v>
      </c>
      <c r="B10881">
        <v>0.37</v>
      </c>
      <c r="C10881">
        <v>2080</v>
      </c>
      <c r="D10881" s="9">
        <v>43648</v>
      </c>
      <c r="E10881" t="s">
        <v>296</v>
      </c>
      <c r="I10881" s="9"/>
    </row>
    <row r="10882" spans="1:9" x14ac:dyDescent="0.25">
      <c r="A10882">
        <v>870130</v>
      </c>
      <c r="B10882">
        <v>1.31</v>
      </c>
      <c r="C10882">
        <v>1200</v>
      </c>
      <c r="D10882" s="9">
        <v>43230</v>
      </c>
      <c r="E10882" t="s">
        <v>295</v>
      </c>
      <c r="I10882" s="9"/>
    </row>
    <row r="10883" spans="1:9" x14ac:dyDescent="0.25">
      <c r="A10883">
        <v>870130</v>
      </c>
      <c r="B10883">
        <v>0.36</v>
      </c>
      <c r="C10883">
        <v>2640</v>
      </c>
      <c r="D10883" s="9">
        <v>43199</v>
      </c>
      <c r="E10883" t="s">
        <v>296</v>
      </c>
      <c r="I10883" s="9"/>
    </row>
    <row r="10884" spans="1:9" x14ac:dyDescent="0.25">
      <c r="A10884">
        <v>870130</v>
      </c>
      <c r="B10884">
        <v>0.33</v>
      </c>
      <c r="C10884">
        <v>1920</v>
      </c>
      <c r="D10884" s="9">
        <v>42530</v>
      </c>
      <c r="E10884" t="s">
        <v>296</v>
      </c>
      <c r="I10884" s="9"/>
    </row>
    <row r="10885" spans="1:9" x14ac:dyDescent="0.25">
      <c r="A10885">
        <v>870130</v>
      </c>
      <c r="B10885">
        <v>0.312</v>
      </c>
      <c r="C10885">
        <v>1920</v>
      </c>
      <c r="D10885" s="9">
        <v>41982</v>
      </c>
      <c r="E10885" t="s">
        <v>296</v>
      </c>
      <c r="I10885" s="9"/>
    </row>
    <row r="10886" spans="1:9" x14ac:dyDescent="0.25">
      <c r="A10886">
        <v>870130</v>
      </c>
      <c r="B10886">
        <v>0.3</v>
      </c>
      <c r="C10886">
        <v>1920</v>
      </c>
      <c r="D10886" s="9">
        <v>41682</v>
      </c>
      <c r="E10886" t="s">
        <v>296</v>
      </c>
      <c r="I10886" s="9"/>
    </row>
    <row r="10887" spans="1:9" x14ac:dyDescent="0.25">
      <c r="A10887">
        <v>870130</v>
      </c>
      <c r="B10887">
        <v>0.312</v>
      </c>
      <c r="C10887">
        <v>1920</v>
      </c>
      <c r="D10887" s="9">
        <v>41571</v>
      </c>
      <c r="E10887" t="s">
        <v>296</v>
      </c>
      <c r="I10887" s="9"/>
    </row>
    <row r="10888" spans="1:9" x14ac:dyDescent="0.25">
      <c r="A10888">
        <v>870210</v>
      </c>
      <c r="B10888">
        <v>0.98</v>
      </c>
      <c r="C10888">
        <v>768</v>
      </c>
      <c r="D10888" s="9">
        <v>43600</v>
      </c>
      <c r="E10888" t="s">
        <v>296</v>
      </c>
      <c r="I10888" s="9"/>
    </row>
    <row r="10889" spans="1:9" x14ac:dyDescent="0.25">
      <c r="A10889">
        <v>870210</v>
      </c>
      <c r="B10889">
        <v>1.35</v>
      </c>
      <c r="C10889">
        <v>1008</v>
      </c>
      <c r="D10889" s="9">
        <v>42586</v>
      </c>
      <c r="E10889" t="s">
        <v>296</v>
      </c>
      <c r="I10889" s="9"/>
    </row>
    <row r="10890" spans="1:9" x14ac:dyDescent="0.25">
      <c r="A10890">
        <v>870261</v>
      </c>
      <c r="B10890">
        <v>0.61</v>
      </c>
      <c r="C10890">
        <v>1280</v>
      </c>
      <c r="D10890" s="9">
        <v>44105</v>
      </c>
      <c r="E10890" t="s">
        <v>296</v>
      </c>
      <c r="I10890" s="9"/>
    </row>
    <row r="10891" spans="1:9" x14ac:dyDescent="0.25">
      <c r="A10891">
        <v>870261</v>
      </c>
      <c r="B10891">
        <v>0.61</v>
      </c>
      <c r="C10891">
        <v>1280</v>
      </c>
      <c r="D10891" s="9">
        <v>44043</v>
      </c>
      <c r="E10891" t="s">
        <v>296</v>
      </c>
      <c r="I10891" s="9"/>
    </row>
    <row r="10892" spans="1:9" x14ac:dyDescent="0.25">
      <c r="A10892">
        <v>870261</v>
      </c>
      <c r="B10892">
        <v>0.61</v>
      </c>
      <c r="C10892">
        <v>2480</v>
      </c>
      <c r="D10892" s="9">
        <v>43438</v>
      </c>
      <c r="E10892" t="s">
        <v>296</v>
      </c>
      <c r="I10892" s="9"/>
    </row>
    <row r="10893" spans="1:9" x14ac:dyDescent="0.25">
      <c r="A10893">
        <v>870261</v>
      </c>
      <c r="B10893">
        <v>0.59</v>
      </c>
      <c r="C10893">
        <v>1680</v>
      </c>
      <c r="D10893" s="9">
        <v>43199</v>
      </c>
      <c r="E10893" t="s">
        <v>296</v>
      </c>
      <c r="I10893" s="9"/>
    </row>
    <row r="10894" spans="1:9" x14ac:dyDescent="0.25">
      <c r="A10894">
        <v>870261</v>
      </c>
      <c r="B10894">
        <v>0.56000000000000005</v>
      </c>
      <c r="C10894">
        <v>1600</v>
      </c>
      <c r="D10894" s="9">
        <v>43017</v>
      </c>
      <c r="E10894" t="s">
        <v>296</v>
      </c>
      <c r="I10894" s="9"/>
    </row>
    <row r="10895" spans="1:9" x14ac:dyDescent="0.25">
      <c r="A10895">
        <v>870261</v>
      </c>
      <c r="B10895">
        <v>0.53</v>
      </c>
      <c r="C10895">
        <v>960</v>
      </c>
      <c r="D10895" s="9">
        <v>42853</v>
      </c>
      <c r="E10895" t="s">
        <v>296</v>
      </c>
      <c r="I10895" s="9"/>
    </row>
    <row r="10896" spans="1:9" x14ac:dyDescent="0.25">
      <c r="A10896">
        <v>870261</v>
      </c>
      <c r="B10896">
        <v>0.5</v>
      </c>
      <c r="C10896">
        <v>960</v>
      </c>
      <c r="D10896" s="9">
        <v>42530</v>
      </c>
      <c r="E10896" t="s">
        <v>296</v>
      </c>
      <c r="I10896" s="9"/>
    </row>
    <row r="10897" spans="1:9" x14ac:dyDescent="0.25">
      <c r="A10897">
        <v>870261</v>
      </c>
      <c r="B10897">
        <v>2.13</v>
      </c>
      <c r="C10897">
        <v>1280</v>
      </c>
      <c r="D10897" s="9">
        <v>42269</v>
      </c>
      <c r="E10897" t="s">
        <v>295</v>
      </c>
      <c r="I10897" s="9"/>
    </row>
    <row r="10898" spans="1:9" x14ac:dyDescent="0.25">
      <c r="A10898">
        <v>870261</v>
      </c>
      <c r="B10898">
        <v>0.60499999999999998</v>
      </c>
      <c r="C10898">
        <v>1280</v>
      </c>
      <c r="D10898" s="9">
        <v>42229</v>
      </c>
      <c r="E10898" t="s">
        <v>296</v>
      </c>
      <c r="I10898" s="9"/>
    </row>
    <row r="10899" spans="1:9" x14ac:dyDescent="0.25">
      <c r="A10899">
        <v>870261</v>
      </c>
      <c r="B10899">
        <v>0.60499999999999998</v>
      </c>
      <c r="C10899">
        <v>1520</v>
      </c>
      <c r="D10899" s="9">
        <v>41947</v>
      </c>
      <c r="E10899" t="s">
        <v>296</v>
      </c>
      <c r="I10899" s="9"/>
    </row>
    <row r="10900" spans="1:9" x14ac:dyDescent="0.25">
      <c r="A10900">
        <v>870261</v>
      </c>
      <c r="B10900">
        <v>0.55300000000000005</v>
      </c>
      <c r="C10900">
        <v>960</v>
      </c>
      <c r="D10900" s="9">
        <v>41765</v>
      </c>
      <c r="E10900" t="s">
        <v>296</v>
      </c>
      <c r="I10900" s="9"/>
    </row>
    <row r="10901" spans="1:9" x14ac:dyDescent="0.25">
      <c r="A10901">
        <v>870261</v>
      </c>
      <c r="B10901">
        <v>0.65700000000000003</v>
      </c>
      <c r="C10901">
        <v>1600</v>
      </c>
      <c r="D10901" s="9">
        <v>41362</v>
      </c>
      <c r="E10901" t="s">
        <v>296</v>
      </c>
      <c r="I10901" s="9"/>
    </row>
    <row r="10902" spans="1:9" x14ac:dyDescent="0.25">
      <c r="A10902">
        <v>870280</v>
      </c>
      <c r="B10902">
        <v>0.54200000000000004</v>
      </c>
      <c r="C10902">
        <v>1200</v>
      </c>
      <c r="D10902" s="9">
        <v>44041</v>
      </c>
      <c r="E10902" t="s">
        <v>296</v>
      </c>
      <c r="I10902" s="9"/>
    </row>
    <row r="10903" spans="1:9" x14ac:dyDescent="0.25">
      <c r="A10903">
        <v>870280</v>
      </c>
      <c r="B10903">
        <v>0.54200000000000004</v>
      </c>
      <c r="C10903">
        <v>1200</v>
      </c>
      <c r="D10903" s="9">
        <v>43972</v>
      </c>
      <c r="E10903" t="s">
        <v>296</v>
      </c>
      <c r="I10903" s="9"/>
    </row>
    <row r="10904" spans="1:9" x14ac:dyDescent="0.25">
      <c r="A10904">
        <v>870280</v>
      </c>
      <c r="B10904">
        <v>0.54200000000000004</v>
      </c>
      <c r="C10904">
        <v>1200</v>
      </c>
      <c r="D10904" s="9">
        <v>43707</v>
      </c>
      <c r="E10904" t="s">
        <v>296</v>
      </c>
      <c r="I10904" s="9"/>
    </row>
    <row r="10905" spans="1:9" x14ac:dyDescent="0.25">
      <c r="A10905">
        <v>870280</v>
      </c>
      <c r="B10905">
        <v>0.54200000000000004</v>
      </c>
      <c r="C10905">
        <v>1440</v>
      </c>
      <c r="D10905" s="9">
        <v>43452</v>
      </c>
      <c r="E10905" t="s">
        <v>296</v>
      </c>
      <c r="I10905" s="9"/>
    </row>
    <row r="10906" spans="1:9" x14ac:dyDescent="0.25">
      <c r="A10906">
        <v>870280</v>
      </c>
      <c r="B10906">
        <v>2.1</v>
      </c>
      <c r="C10906">
        <v>1440</v>
      </c>
      <c r="D10906" s="9">
        <v>43340</v>
      </c>
      <c r="E10906" t="s">
        <v>295</v>
      </c>
      <c r="I10906" s="9"/>
    </row>
    <row r="10907" spans="1:9" x14ac:dyDescent="0.25">
      <c r="A10907">
        <v>870280</v>
      </c>
      <c r="B10907">
        <v>0.54200000000000004</v>
      </c>
      <c r="C10907">
        <v>1440</v>
      </c>
      <c r="D10907" s="9">
        <v>43299</v>
      </c>
      <c r="E10907" t="s">
        <v>296</v>
      </c>
      <c r="I10907" s="9"/>
    </row>
    <row r="10908" spans="1:9" x14ac:dyDescent="0.25">
      <c r="A10908">
        <v>870280</v>
      </c>
      <c r="B10908">
        <v>1.82</v>
      </c>
      <c r="C10908">
        <v>1600</v>
      </c>
      <c r="D10908" s="9">
        <v>43136</v>
      </c>
      <c r="E10908" t="s">
        <v>295</v>
      </c>
      <c r="I10908" s="9"/>
    </row>
    <row r="10909" spans="1:9" x14ac:dyDescent="0.25">
      <c r="A10909">
        <v>870280</v>
      </c>
      <c r="B10909">
        <v>0.51500000000000001</v>
      </c>
      <c r="C10909">
        <v>1600</v>
      </c>
      <c r="D10909" s="9">
        <v>43136</v>
      </c>
      <c r="E10909" t="s">
        <v>296</v>
      </c>
      <c r="I10909" s="9"/>
    </row>
    <row r="10910" spans="1:9" x14ac:dyDescent="0.25">
      <c r="A10910">
        <v>870280</v>
      </c>
      <c r="B10910">
        <v>0.51500000000000001</v>
      </c>
      <c r="C10910">
        <v>1200</v>
      </c>
      <c r="D10910" s="9">
        <v>43054</v>
      </c>
      <c r="E10910" t="s">
        <v>296</v>
      </c>
      <c r="I10910" s="9"/>
    </row>
    <row r="10911" spans="1:9" x14ac:dyDescent="0.25">
      <c r="A10911">
        <v>870280</v>
      </c>
      <c r="B10911">
        <v>0.51500000000000001</v>
      </c>
      <c r="C10911">
        <v>1200</v>
      </c>
      <c r="D10911" s="9">
        <v>42877</v>
      </c>
      <c r="E10911" t="s">
        <v>296</v>
      </c>
      <c r="I10911" s="9"/>
    </row>
    <row r="10912" spans="1:9" x14ac:dyDescent="0.25">
      <c r="A10912">
        <v>870280</v>
      </c>
      <c r="B10912">
        <v>2.0099999999999998</v>
      </c>
      <c r="C10912">
        <v>2400</v>
      </c>
      <c r="D10912" s="9">
        <v>42508</v>
      </c>
      <c r="E10912" t="s">
        <v>295</v>
      </c>
      <c r="I10912" s="9"/>
    </row>
    <row r="10913" spans="1:9" x14ac:dyDescent="0.25">
      <c r="A10913">
        <v>870280</v>
      </c>
      <c r="B10913">
        <v>0.51500000000000001</v>
      </c>
      <c r="C10913">
        <v>2400</v>
      </c>
      <c r="D10913" s="9">
        <v>42508</v>
      </c>
      <c r="E10913" t="s">
        <v>296</v>
      </c>
      <c r="I10913" s="9"/>
    </row>
    <row r="10914" spans="1:9" x14ac:dyDescent="0.25">
      <c r="A10914">
        <v>870280</v>
      </c>
      <c r="B10914">
        <v>0.51500000000000001</v>
      </c>
      <c r="C10914">
        <v>2800</v>
      </c>
      <c r="D10914" s="9">
        <v>42326</v>
      </c>
      <c r="E10914" t="s">
        <v>296</v>
      </c>
      <c r="I10914" s="9"/>
    </row>
    <row r="10915" spans="1:9" x14ac:dyDescent="0.25">
      <c r="A10915">
        <v>870280</v>
      </c>
      <c r="B10915">
        <v>0.51500000000000001</v>
      </c>
      <c r="C10915">
        <v>3200</v>
      </c>
      <c r="D10915" s="9">
        <v>42271</v>
      </c>
      <c r="E10915" t="s">
        <v>296</v>
      </c>
      <c r="I10915" s="9"/>
    </row>
    <row r="10916" spans="1:9" x14ac:dyDescent="0.25">
      <c r="A10916">
        <v>870280</v>
      </c>
      <c r="B10916">
        <v>0.52600000000000002</v>
      </c>
      <c r="C10916">
        <v>2800</v>
      </c>
      <c r="D10916" s="9">
        <v>42111</v>
      </c>
      <c r="E10916" t="s">
        <v>296</v>
      </c>
      <c r="I10916" s="9"/>
    </row>
    <row r="10917" spans="1:9" x14ac:dyDescent="0.25">
      <c r="A10917">
        <v>870280</v>
      </c>
      <c r="B10917">
        <v>1.69</v>
      </c>
      <c r="C10917">
        <v>3200</v>
      </c>
      <c r="D10917" s="9">
        <v>41927</v>
      </c>
      <c r="E10917" t="s">
        <v>295</v>
      </c>
      <c r="I10917" s="9"/>
    </row>
    <row r="10918" spans="1:9" x14ac:dyDescent="0.25">
      <c r="A10918">
        <v>870280</v>
      </c>
      <c r="B10918">
        <v>0.52200000000000002</v>
      </c>
      <c r="C10918">
        <v>3200</v>
      </c>
      <c r="D10918" s="9">
        <v>41870</v>
      </c>
      <c r="E10918" t="s">
        <v>296</v>
      </c>
      <c r="I10918" s="9"/>
    </row>
    <row r="10919" spans="1:9" x14ac:dyDescent="0.25">
      <c r="A10919">
        <v>870280</v>
      </c>
      <c r="B10919">
        <v>0.52200000000000002</v>
      </c>
      <c r="C10919">
        <v>2800</v>
      </c>
      <c r="D10919" s="9">
        <v>41782</v>
      </c>
      <c r="E10919" t="s">
        <v>296</v>
      </c>
      <c r="I10919" s="9"/>
    </row>
    <row r="10920" spans="1:9" x14ac:dyDescent="0.25">
      <c r="A10920">
        <v>870280</v>
      </c>
      <c r="B10920">
        <v>0.51900000000000002</v>
      </c>
      <c r="C10920">
        <v>2880</v>
      </c>
      <c r="D10920" s="9">
        <v>41647</v>
      </c>
      <c r="E10920" t="s">
        <v>296</v>
      </c>
      <c r="I10920" s="9"/>
    </row>
    <row r="10921" spans="1:9" x14ac:dyDescent="0.25">
      <c r="A10921">
        <v>870280</v>
      </c>
      <c r="B10921">
        <v>0.51</v>
      </c>
      <c r="C10921">
        <v>2240</v>
      </c>
      <c r="D10921" s="9">
        <v>41435</v>
      </c>
      <c r="E10921" t="s">
        <v>296</v>
      </c>
      <c r="I10921" s="9"/>
    </row>
    <row r="10922" spans="1:9" x14ac:dyDescent="0.25">
      <c r="A10922">
        <v>870280</v>
      </c>
      <c r="B10922">
        <v>0.51</v>
      </c>
      <c r="C10922">
        <v>2240</v>
      </c>
      <c r="D10922" s="9">
        <v>41362</v>
      </c>
      <c r="E10922" t="s">
        <v>296</v>
      </c>
      <c r="I10922" s="9"/>
    </row>
    <row r="10923" spans="1:9" x14ac:dyDescent="0.25">
      <c r="A10923">
        <v>870281</v>
      </c>
      <c r="B10923">
        <v>1.35</v>
      </c>
      <c r="C10923">
        <v>500</v>
      </c>
      <c r="D10923" s="9">
        <v>41603</v>
      </c>
      <c r="E10923" t="s">
        <v>295</v>
      </c>
      <c r="I10923" s="9"/>
    </row>
    <row r="10924" spans="1:9" x14ac:dyDescent="0.25">
      <c r="A10924">
        <v>870282</v>
      </c>
      <c r="B10924">
        <v>0.32</v>
      </c>
      <c r="C10924">
        <v>2592</v>
      </c>
      <c r="D10924" s="9">
        <v>44140</v>
      </c>
      <c r="E10924" t="s">
        <v>296</v>
      </c>
      <c r="I10924" s="9"/>
    </row>
    <row r="10925" spans="1:9" x14ac:dyDescent="0.25">
      <c r="A10925">
        <v>870282</v>
      </c>
      <c r="B10925">
        <v>0.28999999999999998</v>
      </c>
      <c r="C10925">
        <v>1728</v>
      </c>
      <c r="D10925" s="9">
        <v>44040</v>
      </c>
      <c r="E10925" t="s">
        <v>296</v>
      </c>
      <c r="I10925" s="9"/>
    </row>
    <row r="10926" spans="1:9" x14ac:dyDescent="0.25">
      <c r="A10926">
        <v>870282</v>
      </c>
      <c r="B10926">
        <v>0.28999999999999998</v>
      </c>
      <c r="C10926">
        <v>1728</v>
      </c>
      <c r="D10926" s="9">
        <v>43941</v>
      </c>
      <c r="E10926" t="s">
        <v>296</v>
      </c>
      <c r="I10926" s="9"/>
    </row>
    <row r="10927" spans="1:9" x14ac:dyDescent="0.25">
      <c r="A10927">
        <v>870282</v>
      </c>
      <c r="B10927">
        <v>0.28999999999999998</v>
      </c>
      <c r="C10927">
        <v>2304</v>
      </c>
      <c r="D10927" s="9">
        <v>43769</v>
      </c>
      <c r="E10927" t="s">
        <v>296</v>
      </c>
      <c r="I10927" s="9"/>
    </row>
    <row r="10928" spans="1:9" x14ac:dyDescent="0.25">
      <c r="A10928">
        <v>870282</v>
      </c>
      <c r="B10928">
        <v>0.28999999999999998</v>
      </c>
      <c r="C10928">
        <v>2880</v>
      </c>
      <c r="D10928" s="9">
        <v>43473</v>
      </c>
      <c r="E10928" t="s">
        <v>296</v>
      </c>
      <c r="I10928" s="9"/>
    </row>
    <row r="10929" spans="1:9" x14ac:dyDescent="0.25">
      <c r="A10929">
        <v>870282</v>
      </c>
      <c r="B10929">
        <v>0.28999999999999998</v>
      </c>
      <c r="C10929">
        <v>2880</v>
      </c>
      <c r="D10929" s="9">
        <v>43391</v>
      </c>
      <c r="E10929" t="s">
        <v>296</v>
      </c>
      <c r="I10929" s="9"/>
    </row>
    <row r="10930" spans="1:9" x14ac:dyDescent="0.25">
      <c r="A10930">
        <v>870282</v>
      </c>
      <c r="B10930">
        <v>1.29</v>
      </c>
      <c r="C10930">
        <v>2304</v>
      </c>
      <c r="D10930" s="9">
        <v>43298</v>
      </c>
      <c r="E10930" t="s">
        <v>295</v>
      </c>
      <c r="I10930" s="9"/>
    </row>
    <row r="10931" spans="1:9" x14ac:dyDescent="0.25">
      <c r="A10931">
        <v>870282</v>
      </c>
      <c r="B10931">
        <v>0.32</v>
      </c>
      <c r="C10931">
        <v>2304</v>
      </c>
      <c r="D10931" s="9">
        <v>43264</v>
      </c>
      <c r="E10931" t="s">
        <v>296</v>
      </c>
      <c r="I10931" s="9"/>
    </row>
    <row r="10932" spans="1:9" x14ac:dyDescent="0.25">
      <c r="A10932">
        <v>870282</v>
      </c>
      <c r="B10932">
        <v>0.28999999999999998</v>
      </c>
      <c r="C10932">
        <v>2304</v>
      </c>
      <c r="D10932" s="9">
        <v>43039</v>
      </c>
      <c r="E10932" t="s">
        <v>296</v>
      </c>
      <c r="I10932" s="9"/>
    </row>
    <row r="10933" spans="1:9" x14ac:dyDescent="0.25">
      <c r="A10933">
        <v>870282</v>
      </c>
      <c r="B10933">
        <v>0.3</v>
      </c>
      <c r="C10933">
        <v>2304</v>
      </c>
      <c r="D10933" s="9">
        <v>42656</v>
      </c>
      <c r="E10933" t="s">
        <v>296</v>
      </c>
      <c r="I10933" s="9"/>
    </row>
    <row r="10934" spans="1:9" x14ac:dyDescent="0.25">
      <c r="A10934">
        <v>870282</v>
      </c>
      <c r="B10934">
        <v>0.32</v>
      </c>
      <c r="C10934">
        <v>2016</v>
      </c>
      <c r="D10934" s="9">
        <v>42397</v>
      </c>
      <c r="E10934" t="s">
        <v>296</v>
      </c>
      <c r="I10934" s="9"/>
    </row>
    <row r="10935" spans="1:9" x14ac:dyDescent="0.25">
      <c r="A10935">
        <v>870282</v>
      </c>
      <c r="B10935">
        <v>0.32</v>
      </c>
      <c r="C10935">
        <v>2016</v>
      </c>
      <c r="D10935" s="9">
        <v>42299</v>
      </c>
      <c r="E10935" t="s">
        <v>296</v>
      </c>
      <c r="I10935" s="9"/>
    </row>
    <row r="10936" spans="1:9" x14ac:dyDescent="0.25">
      <c r="A10936">
        <v>870282</v>
      </c>
      <c r="B10936">
        <v>0.35</v>
      </c>
      <c r="C10936">
        <v>2016</v>
      </c>
      <c r="D10936" s="9">
        <v>41947</v>
      </c>
      <c r="E10936" t="s">
        <v>296</v>
      </c>
      <c r="I10936" s="9"/>
    </row>
    <row r="10937" spans="1:9" x14ac:dyDescent="0.25">
      <c r="A10937">
        <v>870282</v>
      </c>
      <c r="B10937">
        <v>0.32</v>
      </c>
      <c r="C10937">
        <v>2016</v>
      </c>
      <c r="D10937" s="9">
        <v>41947</v>
      </c>
      <c r="E10937" t="s">
        <v>296</v>
      </c>
      <c r="I10937" s="9"/>
    </row>
    <row r="10938" spans="1:9" x14ac:dyDescent="0.25">
      <c r="A10938">
        <v>870282</v>
      </c>
      <c r="B10938">
        <v>0.35</v>
      </c>
      <c r="C10938">
        <v>1728</v>
      </c>
      <c r="D10938" s="9">
        <v>41682</v>
      </c>
      <c r="E10938" t="s">
        <v>296</v>
      </c>
      <c r="I10938" s="9"/>
    </row>
    <row r="10939" spans="1:9" x14ac:dyDescent="0.25">
      <c r="A10939">
        <v>870286</v>
      </c>
      <c r="B10939">
        <v>0.63</v>
      </c>
      <c r="C10939">
        <v>2400</v>
      </c>
      <c r="D10939" s="9">
        <v>44141</v>
      </c>
      <c r="E10939" t="s">
        <v>296</v>
      </c>
      <c r="I10939" s="9"/>
    </row>
    <row r="10940" spans="1:9" x14ac:dyDescent="0.25">
      <c r="A10940">
        <v>870286</v>
      </c>
      <c r="B10940">
        <v>0.56999999999999995</v>
      </c>
      <c r="C10940">
        <v>2720</v>
      </c>
      <c r="D10940" s="9">
        <v>44043</v>
      </c>
      <c r="E10940" t="s">
        <v>296</v>
      </c>
      <c r="I10940" s="9"/>
    </row>
    <row r="10941" spans="1:9" x14ac:dyDescent="0.25">
      <c r="A10941">
        <v>870286</v>
      </c>
      <c r="B10941">
        <v>0.56000000000000005</v>
      </c>
      <c r="C10941">
        <v>2480</v>
      </c>
      <c r="D10941" s="9">
        <v>43803</v>
      </c>
      <c r="E10941" t="s">
        <v>296</v>
      </c>
      <c r="I10941" s="9"/>
    </row>
    <row r="10942" spans="1:9" x14ac:dyDescent="0.25">
      <c r="A10942">
        <v>870286</v>
      </c>
      <c r="B10942">
        <v>0.57499999999999996</v>
      </c>
      <c r="C10942">
        <v>1440</v>
      </c>
      <c r="D10942" s="9">
        <v>43473</v>
      </c>
      <c r="E10942" t="s">
        <v>296</v>
      </c>
      <c r="I10942" s="9"/>
    </row>
    <row r="10943" spans="1:9" x14ac:dyDescent="0.25">
      <c r="A10943">
        <v>870286</v>
      </c>
      <c r="B10943">
        <v>2.23</v>
      </c>
      <c r="C10943">
        <v>2400</v>
      </c>
      <c r="D10943" s="9">
        <v>43298</v>
      </c>
      <c r="E10943" t="s">
        <v>295</v>
      </c>
      <c r="I10943" s="9"/>
    </row>
    <row r="10944" spans="1:9" x14ac:dyDescent="0.25">
      <c r="A10944">
        <v>870286</v>
      </c>
      <c r="B10944">
        <v>0.55000000000000004</v>
      </c>
      <c r="C10944">
        <v>2400</v>
      </c>
      <c r="D10944" s="9">
        <v>43264</v>
      </c>
      <c r="E10944" t="s">
        <v>296</v>
      </c>
      <c r="I10944" s="9"/>
    </row>
    <row r="10945" spans="1:9" x14ac:dyDescent="0.25">
      <c r="A10945">
        <v>870286</v>
      </c>
      <c r="B10945">
        <v>2.29</v>
      </c>
      <c r="C10945">
        <v>2400</v>
      </c>
      <c r="D10945" s="9">
        <v>43263</v>
      </c>
      <c r="E10945" t="s">
        <v>295</v>
      </c>
      <c r="I10945" s="9"/>
    </row>
    <row r="10946" spans="1:9" x14ac:dyDescent="0.25">
      <c r="A10946">
        <v>870286</v>
      </c>
      <c r="B10946">
        <v>0.59</v>
      </c>
      <c r="C10946">
        <v>2400</v>
      </c>
      <c r="D10946" s="9">
        <v>43228</v>
      </c>
      <c r="E10946" t="s">
        <v>296</v>
      </c>
      <c r="I10946" s="9"/>
    </row>
    <row r="10947" spans="1:9" x14ac:dyDescent="0.25">
      <c r="A10947">
        <v>870286</v>
      </c>
      <c r="B10947">
        <v>0.56999999999999995</v>
      </c>
      <c r="C10947">
        <v>2400</v>
      </c>
      <c r="D10947" s="9">
        <v>43105</v>
      </c>
      <c r="E10947" t="s">
        <v>296</v>
      </c>
      <c r="I10947" s="9"/>
    </row>
    <row r="10948" spans="1:9" x14ac:dyDescent="0.25">
      <c r="A10948">
        <v>870286</v>
      </c>
      <c r="B10948">
        <v>0.51</v>
      </c>
      <c r="C10948">
        <v>1600</v>
      </c>
      <c r="D10948" s="9">
        <v>43017</v>
      </c>
      <c r="E10948" t="s">
        <v>296</v>
      </c>
      <c r="I10948" s="9"/>
    </row>
    <row r="10949" spans="1:9" x14ac:dyDescent="0.25">
      <c r="A10949">
        <v>870286</v>
      </c>
      <c r="B10949">
        <v>0.52</v>
      </c>
      <c r="C10949">
        <v>1920</v>
      </c>
      <c r="D10949" s="9">
        <v>42873</v>
      </c>
      <c r="E10949" t="s">
        <v>296</v>
      </c>
      <c r="I10949" s="9"/>
    </row>
    <row r="10950" spans="1:9" x14ac:dyDescent="0.25">
      <c r="A10950">
        <v>870286</v>
      </c>
      <c r="B10950">
        <v>0.46</v>
      </c>
      <c r="C10950">
        <v>1920</v>
      </c>
      <c r="D10950" s="9">
        <v>42781</v>
      </c>
      <c r="E10950" t="s">
        <v>296</v>
      </c>
      <c r="I10950" s="9"/>
    </row>
    <row r="10951" spans="1:9" x14ac:dyDescent="0.25">
      <c r="A10951">
        <v>870286</v>
      </c>
      <c r="B10951">
        <v>0.46</v>
      </c>
      <c r="C10951">
        <v>1440</v>
      </c>
      <c r="D10951" s="9">
        <v>42698</v>
      </c>
      <c r="E10951" t="s">
        <v>296</v>
      </c>
      <c r="I10951" s="9"/>
    </row>
    <row r="10952" spans="1:9" x14ac:dyDescent="0.25">
      <c r="A10952">
        <v>870286</v>
      </c>
      <c r="B10952">
        <v>0.46</v>
      </c>
      <c r="C10952">
        <v>2000</v>
      </c>
      <c r="D10952" s="9">
        <v>42510</v>
      </c>
      <c r="E10952" t="s">
        <v>296</v>
      </c>
      <c r="I10952" s="9"/>
    </row>
    <row r="10953" spans="1:9" x14ac:dyDescent="0.25">
      <c r="A10953">
        <v>870286</v>
      </c>
      <c r="B10953">
        <v>0.48</v>
      </c>
      <c r="C10953">
        <v>2400</v>
      </c>
      <c r="D10953" s="9">
        <v>42383</v>
      </c>
      <c r="E10953" t="s">
        <v>296</v>
      </c>
      <c r="I10953" s="9"/>
    </row>
    <row r="10954" spans="1:9" x14ac:dyDescent="0.25">
      <c r="A10954">
        <v>870286</v>
      </c>
      <c r="B10954">
        <v>2.4</v>
      </c>
      <c r="C10954">
        <v>2400</v>
      </c>
      <c r="D10954" s="9">
        <v>42269</v>
      </c>
      <c r="E10954" t="s">
        <v>295</v>
      </c>
      <c r="I10954" s="9"/>
    </row>
    <row r="10955" spans="1:9" x14ac:dyDescent="0.25">
      <c r="A10955">
        <v>870286</v>
      </c>
      <c r="B10955">
        <v>0.53</v>
      </c>
      <c r="C10955">
        <v>2400</v>
      </c>
      <c r="D10955" s="9">
        <v>42229</v>
      </c>
      <c r="E10955" t="s">
        <v>296</v>
      </c>
      <c r="I10955" s="9"/>
    </row>
    <row r="10956" spans="1:9" x14ac:dyDescent="0.25">
      <c r="A10956">
        <v>870286</v>
      </c>
      <c r="B10956">
        <v>0.53</v>
      </c>
      <c r="C10956">
        <v>2400</v>
      </c>
      <c r="D10956" s="9">
        <v>41947</v>
      </c>
      <c r="E10956" t="s">
        <v>296</v>
      </c>
      <c r="I10956" s="9"/>
    </row>
    <row r="10957" spans="1:9" x14ac:dyDescent="0.25">
      <c r="A10957">
        <v>870286</v>
      </c>
      <c r="B10957">
        <v>0.49</v>
      </c>
      <c r="C10957">
        <v>1440</v>
      </c>
      <c r="D10957" s="9">
        <v>41765</v>
      </c>
      <c r="E10957" t="s">
        <v>296</v>
      </c>
      <c r="I10957" s="9"/>
    </row>
    <row r="10958" spans="1:9" x14ac:dyDescent="0.25">
      <c r="A10958">
        <v>870286</v>
      </c>
      <c r="B10958">
        <v>0.72599999999999998</v>
      </c>
      <c r="C10958">
        <v>1200</v>
      </c>
      <c r="D10958" s="9">
        <v>41647</v>
      </c>
      <c r="E10958" t="s">
        <v>296</v>
      </c>
      <c r="I10958" s="9"/>
    </row>
    <row r="10959" spans="1:9" x14ac:dyDescent="0.25">
      <c r="A10959">
        <v>870286</v>
      </c>
      <c r="B10959">
        <v>0.70699999999999996</v>
      </c>
      <c r="C10959">
        <v>800</v>
      </c>
      <c r="D10959" s="9">
        <v>41435</v>
      </c>
      <c r="E10959" t="s">
        <v>296</v>
      </c>
      <c r="I10959" s="9"/>
    </row>
    <row r="10960" spans="1:9" x14ac:dyDescent="0.25">
      <c r="A10960">
        <v>870286</v>
      </c>
      <c r="B10960">
        <v>0.71199999999999997</v>
      </c>
      <c r="C10960">
        <v>960</v>
      </c>
      <c r="D10960" s="9">
        <v>41435</v>
      </c>
      <c r="E10960" t="s">
        <v>296</v>
      </c>
      <c r="I10960" s="9"/>
    </row>
    <row r="10961" spans="1:9" x14ac:dyDescent="0.25">
      <c r="A10961">
        <v>870286</v>
      </c>
      <c r="B10961">
        <v>0.69799999999999995</v>
      </c>
      <c r="C10961">
        <v>640</v>
      </c>
      <c r="D10961" s="9">
        <v>41362</v>
      </c>
      <c r="E10961" t="s">
        <v>296</v>
      </c>
      <c r="I10961" s="9"/>
    </row>
    <row r="10962" spans="1:9" x14ac:dyDescent="0.25">
      <c r="A10962">
        <v>870292</v>
      </c>
      <c r="B10962">
        <v>0.34</v>
      </c>
      <c r="C10962">
        <v>2304</v>
      </c>
      <c r="D10962" s="9">
        <v>44060</v>
      </c>
      <c r="E10962" t="s">
        <v>296</v>
      </c>
      <c r="I10962" s="9"/>
    </row>
    <row r="10963" spans="1:9" x14ac:dyDescent="0.25">
      <c r="A10963">
        <v>870292</v>
      </c>
      <c r="B10963">
        <v>0.34</v>
      </c>
      <c r="C10963">
        <v>2304</v>
      </c>
      <c r="D10963" s="9">
        <v>43941</v>
      </c>
      <c r="E10963" t="s">
        <v>296</v>
      </c>
      <c r="I10963" s="9"/>
    </row>
    <row r="10964" spans="1:9" x14ac:dyDescent="0.25">
      <c r="A10964">
        <v>870292</v>
      </c>
      <c r="B10964">
        <v>0.34</v>
      </c>
      <c r="C10964">
        <v>2304</v>
      </c>
      <c r="D10964" s="9">
        <v>43803</v>
      </c>
      <c r="E10964" t="s">
        <v>296</v>
      </c>
      <c r="I10964" s="9"/>
    </row>
    <row r="10965" spans="1:9" x14ac:dyDescent="0.25">
      <c r="A10965">
        <v>870292</v>
      </c>
      <c r="B10965">
        <v>0.29799999999999999</v>
      </c>
      <c r="C10965">
        <v>2304</v>
      </c>
      <c r="D10965" s="9">
        <v>43473</v>
      </c>
      <c r="E10965" t="s">
        <v>296</v>
      </c>
      <c r="I10965" s="9"/>
    </row>
    <row r="10966" spans="1:9" x14ac:dyDescent="0.25">
      <c r="A10966">
        <v>870292</v>
      </c>
      <c r="B10966">
        <v>0.34</v>
      </c>
      <c r="C10966">
        <v>2736</v>
      </c>
      <c r="D10966" s="9">
        <v>43305</v>
      </c>
      <c r="E10966" t="s">
        <v>296</v>
      </c>
      <c r="I10966" s="9"/>
    </row>
    <row r="10967" spans="1:9" x14ac:dyDescent="0.25">
      <c r="A10967">
        <v>870292</v>
      </c>
      <c r="B10967">
        <v>0.31</v>
      </c>
      <c r="C10967">
        <v>3600</v>
      </c>
      <c r="D10967" s="9">
        <v>43063</v>
      </c>
      <c r="E10967" t="s">
        <v>296</v>
      </c>
      <c r="I10967" s="9"/>
    </row>
    <row r="10968" spans="1:9" x14ac:dyDescent="0.25">
      <c r="A10968">
        <v>870292</v>
      </c>
      <c r="B10968">
        <v>0.25</v>
      </c>
      <c r="C10968">
        <v>2304</v>
      </c>
      <c r="D10968" s="9">
        <v>42873</v>
      </c>
      <c r="E10968" t="s">
        <v>296</v>
      </c>
      <c r="I10968" s="9"/>
    </row>
    <row r="10969" spans="1:9" x14ac:dyDescent="0.25">
      <c r="A10969">
        <v>870292</v>
      </c>
      <c r="B10969">
        <v>0.22</v>
      </c>
      <c r="C10969">
        <v>2304</v>
      </c>
      <c r="D10969" s="9">
        <v>42781</v>
      </c>
      <c r="E10969" t="s">
        <v>296</v>
      </c>
      <c r="I10969" s="9"/>
    </row>
    <row r="10970" spans="1:9" x14ac:dyDescent="0.25">
      <c r="A10970">
        <v>870292</v>
      </c>
      <c r="B10970">
        <v>0.31</v>
      </c>
      <c r="C10970">
        <v>1728</v>
      </c>
      <c r="D10970" s="9">
        <v>42656</v>
      </c>
      <c r="E10970" t="s">
        <v>296</v>
      </c>
      <c r="I10970" s="9"/>
    </row>
    <row r="10971" spans="1:9" x14ac:dyDescent="0.25">
      <c r="A10971">
        <v>870292</v>
      </c>
      <c r="B10971">
        <v>0.31</v>
      </c>
      <c r="C10971">
        <v>1728</v>
      </c>
      <c r="D10971" s="9">
        <v>42530</v>
      </c>
      <c r="E10971" t="s">
        <v>296</v>
      </c>
      <c r="I10971" s="9"/>
    </row>
    <row r="10972" spans="1:9" x14ac:dyDescent="0.25">
      <c r="A10972">
        <v>870292</v>
      </c>
      <c r="B10972">
        <v>0.34</v>
      </c>
      <c r="C10972">
        <v>2880</v>
      </c>
      <c r="D10972" s="9">
        <v>42031</v>
      </c>
      <c r="E10972" t="s">
        <v>296</v>
      </c>
      <c r="I10972" s="9"/>
    </row>
    <row r="10973" spans="1:9" x14ac:dyDescent="0.25">
      <c r="A10973">
        <v>870292</v>
      </c>
      <c r="B10973">
        <v>0.38</v>
      </c>
      <c r="C10973">
        <v>2304</v>
      </c>
      <c r="D10973" s="9">
        <v>41947</v>
      </c>
      <c r="E10973" t="s">
        <v>296</v>
      </c>
      <c r="I10973" s="9"/>
    </row>
    <row r="10974" spans="1:9" x14ac:dyDescent="0.25">
      <c r="A10974">
        <v>870292</v>
      </c>
      <c r="B10974">
        <v>0.34</v>
      </c>
      <c r="C10974">
        <v>2304</v>
      </c>
      <c r="D10974" s="9">
        <v>41947</v>
      </c>
      <c r="E10974" t="s">
        <v>296</v>
      </c>
      <c r="I10974" s="9"/>
    </row>
    <row r="10975" spans="1:9" x14ac:dyDescent="0.25">
      <c r="A10975">
        <v>870292</v>
      </c>
      <c r="B10975">
        <v>0.38</v>
      </c>
      <c r="C10975">
        <v>1728</v>
      </c>
      <c r="D10975" s="9">
        <v>41682</v>
      </c>
      <c r="E10975" t="s">
        <v>296</v>
      </c>
      <c r="I10975" s="9"/>
    </row>
    <row r="10976" spans="1:9" x14ac:dyDescent="0.25">
      <c r="A10976">
        <v>870292</v>
      </c>
      <c r="B10976">
        <v>0.4</v>
      </c>
      <c r="C10976">
        <v>1008</v>
      </c>
      <c r="D10976" s="9">
        <v>41330</v>
      </c>
      <c r="E10976" t="s">
        <v>296</v>
      </c>
      <c r="I10976" s="9"/>
    </row>
    <row r="10977" spans="1:9" x14ac:dyDescent="0.25">
      <c r="A10977">
        <v>871000</v>
      </c>
      <c r="B10977">
        <v>0.64</v>
      </c>
      <c r="C10977">
        <v>1920</v>
      </c>
      <c r="D10977" s="9">
        <v>44140</v>
      </c>
      <c r="E10977" t="s">
        <v>296</v>
      </c>
      <c r="I10977" s="9"/>
    </row>
    <row r="10978" spans="1:9" x14ac:dyDescent="0.25">
      <c r="A10978">
        <v>871000</v>
      </c>
      <c r="B10978">
        <v>0.61</v>
      </c>
      <c r="C10978">
        <v>1800</v>
      </c>
      <c r="D10978" s="9">
        <v>44040</v>
      </c>
      <c r="E10978" t="s">
        <v>296</v>
      </c>
      <c r="I10978" s="9"/>
    </row>
    <row r="10979" spans="1:9" x14ac:dyDescent="0.25">
      <c r="A10979">
        <v>871000</v>
      </c>
      <c r="B10979">
        <v>0.61</v>
      </c>
      <c r="C10979">
        <v>1800</v>
      </c>
      <c r="D10979" s="9">
        <v>43941</v>
      </c>
      <c r="E10979" t="s">
        <v>296</v>
      </c>
      <c r="I10979" s="9"/>
    </row>
    <row r="10980" spans="1:9" x14ac:dyDescent="0.25">
      <c r="A10980">
        <v>871000</v>
      </c>
      <c r="B10980">
        <v>0.61</v>
      </c>
      <c r="C10980">
        <v>1800</v>
      </c>
      <c r="D10980" s="9">
        <v>43769</v>
      </c>
      <c r="E10980" t="s">
        <v>296</v>
      </c>
      <c r="I10980" s="9"/>
    </row>
    <row r="10981" spans="1:9" x14ac:dyDescent="0.25">
      <c r="A10981">
        <v>871000</v>
      </c>
      <c r="B10981">
        <v>0.61</v>
      </c>
      <c r="C10981">
        <v>1040</v>
      </c>
      <c r="D10981" s="9">
        <v>43473</v>
      </c>
      <c r="E10981" t="s">
        <v>296</v>
      </c>
      <c r="I10981" s="9"/>
    </row>
    <row r="10982" spans="1:9" x14ac:dyDescent="0.25">
      <c r="A10982">
        <v>871000</v>
      </c>
      <c r="B10982">
        <v>0.61</v>
      </c>
      <c r="C10982">
        <v>2000</v>
      </c>
      <c r="D10982" s="9">
        <v>43391</v>
      </c>
      <c r="E10982" t="s">
        <v>296</v>
      </c>
      <c r="I10982" s="9"/>
    </row>
    <row r="10983" spans="1:9" x14ac:dyDescent="0.25">
      <c r="A10983">
        <v>871000</v>
      </c>
      <c r="B10983">
        <v>0.63</v>
      </c>
      <c r="C10983">
        <v>2000</v>
      </c>
      <c r="D10983" s="9">
        <v>43284</v>
      </c>
      <c r="E10983" t="s">
        <v>296</v>
      </c>
      <c r="I10983" s="9"/>
    </row>
    <row r="10984" spans="1:9" x14ac:dyDescent="0.25">
      <c r="A10984">
        <v>871000</v>
      </c>
      <c r="B10984">
        <v>2.4300000000000002</v>
      </c>
      <c r="C10984">
        <v>2000</v>
      </c>
      <c r="D10984" s="9">
        <v>43263</v>
      </c>
      <c r="E10984" t="s">
        <v>295</v>
      </c>
      <c r="I10984" s="9"/>
    </row>
    <row r="10985" spans="1:9" x14ac:dyDescent="0.25">
      <c r="A10985">
        <v>871000</v>
      </c>
      <c r="B10985">
        <v>0.63</v>
      </c>
      <c r="C10985">
        <v>2000</v>
      </c>
      <c r="D10985" s="9">
        <v>43228</v>
      </c>
      <c r="E10985" t="s">
        <v>296</v>
      </c>
      <c r="I10985" s="9"/>
    </row>
    <row r="10986" spans="1:9" x14ac:dyDescent="0.25">
      <c r="A10986">
        <v>871000</v>
      </c>
      <c r="B10986">
        <v>0.63</v>
      </c>
      <c r="C10986">
        <v>1200</v>
      </c>
      <c r="D10986" s="9">
        <v>43116</v>
      </c>
      <c r="E10986" t="s">
        <v>296</v>
      </c>
      <c r="I10986" s="9"/>
    </row>
    <row r="10987" spans="1:9" x14ac:dyDescent="0.25">
      <c r="A10987">
        <v>871000</v>
      </c>
      <c r="B10987">
        <v>0.63</v>
      </c>
      <c r="C10987">
        <v>320</v>
      </c>
      <c r="D10987" s="9">
        <v>43105</v>
      </c>
      <c r="E10987" t="s">
        <v>296</v>
      </c>
      <c r="I10987" s="9"/>
    </row>
    <row r="10988" spans="1:9" x14ac:dyDescent="0.25">
      <c r="A10988">
        <v>871000</v>
      </c>
      <c r="B10988">
        <v>0.63</v>
      </c>
      <c r="C10988">
        <v>880</v>
      </c>
      <c r="D10988" s="9">
        <v>43039</v>
      </c>
      <c r="E10988" t="s">
        <v>296</v>
      </c>
      <c r="I10988" s="9"/>
    </row>
    <row r="10989" spans="1:9" x14ac:dyDescent="0.25">
      <c r="A10989">
        <v>871000</v>
      </c>
      <c r="B10989">
        <v>0.56999999999999995</v>
      </c>
      <c r="C10989">
        <v>960</v>
      </c>
      <c r="D10989" s="9">
        <v>42781</v>
      </c>
      <c r="E10989" t="s">
        <v>296</v>
      </c>
      <c r="I10989" s="9"/>
    </row>
    <row r="10990" spans="1:9" x14ac:dyDescent="0.25">
      <c r="A10990">
        <v>871000</v>
      </c>
      <c r="B10990">
        <v>0.56999999999999995</v>
      </c>
      <c r="C10990">
        <v>2000</v>
      </c>
      <c r="D10990" s="9">
        <v>42656</v>
      </c>
      <c r="E10990" t="s">
        <v>296</v>
      </c>
      <c r="I10990" s="9"/>
    </row>
    <row r="10991" spans="1:9" x14ac:dyDescent="0.25">
      <c r="A10991">
        <v>871000</v>
      </c>
      <c r="B10991">
        <v>0.61</v>
      </c>
      <c r="C10991">
        <v>1920</v>
      </c>
      <c r="D10991" s="9">
        <v>42573</v>
      </c>
      <c r="E10991" t="s">
        <v>296</v>
      </c>
      <c r="I10991" s="9"/>
    </row>
    <row r="10992" spans="1:9" x14ac:dyDescent="0.25">
      <c r="A10992">
        <v>871000</v>
      </c>
      <c r="B10992">
        <v>0.64</v>
      </c>
      <c r="C10992">
        <v>2000</v>
      </c>
      <c r="D10992" s="9">
        <v>42530</v>
      </c>
      <c r="E10992" t="s">
        <v>296</v>
      </c>
      <c r="I10992" s="9"/>
    </row>
    <row r="10993" spans="1:9" x14ac:dyDescent="0.25">
      <c r="A10993">
        <v>871000</v>
      </c>
      <c r="B10993">
        <v>0.7</v>
      </c>
      <c r="C10993">
        <v>1600</v>
      </c>
      <c r="D10993" s="9">
        <v>42397</v>
      </c>
      <c r="E10993" t="s">
        <v>296</v>
      </c>
      <c r="I10993" s="9"/>
    </row>
    <row r="10994" spans="1:9" x14ac:dyDescent="0.25">
      <c r="A10994">
        <v>871000</v>
      </c>
      <c r="B10994">
        <v>0.7</v>
      </c>
      <c r="C10994">
        <v>1600</v>
      </c>
      <c r="D10994" s="9">
        <v>42299</v>
      </c>
      <c r="E10994" t="s">
        <v>296</v>
      </c>
      <c r="I10994" s="9"/>
    </row>
    <row r="10995" spans="1:9" x14ac:dyDescent="0.25">
      <c r="A10995">
        <v>871000</v>
      </c>
      <c r="B10995">
        <v>0.7</v>
      </c>
      <c r="C10995">
        <v>1200</v>
      </c>
      <c r="D10995" s="9">
        <v>42191</v>
      </c>
      <c r="E10995" t="s">
        <v>296</v>
      </c>
      <c r="I10995" s="9"/>
    </row>
    <row r="10996" spans="1:9" x14ac:dyDescent="0.25">
      <c r="A10996">
        <v>871000</v>
      </c>
      <c r="B10996">
        <v>0.7</v>
      </c>
      <c r="C10996">
        <v>1600</v>
      </c>
      <c r="D10996" s="9">
        <v>42031</v>
      </c>
      <c r="E10996" t="s">
        <v>296</v>
      </c>
      <c r="I10996" s="9"/>
    </row>
    <row r="10997" spans="1:9" x14ac:dyDescent="0.25">
      <c r="A10997">
        <v>871000</v>
      </c>
      <c r="B10997">
        <v>2.4700000000000002</v>
      </c>
      <c r="C10997">
        <v>1600</v>
      </c>
      <c r="D10997" s="9">
        <v>42011</v>
      </c>
      <c r="E10997" t="s">
        <v>295</v>
      </c>
      <c r="I10997" s="9"/>
    </row>
    <row r="10998" spans="1:9" x14ac:dyDescent="0.25">
      <c r="A10998">
        <v>871000</v>
      </c>
      <c r="B10998">
        <v>0.7</v>
      </c>
      <c r="C10998">
        <v>1600</v>
      </c>
      <c r="D10998" s="9">
        <v>41961</v>
      </c>
      <c r="E10998" t="s">
        <v>296</v>
      </c>
      <c r="I10998" s="9"/>
    </row>
    <row r="10999" spans="1:9" x14ac:dyDescent="0.25">
      <c r="A10999">
        <v>871000</v>
      </c>
      <c r="B10999">
        <v>0.70499999999999996</v>
      </c>
      <c r="C10999">
        <v>1200</v>
      </c>
      <c r="D10999" s="9">
        <v>41789</v>
      </c>
      <c r="E10999" t="s">
        <v>296</v>
      </c>
      <c r="I10999" s="9"/>
    </row>
    <row r="11000" spans="1:9" x14ac:dyDescent="0.25">
      <c r="A11000">
        <v>871000</v>
      </c>
      <c r="B11000">
        <v>0.70499999999999996</v>
      </c>
      <c r="C11000">
        <v>1200</v>
      </c>
      <c r="D11000" s="9">
        <v>41746</v>
      </c>
      <c r="E11000" t="s">
        <v>296</v>
      </c>
      <c r="I11000" s="9"/>
    </row>
    <row r="11001" spans="1:9" x14ac:dyDescent="0.25">
      <c r="A11001">
        <v>871000</v>
      </c>
      <c r="B11001">
        <v>0.70499999999999996</v>
      </c>
      <c r="C11001">
        <v>1200</v>
      </c>
      <c r="D11001" s="9">
        <v>41682</v>
      </c>
      <c r="E11001" t="s">
        <v>296</v>
      </c>
      <c r="I11001" s="9"/>
    </row>
    <row r="11002" spans="1:9" x14ac:dyDescent="0.25">
      <c r="A11002">
        <v>871000</v>
      </c>
      <c r="B11002">
        <v>0.70499999999999996</v>
      </c>
      <c r="C11002">
        <v>1280</v>
      </c>
      <c r="D11002" s="9">
        <v>41647</v>
      </c>
      <c r="E11002" t="s">
        <v>296</v>
      </c>
      <c r="I11002" s="9"/>
    </row>
    <row r="11003" spans="1:9" x14ac:dyDescent="0.25">
      <c r="A11003">
        <v>871000</v>
      </c>
      <c r="B11003">
        <v>0.70499999999999996</v>
      </c>
      <c r="C11003">
        <v>2240</v>
      </c>
      <c r="D11003" s="9">
        <v>41484</v>
      </c>
      <c r="E11003" t="s">
        <v>296</v>
      </c>
      <c r="I11003" s="9"/>
    </row>
    <row r="11004" spans="1:9" x14ac:dyDescent="0.25">
      <c r="A11004">
        <v>871000</v>
      </c>
      <c r="B11004">
        <v>0.70499999999999996</v>
      </c>
      <c r="C11004">
        <v>2880</v>
      </c>
      <c r="D11004" s="9">
        <v>41330</v>
      </c>
      <c r="E11004" t="s">
        <v>296</v>
      </c>
      <c r="I11004" s="9"/>
    </row>
    <row r="11005" spans="1:9" x14ac:dyDescent="0.25">
      <c r="A11005">
        <v>871100</v>
      </c>
      <c r="B11005">
        <v>0.55000000000000004</v>
      </c>
      <c r="C11005">
        <v>2000</v>
      </c>
      <c r="D11005" s="9">
        <v>44097</v>
      </c>
      <c r="E11005" t="s">
        <v>296</v>
      </c>
      <c r="I11005" s="9"/>
    </row>
    <row r="11006" spans="1:9" x14ac:dyDescent="0.25">
      <c r="A11006">
        <v>871100</v>
      </c>
      <c r="B11006">
        <v>0.55000000000000004</v>
      </c>
      <c r="C11006">
        <v>2000</v>
      </c>
      <c r="D11006" s="9">
        <v>44060</v>
      </c>
      <c r="E11006" t="s">
        <v>296</v>
      </c>
      <c r="I11006" s="9"/>
    </row>
    <row r="11007" spans="1:9" x14ac:dyDescent="0.25">
      <c r="A11007">
        <v>871100</v>
      </c>
      <c r="B11007">
        <v>0.55000000000000004</v>
      </c>
      <c r="C11007">
        <v>2000</v>
      </c>
      <c r="D11007" s="9">
        <v>43941</v>
      </c>
      <c r="E11007" t="s">
        <v>296</v>
      </c>
      <c r="I11007" s="9"/>
    </row>
    <row r="11008" spans="1:9" x14ac:dyDescent="0.25">
      <c r="A11008">
        <v>871100</v>
      </c>
      <c r="B11008">
        <v>0.55000000000000004</v>
      </c>
      <c r="C11008">
        <v>2000</v>
      </c>
      <c r="D11008" s="9">
        <v>43769</v>
      </c>
      <c r="E11008" t="s">
        <v>296</v>
      </c>
      <c r="I11008" s="9"/>
    </row>
    <row r="11009" spans="1:9" x14ac:dyDescent="0.25">
      <c r="A11009">
        <v>871100</v>
      </c>
      <c r="B11009">
        <v>0.55000000000000004</v>
      </c>
      <c r="C11009">
        <v>2400</v>
      </c>
      <c r="D11009" s="9">
        <v>43598</v>
      </c>
      <c r="E11009" t="s">
        <v>296</v>
      </c>
      <c r="I11009" s="9"/>
    </row>
    <row r="11010" spans="1:9" x14ac:dyDescent="0.25">
      <c r="A11010">
        <v>871100</v>
      </c>
      <c r="B11010">
        <v>0.55000000000000004</v>
      </c>
      <c r="C11010">
        <v>2800</v>
      </c>
      <c r="D11010" s="9">
        <v>43391</v>
      </c>
      <c r="E11010" t="s">
        <v>296</v>
      </c>
      <c r="I11010" s="9"/>
    </row>
    <row r="11011" spans="1:9" x14ac:dyDescent="0.25">
      <c r="A11011">
        <v>871100</v>
      </c>
      <c r="B11011">
        <v>0.57999999999999996</v>
      </c>
      <c r="C11011">
        <v>2800</v>
      </c>
      <c r="D11011" s="9">
        <v>43284</v>
      </c>
      <c r="E11011" t="s">
        <v>296</v>
      </c>
      <c r="I11011" s="9"/>
    </row>
    <row r="11012" spans="1:9" x14ac:dyDescent="0.25">
      <c r="A11012">
        <v>871100</v>
      </c>
      <c r="B11012">
        <v>2.17</v>
      </c>
      <c r="C11012">
        <v>2000</v>
      </c>
      <c r="D11012" s="9">
        <v>43263</v>
      </c>
      <c r="E11012" t="s">
        <v>295</v>
      </c>
      <c r="I11012" s="9"/>
    </row>
    <row r="11013" spans="1:9" x14ac:dyDescent="0.25">
      <c r="A11013">
        <v>871100</v>
      </c>
      <c r="B11013">
        <v>0.56000000000000005</v>
      </c>
      <c r="C11013">
        <v>2000</v>
      </c>
      <c r="D11013" s="9">
        <v>43228</v>
      </c>
      <c r="E11013" t="s">
        <v>296</v>
      </c>
      <c r="I11013" s="9"/>
    </row>
    <row r="11014" spans="1:9" x14ac:dyDescent="0.25">
      <c r="A11014">
        <v>871100</v>
      </c>
      <c r="B11014">
        <v>0.56100000000000005</v>
      </c>
      <c r="C11014">
        <v>1440</v>
      </c>
      <c r="D11014" s="9">
        <v>43105</v>
      </c>
      <c r="E11014" t="s">
        <v>296</v>
      </c>
      <c r="I11014" s="9"/>
    </row>
    <row r="11015" spans="1:9" x14ac:dyDescent="0.25">
      <c r="A11015">
        <v>871100</v>
      </c>
      <c r="B11015">
        <v>0.54</v>
      </c>
      <c r="C11015">
        <v>1440</v>
      </c>
      <c r="D11015" s="9">
        <v>42976</v>
      </c>
      <c r="E11015" t="s">
        <v>296</v>
      </c>
      <c r="I11015" s="9"/>
    </row>
    <row r="11016" spans="1:9" x14ac:dyDescent="0.25">
      <c r="A11016">
        <v>871100</v>
      </c>
      <c r="B11016">
        <v>0.54</v>
      </c>
      <c r="C11016">
        <v>1520</v>
      </c>
      <c r="D11016" s="9">
        <v>42781</v>
      </c>
      <c r="E11016" t="s">
        <v>296</v>
      </c>
      <c r="I11016" s="9"/>
    </row>
    <row r="11017" spans="1:9" x14ac:dyDescent="0.25">
      <c r="A11017">
        <v>871100</v>
      </c>
      <c r="B11017">
        <v>0.62</v>
      </c>
      <c r="C11017">
        <v>1280</v>
      </c>
      <c r="D11017" s="9">
        <v>42656</v>
      </c>
      <c r="E11017" t="s">
        <v>296</v>
      </c>
      <c r="I11017" s="9"/>
    </row>
    <row r="11018" spans="1:9" x14ac:dyDescent="0.25">
      <c r="A11018">
        <v>871100</v>
      </c>
      <c r="B11018">
        <v>0.62</v>
      </c>
      <c r="C11018">
        <v>2000</v>
      </c>
      <c r="D11018" s="9">
        <v>42617</v>
      </c>
      <c r="E11018" t="s">
        <v>296</v>
      </c>
      <c r="I11018" s="9"/>
    </row>
    <row r="11019" spans="1:9" x14ac:dyDescent="0.25">
      <c r="A11019">
        <v>871100</v>
      </c>
      <c r="B11019">
        <v>0.65</v>
      </c>
      <c r="C11019">
        <v>1600</v>
      </c>
      <c r="D11019" s="9">
        <v>42482</v>
      </c>
      <c r="E11019" t="s">
        <v>296</v>
      </c>
      <c r="I11019" s="9"/>
    </row>
    <row r="11020" spans="1:9" x14ac:dyDescent="0.25">
      <c r="A11020">
        <v>871100</v>
      </c>
      <c r="B11020">
        <v>0.65</v>
      </c>
      <c r="C11020">
        <v>1600</v>
      </c>
      <c r="D11020" s="9">
        <v>42299</v>
      </c>
      <c r="E11020" t="s">
        <v>296</v>
      </c>
      <c r="I11020" s="9"/>
    </row>
    <row r="11021" spans="1:9" x14ac:dyDescent="0.25">
      <c r="A11021">
        <v>871100</v>
      </c>
      <c r="B11021">
        <v>0.65</v>
      </c>
      <c r="C11021">
        <v>1296</v>
      </c>
      <c r="D11021" s="9">
        <v>42191</v>
      </c>
      <c r="E11021" t="s">
        <v>296</v>
      </c>
      <c r="I11021" s="9"/>
    </row>
    <row r="11022" spans="1:9" x14ac:dyDescent="0.25">
      <c r="A11022">
        <v>871100</v>
      </c>
      <c r="B11022">
        <v>0.63</v>
      </c>
      <c r="C11022">
        <v>2000</v>
      </c>
      <c r="D11022" s="9">
        <v>41982</v>
      </c>
      <c r="E11022" t="s">
        <v>296</v>
      </c>
      <c r="I11022" s="9"/>
    </row>
    <row r="11023" spans="1:9" x14ac:dyDescent="0.25">
      <c r="A11023">
        <v>871100</v>
      </c>
      <c r="B11023">
        <v>0.63</v>
      </c>
      <c r="C11023">
        <v>2000</v>
      </c>
      <c r="D11023" s="9">
        <v>41837</v>
      </c>
      <c r="E11023" t="s">
        <v>296</v>
      </c>
      <c r="I11023" s="9"/>
    </row>
    <row r="11024" spans="1:9" x14ac:dyDescent="0.25">
      <c r="A11024">
        <v>871100</v>
      </c>
      <c r="B11024">
        <v>0.63</v>
      </c>
      <c r="C11024">
        <v>1440</v>
      </c>
      <c r="D11024" s="9">
        <v>41789</v>
      </c>
      <c r="E11024" t="s">
        <v>296</v>
      </c>
      <c r="I11024" s="9"/>
    </row>
    <row r="11025" spans="1:9" x14ac:dyDescent="0.25">
      <c r="A11025">
        <v>871100</v>
      </c>
      <c r="B11025">
        <v>0.63</v>
      </c>
      <c r="C11025">
        <v>1600</v>
      </c>
      <c r="D11025" s="9">
        <v>41746</v>
      </c>
      <c r="E11025" t="s">
        <v>296</v>
      </c>
      <c r="I11025" s="9"/>
    </row>
    <row r="11026" spans="1:9" x14ac:dyDescent="0.25">
      <c r="A11026">
        <v>871100</v>
      </c>
      <c r="B11026">
        <v>0.55000000000000004</v>
      </c>
      <c r="C11026">
        <v>1200</v>
      </c>
      <c r="D11026" s="9">
        <v>41682</v>
      </c>
      <c r="E11026" t="s">
        <v>296</v>
      </c>
      <c r="I11026" s="9"/>
    </row>
    <row r="11027" spans="1:9" x14ac:dyDescent="0.25">
      <c r="A11027">
        <v>871100</v>
      </c>
      <c r="B11027">
        <v>0.56000000000000005</v>
      </c>
      <c r="C11027">
        <v>400</v>
      </c>
      <c r="D11027" s="9">
        <v>41647</v>
      </c>
      <c r="E11027" t="s">
        <v>296</v>
      </c>
      <c r="I11027" s="9"/>
    </row>
    <row r="11028" spans="1:9" x14ac:dyDescent="0.25">
      <c r="A11028">
        <v>871100</v>
      </c>
      <c r="B11028">
        <v>0.55000000000000004</v>
      </c>
      <c r="C11028">
        <v>1200</v>
      </c>
      <c r="D11028" s="9">
        <v>41647</v>
      </c>
      <c r="E11028" t="s">
        <v>296</v>
      </c>
      <c r="I11028" s="9"/>
    </row>
    <row r="11029" spans="1:9" x14ac:dyDescent="0.25">
      <c r="A11029">
        <v>871100</v>
      </c>
      <c r="B11029">
        <v>0.56000000000000005</v>
      </c>
      <c r="C11029">
        <v>1200</v>
      </c>
      <c r="D11029" s="9">
        <v>41571</v>
      </c>
      <c r="E11029" t="s">
        <v>296</v>
      </c>
      <c r="I11029" s="9"/>
    </row>
    <row r="11030" spans="1:9" x14ac:dyDescent="0.25">
      <c r="A11030">
        <v>871100</v>
      </c>
      <c r="B11030">
        <v>0.55000000000000004</v>
      </c>
      <c r="C11030">
        <v>1200</v>
      </c>
      <c r="D11030" s="9">
        <v>41484</v>
      </c>
      <c r="E11030" t="s">
        <v>296</v>
      </c>
      <c r="I11030" s="9"/>
    </row>
    <row r="11031" spans="1:9" x14ac:dyDescent="0.25">
      <c r="A11031">
        <v>871100</v>
      </c>
      <c r="B11031">
        <v>0.55000000000000004</v>
      </c>
      <c r="C11031">
        <v>1600</v>
      </c>
      <c r="D11031" s="9">
        <v>41330</v>
      </c>
      <c r="E11031" t="s">
        <v>296</v>
      </c>
      <c r="I11031" s="9"/>
    </row>
    <row r="11032" spans="1:9" x14ac:dyDescent="0.25">
      <c r="A11032">
        <v>871120</v>
      </c>
      <c r="B11032">
        <v>0.65</v>
      </c>
      <c r="C11032">
        <v>2100</v>
      </c>
      <c r="D11032" s="9">
        <v>43839</v>
      </c>
      <c r="E11032" t="s">
        <v>296</v>
      </c>
      <c r="I11032" s="9"/>
    </row>
    <row r="11033" spans="1:9" x14ac:dyDescent="0.25">
      <c r="A11033">
        <v>871120</v>
      </c>
      <c r="B11033">
        <v>0.65</v>
      </c>
      <c r="C11033">
        <v>1980</v>
      </c>
      <c r="D11033" s="9">
        <v>43600</v>
      </c>
      <c r="E11033" t="s">
        <v>296</v>
      </c>
      <c r="I11033" s="9"/>
    </row>
    <row r="11034" spans="1:9" x14ac:dyDescent="0.25">
      <c r="A11034">
        <v>871120</v>
      </c>
      <c r="B11034">
        <v>0.53400000000000003</v>
      </c>
      <c r="C11034">
        <v>864</v>
      </c>
      <c r="D11034" s="9">
        <v>42676</v>
      </c>
      <c r="E11034" t="s">
        <v>297</v>
      </c>
      <c r="I11034" s="9"/>
    </row>
    <row r="11035" spans="1:9" x14ac:dyDescent="0.25">
      <c r="A11035">
        <v>871120</v>
      </c>
      <c r="B11035">
        <v>0.48599999999999999</v>
      </c>
      <c r="C11035">
        <v>1728</v>
      </c>
      <c r="D11035" s="9">
        <v>42520</v>
      </c>
      <c r="E11035" t="s">
        <v>297</v>
      </c>
      <c r="I11035" s="9"/>
    </row>
    <row r="11036" spans="1:9" x14ac:dyDescent="0.25">
      <c r="A11036">
        <v>871120</v>
      </c>
      <c r="B11036">
        <v>2.13</v>
      </c>
      <c r="C11036">
        <v>1728</v>
      </c>
      <c r="D11036" s="9">
        <v>42520</v>
      </c>
      <c r="E11036" t="s">
        <v>295</v>
      </c>
      <c r="I11036" s="9"/>
    </row>
    <row r="11037" spans="1:9" x14ac:dyDescent="0.25">
      <c r="A11037">
        <v>871120</v>
      </c>
      <c r="B11037">
        <v>0.53400000000000003</v>
      </c>
      <c r="C11037">
        <v>1728</v>
      </c>
      <c r="D11037" s="9">
        <v>42040</v>
      </c>
      <c r="E11037" t="s">
        <v>296</v>
      </c>
      <c r="I11037" s="9"/>
    </row>
    <row r="11038" spans="1:9" x14ac:dyDescent="0.25">
      <c r="A11038">
        <v>871120</v>
      </c>
      <c r="B11038">
        <v>0.53400000000000003</v>
      </c>
      <c r="C11038">
        <v>1728</v>
      </c>
      <c r="D11038" s="9">
        <v>41865</v>
      </c>
      <c r="E11038" t="s">
        <v>296</v>
      </c>
      <c r="I11038" s="9"/>
    </row>
    <row r="11039" spans="1:9" x14ac:dyDescent="0.25">
      <c r="A11039">
        <v>871120</v>
      </c>
      <c r="B11039">
        <v>0.53400000000000003</v>
      </c>
      <c r="C11039">
        <v>1152</v>
      </c>
      <c r="D11039" s="9">
        <v>41744</v>
      </c>
      <c r="E11039" t="s">
        <v>296</v>
      </c>
      <c r="I11039" s="9"/>
    </row>
    <row r="11040" spans="1:9" x14ac:dyDescent="0.25">
      <c r="A11040">
        <v>871120</v>
      </c>
      <c r="B11040">
        <v>0.51800000000000002</v>
      </c>
      <c r="C11040">
        <v>1152</v>
      </c>
      <c r="D11040" s="9">
        <v>41617</v>
      </c>
      <c r="E11040" t="s">
        <v>296</v>
      </c>
      <c r="I11040" s="9"/>
    </row>
    <row r="11041" spans="1:9" x14ac:dyDescent="0.25">
      <c r="A11041">
        <v>871120</v>
      </c>
      <c r="B11041">
        <v>0.51800000000000002</v>
      </c>
      <c r="C11041">
        <v>1080</v>
      </c>
      <c r="D11041" s="9">
        <v>41309</v>
      </c>
      <c r="E11041" t="s">
        <v>296</v>
      </c>
      <c r="I11041" s="9"/>
    </row>
    <row r="11042" spans="1:9" x14ac:dyDescent="0.25">
      <c r="A11042">
        <v>871140</v>
      </c>
      <c r="B11042">
        <v>3.7839999999999998</v>
      </c>
      <c r="C11042">
        <v>432</v>
      </c>
      <c r="D11042" s="9">
        <v>41362</v>
      </c>
      <c r="E11042" t="s">
        <v>296</v>
      </c>
      <c r="I11042" s="9"/>
    </row>
    <row r="11043" spans="1:9" x14ac:dyDescent="0.25">
      <c r="A11043">
        <v>871142</v>
      </c>
      <c r="B11043">
        <v>2.11</v>
      </c>
      <c r="C11043">
        <v>432</v>
      </c>
      <c r="D11043" s="9">
        <v>44060</v>
      </c>
      <c r="E11043" t="s">
        <v>296</v>
      </c>
      <c r="I11043" s="9"/>
    </row>
    <row r="11044" spans="1:9" x14ac:dyDescent="0.25">
      <c r="A11044">
        <v>871142</v>
      </c>
      <c r="B11044">
        <v>2.12</v>
      </c>
      <c r="C11044">
        <v>312</v>
      </c>
      <c r="D11044" s="9">
        <v>43941</v>
      </c>
      <c r="E11044" t="s">
        <v>296</v>
      </c>
      <c r="I11044" s="9"/>
    </row>
    <row r="11045" spans="1:9" x14ac:dyDescent="0.25">
      <c r="A11045">
        <v>871142</v>
      </c>
      <c r="B11045">
        <v>2.12</v>
      </c>
      <c r="C11045">
        <v>360</v>
      </c>
      <c r="D11045" s="9">
        <v>43769</v>
      </c>
      <c r="E11045" t="s">
        <v>296</v>
      </c>
      <c r="I11045" s="9"/>
    </row>
    <row r="11046" spans="1:9" x14ac:dyDescent="0.25">
      <c r="A11046">
        <v>871142</v>
      </c>
      <c r="B11046">
        <v>2.14</v>
      </c>
      <c r="C11046">
        <v>336</v>
      </c>
      <c r="D11046" s="9">
        <v>43598</v>
      </c>
      <c r="E11046" t="s">
        <v>296</v>
      </c>
      <c r="I11046" s="9"/>
    </row>
    <row r="11047" spans="1:9" x14ac:dyDescent="0.25">
      <c r="A11047">
        <v>871142</v>
      </c>
      <c r="B11047">
        <v>2.14</v>
      </c>
      <c r="C11047">
        <v>600</v>
      </c>
      <c r="D11047" s="9">
        <v>43333</v>
      </c>
      <c r="E11047" t="s">
        <v>296</v>
      </c>
      <c r="I11047" s="9"/>
    </row>
    <row r="11048" spans="1:9" x14ac:dyDescent="0.25">
      <c r="A11048">
        <v>871142</v>
      </c>
      <c r="B11048">
        <v>2.14</v>
      </c>
      <c r="C11048">
        <v>384</v>
      </c>
      <c r="D11048" s="9">
        <v>43116</v>
      </c>
      <c r="E11048" t="s">
        <v>296</v>
      </c>
      <c r="I11048" s="9"/>
    </row>
    <row r="11049" spans="1:9" x14ac:dyDescent="0.25">
      <c r="A11049">
        <v>871142</v>
      </c>
      <c r="B11049">
        <v>2.14</v>
      </c>
      <c r="C11049">
        <v>384</v>
      </c>
      <c r="D11049" s="9">
        <v>43039</v>
      </c>
      <c r="E11049" t="s">
        <v>296</v>
      </c>
      <c r="I11049" s="9"/>
    </row>
    <row r="11050" spans="1:9" x14ac:dyDescent="0.25">
      <c r="A11050">
        <v>871142</v>
      </c>
      <c r="B11050">
        <v>1.96</v>
      </c>
      <c r="C11050">
        <v>384</v>
      </c>
      <c r="D11050" s="9">
        <v>42781</v>
      </c>
      <c r="E11050" t="s">
        <v>296</v>
      </c>
      <c r="I11050" s="9"/>
    </row>
    <row r="11051" spans="1:9" x14ac:dyDescent="0.25">
      <c r="A11051">
        <v>871142</v>
      </c>
      <c r="B11051">
        <v>2</v>
      </c>
      <c r="C11051">
        <v>384</v>
      </c>
      <c r="D11051" s="9">
        <v>42656</v>
      </c>
      <c r="E11051" t="s">
        <v>296</v>
      </c>
      <c r="I11051" s="9"/>
    </row>
    <row r="11052" spans="1:9" x14ac:dyDescent="0.25">
      <c r="A11052">
        <v>871142</v>
      </c>
      <c r="B11052">
        <v>2.15</v>
      </c>
      <c r="C11052">
        <v>600</v>
      </c>
      <c r="D11052" s="9">
        <v>42299</v>
      </c>
      <c r="E11052" t="s">
        <v>296</v>
      </c>
      <c r="I11052" s="9"/>
    </row>
    <row r="11053" spans="1:9" x14ac:dyDescent="0.25">
      <c r="A11053">
        <v>871142</v>
      </c>
      <c r="B11053">
        <v>2.15</v>
      </c>
      <c r="C11053">
        <v>600</v>
      </c>
      <c r="D11053" s="9">
        <v>42031</v>
      </c>
      <c r="E11053" t="s">
        <v>296</v>
      </c>
      <c r="I11053" s="9"/>
    </row>
    <row r="11054" spans="1:9" x14ac:dyDescent="0.25">
      <c r="A11054">
        <v>871142</v>
      </c>
      <c r="B11054">
        <v>7.59</v>
      </c>
      <c r="C11054">
        <v>600</v>
      </c>
      <c r="D11054" s="9">
        <v>42011</v>
      </c>
      <c r="E11054" t="s">
        <v>295</v>
      </c>
      <c r="I11054" s="9"/>
    </row>
    <row r="11055" spans="1:9" x14ac:dyDescent="0.25">
      <c r="A11055">
        <v>871142</v>
      </c>
      <c r="B11055">
        <v>2.15</v>
      </c>
      <c r="C11055">
        <v>600</v>
      </c>
      <c r="D11055" s="9">
        <v>41961</v>
      </c>
      <c r="E11055" t="s">
        <v>296</v>
      </c>
      <c r="I11055" s="9"/>
    </row>
    <row r="11056" spans="1:9" x14ac:dyDescent="0.25">
      <c r="A11056">
        <v>871142</v>
      </c>
      <c r="B11056">
        <v>2.15</v>
      </c>
      <c r="C11056">
        <v>552</v>
      </c>
      <c r="D11056" s="9">
        <v>41789</v>
      </c>
      <c r="E11056" t="s">
        <v>296</v>
      </c>
      <c r="I11056" s="9"/>
    </row>
    <row r="11057" spans="1:9" x14ac:dyDescent="0.25">
      <c r="A11057">
        <v>871142</v>
      </c>
      <c r="B11057">
        <v>2.15</v>
      </c>
      <c r="C11057">
        <v>288</v>
      </c>
      <c r="D11057" s="9">
        <v>41682</v>
      </c>
      <c r="E11057" t="s">
        <v>296</v>
      </c>
      <c r="I11057" s="9"/>
    </row>
    <row r="11058" spans="1:9" x14ac:dyDescent="0.25">
      <c r="A11058">
        <v>871142</v>
      </c>
      <c r="B11058">
        <v>2.15</v>
      </c>
      <c r="C11058">
        <v>288</v>
      </c>
      <c r="D11058" s="9">
        <v>41647</v>
      </c>
      <c r="E11058" t="s">
        <v>296</v>
      </c>
      <c r="I11058" s="9"/>
    </row>
    <row r="11059" spans="1:9" x14ac:dyDescent="0.25">
      <c r="A11059">
        <v>871160</v>
      </c>
      <c r="B11059">
        <v>2.25</v>
      </c>
      <c r="C11059">
        <v>600</v>
      </c>
      <c r="D11059" s="9">
        <v>44060</v>
      </c>
      <c r="E11059" t="s">
        <v>296</v>
      </c>
      <c r="I11059" s="9"/>
    </row>
    <row r="11060" spans="1:9" x14ac:dyDescent="0.25">
      <c r="A11060">
        <v>871160</v>
      </c>
      <c r="B11060">
        <v>2.25</v>
      </c>
      <c r="C11060">
        <v>360</v>
      </c>
      <c r="D11060" s="9">
        <v>43941</v>
      </c>
      <c r="E11060" t="s">
        <v>296</v>
      </c>
      <c r="I11060" s="9"/>
    </row>
    <row r="11061" spans="1:9" x14ac:dyDescent="0.25">
      <c r="A11061">
        <v>871160</v>
      </c>
      <c r="B11061">
        <v>2.25</v>
      </c>
      <c r="C11061">
        <v>360</v>
      </c>
      <c r="D11061" s="9">
        <v>43598</v>
      </c>
      <c r="E11061" t="s">
        <v>296</v>
      </c>
      <c r="I11061" s="9"/>
    </row>
    <row r="11062" spans="1:9" x14ac:dyDescent="0.25">
      <c r="A11062">
        <v>871160</v>
      </c>
      <c r="B11062">
        <v>2.25</v>
      </c>
      <c r="C11062">
        <v>360</v>
      </c>
      <c r="D11062" s="9">
        <v>43333</v>
      </c>
      <c r="E11062" t="s">
        <v>296</v>
      </c>
      <c r="I11062" s="9"/>
    </row>
    <row r="11063" spans="1:9" x14ac:dyDescent="0.25">
      <c r="A11063">
        <v>871160</v>
      </c>
      <c r="B11063">
        <v>8.64</v>
      </c>
      <c r="C11063">
        <v>168</v>
      </c>
      <c r="D11063" s="9">
        <v>43263</v>
      </c>
      <c r="E11063" t="s">
        <v>295</v>
      </c>
      <c r="I11063" s="9"/>
    </row>
    <row r="11064" spans="1:9" x14ac:dyDescent="0.25">
      <c r="A11064">
        <v>871160</v>
      </c>
      <c r="B11064">
        <v>2.25</v>
      </c>
      <c r="C11064">
        <v>360</v>
      </c>
      <c r="D11064" s="9">
        <v>43228</v>
      </c>
      <c r="E11064" t="s">
        <v>296</v>
      </c>
      <c r="I11064" s="9"/>
    </row>
    <row r="11065" spans="1:9" x14ac:dyDescent="0.25">
      <c r="A11065">
        <v>871160</v>
      </c>
      <c r="B11065">
        <v>2.21</v>
      </c>
      <c r="C11065">
        <v>360</v>
      </c>
      <c r="D11065" s="9">
        <v>43105</v>
      </c>
      <c r="E11065" t="s">
        <v>296</v>
      </c>
      <c r="I11065" s="9"/>
    </row>
    <row r="11066" spans="1:9" x14ac:dyDescent="0.25">
      <c r="A11066">
        <v>871160</v>
      </c>
      <c r="B11066">
        <v>2.21</v>
      </c>
      <c r="C11066">
        <v>384</v>
      </c>
      <c r="D11066" s="9">
        <v>42781</v>
      </c>
      <c r="E11066" t="s">
        <v>296</v>
      </c>
      <c r="I11066" s="9"/>
    </row>
    <row r="11067" spans="1:9" x14ac:dyDescent="0.25">
      <c r="A11067">
        <v>871160</v>
      </c>
      <c r="B11067">
        <v>2.2999999999999998</v>
      </c>
      <c r="C11067">
        <v>300</v>
      </c>
      <c r="D11067" s="9">
        <v>42530</v>
      </c>
      <c r="E11067" t="s">
        <v>296</v>
      </c>
      <c r="I11067" s="9"/>
    </row>
    <row r="11068" spans="1:9" x14ac:dyDescent="0.25">
      <c r="A11068">
        <v>871160</v>
      </c>
      <c r="B11068">
        <v>2.5</v>
      </c>
      <c r="C11068">
        <v>600</v>
      </c>
      <c r="D11068" s="9">
        <v>42299</v>
      </c>
      <c r="E11068" t="s">
        <v>296</v>
      </c>
      <c r="I11068" s="9"/>
    </row>
    <row r="11069" spans="1:9" x14ac:dyDescent="0.25">
      <c r="A11069">
        <v>871160</v>
      </c>
      <c r="B11069">
        <v>2.5</v>
      </c>
      <c r="C11069">
        <v>360</v>
      </c>
      <c r="D11069" s="9">
        <v>41982</v>
      </c>
      <c r="E11069" t="s">
        <v>296</v>
      </c>
      <c r="I11069" s="9"/>
    </row>
    <row r="11070" spans="1:9" x14ac:dyDescent="0.25">
      <c r="A11070">
        <v>871160</v>
      </c>
      <c r="B11070">
        <v>2.5</v>
      </c>
      <c r="C11070">
        <v>480</v>
      </c>
      <c r="D11070" s="9">
        <v>41837</v>
      </c>
      <c r="E11070" t="s">
        <v>296</v>
      </c>
      <c r="I11070" s="9"/>
    </row>
    <row r="11071" spans="1:9" x14ac:dyDescent="0.25">
      <c r="A11071">
        <v>871160</v>
      </c>
      <c r="B11071">
        <v>2.5</v>
      </c>
      <c r="C11071">
        <v>384</v>
      </c>
      <c r="D11071" s="9">
        <v>41746</v>
      </c>
      <c r="E11071" t="s">
        <v>296</v>
      </c>
      <c r="I11071" s="9"/>
    </row>
    <row r="11072" spans="1:9" x14ac:dyDescent="0.25">
      <c r="A11072">
        <v>871160</v>
      </c>
      <c r="B11072">
        <v>2.5</v>
      </c>
      <c r="C11072">
        <v>360</v>
      </c>
      <c r="D11072" s="9">
        <v>41647</v>
      </c>
      <c r="E11072" t="s">
        <v>296</v>
      </c>
      <c r="I11072" s="9"/>
    </row>
    <row r="11073" spans="1:9" x14ac:dyDescent="0.25">
      <c r="A11073">
        <v>871160</v>
      </c>
      <c r="B11073">
        <v>2.5</v>
      </c>
      <c r="C11073">
        <v>360</v>
      </c>
      <c r="D11073" s="9">
        <v>41571</v>
      </c>
      <c r="E11073" t="s">
        <v>296</v>
      </c>
      <c r="I11073" s="9"/>
    </row>
    <row r="11074" spans="1:9" x14ac:dyDescent="0.25">
      <c r="A11074">
        <v>871160</v>
      </c>
      <c r="B11074">
        <v>2.52</v>
      </c>
      <c r="C11074">
        <v>360</v>
      </c>
      <c r="D11074" s="9">
        <v>41330</v>
      </c>
      <c r="E11074" t="s">
        <v>296</v>
      </c>
      <c r="I11074" s="9"/>
    </row>
    <row r="11075" spans="1:9" x14ac:dyDescent="0.25">
      <c r="A11075">
        <v>871170</v>
      </c>
      <c r="B11075">
        <v>2.7</v>
      </c>
      <c r="C11075">
        <v>384</v>
      </c>
      <c r="D11075" s="9">
        <v>44140</v>
      </c>
      <c r="E11075" t="s">
        <v>296</v>
      </c>
      <c r="I11075" s="9"/>
    </row>
    <row r="11076" spans="1:9" x14ac:dyDescent="0.25">
      <c r="A11076">
        <v>871170</v>
      </c>
      <c r="B11076">
        <v>2.4630000000000001</v>
      </c>
      <c r="C11076">
        <v>400</v>
      </c>
      <c r="D11076" s="9">
        <v>44060</v>
      </c>
      <c r="E11076" t="s">
        <v>296</v>
      </c>
      <c r="I11076" s="9"/>
    </row>
    <row r="11077" spans="1:9" x14ac:dyDescent="0.25">
      <c r="A11077">
        <v>871170</v>
      </c>
      <c r="B11077">
        <v>2.4630000000000001</v>
      </c>
      <c r="C11077">
        <v>320</v>
      </c>
      <c r="D11077" s="9">
        <v>43941</v>
      </c>
      <c r="E11077" t="s">
        <v>296</v>
      </c>
      <c r="I11077" s="9"/>
    </row>
    <row r="11078" spans="1:9" x14ac:dyDescent="0.25">
      <c r="A11078">
        <v>871170</v>
      </c>
      <c r="B11078">
        <v>2.4630000000000001</v>
      </c>
      <c r="C11078">
        <v>320</v>
      </c>
      <c r="D11078" s="9">
        <v>43769</v>
      </c>
      <c r="E11078" t="s">
        <v>296</v>
      </c>
      <c r="I11078" s="9"/>
    </row>
    <row r="11079" spans="1:9" x14ac:dyDescent="0.25">
      <c r="A11079">
        <v>871170</v>
      </c>
      <c r="B11079">
        <v>2.593</v>
      </c>
      <c r="C11079">
        <v>320</v>
      </c>
      <c r="D11079" s="9">
        <v>43598</v>
      </c>
      <c r="E11079" t="s">
        <v>296</v>
      </c>
      <c r="I11079" s="9"/>
    </row>
    <row r="11080" spans="1:9" x14ac:dyDescent="0.25">
      <c r="A11080">
        <v>871170</v>
      </c>
      <c r="B11080">
        <v>2.75</v>
      </c>
      <c r="C11080">
        <v>368</v>
      </c>
      <c r="D11080" s="9">
        <v>43391</v>
      </c>
      <c r="E11080" t="s">
        <v>296</v>
      </c>
      <c r="I11080" s="9"/>
    </row>
    <row r="11081" spans="1:9" x14ac:dyDescent="0.25">
      <c r="A11081">
        <v>871170</v>
      </c>
      <c r="B11081">
        <v>2.75</v>
      </c>
      <c r="C11081">
        <v>320</v>
      </c>
      <c r="D11081" s="9">
        <v>43116</v>
      </c>
      <c r="E11081" t="s">
        <v>296</v>
      </c>
      <c r="I11081" s="9"/>
    </row>
    <row r="11082" spans="1:9" x14ac:dyDescent="0.25">
      <c r="A11082">
        <v>871170</v>
      </c>
      <c r="B11082">
        <v>2.75</v>
      </c>
      <c r="C11082">
        <v>320</v>
      </c>
      <c r="D11082" s="9">
        <v>43039</v>
      </c>
      <c r="E11082" t="s">
        <v>296</v>
      </c>
      <c r="I11082" s="9"/>
    </row>
    <row r="11083" spans="1:9" x14ac:dyDescent="0.25">
      <c r="A11083">
        <v>871170</v>
      </c>
      <c r="B11083">
        <v>2.5499999999999998</v>
      </c>
      <c r="C11083">
        <v>576</v>
      </c>
      <c r="D11083" s="9">
        <v>42781</v>
      </c>
      <c r="E11083" t="s">
        <v>296</v>
      </c>
      <c r="I11083" s="9"/>
    </row>
    <row r="11084" spans="1:9" x14ac:dyDescent="0.25">
      <c r="A11084">
        <v>871170</v>
      </c>
      <c r="B11084">
        <v>2.65</v>
      </c>
      <c r="C11084">
        <v>384</v>
      </c>
      <c r="D11084" s="9">
        <v>42573</v>
      </c>
      <c r="E11084" t="s">
        <v>296</v>
      </c>
      <c r="I11084" s="9"/>
    </row>
    <row r="11085" spans="1:9" x14ac:dyDescent="0.25">
      <c r="A11085">
        <v>871170</v>
      </c>
      <c r="B11085">
        <v>3</v>
      </c>
      <c r="C11085">
        <v>608</v>
      </c>
      <c r="D11085" s="9">
        <v>42299</v>
      </c>
      <c r="E11085" t="s">
        <v>296</v>
      </c>
      <c r="I11085" s="9"/>
    </row>
    <row r="11086" spans="1:9" x14ac:dyDescent="0.25">
      <c r="A11086">
        <v>871170</v>
      </c>
      <c r="B11086">
        <v>3</v>
      </c>
      <c r="C11086">
        <v>320</v>
      </c>
      <c r="D11086" s="9">
        <v>41982</v>
      </c>
      <c r="E11086" t="s">
        <v>296</v>
      </c>
      <c r="I11086" s="9"/>
    </row>
    <row r="11087" spans="1:9" x14ac:dyDescent="0.25">
      <c r="A11087">
        <v>871170</v>
      </c>
      <c r="B11087">
        <v>3</v>
      </c>
      <c r="C11087">
        <v>416</v>
      </c>
      <c r="D11087" s="9">
        <v>41789</v>
      </c>
      <c r="E11087" t="s">
        <v>296</v>
      </c>
      <c r="I11087" s="9"/>
    </row>
    <row r="11088" spans="1:9" x14ac:dyDescent="0.25">
      <c r="A11088">
        <v>871170</v>
      </c>
      <c r="B11088">
        <v>3</v>
      </c>
      <c r="C11088">
        <v>480</v>
      </c>
      <c r="D11088" s="9">
        <v>41647</v>
      </c>
      <c r="E11088" t="s">
        <v>296</v>
      </c>
      <c r="I11088" s="9"/>
    </row>
    <row r="11089" spans="1:9" x14ac:dyDescent="0.25">
      <c r="A11089">
        <v>871170</v>
      </c>
      <c r="B11089">
        <v>3</v>
      </c>
      <c r="C11089">
        <v>480</v>
      </c>
      <c r="D11089" s="9">
        <v>41571</v>
      </c>
      <c r="E11089" t="s">
        <v>296</v>
      </c>
      <c r="I11089" s="9"/>
    </row>
    <row r="11090" spans="1:9" x14ac:dyDescent="0.25">
      <c r="A11090">
        <v>871170</v>
      </c>
      <c r="B11090">
        <v>2.9</v>
      </c>
      <c r="C11090">
        <v>512</v>
      </c>
      <c r="D11090" s="9">
        <v>41330</v>
      </c>
      <c r="E11090" t="s">
        <v>296</v>
      </c>
      <c r="I11090" s="9"/>
    </row>
    <row r="11091" spans="1:9" x14ac:dyDescent="0.25">
      <c r="A11091">
        <v>872058</v>
      </c>
      <c r="B11091">
        <v>26.3</v>
      </c>
      <c r="C11091">
        <v>100</v>
      </c>
      <c r="D11091" s="9">
        <v>43963</v>
      </c>
      <c r="E11091" t="s">
        <v>295</v>
      </c>
      <c r="I11091" s="9"/>
    </row>
    <row r="11092" spans="1:9" x14ac:dyDescent="0.25">
      <c r="A11092">
        <v>883000</v>
      </c>
      <c r="B11092">
        <v>0.78</v>
      </c>
      <c r="C11092">
        <v>1440</v>
      </c>
      <c r="D11092" s="9">
        <v>43991</v>
      </c>
      <c r="E11092" t="s">
        <v>296</v>
      </c>
      <c r="I11092" s="9"/>
    </row>
    <row r="11093" spans="1:9" x14ac:dyDescent="0.25">
      <c r="A11093">
        <v>883000</v>
      </c>
      <c r="B11093">
        <v>0.78</v>
      </c>
      <c r="C11093">
        <v>1200</v>
      </c>
      <c r="D11093" s="9">
        <v>43769</v>
      </c>
      <c r="E11093" t="s">
        <v>296</v>
      </c>
      <c r="I11093" s="9"/>
    </row>
    <row r="11094" spans="1:9" x14ac:dyDescent="0.25">
      <c r="A11094">
        <v>883000</v>
      </c>
      <c r="B11094">
        <v>0.78</v>
      </c>
      <c r="C11094">
        <v>1200</v>
      </c>
      <c r="D11094" s="9">
        <v>43473</v>
      </c>
      <c r="E11094" t="s">
        <v>296</v>
      </c>
      <c r="I11094" s="9"/>
    </row>
    <row r="11095" spans="1:9" x14ac:dyDescent="0.25">
      <c r="A11095">
        <v>883000</v>
      </c>
      <c r="B11095">
        <v>2.94</v>
      </c>
      <c r="C11095">
        <v>1800</v>
      </c>
      <c r="D11095" s="9">
        <v>43263</v>
      </c>
      <c r="E11095" t="s">
        <v>295</v>
      </c>
      <c r="I11095" s="9"/>
    </row>
    <row r="11096" spans="1:9" x14ac:dyDescent="0.25">
      <c r="A11096">
        <v>883000</v>
      </c>
      <c r="B11096">
        <v>0.78</v>
      </c>
      <c r="C11096">
        <v>1800</v>
      </c>
      <c r="D11096" s="9">
        <v>43228</v>
      </c>
      <c r="E11096" t="s">
        <v>296</v>
      </c>
      <c r="I11096" s="9"/>
    </row>
    <row r="11097" spans="1:9" x14ac:dyDescent="0.25">
      <c r="A11097">
        <v>883000</v>
      </c>
      <c r="B11097">
        <v>2.83</v>
      </c>
      <c r="C11097">
        <v>1680</v>
      </c>
      <c r="D11097" s="9">
        <v>43123</v>
      </c>
      <c r="E11097" t="s">
        <v>295</v>
      </c>
      <c r="I11097" s="9"/>
    </row>
    <row r="11098" spans="1:9" x14ac:dyDescent="0.25">
      <c r="A11098">
        <v>883000</v>
      </c>
      <c r="B11098">
        <v>0.78</v>
      </c>
      <c r="C11098">
        <v>1680</v>
      </c>
      <c r="D11098" s="9">
        <v>43067</v>
      </c>
      <c r="E11098" t="s">
        <v>296</v>
      </c>
      <c r="I11098" s="9"/>
    </row>
    <row r="11099" spans="1:9" x14ac:dyDescent="0.25">
      <c r="A11099">
        <v>883000</v>
      </c>
      <c r="B11099">
        <v>0.73</v>
      </c>
      <c r="C11099">
        <v>1680</v>
      </c>
      <c r="D11099" s="9">
        <v>42873</v>
      </c>
      <c r="E11099" t="s">
        <v>296</v>
      </c>
      <c r="I11099" s="9"/>
    </row>
    <row r="11100" spans="1:9" x14ac:dyDescent="0.25">
      <c r="A11100">
        <v>883000</v>
      </c>
      <c r="B11100">
        <v>0.73</v>
      </c>
      <c r="C11100">
        <v>1440</v>
      </c>
      <c r="D11100" s="9">
        <v>42617</v>
      </c>
      <c r="E11100" t="s">
        <v>296</v>
      </c>
      <c r="I11100" s="9"/>
    </row>
    <row r="11101" spans="1:9" x14ac:dyDescent="0.25">
      <c r="A11101">
        <v>883000</v>
      </c>
      <c r="B11101">
        <v>0.73</v>
      </c>
      <c r="C11101">
        <v>1440</v>
      </c>
      <c r="D11101" s="9">
        <v>42530</v>
      </c>
      <c r="E11101" t="s">
        <v>296</v>
      </c>
      <c r="I11101" s="9"/>
    </row>
    <row r="11102" spans="1:9" x14ac:dyDescent="0.25">
      <c r="A11102">
        <v>883000</v>
      </c>
      <c r="B11102">
        <v>0.76</v>
      </c>
      <c r="C11102">
        <v>1440</v>
      </c>
      <c r="D11102" s="9">
        <v>42380</v>
      </c>
      <c r="E11102" t="s">
        <v>296</v>
      </c>
      <c r="I11102" s="9"/>
    </row>
    <row r="11103" spans="1:9" x14ac:dyDescent="0.25">
      <c r="A11103">
        <v>883000</v>
      </c>
      <c r="B11103">
        <v>0.62</v>
      </c>
      <c r="C11103">
        <v>1440</v>
      </c>
      <c r="D11103" s="9">
        <v>42191</v>
      </c>
      <c r="E11103" t="s">
        <v>296</v>
      </c>
      <c r="I11103" s="9"/>
    </row>
    <row r="11104" spans="1:9" x14ac:dyDescent="0.25">
      <c r="A11104">
        <v>883000</v>
      </c>
      <c r="B11104">
        <v>0.62</v>
      </c>
      <c r="C11104">
        <v>2160</v>
      </c>
      <c r="D11104" s="9">
        <v>41877</v>
      </c>
      <c r="E11104" t="s">
        <v>296</v>
      </c>
      <c r="I11104" s="9"/>
    </row>
    <row r="11105" spans="1:9" x14ac:dyDescent="0.25">
      <c r="A11105">
        <v>883000</v>
      </c>
      <c r="B11105">
        <v>0.62</v>
      </c>
      <c r="C11105">
        <v>1440</v>
      </c>
      <c r="D11105" s="9">
        <v>41718</v>
      </c>
      <c r="E11105" t="s">
        <v>296</v>
      </c>
      <c r="I11105" s="9"/>
    </row>
    <row r="11106" spans="1:9" x14ac:dyDescent="0.25">
      <c r="A11106">
        <v>883000</v>
      </c>
      <c r="B11106">
        <v>0.62</v>
      </c>
      <c r="C11106">
        <v>2400</v>
      </c>
      <c r="D11106" s="9">
        <v>41526</v>
      </c>
      <c r="E11106" t="s">
        <v>296</v>
      </c>
      <c r="I11106" s="9"/>
    </row>
    <row r="11107" spans="1:9" x14ac:dyDescent="0.25">
      <c r="A11107">
        <v>883000</v>
      </c>
      <c r="B11107">
        <v>0.63600000000000001</v>
      </c>
      <c r="C11107">
        <v>1200</v>
      </c>
      <c r="D11107" s="9">
        <v>41281</v>
      </c>
      <c r="E11107" t="s">
        <v>296</v>
      </c>
      <c r="I11107" s="9"/>
    </row>
    <row r="11108" spans="1:9" x14ac:dyDescent="0.25">
      <c r="A11108">
        <v>883030</v>
      </c>
      <c r="B11108">
        <v>11</v>
      </c>
      <c r="C11108">
        <v>156</v>
      </c>
      <c r="D11108" s="9">
        <v>42781</v>
      </c>
      <c r="E11108" t="s">
        <v>296</v>
      </c>
      <c r="I11108" s="9"/>
    </row>
    <row r="11109" spans="1:9" x14ac:dyDescent="0.25">
      <c r="A11109">
        <v>883030</v>
      </c>
      <c r="B11109">
        <v>11</v>
      </c>
      <c r="C11109">
        <v>180</v>
      </c>
      <c r="D11109" s="9">
        <v>42696</v>
      </c>
      <c r="E11109" t="s">
        <v>296</v>
      </c>
      <c r="I11109" s="9"/>
    </row>
    <row r="11110" spans="1:9" x14ac:dyDescent="0.25">
      <c r="A11110">
        <v>884000</v>
      </c>
      <c r="B11110">
        <v>0.29299999999999998</v>
      </c>
      <c r="C11110">
        <v>9600</v>
      </c>
      <c r="D11110" s="9">
        <v>44068</v>
      </c>
      <c r="E11110" t="s">
        <v>296</v>
      </c>
      <c r="I11110" s="9"/>
    </row>
    <row r="11111" spans="1:9" x14ac:dyDescent="0.25">
      <c r="A11111">
        <v>884000</v>
      </c>
      <c r="B11111">
        <v>0.29299999999999998</v>
      </c>
      <c r="C11111">
        <v>9600</v>
      </c>
      <c r="D11111" s="9">
        <v>43784</v>
      </c>
      <c r="E11111" t="s">
        <v>296</v>
      </c>
      <c r="I11111" s="9"/>
    </row>
    <row r="11112" spans="1:9" x14ac:dyDescent="0.25">
      <c r="A11112">
        <v>884000</v>
      </c>
      <c r="B11112">
        <v>0.29299999999999998</v>
      </c>
      <c r="C11112">
        <v>8000</v>
      </c>
      <c r="D11112" s="9">
        <v>43567</v>
      </c>
      <c r="E11112" t="s">
        <v>296</v>
      </c>
      <c r="I11112" s="9"/>
    </row>
    <row r="11113" spans="1:9" x14ac:dyDescent="0.25">
      <c r="A11113">
        <v>884000</v>
      </c>
      <c r="B11113">
        <v>1.05</v>
      </c>
      <c r="C11113">
        <v>8000</v>
      </c>
      <c r="D11113" s="9">
        <v>43340</v>
      </c>
      <c r="E11113" t="s">
        <v>295</v>
      </c>
      <c r="I11113" s="9"/>
    </row>
    <row r="11114" spans="1:9" x14ac:dyDescent="0.25">
      <c r="A11114">
        <v>884000</v>
      </c>
      <c r="B11114">
        <v>0.28000000000000003</v>
      </c>
      <c r="C11114">
        <v>8000</v>
      </c>
      <c r="D11114" s="9">
        <v>43299</v>
      </c>
      <c r="E11114" t="s">
        <v>296</v>
      </c>
      <c r="I11114" s="9"/>
    </row>
    <row r="11115" spans="1:9" x14ac:dyDescent="0.25">
      <c r="A11115">
        <v>884000</v>
      </c>
      <c r="B11115">
        <v>0.81</v>
      </c>
      <c r="C11115">
        <v>3120</v>
      </c>
      <c r="D11115" s="9">
        <v>43090</v>
      </c>
      <c r="E11115" t="s">
        <v>295</v>
      </c>
      <c r="I11115" s="9"/>
    </row>
    <row r="11116" spans="1:9" x14ac:dyDescent="0.25">
      <c r="A11116">
        <v>884000</v>
      </c>
      <c r="B11116">
        <v>0.22</v>
      </c>
      <c r="C11116">
        <v>3120</v>
      </c>
      <c r="D11116" s="9">
        <v>43052</v>
      </c>
      <c r="E11116" t="s">
        <v>296</v>
      </c>
      <c r="I11116" s="9"/>
    </row>
    <row r="11117" spans="1:9" x14ac:dyDescent="0.25">
      <c r="A11117">
        <v>884000</v>
      </c>
      <c r="B11117">
        <v>0.22</v>
      </c>
      <c r="C11117">
        <v>2880</v>
      </c>
      <c r="D11117" s="9">
        <v>42864</v>
      </c>
      <c r="E11117" t="s">
        <v>296</v>
      </c>
      <c r="I11117" s="9"/>
    </row>
    <row r="11118" spans="1:9" x14ac:dyDescent="0.25">
      <c r="A11118">
        <v>884000</v>
      </c>
      <c r="B11118">
        <v>0.22</v>
      </c>
      <c r="C11118">
        <v>2880</v>
      </c>
      <c r="D11118" s="9">
        <v>42586</v>
      </c>
      <c r="E11118" t="s">
        <v>296</v>
      </c>
      <c r="I11118" s="9"/>
    </row>
    <row r="11119" spans="1:9" x14ac:dyDescent="0.25">
      <c r="A11119">
        <v>884001</v>
      </c>
      <c r="B11119">
        <v>0.7</v>
      </c>
      <c r="C11119">
        <v>1296</v>
      </c>
      <c r="D11119" s="9">
        <v>43839</v>
      </c>
      <c r="E11119" t="s">
        <v>296</v>
      </c>
      <c r="I11119" s="9"/>
    </row>
    <row r="11120" spans="1:9" x14ac:dyDescent="0.25">
      <c r="A11120">
        <v>884001</v>
      </c>
      <c r="B11120">
        <v>0.7</v>
      </c>
      <c r="C11120">
        <v>1296</v>
      </c>
      <c r="D11120" s="9">
        <v>43803</v>
      </c>
      <c r="E11120" t="s">
        <v>296</v>
      </c>
      <c r="I11120" s="9"/>
    </row>
    <row r="11121" spans="1:9" x14ac:dyDescent="0.25">
      <c r="A11121">
        <v>884001</v>
      </c>
      <c r="B11121">
        <v>0.7</v>
      </c>
      <c r="C11121">
        <v>2592</v>
      </c>
      <c r="D11121" s="9">
        <v>43686</v>
      </c>
      <c r="E11121" t="s">
        <v>296</v>
      </c>
      <c r="I11121" s="9"/>
    </row>
    <row r="11122" spans="1:9" x14ac:dyDescent="0.25">
      <c r="A11122">
        <v>884001</v>
      </c>
      <c r="B11122">
        <v>2.68</v>
      </c>
      <c r="C11122">
        <v>2160</v>
      </c>
      <c r="D11122" s="9">
        <v>43298</v>
      </c>
      <c r="E11122" t="s">
        <v>295</v>
      </c>
      <c r="I11122" s="9"/>
    </row>
    <row r="11123" spans="1:9" x14ac:dyDescent="0.25">
      <c r="A11123">
        <v>884001</v>
      </c>
      <c r="B11123">
        <v>0.7</v>
      </c>
      <c r="C11123">
        <v>2160</v>
      </c>
      <c r="D11123" s="9">
        <v>43264</v>
      </c>
      <c r="E11123" t="s">
        <v>296</v>
      </c>
      <c r="I11123" s="9"/>
    </row>
    <row r="11124" spans="1:9" x14ac:dyDescent="0.25">
      <c r="A11124">
        <v>884002</v>
      </c>
      <c r="B11124">
        <v>2.7</v>
      </c>
      <c r="C11124">
        <v>600</v>
      </c>
      <c r="D11124" s="9">
        <v>44028</v>
      </c>
      <c r="E11124" t="s">
        <v>296</v>
      </c>
      <c r="I11124" s="9"/>
    </row>
    <row r="11125" spans="1:9" x14ac:dyDescent="0.25">
      <c r="A11125">
        <v>884002</v>
      </c>
      <c r="B11125">
        <v>2.7</v>
      </c>
      <c r="C11125">
        <v>500</v>
      </c>
      <c r="D11125" s="9">
        <v>43972</v>
      </c>
      <c r="E11125" t="s">
        <v>296</v>
      </c>
      <c r="I11125" s="9"/>
    </row>
    <row r="11126" spans="1:9" x14ac:dyDescent="0.25">
      <c r="A11126">
        <v>884002</v>
      </c>
      <c r="B11126">
        <v>2.7</v>
      </c>
      <c r="C11126">
        <v>500</v>
      </c>
      <c r="D11126" s="9">
        <v>43600</v>
      </c>
      <c r="E11126" t="s">
        <v>296</v>
      </c>
      <c r="I11126" s="9"/>
    </row>
    <row r="11127" spans="1:9" x14ac:dyDescent="0.25">
      <c r="A11127">
        <v>884002</v>
      </c>
      <c r="B11127">
        <v>2.7</v>
      </c>
      <c r="C11127">
        <v>500</v>
      </c>
      <c r="D11127" s="9">
        <v>43305</v>
      </c>
      <c r="E11127" t="s">
        <v>296</v>
      </c>
      <c r="I11127" s="9"/>
    </row>
    <row r="11128" spans="1:9" x14ac:dyDescent="0.25">
      <c r="A11128">
        <v>884002</v>
      </c>
      <c r="B11128">
        <v>2.7</v>
      </c>
      <c r="C11128">
        <v>480</v>
      </c>
      <c r="D11128" s="9">
        <v>43063</v>
      </c>
      <c r="E11128" t="s">
        <v>296</v>
      </c>
      <c r="I11128" s="9"/>
    </row>
    <row r="11129" spans="1:9" x14ac:dyDescent="0.25">
      <c r="A11129">
        <v>884003</v>
      </c>
      <c r="B11129">
        <v>0.219</v>
      </c>
      <c r="C11129">
        <v>2000</v>
      </c>
      <c r="D11129" s="9">
        <v>44068</v>
      </c>
      <c r="E11129" t="s">
        <v>296</v>
      </c>
      <c r="I11129" s="9"/>
    </row>
    <row r="11130" spans="1:9" x14ac:dyDescent="0.25">
      <c r="A11130">
        <v>885070</v>
      </c>
      <c r="B11130">
        <v>1.25</v>
      </c>
      <c r="C11130">
        <v>1000</v>
      </c>
      <c r="D11130" s="9">
        <v>43882</v>
      </c>
      <c r="E11130" t="s">
        <v>295</v>
      </c>
      <c r="I11130" s="9"/>
    </row>
    <row r="11131" spans="1:9" x14ac:dyDescent="0.25">
      <c r="A11131">
        <v>885071</v>
      </c>
      <c r="B11131">
        <v>12.5</v>
      </c>
      <c r="C11131">
        <v>100</v>
      </c>
      <c r="D11131" s="9">
        <v>43882</v>
      </c>
      <c r="E11131" t="s">
        <v>295</v>
      </c>
      <c r="I11131" s="9"/>
    </row>
    <row r="11132" spans="1:9" x14ac:dyDescent="0.25">
      <c r="A11132">
        <v>885080</v>
      </c>
      <c r="B11132">
        <v>0.18</v>
      </c>
      <c r="C11132">
        <v>7200</v>
      </c>
      <c r="D11132" s="9">
        <v>44043</v>
      </c>
      <c r="E11132" t="s">
        <v>296</v>
      </c>
      <c r="I11132" s="9"/>
    </row>
    <row r="11133" spans="1:9" x14ac:dyDescent="0.25">
      <c r="A11133">
        <v>885080</v>
      </c>
      <c r="B11133">
        <v>0.18</v>
      </c>
      <c r="C11133">
        <v>4800</v>
      </c>
      <c r="D11133" s="9">
        <v>43839</v>
      </c>
      <c r="E11133" t="s">
        <v>296</v>
      </c>
      <c r="I11133" s="9"/>
    </row>
    <row r="11134" spans="1:9" x14ac:dyDescent="0.25">
      <c r="A11134">
        <v>885080</v>
      </c>
      <c r="B11134">
        <v>0.15</v>
      </c>
      <c r="C11134">
        <v>4032</v>
      </c>
      <c r="D11134" s="9">
        <v>43427</v>
      </c>
      <c r="E11134" t="s">
        <v>296</v>
      </c>
      <c r="I11134" s="9"/>
    </row>
    <row r="11135" spans="1:9" x14ac:dyDescent="0.25">
      <c r="A11135">
        <v>885080</v>
      </c>
      <c r="B11135">
        <v>0.15</v>
      </c>
      <c r="C11135">
        <v>5760</v>
      </c>
      <c r="D11135" s="9">
        <v>43427</v>
      </c>
      <c r="E11135" t="s">
        <v>296</v>
      </c>
      <c r="I11135" s="9"/>
    </row>
    <row r="11136" spans="1:9" x14ac:dyDescent="0.25">
      <c r="A11136">
        <v>885080</v>
      </c>
      <c r="B11136">
        <v>0.54</v>
      </c>
      <c r="C11136">
        <v>4032</v>
      </c>
      <c r="D11136" s="9">
        <v>43132</v>
      </c>
      <c r="E11136" t="s">
        <v>295</v>
      </c>
      <c r="I11136" s="9"/>
    </row>
    <row r="11137" spans="1:9" x14ac:dyDescent="0.25">
      <c r="A11137">
        <v>885080</v>
      </c>
      <c r="B11137">
        <v>0.15</v>
      </c>
      <c r="C11137">
        <v>4032</v>
      </c>
      <c r="D11137" s="9">
        <v>43132</v>
      </c>
      <c r="E11137" t="s">
        <v>296</v>
      </c>
      <c r="I11137" s="9"/>
    </row>
    <row r="11138" spans="1:9" x14ac:dyDescent="0.25">
      <c r="A11138">
        <v>885080</v>
      </c>
      <c r="B11138">
        <v>0.16300000000000001</v>
      </c>
      <c r="C11138">
        <v>7200</v>
      </c>
      <c r="D11138" s="9">
        <v>42753</v>
      </c>
      <c r="E11138" t="s">
        <v>297</v>
      </c>
      <c r="I11138" s="9"/>
    </row>
    <row r="11139" spans="1:9" x14ac:dyDescent="0.25">
      <c r="A11139">
        <v>885080</v>
      </c>
      <c r="B11139">
        <v>0.16</v>
      </c>
      <c r="C11139">
        <v>4032</v>
      </c>
      <c r="D11139" s="9">
        <v>42753</v>
      </c>
      <c r="E11139" t="s">
        <v>296</v>
      </c>
      <c r="I11139" s="9"/>
    </row>
    <row r="11140" spans="1:9" x14ac:dyDescent="0.25">
      <c r="A11140">
        <v>885080</v>
      </c>
      <c r="B11140">
        <v>0.16300000000000001</v>
      </c>
      <c r="C11140">
        <v>5760</v>
      </c>
      <c r="D11140" s="9">
        <v>42607</v>
      </c>
      <c r="E11140" t="s">
        <v>297</v>
      </c>
      <c r="I11140" s="9"/>
    </row>
    <row r="11141" spans="1:9" x14ac:dyDescent="0.25">
      <c r="A11141">
        <v>885080</v>
      </c>
      <c r="B11141">
        <v>0.16300000000000001</v>
      </c>
      <c r="C11141">
        <v>5760</v>
      </c>
      <c r="D11141" s="9">
        <v>42401</v>
      </c>
      <c r="E11141" t="s">
        <v>297</v>
      </c>
      <c r="I11141" s="9"/>
    </row>
    <row r="11142" spans="1:9" x14ac:dyDescent="0.25">
      <c r="A11142">
        <v>885080</v>
      </c>
      <c r="B11142">
        <v>0.16300000000000001</v>
      </c>
      <c r="C11142">
        <v>5760</v>
      </c>
      <c r="D11142" s="9">
        <v>42233</v>
      </c>
      <c r="E11142" t="s">
        <v>297</v>
      </c>
      <c r="I11142" s="9"/>
    </row>
    <row r="11143" spans="1:9" x14ac:dyDescent="0.25">
      <c r="A11143">
        <v>885080</v>
      </c>
      <c r="B11143">
        <v>0.17899999999999999</v>
      </c>
      <c r="C11143">
        <v>10080</v>
      </c>
      <c r="D11143" s="9">
        <v>42040</v>
      </c>
      <c r="E11143" t="s">
        <v>296</v>
      </c>
      <c r="I11143" s="9"/>
    </row>
    <row r="11144" spans="1:9" x14ac:dyDescent="0.25">
      <c r="A11144">
        <v>885080</v>
      </c>
      <c r="B11144">
        <v>0.17899999999999999</v>
      </c>
      <c r="C11144">
        <v>5760</v>
      </c>
      <c r="D11144" s="9">
        <v>41865</v>
      </c>
      <c r="E11144" t="s">
        <v>296</v>
      </c>
      <c r="I11144" s="9"/>
    </row>
    <row r="11145" spans="1:9" x14ac:dyDescent="0.25">
      <c r="A11145">
        <v>885080</v>
      </c>
      <c r="B11145">
        <v>0.17899999999999999</v>
      </c>
      <c r="C11145">
        <v>5760</v>
      </c>
      <c r="D11145" s="9">
        <v>41865</v>
      </c>
      <c r="E11145" t="s">
        <v>296</v>
      </c>
      <c r="I11145" s="9"/>
    </row>
    <row r="11146" spans="1:9" x14ac:dyDescent="0.25">
      <c r="A11146">
        <v>885080</v>
      </c>
      <c r="B11146">
        <v>0.17499999999999999</v>
      </c>
      <c r="C11146">
        <v>5760</v>
      </c>
      <c r="D11146" s="9">
        <v>41682</v>
      </c>
      <c r="E11146" t="s">
        <v>296</v>
      </c>
      <c r="I11146" s="9"/>
    </row>
    <row r="11147" spans="1:9" x14ac:dyDescent="0.25">
      <c r="A11147">
        <v>885080</v>
      </c>
      <c r="B11147">
        <v>0.17499999999999999</v>
      </c>
      <c r="C11147">
        <v>5760</v>
      </c>
      <c r="D11147" s="9">
        <v>41535</v>
      </c>
      <c r="E11147" t="s">
        <v>296</v>
      </c>
      <c r="I11147" s="9"/>
    </row>
    <row r="11148" spans="1:9" x14ac:dyDescent="0.25">
      <c r="A11148">
        <v>885080</v>
      </c>
      <c r="B11148">
        <v>0.17499999999999999</v>
      </c>
      <c r="C11148">
        <v>5760</v>
      </c>
      <c r="D11148" s="9">
        <v>41418</v>
      </c>
      <c r="E11148" t="s">
        <v>296</v>
      </c>
      <c r="I11148" s="9"/>
    </row>
    <row r="11149" spans="1:9" x14ac:dyDescent="0.25">
      <c r="A11149">
        <v>885080</v>
      </c>
      <c r="B11149">
        <v>0.17499999999999999</v>
      </c>
      <c r="C11149">
        <v>6336</v>
      </c>
      <c r="D11149" s="9">
        <v>41295</v>
      </c>
      <c r="E11149" t="s">
        <v>296</v>
      </c>
      <c r="I11149" s="9"/>
    </row>
    <row r="11150" spans="1:9" x14ac:dyDescent="0.25">
      <c r="A11150">
        <v>885082</v>
      </c>
      <c r="B11150">
        <v>0.14000000000000001</v>
      </c>
      <c r="C11150">
        <v>2304</v>
      </c>
      <c r="D11150" s="9">
        <v>42753</v>
      </c>
      <c r="E11150" t="s">
        <v>296</v>
      </c>
      <c r="I11150" s="9"/>
    </row>
    <row r="11151" spans="1:9" x14ac:dyDescent="0.25">
      <c r="A11151">
        <v>885082</v>
      </c>
      <c r="B11151">
        <v>0.157</v>
      </c>
      <c r="C11151">
        <v>4320</v>
      </c>
      <c r="D11151" s="9">
        <v>42676</v>
      </c>
      <c r="E11151" t="s">
        <v>297</v>
      </c>
      <c r="I11151" s="9"/>
    </row>
    <row r="11152" spans="1:9" x14ac:dyDescent="0.25">
      <c r="A11152">
        <v>885082</v>
      </c>
      <c r="B11152">
        <v>0.69</v>
      </c>
      <c r="C11152">
        <v>2160</v>
      </c>
      <c r="D11152" s="9">
        <v>42520</v>
      </c>
      <c r="E11152" t="s">
        <v>295</v>
      </c>
      <c r="I11152" s="9"/>
    </row>
    <row r="11153" spans="1:9" x14ac:dyDescent="0.25">
      <c r="A11153">
        <v>885082</v>
      </c>
      <c r="B11153">
        <v>0.157</v>
      </c>
      <c r="C11153">
        <v>4320</v>
      </c>
      <c r="D11153" s="9">
        <v>42520</v>
      </c>
      <c r="E11153" t="s">
        <v>297</v>
      </c>
      <c r="I11153" s="9"/>
    </row>
    <row r="11154" spans="1:9" x14ac:dyDescent="0.25">
      <c r="A11154">
        <v>885082</v>
      </c>
      <c r="B11154">
        <v>0.16500000000000001</v>
      </c>
      <c r="C11154">
        <v>4320</v>
      </c>
      <c r="D11154" s="9">
        <v>42040</v>
      </c>
      <c r="E11154" t="s">
        <v>296</v>
      </c>
      <c r="I11154" s="9"/>
    </row>
    <row r="11155" spans="1:9" x14ac:dyDescent="0.25">
      <c r="A11155">
        <v>885082</v>
      </c>
      <c r="B11155">
        <v>0.16500000000000001</v>
      </c>
      <c r="C11155">
        <v>3744</v>
      </c>
      <c r="D11155" s="9">
        <v>41682</v>
      </c>
      <c r="E11155" t="s">
        <v>296</v>
      </c>
      <c r="I11155" s="9"/>
    </row>
    <row r="11156" spans="1:9" x14ac:dyDescent="0.25">
      <c r="A11156">
        <v>885082</v>
      </c>
      <c r="B11156">
        <v>0.16500000000000001</v>
      </c>
      <c r="C11156">
        <v>2880</v>
      </c>
      <c r="D11156" s="9">
        <v>41418</v>
      </c>
      <c r="E11156" t="s">
        <v>296</v>
      </c>
      <c r="I11156" s="9"/>
    </row>
    <row r="11157" spans="1:9" x14ac:dyDescent="0.25">
      <c r="A11157">
        <v>885084</v>
      </c>
      <c r="B11157">
        <v>0.25</v>
      </c>
      <c r="C11157">
        <v>3456</v>
      </c>
      <c r="D11157" s="9">
        <v>43427</v>
      </c>
      <c r="E11157" t="s">
        <v>296</v>
      </c>
      <c r="I11157" s="9"/>
    </row>
    <row r="11158" spans="1:9" x14ac:dyDescent="0.25">
      <c r="A11158">
        <v>885086</v>
      </c>
      <c r="B11158">
        <v>0.27</v>
      </c>
      <c r="C11158">
        <v>1200</v>
      </c>
      <c r="D11158" s="9">
        <v>44083</v>
      </c>
      <c r="E11158" t="s">
        <v>296</v>
      </c>
      <c r="I11158" s="9"/>
    </row>
    <row r="11159" spans="1:9" x14ac:dyDescent="0.25">
      <c r="A11159">
        <v>885086</v>
      </c>
      <c r="B11159">
        <v>0.25</v>
      </c>
      <c r="C11159">
        <v>3456</v>
      </c>
      <c r="D11159" s="9">
        <v>43427</v>
      </c>
      <c r="E11159" t="s">
        <v>296</v>
      </c>
      <c r="I11159" s="9"/>
    </row>
    <row r="11160" spans="1:9" x14ac:dyDescent="0.25">
      <c r="A11160">
        <v>885096</v>
      </c>
      <c r="B11160">
        <v>0.95</v>
      </c>
      <c r="C11160">
        <v>1320</v>
      </c>
      <c r="D11160" s="9">
        <v>41934</v>
      </c>
      <c r="E11160" t="s">
        <v>296</v>
      </c>
      <c r="I11160" s="9"/>
    </row>
    <row r="11161" spans="1:9" x14ac:dyDescent="0.25">
      <c r="A11161">
        <v>891203</v>
      </c>
      <c r="B11161">
        <v>43.2</v>
      </c>
      <c r="C11161">
        <v>1</v>
      </c>
      <c r="D11161" s="9">
        <v>42839</v>
      </c>
      <c r="E11161" t="s">
        <v>295</v>
      </c>
      <c r="I11161" s="9"/>
    </row>
    <row r="11162" spans="1:9" x14ac:dyDescent="0.25">
      <c r="A11162">
        <v>891203</v>
      </c>
      <c r="B11162">
        <v>31.23</v>
      </c>
      <c r="C11162">
        <v>33</v>
      </c>
      <c r="D11162" s="9">
        <v>41960</v>
      </c>
      <c r="E11162" t="s">
        <v>295</v>
      </c>
      <c r="I11162" s="9"/>
    </row>
    <row r="11163" spans="1:9" x14ac:dyDescent="0.25">
      <c r="A11163">
        <v>891203</v>
      </c>
      <c r="B11163">
        <v>34.5</v>
      </c>
      <c r="C11163">
        <v>15</v>
      </c>
      <c r="D11163" s="9">
        <v>41922</v>
      </c>
      <c r="E11163" t="s">
        <v>295</v>
      </c>
      <c r="I11163" s="9"/>
    </row>
    <row r="11164" spans="1:9" x14ac:dyDescent="0.25">
      <c r="A11164">
        <v>891203</v>
      </c>
      <c r="B11164">
        <v>0</v>
      </c>
      <c r="C11164">
        <v>10</v>
      </c>
      <c r="D11164" s="9">
        <v>41897</v>
      </c>
      <c r="E11164" t="s">
        <v>295</v>
      </c>
      <c r="I11164" s="9"/>
    </row>
    <row r="11165" spans="1:9" x14ac:dyDescent="0.25">
      <c r="A11165">
        <v>891203</v>
      </c>
      <c r="B11165">
        <v>34.5</v>
      </c>
      <c r="C11165">
        <v>18</v>
      </c>
      <c r="D11165" s="9">
        <v>41794</v>
      </c>
      <c r="E11165" t="s">
        <v>295</v>
      </c>
      <c r="I11165" s="9"/>
    </row>
    <row r="11166" spans="1:9" x14ac:dyDescent="0.25">
      <c r="A11166">
        <v>891204</v>
      </c>
      <c r="B11166">
        <v>53.76</v>
      </c>
      <c r="C11166">
        <v>1</v>
      </c>
      <c r="D11166" s="9">
        <v>42839</v>
      </c>
      <c r="E11166" t="s">
        <v>295</v>
      </c>
      <c r="I11166" s="9"/>
    </row>
    <row r="11167" spans="1:9" x14ac:dyDescent="0.25">
      <c r="A11167">
        <v>891204</v>
      </c>
      <c r="B11167">
        <v>51.75</v>
      </c>
      <c r="C11167">
        <v>10</v>
      </c>
      <c r="D11167" s="9">
        <v>42317</v>
      </c>
      <c r="E11167" t="s">
        <v>295</v>
      </c>
      <c r="I11167" s="9"/>
    </row>
    <row r="11168" spans="1:9" x14ac:dyDescent="0.25">
      <c r="A11168">
        <v>891204</v>
      </c>
      <c r="B11168">
        <v>51.75</v>
      </c>
      <c r="C11168">
        <v>5</v>
      </c>
      <c r="D11168" s="9">
        <v>42137</v>
      </c>
      <c r="E11168" t="s">
        <v>295</v>
      </c>
      <c r="I11168" s="9"/>
    </row>
    <row r="11169" spans="1:9" x14ac:dyDescent="0.25">
      <c r="A11169">
        <v>891204</v>
      </c>
      <c r="B11169">
        <v>39.42</v>
      </c>
      <c r="C11169">
        <v>22</v>
      </c>
      <c r="D11169" s="9">
        <v>41984</v>
      </c>
      <c r="E11169" t="s">
        <v>295</v>
      </c>
      <c r="I11169" s="9"/>
    </row>
    <row r="11170" spans="1:9" x14ac:dyDescent="0.25">
      <c r="A11170">
        <v>891204</v>
      </c>
      <c r="B11170">
        <v>42.82</v>
      </c>
      <c r="C11170">
        <v>15</v>
      </c>
      <c r="D11170" s="9">
        <v>41922</v>
      </c>
      <c r="E11170" t="s">
        <v>295</v>
      </c>
      <c r="I11170" s="9"/>
    </row>
    <row r="11171" spans="1:9" x14ac:dyDescent="0.25">
      <c r="A11171">
        <v>891204</v>
      </c>
      <c r="B11171">
        <v>0</v>
      </c>
      <c r="C11171">
        <v>10</v>
      </c>
      <c r="D11171" s="9">
        <v>41897</v>
      </c>
      <c r="E11171" t="s">
        <v>295</v>
      </c>
      <c r="I11171" s="9"/>
    </row>
    <row r="11172" spans="1:9" x14ac:dyDescent="0.25">
      <c r="A11172">
        <v>891204</v>
      </c>
      <c r="B11172">
        <v>42.82</v>
      </c>
      <c r="C11172">
        <v>88</v>
      </c>
      <c r="D11172" s="9">
        <v>41837</v>
      </c>
      <c r="E11172" t="s">
        <v>295</v>
      </c>
      <c r="I11172" s="9"/>
    </row>
    <row r="11173" spans="1:9" x14ac:dyDescent="0.25">
      <c r="A11173">
        <v>891204</v>
      </c>
      <c r="B11173">
        <v>42.82</v>
      </c>
      <c r="C11173">
        <v>2</v>
      </c>
      <c r="D11173" s="9">
        <v>41794</v>
      </c>
      <c r="E11173" t="s">
        <v>295</v>
      </c>
      <c r="I11173" s="9"/>
    </row>
    <row r="11174" spans="1:9" x14ac:dyDescent="0.25">
      <c r="A11174">
        <v>891204</v>
      </c>
      <c r="B11174">
        <v>42.82</v>
      </c>
      <c r="C11174">
        <v>11</v>
      </c>
      <c r="D11174" s="9">
        <v>41775</v>
      </c>
      <c r="E11174" t="s">
        <v>295</v>
      </c>
      <c r="I11174" s="9"/>
    </row>
    <row r="11175" spans="1:9" x14ac:dyDescent="0.25">
      <c r="A11175">
        <v>891205</v>
      </c>
      <c r="B11175">
        <v>64.319999999999993</v>
      </c>
      <c r="C11175">
        <v>1</v>
      </c>
      <c r="D11175" s="9">
        <v>42839</v>
      </c>
      <c r="E11175" t="s">
        <v>295</v>
      </c>
      <c r="I11175" s="9"/>
    </row>
    <row r="11176" spans="1:9" x14ac:dyDescent="0.25">
      <c r="A11176">
        <v>891205</v>
      </c>
      <c r="B11176">
        <v>0</v>
      </c>
      <c r="C11176">
        <v>9</v>
      </c>
      <c r="D11176" s="9">
        <v>42412</v>
      </c>
      <c r="E11176" t="s">
        <v>295</v>
      </c>
      <c r="I11176" s="9"/>
    </row>
    <row r="11177" spans="1:9" x14ac:dyDescent="0.25">
      <c r="A11177">
        <v>891205</v>
      </c>
      <c r="B11177">
        <v>51.22</v>
      </c>
      <c r="C11177">
        <v>15</v>
      </c>
      <c r="D11177" s="9">
        <v>41922</v>
      </c>
      <c r="E11177" t="s">
        <v>295</v>
      </c>
      <c r="I11177" s="9"/>
    </row>
    <row r="11178" spans="1:9" x14ac:dyDescent="0.25">
      <c r="A11178">
        <v>891205</v>
      </c>
      <c r="B11178">
        <v>0</v>
      </c>
      <c r="C11178">
        <v>10</v>
      </c>
      <c r="D11178" s="9">
        <v>41897</v>
      </c>
      <c r="E11178" t="s">
        <v>295</v>
      </c>
      <c r="I11178" s="9"/>
    </row>
    <row r="11179" spans="1:9" x14ac:dyDescent="0.25">
      <c r="A11179">
        <v>891205</v>
      </c>
      <c r="B11179">
        <v>51.22</v>
      </c>
      <c r="C11179">
        <v>88</v>
      </c>
      <c r="D11179" s="9">
        <v>41837</v>
      </c>
      <c r="E11179" t="s">
        <v>295</v>
      </c>
      <c r="I11179" s="9"/>
    </row>
    <row r="11180" spans="1:9" x14ac:dyDescent="0.25">
      <c r="A11180">
        <v>891205</v>
      </c>
      <c r="B11180">
        <v>51.22</v>
      </c>
      <c r="C11180">
        <v>2</v>
      </c>
      <c r="D11180" s="9">
        <v>41794</v>
      </c>
      <c r="E11180" t="s">
        <v>295</v>
      </c>
      <c r="I11180" s="9"/>
    </row>
    <row r="11181" spans="1:9" x14ac:dyDescent="0.25">
      <c r="A11181">
        <v>891205</v>
      </c>
      <c r="B11181">
        <v>51.22</v>
      </c>
      <c r="C11181">
        <v>11</v>
      </c>
      <c r="D11181" s="9">
        <v>41775</v>
      </c>
      <c r="E11181" t="s">
        <v>295</v>
      </c>
      <c r="I11181" s="9"/>
    </row>
    <row r="11182" spans="1:9" x14ac:dyDescent="0.25">
      <c r="A11182">
        <v>891407</v>
      </c>
      <c r="B11182">
        <v>145</v>
      </c>
      <c r="C11182">
        <v>22</v>
      </c>
      <c r="D11182" s="9">
        <v>41960</v>
      </c>
      <c r="E11182" t="s">
        <v>295</v>
      </c>
      <c r="I11182" s="9"/>
    </row>
    <row r="11183" spans="1:9" x14ac:dyDescent="0.25">
      <c r="A11183">
        <v>891409</v>
      </c>
      <c r="B11183">
        <v>180</v>
      </c>
      <c r="C11183">
        <v>22</v>
      </c>
      <c r="D11183" s="9">
        <v>41960</v>
      </c>
      <c r="E11183" t="s">
        <v>295</v>
      </c>
      <c r="I11183" s="9"/>
    </row>
    <row r="11184" spans="1:9" x14ac:dyDescent="0.25">
      <c r="A11184">
        <v>891411</v>
      </c>
      <c r="B11184">
        <v>225</v>
      </c>
      <c r="C11184">
        <v>22</v>
      </c>
      <c r="D11184" s="9">
        <v>41960</v>
      </c>
      <c r="E11184" t="s">
        <v>295</v>
      </c>
      <c r="I11184" s="9"/>
    </row>
    <row r="11185" spans="1:9" x14ac:dyDescent="0.25">
      <c r="A11185">
        <v>891607</v>
      </c>
      <c r="B11185">
        <v>215</v>
      </c>
      <c r="C11185">
        <v>12</v>
      </c>
      <c r="D11185" s="9">
        <v>41960</v>
      </c>
      <c r="E11185" t="s">
        <v>295</v>
      </c>
      <c r="I11185" s="9"/>
    </row>
    <row r="11186" spans="1:9" x14ac:dyDescent="0.25">
      <c r="A11186">
        <v>891609</v>
      </c>
      <c r="B11186">
        <v>266</v>
      </c>
      <c r="C11186">
        <v>12</v>
      </c>
      <c r="D11186" s="9">
        <v>41960</v>
      </c>
      <c r="E11186" t="s">
        <v>295</v>
      </c>
      <c r="I11186" s="9"/>
    </row>
    <row r="11187" spans="1:9" x14ac:dyDescent="0.25">
      <c r="A11187">
        <v>891611</v>
      </c>
      <c r="B11187">
        <v>338</v>
      </c>
      <c r="C11187">
        <v>12</v>
      </c>
      <c r="D11187" s="9">
        <v>41960</v>
      </c>
      <c r="E11187" t="s">
        <v>295</v>
      </c>
      <c r="I11187" s="9"/>
    </row>
    <row r="11188" spans="1:9" x14ac:dyDescent="0.25">
      <c r="A11188">
        <v>891703</v>
      </c>
      <c r="B11188">
        <v>53.2</v>
      </c>
      <c r="C11188">
        <v>60</v>
      </c>
      <c r="D11188" s="9">
        <v>43906</v>
      </c>
      <c r="E11188" t="s">
        <v>295</v>
      </c>
      <c r="I11188" s="9"/>
    </row>
    <row r="11189" spans="1:9" x14ac:dyDescent="0.25">
      <c r="A11189">
        <v>891703</v>
      </c>
      <c r="B11189">
        <v>53.05</v>
      </c>
      <c r="C11189">
        <v>1</v>
      </c>
      <c r="D11189" s="9">
        <v>43830</v>
      </c>
      <c r="E11189" t="s">
        <v>295</v>
      </c>
      <c r="I11189" s="9"/>
    </row>
    <row r="11190" spans="1:9" x14ac:dyDescent="0.25">
      <c r="A11190">
        <v>891703</v>
      </c>
      <c r="B11190">
        <v>53.14</v>
      </c>
      <c r="C11190">
        <v>23</v>
      </c>
      <c r="D11190" s="9">
        <v>43830</v>
      </c>
      <c r="E11190" t="s">
        <v>295</v>
      </c>
      <c r="I11190" s="9"/>
    </row>
    <row r="11191" spans="1:9" x14ac:dyDescent="0.25">
      <c r="A11191">
        <v>891703</v>
      </c>
      <c r="B11191">
        <v>55.57</v>
      </c>
      <c r="C11191">
        <v>72</v>
      </c>
      <c r="D11191" s="9">
        <v>43493</v>
      </c>
      <c r="E11191" t="s">
        <v>295</v>
      </c>
      <c r="I11191" s="9"/>
    </row>
    <row r="11192" spans="1:9" x14ac:dyDescent="0.25">
      <c r="A11192">
        <v>891703</v>
      </c>
      <c r="B11192">
        <v>51.85</v>
      </c>
      <c r="C11192">
        <v>60</v>
      </c>
      <c r="D11192" s="9">
        <v>43227</v>
      </c>
      <c r="E11192" t="s">
        <v>295</v>
      </c>
      <c r="I11192" s="9"/>
    </row>
    <row r="11193" spans="1:9" x14ac:dyDescent="0.25">
      <c r="A11193">
        <v>891703</v>
      </c>
      <c r="B11193">
        <v>48.36</v>
      </c>
      <c r="C11193">
        <v>14</v>
      </c>
      <c r="D11193" s="9">
        <v>43187</v>
      </c>
      <c r="E11193" t="s">
        <v>295</v>
      </c>
      <c r="I11193" s="9"/>
    </row>
    <row r="11194" spans="1:9" x14ac:dyDescent="0.25">
      <c r="A11194">
        <v>891703</v>
      </c>
      <c r="B11194">
        <v>48.36</v>
      </c>
      <c r="C11194">
        <v>14</v>
      </c>
      <c r="D11194" s="9">
        <v>43181</v>
      </c>
      <c r="E11194" t="s">
        <v>295</v>
      </c>
      <c r="I11194" s="9"/>
    </row>
    <row r="11195" spans="1:9" x14ac:dyDescent="0.25">
      <c r="A11195">
        <v>891703</v>
      </c>
      <c r="B11195">
        <v>48.36</v>
      </c>
      <c r="C11195">
        <v>14</v>
      </c>
      <c r="D11195" s="9">
        <v>43139</v>
      </c>
      <c r="E11195" t="s">
        <v>295</v>
      </c>
      <c r="I11195" s="9"/>
    </row>
    <row r="11196" spans="1:9" x14ac:dyDescent="0.25">
      <c r="A11196">
        <v>891703</v>
      </c>
      <c r="B11196">
        <v>52</v>
      </c>
      <c r="C11196">
        <v>14</v>
      </c>
      <c r="D11196" s="9">
        <v>42836</v>
      </c>
      <c r="E11196" t="s">
        <v>295</v>
      </c>
      <c r="I11196" s="9"/>
    </row>
    <row r="11197" spans="1:9" x14ac:dyDescent="0.25">
      <c r="A11197">
        <v>891703</v>
      </c>
      <c r="B11197">
        <v>0</v>
      </c>
      <c r="C11197">
        <v>60</v>
      </c>
      <c r="D11197" s="9">
        <v>42412</v>
      </c>
      <c r="E11197" t="s">
        <v>295</v>
      </c>
      <c r="I11197" s="9"/>
    </row>
    <row r="11198" spans="1:9" x14ac:dyDescent="0.25">
      <c r="A11198">
        <v>891703</v>
      </c>
      <c r="B11198">
        <v>59.4</v>
      </c>
      <c r="C11198">
        <v>60</v>
      </c>
      <c r="D11198" s="9">
        <v>42317</v>
      </c>
      <c r="E11198" t="s">
        <v>295</v>
      </c>
      <c r="I11198" s="9"/>
    </row>
    <row r="11199" spans="1:9" x14ac:dyDescent="0.25">
      <c r="A11199">
        <v>891703</v>
      </c>
      <c r="B11199">
        <v>59.4</v>
      </c>
      <c r="C11199">
        <v>100</v>
      </c>
      <c r="D11199" s="9">
        <v>42206</v>
      </c>
      <c r="E11199" t="s">
        <v>295</v>
      </c>
      <c r="I11199" s="9"/>
    </row>
    <row r="11200" spans="1:9" x14ac:dyDescent="0.25">
      <c r="A11200">
        <v>891703</v>
      </c>
      <c r="B11200">
        <v>59.4</v>
      </c>
      <c r="C11200">
        <v>58</v>
      </c>
      <c r="D11200" s="9">
        <v>42137</v>
      </c>
      <c r="E11200" t="s">
        <v>295</v>
      </c>
      <c r="I11200" s="9"/>
    </row>
    <row r="11201" spans="1:9" x14ac:dyDescent="0.25">
      <c r="A11201">
        <v>891703</v>
      </c>
      <c r="B11201">
        <v>59.4</v>
      </c>
      <c r="C11201">
        <v>37</v>
      </c>
      <c r="D11201" s="9">
        <v>42103</v>
      </c>
      <c r="E11201" t="s">
        <v>295</v>
      </c>
      <c r="I11201" s="9"/>
    </row>
    <row r="11202" spans="1:9" x14ac:dyDescent="0.25">
      <c r="A11202">
        <v>891703</v>
      </c>
      <c r="B11202">
        <v>46</v>
      </c>
      <c r="C11202">
        <v>60</v>
      </c>
      <c r="D11202" s="9">
        <v>42059</v>
      </c>
      <c r="E11202" t="s">
        <v>295</v>
      </c>
      <c r="I11202" s="9"/>
    </row>
    <row r="11203" spans="1:9" x14ac:dyDescent="0.25">
      <c r="A11203">
        <v>891703</v>
      </c>
      <c r="B11203">
        <v>46</v>
      </c>
      <c r="C11203">
        <v>40</v>
      </c>
      <c r="D11203" s="9">
        <v>41984</v>
      </c>
      <c r="E11203" t="s">
        <v>295</v>
      </c>
      <c r="I11203" s="9"/>
    </row>
    <row r="11204" spans="1:9" x14ac:dyDescent="0.25">
      <c r="A11204">
        <v>891703</v>
      </c>
      <c r="B11204">
        <v>46</v>
      </c>
      <c r="C11204">
        <v>27</v>
      </c>
      <c r="D11204" s="9">
        <v>41960</v>
      </c>
      <c r="E11204" t="s">
        <v>295</v>
      </c>
      <c r="I11204" s="9"/>
    </row>
    <row r="11205" spans="1:9" x14ac:dyDescent="0.25">
      <c r="A11205">
        <v>891703</v>
      </c>
      <c r="B11205">
        <v>0</v>
      </c>
      <c r="C11205">
        <v>20</v>
      </c>
      <c r="D11205" s="9">
        <v>41897</v>
      </c>
      <c r="E11205" t="s">
        <v>295</v>
      </c>
      <c r="I11205" s="9"/>
    </row>
    <row r="11206" spans="1:9" x14ac:dyDescent="0.25">
      <c r="A11206">
        <v>891703</v>
      </c>
      <c r="B11206">
        <v>50.4</v>
      </c>
      <c r="C11206">
        <v>10</v>
      </c>
      <c r="D11206" s="9">
        <v>41837</v>
      </c>
      <c r="E11206" t="s">
        <v>295</v>
      </c>
      <c r="I11206" s="9"/>
    </row>
    <row r="11207" spans="1:9" x14ac:dyDescent="0.25">
      <c r="A11207">
        <v>893007</v>
      </c>
      <c r="B11207">
        <v>59.8</v>
      </c>
      <c r="C11207">
        <v>50</v>
      </c>
      <c r="D11207" s="9">
        <v>43803</v>
      </c>
      <c r="E11207" t="s">
        <v>296</v>
      </c>
      <c r="I11207" s="9"/>
    </row>
    <row r="11208" spans="1:9" x14ac:dyDescent="0.25">
      <c r="A11208">
        <v>900000</v>
      </c>
      <c r="B11208">
        <v>0.75</v>
      </c>
      <c r="C11208">
        <v>950</v>
      </c>
      <c r="D11208" s="9">
        <v>44068</v>
      </c>
      <c r="E11208" t="s">
        <v>296</v>
      </c>
      <c r="I11208" s="9"/>
    </row>
    <row r="11209" spans="1:9" x14ac:dyDescent="0.25">
      <c r="A11209">
        <v>900000</v>
      </c>
      <c r="B11209">
        <v>0.75</v>
      </c>
      <c r="C11209">
        <v>1200</v>
      </c>
      <c r="D11209" s="9">
        <v>43966</v>
      </c>
      <c r="E11209" t="s">
        <v>296</v>
      </c>
      <c r="I11209" s="9"/>
    </row>
    <row r="11210" spans="1:9" x14ac:dyDescent="0.25">
      <c r="A11210">
        <v>900000</v>
      </c>
      <c r="B11210">
        <v>0.75</v>
      </c>
      <c r="C11210">
        <v>250</v>
      </c>
      <c r="D11210" s="9">
        <v>43753</v>
      </c>
      <c r="E11210" t="s">
        <v>296</v>
      </c>
      <c r="I11210" s="9"/>
    </row>
    <row r="11211" spans="1:9" x14ac:dyDescent="0.25">
      <c r="A11211">
        <v>900000</v>
      </c>
      <c r="B11211">
        <v>0.75</v>
      </c>
      <c r="C11211">
        <v>2000</v>
      </c>
      <c r="D11211" s="9">
        <v>43707</v>
      </c>
      <c r="E11211" t="s">
        <v>296</v>
      </c>
      <c r="I11211" s="9"/>
    </row>
    <row r="11212" spans="1:9" x14ac:dyDescent="0.25">
      <c r="A11212">
        <v>900000</v>
      </c>
      <c r="B11212">
        <v>2.98</v>
      </c>
      <c r="C11212">
        <v>1800</v>
      </c>
      <c r="D11212" s="9">
        <v>43340</v>
      </c>
      <c r="E11212" t="s">
        <v>295</v>
      </c>
      <c r="I11212" s="9"/>
    </row>
    <row r="11213" spans="1:9" x14ac:dyDescent="0.25">
      <c r="A11213">
        <v>900000</v>
      </c>
      <c r="B11213">
        <v>0.77200000000000002</v>
      </c>
      <c r="C11213">
        <v>1800</v>
      </c>
      <c r="D11213" s="9">
        <v>43299</v>
      </c>
      <c r="E11213" t="s">
        <v>296</v>
      </c>
      <c r="I11213" s="9"/>
    </row>
    <row r="11214" spans="1:9" x14ac:dyDescent="0.25">
      <c r="A11214">
        <v>900000</v>
      </c>
      <c r="B11214">
        <v>1.82</v>
      </c>
      <c r="C11214">
        <v>1500</v>
      </c>
      <c r="D11214" s="9">
        <v>43123</v>
      </c>
      <c r="E11214" t="s">
        <v>295</v>
      </c>
      <c r="I11214" s="9"/>
    </row>
    <row r="11215" spans="1:9" x14ac:dyDescent="0.25">
      <c r="A11215">
        <v>900000</v>
      </c>
      <c r="B11215">
        <v>0.49</v>
      </c>
      <c r="C11215">
        <v>1500</v>
      </c>
      <c r="D11215" s="9">
        <v>43067</v>
      </c>
      <c r="E11215" t="s">
        <v>296</v>
      </c>
      <c r="I11215" s="9"/>
    </row>
    <row r="11216" spans="1:9" x14ac:dyDescent="0.25">
      <c r="A11216">
        <v>900000</v>
      </c>
      <c r="B11216">
        <v>0.57999999999999996</v>
      </c>
      <c r="C11216">
        <v>1320</v>
      </c>
      <c r="D11216" s="9">
        <v>43067</v>
      </c>
      <c r="E11216" t="s">
        <v>296</v>
      </c>
      <c r="I11216" s="9"/>
    </row>
    <row r="11217" spans="1:9" x14ac:dyDescent="0.25">
      <c r="A11217">
        <v>900000</v>
      </c>
      <c r="B11217">
        <v>0.53</v>
      </c>
      <c r="C11217">
        <v>1320</v>
      </c>
      <c r="D11217" s="9">
        <v>42573</v>
      </c>
      <c r="E11217" t="s">
        <v>296</v>
      </c>
      <c r="I11217" s="9"/>
    </row>
    <row r="11218" spans="1:9" x14ac:dyDescent="0.25">
      <c r="A11218">
        <v>900000</v>
      </c>
      <c r="B11218">
        <v>0.5</v>
      </c>
      <c r="C11218">
        <v>1500</v>
      </c>
      <c r="D11218" s="9">
        <v>42573</v>
      </c>
      <c r="E11218" t="s">
        <v>296</v>
      </c>
      <c r="I11218" s="9"/>
    </row>
    <row r="11219" spans="1:9" x14ac:dyDescent="0.25">
      <c r="A11219">
        <v>900000</v>
      </c>
      <c r="B11219">
        <v>0.6</v>
      </c>
      <c r="C11219">
        <v>1320</v>
      </c>
      <c r="D11219" s="9">
        <v>42031</v>
      </c>
      <c r="E11219" t="s">
        <v>296</v>
      </c>
      <c r="I11219" s="9"/>
    </row>
    <row r="11220" spans="1:9" x14ac:dyDescent="0.25">
      <c r="A11220">
        <v>900100</v>
      </c>
      <c r="B11220">
        <v>1.1359999999999999</v>
      </c>
      <c r="C11220">
        <v>600</v>
      </c>
      <c r="D11220" s="9">
        <v>43889</v>
      </c>
      <c r="E11220" t="s">
        <v>296</v>
      </c>
      <c r="I11220" s="9"/>
    </row>
    <row r="11221" spans="1:9" x14ac:dyDescent="0.25">
      <c r="A11221">
        <v>900100</v>
      </c>
      <c r="B11221">
        <v>1.1359999999999999</v>
      </c>
      <c r="C11221">
        <v>1200</v>
      </c>
      <c r="D11221" s="9">
        <v>43707</v>
      </c>
      <c r="E11221" t="s">
        <v>296</v>
      </c>
      <c r="I11221" s="9"/>
    </row>
    <row r="11222" spans="1:9" x14ac:dyDescent="0.25">
      <c r="A11222">
        <v>900100</v>
      </c>
      <c r="B11222">
        <v>1.06</v>
      </c>
      <c r="C11222">
        <v>800</v>
      </c>
      <c r="D11222" s="9">
        <v>43403</v>
      </c>
      <c r="E11222" t="s">
        <v>296</v>
      </c>
      <c r="I11222" s="9"/>
    </row>
    <row r="11223" spans="1:9" x14ac:dyDescent="0.25">
      <c r="A11223">
        <v>900100</v>
      </c>
      <c r="B11223">
        <v>1.0049999999999999</v>
      </c>
      <c r="C11223">
        <v>1000</v>
      </c>
      <c r="D11223" s="9">
        <v>43136</v>
      </c>
      <c r="E11223" t="s">
        <v>296</v>
      </c>
      <c r="I11223" s="9"/>
    </row>
    <row r="11224" spans="1:9" x14ac:dyDescent="0.25">
      <c r="A11224">
        <v>900100</v>
      </c>
      <c r="B11224">
        <v>3.54</v>
      </c>
      <c r="C11224">
        <v>500</v>
      </c>
      <c r="D11224" s="9">
        <v>43136</v>
      </c>
      <c r="E11224" t="s">
        <v>295</v>
      </c>
      <c r="I11224" s="9"/>
    </row>
    <row r="11225" spans="1:9" x14ac:dyDescent="0.25">
      <c r="A11225">
        <v>900100</v>
      </c>
      <c r="B11225">
        <v>0.96699999999999997</v>
      </c>
      <c r="C11225">
        <v>1300</v>
      </c>
      <c r="D11225" s="9">
        <v>42877</v>
      </c>
      <c r="E11225" t="s">
        <v>296</v>
      </c>
      <c r="I11225" s="9"/>
    </row>
    <row r="11226" spans="1:9" x14ac:dyDescent="0.25">
      <c r="A11226">
        <v>900100</v>
      </c>
      <c r="B11226">
        <v>0.96699999999999997</v>
      </c>
      <c r="C11226">
        <v>1200</v>
      </c>
      <c r="D11226" s="9">
        <v>42600</v>
      </c>
      <c r="E11226" t="s">
        <v>296</v>
      </c>
      <c r="I11226" s="9"/>
    </row>
    <row r="11227" spans="1:9" x14ac:dyDescent="0.25">
      <c r="A11227">
        <v>900100</v>
      </c>
      <c r="B11227">
        <v>0.97599999999999998</v>
      </c>
      <c r="C11227">
        <v>1200</v>
      </c>
      <c r="D11227" s="9">
        <v>42440</v>
      </c>
      <c r="E11227" t="s">
        <v>296</v>
      </c>
      <c r="I11227" s="9"/>
    </row>
    <row r="11228" spans="1:9" x14ac:dyDescent="0.25">
      <c r="A11228">
        <v>900100</v>
      </c>
      <c r="B11228">
        <v>0.97599999999999998</v>
      </c>
      <c r="C11228">
        <v>1200</v>
      </c>
      <c r="D11228" s="9">
        <v>42177</v>
      </c>
      <c r="E11228" t="s">
        <v>296</v>
      </c>
      <c r="I11228" s="9"/>
    </row>
    <row r="11229" spans="1:9" x14ac:dyDescent="0.25">
      <c r="A11229">
        <v>900100</v>
      </c>
      <c r="B11229">
        <v>0.97599999999999998</v>
      </c>
      <c r="C11229">
        <v>1200</v>
      </c>
      <c r="D11229" s="9">
        <v>42111</v>
      </c>
      <c r="E11229" t="s">
        <v>296</v>
      </c>
      <c r="I11229" s="9"/>
    </row>
    <row r="11230" spans="1:9" x14ac:dyDescent="0.25">
      <c r="A11230">
        <v>900100</v>
      </c>
      <c r="B11230">
        <v>0.97599999999999998</v>
      </c>
      <c r="C11230">
        <v>1200</v>
      </c>
      <c r="D11230" s="9">
        <v>41751</v>
      </c>
      <c r="E11230" t="s">
        <v>296</v>
      </c>
      <c r="I11230" s="9"/>
    </row>
    <row r="11231" spans="1:9" x14ac:dyDescent="0.25">
      <c r="A11231">
        <v>900110</v>
      </c>
      <c r="B11231">
        <v>1.6890000000000001</v>
      </c>
      <c r="C11231">
        <v>600</v>
      </c>
      <c r="D11231" s="9">
        <v>44095</v>
      </c>
      <c r="E11231" t="s">
        <v>296</v>
      </c>
      <c r="I11231" s="9"/>
    </row>
    <row r="11232" spans="1:9" x14ac:dyDescent="0.25">
      <c r="A11232">
        <v>900110</v>
      </c>
      <c r="B11232">
        <v>1.875</v>
      </c>
      <c r="C11232">
        <v>600</v>
      </c>
      <c r="D11232" s="9">
        <v>43972</v>
      </c>
      <c r="E11232" t="s">
        <v>296</v>
      </c>
      <c r="I11232" s="9"/>
    </row>
    <row r="11233" spans="1:9" x14ac:dyDescent="0.25">
      <c r="A11233">
        <v>900110</v>
      </c>
      <c r="B11233">
        <v>1.875</v>
      </c>
      <c r="C11233">
        <v>600</v>
      </c>
      <c r="D11233" s="9">
        <v>43843</v>
      </c>
      <c r="E11233" t="s">
        <v>296</v>
      </c>
      <c r="I11233" s="9"/>
    </row>
    <row r="11234" spans="1:9" x14ac:dyDescent="0.25">
      <c r="A11234">
        <v>900110</v>
      </c>
      <c r="B11234">
        <v>1.875</v>
      </c>
      <c r="C11234">
        <v>960</v>
      </c>
      <c r="D11234" s="9">
        <v>43567</v>
      </c>
      <c r="E11234" t="s">
        <v>296</v>
      </c>
      <c r="I11234" s="9"/>
    </row>
    <row r="11235" spans="1:9" x14ac:dyDescent="0.25">
      <c r="A11235">
        <v>900110</v>
      </c>
      <c r="B11235">
        <v>1.8</v>
      </c>
      <c r="C11235">
        <v>960</v>
      </c>
      <c r="D11235" s="9">
        <v>43452</v>
      </c>
      <c r="E11235" t="s">
        <v>296</v>
      </c>
      <c r="I11235" s="9"/>
    </row>
    <row r="11236" spans="1:9" x14ac:dyDescent="0.25">
      <c r="A11236">
        <v>900110</v>
      </c>
      <c r="B11236">
        <v>6.14</v>
      </c>
      <c r="C11236">
        <v>600</v>
      </c>
      <c r="D11236" s="9">
        <v>43298</v>
      </c>
      <c r="E11236" t="s">
        <v>295</v>
      </c>
      <c r="I11236" s="9"/>
    </row>
    <row r="11237" spans="1:9" x14ac:dyDescent="0.25">
      <c r="A11237">
        <v>900110</v>
      </c>
      <c r="B11237">
        <v>1.51</v>
      </c>
      <c r="C11237">
        <v>600</v>
      </c>
      <c r="D11237" s="9">
        <v>43264</v>
      </c>
      <c r="E11237" t="s">
        <v>296</v>
      </c>
      <c r="I11237" s="9"/>
    </row>
    <row r="11238" spans="1:9" x14ac:dyDescent="0.25">
      <c r="A11238">
        <v>900110</v>
      </c>
      <c r="B11238">
        <v>1.3</v>
      </c>
      <c r="C11238">
        <v>576</v>
      </c>
      <c r="D11238" s="9">
        <v>42972</v>
      </c>
      <c r="E11238" t="s">
        <v>296</v>
      </c>
      <c r="I11238" s="9"/>
    </row>
    <row r="11239" spans="1:9" x14ac:dyDescent="0.25">
      <c r="A11239">
        <v>900110</v>
      </c>
      <c r="B11239">
        <v>1.3</v>
      </c>
      <c r="C11239">
        <v>576</v>
      </c>
      <c r="D11239" s="9">
        <v>42853</v>
      </c>
      <c r="E11239" t="s">
        <v>296</v>
      </c>
      <c r="I11239" s="9"/>
    </row>
    <row r="11240" spans="1:9" x14ac:dyDescent="0.25">
      <c r="A11240">
        <v>900110</v>
      </c>
      <c r="B11240">
        <v>1.25</v>
      </c>
      <c r="C11240">
        <v>576</v>
      </c>
      <c r="D11240" s="9">
        <v>42719</v>
      </c>
      <c r="E11240" t="s">
        <v>296</v>
      </c>
      <c r="I11240" s="9"/>
    </row>
    <row r="11241" spans="1:9" x14ac:dyDescent="0.25">
      <c r="A11241">
        <v>900110</v>
      </c>
      <c r="B11241">
        <v>1.28</v>
      </c>
      <c r="C11241">
        <v>720</v>
      </c>
      <c r="D11241" s="9">
        <v>42660</v>
      </c>
      <c r="E11241" t="s">
        <v>296</v>
      </c>
      <c r="I11241" s="9"/>
    </row>
    <row r="11242" spans="1:9" x14ac:dyDescent="0.25">
      <c r="A11242">
        <v>900110</v>
      </c>
      <c r="B11242">
        <v>1.28</v>
      </c>
      <c r="C11242">
        <v>480</v>
      </c>
      <c r="D11242" s="9">
        <v>42230</v>
      </c>
      <c r="E11242" t="s">
        <v>296</v>
      </c>
      <c r="I11242" s="9"/>
    </row>
    <row r="11243" spans="1:9" x14ac:dyDescent="0.25">
      <c r="A11243">
        <v>900110</v>
      </c>
      <c r="B11243">
        <v>1.8</v>
      </c>
      <c r="C11243">
        <v>816</v>
      </c>
      <c r="D11243" s="9">
        <v>41744</v>
      </c>
      <c r="E11243" t="s">
        <v>296</v>
      </c>
      <c r="I11243" s="9"/>
    </row>
    <row r="11244" spans="1:9" x14ac:dyDescent="0.25">
      <c r="A11244">
        <v>900110</v>
      </c>
      <c r="B11244">
        <v>1.8360000000000001</v>
      </c>
      <c r="C11244">
        <v>792</v>
      </c>
      <c r="D11244" s="9">
        <v>41744</v>
      </c>
      <c r="E11244" t="s">
        <v>296</v>
      </c>
      <c r="I11244" s="9"/>
    </row>
    <row r="11245" spans="1:9" x14ac:dyDescent="0.25">
      <c r="A11245">
        <v>900110</v>
      </c>
      <c r="B11245">
        <v>1.8</v>
      </c>
      <c r="C11245">
        <v>1200</v>
      </c>
      <c r="D11245" s="9">
        <v>41682</v>
      </c>
      <c r="E11245" t="s">
        <v>296</v>
      </c>
      <c r="I11245" s="9"/>
    </row>
    <row r="11246" spans="1:9" x14ac:dyDescent="0.25">
      <c r="A11246">
        <v>900110</v>
      </c>
      <c r="B11246">
        <v>1.7849999999999999</v>
      </c>
      <c r="C11246">
        <v>1000</v>
      </c>
      <c r="D11246" s="9">
        <v>41417</v>
      </c>
      <c r="E11246" t="s">
        <v>296</v>
      </c>
      <c r="I11246" s="9"/>
    </row>
    <row r="11247" spans="1:9" x14ac:dyDescent="0.25">
      <c r="A11247">
        <v>900110</v>
      </c>
      <c r="B11247">
        <v>1.7849999999999999</v>
      </c>
      <c r="C11247">
        <v>1740</v>
      </c>
      <c r="D11247" s="9">
        <v>41281</v>
      </c>
      <c r="E11247" t="s">
        <v>296</v>
      </c>
      <c r="I11247" s="9"/>
    </row>
    <row r="11248" spans="1:9" x14ac:dyDescent="0.25">
      <c r="A11248">
        <v>900112</v>
      </c>
      <c r="B11248">
        <v>1.61</v>
      </c>
      <c r="C11248">
        <v>864</v>
      </c>
      <c r="D11248" s="9">
        <v>44117</v>
      </c>
      <c r="E11248" t="s">
        <v>296</v>
      </c>
      <c r="I11248" s="9"/>
    </row>
    <row r="11249" spans="1:9" x14ac:dyDescent="0.25">
      <c r="A11249">
        <v>900112</v>
      </c>
      <c r="B11249">
        <v>2.08</v>
      </c>
      <c r="C11249">
        <v>720</v>
      </c>
      <c r="D11249" s="9">
        <v>43784</v>
      </c>
      <c r="E11249" t="s">
        <v>296</v>
      </c>
      <c r="I11249" s="9"/>
    </row>
    <row r="11250" spans="1:9" x14ac:dyDescent="0.25">
      <c r="A11250">
        <v>900112</v>
      </c>
      <c r="B11250">
        <v>2.08</v>
      </c>
      <c r="C11250">
        <v>720</v>
      </c>
      <c r="D11250" s="9">
        <v>43567</v>
      </c>
      <c r="E11250" t="s">
        <v>296</v>
      </c>
      <c r="I11250" s="9"/>
    </row>
    <row r="11251" spans="1:9" x14ac:dyDescent="0.25">
      <c r="A11251">
        <v>900112</v>
      </c>
      <c r="B11251">
        <v>7.93</v>
      </c>
      <c r="C11251">
        <v>744</v>
      </c>
      <c r="D11251" s="9">
        <v>43298</v>
      </c>
      <c r="E11251" t="s">
        <v>295</v>
      </c>
      <c r="I11251" s="9"/>
    </row>
    <row r="11252" spans="1:9" x14ac:dyDescent="0.25">
      <c r="A11252">
        <v>900112</v>
      </c>
      <c r="B11252">
        <v>1.99</v>
      </c>
      <c r="C11252">
        <v>744</v>
      </c>
      <c r="D11252" s="9">
        <v>43264</v>
      </c>
      <c r="E11252" t="s">
        <v>296</v>
      </c>
      <c r="I11252" s="9"/>
    </row>
    <row r="11253" spans="1:9" x14ac:dyDescent="0.25">
      <c r="A11253">
        <v>900112</v>
      </c>
      <c r="B11253">
        <v>1.72</v>
      </c>
      <c r="C11253">
        <v>600</v>
      </c>
      <c r="D11253" s="9">
        <v>42853</v>
      </c>
      <c r="E11253" t="s">
        <v>296</v>
      </c>
      <c r="I11253" s="9"/>
    </row>
    <row r="11254" spans="1:9" x14ac:dyDescent="0.25">
      <c r="A11254">
        <v>900112</v>
      </c>
      <c r="B11254">
        <v>1.65</v>
      </c>
      <c r="C11254">
        <v>600</v>
      </c>
      <c r="D11254" s="9">
        <v>42719</v>
      </c>
      <c r="E11254" t="s">
        <v>296</v>
      </c>
      <c r="I11254" s="9"/>
    </row>
    <row r="11255" spans="1:9" x14ac:dyDescent="0.25">
      <c r="A11255">
        <v>900112</v>
      </c>
      <c r="B11255">
        <v>1.65</v>
      </c>
      <c r="C11255">
        <v>720</v>
      </c>
      <c r="D11255" s="9">
        <v>42660</v>
      </c>
      <c r="E11255" t="s">
        <v>296</v>
      </c>
      <c r="I11255" s="9"/>
    </row>
    <row r="11256" spans="1:9" x14ac:dyDescent="0.25">
      <c r="A11256">
        <v>900112</v>
      </c>
      <c r="B11256">
        <v>1.65</v>
      </c>
      <c r="C11256">
        <v>480</v>
      </c>
      <c r="D11256" s="9">
        <v>42230</v>
      </c>
      <c r="E11256" t="s">
        <v>296</v>
      </c>
      <c r="I11256" s="9"/>
    </row>
    <row r="11257" spans="1:9" x14ac:dyDescent="0.25">
      <c r="A11257">
        <v>900112</v>
      </c>
      <c r="B11257">
        <v>2.0499999999999998</v>
      </c>
      <c r="C11257">
        <v>960</v>
      </c>
      <c r="D11257" s="9">
        <v>42012</v>
      </c>
      <c r="E11257" t="s">
        <v>296</v>
      </c>
      <c r="I11257" s="9"/>
    </row>
    <row r="11258" spans="1:9" x14ac:dyDescent="0.25">
      <c r="A11258">
        <v>900112</v>
      </c>
      <c r="B11258">
        <v>1.982</v>
      </c>
      <c r="C11258">
        <v>960</v>
      </c>
      <c r="D11258" s="9">
        <v>41744</v>
      </c>
      <c r="E11258" t="s">
        <v>296</v>
      </c>
      <c r="I11258" s="9"/>
    </row>
    <row r="11259" spans="1:9" x14ac:dyDescent="0.25">
      <c r="A11259">
        <v>900112</v>
      </c>
      <c r="B11259">
        <v>1.982</v>
      </c>
      <c r="C11259">
        <v>480</v>
      </c>
      <c r="D11259" s="9">
        <v>41682</v>
      </c>
      <c r="E11259" t="s">
        <v>296</v>
      </c>
      <c r="I11259" s="9"/>
    </row>
    <row r="11260" spans="1:9" x14ac:dyDescent="0.25">
      <c r="A11260">
        <v>900112</v>
      </c>
      <c r="B11260">
        <v>1.982</v>
      </c>
      <c r="C11260">
        <v>1680</v>
      </c>
      <c r="D11260" s="9">
        <v>41309</v>
      </c>
      <c r="E11260" t="s">
        <v>296</v>
      </c>
      <c r="I11260" s="9"/>
    </row>
    <row r="11261" spans="1:9" x14ac:dyDescent="0.25">
      <c r="A11261">
        <v>900120</v>
      </c>
      <c r="B11261">
        <v>1.04</v>
      </c>
      <c r="C11261">
        <v>750</v>
      </c>
      <c r="D11261" s="9">
        <v>43707</v>
      </c>
      <c r="E11261" t="s">
        <v>296</v>
      </c>
      <c r="I11261" s="9"/>
    </row>
    <row r="11262" spans="1:9" x14ac:dyDescent="0.25">
      <c r="A11262">
        <v>900120</v>
      </c>
      <c r="B11262">
        <v>1</v>
      </c>
      <c r="C11262">
        <v>600</v>
      </c>
      <c r="D11262" s="9">
        <v>43483</v>
      </c>
      <c r="E11262" t="s">
        <v>296</v>
      </c>
      <c r="I11262" s="9"/>
    </row>
    <row r="11263" spans="1:9" x14ac:dyDescent="0.25">
      <c r="A11263">
        <v>900120</v>
      </c>
      <c r="B11263">
        <v>3.77</v>
      </c>
      <c r="C11263">
        <v>480</v>
      </c>
      <c r="D11263" s="9">
        <v>43340</v>
      </c>
      <c r="E11263" t="s">
        <v>295</v>
      </c>
      <c r="I11263" s="9"/>
    </row>
    <row r="11264" spans="1:9" x14ac:dyDescent="0.25">
      <c r="A11264">
        <v>900120</v>
      </c>
      <c r="B11264">
        <v>0.97</v>
      </c>
      <c r="C11264">
        <v>480</v>
      </c>
      <c r="D11264" s="9">
        <v>43299</v>
      </c>
      <c r="E11264" t="s">
        <v>296</v>
      </c>
      <c r="I11264" s="9"/>
    </row>
    <row r="11265" spans="1:9" x14ac:dyDescent="0.25">
      <c r="A11265">
        <v>900120</v>
      </c>
      <c r="B11265">
        <v>0.87</v>
      </c>
      <c r="C11265">
        <v>800</v>
      </c>
      <c r="D11265" s="9">
        <v>42326</v>
      </c>
      <c r="E11265" t="s">
        <v>296</v>
      </c>
      <c r="I11265" s="9"/>
    </row>
    <row r="11266" spans="1:9" x14ac:dyDescent="0.25">
      <c r="A11266">
        <v>900120</v>
      </c>
      <c r="B11266">
        <v>0.85</v>
      </c>
      <c r="C11266">
        <v>800</v>
      </c>
      <c r="D11266" s="9">
        <v>41751</v>
      </c>
      <c r="E11266" t="s">
        <v>296</v>
      </c>
      <c r="I11266" s="9"/>
    </row>
    <row r="11267" spans="1:9" x14ac:dyDescent="0.25">
      <c r="A11267">
        <v>900120</v>
      </c>
      <c r="B11267">
        <v>0.85</v>
      </c>
      <c r="C11267">
        <v>960</v>
      </c>
      <c r="D11267" s="9">
        <v>41505</v>
      </c>
      <c r="E11267" t="s">
        <v>296</v>
      </c>
      <c r="I11267" s="9"/>
    </row>
    <row r="11268" spans="1:9" x14ac:dyDescent="0.25">
      <c r="A11268">
        <v>900130</v>
      </c>
      <c r="B11268">
        <v>1.53</v>
      </c>
      <c r="C11268">
        <v>100</v>
      </c>
      <c r="D11268" s="9">
        <v>44141</v>
      </c>
      <c r="E11268" t="s">
        <v>295</v>
      </c>
      <c r="I11268" s="9"/>
    </row>
    <row r="11269" spans="1:9" x14ac:dyDescent="0.25">
      <c r="A11269">
        <v>900130</v>
      </c>
      <c r="B11269">
        <v>1.53</v>
      </c>
      <c r="C11269">
        <v>100</v>
      </c>
      <c r="D11269" s="9">
        <v>44109</v>
      </c>
      <c r="E11269" t="s">
        <v>295</v>
      </c>
      <c r="I11269" s="9"/>
    </row>
    <row r="11270" spans="1:9" x14ac:dyDescent="0.25">
      <c r="A11270">
        <v>900130</v>
      </c>
      <c r="B11270">
        <v>1.53</v>
      </c>
      <c r="C11270">
        <v>100</v>
      </c>
      <c r="D11270" s="9">
        <v>44075</v>
      </c>
      <c r="E11270" t="s">
        <v>295</v>
      </c>
      <c r="I11270" s="9"/>
    </row>
    <row r="11271" spans="1:9" x14ac:dyDescent="0.25">
      <c r="A11271">
        <v>900130</v>
      </c>
      <c r="B11271">
        <v>1.53</v>
      </c>
      <c r="C11271">
        <v>300</v>
      </c>
      <c r="D11271" s="9">
        <v>43977</v>
      </c>
      <c r="E11271" t="s">
        <v>295</v>
      </c>
      <c r="I11271" s="9"/>
    </row>
    <row r="11272" spans="1:9" x14ac:dyDescent="0.25">
      <c r="A11272">
        <v>900130</v>
      </c>
      <c r="B11272">
        <v>1.53</v>
      </c>
      <c r="C11272">
        <v>100</v>
      </c>
      <c r="D11272" s="9">
        <v>43910</v>
      </c>
      <c r="E11272" t="s">
        <v>295</v>
      </c>
      <c r="I11272" s="9"/>
    </row>
    <row r="11273" spans="1:9" x14ac:dyDescent="0.25">
      <c r="A11273">
        <v>900130</v>
      </c>
      <c r="B11273">
        <v>1.53</v>
      </c>
      <c r="C11273">
        <v>100</v>
      </c>
      <c r="D11273" s="9">
        <v>43903</v>
      </c>
      <c r="E11273" t="s">
        <v>295</v>
      </c>
      <c r="I11273" s="9"/>
    </row>
    <row r="11274" spans="1:9" x14ac:dyDescent="0.25">
      <c r="A11274">
        <v>900130</v>
      </c>
      <c r="B11274">
        <v>1.53</v>
      </c>
      <c r="C11274">
        <v>100</v>
      </c>
      <c r="D11274" s="9">
        <v>43844</v>
      </c>
      <c r="E11274" t="s">
        <v>295</v>
      </c>
      <c r="I11274" s="9"/>
    </row>
    <row r="11275" spans="1:9" x14ac:dyDescent="0.25">
      <c r="A11275">
        <v>900130</v>
      </c>
      <c r="B11275">
        <v>1.5</v>
      </c>
      <c r="C11275">
        <v>200</v>
      </c>
      <c r="D11275" s="9">
        <v>43697</v>
      </c>
      <c r="E11275" t="s">
        <v>295</v>
      </c>
      <c r="I11275" s="9"/>
    </row>
    <row r="11276" spans="1:9" x14ac:dyDescent="0.25">
      <c r="A11276">
        <v>900130</v>
      </c>
      <c r="B11276">
        <v>1.5</v>
      </c>
      <c r="C11276">
        <v>200</v>
      </c>
      <c r="D11276" s="9">
        <v>43580</v>
      </c>
      <c r="E11276" t="s">
        <v>295</v>
      </c>
      <c r="I11276" s="9"/>
    </row>
    <row r="11277" spans="1:9" x14ac:dyDescent="0.25">
      <c r="A11277">
        <v>900130</v>
      </c>
      <c r="B11277">
        <v>1.5</v>
      </c>
      <c r="C11277">
        <v>100</v>
      </c>
      <c r="D11277" s="9">
        <v>43556</v>
      </c>
      <c r="E11277" t="s">
        <v>295</v>
      </c>
      <c r="I11277" s="9"/>
    </row>
    <row r="11278" spans="1:9" x14ac:dyDescent="0.25">
      <c r="A11278">
        <v>900130</v>
      </c>
      <c r="B11278">
        <v>1.5</v>
      </c>
      <c r="C11278">
        <v>200</v>
      </c>
      <c r="D11278" s="9">
        <v>43552</v>
      </c>
      <c r="E11278" t="s">
        <v>295</v>
      </c>
      <c r="I11278" s="9"/>
    </row>
    <row r="11279" spans="1:9" x14ac:dyDescent="0.25">
      <c r="A11279">
        <v>900130</v>
      </c>
      <c r="B11279">
        <v>1.5</v>
      </c>
      <c r="C11279">
        <v>100</v>
      </c>
      <c r="D11279" s="9">
        <v>43530</v>
      </c>
      <c r="E11279" t="s">
        <v>295</v>
      </c>
      <c r="I11279" s="9"/>
    </row>
    <row r="11280" spans="1:9" x14ac:dyDescent="0.25">
      <c r="A11280">
        <v>900130</v>
      </c>
      <c r="B11280">
        <v>1.5</v>
      </c>
      <c r="C11280">
        <v>100</v>
      </c>
      <c r="D11280" s="9">
        <v>43517</v>
      </c>
      <c r="E11280" t="s">
        <v>295</v>
      </c>
      <c r="I11280" s="9"/>
    </row>
    <row r="11281" spans="1:9" x14ac:dyDescent="0.25">
      <c r="A11281">
        <v>900130</v>
      </c>
      <c r="B11281">
        <v>1.46</v>
      </c>
      <c r="C11281">
        <v>40</v>
      </c>
      <c r="D11281" s="9">
        <v>43391</v>
      </c>
      <c r="E11281" t="s">
        <v>295</v>
      </c>
      <c r="I11281" s="9"/>
    </row>
    <row r="11282" spans="1:9" x14ac:dyDescent="0.25">
      <c r="A11282">
        <v>900130</v>
      </c>
      <c r="B11282">
        <v>1.46</v>
      </c>
      <c r="C11282">
        <v>300</v>
      </c>
      <c r="D11282" s="9">
        <v>43257</v>
      </c>
      <c r="E11282" t="s">
        <v>295</v>
      </c>
      <c r="I11282" s="9"/>
    </row>
    <row r="11283" spans="1:9" x14ac:dyDescent="0.25">
      <c r="A11283">
        <v>900130</v>
      </c>
      <c r="B11283">
        <v>1.46</v>
      </c>
      <c r="C11283">
        <v>200</v>
      </c>
      <c r="D11283" s="9">
        <v>43227</v>
      </c>
      <c r="E11283" t="s">
        <v>295</v>
      </c>
      <c r="I11283" s="9"/>
    </row>
    <row r="11284" spans="1:9" x14ac:dyDescent="0.25">
      <c r="A11284">
        <v>900130</v>
      </c>
      <c r="B11284">
        <v>1.46</v>
      </c>
      <c r="C11284">
        <v>40</v>
      </c>
      <c r="D11284" s="9">
        <v>43202</v>
      </c>
      <c r="E11284" t="s">
        <v>295</v>
      </c>
      <c r="I11284" s="9"/>
    </row>
    <row r="11285" spans="1:9" x14ac:dyDescent="0.25">
      <c r="A11285">
        <v>900130</v>
      </c>
      <c r="B11285">
        <v>1.46</v>
      </c>
      <c r="C11285">
        <v>100</v>
      </c>
      <c r="D11285" s="9">
        <v>43181</v>
      </c>
      <c r="E11285" t="s">
        <v>295</v>
      </c>
      <c r="I11285" s="9"/>
    </row>
    <row r="11286" spans="1:9" x14ac:dyDescent="0.25">
      <c r="A11286">
        <v>900130</v>
      </c>
      <c r="B11286">
        <v>1.46</v>
      </c>
      <c r="C11286">
        <v>80</v>
      </c>
      <c r="D11286" s="9">
        <v>43108</v>
      </c>
      <c r="E11286" t="s">
        <v>295</v>
      </c>
      <c r="I11286" s="9"/>
    </row>
    <row r="11287" spans="1:9" x14ac:dyDescent="0.25">
      <c r="A11287">
        <v>900130</v>
      </c>
      <c r="B11287">
        <v>1.39</v>
      </c>
      <c r="C11287">
        <v>40</v>
      </c>
      <c r="D11287" s="9">
        <v>43027</v>
      </c>
      <c r="E11287" t="s">
        <v>295</v>
      </c>
      <c r="I11287" s="9"/>
    </row>
    <row r="11288" spans="1:9" x14ac:dyDescent="0.25">
      <c r="A11288">
        <v>900130</v>
      </c>
      <c r="B11288">
        <v>1.39</v>
      </c>
      <c r="C11288">
        <v>200</v>
      </c>
      <c r="D11288" s="9">
        <v>42906</v>
      </c>
      <c r="E11288" t="s">
        <v>295</v>
      </c>
      <c r="I11288" s="9"/>
    </row>
    <row r="11289" spans="1:9" x14ac:dyDescent="0.25">
      <c r="A11289">
        <v>900130</v>
      </c>
      <c r="B11289">
        <v>1.39</v>
      </c>
      <c r="C11289">
        <v>100</v>
      </c>
      <c r="D11289" s="9">
        <v>42872</v>
      </c>
      <c r="E11289" t="s">
        <v>295</v>
      </c>
      <c r="I11289" s="9"/>
    </row>
    <row r="11290" spans="1:9" x14ac:dyDescent="0.25">
      <c r="A11290">
        <v>900130</v>
      </c>
      <c r="B11290">
        <v>1.39</v>
      </c>
      <c r="C11290">
        <v>200</v>
      </c>
      <c r="D11290" s="9">
        <v>42835</v>
      </c>
      <c r="E11290" t="s">
        <v>295</v>
      </c>
      <c r="I11290" s="9"/>
    </row>
    <row r="11291" spans="1:9" x14ac:dyDescent="0.25">
      <c r="A11291">
        <v>900130</v>
      </c>
      <c r="B11291">
        <v>1.39</v>
      </c>
      <c r="C11291">
        <v>100</v>
      </c>
      <c r="D11291" s="9">
        <v>42818</v>
      </c>
      <c r="E11291" t="s">
        <v>295</v>
      </c>
      <c r="I11291" s="9"/>
    </row>
    <row r="11292" spans="1:9" x14ac:dyDescent="0.25">
      <c r="A11292">
        <v>900130</v>
      </c>
      <c r="B11292">
        <v>1.39</v>
      </c>
      <c r="C11292">
        <v>80</v>
      </c>
      <c r="D11292" s="9">
        <v>42786</v>
      </c>
      <c r="E11292" t="s">
        <v>295</v>
      </c>
      <c r="I11292" s="9"/>
    </row>
    <row r="11293" spans="1:9" x14ac:dyDescent="0.25">
      <c r="A11293">
        <v>900130</v>
      </c>
      <c r="B11293">
        <v>1.39</v>
      </c>
      <c r="C11293">
        <v>80</v>
      </c>
      <c r="D11293" s="9">
        <v>42779</v>
      </c>
      <c r="E11293" t="s">
        <v>295</v>
      </c>
      <c r="I11293" s="9"/>
    </row>
    <row r="11294" spans="1:9" x14ac:dyDescent="0.25">
      <c r="A11294">
        <v>900130</v>
      </c>
      <c r="B11294">
        <v>1.39</v>
      </c>
      <c r="C11294">
        <v>80</v>
      </c>
      <c r="D11294" s="9">
        <v>42705</v>
      </c>
      <c r="E11294" t="s">
        <v>295</v>
      </c>
      <c r="I11294" s="9"/>
    </row>
    <row r="11295" spans="1:9" x14ac:dyDescent="0.25">
      <c r="A11295">
        <v>900130</v>
      </c>
      <c r="B11295">
        <v>1.39</v>
      </c>
      <c r="C11295">
        <v>20</v>
      </c>
      <c r="D11295" s="9">
        <v>42670</v>
      </c>
      <c r="E11295" t="s">
        <v>295</v>
      </c>
      <c r="I11295" s="9"/>
    </row>
    <row r="11296" spans="1:9" x14ac:dyDescent="0.25">
      <c r="A11296">
        <v>900130</v>
      </c>
      <c r="B11296">
        <v>1.39</v>
      </c>
      <c r="C11296">
        <v>300</v>
      </c>
      <c r="D11296" s="9">
        <v>42594</v>
      </c>
      <c r="E11296" t="s">
        <v>295</v>
      </c>
      <c r="I11296" s="9"/>
    </row>
    <row r="11297" spans="1:9" x14ac:dyDescent="0.25">
      <c r="A11297">
        <v>900130</v>
      </c>
      <c r="B11297">
        <v>1.39</v>
      </c>
      <c r="C11297">
        <v>300</v>
      </c>
      <c r="D11297" s="9">
        <v>42537</v>
      </c>
      <c r="E11297" t="s">
        <v>295</v>
      </c>
      <c r="I11297" s="9"/>
    </row>
    <row r="11298" spans="1:9" x14ac:dyDescent="0.25">
      <c r="A11298">
        <v>900130</v>
      </c>
      <c r="B11298">
        <v>1.39</v>
      </c>
      <c r="C11298">
        <v>300</v>
      </c>
      <c r="D11298" s="9">
        <v>42499</v>
      </c>
      <c r="E11298" t="s">
        <v>295</v>
      </c>
      <c r="I11298" s="9"/>
    </row>
    <row r="11299" spans="1:9" x14ac:dyDescent="0.25">
      <c r="A11299">
        <v>900130</v>
      </c>
      <c r="B11299">
        <v>1.39</v>
      </c>
      <c r="C11299">
        <v>300</v>
      </c>
      <c r="D11299" s="9">
        <v>42403</v>
      </c>
      <c r="E11299" t="s">
        <v>295</v>
      </c>
      <c r="I11299" s="9"/>
    </row>
    <row r="11300" spans="1:9" x14ac:dyDescent="0.25">
      <c r="A11300">
        <v>900130</v>
      </c>
      <c r="B11300">
        <v>1.39</v>
      </c>
      <c r="C11300">
        <v>400</v>
      </c>
      <c r="D11300" s="9">
        <v>42181</v>
      </c>
      <c r="E11300" t="s">
        <v>295</v>
      </c>
      <c r="I11300" s="9"/>
    </row>
    <row r="11301" spans="1:9" x14ac:dyDescent="0.25">
      <c r="A11301">
        <v>900130</v>
      </c>
      <c r="B11301">
        <v>1.39</v>
      </c>
      <c r="C11301">
        <v>400</v>
      </c>
      <c r="D11301" s="9">
        <v>42145</v>
      </c>
      <c r="E11301" t="s">
        <v>295</v>
      </c>
      <c r="I11301" s="9"/>
    </row>
    <row r="11302" spans="1:9" x14ac:dyDescent="0.25">
      <c r="A11302">
        <v>900130</v>
      </c>
      <c r="B11302">
        <v>1.39</v>
      </c>
      <c r="C11302">
        <v>300</v>
      </c>
      <c r="D11302" s="9">
        <v>42145</v>
      </c>
      <c r="E11302" t="s">
        <v>295</v>
      </c>
      <c r="I11302" s="9"/>
    </row>
    <row r="11303" spans="1:9" x14ac:dyDescent="0.25">
      <c r="A11303">
        <v>900130</v>
      </c>
      <c r="B11303">
        <v>0</v>
      </c>
      <c r="C11303">
        <v>100</v>
      </c>
      <c r="D11303" s="9">
        <v>42079</v>
      </c>
      <c r="E11303" t="s">
        <v>295</v>
      </c>
      <c r="I11303" s="9"/>
    </row>
    <row r="11304" spans="1:9" x14ac:dyDescent="0.25">
      <c r="A11304">
        <v>900130</v>
      </c>
      <c r="B11304">
        <v>1.39</v>
      </c>
      <c r="C11304">
        <v>140</v>
      </c>
      <c r="D11304" s="9">
        <v>41912</v>
      </c>
      <c r="E11304" t="s">
        <v>295</v>
      </c>
      <c r="I11304" s="9"/>
    </row>
    <row r="11305" spans="1:9" x14ac:dyDescent="0.25">
      <c r="A11305">
        <v>900132</v>
      </c>
      <c r="B11305">
        <v>2.66</v>
      </c>
      <c r="C11305">
        <v>100</v>
      </c>
      <c r="D11305" s="9">
        <v>44118</v>
      </c>
      <c r="E11305" t="s">
        <v>295</v>
      </c>
      <c r="I11305" s="9"/>
    </row>
    <row r="11306" spans="1:9" x14ac:dyDescent="0.25">
      <c r="A11306">
        <v>900132</v>
      </c>
      <c r="B11306">
        <v>2.66</v>
      </c>
      <c r="C11306">
        <v>100</v>
      </c>
      <c r="D11306" s="9">
        <v>44109</v>
      </c>
      <c r="E11306" t="s">
        <v>295</v>
      </c>
      <c r="I11306" s="9"/>
    </row>
    <row r="11307" spans="1:9" x14ac:dyDescent="0.25">
      <c r="A11307">
        <v>900132</v>
      </c>
      <c r="B11307">
        <v>2.66</v>
      </c>
      <c r="C11307">
        <v>50</v>
      </c>
      <c r="D11307" s="9">
        <v>44075</v>
      </c>
      <c r="E11307" t="s">
        <v>295</v>
      </c>
      <c r="I11307" s="9"/>
    </row>
    <row r="11308" spans="1:9" x14ac:dyDescent="0.25">
      <c r="A11308">
        <v>900132</v>
      </c>
      <c r="B11308">
        <v>2.66</v>
      </c>
      <c r="C11308">
        <v>50</v>
      </c>
      <c r="D11308" s="9">
        <v>43903</v>
      </c>
      <c r="E11308" t="s">
        <v>295</v>
      </c>
      <c r="I11308" s="9"/>
    </row>
    <row r="11309" spans="1:9" x14ac:dyDescent="0.25">
      <c r="A11309">
        <v>900132</v>
      </c>
      <c r="B11309">
        <v>2.66</v>
      </c>
      <c r="C11309">
        <v>50</v>
      </c>
      <c r="D11309" s="9">
        <v>43844</v>
      </c>
      <c r="E11309" t="s">
        <v>295</v>
      </c>
      <c r="I11309" s="9"/>
    </row>
    <row r="11310" spans="1:9" x14ac:dyDescent="0.25">
      <c r="A11310">
        <v>900132</v>
      </c>
      <c r="B11310">
        <v>2.66</v>
      </c>
      <c r="C11310">
        <v>100</v>
      </c>
      <c r="D11310" s="9">
        <v>43697</v>
      </c>
      <c r="E11310" t="s">
        <v>295</v>
      </c>
      <c r="I11310" s="9"/>
    </row>
    <row r="11311" spans="1:9" x14ac:dyDescent="0.25">
      <c r="A11311">
        <v>900132</v>
      </c>
      <c r="B11311">
        <v>2.66</v>
      </c>
      <c r="C11311">
        <v>100</v>
      </c>
      <c r="D11311" s="9">
        <v>43615</v>
      </c>
      <c r="E11311" t="s">
        <v>295</v>
      </c>
      <c r="I11311" s="9"/>
    </row>
    <row r="11312" spans="1:9" x14ac:dyDescent="0.25">
      <c r="A11312">
        <v>900132</v>
      </c>
      <c r="B11312">
        <v>2.66</v>
      </c>
      <c r="C11312">
        <v>50</v>
      </c>
      <c r="D11312" s="9">
        <v>43530</v>
      </c>
      <c r="E11312" t="s">
        <v>295</v>
      </c>
      <c r="I11312" s="9"/>
    </row>
    <row r="11313" spans="1:9" x14ac:dyDescent="0.25">
      <c r="A11313">
        <v>900132</v>
      </c>
      <c r="B11313">
        <v>2.58</v>
      </c>
      <c r="C11313">
        <v>150</v>
      </c>
      <c r="D11313" s="9">
        <v>43375</v>
      </c>
      <c r="E11313" t="s">
        <v>295</v>
      </c>
      <c r="I11313" s="9"/>
    </row>
    <row r="11314" spans="1:9" x14ac:dyDescent="0.25">
      <c r="A11314">
        <v>900132</v>
      </c>
      <c r="B11314">
        <v>2.58</v>
      </c>
      <c r="C11314">
        <v>80</v>
      </c>
      <c r="D11314" s="9">
        <v>43257</v>
      </c>
      <c r="E11314" t="s">
        <v>295</v>
      </c>
      <c r="I11314" s="9"/>
    </row>
    <row r="11315" spans="1:9" x14ac:dyDescent="0.25">
      <c r="A11315">
        <v>900132</v>
      </c>
      <c r="B11315">
        <v>2.58</v>
      </c>
      <c r="C11315">
        <v>80</v>
      </c>
      <c r="D11315" s="9">
        <v>43227</v>
      </c>
      <c r="E11315" t="s">
        <v>295</v>
      </c>
      <c r="I11315" s="9"/>
    </row>
    <row r="11316" spans="1:9" x14ac:dyDescent="0.25">
      <c r="A11316">
        <v>900132</v>
      </c>
      <c r="B11316">
        <v>2.58</v>
      </c>
      <c r="C11316">
        <v>100</v>
      </c>
      <c r="D11316" s="9">
        <v>43207</v>
      </c>
      <c r="E11316" t="s">
        <v>295</v>
      </c>
      <c r="I11316" s="9"/>
    </row>
    <row r="11317" spans="1:9" x14ac:dyDescent="0.25">
      <c r="A11317">
        <v>900132</v>
      </c>
      <c r="B11317">
        <v>2.58</v>
      </c>
      <c r="C11317">
        <v>80</v>
      </c>
      <c r="D11317" s="9">
        <v>43202</v>
      </c>
      <c r="E11317" t="s">
        <v>295</v>
      </c>
      <c r="I11317" s="9"/>
    </row>
    <row r="11318" spans="1:9" x14ac:dyDescent="0.25">
      <c r="A11318">
        <v>900132</v>
      </c>
      <c r="B11318">
        <v>2.58</v>
      </c>
      <c r="C11318">
        <v>80</v>
      </c>
      <c r="D11318" s="9">
        <v>43139</v>
      </c>
      <c r="E11318" t="s">
        <v>295</v>
      </c>
      <c r="I11318" s="9"/>
    </row>
    <row r="11319" spans="1:9" x14ac:dyDescent="0.25">
      <c r="A11319">
        <v>900132</v>
      </c>
      <c r="B11319">
        <v>2.58</v>
      </c>
      <c r="C11319">
        <v>40</v>
      </c>
      <c r="D11319" s="9">
        <v>43108</v>
      </c>
      <c r="E11319" t="s">
        <v>295</v>
      </c>
      <c r="I11319" s="9"/>
    </row>
    <row r="11320" spans="1:9" x14ac:dyDescent="0.25">
      <c r="A11320">
        <v>900132</v>
      </c>
      <c r="B11320">
        <v>2.58</v>
      </c>
      <c r="C11320">
        <v>80</v>
      </c>
      <c r="D11320" s="9">
        <v>43027</v>
      </c>
      <c r="E11320" t="s">
        <v>295</v>
      </c>
      <c r="I11320" s="9"/>
    </row>
    <row r="11321" spans="1:9" x14ac:dyDescent="0.25">
      <c r="A11321">
        <v>900132</v>
      </c>
      <c r="B11321">
        <v>2.58</v>
      </c>
      <c r="C11321">
        <v>200</v>
      </c>
      <c r="D11321" s="9">
        <v>42906</v>
      </c>
      <c r="E11321" t="s">
        <v>295</v>
      </c>
      <c r="I11321" s="9"/>
    </row>
    <row r="11322" spans="1:9" x14ac:dyDescent="0.25">
      <c r="A11322">
        <v>900132</v>
      </c>
      <c r="B11322">
        <v>2.58</v>
      </c>
      <c r="C11322">
        <v>100</v>
      </c>
      <c r="D11322" s="9">
        <v>42872</v>
      </c>
      <c r="E11322" t="s">
        <v>295</v>
      </c>
      <c r="I11322" s="9"/>
    </row>
    <row r="11323" spans="1:9" x14ac:dyDescent="0.25">
      <c r="A11323">
        <v>900132</v>
      </c>
      <c r="B11323">
        <v>2.58</v>
      </c>
      <c r="C11323">
        <v>165</v>
      </c>
      <c r="D11323" s="9">
        <v>42835</v>
      </c>
      <c r="E11323" t="s">
        <v>295</v>
      </c>
      <c r="I11323" s="9"/>
    </row>
    <row r="11324" spans="1:9" x14ac:dyDescent="0.25">
      <c r="A11324">
        <v>900132</v>
      </c>
      <c r="B11324">
        <v>2.58</v>
      </c>
      <c r="C11324">
        <v>100</v>
      </c>
      <c r="D11324" s="9">
        <v>42818</v>
      </c>
      <c r="E11324" t="s">
        <v>295</v>
      </c>
      <c r="I11324" s="9"/>
    </row>
    <row r="11325" spans="1:9" x14ac:dyDescent="0.25">
      <c r="A11325">
        <v>900132</v>
      </c>
      <c r="B11325">
        <v>2.58</v>
      </c>
      <c r="C11325">
        <v>100</v>
      </c>
      <c r="D11325" s="9">
        <v>42786</v>
      </c>
      <c r="E11325" t="s">
        <v>295</v>
      </c>
      <c r="I11325" s="9"/>
    </row>
    <row r="11326" spans="1:9" x14ac:dyDescent="0.25">
      <c r="A11326">
        <v>900132</v>
      </c>
      <c r="B11326">
        <v>2.58</v>
      </c>
      <c r="C11326">
        <v>80</v>
      </c>
      <c r="D11326" s="9">
        <v>42779</v>
      </c>
      <c r="E11326" t="s">
        <v>295</v>
      </c>
      <c r="I11326" s="9"/>
    </row>
    <row r="11327" spans="1:9" x14ac:dyDescent="0.25">
      <c r="A11327">
        <v>900132</v>
      </c>
      <c r="B11327">
        <v>2.58</v>
      </c>
      <c r="C11327">
        <v>20</v>
      </c>
      <c r="D11327" s="9">
        <v>42537</v>
      </c>
      <c r="E11327" t="s">
        <v>295</v>
      </c>
      <c r="I11327" s="9"/>
    </row>
    <row r="11328" spans="1:9" x14ac:dyDescent="0.25">
      <c r="A11328">
        <v>900132</v>
      </c>
      <c r="B11328">
        <v>2.58</v>
      </c>
      <c r="C11328">
        <v>40</v>
      </c>
      <c r="D11328" s="9">
        <v>42471</v>
      </c>
      <c r="E11328" t="s">
        <v>295</v>
      </c>
      <c r="I11328" s="9"/>
    </row>
    <row r="11329" spans="1:9" x14ac:dyDescent="0.25">
      <c r="A11329">
        <v>900132</v>
      </c>
      <c r="B11329">
        <v>2.58</v>
      </c>
      <c r="C11329">
        <v>20</v>
      </c>
      <c r="D11329" s="9">
        <v>42403</v>
      </c>
      <c r="E11329" t="s">
        <v>295</v>
      </c>
      <c r="I11329" s="9"/>
    </row>
    <row r="11330" spans="1:9" x14ac:dyDescent="0.25">
      <c r="A11330">
        <v>900132</v>
      </c>
      <c r="B11330">
        <v>2.58</v>
      </c>
      <c r="C11330">
        <v>20</v>
      </c>
      <c r="D11330" s="9">
        <v>42249</v>
      </c>
      <c r="E11330" t="s">
        <v>295</v>
      </c>
      <c r="I11330" s="9"/>
    </row>
    <row r="11331" spans="1:9" x14ac:dyDescent="0.25">
      <c r="A11331">
        <v>900132</v>
      </c>
      <c r="B11331">
        <v>2.58</v>
      </c>
      <c r="C11331">
        <v>40</v>
      </c>
      <c r="D11331" s="9">
        <v>42181</v>
      </c>
      <c r="E11331" t="s">
        <v>295</v>
      </c>
      <c r="I11331" s="9"/>
    </row>
    <row r="11332" spans="1:9" x14ac:dyDescent="0.25">
      <c r="A11332">
        <v>900132</v>
      </c>
      <c r="B11332">
        <v>0</v>
      </c>
      <c r="C11332">
        <v>40</v>
      </c>
      <c r="D11332" s="9">
        <v>42079</v>
      </c>
      <c r="E11332" t="s">
        <v>295</v>
      </c>
      <c r="I11332" s="9"/>
    </row>
    <row r="11333" spans="1:9" x14ac:dyDescent="0.25">
      <c r="A11333">
        <v>900132</v>
      </c>
      <c r="B11333">
        <v>2.58</v>
      </c>
      <c r="C11333">
        <v>40</v>
      </c>
      <c r="D11333" s="9">
        <v>41912</v>
      </c>
      <c r="E11333" t="s">
        <v>295</v>
      </c>
      <c r="I11333" s="9"/>
    </row>
    <row r="11334" spans="1:9" x14ac:dyDescent="0.25">
      <c r="A11334">
        <v>900132</v>
      </c>
      <c r="B11334">
        <v>2.58</v>
      </c>
      <c r="C11334">
        <v>40</v>
      </c>
      <c r="D11334" s="9">
        <v>41892</v>
      </c>
      <c r="E11334" t="s">
        <v>295</v>
      </c>
      <c r="I11334" s="9"/>
    </row>
    <row r="11335" spans="1:9" x14ac:dyDescent="0.25">
      <c r="A11335">
        <v>900132</v>
      </c>
      <c r="B11335">
        <v>2.58</v>
      </c>
      <c r="C11335">
        <v>20</v>
      </c>
      <c r="D11335" s="9">
        <v>41737</v>
      </c>
      <c r="E11335" t="s">
        <v>295</v>
      </c>
      <c r="I11335" s="9"/>
    </row>
    <row r="11336" spans="1:9" x14ac:dyDescent="0.25">
      <c r="A11336">
        <v>900132</v>
      </c>
      <c r="B11336">
        <v>2.58</v>
      </c>
      <c r="C11336">
        <v>40</v>
      </c>
      <c r="D11336" s="9">
        <v>41704</v>
      </c>
      <c r="E11336" t="s">
        <v>295</v>
      </c>
      <c r="I11336" s="9"/>
    </row>
    <row r="11337" spans="1:9" x14ac:dyDescent="0.25">
      <c r="A11337">
        <v>900140</v>
      </c>
      <c r="B11337">
        <v>0</v>
      </c>
      <c r="C11337">
        <v>60</v>
      </c>
      <c r="D11337" s="9">
        <v>42079</v>
      </c>
      <c r="E11337" t="s">
        <v>295</v>
      </c>
      <c r="I11337" s="9"/>
    </row>
    <row r="11338" spans="1:9" x14ac:dyDescent="0.25">
      <c r="A11338">
        <v>900140</v>
      </c>
      <c r="B11338">
        <v>2.93</v>
      </c>
      <c r="C11338">
        <v>40</v>
      </c>
      <c r="D11338" s="9">
        <v>41892</v>
      </c>
      <c r="E11338" t="s">
        <v>295</v>
      </c>
      <c r="I11338" s="9"/>
    </row>
    <row r="11339" spans="1:9" x14ac:dyDescent="0.25">
      <c r="A11339">
        <v>900140</v>
      </c>
      <c r="B11339">
        <v>2.93</v>
      </c>
      <c r="C11339">
        <v>20</v>
      </c>
      <c r="D11339" s="9">
        <v>41737</v>
      </c>
      <c r="E11339" t="s">
        <v>295</v>
      </c>
      <c r="I11339" s="9"/>
    </row>
    <row r="11340" spans="1:9" x14ac:dyDescent="0.25">
      <c r="A11340">
        <v>900140</v>
      </c>
      <c r="B11340">
        <v>2.93</v>
      </c>
      <c r="C11340">
        <v>40</v>
      </c>
      <c r="D11340" s="9">
        <v>41704</v>
      </c>
      <c r="E11340" t="s">
        <v>295</v>
      </c>
      <c r="I11340" s="9"/>
    </row>
    <row r="11341" spans="1:9" x14ac:dyDescent="0.25">
      <c r="A11341">
        <v>900142</v>
      </c>
      <c r="B11341">
        <v>2.37</v>
      </c>
      <c r="C11341">
        <v>50</v>
      </c>
      <c r="D11341" s="9">
        <v>44141</v>
      </c>
      <c r="E11341" t="s">
        <v>295</v>
      </c>
      <c r="I11341" s="9"/>
    </row>
    <row r="11342" spans="1:9" x14ac:dyDescent="0.25">
      <c r="A11342">
        <v>900142</v>
      </c>
      <c r="B11342">
        <v>2.37</v>
      </c>
      <c r="C11342">
        <v>100</v>
      </c>
      <c r="D11342" s="9">
        <v>44118</v>
      </c>
      <c r="E11342" t="s">
        <v>295</v>
      </c>
      <c r="I11342" s="9"/>
    </row>
    <row r="11343" spans="1:9" x14ac:dyDescent="0.25">
      <c r="A11343">
        <v>900142</v>
      </c>
      <c r="B11343">
        <v>2.37</v>
      </c>
      <c r="C11343">
        <v>100</v>
      </c>
      <c r="D11343" s="9">
        <v>44109</v>
      </c>
      <c r="E11343" t="s">
        <v>295</v>
      </c>
      <c r="I11343" s="9"/>
    </row>
    <row r="11344" spans="1:9" x14ac:dyDescent="0.25">
      <c r="A11344">
        <v>900142</v>
      </c>
      <c r="B11344">
        <v>2.37</v>
      </c>
      <c r="C11344">
        <v>250</v>
      </c>
      <c r="D11344" s="9">
        <v>43910</v>
      </c>
      <c r="E11344" t="s">
        <v>295</v>
      </c>
      <c r="I11344" s="9"/>
    </row>
    <row r="11345" spans="1:9" x14ac:dyDescent="0.25">
      <c r="A11345">
        <v>900142</v>
      </c>
      <c r="B11345">
        <v>2.37</v>
      </c>
      <c r="C11345">
        <v>200</v>
      </c>
      <c r="D11345" s="9">
        <v>43844</v>
      </c>
      <c r="E11345" t="s">
        <v>295</v>
      </c>
      <c r="I11345" s="9"/>
    </row>
    <row r="11346" spans="1:9" x14ac:dyDescent="0.25">
      <c r="A11346">
        <v>900142</v>
      </c>
      <c r="B11346">
        <v>2.36</v>
      </c>
      <c r="C11346">
        <v>250</v>
      </c>
      <c r="D11346" s="9">
        <v>43615</v>
      </c>
      <c r="E11346" t="s">
        <v>295</v>
      </c>
      <c r="I11346" s="9"/>
    </row>
    <row r="11347" spans="1:9" x14ac:dyDescent="0.25">
      <c r="A11347">
        <v>900142</v>
      </c>
      <c r="B11347">
        <v>2.36</v>
      </c>
      <c r="C11347">
        <v>250</v>
      </c>
      <c r="D11347" s="9">
        <v>43580</v>
      </c>
      <c r="E11347" t="s">
        <v>295</v>
      </c>
      <c r="I11347" s="9"/>
    </row>
    <row r="11348" spans="1:9" x14ac:dyDescent="0.25">
      <c r="A11348">
        <v>900142</v>
      </c>
      <c r="B11348">
        <v>2.36</v>
      </c>
      <c r="C11348">
        <v>250</v>
      </c>
      <c r="D11348" s="9">
        <v>43556</v>
      </c>
      <c r="E11348" t="s">
        <v>295</v>
      </c>
      <c r="I11348" s="9"/>
    </row>
    <row r="11349" spans="1:9" x14ac:dyDescent="0.25">
      <c r="A11349">
        <v>900142</v>
      </c>
      <c r="B11349">
        <v>2.36</v>
      </c>
      <c r="C11349">
        <v>50</v>
      </c>
      <c r="D11349" s="9">
        <v>43552</v>
      </c>
      <c r="E11349" t="s">
        <v>295</v>
      </c>
      <c r="I11349" s="9"/>
    </row>
    <row r="11350" spans="1:9" x14ac:dyDescent="0.25">
      <c r="A11350">
        <v>900142</v>
      </c>
      <c r="B11350">
        <v>2.36</v>
      </c>
      <c r="C11350">
        <v>100</v>
      </c>
      <c r="D11350" s="9">
        <v>43530</v>
      </c>
      <c r="E11350" t="s">
        <v>295</v>
      </c>
      <c r="I11350" s="9"/>
    </row>
    <row r="11351" spans="1:9" x14ac:dyDescent="0.25">
      <c r="A11351">
        <v>900142</v>
      </c>
      <c r="B11351">
        <v>2.36</v>
      </c>
      <c r="C11351">
        <v>170</v>
      </c>
      <c r="D11351" s="9">
        <v>43517</v>
      </c>
      <c r="E11351" t="s">
        <v>295</v>
      </c>
      <c r="I11351" s="9"/>
    </row>
    <row r="11352" spans="1:9" x14ac:dyDescent="0.25">
      <c r="A11352">
        <v>900142</v>
      </c>
      <c r="B11352">
        <v>2.31</v>
      </c>
      <c r="C11352">
        <v>100</v>
      </c>
      <c r="D11352" s="9">
        <v>43391</v>
      </c>
      <c r="E11352" t="s">
        <v>295</v>
      </c>
      <c r="I11352" s="9"/>
    </row>
    <row r="11353" spans="1:9" x14ac:dyDescent="0.25">
      <c r="A11353">
        <v>900142</v>
      </c>
      <c r="B11353">
        <v>2.31</v>
      </c>
      <c r="C11353">
        <v>100</v>
      </c>
      <c r="D11353" s="9">
        <v>43375</v>
      </c>
      <c r="E11353" t="s">
        <v>295</v>
      </c>
      <c r="I11353" s="9"/>
    </row>
    <row r="11354" spans="1:9" x14ac:dyDescent="0.25">
      <c r="A11354">
        <v>900142</v>
      </c>
      <c r="B11354">
        <v>2.31</v>
      </c>
      <c r="C11354">
        <v>100</v>
      </c>
      <c r="D11354" s="9">
        <v>43227</v>
      </c>
      <c r="E11354" t="s">
        <v>295</v>
      </c>
      <c r="I11354" s="9"/>
    </row>
    <row r="11355" spans="1:9" x14ac:dyDescent="0.25">
      <c r="A11355">
        <v>900142</v>
      </c>
      <c r="B11355">
        <v>2.31</v>
      </c>
      <c r="C11355">
        <v>300</v>
      </c>
      <c r="D11355" s="9">
        <v>43207</v>
      </c>
      <c r="E11355" t="s">
        <v>295</v>
      </c>
      <c r="I11355" s="9"/>
    </row>
    <row r="11356" spans="1:9" x14ac:dyDescent="0.25">
      <c r="A11356">
        <v>900142</v>
      </c>
      <c r="B11356">
        <v>2.31</v>
      </c>
      <c r="C11356">
        <v>120</v>
      </c>
      <c r="D11356" s="9">
        <v>43139</v>
      </c>
      <c r="E11356" t="s">
        <v>295</v>
      </c>
      <c r="I11356" s="9"/>
    </row>
    <row r="11357" spans="1:9" x14ac:dyDescent="0.25">
      <c r="A11357">
        <v>900142</v>
      </c>
      <c r="B11357">
        <v>2.31</v>
      </c>
      <c r="C11357">
        <v>120</v>
      </c>
      <c r="D11357" s="9">
        <v>43108</v>
      </c>
      <c r="E11357" t="s">
        <v>295</v>
      </c>
      <c r="I11357" s="9"/>
    </row>
    <row r="11358" spans="1:9" x14ac:dyDescent="0.25">
      <c r="A11358">
        <v>900142</v>
      </c>
      <c r="B11358">
        <v>2.31</v>
      </c>
      <c r="C11358">
        <v>100</v>
      </c>
      <c r="D11358" s="9">
        <v>42906</v>
      </c>
      <c r="E11358" t="s">
        <v>295</v>
      </c>
      <c r="I11358" s="9"/>
    </row>
    <row r="11359" spans="1:9" x14ac:dyDescent="0.25">
      <c r="A11359">
        <v>900142</v>
      </c>
      <c r="B11359">
        <v>2.31</v>
      </c>
      <c r="C11359">
        <v>200</v>
      </c>
      <c r="D11359" s="9">
        <v>42872</v>
      </c>
      <c r="E11359" t="s">
        <v>295</v>
      </c>
      <c r="I11359" s="9"/>
    </row>
    <row r="11360" spans="1:9" x14ac:dyDescent="0.25">
      <c r="A11360">
        <v>900142</v>
      </c>
      <c r="B11360">
        <v>2.31</v>
      </c>
      <c r="C11360">
        <v>160</v>
      </c>
      <c r="D11360" s="9">
        <v>42835</v>
      </c>
      <c r="E11360" t="s">
        <v>295</v>
      </c>
      <c r="I11360" s="9"/>
    </row>
    <row r="11361" spans="1:9" x14ac:dyDescent="0.25">
      <c r="A11361">
        <v>900142</v>
      </c>
      <c r="B11361">
        <v>2.31</v>
      </c>
      <c r="C11361">
        <v>100</v>
      </c>
      <c r="D11361" s="9">
        <v>42818</v>
      </c>
      <c r="E11361" t="s">
        <v>295</v>
      </c>
      <c r="I11361" s="9"/>
    </row>
    <row r="11362" spans="1:9" x14ac:dyDescent="0.25">
      <c r="A11362">
        <v>900142</v>
      </c>
      <c r="B11362">
        <v>2.31</v>
      </c>
      <c r="C11362">
        <v>100</v>
      </c>
      <c r="D11362" s="9">
        <v>42786</v>
      </c>
      <c r="E11362" t="s">
        <v>295</v>
      </c>
      <c r="I11362" s="9"/>
    </row>
    <row r="11363" spans="1:9" x14ac:dyDescent="0.25">
      <c r="A11363">
        <v>900142</v>
      </c>
      <c r="B11363">
        <v>2.31</v>
      </c>
      <c r="C11363">
        <v>40</v>
      </c>
      <c r="D11363" s="9">
        <v>42779</v>
      </c>
      <c r="E11363" t="s">
        <v>295</v>
      </c>
      <c r="I11363" s="9"/>
    </row>
    <row r="11364" spans="1:9" x14ac:dyDescent="0.25">
      <c r="A11364">
        <v>900142</v>
      </c>
      <c r="B11364">
        <v>2.31</v>
      </c>
      <c r="C11364">
        <v>80</v>
      </c>
      <c r="D11364" s="9">
        <v>42745</v>
      </c>
      <c r="E11364" t="s">
        <v>295</v>
      </c>
      <c r="I11364" s="9"/>
    </row>
    <row r="11365" spans="1:9" x14ac:dyDescent="0.25">
      <c r="A11365">
        <v>900142</v>
      </c>
      <c r="B11365">
        <v>2.31</v>
      </c>
      <c r="C11365">
        <v>80</v>
      </c>
      <c r="D11365" s="9">
        <v>42705</v>
      </c>
      <c r="E11365" t="s">
        <v>295</v>
      </c>
      <c r="I11365" s="9"/>
    </row>
    <row r="11366" spans="1:9" x14ac:dyDescent="0.25">
      <c r="A11366">
        <v>900142</v>
      </c>
      <c r="B11366">
        <v>2.31</v>
      </c>
      <c r="C11366">
        <v>20</v>
      </c>
      <c r="D11366" s="9">
        <v>42670</v>
      </c>
      <c r="E11366" t="s">
        <v>295</v>
      </c>
      <c r="I11366" s="9"/>
    </row>
    <row r="11367" spans="1:9" x14ac:dyDescent="0.25">
      <c r="A11367">
        <v>900142</v>
      </c>
      <c r="B11367">
        <v>2.31</v>
      </c>
      <c r="C11367">
        <v>20</v>
      </c>
      <c r="D11367" s="9">
        <v>42471</v>
      </c>
      <c r="E11367" t="s">
        <v>295</v>
      </c>
      <c r="I11367" s="9"/>
    </row>
    <row r="11368" spans="1:9" x14ac:dyDescent="0.25">
      <c r="A11368">
        <v>900142</v>
      </c>
      <c r="B11368">
        <v>2.31</v>
      </c>
      <c r="C11368">
        <v>20</v>
      </c>
      <c r="D11368" s="9">
        <v>42403</v>
      </c>
      <c r="E11368" t="s">
        <v>295</v>
      </c>
      <c r="I11368" s="9"/>
    </row>
    <row r="11369" spans="1:9" x14ac:dyDescent="0.25">
      <c r="A11369">
        <v>900142</v>
      </c>
      <c r="B11369">
        <v>2.31</v>
      </c>
      <c r="C11369">
        <v>60</v>
      </c>
      <c r="D11369" s="9">
        <v>42145</v>
      </c>
      <c r="E11369" t="s">
        <v>295</v>
      </c>
      <c r="I11369" s="9"/>
    </row>
    <row r="11370" spans="1:9" x14ac:dyDescent="0.25">
      <c r="A11370">
        <v>900142</v>
      </c>
      <c r="B11370">
        <v>0</v>
      </c>
      <c r="C11370">
        <v>60</v>
      </c>
      <c r="D11370" s="9">
        <v>42079</v>
      </c>
      <c r="E11370" t="s">
        <v>295</v>
      </c>
      <c r="I11370" s="9"/>
    </row>
    <row r="11371" spans="1:9" x14ac:dyDescent="0.25">
      <c r="A11371">
        <v>900142</v>
      </c>
      <c r="B11371">
        <v>2.31</v>
      </c>
      <c r="C11371">
        <v>40</v>
      </c>
      <c r="D11371" s="9">
        <v>41704</v>
      </c>
      <c r="E11371" t="s">
        <v>295</v>
      </c>
      <c r="I11371" s="9"/>
    </row>
    <row r="11372" spans="1:9" x14ac:dyDescent="0.25">
      <c r="A11372">
        <v>900144</v>
      </c>
      <c r="B11372">
        <v>3.8</v>
      </c>
      <c r="C11372">
        <v>50</v>
      </c>
      <c r="D11372" s="9">
        <v>44019</v>
      </c>
      <c r="E11372" t="s">
        <v>295</v>
      </c>
      <c r="I11372" s="9"/>
    </row>
    <row r="11373" spans="1:9" x14ac:dyDescent="0.25">
      <c r="A11373">
        <v>900144</v>
      </c>
      <c r="B11373">
        <v>3.8</v>
      </c>
      <c r="C11373">
        <v>50</v>
      </c>
      <c r="D11373" s="9">
        <v>43977</v>
      </c>
      <c r="E11373" t="s">
        <v>295</v>
      </c>
      <c r="I11373" s="9"/>
    </row>
    <row r="11374" spans="1:9" x14ac:dyDescent="0.25">
      <c r="A11374">
        <v>900144</v>
      </c>
      <c r="B11374">
        <v>3.79</v>
      </c>
      <c r="C11374">
        <v>60</v>
      </c>
      <c r="D11374" s="9">
        <v>43615</v>
      </c>
      <c r="E11374" t="s">
        <v>295</v>
      </c>
      <c r="I11374" s="9"/>
    </row>
    <row r="11375" spans="1:9" x14ac:dyDescent="0.25">
      <c r="A11375">
        <v>900144</v>
      </c>
      <c r="B11375">
        <v>3.79</v>
      </c>
      <c r="C11375">
        <v>40</v>
      </c>
      <c r="D11375" s="9">
        <v>43552</v>
      </c>
      <c r="E11375" t="s">
        <v>295</v>
      </c>
      <c r="I11375" s="9"/>
    </row>
    <row r="11376" spans="1:9" x14ac:dyDescent="0.25">
      <c r="A11376">
        <v>900144</v>
      </c>
      <c r="B11376">
        <v>3.7</v>
      </c>
      <c r="C11376">
        <v>40</v>
      </c>
      <c r="D11376" s="9">
        <v>43375</v>
      </c>
      <c r="E11376" t="s">
        <v>295</v>
      </c>
      <c r="I11376" s="9"/>
    </row>
    <row r="11377" spans="1:9" x14ac:dyDescent="0.25">
      <c r="A11377">
        <v>900144</v>
      </c>
      <c r="B11377">
        <v>3.7</v>
      </c>
      <c r="C11377">
        <v>40</v>
      </c>
      <c r="D11377" s="9">
        <v>43227</v>
      </c>
      <c r="E11377" t="s">
        <v>295</v>
      </c>
      <c r="I11377" s="9"/>
    </row>
    <row r="11378" spans="1:9" x14ac:dyDescent="0.25">
      <c r="A11378">
        <v>900144</v>
      </c>
      <c r="B11378">
        <v>3.7</v>
      </c>
      <c r="C11378">
        <v>40</v>
      </c>
      <c r="D11378" s="9">
        <v>43202</v>
      </c>
      <c r="E11378" t="s">
        <v>295</v>
      </c>
      <c r="I11378" s="9"/>
    </row>
    <row r="11379" spans="1:9" x14ac:dyDescent="0.25">
      <c r="A11379">
        <v>900144</v>
      </c>
      <c r="B11379">
        <v>3.7</v>
      </c>
      <c r="C11379">
        <v>80</v>
      </c>
      <c r="D11379" s="9">
        <v>43161</v>
      </c>
      <c r="E11379" t="s">
        <v>295</v>
      </c>
      <c r="I11379" s="9"/>
    </row>
    <row r="11380" spans="1:9" x14ac:dyDescent="0.25">
      <c r="A11380">
        <v>900144</v>
      </c>
      <c r="B11380">
        <v>3.7</v>
      </c>
      <c r="C11380">
        <v>80</v>
      </c>
      <c r="D11380" s="9">
        <v>43027</v>
      </c>
      <c r="E11380" t="s">
        <v>295</v>
      </c>
      <c r="I11380" s="9"/>
    </row>
    <row r="11381" spans="1:9" x14ac:dyDescent="0.25">
      <c r="A11381">
        <v>900144</v>
      </c>
      <c r="B11381">
        <v>3.7</v>
      </c>
      <c r="C11381">
        <v>40</v>
      </c>
      <c r="D11381" s="9">
        <v>42906</v>
      </c>
      <c r="E11381" t="s">
        <v>295</v>
      </c>
      <c r="I11381" s="9"/>
    </row>
    <row r="11382" spans="1:9" x14ac:dyDescent="0.25">
      <c r="A11382">
        <v>900144</v>
      </c>
      <c r="B11382">
        <v>3.7</v>
      </c>
      <c r="C11382">
        <v>80</v>
      </c>
      <c r="D11382" s="9">
        <v>42786</v>
      </c>
      <c r="E11382" t="s">
        <v>295</v>
      </c>
      <c r="I11382" s="9"/>
    </row>
    <row r="11383" spans="1:9" x14ac:dyDescent="0.25">
      <c r="A11383">
        <v>900144</v>
      </c>
      <c r="B11383">
        <v>3.7</v>
      </c>
      <c r="C11383">
        <v>40</v>
      </c>
      <c r="D11383" s="9">
        <v>42779</v>
      </c>
      <c r="E11383" t="s">
        <v>295</v>
      </c>
      <c r="I11383" s="9"/>
    </row>
    <row r="11384" spans="1:9" x14ac:dyDescent="0.25">
      <c r="A11384">
        <v>900144</v>
      </c>
      <c r="B11384">
        <v>3.7</v>
      </c>
      <c r="C11384">
        <v>80</v>
      </c>
      <c r="D11384" s="9">
        <v>42745</v>
      </c>
      <c r="E11384" t="s">
        <v>295</v>
      </c>
      <c r="I11384" s="9"/>
    </row>
    <row r="11385" spans="1:9" x14ac:dyDescent="0.25">
      <c r="A11385">
        <v>900144</v>
      </c>
      <c r="B11385">
        <v>3.7</v>
      </c>
      <c r="C11385">
        <v>40</v>
      </c>
      <c r="D11385" s="9">
        <v>42705</v>
      </c>
      <c r="E11385" t="s">
        <v>295</v>
      </c>
      <c r="I11385" s="9"/>
    </row>
    <row r="11386" spans="1:9" x14ac:dyDescent="0.25">
      <c r="A11386">
        <v>900144</v>
      </c>
      <c r="B11386">
        <v>3.7</v>
      </c>
      <c r="C11386">
        <v>20</v>
      </c>
      <c r="D11386" s="9">
        <v>42670</v>
      </c>
      <c r="E11386" t="s">
        <v>295</v>
      </c>
      <c r="I11386" s="9"/>
    </row>
    <row r="11387" spans="1:9" x14ac:dyDescent="0.25">
      <c r="A11387">
        <v>900144</v>
      </c>
      <c r="B11387">
        <v>3.7</v>
      </c>
      <c r="C11387">
        <v>40</v>
      </c>
      <c r="D11387" s="9">
        <v>42478</v>
      </c>
      <c r="E11387" t="s">
        <v>295</v>
      </c>
      <c r="I11387" s="9"/>
    </row>
    <row r="11388" spans="1:9" x14ac:dyDescent="0.25">
      <c r="A11388">
        <v>900144</v>
      </c>
      <c r="B11388">
        <v>3.7</v>
      </c>
      <c r="C11388">
        <v>40</v>
      </c>
      <c r="D11388" s="9">
        <v>42471</v>
      </c>
      <c r="E11388" t="s">
        <v>295</v>
      </c>
      <c r="I11388" s="9"/>
    </row>
    <row r="11389" spans="1:9" x14ac:dyDescent="0.25">
      <c r="A11389">
        <v>900144</v>
      </c>
      <c r="B11389">
        <v>3.7</v>
      </c>
      <c r="C11389">
        <v>40</v>
      </c>
      <c r="D11389" s="9">
        <v>42403</v>
      </c>
      <c r="E11389" t="s">
        <v>295</v>
      </c>
      <c r="I11389" s="9"/>
    </row>
    <row r="11390" spans="1:9" x14ac:dyDescent="0.25">
      <c r="A11390">
        <v>900144</v>
      </c>
      <c r="B11390">
        <v>3.7</v>
      </c>
      <c r="C11390">
        <v>20</v>
      </c>
      <c r="D11390" s="9">
        <v>42181</v>
      </c>
      <c r="E11390" t="s">
        <v>295</v>
      </c>
      <c r="I11390" s="9"/>
    </row>
    <row r="11391" spans="1:9" x14ac:dyDescent="0.25">
      <c r="A11391">
        <v>900144</v>
      </c>
      <c r="B11391">
        <v>0</v>
      </c>
      <c r="C11391">
        <v>60</v>
      </c>
      <c r="D11391" s="9">
        <v>42079</v>
      </c>
      <c r="E11391" t="s">
        <v>295</v>
      </c>
      <c r="I11391" s="9"/>
    </row>
    <row r="11392" spans="1:9" x14ac:dyDescent="0.25">
      <c r="A11392">
        <v>900144</v>
      </c>
      <c r="B11392">
        <v>3.7</v>
      </c>
      <c r="C11392">
        <v>40</v>
      </c>
      <c r="D11392" s="9">
        <v>41737</v>
      </c>
      <c r="E11392" t="s">
        <v>295</v>
      </c>
      <c r="I11392" s="9"/>
    </row>
    <row r="11393" spans="1:9" x14ac:dyDescent="0.25">
      <c r="A11393">
        <v>900145</v>
      </c>
      <c r="B11393">
        <v>2.85</v>
      </c>
      <c r="C11393">
        <v>100</v>
      </c>
      <c r="D11393" s="9">
        <v>44118</v>
      </c>
      <c r="E11393" t="s">
        <v>295</v>
      </c>
      <c r="I11393" s="9"/>
    </row>
    <row r="11394" spans="1:9" x14ac:dyDescent="0.25">
      <c r="A11394">
        <v>900145</v>
      </c>
      <c r="B11394">
        <v>2.85</v>
      </c>
      <c r="C11394">
        <v>100</v>
      </c>
      <c r="D11394" s="9">
        <v>44075</v>
      </c>
      <c r="E11394" t="s">
        <v>295</v>
      </c>
      <c r="I11394" s="9"/>
    </row>
    <row r="11395" spans="1:9" x14ac:dyDescent="0.25">
      <c r="A11395">
        <v>900145</v>
      </c>
      <c r="B11395">
        <v>2.85</v>
      </c>
      <c r="C11395">
        <v>100</v>
      </c>
      <c r="D11395" s="9">
        <v>43977</v>
      </c>
      <c r="E11395" t="s">
        <v>295</v>
      </c>
      <c r="I11395" s="9"/>
    </row>
    <row r="11396" spans="1:9" x14ac:dyDescent="0.25">
      <c r="A11396">
        <v>900145</v>
      </c>
      <c r="B11396">
        <v>2.85</v>
      </c>
      <c r="C11396">
        <v>50</v>
      </c>
      <c r="D11396" s="9">
        <v>43910</v>
      </c>
      <c r="E11396" t="s">
        <v>295</v>
      </c>
      <c r="I11396" s="9"/>
    </row>
    <row r="11397" spans="1:9" x14ac:dyDescent="0.25">
      <c r="A11397">
        <v>900145</v>
      </c>
      <c r="B11397">
        <v>2.85</v>
      </c>
      <c r="C11397">
        <v>50</v>
      </c>
      <c r="D11397" s="9">
        <v>43844</v>
      </c>
      <c r="E11397" t="s">
        <v>295</v>
      </c>
      <c r="I11397" s="9"/>
    </row>
    <row r="11398" spans="1:9" x14ac:dyDescent="0.25">
      <c r="A11398">
        <v>900145</v>
      </c>
      <c r="B11398">
        <v>2.85</v>
      </c>
      <c r="C11398">
        <v>100</v>
      </c>
      <c r="D11398" s="9">
        <v>43580</v>
      </c>
      <c r="E11398" t="s">
        <v>295</v>
      </c>
      <c r="I11398" s="9"/>
    </row>
    <row r="11399" spans="1:9" x14ac:dyDescent="0.25">
      <c r="A11399">
        <v>900145</v>
      </c>
      <c r="B11399">
        <v>2.85</v>
      </c>
      <c r="C11399">
        <v>150</v>
      </c>
      <c r="D11399" s="9">
        <v>43556</v>
      </c>
      <c r="E11399" t="s">
        <v>295</v>
      </c>
      <c r="I11399" s="9"/>
    </row>
    <row r="11400" spans="1:9" x14ac:dyDescent="0.25">
      <c r="A11400">
        <v>900145</v>
      </c>
      <c r="B11400">
        <v>2.85</v>
      </c>
      <c r="C11400">
        <v>180</v>
      </c>
      <c r="D11400" s="9">
        <v>43552</v>
      </c>
      <c r="E11400" t="s">
        <v>295</v>
      </c>
      <c r="I11400" s="9"/>
    </row>
    <row r="11401" spans="1:9" x14ac:dyDescent="0.25">
      <c r="A11401">
        <v>900145</v>
      </c>
      <c r="B11401">
        <v>2.85</v>
      </c>
      <c r="C11401">
        <v>40</v>
      </c>
      <c r="D11401" s="9">
        <v>43530</v>
      </c>
      <c r="E11401" t="s">
        <v>295</v>
      </c>
      <c r="I11401" s="9"/>
    </row>
    <row r="11402" spans="1:9" x14ac:dyDescent="0.25">
      <c r="A11402">
        <v>900145</v>
      </c>
      <c r="B11402">
        <v>2.77</v>
      </c>
      <c r="C11402">
        <v>80</v>
      </c>
      <c r="D11402" s="9">
        <v>43426</v>
      </c>
      <c r="E11402" t="s">
        <v>295</v>
      </c>
      <c r="I11402" s="9"/>
    </row>
    <row r="11403" spans="1:9" x14ac:dyDescent="0.25">
      <c r="A11403">
        <v>900145</v>
      </c>
      <c r="B11403">
        <v>2.77</v>
      </c>
      <c r="C11403">
        <v>80</v>
      </c>
      <c r="D11403" s="9">
        <v>43391</v>
      </c>
      <c r="E11403" t="s">
        <v>295</v>
      </c>
      <c r="I11403" s="9"/>
    </row>
    <row r="11404" spans="1:9" x14ac:dyDescent="0.25">
      <c r="A11404">
        <v>900145</v>
      </c>
      <c r="B11404">
        <v>2.77</v>
      </c>
      <c r="C11404">
        <v>80</v>
      </c>
      <c r="D11404" s="9">
        <v>43375</v>
      </c>
      <c r="E11404" t="s">
        <v>295</v>
      </c>
      <c r="I11404" s="9"/>
    </row>
    <row r="11405" spans="1:9" x14ac:dyDescent="0.25">
      <c r="A11405">
        <v>900145</v>
      </c>
      <c r="B11405">
        <v>2.77</v>
      </c>
      <c r="C11405">
        <v>80</v>
      </c>
      <c r="D11405" s="9">
        <v>43257</v>
      </c>
      <c r="E11405" t="s">
        <v>295</v>
      </c>
      <c r="I11405" s="9"/>
    </row>
    <row r="11406" spans="1:9" x14ac:dyDescent="0.25">
      <c r="A11406">
        <v>900145</v>
      </c>
      <c r="B11406">
        <v>2.77</v>
      </c>
      <c r="C11406">
        <v>80</v>
      </c>
      <c r="D11406" s="9">
        <v>43227</v>
      </c>
      <c r="E11406" t="s">
        <v>295</v>
      </c>
      <c r="I11406" s="9"/>
    </row>
    <row r="11407" spans="1:9" x14ac:dyDescent="0.25">
      <c r="A11407">
        <v>900145</v>
      </c>
      <c r="B11407">
        <v>2.77</v>
      </c>
      <c r="C11407">
        <v>80</v>
      </c>
      <c r="D11407" s="9">
        <v>43202</v>
      </c>
      <c r="E11407" t="s">
        <v>295</v>
      </c>
      <c r="I11407" s="9"/>
    </row>
    <row r="11408" spans="1:9" x14ac:dyDescent="0.25">
      <c r="A11408">
        <v>900145</v>
      </c>
      <c r="B11408">
        <v>2.62</v>
      </c>
      <c r="C11408">
        <v>80</v>
      </c>
      <c r="D11408" s="9">
        <v>43139</v>
      </c>
      <c r="E11408" t="s">
        <v>295</v>
      </c>
      <c r="I11408" s="9"/>
    </row>
    <row r="11409" spans="1:9" x14ac:dyDescent="0.25">
      <c r="A11409">
        <v>900145</v>
      </c>
      <c r="B11409">
        <v>2.62</v>
      </c>
      <c r="C11409">
        <v>80</v>
      </c>
      <c r="D11409" s="9">
        <v>43027</v>
      </c>
      <c r="E11409" t="s">
        <v>295</v>
      </c>
      <c r="I11409" s="9"/>
    </row>
    <row r="11410" spans="1:9" x14ac:dyDescent="0.25">
      <c r="A11410">
        <v>900145</v>
      </c>
      <c r="B11410">
        <v>2.62</v>
      </c>
      <c r="C11410">
        <v>40</v>
      </c>
      <c r="D11410" s="9">
        <v>42906</v>
      </c>
      <c r="E11410" t="s">
        <v>295</v>
      </c>
      <c r="I11410" s="9"/>
    </row>
    <row r="11411" spans="1:9" x14ac:dyDescent="0.25">
      <c r="A11411">
        <v>900145</v>
      </c>
      <c r="B11411">
        <v>2.62</v>
      </c>
      <c r="C11411">
        <v>100</v>
      </c>
      <c r="D11411" s="9">
        <v>42835</v>
      </c>
      <c r="E11411" t="s">
        <v>295</v>
      </c>
      <c r="I11411" s="9"/>
    </row>
    <row r="11412" spans="1:9" x14ac:dyDescent="0.25">
      <c r="A11412">
        <v>900145</v>
      </c>
      <c r="B11412">
        <v>2.62</v>
      </c>
      <c r="C11412">
        <v>100</v>
      </c>
      <c r="D11412" s="9">
        <v>42786</v>
      </c>
      <c r="E11412" t="s">
        <v>295</v>
      </c>
      <c r="I11412" s="9"/>
    </row>
    <row r="11413" spans="1:9" x14ac:dyDescent="0.25">
      <c r="A11413">
        <v>900145</v>
      </c>
      <c r="B11413">
        <v>2.62</v>
      </c>
      <c r="C11413">
        <v>40</v>
      </c>
      <c r="D11413" s="9">
        <v>42779</v>
      </c>
      <c r="E11413" t="s">
        <v>295</v>
      </c>
      <c r="I11413" s="9"/>
    </row>
    <row r="11414" spans="1:9" x14ac:dyDescent="0.25">
      <c r="A11414">
        <v>900145</v>
      </c>
      <c r="B11414">
        <v>2.62</v>
      </c>
      <c r="C11414">
        <v>80</v>
      </c>
      <c r="D11414" s="9">
        <v>42745</v>
      </c>
      <c r="E11414" t="s">
        <v>295</v>
      </c>
      <c r="I11414" s="9"/>
    </row>
    <row r="11415" spans="1:9" x14ac:dyDescent="0.25">
      <c r="A11415">
        <v>900145</v>
      </c>
      <c r="B11415">
        <v>2.62</v>
      </c>
      <c r="C11415">
        <v>40</v>
      </c>
      <c r="D11415" s="9">
        <v>42705</v>
      </c>
      <c r="E11415" t="s">
        <v>295</v>
      </c>
      <c r="I11415" s="9"/>
    </row>
    <row r="11416" spans="1:9" x14ac:dyDescent="0.25">
      <c r="A11416">
        <v>900145</v>
      </c>
      <c r="B11416">
        <v>2.62</v>
      </c>
      <c r="C11416">
        <v>40</v>
      </c>
      <c r="D11416" s="9">
        <v>42670</v>
      </c>
      <c r="E11416" t="s">
        <v>295</v>
      </c>
      <c r="I11416" s="9"/>
    </row>
    <row r="11417" spans="1:9" x14ac:dyDescent="0.25">
      <c r="A11417">
        <v>900145</v>
      </c>
      <c r="B11417">
        <v>2.62</v>
      </c>
      <c r="C11417">
        <v>40</v>
      </c>
      <c r="D11417" s="9">
        <v>42594</v>
      </c>
      <c r="E11417" t="s">
        <v>295</v>
      </c>
      <c r="I11417" s="9"/>
    </row>
    <row r="11418" spans="1:9" x14ac:dyDescent="0.25">
      <c r="A11418">
        <v>900145</v>
      </c>
      <c r="B11418">
        <v>2.62</v>
      </c>
      <c r="C11418">
        <v>40</v>
      </c>
      <c r="D11418" s="9">
        <v>42537</v>
      </c>
      <c r="E11418" t="s">
        <v>295</v>
      </c>
      <c r="I11418" s="9"/>
    </row>
    <row r="11419" spans="1:9" x14ac:dyDescent="0.25">
      <c r="A11419">
        <v>900145</v>
      </c>
      <c r="B11419">
        <v>2.62</v>
      </c>
      <c r="C11419">
        <v>40</v>
      </c>
      <c r="D11419" s="9">
        <v>42499</v>
      </c>
      <c r="E11419" t="s">
        <v>295</v>
      </c>
      <c r="I11419" s="9"/>
    </row>
    <row r="11420" spans="1:9" x14ac:dyDescent="0.25">
      <c r="A11420">
        <v>900145</v>
      </c>
      <c r="B11420">
        <v>2.62</v>
      </c>
      <c r="C11420">
        <v>40</v>
      </c>
      <c r="D11420" s="9">
        <v>42403</v>
      </c>
      <c r="E11420" t="s">
        <v>295</v>
      </c>
      <c r="I11420" s="9"/>
    </row>
    <row r="11421" spans="1:9" x14ac:dyDescent="0.25">
      <c r="A11421">
        <v>900145</v>
      </c>
      <c r="B11421">
        <v>2.62</v>
      </c>
      <c r="C11421">
        <v>20</v>
      </c>
      <c r="D11421" s="9">
        <v>42249</v>
      </c>
      <c r="E11421" t="s">
        <v>295</v>
      </c>
      <c r="I11421" s="9"/>
    </row>
    <row r="11422" spans="1:9" x14ac:dyDescent="0.25">
      <c r="A11422">
        <v>900145</v>
      </c>
      <c r="B11422">
        <v>2.62</v>
      </c>
      <c r="C11422">
        <v>60</v>
      </c>
      <c r="D11422" s="9">
        <v>42145</v>
      </c>
      <c r="E11422" t="s">
        <v>295</v>
      </c>
      <c r="I11422" s="9"/>
    </row>
    <row r="11423" spans="1:9" x14ac:dyDescent="0.25">
      <c r="A11423">
        <v>900145</v>
      </c>
      <c r="B11423">
        <v>0</v>
      </c>
      <c r="C11423">
        <v>40</v>
      </c>
      <c r="D11423" s="9">
        <v>42079</v>
      </c>
      <c r="E11423" t="s">
        <v>295</v>
      </c>
      <c r="I11423" s="9"/>
    </row>
    <row r="11424" spans="1:9" x14ac:dyDescent="0.25">
      <c r="A11424">
        <v>900145</v>
      </c>
      <c r="B11424">
        <v>2.62</v>
      </c>
      <c r="C11424">
        <v>40</v>
      </c>
      <c r="D11424" s="9">
        <v>41704</v>
      </c>
      <c r="E11424" t="s">
        <v>295</v>
      </c>
      <c r="I11424" s="9"/>
    </row>
    <row r="11425" spans="1:9" x14ac:dyDescent="0.25">
      <c r="A11425">
        <v>900146</v>
      </c>
      <c r="B11425">
        <v>4.38</v>
      </c>
      <c r="C11425">
        <v>300</v>
      </c>
      <c r="D11425" s="9">
        <v>44141</v>
      </c>
      <c r="E11425" t="s">
        <v>295</v>
      </c>
      <c r="I11425" s="9"/>
    </row>
    <row r="11426" spans="1:9" x14ac:dyDescent="0.25">
      <c r="A11426">
        <v>900146</v>
      </c>
      <c r="B11426">
        <v>4.38</v>
      </c>
      <c r="C11426">
        <v>340</v>
      </c>
      <c r="D11426" s="9">
        <v>44109</v>
      </c>
      <c r="E11426" t="s">
        <v>295</v>
      </c>
      <c r="I11426" s="9"/>
    </row>
    <row r="11427" spans="1:9" x14ac:dyDescent="0.25">
      <c r="A11427">
        <v>900146</v>
      </c>
      <c r="B11427">
        <v>4.38</v>
      </c>
      <c r="C11427">
        <v>200</v>
      </c>
      <c r="D11427" s="9">
        <v>43910</v>
      </c>
      <c r="E11427" t="s">
        <v>295</v>
      </c>
      <c r="I11427" s="9"/>
    </row>
    <row r="11428" spans="1:9" x14ac:dyDescent="0.25">
      <c r="A11428">
        <v>900146</v>
      </c>
      <c r="B11428">
        <v>4.38</v>
      </c>
      <c r="C11428">
        <v>240</v>
      </c>
      <c r="D11428" s="9">
        <v>43844</v>
      </c>
      <c r="E11428" t="s">
        <v>295</v>
      </c>
      <c r="I11428" s="9"/>
    </row>
    <row r="11429" spans="1:9" x14ac:dyDescent="0.25">
      <c r="A11429">
        <v>900146</v>
      </c>
      <c r="B11429">
        <v>4.3499999999999996</v>
      </c>
      <c r="C11429">
        <v>200</v>
      </c>
      <c r="D11429" s="9">
        <v>43615</v>
      </c>
      <c r="E11429" t="s">
        <v>295</v>
      </c>
      <c r="I11429" s="9"/>
    </row>
    <row r="11430" spans="1:9" x14ac:dyDescent="0.25">
      <c r="A11430">
        <v>900146</v>
      </c>
      <c r="B11430">
        <v>4.3499999999999996</v>
      </c>
      <c r="C11430">
        <v>500</v>
      </c>
      <c r="D11430" s="9">
        <v>43556</v>
      </c>
      <c r="E11430" t="s">
        <v>295</v>
      </c>
      <c r="I11430" s="9"/>
    </row>
    <row r="11431" spans="1:9" x14ac:dyDescent="0.25">
      <c r="A11431">
        <v>900146</v>
      </c>
      <c r="B11431">
        <v>4.3499999999999996</v>
      </c>
      <c r="C11431">
        <v>40</v>
      </c>
      <c r="D11431" s="9">
        <v>43530</v>
      </c>
      <c r="E11431" t="s">
        <v>295</v>
      </c>
      <c r="I11431" s="9"/>
    </row>
    <row r="11432" spans="1:9" x14ac:dyDescent="0.25">
      <c r="A11432">
        <v>900146</v>
      </c>
      <c r="B11432">
        <v>4.3499999999999996</v>
      </c>
      <c r="C11432">
        <v>200</v>
      </c>
      <c r="D11432" s="9">
        <v>43517</v>
      </c>
      <c r="E11432" t="s">
        <v>295</v>
      </c>
      <c r="I11432" s="9"/>
    </row>
    <row r="11433" spans="1:9" x14ac:dyDescent="0.25">
      <c r="A11433">
        <v>900146</v>
      </c>
      <c r="B11433">
        <v>4.24</v>
      </c>
      <c r="C11433">
        <v>40</v>
      </c>
      <c r="D11433" s="9">
        <v>43426</v>
      </c>
      <c r="E11433" t="s">
        <v>295</v>
      </c>
      <c r="I11433" s="9"/>
    </row>
    <row r="11434" spans="1:9" x14ac:dyDescent="0.25">
      <c r="A11434">
        <v>900146</v>
      </c>
      <c r="B11434">
        <v>4.24</v>
      </c>
      <c r="C11434">
        <v>80</v>
      </c>
      <c r="D11434" s="9">
        <v>43375</v>
      </c>
      <c r="E11434" t="s">
        <v>295</v>
      </c>
      <c r="I11434" s="9"/>
    </row>
    <row r="11435" spans="1:9" x14ac:dyDescent="0.25">
      <c r="A11435">
        <v>900146</v>
      </c>
      <c r="B11435">
        <v>4.24</v>
      </c>
      <c r="C11435">
        <v>100</v>
      </c>
      <c r="D11435" s="9">
        <v>43227</v>
      </c>
      <c r="E11435" t="s">
        <v>295</v>
      </c>
      <c r="I11435" s="9"/>
    </row>
    <row r="11436" spans="1:9" x14ac:dyDescent="0.25">
      <c r="A11436">
        <v>900146</v>
      </c>
      <c r="B11436">
        <v>4.24</v>
      </c>
      <c r="C11436">
        <v>440</v>
      </c>
      <c r="D11436" s="9">
        <v>43207</v>
      </c>
      <c r="E11436" t="s">
        <v>295</v>
      </c>
      <c r="I11436" s="9"/>
    </row>
    <row r="11437" spans="1:9" x14ac:dyDescent="0.25">
      <c r="A11437">
        <v>900146</v>
      </c>
      <c r="B11437">
        <v>4.24</v>
      </c>
      <c r="C11437">
        <v>40</v>
      </c>
      <c r="D11437" s="9">
        <v>43202</v>
      </c>
      <c r="E11437" t="s">
        <v>295</v>
      </c>
      <c r="I11437" s="9"/>
    </row>
    <row r="11438" spans="1:9" x14ac:dyDescent="0.25">
      <c r="A11438">
        <v>900146</v>
      </c>
      <c r="B11438">
        <v>4.24</v>
      </c>
      <c r="C11438">
        <v>150</v>
      </c>
      <c r="D11438" s="9">
        <v>43181</v>
      </c>
      <c r="E11438" t="s">
        <v>295</v>
      </c>
      <c r="I11438" s="9"/>
    </row>
    <row r="11439" spans="1:9" x14ac:dyDescent="0.25">
      <c r="A11439">
        <v>900146</v>
      </c>
      <c r="B11439">
        <v>4.24</v>
      </c>
      <c r="C11439">
        <v>100</v>
      </c>
      <c r="D11439" s="9">
        <v>43161</v>
      </c>
      <c r="E11439" t="s">
        <v>295</v>
      </c>
      <c r="I11439" s="9"/>
    </row>
    <row r="11440" spans="1:9" x14ac:dyDescent="0.25">
      <c r="A11440">
        <v>900146</v>
      </c>
      <c r="B11440">
        <v>4.24</v>
      </c>
      <c r="C11440">
        <v>150</v>
      </c>
      <c r="D11440" s="9">
        <v>43146</v>
      </c>
      <c r="E11440" t="s">
        <v>295</v>
      </c>
      <c r="I11440" s="9"/>
    </row>
    <row r="11441" spans="1:9" x14ac:dyDescent="0.25">
      <c r="A11441">
        <v>900146</v>
      </c>
      <c r="B11441">
        <v>4.24</v>
      </c>
      <c r="C11441">
        <v>40</v>
      </c>
      <c r="D11441" s="9">
        <v>43108</v>
      </c>
      <c r="E11441" t="s">
        <v>295</v>
      </c>
      <c r="I11441" s="9"/>
    </row>
    <row r="11442" spans="1:9" x14ac:dyDescent="0.25">
      <c r="A11442">
        <v>900146</v>
      </c>
      <c r="B11442">
        <v>4.24</v>
      </c>
      <c r="C11442">
        <v>40</v>
      </c>
      <c r="D11442" s="9">
        <v>42906</v>
      </c>
      <c r="E11442" t="s">
        <v>295</v>
      </c>
      <c r="I11442" s="9"/>
    </row>
    <row r="11443" spans="1:9" x14ac:dyDescent="0.25">
      <c r="A11443">
        <v>900146</v>
      </c>
      <c r="B11443">
        <v>4.24</v>
      </c>
      <c r="C11443">
        <v>100</v>
      </c>
      <c r="D11443" s="9">
        <v>42786</v>
      </c>
      <c r="E11443" t="s">
        <v>295</v>
      </c>
      <c r="I11443" s="9"/>
    </row>
    <row r="11444" spans="1:9" x14ac:dyDescent="0.25">
      <c r="A11444">
        <v>900146</v>
      </c>
      <c r="B11444">
        <v>4.24</v>
      </c>
      <c r="C11444">
        <v>80</v>
      </c>
      <c r="D11444" s="9">
        <v>42745</v>
      </c>
      <c r="E11444" t="s">
        <v>295</v>
      </c>
      <c r="I11444" s="9"/>
    </row>
    <row r="11445" spans="1:9" x14ac:dyDescent="0.25">
      <c r="A11445">
        <v>900146</v>
      </c>
      <c r="B11445">
        <v>4.24</v>
      </c>
      <c r="C11445">
        <v>40</v>
      </c>
      <c r="D11445" s="9">
        <v>42537</v>
      </c>
      <c r="E11445" t="s">
        <v>295</v>
      </c>
      <c r="I11445" s="9"/>
    </row>
    <row r="11446" spans="1:9" x14ac:dyDescent="0.25">
      <c r="A11446">
        <v>900146</v>
      </c>
      <c r="B11446">
        <v>4.24</v>
      </c>
      <c r="C11446">
        <v>40</v>
      </c>
      <c r="D11446" s="9">
        <v>42478</v>
      </c>
      <c r="E11446" t="s">
        <v>295</v>
      </c>
      <c r="I11446" s="9"/>
    </row>
    <row r="11447" spans="1:9" x14ac:dyDescent="0.25">
      <c r="A11447">
        <v>900146</v>
      </c>
      <c r="B11447">
        <v>4.24</v>
      </c>
      <c r="C11447">
        <v>40</v>
      </c>
      <c r="D11447" s="9">
        <v>42471</v>
      </c>
      <c r="E11447" t="s">
        <v>295</v>
      </c>
      <c r="I11447" s="9"/>
    </row>
    <row r="11448" spans="1:9" x14ac:dyDescent="0.25">
      <c r="A11448">
        <v>900146</v>
      </c>
      <c r="B11448">
        <v>4.24</v>
      </c>
      <c r="C11448">
        <v>100</v>
      </c>
      <c r="D11448" s="9">
        <v>42436</v>
      </c>
      <c r="E11448" t="s">
        <v>295</v>
      </c>
      <c r="I11448" s="9"/>
    </row>
    <row r="11449" spans="1:9" x14ac:dyDescent="0.25">
      <c r="A11449">
        <v>900146</v>
      </c>
      <c r="B11449">
        <v>4.24</v>
      </c>
      <c r="C11449">
        <v>40</v>
      </c>
      <c r="D11449" s="9">
        <v>42403</v>
      </c>
      <c r="E11449" t="s">
        <v>295</v>
      </c>
      <c r="I11449" s="9"/>
    </row>
    <row r="11450" spans="1:9" x14ac:dyDescent="0.25">
      <c r="A11450">
        <v>900146</v>
      </c>
      <c r="B11450">
        <v>0</v>
      </c>
      <c r="C11450">
        <v>60</v>
      </c>
      <c r="D11450" s="9">
        <v>42079</v>
      </c>
      <c r="E11450" t="s">
        <v>295</v>
      </c>
      <c r="I11450" s="9"/>
    </row>
    <row r="11451" spans="1:9" x14ac:dyDescent="0.25">
      <c r="A11451">
        <v>900146</v>
      </c>
      <c r="B11451">
        <v>4.24</v>
      </c>
      <c r="C11451">
        <v>40</v>
      </c>
      <c r="D11451" s="9">
        <v>41892</v>
      </c>
      <c r="E11451" t="s">
        <v>295</v>
      </c>
      <c r="I11451" s="9"/>
    </row>
    <row r="11452" spans="1:9" x14ac:dyDescent="0.25">
      <c r="A11452">
        <v>900146</v>
      </c>
      <c r="B11452">
        <v>4.24</v>
      </c>
      <c r="C11452">
        <v>60</v>
      </c>
      <c r="D11452" s="9">
        <v>41737</v>
      </c>
      <c r="E11452" t="s">
        <v>295</v>
      </c>
      <c r="I11452" s="9"/>
    </row>
    <row r="11453" spans="1:9" x14ac:dyDescent="0.25">
      <c r="A11453">
        <v>900147</v>
      </c>
      <c r="B11453">
        <v>3.18</v>
      </c>
      <c r="C11453">
        <v>100</v>
      </c>
      <c r="D11453" s="9">
        <v>44118</v>
      </c>
      <c r="E11453" t="s">
        <v>295</v>
      </c>
      <c r="I11453" s="9"/>
    </row>
    <row r="11454" spans="1:9" x14ac:dyDescent="0.25">
      <c r="A11454">
        <v>900147</v>
      </c>
      <c r="B11454">
        <v>3.18</v>
      </c>
      <c r="C11454">
        <v>100</v>
      </c>
      <c r="D11454" s="9">
        <v>44109</v>
      </c>
      <c r="E11454" t="s">
        <v>295</v>
      </c>
      <c r="I11454" s="9"/>
    </row>
    <row r="11455" spans="1:9" x14ac:dyDescent="0.25">
      <c r="A11455">
        <v>900147</v>
      </c>
      <c r="B11455">
        <v>3.18</v>
      </c>
      <c r="C11455">
        <v>50</v>
      </c>
      <c r="D11455" s="9">
        <v>43977</v>
      </c>
      <c r="E11455" t="s">
        <v>295</v>
      </c>
      <c r="I11455" s="9"/>
    </row>
    <row r="11456" spans="1:9" x14ac:dyDescent="0.25">
      <c r="A11456">
        <v>900147</v>
      </c>
      <c r="B11456">
        <v>3.18</v>
      </c>
      <c r="C11456">
        <v>80</v>
      </c>
      <c r="D11456" s="9">
        <v>43910</v>
      </c>
      <c r="E11456" t="s">
        <v>295</v>
      </c>
      <c r="I11456" s="9"/>
    </row>
    <row r="11457" spans="1:9" x14ac:dyDescent="0.25">
      <c r="A11457">
        <v>900147</v>
      </c>
      <c r="B11457">
        <v>3.18</v>
      </c>
      <c r="C11457">
        <v>50</v>
      </c>
      <c r="D11457" s="9">
        <v>43903</v>
      </c>
      <c r="E11457" t="s">
        <v>295</v>
      </c>
      <c r="I11457" s="9"/>
    </row>
    <row r="11458" spans="1:9" x14ac:dyDescent="0.25">
      <c r="A11458">
        <v>900147</v>
      </c>
      <c r="B11458">
        <v>3.18</v>
      </c>
      <c r="C11458">
        <v>40</v>
      </c>
      <c r="D11458" s="9">
        <v>43844</v>
      </c>
      <c r="E11458" t="s">
        <v>295</v>
      </c>
      <c r="I11458" s="9"/>
    </row>
    <row r="11459" spans="1:9" x14ac:dyDescent="0.25">
      <c r="A11459">
        <v>900147</v>
      </c>
      <c r="B11459">
        <v>3.15</v>
      </c>
      <c r="C11459">
        <v>50</v>
      </c>
      <c r="D11459" s="9">
        <v>43615</v>
      </c>
      <c r="E11459" t="s">
        <v>295</v>
      </c>
      <c r="I11459" s="9"/>
    </row>
    <row r="11460" spans="1:9" x14ac:dyDescent="0.25">
      <c r="A11460">
        <v>900147</v>
      </c>
      <c r="B11460">
        <v>3.15</v>
      </c>
      <c r="C11460">
        <v>50</v>
      </c>
      <c r="D11460" s="9">
        <v>43552</v>
      </c>
      <c r="E11460" t="s">
        <v>295</v>
      </c>
      <c r="I11460" s="9"/>
    </row>
    <row r="11461" spans="1:9" x14ac:dyDescent="0.25">
      <c r="A11461">
        <v>900147</v>
      </c>
      <c r="B11461">
        <v>3.15</v>
      </c>
      <c r="C11461">
        <v>60</v>
      </c>
      <c r="D11461" s="9">
        <v>43530</v>
      </c>
      <c r="E11461" t="s">
        <v>295</v>
      </c>
      <c r="I11461" s="9"/>
    </row>
    <row r="11462" spans="1:9" x14ac:dyDescent="0.25">
      <c r="A11462">
        <v>900147</v>
      </c>
      <c r="B11462">
        <v>3.08</v>
      </c>
      <c r="C11462">
        <v>60</v>
      </c>
      <c r="D11462" s="9">
        <v>43391</v>
      </c>
      <c r="E11462" t="s">
        <v>295</v>
      </c>
      <c r="I11462" s="9"/>
    </row>
    <row r="11463" spans="1:9" x14ac:dyDescent="0.25">
      <c r="A11463">
        <v>900147</v>
      </c>
      <c r="B11463">
        <v>3.08</v>
      </c>
      <c r="C11463">
        <v>40</v>
      </c>
      <c r="D11463" s="9">
        <v>43375</v>
      </c>
      <c r="E11463" t="s">
        <v>295</v>
      </c>
      <c r="I11463" s="9"/>
    </row>
    <row r="11464" spans="1:9" x14ac:dyDescent="0.25">
      <c r="A11464">
        <v>900147</v>
      </c>
      <c r="B11464">
        <v>3.08</v>
      </c>
      <c r="C11464">
        <v>80</v>
      </c>
      <c r="D11464" s="9">
        <v>43207</v>
      </c>
      <c r="E11464" t="s">
        <v>295</v>
      </c>
      <c r="I11464" s="9"/>
    </row>
    <row r="11465" spans="1:9" x14ac:dyDescent="0.25">
      <c r="A11465">
        <v>900147</v>
      </c>
      <c r="B11465">
        <v>3.08</v>
      </c>
      <c r="C11465">
        <v>40</v>
      </c>
      <c r="D11465" s="9">
        <v>43202</v>
      </c>
      <c r="E11465" t="s">
        <v>295</v>
      </c>
      <c r="I11465" s="9"/>
    </row>
    <row r="11466" spans="1:9" x14ac:dyDescent="0.25">
      <c r="A11466">
        <v>900147</v>
      </c>
      <c r="B11466">
        <v>3.08</v>
      </c>
      <c r="C11466">
        <v>40</v>
      </c>
      <c r="D11466" s="9">
        <v>43181</v>
      </c>
      <c r="E11466" t="s">
        <v>295</v>
      </c>
      <c r="I11466" s="9"/>
    </row>
    <row r="11467" spans="1:9" x14ac:dyDescent="0.25">
      <c r="A11467">
        <v>900147</v>
      </c>
      <c r="B11467">
        <v>2.93</v>
      </c>
      <c r="C11467">
        <v>40</v>
      </c>
      <c r="D11467" s="9">
        <v>43139</v>
      </c>
      <c r="E11467" t="s">
        <v>295</v>
      </c>
      <c r="I11467" s="9"/>
    </row>
    <row r="11468" spans="1:9" x14ac:dyDescent="0.25">
      <c r="A11468">
        <v>900147</v>
      </c>
      <c r="B11468">
        <v>2.93</v>
      </c>
      <c r="C11468">
        <v>80</v>
      </c>
      <c r="D11468" s="9">
        <v>43027</v>
      </c>
      <c r="E11468" t="s">
        <v>295</v>
      </c>
      <c r="I11468" s="9"/>
    </row>
    <row r="11469" spans="1:9" x14ac:dyDescent="0.25">
      <c r="A11469">
        <v>900147</v>
      </c>
      <c r="B11469">
        <v>2.93</v>
      </c>
      <c r="C11469">
        <v>100</v>
      </c>
      <c r="D11469" s="9">
        <v>42818</v>
      </c>
      <c r="E11469" t="s">
        <v>295</v>
      </c>
      <c r="I11469" s="9"/>
    </row>
    <row r="11470" spans="1:9" x14ac:dyDescent="0.25">
      <c r="A11470">
        <v>900147</v>
      </c>
      <c r="B11470">
        <v>2.93</v>
      </c>
      <c r="C11470">
        <v>100</v>
      </c>
      <c r="D11470" s="9">
        <v>42786</v>
      </c>
      <c r="E11470" t="s">
        <v>295</v>
      </c>
      <c r="I11470" s="9"/>
    </row>
    <row r="11471" spans="1:9" x14ac:dyDescent="0.25">
      <c r="A11471">
        <v>900147</v>
      </c>
      <c r="B11471">
        <v>2.93</v>
      </c>
      <c r="C11471">
        <v>60</v>
      </c>
      <c r="D11471" s="9">
        <v>42779</v>
      </c>
      <c r="E11471" t="s">
        <v>295</v>
      </c>
      <c r="I11471" s="9"/>
    </row>
    <row r="11472" spans="1:9" x14ac:dyDescent="0.25">
      <c r="A11472">
        <v>900147</v>
      </c>
      <c r="B11472">
        <v>2.93</v>
      </c>
      <c r="C11472">
        <v>20</v>
      </c>
      <c r="D11472" s="9">
        <v>42705</v>
      </c>
      <c r="E11472" t="s">
        <v>295</v>
      </c>
      <c r="I11472" s="9"/>
    </row>
    <row r="11473" spans="1:9" x14ac:dyDescent="0.25">
      <c r="A11473">
        <v>900147</v>
      </c>
      <c r="B11473">
        <v>2.93</v>
      </c>
      <c r="C11473">
        <v>20</v>
      </c>
      <c r="D11473" s="9">
        <v>42670</v>
      </c>
      <c r="E11473" t="s">
        <v>295</v>
      </c>
      <c r="I11473" s="9"/>
    </row>
    <row r="11474" spans="1:9" x14ac:dyDescent="0.25">
      <c r="A11474">
        <v>900147</v>
      </c>
      <c r="B11474">
        <v>2.93</v>
      </c>
      <c r="C11474">
        <v>20</v>
      </c>
      <c r="D11474" s="9">
        <v>42537</v>
      </c>
      <c r="E11474" t="s">
        <v>295</v>
      </c>
      <c r="I11474" s="9"/>
    </row>
    <row r="11475" spans="1:9" x14ac:dyDescent="0.25">
      <c r="A11475">
        <v>900147</v>
      </c>
      <c r="B11475">
        <v>2.93</v>
      </c>
      <c r="C11475">
        <v>40</v>
      </c>
      <c r="D11475" s="9">
        <v>42471</v>
      </c>
      <c r="E11475" t="s">
        <v>295</v>
      </c>
      <c r="I11475" s="9"/>
    </row>
    <row r="11476" spans="1:9" x14ac:dyDescent="0.25">
      <c r="A11476">
        <v>900147</v>
      </c>
      <c r="B11476">
        <v>2.93</v>
      </c>
      <c r="C11476">
        <v>40</v>
      </c>
      <c r="D11476" s="9">
        <v>42436</v>
      </c>
      <c r="E11476" t="s">
        <v>295</v>
      </c>
      <c r="I11476" s="9"/>
    </row>
    <row r="11477" spans="1:9" x14ac:dyDescent="0.25">
      <c r="A11477">
        <v>900147</v>
      </c>
      <c r="B11477">
        <v>2.93</v>
      </c>
      <c r="C11477">
        <v>40</v>
      </c>
      <c r="D11477" s="9">
        <v>42403</v>
      </c>
      <c r="E11477" t="s">
        <v>295</v>
      </c>
      <c r="I11477" s="9"/>
    </row>
    <row r="11478" spans="1:9" x14ac:dyDescent="0.25">
      <c r="A11478">
        <v>900147</v>
      </c>
      <c r="B11478">
        <v>2.93</v>
      </c>
      <c r="C11478">
        <v>40</v>
      </c>
      <c r="D11478" s="9">
        <v>42249</v>
      </c>
      <c r="E11478" t="s">
        <v>295</v>
      </c>
      <c r="I11478" s="9"/>
    </row>
    <row r="11479" spans="1:9" x14ac:dyDescent="0.25">
      <c r="A11479">
        <v>900147</v>
      </c>
      <c r="B11479">
        <v>2.93</v>
      </c>
      <c r="C11479">
        <v>20</v>
      </c>
      <c r="D11479" s="9">
        <v>42181</v>
      </c>
      <c r="E11479" t="s">
        <v>295</v>
      </c>
      <c r="I11479" s="9"/>
    </row>
    <row r="11480" spans="1:9" x14ac:dyDescent="0.25">
      <c r="A11480">
        <v>900147</v>
      </c>
      <c r="B11480">
        <v>0</v>
      </c>
      <c r="C11480">
        <v>60</v>
      </c>
      <c r="D11480" s="9">
        <v>42079</v>
      </c>
      <c r="E11480" t="s">
        <v>295</v>
      </c>
      <c r="I11480" s="9"/>
    </row>
    <row r="11481" spans="1:9" x14ac:dyDescent="0.25">
      <c r="A11481">
        <v>900147</v>
      </c>
      <c r="B11481">
        <v>2.93</v>
      </c>
      <c r="C11481">
        <v>40</v>
      </c>
      <c r="D11481" s="9">
        <v>41892</v>
      </c>
      <c r="E11481" t="s">
        <v>295</v>
      </c>
      <c r="I11481" s="9"/>
    </row>
    <row r="11482" spans="1:9" x14ac:dyDescent="0.25">
      <c r="A11482">
        <v>900147</v>
      </c>
      <c r="B11482">
        <v>2.93</v>
      </c>
      <c r="C11482">
        <v>40</v>
      </c>
      <c r="D11482" s="9">
        <v>41737</v>
      </c>
      <c r="E11482" t="s">
        <v>295</v>
      </c>
      <c r="I11482" s="9"/>
    </row>
    <row r="11483" spans="1:9" x14ac:dyDescent="0.25">
      <c r="A11483">
        <v>900147</v>
      </c>
      <c r="B11483">
        <v>2.93</v>
      </c>
      <c r="C11483">
        <v>40</v>
      </c>
      <c r="D11483" s="9">
        <v>41704</v>
      </c>
      <c r="E11483" t="s">
        <v>295</v>
      </c>
      <c r="I11483" s="9"/>
    </row>
    <row r="11484" spans="1:9" x14ac:dyDescent="0.25">
      <c r="A11484">
        <v>900148</v>
      </c>
      <c r="B11484">
        <v>5.81</v>
      </c>
      <c r="C11484">
        <v>100</v>
      </c>
      <c r="D11484" s="9">
        <v>43910</v>
      </c>
      <c r="E11484" t="s">
        <v>295</v>
      </c>
      <c r="I11484" s="9"/>
    </row>
    <row r="11485" spans="1:9" x14ac:dyDescent="0.25">
      <c r="A11485">
        <v>900148</v>
      </c>
      <c r="B11485">
        <v>5.81</v>
      </c>
      <c r="C11485">
        <v>50</v>
      </c>
      <c r="D11485" s="9">
        <v>43903</v>
      </c>
      <c r="E11485" t="s">
        <v>295</v>
      </c>
      <c r="I11485" s="9"/>
    </row>
    <row r="11486" spans="1:9" x14ac:dyDescent="0.25">
      <c r="A11486">
        <v>900148</v>
      </c>
      <c r="B11486">
        <v>5.78</v>
      </c>
      <c r="C11486">
        <v>100</v>
      </c>
      <c r="D11486" s="9">
        <v>43697</v>
      </c>
      <c r="E11486" t="s">
        <v>295</v>
      </c>
      <c r="I11486" s="9"/>
    </row>
    <row r="11487" spans="1:9" x14ac:dyDescent="0.25">
      <c r="A11487">
        <v>900148</v>
      </c>
      <c r="B11487">
        <v>5.78</v>
      </c>
      <c r="C11487">
        <v>50</v>
      </c>
      <c r="D11487" s="9">
        <v>43580</v>
      </c>
      <c r="E11487" t="s">
        <v>295</v>
      </c>
      <c r="I11487" s="9"/>
    </row>
    <row r="11488" spans="1:9" x14ac:dyDescent="0.25">
      <c r="A11488">
        <v>900148</v>
      </c>
      <c r="B11488">
        <v>5.78</v>
      </c>
      <c r="C11488">
        <v>50</v>
      </c>
      <c r="D11488" s="9">
        <v>43552</v>
      </c>
      <c r="E11488" t="s">
        <v>295</v>
      </c>
      <c r="I11488" s="9"/>
    </row>
    <row r="11489" spans="1:9" x14ac:dyDescent="0.25">
      <c r="A11489">
        <v>900148</v>
      </c>
      <c r="B11489">
        <v>5.62</v>
      </c>
      <c r="C11489">
        <v>60</v>
      </c>
      <c r="D11489" s="9">
        <v>43227</v>
      </c>
      <c r="E11489" t="s">
        <v>295</v>
      </c>
      <c r="I11489" s="9"/>
    </row>
    <row r="11490" spans="1:9" x14ac:dyDescent="0.25">
      <c r="A11490">
        <v>900148</v>
      </c>
      <c r="B11490">
        <v>5.62</v>
      </c>
      <c r="C11490">
        <v>60</v>
      </c>
      <c r="D11490" s="9">
        <v>43181</v>
      </c>
      <c r="E11490" t="s">
        <v>295</v>
      </c>
      <c r="I11490" s="9"/>
    </row>
    <row r="11491" spans="1:9" x14ac:dyDescent="0.25">
      <c r="A11491">
        <v>900148</v>
      </c>
      <c r="B11491">
        <v>5.62</v>
      </c>
      <c r="C11491">
        <v>60</v>
      </c>
      <c r="D11491" s="9">
        <v>43146</v>
      </c>
      <c r="E11491" t="s">
        <v>295</v>
      </c>
      <c r="I11491" s="9"/>
    </row>
    <row r="11492" spans="1:9" x14ac:dyDescent="0.25">
      <c r="A11492">
        <v>900148</v>
      </c>
      <c r="B11492">
        <v>5.62</v>
      </c>
      <c r="C11492">
        <v>60</v>
      </c>
      <c r="D11492" s="9">
        <v>42786</v>
      </c>
      <c r="E11492" t="s">
        <v>295</v>
      </c>
      <c r="I11492" s="9"/>
    </row>
    <row r="11493" spans="1:9" x14ac:dyDescent="0.25">
      <c r="A11493">
        <v>900148</v>
      </c>
      <c r="B11493">
        <v>5.62</v>
      </c>
      <c r="C11493">
        <v>40</v>
      </c>
      <c r="D11493" s="9">
        <v>42779</v>
      </c>
      <c r="E11493" t="s">
        <v>295</v>
      </c>
      <c r="I11493" s="9"/>
    </row>
    <row r="11494" spans="1:9" x14ac:dyDescent="0.25">
      <c r="A11494">
        <v>900148</v>
      </c>
      <c r="B11494">
        <v>5.62</v>
      </c>
      <c r="C11494">
        <v>20</v>
      </c>
      <c r="D11494" s="9">
        <v>42670</v>
      </c>
      <c r="E11494" t="s">
        <v>295</v>
      </c>
      <c r="I11494" s="9"/>
    </row>
    <row r="11495" spans="1:9" x14ac:dyDescent="0.25">
      <c r="A11495">
        <v>900148</v>
      </c>
      <c r="B11495">
        <v>5.62</v>
      </c>
      <c r="C11495">
        <v>40</v>
      </c>
      <c r="D11495" s="9">
        <v>42403</v>
      </c>
      <c r="E11495" t="s">
        <v>295</v>
      </c>
      <c r="I11495" s="9"/>
    </row>
    <row r="11496" spans="1:9" x14ac:dyDescent="0.25">
      <c r="A11496">
        <v>900148</v>
      </c>
      <c r="B11496">
        <v>0</v>
      </c>
      <c r="C11496">
        <v>60</v>
      </c>
      <c r="D11496" s="9">
        <v>42079</v>
      </c>
      <c r="E11496" t="s">
        <v>295</v>
      </c>
      <c r="I11496" s="9"/>
    </row>
    <row r="11497" spans="1:9" x14ac:dyDescent="0.25">
      <c r="A11497">
        <v>900148</v>
      </c>
      <c r="B11497">
        <v>5.62</v>
      </c>
      <c r="C11497">
        <v>20</v>
      </c>
      <c r="D11497" s="9">
        <v>41892</v>
      </c>
      <c r="E11497" t="s">
        <v>295</v>
      </c>
      <c r="I11497" s="9"/>
    </row>
    <row r="11498" spans="1:9" x14ac:dyDescent="0.25">
      <c r="A11498">
        <v>900149</v>
      </c>
      <c r="B11498">
        <v>4.2</v>
      </c>
      <c r="C11498">
        <v>50</v>
      </c>
      <c r="D11498" s="9">
        <v>44118</v>
      </c>
      <c r="E11498" t="s">
        <v>295</v>
      </c>
      <c r="I11498" s="9"/>
    </row>
    <row r="11499" spans="1:9" x14ac:dyDescent="0.25">
      <c r="A11499">
        <v>900149</v>
      </c>
      <c r="B11499">
        <v>4.2</v>
      </c>
      <c r="C11499">
        <v>50</v>
      </c>
      <c r="D11499" s="9">
        <v>44075</v>
      </c>
      <c r="E11499" t="s">
        <v>295</v>
      </c>
      <c r="I11499" s="9"/>
    </row>
    <row r="11500" spans="1:9" x14ac:dyDescent="0.25">
      <c r="A11500">
        <v>900149</v>
      </c>
      <c r="B11500">
        <v>4.2</v>
      </c>
      <c r="C11500">
        <v>50</v>
      </c>
      <c r="D11500" s="9">
        <v>43903</v>
      </c>
      <c r="E11500" t="s">
        <v>295</v>
      </c>
      <c r="I11500" s="9"/>
    </row>
    <row r="11501" spans="1:9" x14ac:dyDescent="0.25">
      <c r="A11501">
        <v>900149</v>
      </c>
      <c r="B11501">
        <v>4.2</v>
      </c>
      <c r="C11501">
        <v>40</v>
      </c>
      <c r="D11501" s="9">
        <v>43844</v>
      </c>
      <c r="E11501" t="s">
        <v>295</v>
      </c>
      <c r="I11501" s="9"/>
    </row>
    <row r="11502" spans="1:9" x14ac:dyDescent="0.25">
      <c r="A11502">
        <v>900149</v>
      </c>
      <c r="B11502">
        <v>4.2</v>
      </c>
      <c r="C11502">
        <v>40</v>
      </c>
      <c r="D11502" s="9">
        <v>43697</v>
      </c>
      <c r="E11502" t="s">
        <v>295</v>
      </c>
      <c r="I11502" s="9"/>
    </row>
    <row r="11503" spans="1:9" x14ac:dyDescent="0.25">
      <c r="A11503">
        <v>900149</v>
      </c>
      <c r="B11503">
        <v>4.2</v>
      </c>
      <c r="C11503">
        <v>80</v>
      </c>
      <c r="D11503" s="9">
        <v>43580</v>
      </c>
      <c r="E11503" t="s">
        <v>295</v>
      </c>
      <c r="I11503" s="9"/>
    </row>
    <row r="11504" spans="1:9" x14ac:dyDescent="0.25">
      <c r="A11504">
        <v>900149</v>
      </c>
      <c r="B11504">
        <v>4.2</v>
      </c>
      <c r="C11504">
        <v>40</v>
      </c>
      <c r="D11504" s="9">
        <v>43530</v>
      </c>
      <c r="E11504" t="s">
        <v>295</v>
      </c>
      <c r="I11504" s="9"/>
    </row>
    <row r="11505" spans="1:9" x14ac:dyDescent="0.25">
      <c r="A11505">
        <v>900149</v>
      </c>
      <c r="B11505">
        <v>4.08</v>
      </c>
      <c r="C11505">
        <v>60</v>
      </c>
      <c r="D11505" s="9">
        <v>43426</v>
      </c>
      <c r="E11505" t="s">
        <v>295</v>
      </c>
      <c r="I11505" s="9"/>
    </row>
    <row r="11506" spans="1:9" x14ac:dyDescent="0.25">
      <c r="A11506">
        <v>900149</v>
      </c>
      <c r="B11506">
        <v>4.08</v>
      </c>
      <c r="C11506">
        <v>60</v>
      </c>
      <c r="D11506" s="9">
        <v>43391</v>
      </c>
      <c r="E11506" t="s">
        <v>295</v>
      </c>
      <c r="I11506" s="9"/>
    </row>
    <row r="11507" spans="1:9" x14ac:dyDescent="0.25">
      <c r="A11507">
        <v>900149</v>
      </c>
      <c r="B11507">
        <v>4.08</v>
      </c>
      <c r="C11507">
        <v>40</v>
      </c>
      <c r="D11507" s="9">
        <v>43375</v>
      </c>
      <c r="E11507" t="s">
        <v>295</v>
      </c>
      <c r="I11507" s="9"/>
    </row>
    <row r="11508" spans="1:9" x14ac:dyDescent="0.25">
      <c r="A11508">
        <v>900149</v>
      </c>
      <c r="B11508">
        <v>4.08</v>
      </c>
      <c r="C11508">
        <v>40</v>
      </c>
      <c r="D11508" s="9">
        <v>43181</v>
      </c>
      <c r="E11508" t="s">
        <v>295</v>
      </c>
      <c r="I11508" s="9"/>
    </row>
    <row r="11509" spans="1:9" x14ac:dyDescent="0.25">
      <c r="A11509">
        <v>900149</v>
      </c>
      <c r="B11509">
        <v>3.85</v>
      </c>
      <c r="C11509">
        <v>40</v>
      </c>
      <c r="D11509" s="9">
        <v>43139</v>
      </c>
      <c r="E11509" t="s">
        <v>295</v>
      </c>
      <c r="I11509" s="9"/>
    </row>
    <row r="11510" spans="1:9" x14ac:dyDescent="0.25">
      <c r="A11510">
        <v>900149</v>
      </c>
      <c r="B11510">
        <v>3.85</v>
      </c>
      <c r="C11510">
        <v>80</v>
      </c>
      <c r="D11510" s="9">
        <v>43027</v>
      </c>
      <c r="E11510" t="s">
        <v>295</v>
      </c>
      <c r="I11510" s="9"/>
    </row>
    <row r="11511" spans="1:9" x14ac:dyDescent="0.25">
      <c r="A11511">
        <v>900149</v>
      </c>
      <c r="B11511">
        <v>3.85</v>
      </c>
      <c r="C11511">
        <v>40</v>
      </c>
      <c r="D11511" s="9">
        <v>42906</v>
      </c>
      <c r="E11511" t="s">
        <v>295</v>
      </c>
      <c r="I11511" s="9"/>
    </row>
    <row r="11512" spans="1:9" x14ac:dyDescent="0.25">
      <c r="A11512">
        <v>900149</v>
      </c>
      <c r="B11512">
        <v>3.85</v>
      </c>
      <c r="C11512">
        <v>101</v>
      </c>
      <c r="D11512" s="9">
        <v>42835</v>
      </c>
      <c r="E11512" t="s">
        <v>295</v>
      </c>
      <c r="I11512" s="9"/>
    </row>
    <row r="11513" spans="1:9" x14ac:dyDescent="0.25">
      <c r="A11513">
        <v>900149</v>
      </c>
      <c r="B11513">
        <v>3.85</v>
      </c>
      <c r="C11513">
        <v>60</v>
      </c>
      <c r="D11513" s="9">
        <v>42786</v>
      </c>
      <c r="E11513" t="s">
        <v>295</v>
      </c>
      <c r="I11513" s="9"/>
    </row>
    <row r="11514" spans="1:9" x14ac:dyDescent="0.25">
      <c r="A11514">
        <v>900149</v>
      </c>
      <c r="B11514">
        <v>3.85</v>
      </c>
      <c r="C11514">
        <v>40</v>
      </c>
      <c r="D11514" s="9">
        <v>42779</v>
      </c>
      <c r="E11514" t="s">
        <v>295</v>
      </c>
      <c r="I11514" s="9"/>
    </row>
    <row r="11515" spans="1:9" x14ac:dyDescent="0.25">
      <c r="A11515">
        <v>900149</v>
      </c>
      <c r="B11515">
        <v>3.85</v>
      </c>
      <c r="C11515">
        <v>40</v>
      </c>
      <c r="D11515" s="9">
        <v>42705</v>
      </c>
      <c r="E11515" t="s">
        <v>295</v>
      </c>
      <c r="I11515" s="9"/>
    </row>
    <row r="11516" spans="1:9" x14ac:dyDescent="0.25">
      <c r="A11516">
        <v>900149</v>
      </c>
      <c r="B11516">
        <v>3.85</v>
      </c>
      <c r="C11516">
        <v>40</v>
      </c>
      <c r="D11516" s="9">
        <v>42670</v>
      </c>
      <c r="E11516" t="s">
        <v>295</v>
      </c>
      <c r="I11516" s="9"/>
    </row>
    <row r="11517" spans="1:9" x14ac:dyDescent="0.25">
      <c r="A11517">
        <v>900149</v>
      </c>
      <c r="B11517">
        <v>3.85</v>
      </c>
      <c r="C11517">
        <v>200</v>
      </c>
      <c r="D11517" s="9">
        <v>42436</v>
      </c>
      <c r="E11517" t="s">
        <v>295</v>
      </c>
      <c r="I11517" s="9"/>
    </row>
    <row r="11518" spans="1:9" x14ac:dyDescent="0.25">
      <c r="A11518">
        <v>900149</v>
      </c>
      <c r="B11518">
        <v>3.85</v>
      </c>
      <c r="C11518">
        <v>80</v>
      </c>
      <c r="D11518" s="9">
        <v>42403</v>
      </c>
      <c r="E11518" t="s">
        <v>295</v>
      </c>
      <c r="I11518" s="9"/>
    </row>
    <row r="11519" spans="1:9" x14ac:dyDescent="0.25">
      <c r="A11519">
        <v>900149</v>
      </c>
      <c r="B11519">
        <v>3.85</v>
      </c>
      <c r="C11519">
        <v>40</v>
      </c>
      <c r="D11519" s="9">
        <v>42249</v>
      </c>
      <c r="E11519" t="s">
        <v>295</v>
      </c>
      <c r="I11519" s="9"/>
    </row>
    <row r="11520" spans="1:9" x14ac:dyDescent="0.25">
      <c r="A11520">
        <v>900149</v>
      </c>
      <c r="B11520">
        <v>0</v>
      </c>
      <c r="C11520">
        <v>60</v>
      </c>
      <c r="D11520" s="9">
        <v>42079</v>
      </c>
      <c r="E11520" t="s">
        <v>295</v>
      </c>
      <c r="I11520" s="9"/>
    </row>
    <row r="11521" spans="1:9" x14ac:dyDescent="0.25">
      <c r="A11521">
        <v>900149</v>
      </c>
      <c r="B11521">
        <v>3.85</v>
      </c>
      <c r="C11521">
        <v>40</v>
      </c>
      <c r="D11521" s="9">
        <v>41892</v>
      </c>
      <c r="E11521" t="s">
        <v>295</v>
      </c>
      <c r="I11521" s="9"/>
    </row>
    <row r="11522" spans="1:9" x14ac:dyDescent="0.25">
      <c r="A11522">
        <v>900149</v>
      </c>
      <c r="B11522">
        <v>3.85</v>
      </c>
      <c r="C11522">
        <v>40</v>
      </c>
      <c r="D11522" s="9">
        <v>41704</v>
      </c>
      <c r="E11522" t="s">
        <v>295</v>
      </c>
      <c r="I11522" s="9"/>
    </row>
    <row r="11523" spans="1:9" x14ac:dyDescent="0.25">
      <c r="A11523">
        <v>900154</v>
      </c>
      <c r="B11523">
        <v>5.9</v>
      </c>
      <c r="C11523">
        <v>100</v>
      </c>
      <c r="D11523" s="9">
        <v>42170</v>
      </c>
      <c r="E11523" t="s">
        <v>295</v>
      </c>
      <c r="I11523" s="9"/>
    </row>
    <row r="11524" spans="1:9" x14ac:dyDescent="0.25">
      <c r="A11524">
        <v>900154</v>
      </c>
      <c r="B11524">
        <v>5.9</v>
      </c>
      <c r="C11524">
        <v>200</v>
      </c>
      <c r="D11524" s="9">
        <v>42130</v>
      </c>
      <c r="E11524" t="s">
        <v>295</v>
      </c>
      <c r="I11524" s="9"/>
    </row>
    <row r="11525" spans="1:9" x14ac:dyDescent="0.25">
      <c r="A11525">
        <v>900154</v>
      </c>
      <c r="B11525">
        <v>5.9</v>
      </c>
      <c r="C11525">
        <v>300</v>
      </c>
      <c r="D11525" s="9">
        <v>42116</v>
      </c>
      <c r="E11525" t="s">
        <v>295</v>
      </c>
      <c r="I11525" s="9"/>
    </row>
    <row r="11526" spans="1:9" x14ac:dyDescent="0.25">
      <c r="A11526">
        <v>900154</v>
      </c>
      <c r="B11526">
        <v>5.9</v>
      </c>
      <c r="C11526">
        <v>40</v>
      </c>
      <c r="D11526" s="9">
        <v>42040</v>
      </c>
      <c r="E11526" t="s">
        <v>295</v>
      </c>
      <c r="I11526" s="9"/>
    </row>
    <row r="11527" spans="1:9" x14ac:dyDescent="0.25">
      <c r="A11527">
        <v>900154</v>
      </c>
      <c r="B11527">
        <v>5.9</v>
      </c>
      <c r="C11527">
        <v>40</v>
      </c>
      <c r="D11527" s="9">
        <v>41935</v>
      </c>
      <c r="E11527" t="s">
        <v>295</v>
      </c>
      <c r="I11527" s="9"/>
    </row>
    <row r="11528" spans="1:9" x14ac:dyDescent="0.25">
      <c r="A11528">
        <v>900154</v>
      </c>
      <c r="B11528">
        <v>5.9</v>
      </c>
      <c r="C11528">
        <v>40</v>
      </c>
      <c r="D11528" s="9">
        <v>41884</v>
      </c>
      <c r="E11528" t="s">
        <v>295</v>
      </c>
      <c r="I11528" s="9"/>
    </row>
    <row r="11529" spans="1:9" x14ac:dyDescent="0.25">
      <c r="A11529">
        <v>900154</v>
      </c>
      <c r="B11529">
        <v>5.9</v>
      </c>
      <c r="C11529">
        <v>40</v>
      </c>
      <c r="D11529" s="9">
        <v>41879</v>
      </c>
      <c r="E11529" t="s">
        <v>295</v>
      </c>
      <c r="I11529" s="9"/>
    </row>
    <row r="11530" spans="1:9" x14ac:dyDescent="0.25">
      <c r="A11530">
        <v>900154</v>
      </c>
      <c r="B11530">
        <v>5.9</v>
      </c>
      <c r="C11530">
        <v>20</v>
      </c>
      <c r="D11530" s="9">
        <v>41725</v>
      </c>
      <c r="E11530" t="s">
        <v>295</v>
      </c>
      <c r="I11530" s="9"/>
    </row>
    <row r="11531" spans="1:9" x14ac:dyDescent="0.25">
      <c r="A11531">
        <v>900154</v>
      </c>
      <c r="B11531">
        <v>5.9</v>
      </c>
      <c r="C11531">
        <v>100</v>
      </c>
      <c r="D11531" s="9">
        <v>41599</v>
      </c>
      <c r="E11531" t="s">
        <v>295</v>
      </c>
      <c r="I11531" s="9"/>
    </row>
    <row r="11532" spans="1:9" x14ac:dyDescent="0.25">
      <c r="A11532">
        <v>900158</v>
      </c>
      <c r="B11532">
        <v>2.0099999999999998</v>
      </c>
      <c r="C11532">
        <v>100</v>
      </c>
      <c r="D11532" s="9">
        <v>43067</v>
      </c>
      <c r="E11532" t="s">
        <v>295</v>
      </c>
      <c r="I11532" s="9"/>
    </row>
    <row r="11533" spans="1:9" x14ac:dyDescent="0.25">
      <c r="A11533">
        <v>900158</v>
      </c>
      <c r="B11533">
        <v>2.0099999999999998</v>
      </c>
      <c r="C11533">
        <v>100</v>
      </c>
      <c r="D11533" s="9">
        <v>42818</v>
      </c>
      <c r="E11533" t="s">
        <v>295</v>
      </c>
      <c r="I11533" s="9"/>
    </row>
    <row r="11534" spans="1:9" x14ac:dyDescent="0.25">
      <c r="A11534">
        <v>900158</v>
      </c>
      <c r="B11534">
        <v>2.0099999999999998</v>
      </c>
      <c r="C11534">
        <v>100</v>
      </c>
      <c r="D11534" s="9">
        <v>42745</v>
      </c>
      <c r="E11534" t="s">
        <v>295</v>
      </c>
      <c r="I11534" s="9"/>
    </row>
    <row r="11535" spans="1:9" x14ac:dyDescent="0.25">
      <c r="A11535">
        <v>900158</v>
      </c>
      <c r="B11535">
        <v>1.75</v>
      </c>
      <c r="C11535">
        <v>175</v>
      </c>
      <c r="D11535" s="9">
        <v>42619</v>
      </c>
      <c r="E11535" t="s">
        <v>295</v>
      </c>
      <c r="I11535" s="9"/>
    </row>
    <row r="11536" spans="1:9" x14ac:dyDescent="0.25">
      <c r="A11536">
        <v>900158</v>
      </c>
      <c r="B11536">
        <v>1.75</v>
      </c>
      <c r="C11536">
        <v>25</v>
      </c>
      <c r="D11536" s="9">
        <v>42614</v>
      </c>
      <c r="E11536" t="s">
        <v>295</v>
      </c>
      <c r="I11536" s="9"/>
    </row>
    <row r="11537" spans="1:9" x14ac:dyDescent="0.25">
      <c r="A11537">
        <v>900158</v>
      </c>
      <c r="B11537">
        <v>1.5</v>
      </c>
      <c r="C11537">
        <v>25</v>
      </c>
      <c r="D11537" s="9">
        <v>42591</v>
      </c>
      <c r="E11537" t="s">
        <v>295</v>
      </c>
      <c r="I11537" s="9"/>
    </row>
    <row r="11538" spans="1:9" x14ac:dyDescent="0.25">
      <c r="A11538">
        <v>900158</v>
      </c>
      <c r="B11538">
        <v>1.5</v>
      </c>
      <c r="C11538">
        <v>50</v>
      </c>
      <c r="D11538" s="9">
        <v>42468</v>
      </c>
      <c r="E11538" t="s">
        <v>295</v>
      </c>
      <c r="I11538" s="9"/>
    </row>
    <row r="11539" spans="1:9" x14ac:dyDescent="0.25">
      <c r="A11539">
        <v>900158</v>
      </c>
      <c r="B11539">
        <v>1.5</v>
      </c>
      <c r="C11539">
        <v>25</v>
      </c>
      <c r="D11539" s="9">
        <v>42306</v>
      </c>
      <c r="E11539" t="s">
        <v>295</v>
      </c>
      <c r="I11539" s="9"/>
    </row>
    <row r="11540" spans="1:9" x14ac:dyDescent="0.25">
      <c r="A11540">
        <v>900158</v>
      </c>
      <c r="B11540">
        <v>1.5</v>
      </c>
      <c r="C11540">
        <v>300</v>
      </c>
      <c r="D11540" s="9">
        <v>42271</v>
      </c>
      <c r="E11540" t="s">
        <v>295</v>
      </c>
      <c r="I11540" s="9"/>
    </row>
    <row r="11541" spans="1:9" x14ac:dyDescent="0.25">
      <c r="A11541">
        <v>900158</v>
      </c>
      <c r="B11541">
        <v>1.5</v>
      </c>
      <c r="C11541">
        <v>300</v>
      </c>
      <c r="D11541" s="9">
        <v>42145</v>
      </c>
      <c r="E11541" t="s">
        <v>295</v>
      </c>
      <c r="I11541" s="9"/>
    </row>
    <row r="11542" spans="1:9" x14ac:dyDescent="0.25">
      <c r="A11542">
        <v>900159</v>
      </c>
      <c r="B11542">
        <v>2.2000000000000002</v>
      </c>
      <c r="C11542">
        <v>100</v>
      </c>
      <c r="D11542" s="9">
        <v>43857</v>
      </c>
      <c r="E11542" t="s">
        <v>295</v>
      </c>
      <c r="I11542" s="9"/>
    </row>
    <row r="11543" spans="1:9" x14ac:dyDescent="0.25">
      <c r="A11543">
        <v>900159</v>
      </c>
      <c r="B11543">
        <v>2.2599999999999998</v>
      </c>
      <c r="C11543">
        <v>100</v>
      </c>
      <c r="D11543" s="9">
        <v>43565</v>
      </c>
      <c r="E11543" t="s">
        <v>295</v>
      </c>
      <c r="I11543" s="9"/>
    </row>
    <row r="11544" spans="1:9" x14ac:dyDescent="0.25">
      <c r="A11544">
        <v>900159</v>
      </c>
      <c r="B11544">
        <v>2</v>
      </c>
      <c r="C11544">
        <v>100</v>
      </c>
      <c r="D11544" s="9">
        <v>43067</v>
      </c>
      <c r="E11544" t="s">
        <v>295</v>
      </c>
      <c r="I11544" s="9"/>
    </row>
    <row r="11545" spans="1:9" x14ac:dyDescent="0.25">
      <c r="A11545">
        <v>900159</v>
      </c>
      <c r="B11545">
        <v>2</v>
      </c>
      <c r="C11545">
        <v>100</v>
      </c>
      <c r="D11545" s="9">
        <v>42818</v>
      </c>
      <c r="E11545" t="s">
        <v>295</v>
      </c>
      <c r="I11545" s="9"/>
    </row>
    <row r="11546" spans="1:9" x14ac:dyDescent="0.25">
      <c r="A11546">
        <v>900159</v>
      </c>
      <c r="B11546">
        <v>2</v>
      </c>
      <c r="C11546">
        <v>100</v>
      </c>
      <c r="D11546" s="9">
        <v>42745</v>
      </c>
      <c r="E11546" t="s">
        <v>295</v>
      </c>
      <c r="I11546" s="9"/>
    </row>
    <row r="11547" spans="1:9" x14ac:dyDescent="0.25">
      <c r="A11547">
        <v>900159</v>
      </c>
      <c r="B11547">
        <v>2</v>
      </c>
      <c r="C11547">
        <v>150</v>
      </c>
      <c r="D11547" s="9">
        <v>42619</v>
      </c>
      <c r="E11547" t="s">
        <v>295</v>
      </c>
      <c r="I11547" s="9"/>
    </row>
    <row r="11548" spans="1:9" x14ac:dyDescent="0.25">
      <c r="A11548">
        <v>900159</v>
      </c>
      <c r="B11548">
        <v>1.7</v>
      </c>
      <c r="C11548">
        <v>20</v>
      </c>
      <c r="D11548" s="9">
        <v>42591</v>
      </c>
      <c r="E11548" t="s">
        <v>295</v>
      </c>
      <c r="I11548" s="9"/>
    </row>
    <row r="11549" spans="1:9" x14ac:dyDescent="0.25">
      <c r="A11549">
        <v>900159</v>
      </c>
      <c r="B11549">
        <v>1.7</v>
      </c>
      <c r="C11549">
        <v>30</v>
      </c>
      <c r="D11549" s="9">
        <v>42306</v>
      </c>
      <c r="E11549" t="s">
        <v>295</v>
      </c>
      <c r="I11549" s="9"/>
    </row>
    <row r="11550" spans="1:9" x14ac:dyDescent="0.25">
      <c r="A11550">
        <v>900162</v>
      </c>
      <c r="B11550">
        <v>3.53</v>
      </c>
      <c r="C11550">
        <v>120</v>
      </c>
      <c r="D11550" s="9">
        <v>44148</v>
      </c>
      <c r="E11550" t="s">
        <v>295</v>
      </c>
      <c r="I11550" s="9"/>
    </row>
    <row r="11551" spans="1:9" x14ac:dyDescent="0.25">
      <c r="A11551">
        <v>900162</v>
      </c>
      <c r="B11551">
        <v>3.53</v>
      </c>
      <c r="C11551">
        <v>120</v>
      </c>
      <c r="D11551" s="9">
        <v>44110</v>
      </c>
      <c r="E11551" t="s">
        <v>295</v>
      </c>
      <c r="I11551" s="9"/>
    </row>
    <row r="11552" spans="1:9" x14ac:dyDescent="0.25">
      <c r="A11552">
        <v>900162</v>
      </c>
      <c r="B11552">
        <v>3.53</v>
      </c>
      <c r="C11552">
        <v>240</v>
      </c>
      <c r="D11552" s="9">
        <v>43857</v>
      </c>
      <c r="E11552" t="s">
        <v>295</v>
      </c>
      <c r="I11552" s="9"/>
    </row>
    <row r="11553" spans="1:9" x14ac:dyDescent="0.25">
      <c r="A11553">
        <v>900162</v>
      </c>
      <c r="B11553">
        <v>3.53</v>
      </c>
      <c r="C11553">
        <v>240</v>
      </c>
      <c r="D11553" s="9">
        <v>43615</v>
      </c>
      <c r="E11553" t="s">
        <v>295</v>
      </c>
      <c r="I11553" s="9"/>
    </row>
    <row r="11554" spans="1:9" x14ac:dyDescent="0.25">
      <c r="A11554">
        <v>900162</v>
      </c>
      <c r="B11554">
        <v>3.3</v>
      </c>
      <c r="C11554">
        <v>240</v>
      </c>
      <c r="D11554" s="9">
        <v>43591</v>
      </c>
      <c r="E11554" t="s">
        <v>295</v>
      </c>
      <c r="I11554" s="9"/>
    </row>
    <row r="11555" spans="1:9" x14ac:dyDescent="0.25">
      <c r="A11555">
        <v>900162</v>
      </c>
      <c r="B11555">
        <v>3.3</v>
      </c>
      <c r="C11555">
        <v>240</v>
      </c>
      <c r="D11555" s="9">
        <v>43475</v>
      </c>
      <c r="E11555" t="s">
        <v>295</v>
      </c>
      <c r="I11555" s="9"/>
    </row>
    <row r="11556" spans="1:9" x14ac:dyDescent="0.25">
      <c r="A11556">
        <v>900162</v>
      </c>
      <c r="B11556">
        <v>3.3</v>
      </c>
      <c r="C11556">
        <v>324</v>
      </c>
      <c r="D11556" s="9">
        <v>43207</v>
      </c>
      <c r="E11556" t="s">
        <v>295</v>
      </c>
      <c r="I11556" s="9"/>
    </row>
    <row r="11557" spans="1:9" x14ac:dyDescent="0.25">
      <c r="A11557">
        <v>900162</v>
      </c>
      <c r="B11557">
        <v>3.3</v>
      </c>
      <c r="C11557">
        <v>108</v>
      </c>
      <c r="D11557" s="9">
        <v>43164</v>
      </c>
      <c r="E11557" t="s">
        <v>295</v>
      </c>
      <c r="I11557" s="9"/>
    </row>
    <row r="11558" spans="1:9" x14ac:dyDescent="0.25">
      <c r="A11558">
        <v>900162</v>
      </c>
      <c r="B11558">
        <v>3.3</v>
      </c>
      <c r="C11558">
        <v>108</v>
      </c>
      <c r="D11558" s="9">
        <v>43104</v>
      </c>
      <c r="E11558" t="s">
        <v>295</v>
      </c>
      <c r="I11558" s="9"/>
    </row>
    <row r="11559" spans="1:9" x14ac:dyDescent="0.25">
      <c r="A11559">
        <v>900162</v>
      </c>
      <c r="B11559">
        <v>3.3</v>
      </c>
      <c r="C11559">
        <v>108</v>
      </c>
      <c r="D11559" s="9">
        <v>43067</v>
      </c>
      <c r="E11559" t="s">
        <v>295</v>
      </c>
      <c r="I11559" s="9"/>
    </row>
    <row r="11560" spans="1:9" x14ac:dyDescent="0.25">
      <c r="A11560">
        <v>900162</v>
      </c>
      <c r="B11560">
        <v>3.3</v>
      </c>
      <c r="C11560">
        <v>108</v>
      </c>
      <c r="D11560" s="9">
        <v>43019</v>
      </c>
      <c r="E11560" t="s">
        <v>295</v>
      </c>
      <c r="I11560" s="9"/>
    </row>
    <row r="11561" spans="1:9" x14ac:dyDescent="0.25">
      <c r="A11561">
        <v>900162</v>
      </c>
      <c r="B11561">
        <v>3.3</v>
      </c>
      <c r="C11561">
        <v>108</v>
      </c>
      <c r="D11561" s="9">
        <v>42935</v>
      </c>
      <c r="E11561" t="s">
        <v>295</v>
      </c>
      <c r="I11561" s="9"/>
    </row>
    <row r="11562" spans="1:9" x14ac:dyDescent="0.25">
      <c r="A11562">
        <v>900162</v>
      </c>
      <c r="B11562">
        <v>2.99</v>
      </c>
      <c r="C11562">
        <v>120</v>
      </c>
      <c r="D11562" s="9">
        <v>42838</v>
      </c>
      <c r="E11562" t="s">
        <v>295</v>
      </c>
      <c r="I11562" s="9"/>
    </row>
    <row r="11563" spans="1:9" x14ac:dyDescent="0.25">
      <c r="A11563">
        <v>900162</v>
      </c>
      <c r="B11563">
        <v>2.99</v>
      </c>
      <c r="C11563">
        <v>120</v>
      </c>
      <c r="D11563" s="9">
        <v>42537</v>
      </c>
      <c r="E11563" t="s">
        <v>295</v>
      </c>
      <c r="I11563" s="9"/>
    </row>
    <row r="11564" spans="1:9" x14ac:dyDescent="0.25">
      <c r="A11564">
        <v>900162</v>
      </c>
      <c r="B11564">
        <v>2.85</v>
      </c>
      <c r="C11564">
        <v>120</v>
      </c>
      <c r="D11564" s="9">
        <v>42145</v>
      </c>
      <c r="E11564" t="s">
        <v>295</v>
      </c>
      <c r="I11564" s="9"/>
    </row>
    <row r="11565" spans="1:9" x14ac:dyDescent="0.25">
      <c r="A11565">
        <v>900162</v>
      </c>
      <c r="B11565">
        <v>0</v>
      </c>
      <c r="C11565">
        <v>96</v>
      </c>
      <c r="D11565" s="9">
        <v>42075</v>
      </c>
      <c r="E11565" t="s">
        <v>295</v>
      </c>
      <c r="I11565" s="9"/>
    </row>
    <row r="11566" spans="1:9" x14ac:dyDescent="0.25">
      <c r="A11566">
        <v>900162</v>
      </c>
      <c r="B11566">
        <v>2.99</v>
      </c>
      <c r="C11566">
        <v>48</v>
      </c>
      <c r="D11566" s="9">
        <v>42067</v>
      </c>
      <c r="E11566" t="s">
        <v>295</v>
      </c>
      <c r="I11566" s="9"/>
    </row>
    <row r="11567" spans="1:9" x14ac:dyDescent="0.25">
      <c r="A11567">
        <v>900163</v>
      </c>
      <c r="B11567">
        <v>3.66</v>
      </c>
      <c r="C11567">
        <v>100</v>
      </c>
      <c r="D11567" s="9">
        <v>44148</v>
      </c>
      <c r="E11567" t="s">
        <v>295</v>
      </c>
      <c r="I11567" s="9"/>
    </row>
    <row r="11568" spans="1:9" x14ac:dyDescent="0.25">
      <c r="A11568">
        <v>900163</v>
      </c>
      <c r="B11568">
        <v>3.66</v>
      </c>
      <c r="C11568">
        <v>300</v>
      </c>
      <c r="D11568" s="9">
        <v>44110</v>
      </c>
      <c r="E11568" t="s">
        <v>295</v>
      </c>
      <c r="I11568" s="9"/>
    </row>
    <row r="11569" spans="1:9" x14ac:dyDescent="0.25">
      <c r="A11569">
        <v>900163</v>
      </c>
      <c r="B11569">
        <v>3.66</v>
      </c>
      <c r="C11569">
        <v>200</v>
      </c>
      <c r="D11569" s="9">
        <v>44078</v>
      </c>
      <c r="E11569" t="s">
        <v>295</v>
      </c>
      <c r="I11569" s="9"/>
    </row>
    <row r="11570" spans="1:9" x14ac:dyDescent="0.25">
      <c r="A11570">
        <v>900163</v>
      </c>
      <c r="B11570">
        <v>3.66</v>
      </c>
      <c r="C11570">
        <v>100</v>
      </c>
      <c r="D11570" s="9">
        <v>43871</v>
      </c>
      <c r="E11570" t="s">
        <v>295</v>
      </c>
      <c r="I11570" s="9"/>
    </row>
    <row r="11571" spans="1:9" x14ac:dyDescent="0.25">
      <c r="A11571">
        <v>900163</v>
      </c>
      <c r="B11571">
        <v>3.48</v>
      </c>
      <c r="C11571">
        <v>100</v>
      </c>
      <c r="D11571" s="9">
        <v>43857</v>
      </c>
      <c r="E11571" t="s">
        <v>295</v>
      </c>
      <c r="I11571" s="9"/>
    </row>
    <row r="11572" spans="1:9" x14ac:dyDescent="0.25">
      <c r="A11572">
        <v>900163</v>
      </c>
      <c r="B11572">
        <v>3.48</v>
      </c>
      <c r="C11572">
        <v>30</v>
      </c>
      <c r="D11572" s="9">
        <v>43838</v>
      </c>
      <c r="E11572" t="s">
        <v>295</v>
      </c>
      <c r="I11572" s="9"/>
    </row>
    <row r="11573" spans="1:9" x14ac:dyDescent="0.25">
      <c r="A11573">
        <v>900163</v>
      </c>
      <c r="B11573">
        <v>3.48</v>
      </c>
      <c r="C11573">
        <v>200</v>
      </c>
      <c r="D11573" s="9">
        <v>43591</v>
      </c>
      <c r="E11573" t="s">
        <v>295</v>
      </c>
      <c r="I11573" s="9"/>
    </row>
    <row r="11574" spans="1:9" x14ac:dyDescent="0.25">
      <c r="A11574">
        <v>900163</v>
      </c>
      <c r="B11574">
        <v>3.25</v>
      </c>
      <c r="C11574">
        <v>300</v>
      </c>
      <c r="D11574" s="9">
        <v>43557</v>
      </c>
      <c r="E11574" t="s">
        <v>295</v>
      </c>
      <c r="I11574" s="9"/>
    </row>
    <row r="11575" spans="1:9" x14ac:dyDescent="0.25">
      <c r="A11575">
        <v>900163</v>
      </c>
      <c r="B11575">
        <v>3.25</v>
      </c>
      <c r="C11575">
        <v>330</v>
      </c>
      <c r="D11575" s="9">
        <v>43518</v>
      </c>
      <c r="E11575" t="s">
        <v>295</v>
      </c>
      <c r="I11575" s="9"/>
    </row>
    <row r="11576" spans="1:9" x14ac:dyDescent="0.25">
      <c r="A11576">
        <v>900163</v>
      </c>
      <c r="B11576">
        <v>3.25</v>
      </c>
      <c r="C11576">
        <v>100</v>
      </c>
      <c r="D11576" s="9">
        <v>43475</v>
      </c>
      <c r="E11576" t="s">
        <v>295</v>
      </c>
      <c r="I11576" s="9"/>
    </row>
    <row r="11577" spans="1:9" x14ac:dyDescent="0.25">
      <c r="A11577">
        <v>900163</v>
      </c>
      <c r="B11577">
        <v>3.25</v>
      </c>
      <c r="C11577">
        <v>100</v>
      </c>
      <c r="D11577" s="9">
        <v>43397</v>
      </c>
      <c r="E11577" t="s">
        <v>295</v>
      </c>
      <c r="I11577" s="9"/>
    </row>
    <row r="11578" spans="1:9" x14ac:dyDescent="0.25">
      <c r="A11578">
        <v>900163</v>
      </c>
      <c r="B11578">
        <v>3.15</v>
      </c>
      <c r="C11578">
        <v>150</v>
      </c>
      <c r="D11578" s="9">
        <v>43391</v>
      </c>
      <c r="E11578" t="s">
        <v>295</v>
      </c>
      <c r="I11578" s="9"/>
    </row>
    <row r="11579" spans="1:9" x14ac:dyDescent="0.25">
      <c r="A11579">
        <v>900163</v>
      </c>
      <c r="B11579">
        <v>3.15</v>
      </c>
      <c r="C11579">
        <v>150</v>
      </c>
      <c r="D11579" s="9">
        <v>43374</v>
      </c>
      <c r="E11579" t="s">
        <v>295</v>
      </c>
      <c r="I11579" s="9"/>
    </row>
    <row r="11580" spans="1:9" x14ac:dyDescent="0.25">
      <c r="A11580">
        <v>900163</v>
      </c>
      <c r="B11580">
        <v>3.15</v>
      </c>
      <c r="C11580">
        <v>100</v>
      </c>
      <c r="D11580" s="9">
        <v>43319</v>
      </c>
      <c r="E11580" t="s">
        <v>295</v>
      </c>
      <c r="I11580" s="9"/>
    </row>
    <row r="11581" spans="1:9" x14ac:dyDescent="0.25">
      <c r="A11581">
        <v>900163</v>
      </c>
      <c r="B11581">
        <v>3.15</v>
      </c>
      <c r="C11581">
        <v>100</v>
      </c>
      <c r="D11581" s="9">
        <v>43284</v>
      </c>
      <c r="E11581" t="s">
        <v>295</v>
      </c>
      <c r="I11581" s="9"/>
    </row>
    <row r="11582" spans="1:9" x14ac:dyDescent="0.25">
      <c r="A11582">
        <v>900163</v>
      </c>
      <c r="B11582">
        <v>3.15</v>
      </c>
      <c r="C11582">
        <v>150</v>
      </c>
      <c r="D11582" s="9">
        <v>43196</v>
      </c>
      <c r="E11582" t="s">
        <v>295</v>
      </c>
      <c r="I11582" s="9"/>
    </row>
    <row r="11583" spans="1:9" x14ac:dyDescent="0.25">
      <c r="A11583">
        <v>900163</v>
      </c>
      <c r="B11583">
        <v>3.15</v>
      </c>
      <c r="C11583">
        <v>150</v>
      </c>
      <c r="D11583" s="9">
        <v>43166</v>
      </c>
      <c r="E11583" t="s">
        <v>295</v>
      </c>
      <c r="I11583" s="9"/>
    </row>
    <row r="11584" spans="1:9" x14ac:dyDescent="0.25">
      <c r="A11584">
        <v>900163</v>
      </c>
      <c r="B11584">
        <v>3.15</v>
      </c>
      <c r="C11584">
        <v>150</v>
      </c>
      <c r="D11584" s="9">
        <v>43164</v>
      </c>
      <c r="E11584" t="s">
        <v>295</v>
      </c>
      <c r="I11584" s="9"/>
    </row>
    <row r="11585" spans="1:9" x14ac:dyDescent="0.25">
      <c r="A11585">
        <v>900163</v>
      </c>
      <c r="B11585">
        <v>3.15</v>
      </c>
      <c r="C11585">
        <v>100</v>
      </c>
      <c r="D11585" s="9">
        <v>43104</v>
      </c>
      <c r="E11585" t="s">
        <v>295</v>
      </c>
      <c r="I11585" s="9"/>
    </row>
    <row r="11586" spans="1:9" x14ac:dyDescent="0.25">
      <c r="A11586">
        <v>900163</v>
      </c>
      <c r="B11586">
        <v>3</v>
      </c>
      <c r="C11586">
        <v>150</v>
      </c>
      <c r="D11586" s="9">
        <v>43067</v>
      </c>
      <c r="E11586" t="s">
        <v>295</v>
      </c>
      <c r="I11586" s="9"/>
    </row>
    <row r="11587" spans="1:9" x14ac:dyDescent="0.25">
      <c r="A11587">
        <v>900163</v>
      </c>
      <c r="B11587">
        <v>3</v>
      </c>
      <c r="C11587">
        <v>100</v>
      </c>
      <c r="D11587" s="9">
        <v>43056</v>
      </c>
      <c r="E11587" t="s">
        <v>295</v>
      </c>
      <c r="I11587" s="9"/>
    </row>
    <row r="11588" spans="1:9" x14ac:dyDescent="0.25">
      <c r="A11588">
        <v>900163</v>
      </c>
      <c r="B11588">
        <v>3</v>
      </c>
      <c r="C11588">
        <v>100</v>
      </c>
      <c r="D11588" s="9">
        <v>43019</v>
      </c>
      <c r="E11588" t="s">
        <v>295</v>
      </c>
      <c r="I11588" s="9"/>
    </row>
    <row r="11589" spans="1:9" x14ac:dyDescent="0.25">
      <c r="A11589">
        <v>900163</v>
      </c>
      <c r="B11589">
        <v>3</v>
      </c>
      <c r="C11589">
        <v>200</v>
      </c>
      <c r="D11589" s="9">
        <v>42818</v>
      </c>
      <c r="E11589" t="s">
        <v>295</v>
      </c>
      <c r="I11589" s="9"/>
    </row>
    <row r="11590" spans="1:9" x14ac:dyDescent="0.25">
      <c r="A11590">
        <v>900163</v>
      </c>
      <c r="B11590">
        <v>3</v>
      </c>
      <c r="C11590">
        <v>250</v>
      </c>
      <c r="D11590" s="9">
        <v>42709</v>
      </c>
      <c r="E11590" t="s">
        <v>295</v>
      </c>
      <c r="I11590" s="9"/>
    </row>
    <row r="11591" spans="1:9" x14ac:dyDescent="0.25">
      <c r="A11591">
        <v>900163</v>
      </c>
      <c r="B11591">
        <v>3</v>
      </c>
      <c r="C11591">
        <v>300</v>
      </c>
      <c r="D11591" s="9">
        <v>42647</v>
      </c>
      <c r="E11591" t="s">
        <v>295</v>
      </c>
      <c r="I11591" s="9"/>
    </row>
    <row r="11592" spans="1:9" x14ac:dyDescent="0.25">
      <c r="A11592">
        <v>900163</v>
      </c>
      <c r="B11592">
        <v>3</v>
      </c>
      <c r="C11592">
        <v>50</v>
      </c>
      <c r="D11592" s="9">
        <v>42600</v>
      </c>
      <c r="E11592" t="s">
        <v>295</v>
      </c>
      <c r="I11592" s="9"/>
    </row>
    <row r="11593" spans="1:9" x14ac:dyDescent="0.25">
      <c r="A11593">
        <v>900163</v>
      </c>
      <c r="B11593">
        <v>3</v>
      </c>
      <c r="C11593">
        <v>30</v>
      </c>
      <c r="D11593" s="9">
        <v>42591</v>
      </c>
      <c r="E11593" t="s">
        <v>295</v>
      </c>
      <c r="I11593" s="9"/>
    </row>
    <row r="11594" spans="1:9" x14ac:dyDescent="0.25">
      <c r="A11594">
        <v>900163</v>
      </c>
      <c r="B11594">
        <v>3</v>
      </c>
      <c r="C11594">
        <v>100</v>
      </c>
      <c r="D11594" s="9">
        <v>42537</v>
      </c>
      <c r="E11594" t="s">
        <v>295</v>
      </c>
      <c r="I11594" s="9"/>
    </row>
    <row r="11595" spans="1:9" x14ac:dyDescent="0.25">
      <c r="A11595">
        <v>900163</v>
      </c>
      <c r="B11595">
        <v>3</v>
      </c>
      <c r="C11595">
        <v>20</v>
      </c>
      <c r="D11595" s="9">
        <v>42520</v>
      </c>
      <c r="E11595" t="s">
        <v>295</v>
      </c>
      <c r="I11595" s="9"/>
    </row>
    <row r="11596" spans="1:9" x14ac:dyDescent="0.25">
      <c r="A11596">
        <v>900163</v>
      </c>
      <c r="B11596">
        <v>3</v>
      </c>
      <c r="C11596">
        <v>50</v>
      </c>
      <c r="D11596" s="9">
        <v>42499</v>
      </c>
      <c r="E11596" t="s">
        <v>295</v>
      </c>
      <c r="I11596" s="9"/>
    </row>
    <row r="11597" spans="1:9" x14ac:dyDescent="0.25">
      <c r="A11597">
        <v>900163</v>
      </c>
      <c r="B11597">
        <v>3</v>
      </c>
      <c r="C11597">
        <v>60</v>
      </c>
      <c r="D11597" s="9">
        <v>42468</v>
      </c>
      <c r="E11597" t="s">
        <v>295</v>
      </c>
      <c r="I11597" s="9"/>
    </row>
    <row r="11598" spans="1:9" x14ac:dyDescent="0.25">
      <c r="A11598">
        <v>900163</v>
      </c>
      <c r="B11598">
        <v>3</v>
      </c>
      <c r="C11598">
        <v>60</v>
      </c>
      <c r="D11598" s="9">
        <v>42439</v>
      </c>
      <c r="E11598" t="s">
        <v>295</v>
      </c>
      <c r="I11598" s="9"/>
    </row>
    <row r="11599" spans="1:9" x14ac:dyDescent="0.25">
      <c r="A11599">
        <v>900163</v>
      </c>
      <c r="B11599">
        <v>2.9</v>
      </c>
      <c r="C11599">
        <v>200</v>
      </c>
      <c r="D11599" s="9">
        <v>42271</v>
      </c>
      <c r="E11599" t="s">
        <v>295</v>
      </c>
      <c r="I11599" s="9"/>
    </row>
    <row r="11600" spans="1:9" x14ac:dyDescent="0.25">
      <c r="A11600">
        <v>900163</v>
      </c>
      <c r="B11600">
        <v>2.9</v>
      </c>
      <c r="C11600">
        <v>300</v>
      </c>
      <c r="D11600" s="9">
        <v>42145</v>
      </c>
      <c r="E11600" t="s">
        <v>295</v>
      </c>
      <c r="I11600" s="9"/>
    </row>
    <row r="11601" spans="1:9" x14ac:dyDescent="0.25">
      <c r="A11601">
        <v>900163</v>
      </c>
      <c r="B11601">
        <v>0</v>
      </c>
      <c r="C11601">
        <v>400</v>
      </c>
      <c r="D11601" s="9">
        <v>42075</v>
      </c>
      <c r="E11601" t="s">
        <v>295</v>
      </c>
      <c r="I11601" s="9"/>
    </row>
    <row r="11602" spans="1:9" x14ac:dyDescent="0.25">
      <c r="A11602">
        <v>900163</v>
      </c>
      <c r="B11602">
        <v>3</v>
      </c>
      <c r="C11602">
        <v>40</v>
      </c>
      <c r="D11602" s="9">
        <v>42067</v>
      </c>
      <c r="E11602" t="s">
        <v>295</v>
      </c>
      <c r="I11602" s="9"/>
    </row>
    <row r="11603" spans="1:9" x14ac:dyDescent="0.25">
      <c r="A11603">
        <v>900164</v>
      </c>
      <c r="B11603">
        <v>4.38</v>
      </c>
      <c r="C11603">
        <v>200</v>
      </c>
      <c r="D11603" s="9">
        <v>44148</v>
      </c>
      <c r="E11603" t="s">
        <v>295</v>
      </c>
      <c r="I11603" s="9"/>
    </row>
    <row r="11604" spans="1:9" x14ac:dyDescent="0.25">
      <c r="A11604">
        <v>900164</v>
      </c>
      <c r="B11604">
        <v>4.38</v>
      </c>
      <c r="C11604">
        <v>300</v>
      </c>
      <c r="D11604" s="9">
        <v>44110</v>
      </c>
      <c r="E11604" t="s">
        <v>295</v>
      </c>
      <c r="I11604" s="9"/>
    </row>
    <row r="11605" spans="1:9" x14ac:dyDescent="0.25">
      <c r="A11605">
        <v>900164</v>
      </c>
      <c r="B11605">
        <v>4.38</v>
      </c>
      <c r="C11605">
        <v>400</v>
      </c>
      <c r="D11605" s="9">
        <v>44078</v>
      </c>
      <c r="E11605" t="s">
        <v>295</v>
      </c>
      <c r="I11605" s="9"/>
    </row>
    <row r="11606" spans="1:9" x14ac:dyDescent="0.25">
      <c r="A11606">
        <v>900164</v>
      </c>
      <c r="B11606">
        <v>4.38</v>
      </c>
      <c r="C11606">
        <v>600</v>
      </c>
      <c r="D11606" s="9">
        <v>43871</v>
      </c>
      <c r="E11606" t="s">
        <v>295</v>
      </c>
      <c r="I11606" s="9"/>
    </row>
    <row r="11607" spans="1:9" x14ac:dyDescent="0.25">
      <c r="A11607">
        <v>900164</v>
      </c>
      <c r="B11607">
        <v>4.17</v>
      </c>
      <c r="C11607">
        <v>300</v>
      </c>
      <c r="D11607" s="9">
        <v>43857</v>
      </c>
      <c r="E11607" t="s">
        <v>295</v>
      </c>
      <c r="I11607" s="9"/>
    </row>
    <row r="11608" spans="1:9" x14ac:dyDescent="0.25">
      <c r="A11608">
        <v>900164</v>
      </c>
      <c r="B11608">
        <v>4.17</v>
      </c>
      <c r="C11608">
        <v>200</v>
      </c>
      <c r="D11608" s="9">
        <v>43838</v>
      </c>
      <c r="E11608" t="s">
        <v>295</v>
      </c>
      <c r="I11608" s="9"/>
    </row>
    <row r="11609" spans="1:9" x14ac:dyDescent="0.25">
      <c r="A11609">
        <v>900164</v>
      </c>
      <c r="B11609">
        <v>4.17</v>
      </c>
      <c r="C11609">
        <v>220</v>
      </c>
      <c r="D11609" s="9">
        <v>43691</v>
      </c>
      <c r="E11609" t="s">
        <v>295</v>
      </c>
      <c r="I11609" s="9"/>
    </row>
    <row r="11610" spans="1:9" x14ac:dyDescent="0.25">
      <c r="A11610">
        <v>900164</v>
      </c>
      <c r="B11610">
        <v>4.17</v>
      </c>
      <c r="C11610">
        <v>300</v>
      </c>
      <c r="D11610" s="9">
        <v>43615</v>
      </c>
      <c r="E11610" t="s">
        <v>295</v>
      </c>
      <c r="I11610" s="9"/>
    </row>
    <row r="11611" spans="1:9" x14ac:dyDescent="0.25">
      <c r="A11611">
        <v>900164</v>
      </c>
      <c r="B11611">
        <v>4.17</v>
      </c>
      <c r="C11611">
        <v>500</v>
      </c>
      <c r="D11611" s="9">
        <v>43591</v>
      </c>
      <c r="E11611" t="s">
        <v>295</v>
      </c>
      <c r="I11611" s="9"/>
    </row>
    <row r="11612" spans="1:9" x14ac:dyDescent="0.25">
      <c r="A11612">
        <v>900164</v>
      </c>
      <c r="B11612">
        <v>3.9</v>
      </c>
      <c r="C11612">
        <v>300</v>
      </c>
      <c r="D11612" s="9">
        <v>43570</v>
      </c>
      <c r="E11612" t="s">
        <v>295</v>
      </c>
      <c r="I11612" s="9"/>
    </row>
    <row r="11613" spans="1:9" x14ac:dyDescent="0.25">
      <c r="A11613">
        <v>900164</v>
      </c>
      <c r="B11613">
        <v>3.9</v>
      </c>
      <c r="C11613">
        <v>300</v>
      </c>
      <c r="D11613" s="9">
        <v>43557</v>
      </c>
      <c r="E11613" t="s">
        <v>295</v>
      </c>
      <c r="I11613" s="9"/>
    </row>
    <row r="11614" spans="1:9" x14ac:dyDescent="0.25">
      <c r="A11614">
        <v>900164</v>
      </c>
      <c r="B11614">
        <v>3.9</v>
      </c>
      <c r="C11614">
        <v>130</v>
      </c>
      <c r="D11614" s="9">
        <v>43511</v>
      </c>
      <c r="E11614" t="s">
        <v>295</v>
      </c>
      <c r="I11614" s="9"/>
    </row>
    <row r="11615" spans="1:9" x14ac:dyDescent="0.25">
      <c r="A11615">
        <v>900164</v>
      </c>
      <c r="B11615">
        <v>3.8</v>
      </c>
      <c r="C11615">
        <v>170</v>
      </c>
      <c r="D11615" s="9">
        <v>43508</v>
      </c>
      <c r="E11615" t="s">
        <v>295</v>
      </c>
      <c r="I11615" s="9"/>
    </row>
    <row r="11616" spans="1:9" x14ac:dyDescent="0.25">
      <c r="A11616">
        <v>900164</v>
      </c>
      <c r="B11616">
        <v>3.8</v>
      </c>
      <c r="C11616">
        <v>300</v>
      </c>
      <c r="D11616" s="9">
        <v>43475</v>
      </c>
      <c r="E11616" t="s">
        <v>295</v>
      </c>
      <c r="I11616" s="9"/>
    </row>
    <row r="11617" spans="1:9" x14ac:dyDescent="0.25">
      <c r="A11617">
        <v>900164</v>
      </c>
      <c r="B11617">
        <v>3.8</v>
      </c>
      <c r="C11617">
        <v>400</v>
      </c>
      <c r="D11617" s="9">
        <v>43396</v>
      </c>
      <c r="E11617" t="s">
        <v>295</v>
      </c>
      <c r="I11617" s="9"/>
    </row>
    <row r="11618" spans="1:9" x14ac:dyDescent="0.25">
      <c r="A11618">
        <v>900164</v>
      </c>
      <c r="B11618">
        <v>3.8</v>
      </c>
      <c r="C11618">
        <v>500</v>
      </c>
      <c r="D11618" s="9">
        <v>43374</v>
      </c>
      <c r="E11618" t="s">
        <v>295</v>
      </c>
      <c r="I11618" s="9"/>
    </row>
    <row r="11619" spans="1:9" x14ac:dyDescent="0.25">
      <c r="A11619">
        <v>900164</v>
      </c>
      <c r="B11619">
        <v>3.8</v>
      </c>
      <c r="C11619">
        <v>300</v>
      </c>
      <c r="D11619" s="9">
        <v>43319</v>
      </c>
      <c r="E11619" t="s">
        <v>295</v>
      </c>
      <c r="I11619" s="9"/>
    </row>
    <row r="11620" spans="1:9" x14ac:dyDescent="0.25">
      <c r="A11620">
        <v>900164</v>
      </c>
      <c r="B11620">
        <v>3.8</v>
      </c>
      <c r="C11620">
        <v>400</v>
      </c>
      <c r="D11620" s="9">
        <v>43284</v>
      </c>
      <c r="E11620" t="s">
        <v>295</v>
      </c>
      <c r="I11620" s="9"/>
    </row>
    <row r="11621" spans="1:9" x14ac:dyDescent="0.25">
      <c r="A11621">
        <v>900164</v>
      </c>
      <c r="B11621">
        <v>3.8</v>
      </c>
      <c r="C11621">
        <v>500</v>
      </c>
      <c r="D11621" s="9">
        <v>43196</v>
      </c>
      <c r="E11621" t="s">
        <v>295</v>
      </c>
      <c r="I11621" s="9"/>
    </row>
    <row r="11622" spans="1:9" x14ac:dyDescent="0.25">
      <c r="A11622">
        <v>900164</v>
      </c>
      <c r="B11622">
        <v>3.8</v>
      </c>
      <c r="C11622">
        <v>400</v>
      </c>
      <c r="D11622" s="9">
        <v>43166</v>
      </c>
      <c r="E11622" t="s">
        <v>295</v>
      </c>
      <c r="I11622" s="9"/>
    </row>
    <row r="11623" spans="1:9" x14ac:dyDescent="0.25">
      <c r="A11623">
        <v>900164</v>
      </c>
      <c r="B11623">
        <v>3.8</v>
      </c>
      <c r="C11623">
        <v>200</v>
      </c>
      <c r="D11623" s="9">
        <v>43164</v>
      </c>
      <c r="E11623" t="s">
        <v>295</v>
      </c>
      <c r="I11623" s="9"/>
    </row>
    <row r="11624" spans="1:9" x14ac:dyDescent="0.25">
      <c r="A11624">
        <v>900164</v>
      </c>
      <c r="B11624">
        <v>3.8</v>
      </c>
      <c r="C11624">
        <v>200</v>
      </c>
      <c r="D11624" s="9">
        <v>43104</v>
      </c>
      <c r="E11624" t="s">
        <v>295</v>
      </c>
      <c r="I11624" s="9"/>
    </row>
    <row r="11625" spans="1:9" x14ac:dyDescent="0.25">
      <c r="A11625">
        <v>900164</v>
      </c>
      <c r="B11625">
        <v>3.6</v>
      </c>
      <c r="C11625">
        <v>700</v>
      </c>
      <c r="D11625" s="9">
        <v>43067</v>
      </c>
      <c r="E11625" t="s">
        <v>295</v>
      </c>
      <c r="I11625" s="9"/>
    </row>
    <row r="11626" spans="1:9" x14ac:dyDescent="0.25">
      <c r="A11626">
        <v>900164</v>
      </c>
      <c r="B11626">
        <v>3.6</v>
      </c>
      <c r="C11626">
        <v>100</v>
      </c>
      <c r="D11626" s="9">
        <v>43056</v>
      </c>
      <c r="E11626" t="s">
        <v>295</v>
      </c>
      <c r="I11626" s="9"/>
    </row>
    <row r="11627" spans="1:9" x14ac:dyDescent="0.25">
      <c r="A11627">
        <v>900164</v>
      </c>
      <c r="B11627">
        <v>3.6</v>
      </c>
      <c r="C11627">
        <v>60</v>
      </c>
      <c r="D11627" s="9">
        <v>43019</v>
      </c>
      <c r="E11627" t="s">
        <v>295</v>
      </c>
      <c r="I11627" s="9"/>
    </row>
    <row r="11628" spans="1:9" x14ac:dyDescent="0.25">
      <c r="A11628">
        <v>900164</v>
      </c>
      <c r="B11628">
        <v>3.6</v>
      </c>
      <c r="C11628">
        <v>400</v>
      </c>
      <c r="D11628" s="9">
        <v>43003</v>
      </c>
      <c r="E11628" t="s">
        <v>295</v>
      </c>
      <c r="I11628" s="9"/>
    </row>
    <row r="11629" spans="1:9" x14ac:dyDescent="0.25">
      <c r="A11629">
        <v>900164</v>
      </c>
      <c r="B11629">
        <v>3.6</v>
      </c>
      <c r="C11629">
        <v>620</v>
      </c>
      <c r="D11629" s="9">
        <v>42982</v>
      </c>
      <c r="E11629" t="s">
        <v>295</v>
      </c>
      <c r="I11629" s="9"/>
    </row>
    <row r="11630" spans="1:9" x14ac:dyDescent="0.25">
      <c r="A11630">
        <v>900164</v>
      </c>
      <c r="B11630">
        <v>3.6</v>
      </c>
      <c r="C11630">
        <v>270</v>
      </c>
      <c r="D11630" s="9">
        <v>42935</v>
      </c>
      <c r="E11630" t="s">
        <v>295</v>
      </c>
      <c r="I11630" s="9"/>
    </row>
    <row r="11631" spans="1:9" x14ac:dyDescent="0.25">
      <c r="A11631">
        <v>900164</v>
      </c>
      <c r="B11631">
        <v>3.6</v>
      </c>
      <c r="C11631">
        <v>200</v>
      </c>
      <c r="D11631" s="9">
        <v>42818</v>
      </c>
      <c r="E11631" t="s">
        <v>295</v>
      </c>
      <c r="I11631" s="9"/>
    </row>
    <row r="11632" spans="1:9" x14ac:dyDescent="0.25">
      <c r="A11632">
        <v>900164</v>
      </c>
      <c r="B11632">
        <v>3.6</v>
      </c>
      <c r="C11632">
        <v>100</v>
      </c>
      <c r="D11632" s="9">
        <v>42745</v>
      </c>
      <c r="E11632" t="s">
        <v>295</v>
      </c>
      <c r="I11632" s="9"/>
    </row>
    <row r="11633" spans="1:9" x14ac:dyDescent="0.25">
      <c r="A11633">
        <v>900164</v>
      </c>
      <c r="B11633">
        <v>3.6</v>
      </c>
      <c r="C11633">
        <v>1100</v>
      </c>
      <c r="D11633" s="9">
        <v>42647</v>
      </c>
      <c r="E11633" t="s">
        <v>295</v>
      </c>
      <c r="I11633" s="9"/>
    </row>
    <row r="11634" spans="1:9" x14ac:dyDescent="0.25">
      <c r="A11634">
        <v>900164</v>
      </c>
      <c r="B11634">
        <v>3.6</v>
      </c>
      <c r="C11634">
        <v>100</v>
      </c>
      <c r="D11634" s="9">
        <v>42619</v>
      </c>
      <c r="E11634" t="s">
        <v>295</v>
      </c>
      <c r="I11634" s="9"/>
    </row>
    <row r="11635" spans="1:9" x14ac:dyDescent="0.25">
      <c r="A11635">
        <v>900164</v>
      </c>
      <c r="B11635">
        <v>3.6</v>
      </c>
      <c r="C11635">
        <v>410</v>
      </c>
      <c r="D11635" s="9">
        <v>42591</v>
      </c>
      <c r="E11635" t="s">
        <v>295</v>
      </c>
      <c r="I11635" s="9"/>
    </row>
    <row r="11636" spans="1:9" x14ac:dyDescent="0.25">
      <c r="A11636">
        <v>900164</v>
      </c>
      <c r="B11636">
        <v>3.6</v>
      </c>
      <c r="C11636">
        <v>80</v>
      </c>
      <c r="D11636" s="9">
        <v>42537</v>
      </c>
      <c r="E11636" t="s">
        <v>295</v>
      </c>
      <c r="I11636" s="9"/>
    </row>
    <row r="11637" spans="1:9" x14ac:dyDescent="0.25">
      <c r="A11637">
        <v>900164</v>
      </c>
      <c r="B11637">
        <v>3.6</v>
      </c>
      <c r="C11637">
        <v>40</v>
      </c>
      <c r="D11637" s="9">
        <v>42520</v>
      </c>
      <c r="E11637" t="s">
        <v>295</v>
      </c>
      <c r="I11637" s="9"/>
    </row>
    <row r="11638" spans="1:9" x14ac:dyDescent="0.25">
      <c r="A11638">
        <v>900164</v>
      </c>
      <c r="B11638">
        <v>3.6</v>
      </c>
      <c r="C11638">
        <v>50</v>
      </c>
      <c r="D11638" s="9">
        <v>42499</v>
      </c>
      <c r="E11638" t="s">
        <v>295</v>
      </c>
      <c r="I11638" s="9"/>
    </row>
    <row r="11639" spans="1:9" x14ac:dyDescent="0.25">
      <c r="A11639">
        <v>900164</v>
      </c>
      <c r="B11639">
        <v>3.6</v>
      </c>
      <c r="C11639">
        <v>120</v>
      </c>
      <c r="D11639" s="9">
        <v>42439</v>
      </c>
      <c r="E11639" t="s">
        <v>295</v>
      </c>
      <c r="I11639" s="9"/>
    </row>
    <row r="11640" spans="1:9" x14ac:dyDescent="0.25">
      <c r="A11640">
        <v>900164</v>
      </c>
      <c r="B11640">
        <v>3.4</v>
      </c>
      <c r="C11640">
        <v>200</v>
      </c>
      <c r="D11640" s="9">
        <v>42271</v>
      </c>
      <c r="E11640" t="s">
        <v>295</v>
      </c>
      <c r="I11640" s="9"/>
    </row>
    <row r="11641" spans="1:9" x14ac:dyDescent="0.25">
      <c r="A11641">
        <v>900164</v>
      </c>
      <c r="B11641">
        <v>3.4</v>
      </c>
      <c r="C11641">
        <v>300</v>
      </c>
      <c r="D11641" s="9">
        <v>42145</v>
      </c>
      <c r="E11641" t="s">
        <v>295</v>
      </c>
      <c r="I11641" s="9"/>
    </row>
    <row r="11642" spans="1:9" x14ac:dyDescent="0.25">
      <c r="A11642">
        <v>900164</v>
      </c>
      <c r="B11642">
        <v>0</v>
      </c>
      <c r="C11642">
        <v>500</v>
      </c>
      <c r="D11642" s="9">
        <v>42075</v>
      </c>
      <c r="E11642" t="s">
        <v>295</v>
      </c>
      <c r="I11642" s="9"/>
    </row>
    <row r="11643" spans="1:9" x14ac:dyDescent="0.25">
      <c r="A11643">
        <v>900164</v>
      </c>
      <c r="B11643">
        <v>0</v>
      </c>
      <c r="C11643">
        <v>40</v>
      </c>
      <c r="D11643" s="9">
        <v>42067</v>
      </c>
      <c r="E11643" t="s">
        <v>295</v>
      </c>
      <c r="I11643" s="9"/>
    </row>
    <row r="11644" spans="1:9" x14ac:dyDescent="0.25">
      <c r="A11644">
        <v>900165</v>
      </c>
      <c r="B11644">
        <v>5.34</v>
      </c>
      <c r="C11644">
        <v>200</v>
      </c>
      <c r="D11644" s="9">
        <v>44148</v>
      </c>
      <c r="E11644" t="s">
        <v>295</v>
      </c>
      <c r="I11644" s="9"/>
    </row>
    <row r="11645" spans="1:9" x14ac:dyDescent="0.25">
      <c r="A11645">
        <v>900165</v>
      </c>
      <c r="B11645">
        <v>5.34</v>
      </c>
      <c r="C11645">
        <v>200</v>
      </c>
      <c r="D11645" s="9">
        <v>44110</v>
      </c>
      <c r="E11645" t="s">
        <v>295</v>
      </c>
      <c r="I11645" s="9"/>
    </row>
    <row r="11646" spans="1:9" x14ac:dyDescent="0.25">
      <c r="A11646">
        <v>900165</v>
      </c>
      <c r="B11646">
        <v>5.2</v>
      </c>
      <c r="C11646">
        <v>200</v>
      </c>
      <c r="D11646" s="9">
        <v>44088</v>
      </c>
      <c r="E11646" t="s">
        <v>295</v>
      </c>
      <c r="I11646" s="9"/>
    </row>
    <row r="11647" spans="1:9" x14ac:dyDescent="0.25">
      <c r="A11647">
        <v>900165</v>
      </c>
      <c r="B11647">
        <v>5.34</v>
      </c>
      <c r="C11647">
        <v>300</v>
      </c>
      <c r="D11647" s="9">
        <v>43871</v>
      </c>
      <c r="E11647" t="s">
        <v>295</v>
      </c>
      <c r="I11647" s="9"/>
    </row>
    <row r="11648" spans="1:9" x14ac:dyDescent="0.25">
      <c r="A11648">
        <v>900165</v>
      </c>
      <c r="B11648">
        <v>5.03</v>
      </c>
      <c r="C11648">
        <v>200</v>
      </c>
      <c r="D11648" s="9">
        <v>43838</v>
      </c>
      <c r="E11648" t="s">
        <v>295</v>
      </c>
      <c r="I11648" s="9"/>
    </row>
    <row r="11649" spans="1:9" x14ac:dyDescent="0.25">
      <c r="A11649">
        <v>900165</v>
      </c>
      <c r="B11649">
        <v>5.03</v>
      </c>
      <c r="C11649">
        <v>500</v>
      </c>
      <c r="D11649" s="9">
        <v>43591</v>
      </c>
      <c r="E11649" t="s">
        <v>295</v>
      </c>
      <c r="I11649" s="9"/>
    </row>
    <row r="11650" spans="1:9" x14ac:dyDescent="0.25">
      <c r="A11650">
        <v>900165</v>
      </c>
      <c r="B11650">
        <v>4.7</v>
      </c>
      <c r="C11650">
        <v>200</v>
      </c>
      <c r="D11650" s="9">
        <v>43565</v>
      </c>
      <c r="E11650" t="s">
        <v>295</v>
      </c>
      <c r="I11650" s="9"/>
    </row>
    <row r="11651" spans="1:9" x14ac:dyDescent="0.25">
      <c r="A11651">
        <v>900165</v>
      </c>
      <c r="B11651">
        <v>4.7</v>
      </c>
      <c r="C11651">
        <v>50</v>
      </c>
      <c r="D11651" s="9">
        <v>43518</v>
      </c>
      <c r="E11651" t="s">
        <v>295</v>
      </c>
      <c r="I11651" s="9"/>
    </row>
    <row r="11652" spans="1:9" x14ac:dyDescent="0.25">
      <c r="A11652">
        <v>900165</v>
      </c>
      <c r="B11652">
        <v>4.7</v>
      </c>
      <c r="C11652">
        <v>200</v>
      </c>
      <c r="D11652" s="9">
        <v>43475</v>
      </c>
      <c r="E11652" t="s">
        <v>295</v>
      </c>
      <c r="I11652" s="9"/>
    </row>
    <row r="11653" spans="1:9" x14ac:dyDescent="0.25">
      <c r="A11653">
        <v>900165</v>
      </c>
      <c r="B11653">
        <v>4.7</v>
      </c>
      <c r="C11653">
        <v>200</v>
      </c>
      <c r="D11653" s="9">
        <v>43397</v>
      </c>
      <c r="E11653" t="s">
        <v>295</v>
      </c>
      <c r="I11653" s="9"/>
    </row>
    <row r="11654" spans="1:9" x14ac:dyDescent="0.25">
      <c r="A11654">
        <v>900165</v>
      </c>
      <c r="B11654">
        <v>4.5</v>
      </c>
      <c r="C11654">
        <v>100</v>
      </c>
      <c r="D11654" s="9">
        <v>43391</v>
      </c>
      <c r="E11654" t="s">
        <v>295</v>
      </c>
      <c r="I11654" s="9"/>
    </row>
    <row r="11655" spans="1:9" x14ac:dyDescent="0.25">
      <c r="A11655">
        <v>900165</v>
      </c>
      <c r="B11655">
        <v>4.5</v>
      </c>
      <c r="C11655">
        <v>100</v>
      </c>
      <c r="D11655" s="9">
        <v>43374</v>
      </c>
      <c r="E11655" t="s">
        <v>295</v>
      </c>
      <c r="I11655" s="9"/>
    </row>
    <row r="11656" spans="1:9" x14ac:dyDescent="0.25">
      <c r="A11656">
        <v>900165</v>
      </c>
      <c r="B11656">
        <v>4.5</v>
      </c>
      <c r="C11656">
        <v>100</v>
      </c>
      <c r="D11656" s="9">
        <v>43319</v>
      </c>
      <c r="E11656" t="s">
        <v>295</v>
      </c>
      <c r="I11656" s="9"/>
    </row>
    <row r="11657" spans="1:9" x14ac:dyDescent="0.25">
      <c r="A11657">
        <v>900165</v>
      </c>
      <c r="B11657">
        <v>4.5</v>
      </c>
      <c r="C11657">
        <v>100</v>
      </c>
      <c r="D11657" s="9">
        <v>43196</v>
      </c>
      <c r="E11657" t="s">
        <v>295</v>
      </c>
      <c r="I11657" s="9"/>
    </row>
    <row r="11658" spans="1:9" x14ac:dyDescent="0.25">
      <c r="A11658">
        <v>900165</v>
      </c>
      <c r="B11658">
        <v>4.5</v>
      </c>
      <c r="C11658">
        <v>100</v>
      </c>
      <c r="D11658" s="9">
        <v>43166</v>
      </c>
      <c r="E11658" t="s">
        <v>295</v>
      </c>
      <c r="I11658" s="9"/>
    </row>
    <row r="11659" spans="1:9" x14ac:dyDescent="0.25">
      <c r="A11659">
        <v>900165</v>
      </c>
      <c r="B11659">
        <v>4.5</v>
      </c>
      <c r="C11659">
        <v>100</v>
      </c>
      <c r="D11659" s="9">
        <v>43164</v>
      </c>
      <c r="E11659" t="s">
        <v>295</v>
      </c>
      <c r="I11659" s="9"/>
    </row>
    <row r="11660" spans="1:9" x14ac:dyDescent="0.25">
      <c r="A11660">
        <v>900165</v>
      </c>
      <c r="B11660">
        <v>4.5</v>
      </c>
      <c r="C11660">
        <v>250</v>
      </c>
      <c r="D11660" s="9">
        <v>43104</v>
      </c>
      <c r="E11660" t="s">
        <v>295</v>
      </c>
      <c r="I11660" s="9"/>
    </row>
    <row r="11661" spans="1:9" x14ac:dyDescent="0.25">
      <c r="A11661">
        <v>900165</v>
      </c>
      <c r="B11661">
        <v>4.5</v>
      </c>
      <c r="C11661">
        <v>100</v>
      </c>
      <c r="D11661" s="9">
        <v>43067</v>
      </c>
      <c r="E11661" t="s">
        <v>295</v>
      </c>
      <c r="I11661" s="9"/>
    </row>
    <row r="11662" spans="1:9" x14ac:dyDescent="0.25">
      <c r="A11662">
        <v>900165</v>
      </c>
      <c r="B11662">
        <v>4.5</v>
      </c>
      <c r="C11662">
        <v>100</v>
      </c>
      <c r="D11662" s="9">
        <v>43056</v>
      </c>
      <c r="E11662" t="s">
        <v>295</v>
      </c>
      <c r="I11662" s="9"/>
    </row>
    <row r="11663" spans="1:9" x14ac:dyDescent="0.25">
      <c r="A11663">
        <v>900165</v>
      </c>
      <c r="B11663">
        <v>4.5</v>
      </c>
      <c r="C11663">
        <v>60</v>
      </c>
      <c r="D11663" s="9">
        <v>43019</v>
      </c>
      <c r="E11663" t="s">
        <v>295</v>
      </c>
      <c r="I11663" s="9"/>
    </row>
    <row r="11664" spans="1:9" x14ac:dyDescent="0.25">
      <c r="A11664">
        <v>900165</v>
      </c>
      <c r="B11664">
        <v>4.5</v>
      </c>
      <c r="C11664">
        <v>300</v>
      </c>
      <c r="D11664" s="9">
        <v>42982</v>
      </c>
      <c r="E11664" t="s">
        <v>295</v>
      </c>
      <c r="I11664" s="9"/>
    </row>
    <row r="11665" spans="1:9" x14ac:dyDescent="0.25">
      <c r="A11665">
        <v>900165</v>
      </c>
      <c r="B11665">
        <v>4.5</v>
      </c>
      <c r="C11665">
        <v>100</v>
      </c>
      <c r="D11665" s="9">
        <v>42838</v>
      </c>
      <c r="E11665" t="s">
        <v>295</v>
      </c>
      <c r="I11665" s="9"/>
    </row>
    <row r="11666" spans="1:9" x14ac:dyDescent="0.25">
      <c r="A11666">
        <v>900165</v>
      </c>
      <c r="B11666">
        <v>4.3</v>
      </c>
      <c r="C11666">
        <v>100</v>
      </c>
      <c r="D11666" s="9">
        <v>42818</v>
      </c>
      <c r="E11666" t="s">
        <v>295</v>
      </c>
      <c r="I11666" s="9"/>
    </row>
    <row r="11667" spans="1:9" x14ac:dyDescent="0.25">
      <c r="A11667">
        <v>900165</v>
      </c>
      <c r="B11667">
        <v>4.3</v>
      </c>
      <c r="C11667">
        <v>100</v>
      </c>
      <c r="D11667" s="9">
        <v>42745</v>
      </c>
      <c r="E11667" t="s">
        <v>295</v>
      </c>
      <c r="I11667" s="9"/>
    </row>
    <row r="11668" spans="1:9" x14ac:dyDescent="0.25">
      <c r="A11668">
        <v>900165</v>
      </c>
      <c r="B11668">
        <v>4.3</v>
      </c>
      <c r="C11668">
        <v>30</v>
      </c>
      <c r="D11668" s="9">
        <v>42709</v>
      </c>
      <c r="E11668" t="s">
        <v>295</v>
      </c>
      <c r="I11668" s="9"/>
    </row>
    <row r="11669" spans="1:9" x14ac:dyDescent="0.25">
      <c r="A11669">
        <v>900165</v>
      </c>
      <c r="B11669">
        <v>4.3</v>
      </c>
      <c r="C11669">
        <v>300</v>
      </c>
      <c r="D11669" s="9">
        <v>42647</v>
      </c>
      <c r="E11669" t="s">
        <v>295</v>
      </c>
      <c r="I11669" s="9"/>
    </row>
    <row r="11670" spans="1:9" x14ac:dyDescent="0.25">
      <c r="A11670">
        <v>900165</v>
      </c>
      <c r="B11670">
        <v>4.3</v>
      </c>
      <c r="C11670">
        <v>60</v>
      </c>
      <c r="D11670" s="9">
        <v>42591</v>
      </c>
      <c r="E11670" t="s">
        <v>295</v>
      </c>
      <c r="I11670" s="9"/>
    </row>
    <row r="11671" spans="1:9" x14ac:dyDescent="0.25">
      <c r="A11671">
        <v>900165</v>
      </c>
      <c r="B11671">
        <v>4.3</v>
      </c>
      <c r="C11671">
        <v>70</v>
      </c>
      <c r="D11671" s="9">
        <v>42537</v>
      </c>
      <c r="E11671" t="s">
        <v>295</v>
      </c>
      <c r="I11671" s="9"/>
    </row>
    <row r="11672" spans="1:9" x14ac:dyDescent="0.25">
      <c r="A11672">
        <v>900165</v>
      </c>
      <c r="B11672">
        <v>4.3</v>
      </c>
      <c r="C11672">
        <v>20</v>
      </c>
      <c r="D11672" s="9">
        <v>42520</v>
      </c>
      <c r="E11672" t="s">
        <v>295</v>
      </c>
      <c r="I11672" s="9"/>
    </row>
    <row r="11673" spans="1:9" x14ac:dyDescent="0.25">
      <c r="A11673">
        <v>900165</v>
      </c>
      <c r="B11673">
        <v>4.3</v>
      </c>
      <c r="C11673">
        <v>60</v>
      </c>
      <c r="D11673" s="9">
        <v>42499</v>
      </c>
      <c r="E11673" t="s">
        <v>295</v>
      </c>
      <c r="I11673" s="9"/>
    </row>
    <row r="11674" spans="1:9" x14ac:dyDescent="0.25">
      <c r="A11674">
        <v>900165</v>
      </c>
      <c r="B11674">
        <v>4.3</v>
      </c>
      <c r="C11674">
        <v>20</v>
      </c>
      <c r="D11674" s="9">
        <v>42468</v>
      </c>
      <c r="E11674" t="s">
        <v>295</v>
      </c>
      <c r="I11674" s="9"/>
    </row>
    <row r="11675" spans="1:9" x14ac:dyDescent="0.25">
      <c r="A11675">
        <v>900165</v>
      </c>
      <c r="B11675">
        <v>4.3</v>
      </c>
      <c r="C11675">
        <v>40</v>
      </c>
      <c r="D11675" s="9">
        <v>42439</v>
      </c>
      <c r="E11675" t="s">
        <v>295</v>
      </c>
      <c r="I11675" s="9"/>
    </row>
    <row r="11676" spans="1:9" x14ac:dyDescent="0.25">
      <c r="A11676">
        <v>900165</v>
      </c>
      <c r="B11676">
        <v>4.2</v>
      </c>
      <c r="C11676">
        <v>100</v>
      </c>
      <c r="D11676" s="9">
        <v>42271</v>
      </c>
      <c r="E11676" t="s">
        <v>295</v>
      </c>
      <c r="I11676" s="9"/>
    </row>
    <row r="11677" spans="1:9" x14ac:dyDescent="0.25">
      <c r="A11677">
        <v>900165</v>
      </c>
      <c r="B11677">
        <v>4.2</v>
      </c>
      <c r="C11677">
        <v>300</v>
      </c>
      <c r="D11677" s="9">
        <v>42145</v>
      </c>
      <c r="E11677" t="s">
        <v>295</v>
      </c>
      <c r="I11677" s="9"/>
    </row>
    <row r="11678" spans="1:9" x14ac:dyDescent="0.25">
      <c r="A11678">
        <v>900165</v>
      </c>
      <c r="B11678">
        <v>0</v>
      </c>
      <c r="C11678">
        <v>400</v>
      </c>
      <c r="D11678" s="9">
        <v>42075</v>
      </c>
      <c r="E11678" t="s">
        <v>295</v>
      </c>
      <c r="I11678" s="9"/>
    </row>
    <row r="11679" spans="1:9" x14ac:dyDescent="0.25">
      <c r="A11679">
        <v>900165</v>
      </c>
      <c r="B11679">
        <v>4.3</v>
      </c>
      <c r="C11679">
        <v>40</v>
      </c>
      <c r="D11679" s="9">
        <v>42067</v>
      </c>
      <c r="E11679" t="s">
        <v>295</v>
      </c>
      <c r="I11679" s="9"/>
    </row>
    <row r="11680" spans="1:9" x14ac:dyDescent="0.25">
      <c r="A11680">
        <v>900166</v>
      </c>
      <c r="B11680">
        <v>6.66</v>
      </c>
      <c r="C11680">
        <v>200</v>
      </c>
      <c r="D11680" s="9">
        <v>44110</v>
      </c>
      <c r="E11680" t="s">
        <v>295</v>
      </c>
      <c r="I11680" s="9"/>
    </row>
    <row r="11681" spans="1:9" x14ac:dyDescent="0.25">
      <c r="A11681">
        <v>900166</v>
      </c>
      <c r="B11681">
        <v>6.66</v>
      </c>
      <c r="C11681">
        <v>350</v>
      </c>
      <c r="D11681" s="9">
        <v>44088</v>
      </c>
      <c r="E11681" t="s">
        <v>295</v>
      </c>
      <c r="I11681" s="9"/>
    </row>
    <row r="11682" spans="1:9" x14ac:dyDescent="0.25">
      <c r="A11682">
        <v>900166</v>
      </c>
      <c r="B11682">
        <v>6.66</v>
      </c>
      <c r="C11682">
        <v>350</v>
      </c>
      <c r="D11682" s="9">
        <v>43871</v>
      </c>
      <c r="E11682" t="s">
        <v>295</v>
      </c>
      <c r="I11682" s="9"/>
    </row>
    <row r="11683" spans="1:9" x14ac:dyDescent="0.25">
      <c r="A11683">
        <v>900166</v>
      </c>
      <c r="B11683">
        <v>6.31</v>
      </c>
      <c r="C11683">
        <v>100</v>
      </c>
      <c r="D11683" s="9">
        <v>43857</v>
      </c>
      <c r="E11683" t="s">
        <v>295</v>
      </c>
      <c r="I11683" s="9"/>
    </row>
    <row r="11684" spans="1:9" x14ac:dyDescent="0.25">
      <c r="A11684">
        <v>900166</v>
      </c>
      <c r="B11684">
        <v>6.31</v>
      </c>
      <c r="C11684">
        <v>200</v>
      </c>
      <c r="D11684" s="9">
        <v>43838</v>
      </c>
      <c r="E11684" t="s">
        <v>295</v>
      </c>
      <c r="I11684" s="9"/>
    </row>
    <row r="11685" spans="1:9" x14ac:dyDescent="0.25">
      <c r="A11685">
        <v>900166</v>
      </c>
      <c r="B11685">
        <v>6.31</v>
      </c>
      <c r="C11685">
        <v>200</v>
      </c>
      <c r="D11685" s="9">
        <v>43661</v>
      </c>
      <c r="E11685" t="s">
        <v>295</v>
      </c>
      <c r="I11685" s="9"/>
    </row>
    <row r="11686" spans="1:9" x14ac:dyDescent="0.25">
      <c r="A11686">
        <v>900166</v>
      </c>
      <c r="B11686">
        <v>6.31</v>
      </c>
      <c r="C11686">
        <v>16</v>
      </c>
      <c r="D11686" s="9">
        <v>43615</v>
      </c>
      <c r="E11686" t="s">
        <v>295</v>
      </c>
      <c r="I11686" s="9"/>
    </row>
    <row r="11687" spans="1:9" x14ac:dyDescent="0.25">
      <c r="A11687">
        <v>900166</v>
      </c>
      <c r="B11687">
        <v>5.9</v>
      </c>
      <c r="C11687">
        <v>200</v>
      </c>
      <c r="D11687" s="9">
        <v>43565</v>
      </c>
      <c r="E11687" t="s">
        <v>295</v>
      </c>
      <c r="I11687" s="9"/>
    </row>
    <row r="11688" spans="1:9" x14ac:dyDescent="0.25">
      <c r="A11688">
        <v>900166</v>
      </c>
      <c r="B11688">
        <v>5.9</v>
      </c>
      <c r="C11688">
        <v>100</v>
      </c>
      <c r="D11688" s="9">
        <v>43475</v>
      </c>
      <c r="E11688" t="s">
        <v>295</v>
      </c>
      <c r="I11688" s="9"/>
    </row>
    <row r="11689" spans="1:9" x14ac:dyDescent="0.25">
      <c r="A11689">
        <v>900166</v>
      </c>
      <c r="B11689">
        <v>5.9</v>
      </c>
      <c r="C11689">
        <v>200</v>
      </c>
      <c r="D11689" s="9">
        <v>43397</v>
      </c>
      <c r="E11689" t="s">
        <v>295</v>
      </c>
      <c r="I11689" s="9"/>
    </row>
    <row r="11690" spans="1:9" x14ac:dyDescent="0.25">
      <c r="A11690">
        <v>900166</v>
      </c>
      <c r="B11690">
        <v>5.7</v>
      </c>
      <c r="C11690">
        <v>100</v>
      </c>
      <c r="D11690" s="9">
        <v>43396</v>
      </c>
      <c r="E11690" t="s">
        <v>295</v>
      </c>
      <c r="I11690" s="9"/>
    </row>
    <row r="11691" spans="1:9" x14ac:dyDescent="0.25">
      <c r="A11691">
        <v>900166</v>
      </c>
      <c r="B11691">
        <v>5.7</v>
      </c>
      <c r="C11691">
        <v>50</v>
      </c>
      <c r="D11691" s="9">
        <v>43374</v>
      </c>
      <c r="E11691" t="s">
        <v>295</v>
      </c>
      <c r="I11691" s="9"/>
    </row>
    <row r="11692" spans="1:9" x14ac:dyDescent="0.25">
      <c r="A11692">
        <v>900166</v>
      </c>
      <c r="B11692">
        <v>5.7</v>
      </c>
      <c r="C11692">
        <v>100</v>
      </c>
      <c r="D11692" s="9">
        <v>43319</v>
      </c>
      <c r="E11692" t="s">
        <v>295</v>
      </c>
      <c r="I11692" s="9"/>
    </row>
    <row r="11693" spans="1:9" x14ac:dyDescent="0.25">
      <c r="A11693">
        <v>900166</v>
      </c>
      <c r="B11693">
        <v>5.7</v>
      </c>
      <c r="C11693">
        <v>100</v>
      </c>
      <c r="D11693" s="9">
        <v>43196</v>
      </c>
      <c r="E11693" t="s">
        <v>295</v>
      </c>
      <c r="I11693" s="9"/>
    </row>
    <row r="11694" spans="1:9" x14ac:dyDescent="0.25">
      <c r="A11694">
        <v>900166</v>
      </c>
      <c r="B11694">
        <v>5.7</v>
      </c>
      <c r="C11694">
        <v>100</v>
      </c>
      <c r="D11694" s="9">
        <v>43166</v>
      </c>
      <c r="E11694" t="s">
        <v>295</v>
      </c>
      <c r="I11694" s="9"/>
    </row>
    <row r="11695" spans="1:9" x14ac:dyDescent="0.25">
      <c r="A11695">
        <v>900166</v>
      </c>
      <c r="B11695">
        <v>5.7</v>
      </c>
      <c r="C11695">
        <v>600</v>
      </c>
      <c r="D11695" s="9">
        <v>43104</v>
      </c>
      <c r="E11695" t="s">
        <v>295</v>
      </c>
      <c r="I11695" s="9"/>
    </row>
    <row r="11696" spans="1:9" x14ac:dyDescent="0.25">
      <c r="A11696">
        <v>900166</v>
      </c>
      <c r="B11696">
        <v>5.4</v>
      </c>
      <c r="C11696">
        <v>300</v>
      </c>
      <c r="D11696" s="9">
        <v>43067</v>
      </c>
      <c r="E11696" t="s">
        <v>295</v>
      </c>
      <c r="I11696" s="9"/>
    </row>
    <row r="11697" spans="1:9" x14ac:dyDescent="0.25">
      <c r="A11697">
        <v>900166</v>
      </c>
      <c r="B11697">
        <v>5.4</v>
      </c>
      <c r="C11697">
        <v>50</v>
      </c>
      <c r="D11697" s="9">
        <v>43056</v>
      </c>
      <c r="E11697" t="s">
        <v>295</v>
      </c>
      <c r="I11697" s="9"/>
    </row>
    <row r="11698" spans="1:9" x14ac:dyDescent="0.25">
      <c r="A11698">
        <v>900166</v>
      </c>
      <c r="B11698">
        <v>5.4</v>
      </c>
      <c r="C11698">
        <v>150</v>
      </c>
      <c r="D11698" s="9">
        <v>43019</v>
      </c>
      <c r="E11698" t="s">
        <v>295</v>
      </c>
      <c r="I11698" s="9"/>
    </row>
    <row r="11699" spans="1:9" x14ac:dyDescent="0.25">
      <c r="A11699">
        <v>900166</v>
      </c>
      <c r="B11699">
        <v>5.4</v>
      </c>
      <c r="C11699">
        <v>160</v>
      </c>
      <c r="D11699" s="9">
        <v>42935</v>
      </c>
      <c r="E11699" t="s">
        <v>295</v>
      </c>
      <c r="I11699" s="9"/>
    </row>
    <row r="11700" spans="1:9" x14ac:dyDescent="0.25">
      <c r="A11700">
        <v>900166</v>
      </c>
      <c r="B11700">
        <v>5.4</v>
      </c>
      <c r="C11700">
        <v>100</v>
      </c>
      <c r="D11700" s="9">
        <v>42818</v>
      </c>
      <c r="E11700" t="s">
        <v>295</v>
      </c>
      <c r="I11700" s="9"/>
    </row>
    <row r="11701" spans="1:9" x14ac:dyDescent="0.25">
      <c r="A11701">
        <v>900166</v>
      </c>
      <c r="B11701">
        <v>5.4</v>
      </c>
      <c r="C11701">
        <v>100</v>
      </c>
      <c r="D11701" s="9">
        <v>42745</v>
      </c>
      <c r="E11701" t="s">
        <v>295</v>
      </c>
      <c r="I11701" s="9"/>
    </row>
    <row r="11702" spans="1:9" x14ac:dyDescent="0.25">
      <c r="A11702">
        <v>900166</v>
      </c>
      <c r="B11702">
        <v>5.4</v>
      </c>
      <c r="C11702">
        <v>80</v>
      </c>
      <c r="D11702" s="9">
        <v>42709</v>
      </c>
      <c r="E11702" t="s">
        <v>295</v>
      </c>
      <c r="I11702" s="9"/>
    </row>
    <row r="11703" spans="1:9" x14ac:dyDescent="0.25">
      <c r="A11703">
        <v>900166</v>
      </c>
      <c r="B11703">
        <v>5.4</v>
      </c>
      <c r="C11703">
        <v>60</v>
      </c>
      <c r="D11703" s="9">
        <v>42647</v>
      </c>
      <c r="E11703" t="s">
        <v>295</v>
      </c>
      <c r="I11703" s="9"/>
    </row>
    <row r="11704" spans="1:9" x14ac:dyDescent="0.25">
      <c r="A11704">
        <v>900166</v>
      </c>
      <c r="B11704">
        <v>5.4</v>
      </c>
      <c r="C11704">
        <v>60</v>
      </c>
      <c r="D11704" s="9">
        <v>42591</v>
      </c>
      <c r="E11704" t="s">
        <v>295</v>
      </c>
      <c r="I11704" s="9"/>
    </row>
    <row r="11705" spans="1:9" x14ac:dyDescent="0.25">
      <c r="A11705">
        <v>900166</v>
      </c>
      <c r="B11705">
        <v>5.4</v>
      </c>
      <c r="C11705">
        <v>80</v>
      </c>
      <c r="D11705" s="9">
        <v>42537</v>
      </c>
      <c r="E11705" t="s">
        <v>295</v>
      </c>
      <c r="I11705" s="9"/>
    </row>
    <row r="11706" spans="1:9" x14ac:dyDescent="0.25">
      <c r="A11706">
        <v>900166</v>
      </c>
      <c r="B11706">
        <v>5.2</v>
      </c>
      <c r="C11706">
        <v>40</v>
      </c>
      <c r="D11706" s="9">
        <v>42520</v>
      </c>
      <c r="E11706" t="s">
        <v>295</v>
      </c>
      <c r="I11706" s="9"/>
    </row>
    <row r="11707" spans="1:9" x14ac:dyDescent="0.25">
      <c r="A11707">
        <v>900166</v>
      </c>
      <c r="B11707">
        <v>5.2</v>
      </c>
      <c r="C11707">
        <v>20</v>
      </c>
      <c r="D11707" s="9">
        <v>42499</v>
      </c>
      <c r="E11707" t="s">
        <v>295</v>
      </c>
      <c r="I11707" s="9"/>
    </row>
    <row r="11708" spans="1:9" x14ac:dyDescent="0.25">
      <c r="A11708">
        <v>900166</v>
      </c>
      <c r="B11708">
        <v>5.2</v>
      </c>
      <c r="C11708">
        <v>200</v>
      </c>
      <c r="D11708" s="9">
        <v>42271</v>
      </c>
      <c r="E11708" t="s">
        <v>295</v>
      </c>
      <c r="I11708" s="9"/>
    </row>
    <row r="11709" spans="1:9" x14ac:dyDescent="0.25">
      <c r="A11709">
        <v>900166</v>
      </c>
      <c r="B11709">
        <v>5.2</v>
      </c>
      <c r="C11709">
        <v>30</v>
      </c>
      <c r="D11709" s="9">
        <v>42151</v>
      </c>
      <c r="E11709" t="s">
        <v>295</v>
      </c>
      <c r="I11709" s="9"/>
    </row>
    <row r="11710" spans="1:9" x14ac:dyDescent="0.25">
      <c r="A11710">
        <v>900166</v>
      </c>
      <c r="B11710">
        <v>5.2</v>
      </c>
      <c r="C11710">
        <v>100</v>
      </c>
      <c r="D11710" s="9">
        <v>42145</v>
      </c>
      <c r="E11710" t="s">
        <v>295</v>
      </c>
      <c r="I11710" s="9"/>
    </row>
    <row r="11711" spans="1:9" x14ac:dyDescent="0.25">
      <c r="A11711">
        <v>900166</v>
      </c>
      <c r="B11711">
        <v>0</v>
      </c>
      <c r="C11711">
        <v>200</v>
      </c>
      <c r="D11711" s="9">
        <v>42075</v>
      </c>
      <c r="E11711" t="s">
        <v>295</v>
      </c>
      <c r="I11711" s="9"/>
    </row>
    <row r="11712" spans="1:9" x14ac:dyDescent="0.25">
      <c r="A11712">
        <v>900166</v>
      </c>
      <c r="B11712">
        <v>5.4</v>
      </c>
      <c r="C11712">
        <v>40</v>
      </c>
      <c r="D11712" s="9">
        <v>42067</v>
      </c>
      <c r="E11712" t="s">
        <v>295</v>
      </c>
      <c r="I11712" s="9"/>
    </row>
    <row r="11713" spans="1:9" x14ac:dyDescent="0.25">
      <c r="A11713">
        <v>900168</v>
      </c>
      <c r="B11713">
        <v>8.9</v>
      </c>
      <c r="C11713">
        <v>20</v>
      </c>
      <c r="D11713" s="9">
        <v>43962</v>
      </c>
      <c r="E11713" t="s">
        <v>295</v>
      </c>
      <c r="I11713" s="9"/>
    </row>
    <row r="11714" spans="1:9" x14ac:dyDescent="0.25">
      <c r="A11714">
        <v>900168</v>
      </c>
      <c r="B11714">
        <v>8.9</v>
      </c>
      <c r="C11714">
        <v>20</v>
      </c>
      <c r="D11714" s="9">
        <v>43508</v>
      </c>
      <c r="E11714" t="s">
        <v>295</v>
      </c>
      <c r="I11714" s="9"/>
    </row>
    <row r="11715" spans="1:9" x14ac:dyDescent="0.25">
      <c r="A11715">
        <v>900168</v>
      </c>
      <c r="B11715">
        <v>8.9</v>
      </c>
      <c r="C11715">
        <v>20</v>
      </c>
      <c r="D11715" s="9">
        <v>43475</v>
      </c>
      <c r="E11715" t="s">
        <v>295</v>
      </c>
      <c r="I11715" s="9"/>
    </row>
    <row r="11716" spans="1:9" x14ac:dyDescent="0.25">
      <c r="A11716">
        <v>900168</v>
      </c>
      <c r="B11716">
        <v>8.9</v>
      </c>
      <c r="C11716">
        <v>7</v>
      </c>
      <c r="D11716" s="9">
        <v>43397</v>
      </c>
      <c r="E11716" t="s">
        <v>295</v>
      </c>
      <c r="I11716" s="9"/>
    </row>
    <row r="11717" spans="1:9" x14ac:dyDescent="0.25">
      <c r="A11717">
        <v>900168</v>
      </c>
      <c r="B11717">
        <v>7.8</v>
      </c>
      <c r="C11717">
        <v>20</v>
      </c>
      <c r="D11717" s="9">
        <v>42745</v>
      </c>
      <c r="E11717" t="s">
        <v>295</v>
      </c>
      <c r="I11717" s="9"/>
    </row>
    <row r="11718" spans="1:9" x14ac:dyDescent="0.25">
      <c r="A11718">
        <v>900168</v>
      </c>
      <c r="B11718">
        <v>7.8</v>
      </c>
      <c r="C11718">
        <v>23</v>
      </c>
      <c r="D11718" s="9">
        <v>42145</v>
      </c>
      <c r="E11718" t="s">
        <v>295</v>
      </c>
      <c r="I11718" s="9"/>
    </row>
    <row r="11719" spans="1:9" x14ac:dyDescent="0.25">
      <c r="A11719">
        <v>900171</v>
      </c>
      <c r="B11719">
        <v>5.63</v>
      </c>
      <c r="C11719">
        <v>40</v>
      </c>
      <c r="D11719" s="9">
        <v>44019</v>
      </c>
      <c r="E11719" t="s">
        <v>295</v>
      </c>
      <c r="I11719" s="9"/>
    </row>
    <row r="11720" spans="1:9" x14ac:dyDescent="0.25">
      <c r="A11720">
        <v>900171</v>
      </c>
      <c r="B11720">
        <v>5.63</v>
      </c>
      <c r="C11720">
        <v>30</v>
      </c>
      <c r="D11720" s="9">
        <v>43977</v>
      </c>
      <c r="E11720" t="s">
        <v>295</v>
      </c>
      <c r="I11720" s="9"/>
    </row>
    <row r="11721" spans="1:9" x14ac:dyDescent="0.25">
      <c r="A11721">
        <v>900171</v>
      </c>
      <c r="B11721">
        <v>5.39</v>
      </c>
      <c r="C11721">
        <v>50</v>
      </c>
      <c r="D11721" s="9">
        <v>43257</v>
      </c>
      <c r="E11721" t="s">
        <v>295</v>
      </c>
      <c r="I11721" s="9"/>
    </row>
    <row r="11722" spans="1:9" x14ac:dyDescent="0.25">
      <c r="A11722">
        <v>900171</v>
      </c>
      <c r="B11722">
        <v>5.39</v>
      </c>
      <c r="C11722">
        <v>50</v>
      </c>
      <c r="D11722" s="9">
        <v>43202</v>
      </c>
      <c r="E11722" t="s">
        <v>295</v>
      </c>
      <c r="I11722" s="9"/>
    </row>
    <row r="11723" spans="1:9" x14ac:dyDescent="0.25">
      <c r="A11723">
        <v>900173</v>
      </c>
      <c r="B11723">
        <v>6.68</v>
      </c>
      <c r="C11723">
        <v>30</v>
      </c>
      <c r="D11723" s="9">
        <v>44019</v>
      </c>
      <c r="E11723" t="s">
        <v>295</v>
      </c>
      <c r="I11723" s="9"/>
    </row>
    <row r="11724" spans="1:9" x14ac:dyDescent="0.25">
      <c r="A11724">
        <v>900173</v>
      </c>
      <c r="B11724">
        <v>6.68</v>
      </c>
      <c r="C11724">
        <v>30</v>
      </c>
      <c r="D11724" s="9">
        <v>43977</v>
      </c>
      <c r="E11724" t="s">
        <v>295</v>
      </c>
      <c r="I11724" s="9"/>
    </row>
    <row r="11725" spans="1:9" x14ac:dyDescent="0.25">
      <c r="A11725">
        <v>900173</v>
      </c>
      <c r="B11725">
        <v>6.68</v>
      </c>
      <c r="C11725">
        <v>30</v>
      </c>
      <c r="D11725" s="9">
        <v>43903</v>
      </c>
      <c r="E11725" t="s">
        <v>295</v>
      </c>
      <c r="I11725" s="9"/>
    </row>
    <row r="11726" spans="1:9" x14ac:dyDescent="0.25">
      <c r="A11726">
        <v>900173</v>
      </c>
      <c r="B11726">
        <v>6.39</v>
      </c>
      <c r="C11726">
        <v>30</v>
      </c>
      <c r="D11726" s="9">
        <v>43257</v>
      </c>
      <c r="E11726" t="s">
        <v>295</v>
      </c>
      <c r="I11726" s="9"/>
    </row>
    <row r="11727" spans="1:9" x14ac:dyDescent="0.25">
      <c r="A11727">
        <v>900173</v>
      </c>
      <c r="B11727">
        <v>6.39</v>
      </c>
      <c r="C11727">
        <v>50</v>
      </c>
      <c r="D11727" s="9">
        <v>43202</v>
      </c>
      <c r="E11727" t="s">
        <v>295</v>
      </c>
      <c r="I11727" s="9"/>
    </row>
    <row r="11728" spans="1:9" x14ac:dyDescent="0.25">
      <c r="A11728">
        <v>900174</v>
      </c>
      <c r="B11728">
        <v>1.58</v>
      </c>
      <c r="C11728">
        <v>360</v>
      </c>
      <c r="D11728" s="9">
        <v>44102</v>
      </c>
      <c r="E11728" t="s">
        <v>296</v>
      </c>
      <c r="I11728" s="9"/>
    </row>
    <row r="11729" spans="1:9" x14ac:dyDescent="0.25">
      <c r="A11729">
        <v>900175</v>
      </c>
      <c r="B11729">
        <v>2.09</v>
      </c>
      <c r="C11729">
        <v>240</v>
      </c>
      <c r="D11729" s="9">
        <v>44102</v>
      </c>
      <c r="E11729" t="s">
        <v>296</v>
      </c>
      <c r="I11729" s="9"/>
    </row>
    <row r="11730" spans="1:9" x14ac:dyDescent="0.25">
      <c r="A11730">
        <v>900180</v>
      </c>
      <c r="B11730">
        <v>5.5</v>
      </c>
      <c r="C11730">
        <v>400</v>
      </c>
      <c r="D11730" s="9">
        <v>44125</v>
      </c>
      <c r="E11730" t="s">
        <v>296</v>
      </c>
      <c r="I11730" s="9"/>
    </row>
    <row r="11731" spans="1:9" x14ac:dyDescent="0.25">
      <c r="A11731">
        <v>900180</v>
      </c>
      <c r="B11731">
        <v>7.29</v>
      </c>
      <c r="C11731">
        <v>120</v>
      </c>
      <c r="D11731" s="9">
        <v>44102</v>
      </c>
      <c r="E11731" t="s">
        <v>296</v>
      </c>
      <c r="I11731" s="9"/>
    </row>
    <row r="11732" spans="1:9" x14ac:dyDescent="0.25">
      <c r="A11732">
        <v>900184</v>
      </c>
      <c r="B11732">
        <v>57.97</v>
      </c>
      <c r="C11732">
        <v>30</v>
      </c>
      <c r="D11732" s="9">
        <v>42843</v>
      </c>
      <c r="E11732" t="s">
        <v>295</v>
      </c>
      <c r="I11732" s="9"/>
    </row>
    <row r="11733" spans="1:9" x14ac:dyDescent="0.25">
      <c r="A11733">
        <v>900184</v>
      </c>
      <c r="B11733">
        <v>50</v>
      </c>
      <c r="C11733">
        <v>10</v>
      </c>
      <c r="D11733" s="9">
        <v>42563</v>
      </c>
      <c r="E11733" t="s">
        <v>295</v>
      </c>
      <c r="I11733" s="9"/>
    </row>
    <row r="11734" spans="1:9" x14ac:dyDescent="0.25">
      <c r="A11734">
        <v>900184</v>
      </c>
      <c r="B11734">
        <v>45</v>
      </c>
      <c r="C11734">
        <v>20</v>
      </c>
      <c r="D11734" s="9">
        <v>42089</v>
      </c>
      <c r="E11734" t="s">
        <v>295</v>
      </c>
      <c r="I11734" s="9"/>
    </row>
    <row r="11735" spans="1:9" x14ac:dyDescent="0.25">
      <c r="A11735">
        <v>900184</v>
      </c>
      <c r="B11735">
        <v>45</v>
      </c>
      <c r="C11735">
        <v>20</v>
      </c>
      <c r="D11735" s="9">
        <v>41960</v>
      </c>
      <c r="E11735" t="s">
        <v>295</v>
      </c>
      <c r="I11735" s="9"/>
    </row>
    <row r="11736" spans="1:9" x14ac:dyDescent="0.25">
      <c r="A11736">
        <v>900184</v>
      </c>
      <c r="B11736">
        <v>45</v>
      </c>
      <c r="C11736">
        <v>30</v>
      </c>
      <c r="D11736" s="9">
        <v>41879</v>
      </c>
      <c r="E11736" t="s">
        <v>295</v>
      </c>
      <c r="I11736" s="9"/>
    </row>
    <row r="11737" spans="1:9" x14ac:dyDescent="0.25">
      <c r="A11737">
        <v>900184</v>
      </c>
      <c r="B11737">
        <v>45</v>
      </c>
      <c r="C11737">
        <v>60</v>
      </c>
      <c r="D11737" s="9">
        <v>41729</v>
      </c>
      <c r="E11737" t="s">
        <v>295</v>
      </c>
      <c r="I11737" s="9"/>
    </row>
    <row r="11738" spans="1:9" x14ac:dyDescent="0.25">
      <c r="A11738">
        <v>900184</v>
      </c>
      <c r="B11738">
        <v>45</v>
      </c>
      <c r="C11738">
        <v>20</v>
      </c>
      <c r="D11738" s="9">
        <v>41716</v>
      </c>
      <c r="E11738" t="s">
        <v>295</v>
      </c>
      <c r="I11738" s="9"/>
    </row>
    <row r="11739" spans="1:9" x14ac:dyDescent="0.25">
      <c r="A11739">
        <v>900200</v>
      </c>
      <c r="B11739">
        <v>0.97</v>
      </c>
      <c r="C11739">
        <v>1440</v>
      </c>
      <c r="D11739" s="9">
        <v>44074</v>
      </c>
      <c r="E11739" t="s">
        <v>296</v>
      </c>
      <c r="I11739" s="9"/>
    </row>
    <row r="11740" spans="1:9" x14ac:dyDescent="0.25">
      <c r="A11740">
        <v>900200</v>
      </c>
      <c r="B11740">
        <v>0.94</v>
      </c>
      <c r="C11740">
        <v>1500</v>
      </c>
      <c r="D11740" s="9">
        <v>43803</v>
      </c>
      <c r="E11740" t="s">
        <v>296</v>
      </c>
      <c r="I11740" s="9"/>
    </row>
    <row r="11741" spans="1:9" x14ac:dyDescent="0.25">
      <c r="A11741">
        <v>900200</v>
      </c>
      <c r="B11741">
        <v>0.94</v>
      </c>
      <c r="C11741">
        <v>1500</v>
      </c>
      <c r="D11741" s="9">
        <v>43648</v>
      </c>
      <c r="E11741" t="s">
        <v>296</v>
      </c>
      <c r="I11741" s="9"/>
    </row>
    <row r="11742" spans="1:9" x14ac:dyDescent="0.25">
      <c r="A11742">
        <v>900200</v>
      </c>
      <c r="B11742">
        <v>0.94</v>
      </c>
      <c r="C11742">
        <v>1020</v>
      </c>
      <c r="D11742" s="9">
        <v>43483</v>
      </c>
      <c r="E11742" t="s">
        <v>296</v>
      </c>
      <c r="I11742" s="9"/>
    </row>
    <row r="11743" spans="1:9" x14ac:dyDescent="0.25">
      <c r="A11743">
        <v>900200</v>
      </c>
      <c r="B11743">
        <v>0.94</v>
      </c>
      <c r="C11743">
        <v>1020</v>
      </c>
      <c r="D11743" s="9">
        <v>43381</v>
      </c>
      <c r="E11743" t="s">
        <v>296</v>
      </c>
      <c r="I11743" s="9"/>
    </row>
    <row r="11744" spans="1:9" x14ac:dyDescent="0.25">
      <c r="A11744">
        <v>900200</v>
      </c>
      <c r="B11744">
        <v>0.94</v>
      </c>
      <c r="C11744">
        <v>1020</v>
      </c>
      <c r="D11744" s="9">
        <v>43305</v>
      </c>
      <c r="E11744" t="s">
        <v>296</v>
      </c>
      <c r="I11744" s="9"/>
    </row>
    <row r="11745" spans="1:9" x14ac:dyDescent="0.25">
      <c r="A11745">
        <v>900200</v>
      </c>
      <c r="B11745">
        <v>3.03</v>
      </c>
      <c r="C11745">
        <v>540</v>
      </c>
      <c r="D11745" s="9">
        <v>43138</v>
      </c>
      <c r="E11745" t="s">
        <v>295</v>
      </c>
      <c r="I11745" s="9"/>
    </row>
    <row r="11746" spans="1:9" x14ac:dyDescent="0.25">
      <c r="A11746">
        <v>900200</v>
      </c>
      <c r="B11746">
        <v>0.87</v>
      </c>
      <c r="C11746">
        <v>1020</v>
      </c>
      <c r="D11746" s="9">
        <v>43111</v>
      </c>
      <c r="E11746" t="s">
        <v>296</v>
      </c>
      <c r="I11746" s="9"/>
    </row>
    <row r="11747" spans="1:9" x14ac:dyDescent="0.25">
      <c r="A11747">
        <v>900200</v>
      </c>
      <c r="B11747">
        <v>0.79200000000000004</v>
      </c>
      <c r="C11747">
        <v>1000</v>
      </c>
      <c r="D11747" s="9">
        <v>42877</v>
      </c>
      <c r="E11747" t="s">
        <v>296</v>
      </c>
      <c r="I11747" s="9"/>
    </row>
    <row r="11748" spans="1:9" x14ac:dyDescent="0.25">
      <c r="A11748">
        <v>900200</v>
      </c>
      <c r="B11748">
        <v>0.78200000000000003</v>
      </c>
      <c r="C11748">
        <v>1500</v>
      </c>
      <c r="D11748" s="9">
        <v>42440</v>
      </c>
      <c r="E11748" t="s">
        <v>296</v>
      </c>
      <c r="I11748" s="9"/>
    </row>
    <row r="11749" spans="1:9" x14ac:dyDescent="0.25">
      <c r="A11749">
        <v>900200</v>
      </c>
      <c r="B11749">
        <v>0.79900000000000004</v>
      </c>
      <c r="C11749">
        <v>1500</v>
      </c>
      <c r="D11749" s="9">
        <v>42111</v>
      </c>
      <c r="E11749" t="s">
        <v>296</v>
      </c>
      <c r="I11749" s="9"/>
    </row>
    <row r="11750" spans="1:9" x14ac:dyDescent="0.25">
      <c r="A11750">
        <v>900200</v>
      </c>
      <c r="B11750">
        <v>0.77900000000000003</v>
      </c>
      <c r="C11750">
        <v>1600</v>
      </c>
      <c r="D11750" s="9">
        <v>41751</v>
      </c>
      <c r="E11750" t="s">
        <v>296</v>
      </c>
      <c r="I11750" s="9"/>
    </row>
    <row r="11751" spans="1:9" x14ac:dyDescent="0.25">
      <c r="A11751">
        <v>900200</v>
      </c>
      <c r="B11751">
        <v>0.749</v>
      </c>
      <c r="C11751">
        <v>1600</v>
      </c>
      <c r="D11751" s="9">
        <v>41505</v>
      </c>
      <c r="E11751" t="s">
        <v>296</v>
      </c>
      <c r="I11751" s="9"/>
    </row>
    <row r="11752" spans="1:9" x14ac:dyDescent="0.25">
      <c r="A11752">
        <v>900200</v>
      </c>
      <c r="B11752">
        <v>0.72699999999999998</v>
      </c>
      <c r="C11752">
        <v>1600</v>
      </c>
      <c r="D11752" s="9">
        <v>41418</v>
      </c>
      <c r="E11752" t="s">
        <v>296</v>
      </c>
      <c r="I11752" s="9"/>
    </row>
    <row r="11753" spans="1:9" x14ac:dyDescent="0.25">
      <c r="A11753">
        <v>900202</v>
      </c>
      <c r="B11753">
        <v>1.74</v>
      </c>
      <c r="C11753">
        <v>400</v>
      </c>
      <c r="D11753" s="9">
        <v>43063</v>
      </c>
      <c r="E11753" t="s">
        <v>296</v>
      </c>
      <c r="I11753" s="9"/>
    </row>
    <row r="11754" spans="1:9" x14ac:dyDescent="0.25">
      <c r="A11754">
        <v>900300</v>
      </c>
      <c r="B11754">
        <v>0.28000000000000003</v>
      </c>
      <c r="C11754">
        <v>2304</v>
      </c>
      <c r="D11754" s="9">
        <v>44068</v>
      </c>
      <c r="E11754" t="s">
        <v>296</v>
      </c>
      <c r="I11754" s="9"/>
    </row>
    <row r="11755" spans="1:9" x14ac:dyDescent="0.25">
      <c r="A11755">
        <v>900300</v>
      </c>
      <c r="B11755">
        <v>0.28999999999999998</v>
      </c>
      <c r="C11755">
        <v>2448</v>
      </c>
      <c r="D11755" s="9">
        <v>43972</v>
      </c>
      <c r="E11755" t="s">
        <v>296</v>
      </c>
      <c r="I11755" s="9"/>
    </row>
    <row r="11756" spans="1:9" x14ac:dyDescent="0.25">
      <c r="A11756">
        <v>900300</v>
      </c>
      <c r="B11756">
        <v>0.26400000000000001</v>
      </c>
      <c r="C11756">
        <v>2400</v>
      </c>
      <c r="D11756" s="9">
        <v>43427</v>
      </c>
      <c r="E11756" t="s">
        <v>296</v>
      </c>
      <c r="I11756" s="9"/>
    </row>
    <row r="11757" spans="1:9" x14ac:dyDescent="0.25">
      <c r="A11757">
        <v>900300</v>
      </c>
      <c r="B11757">
        <v>0.26400000000000001</v>
      </c>
      <c r="C11757">
        <v>2400</v>
      </c>
      <c r="D11757" s="9">
        <v>43427</v>
      </c>
      <c r="E11757" t="s">
        <v>296</v>
      </c>
      <c r="I11757" s="9"/>
    </row>
    <row r="11758" spans="1:9" x14ac:dyDescent="0.25">
      <c r="A11758">
        <v>900300</v>
      </c>
      <c r="B11758">
        <v>0.26</v>
      </c>
      <c r="C11758">
        <v>2400</v>
      </c>
      <c r="D11758" s="9">
        <v>43017</v>
      </c>
      <c r="E11758" t="s">
        <v>296</v>
      </c>
      <c r="I11758" s="9"/>
    </row>
    <row r="11759" spans="1:9" x14ac:dyDescent="0.25">
      <c r="A11759">
        <v>900300</v>
      </c>
      <c r="B11759">
        <v>0.26400000000000001</v>
      </c>
      <c r="C11759">
        <v>2304</v>
      </c>
      <c r="D11759" s="9">
        <v>42676</v>
      </c>
      <c r="E11759" t="s">
        <v>297</v>
      </c>
      <c r="I11759" s="9"/>
    </row>
    <row r="11760" spans="1:9" x14ac:dyDescent="0.25">
      <c r="A11760">
        <v>900300</v>
      </c>
      <c r="B11760">
        <v>0.26400000000000001</v>
      </c>
      <c r="C11760">
        <v>2880</v>
      </c>
      <c r="D11760" s="9">
        <v>42676</v>
      </c>
      <c r="E11760" t="s">
        <v>297</v>
      </c>
      <c r="I11760" s="9"/>
    </row>
    <row r="11761" spans="1:9" x14ac:dyDescent="0.25">
      <c r="A11761">
        <v>900300</v>
      </c>
      <c r="B11761">
        <v>0.26400000000000001</v>
      </c>
      <c r="C11761">
        <v>4320</v>
      </c>
      <c r="D11761" s="9">
        <v>42186</v>
      </c>
      <c r="E11761" t="s">
        <v>297</v>
      </c>
      <c r="I11761" s="9"/>
    </row>
    <row r="11762" spans="1:9" x14ac:dyDescent="0.25">
      <c r="A11762">
        <v>900300</v>
      </c>
      <c r="B11762">
        <v>0.24</v>
      </c>
      <c r="C11762">
        <v>4320</v>
      </c>
      <c r="D11762" s="9">
        <v>41765</v>
      </c>
      <c r="E11762" t="s">
        <v>296</v>
      </c>
      <c r="I11762" s="9"/>
    </row>
    <row r="11763" spans="1:9" x14ac:dyDescent="0.25">
      <c r="A11763">
        <v>900300</v>
      </c>
      <c r="B11763">
        <v>0.28100000000000003</v>
      </c>
      <c r="C11763">
        <v>4320</v>
      </c>
      <c r="D11763" s="9">
        <v>41744</v>
      </c>
      <c r="E11763" t="s">
        <v>296</v>
      </c>
      <c r="I11763" s="9"/>
    </row>
    <row r="11764" spans="1:9" x14ac:dyDescent="0.25">
      <c r="A11764">
        <v>900300</v>
      </c>
      <c r="B11764">
        <v>0.28100000000000003</v>
      </c>
      <c r="C11764">
        <v>4320</v>
      </c>
      <c r="D11764" s="9">
        <v>41617</v>
      </c>
      <c r="E11764" t="s">
        <v>296</v>
      </c>
      <c r="I11764" s="9"/>
    </row>
    <row r="11765" spans="1:9" x14ac:dyDescent="0.25">
      <c r="A11765">
        <v>900300</v>
      </c>
      <c r="B11765">
        <v>0.27500000000000002</v>
      </c>
      <c r="C11765">
        <v>4320</v>
      </c>
      <c r="D11765" s="9">
        <v>41456</v>
      </c>
      <c r="E11765" t="s">
        <v>296</v>
      </c>
      <c r="I11765" s="9"/>
    </row>
    <row r="11766" spans="1:9" x14ac:dyDescent="0.25">
      <c r="A11766">
        <v>900300</v>
      </c>
      <c r="B11766">
        <v>0.27500000000000002</v>
      </c>
      <c r="C11766">
        <v>4320</v>
      </c>
      <c r="D11766" s="9">
        <v>41309</v>
      </c>
      <c r="E11766" t="s">
        <v>296</v>
      </c>
      <c r="I11766" s="9"/>
    </row>
    <row r="11767" spans="1:9" x14ac:dyDescent="0.25">
      <c r="A11767">
        <v>900500</v>
      </c>
      <c r="B11767">
        <v>0.3</v>
      </c>
      <c r="C11767">
        <v>2304</v>
      </c>
      <c r="D11767" s="9">
        <v>43955</v>
      </c>
      <c r="E11767" t="s">
        <v>296</v>
      </c>
      <c r="I11767" s="9"/>
    </row>
    <row r="11768" spans="1:9" x14ac:dyDescent="0.25">
      <c r="A11768">
        <v>900500</v>
      </c>
      <c r="B11768">
        <v>0.3</v>
      </c>
      <c r="C11768">
        <v>2592</v>
      </c>
      <c r="D11768" s="9">
        <v>43684</v>
      </c>
      <c r="E11768" t="s">
        <v>296</v>
      </c>
      <c r="I11768" s="9"/>
    </row>
    <row r="11769" spans="1:9" x14ac:dyDescent="0.25">
      <c r="A11769">
        <v>900500</v>
      </c>
      <c r="B11769">
        <v>0.29599999999999999</v>
      </c>
      <c r="C11769">
        <v>2880</v>
      </c>
      <c r="D11769" s="9">
        <v>42860</v>
      </c>
      <c r="E11769" t="s">
        <v>296</v>
      </c>
      <c r="I11769" s="9"/>
    </row>
    <row r="11770" spans="1:9" x14ac:dyDescent="0.25">
      <c r="A11770">
        <v>900500</v>
      </c>
      <c r="B11770">
        <v>0.311</v>
      </c>
      <c r="C11770">
        <v>4320</v>
      </c>
      <c r="D11770" s="9">
        <v>42233</v>
      </c>
      <c r="E11770" t="s">
        <v>297</v>
      </c>
      <c r="I11770" s="9"/>
    </row>
    <row r="11771" spans="1:9" x14ac:dyDescent="0.25">
      <c r="A11771">
        <v>900500</v>
      </c>
      <c r="B11771">
        <v>0.34200000000000003</v>
      </c>
      <c r="C11771">
        <v>2880</v>
      </c>
      <c r="D11771" s="9">
        <v>42129</v>
      </c>
      <c r="E11771" t="s">
        <v>296</v>
      </c>
      <c r="I11771" s="9"/>
    </row>
    <row r="11772" spans="1:9" x14ac:dyDescent="0.25">
      <c r="A11772">
        <v>900500</v>
      </c>
      <c r="B11772">
        <v>0.33500000000000002</v>
      </c>
      <c r="C11772">
        <v>7488</v>
      </c>
      <c r="D11772" s="9">
        <v>41961</v>
      </c>
      <c r="E11772" t="s">
        <v>296</v>
      </c>
      <c r="I11772" s="9"/>
    </row>
    <row r="11773" spans="1:9" x14ac:dyDescent="0.25">
      <c r="A11773">
        <v>900500</v>
      </c>
      <c r="B11773">
        <v>0.34200000000000003</v>
      </c>
      <c r="C11773">
        <v>3840</v>
      </c>
      <c r="D11773" s="9">
        <v>41744</v>
      </c>
      <c r="E11773" t="s">
        <v>296</v>
      </c>
      <c r="I11773" s="9"/>
    </row>
    <row r="11774" spans="1:9" x14ac:dyDescent="0.25">
      <c r="A11774">
        <v>900500</v>
      </c>
      <c r="B11774">
        <v>0.33200000000000002</v>
      </c>
      <c r="C11774">
        <v>2880</v>
      </c>
      <c r="D11774" s="9">
        <v>41617</v>
      </c>
      <c r="E11774" t="s">
        <v>296</v>
      </c>
      <c r="I11774" s="9"/>
    </row>
    <row r="11775" spans="1:9" x14ac:dyDescent="0.25">
      <c r="A11775">
        <v>900500</v>
      </c>
      <c r="B11775">
        <v>0.32500000000000001</v>
      </c>
      <c r="C11775">
        <v>2304</v>
      </c>
      <c r="D11775" s="9">
        <v>41456</v>
      </c>
      <c r="E11775" t="s">
        <v>296</v>
      </c>
      <c r="I11775" s="9"/>
    </row>
    <row r="11776" spans="1:9" x14ac:dyDescent="0.25">
      <c r="A11776">
        <v>900500</v>
      </c>
      <c r="B11776">
        <v>0.32500000000000001</v>
      </c>
      <c r="C11776">
        <v>2304</v>
      </c>
      <c r="D11776" s="9">
        <v>41309</v>
      </c>
      <c r="E11776" t="s">
        <v>296</v>
      </c>
      <c r="I11776" s="9"/>
    </row>
    <row r="11777" spans="1:9" x14ac:dyDescent="0.25">
      <c r="A11777">
        <v>900600</v>
      </c>
      <c r="B11777">
        <v>0.33</v>
      </c>
      <c r="C11777">
        <v>2560</v>
      </c>
      <c r="D11777" s="9">
        <v>44140</v>
      </c>
      <c r="E11777" t="s">
        <v>296</v>
      </c>
      <c r="I11777" s="9"/>
    </row>
    <row r="11778" spans="1:9" x14ac:dyDescent="0.25">
      <c r="A11778">
        <v>900600</v>
      </c>
      <c r="B11778">
        <v>0.32</v>
      </c>
      <c r="C11778">
        <v>2240</v>
      </c>
      <c r="D11778" s="9">
        <v>44028</v>
      </c>
      <c r="E11778" t="s">
        <v>296</v>
      </c>
      <c r="I11778" s="9"/>
    </row>
    <row r="11779" spans="1:9" x14ac:dyDescent="0.25">
      <c r="A11779">
        <v>900600</v>
      </c>
      <c r="B11779">
        <v>0.35</v>
      </c>
      <c r="C11779">
        <v>2400</v>
      </c>
      <c r="D11779" s="9">
        <v>43972</v>
      </c>
      <c r="E11779" t="s">
        <v>296</v>
      </c>
      <c r="I11779" s="9"/>
    </row>
    <row r="11780" spans="1:9" x14ac:dyDescent="0.25">
      <c r="A11780">
        <v>900600</v>
      </c>
      <c r="B11780">
        <v>0.35</v>
      </c>
      <c r="C11780">
        <v>2400</v>
      </c>
      <c r="D11780" s="9">
        <v>43803</v>
      </c>
      <c r="E11780" t="s">
        <v>296</v>
      </c>
      <c r="I11780" s="9"/>
    </row>
    <row r="11781" spans="1:9" x14ac:dyDescent="0.25">
      <c r="A11781">
        <v>900600</v>
      </c>
      <c r="B11781">
        <v>0.35</v>
      </c>
      <c r="C11781">
        <v>2480</v>
      </c>
      <c r="D11781" s="9">
        <v>43600</v>
      </c>
      <c r="E11781" t="s">
        <v>296</v>
      </c>
      <c r="I11781" s="9"/>
    </row>
    <row r="11782" spans="1:9" x14ac:dyDescent="0.25">
      <c r="A11782">
        <v>900600</v>
      </c>
      <c r="B11782">
        <v>0.28699999999999998</v>
      </c>
      <c r="C11782">
        <v>2160</v>
      </c>
      <c r="D11782" s="9">
        <v>43427</v>
      </c>
      <c r="E11782" t="s">
        <v>296</v>
      </c>
      <c r="I11782" s="9"/>
    </row>
    <row r="11783" spans="1:9" x14ac:dyDescent="0.25">
      <c r="A11783">
        <v>900600</v>
      </c>
      <c r="B11783">
        <v>0.28699999999999998</v>
      </c>
      <c r="C11783">
        <v>2160</v>
      </c>
      <c r="D11783" s="9">
        <v>43427</v>
      </c>
      <c r="E11783" t="s">
        <v>296</v>
      </c>
      <c r="I11783" s="9"/>
    </row>
    <row r="11784" spans="1:9" x14ac:dyDescent="0.25">
      <c r="A11784">
        <v>900600</v>
      </c>
      <c r="B11784">
        <v>0.28999999999999998</v>
      </c>
      <c r="C11784">
        <v>200</v>
      </c>
      <c r="D11784" s="9">
        <v>43017</v>
      </c>
      <c r="E11784" t="s">
        <v>296</v>
      </c>
      <c r="I11784" s="9"/>
    </row>
    <row r="11785" spans="1:9" x14ac:dyDescent="0.25">
      <c r="A11785">
        <v>900600</v>
      </c>
      <c r="B11785">
        <v>0.28699999999999998</v>
      </c>
      <c r="C11785">
        <v>5184</v>
      </c>
      <c r="D11785" s="9">
        <v>42860</v>
      </c>
      <c r="E11785" t="s">
        <v>296</v>
      </c>
      <c r="I11785" s="9"/>
    </row>
    <row r="11786" spans="1:9" x14ac:dyDescent="0.25">
      <c r="A11786">
        <v>900600</v>
      </c>
      <c r="B11786">
        <v>0.28999999999999998</v>
      </c>
      <c r="C11786">
        <v>2320</v>
      </c>
      <c r="D11786" s="9">
        <v>42719</v>
      </c>
      <c r="E11786" t="s">
        <v>296</v>
      </c>
      <c r="I11786" s="9"/>
    </row>
    <row r="11787" spans="1:9" x14ac:dyDescent="0.25">
      <c r="A11787">
        <v>900600</v>
      </c>
      <c r="B11787">
        <v>0.28999999999999998</v>
      </c>
      <c r="C11787">
        <v>2880</v>
      </c>
      <c r="D11787" s="9">
        <v>42660</v>
      </c>
      <c r="E11787" t="s">
        <v>296</v>
      </c>
      <c r="I11787" s="9"/>
    </row>
    <row r="11788" spans="1:9" x14ac:dyDescent="0.25">
      <c r="A11788">
        <v>900600</v>
      </c>
      <c r="B11788">
        <v>0.28999999999999998</v>
      </c>
      <c r="C11788">
        <v>2160</v>
      </c>
      <c r="D11788" s="9">
        <v>42530</v>
      </c>
      <c r="E11788" t="s">
        <v>296</v>
      </c>
      <c r="I11788" s="9"/>
    </row>
    <row r="11789" spans="1:9" x14ac:dyDescent="0.25">
      <c r="A11789">
        <v>900600</v>
      </c>
      <c r="B11789">
        <v>0.29099999999999998</v>
      </c>
      <c r="C11789">
        <v>3600</v>
      </c>
      <c r="D11789" s="9">
        <v>42233</v>
      </c>
      <c r="E11789" t="s">
        <v>297</v>
      </c>
      <c r="I11789" s="9"/>
    </row>
    <row r="11790" spans="1:9" x14ac:dyDescent="0.25">
      <c r="A11790">
        <v>900600</v>
      </c>
      <c r="B11790">
        <v>0.32</v>
      </c>
      <c r="C11790">
        <v>4320</v>
      </c>
      <c r="D11790" s="9">
        <v>42129</v>
      </c>
      <c r="E11790" t="s">
        <v>296</v>
      </c>
      <c r="I11790" s="9"/>
    </row>
    <row r="11791" spans="1:9" x14ac:dyDescent="0.25">
      <c r="A11791">
        <v>900600</v>
      </c>
      <c r="B11791">
        <v>1.18</v>
      </c>
      <c r="C11791">
        <v>3168</v>
      </c>
      <c r="D11791" s="9">
        <v>42011</v>
      </c>
      <c r="E11791" t="s">
        <v>295</v>
      </c>
      <c r="I11791" s="9"/>
    </row>
    <row r="11792" spans="1:9" x14ac:dyDescent="0.25">
      <c r="A11792">
        <v>900600</v>
      </c>
      <c r="B11792">
        <v>0.33500000000000002</v>
      </c>
      <c r="C11792">
        <v>3168</v>
      </c>
      <c r="D11792" s="9">
        <v>41961</v>
      </c>
      <c r="E11792" t="s">
        <v>296</v>
      </c>
      <c r="I11792" s="9"/>
    </row>
    <row r="11793" spans="1:9" x14ac:dyDescent="0.25">
      <c r="A11793">
        <v>900600</v>
      </c>
      <c r="B11793">
        <v>0.32</v>
      </c>
      <c r="C11793">
        <v>3600</v>
      </c>
      <c r="D11793" s="9">
        <v>41744</v>
      </c>
      <c r="E11793" t="s">
        <v>296</v>
      </c>
      <c r="I11793" s="9"/>
    </row>
    <row r="11794" spans="1:9" x14ac:dyDescent="0.25">
      <c r="A11794">
        <v>900600</v>
      </c>
      <c r="B11794">
        <v>0.311</v>
      </c>
      <c r="C11794">
        <v>2160</v>
      </c>
      <c r="D11794" s="9">
        <v>41617</v>
      </c>
      <c r="E11794" t="s">
        <v>296</v>
      </c>
      <c r="I11794" s="9"/>
    </row>
    <row r="11795" spans="1:9" x14ac:dyDescent="0.25">
      <c r="A11795">
        <v>900600</v>
      </c>
      <c r="B11795">
        <v>0.30499999999999999</v>
      </c>
      <c r="C11795">
        <v>2880</v>
      </c>
      <c r="D11795" s="9">
        <v>41456</v>
      </c>
      <c r="E11795" t="s">
        <v>296</v>
      </c>
      <c r="I11795" s="9"/>
    </row>
    <row r="11796" spans="1:9" x14ac:dyDescent="0.25">
      <c r="A11796">
        <v>900600</v>
      </c>
      <c r="B11796">
        <v>0.30499999999999999</v>
      </c>
      <c r="C11796">
        <v>2880</v>
      </c>
      <c r="D11796" s="9">
        <v>41309</v>
      </c>
      <c r="E11796" t="s">
        <v>296</v>
      </c>
      <c r="I11796" s="9"/>
    </row>
    <row r="11797" spans="1:9" x14ac:dyDescent="0.25">
      <c r="A11797">
        <v>901000</v>
      </c>
      <c r="B11797">
        <v>0.57999999999999996</v>
      </c>
      <c r="C11797">
        <v>2400</v>
      </c>
      <c r="D11797" s="9">
        <v>44043</v>
      </c>
      <c r="E11797" t="s">
        <v>296</v>
      </c>
      <c r="I11797" s="9"/>
    </row>
    <row r="11798" spans="1:9" x14ac:dyDescent="0.25">
      <c r="A11798">
        <v>901000</v>
      </c>
      <c r="B11798">
        <v>0.87</v>
      </c>
      <c r="C11798">
        <v>200</v>
      </c>
      <c r="D11798" s="9">
        <v>43980</v>
      </c>
      <c r="E11798" t="s">
        <v>297</v>
      </c>
      <c r="I11798" s="9"/>
    </row>
    <row r="11799" spans="1:9" x14ac:dyDescent="0.25">
      <c r="A11799">
        <v>901000</v>
      </c>
      <c r="B11799">
        <v>0.57999999999999996</v>
      </c>
      <c r="C11799">
        <v>2000</v>
      </c>
      <c r="D11799" s="9">
        <v>43803</v>
      </c>
      <c r="E11799" t="s">
        <v>296</v>
      </c>
      <c r="I11799" s="9"/>
    </row>
    <row r="11800" spans="1:9" x14ac:dyDescent="0.25">
      <c r="A11800">
        <v>901000</v>
      </c>
      <c r="B11800">
        <v>0.54</v>
      </c>
      <c r="C11800">
        <v>1512</v>
      </c>
      <c r="D11800" s="9">
        <v>43684</v>
      </c>
      <c r="E11800" t="s">
        <v>296</v>
      </c>
      <c r="I11800" s="9"/>
    </row>
    <row r="11801" spans="1:9" x14ac:dyDescent="0.25">
      <c r="A11801">
        <v>901000</v>
      </c>
      <c r="B11801">
        <v>0.52</v>
      </c>
      <c r="C11801">
        <v>1400</v>
      </c>
      <c r="D11801" s="9">
        <v>43427</v>
      </c>
      <c r="E11801" t="s">
        <v>296</v>
      </c>
      <c r="I11801" s="9"/>
    </row>
    <row r="11802" spans="1:9" x14ac:dyDescent="0.25">
      <c r="A11802">
        <v>901000</v>
      </c>
      <c r="B11802">
        <v>0.52</v>
      </c>
      <c r="C11802">
        <v>1200</v>
      </c>
      <c r="D11802" s="9">
        <v>43427</v>
      </c>
      <c r="E11802" t="s">
        <v>296</v>
      </c>
      <c r="I11802" s="9"/>
    </row>
    <row r="11803" spans="1:9" x14ac:dyDescent="0.25">
      <c r="A11803">
        <v>901000</v>
      </c>
      <c r="B11803">
        <v>0.56000000000000005</v>
      </c>
      <c r="C11803">
        <v>1800</v>
      </c>
      <c r="D11803" s="9">
        <v>43017</v>
      </c>
      <c r="E11803" t="s">
        <v>296</v>
      </c>
      <c r="I11803" s="9"/>
    </row>
    <row r="11804" spans="1:9" x14ac:dyDescent="0.25">
      <c r="A11804">
        <v>901000</v>
      </c>
      <c r="B11804">
        <v>0.51300000000000001</v>
      </c>
      <c r="C11804">
        <v>1440</v>
      </c>
      <c r="D11804" s="9">
        <v>42860</v>
      </c>
      <c r="E11804" t="s">
        <v>296</v>
      </c>
      <c r="I11804" s="9"/>
    </row>
    <row r="11805" spans="1:9" x14ac:dyDescent="0.25">
      <c r="A11805">
        <v>901000</v>
      </c>
      <c r="B11805">
        <v>0.52</v>
      </c>
      <c r="C11805">
        <v>1152</v>
      </c>
      <c r="D11805" s="9">
        <v>42860</v>
      </c>
      <c r="E11805" t="s">
        <v>296</v>
      </c>
      <c r="I11805" s="9"/>
    </row>
    <row r="11806" spans="1:9" x14ac:dyDescent="0.25">
      <c r="A11806">
        <v>901000</v>
      </c>
      <c r="B11806">
        <v>0.54</v>
      </c>
      <c r="C11806">
        <v>2880</v>
      </c>
      <c r="D11806" s="9">
        <v>42660</v>
      </c>
      <c r="E11806" t="s">
        <v>296</v>
      </c>
      <c r="I11806" s="9"/>
    </row>
    <row r="11807" spans="1:9" x14ac:dyDescent="0.25">
      <c r="A11807">
        <v>901000</v>
      </c>
      <c r="B11807">
        <v>0.54</v>
      </c>
      <c r="C11807">
        <v>2880</v>
      </c>
      <c r="D11807" s="9">
        <v>42510</v>
      </c>
      <c r="E11807" t="s">
        <v>296</v>
      </c>
      <c r="I11807" s="9"/>
    </row>
    <row r="11808" spans="1:9" x14ac:dyDescent="0.25">
      <c r="A11808">
        <v>901000</v>
      </c>
      <c r="B11808">
        <v>0.59799999999999998</v>
      </c>
      <c r="C11808">
        <v>2880</v>
      </c>
      <c r="D11808" s="9">
        <v>42186</v>
      </c>
      <c r="E11808" t="s">
        <v>297</v>
      </c>
      <c r="I11808" s="9"/>
    </row>
    <row r="11809" spans="1:9" x14ac:dyDescent="0.25">
      <c r="A11809">
        <v>901000</v>
      </c>
      <c r="B11809">
        <v>0.54</v>
      </c>
      <c r="C11809">
        <v>3600</v>
      </c>
      <c r="D11809" s="9">
        <v>41765</v>
      </c>
      <c r="E11809" t="s">
        <v>296</v>
      </c>
      <c r="I11809" s="9"/>
    </row>
    <row r="11810" spans="1:9" x14ac:dyDescent="0.25">
      <c r="A11810">
        <v>901000</v>
      </c>
      <c r="B11810">
        <v>0.63600000000000001</v>
      </c>
      <c r="C11810">
        <v>2880</v>
      </c>
      <c r="D11810" s="9">
        <v>41744</v>
      </c>
      <c r="E11810" t="s">
        <v>296</v>
      </c>
      <c r="I11810" s="9"/>
    </row>
    <row r="11811" spans="1:9" x14ac:dyDescent="0.25">
      <c r="A11811">
        <v>901000</v>
      </c>
      <c r="B11811">
        <v>0.63600000000000001</v>
      </c>
      <c r="C11811">
        <v>2160</v>
      </c>
      <c r="D11811" s="9">
        <v>41617</v>
      </c>
      <c r="E11811" t="s">
        <v>296</v>
      </c>
      <c r="I11811" s="9"/>
    </row>
    <row r="11812" spans="1:9" x14ac:dyDescent="0.25">
      <c r="A11812">
        <v>901000</v>
      </c>
      <c r="B11812">
        <v>0.624</v>
      </c>
      <c r="C11812">
        <v>1728</v>
      </c>
      <c r="D11812" s="9">
        <v>41456</v>
      </c>
      <c r="E11812" t="s">
        <v>296</v>
      </c>
      <c r="I11812" s="9"/>
    </row>
    <row r="11813" spans="1:9" x14ac:dyDescent="0.25">
      <c r="A11813">
        <v>901000</v>
      </c>
      <c r="B11813">
        <v>0.624</v>
      </c>
      <c r="C11813">
        <v>1728</v>
      </c>
      <c r="D11813" s="9">
        <v>41309</v>
      </c>
      <c r="E11813" t="s">
        <v>296</v>
      </c>
      <c r="I11813" s="9"/>
    </row>
    <row r="11814" spans="1:9" x14ac:dyDescent="0.25">
      <c r="A11814">
        <v>901102</v>
      </c>
      <c r="B11814">
        <v>6.7</v>
      </c>
      <c r="C11814">
        <v>350</v>
      </c>
      <c r="D11814" s="9">
        <v>44125</v>
      </c>
      <c r="E11814" t="s">
        <v>296</v>
      </c>
      <c r="I11814" s="9"/>
    </row>
    <row r="11815" spans="1:9" x14ac:dyDescent="0.25">
      <c r="A11815">
        <v>901103</v>
      </c>
      <c r="B11815">
        <v>7.5</v>
      </c>
      <c r="C11815">
        <v>200</v>
      </c>
      <c r="D11815" s="9">
        <v>44125</v>
      </c>
      <c r="E11815" t="s">
        <v>296</v>
      </c>
      <c r="I11815" s="9"/>
    </row>
    <row r="11816" spans="1:9" x14ac:dyDescent="0.25">
      <c r="A11816">
        <v>901104</v>
      </c>
      <c r="B11816">
        <v>8.4</v>
      </c>
      <c r="C11816">
        <v>200</v>
      </c>
      <c r="D11816" s="9">
        <v>44125</v>
      </c>
      <c r="E11816" t="s">
        <v>296</v>
      </c>
      <c r="I11816" s="9"/>
    </row>
    <row r="11817" spans="1:9" x14ac:dyDescent="0.25">
      <c r="A11817">
        <v>901121</v>
      </c>
      <c r="B11817">
        <v>7.15</v>
      </c>
      <c r="C11817">
        <v>250</v>
      </c>
      <c r="D11817" s="9">
        <v>44125</v>
      </c>
      <c r="E11817" t="s">
        <v>296</v>
      </c>
      <c r="I11817" s="9"/>
    </row>
    <row r="11818" spans="1:9" x14ac:dyDescent="0.25">
      <c r="A11818">
        <v>901122</v>
      </c>
      <c r="B11818">
        <v>10.199999999999999</v>
      </c>
      <c r="C11818">
        <v>200</v>
      </c>
      <c r="D11818" s="9">
        <v>44125</v>
      </c>
      <c r="E11818" t="s">
        <v>296</v>
      </c>
      <c r="I11818" s="9"/>
    </row>
    <row r="11819" spans="1:9" x14ac:dyDescent="0.25">
      <c r="A11819">
        <v>910000</v>
      </c>
      <c r="B11819">
        <v>1.03</v>
      </c>
      <c r="C11819">
        <v>480</v>
      </c>
      <c r="D11819" s="9">
        <v>44068</v>
      </c>
      <c r="E11819" t="s">
        <v>296</v>
      </c>
      <c r="I11819" s="9"/>
    </row>
    <row r="11820" spans="1:9" x14ac:dyDescent="0.25">
      <c r="A11820">
        <v>910000</v>
      </c>
      <c r="B11820">
        <v>0.75</v>
      </c>
      <c r="C11820">
        <v>1000</v>
      </c>
      <c r="D11820" s="9">
        <v>44060</v>
      </c>
      <c r="E11820" t="s">
        <v>296</v>
      </c>
      <c r="I11820" s="9"/>
    </row>
    <row r="11821" spans="1:9" x14ac:dyDescent="0.25">
      <c r="A11821">
        <v>910000</v>
      </c>
      <c r="B11821">
        <v>0.98</v>
      </c>
      <c r="C11821">
        <v>450</v>
      </c>
      <c r="D11821" s="9">
        <v>43784</v>
      </c>
      <c r="E11821" t="s">
        <v>296</v>
      </c>
      <c r="I11821" s="9"/>
    </row>
    <row r="11822" spans="1:9" x14ac:dyDescent="0.25">
      <c r="A11822">
        <v>910000</v>
      </c>
      <c r="B11822">
        <v>0.98</v>
      </c>
      <c r="C11822">
        <v>150</v>
      </c>
      <c r="D11822" s="9">
        <v>43707</v>
      </c>
      <c r="E11822" t="s">
        <v>296</v>
      </c>
      <c r="I11822" s="9"/>
    </row>
    <row r="11823" spans="1:9" x14ac:dyDescent="0.25">
      <c r="A11823">
        <v>910000</v>
      </c>
      <c r="B11823">
        <v>0.96</v>
      </c>
      <c r="C11823">
        <v>800</v>
      </c>
      <c r="D11823" s="9">
        <v>43403</v>
      </c>
      <c r="E11823" t="s">
        <v>296</v>
      </c>
      <c r="I11823" s="9"/>
    </row>
    <row r="11824" spans="1:9" x14ac:dyDescent="0.25">
      <c r="A11824">
        <v>910000</v>
      </c>
      <c r="B11824">
        <v>0.90200000000000002</v>
      </c>
      <c r="C11824">
        <v>960</v>
      </c>
      <c r="D11824" s="9">
        <v>43136</v>
      </c>
      <c r="E11824" t="s">
        <v>296</v>
      </c>
      <c r="I11824" s="9"/>
    </row>
    <row r="11825" spans="1:9" x14ac:dyDescent="0.25">
      <c r="A11825">
        <v>910000</v>
      </c>
      <c r="B11825">
        <v>3.13</v>
      </c>
      <c r="C11825">
        <v>480</v>
      </c>
      <c r="D11825" s="9">
        <v>43136</v>
      </c>
      <c r="E11825" t="s">
        <v>295</v>
      </c>
      <c r="I11825" s="9"/>
    </row>
    <row r="11826" spans="1:9" x14ac:dyDescent="0.25">
      <c r="A11826">
        <v>910000</v>
      </c>
      <c r="B11826">
        <v>0.82</v>
      </c>
      <c r="C11826">
        <v>960</v>
      </c>
      <c r="D11826" s="9">
        <v>42877</v>
      </c>
      <c r="E11826" t="s">
        <v>296</v>
      </c>
      <c r="I11826" s="9"/>
    </row>
    <row r="11827" spans="1:9" x14ac:dyDescent="0.25">
      <c r="A11827">
        <v>910000</v>
      </c>
      <c r="B11827">
        <v>0.78</v>
      </c>
      <c r="C11827">
        <v>960</v>
      </c>
      <c r="D11827" s="9">
        <v>42617</v>
      </c>
      <c r="E11827" t="s">
        <v>296</v>
      </c>
      <c r="I11827" s="9"/>
    </row>
    <row r="11828" spans="1:9" x14ac:dyDescent="0.25">
      <c r="A11828">
        <v>910000</v>
      </c>
      <c r="B11828">
        <v>0.88100000000000001</v>
      </c>
      <c r="C11828">
        <v>1000</v>
      </c>
      <c r="D11828" s="9">
        <v>42177</v>
      </c>
      <c r="E11828" t="s">
        <v>296</v>
      </c>
      <c r="I11828" s="9"/>
    </row>
    <row r="11829" spans="1:9" x14ac:dyDescent="0.25">
      <c r="A11829">
        <v>910000</v>
      </c>
      <c r="B11829">
        <v>0.88100000000000001</v>
      </c>
      <c r="C11829">
        <v>1200</v>
      </c>
      <c r="D11829" s="9">
        <v>41751</v>
      </c>
      <c r="E11829" t="s">
        <v>296</v>
      </c>
      <c r="I11829" s="9"/>
    </row>
    <row r="11830" spans="1:9" x14ac:dyDescent="0.25">
      <c r="A11830">
        <v>910000</v>
      </c>
      <c r="B11830">
        <v>0.88100000000000001</v>
      </c>
      <c r="C11830">
        <v>1120</v>
      </c>
      <c r="D11830" s="9">
        <v>41505</v>
      </c>
      <c r="E11830" t="s">
        <v>296</v>
      </c>
      <c r="I11830" s="9"/>
    </row>
    <row r="11831" spans="1:9" x14ac:dyDescent="0.25">
      <c r="A11831">
        <v>910000</v>
      </c>
      <c r="B11831">
        <v>0.88100000000000001</v>
      </c>
      <c r="C11831">
        <v>32</v>
      </c>
      <c r="D11831" s="9">
        <v>41505</v>
      </c>
      <c r="E11831" t="s">
        <v>296</v>
      </c>
      <c r="I11831" s="9"/>
    </row>
    <row r="11832" spans="1:9" x14ac:dyDescent="0.25">
      <c r="A11832">
        <v>910032</v>
      </c>
      <c r="B11832">
        <v>6.82</v>
      </c>
      <c r="C11832">
        <v>64</v>
      </c>
      <c r="D11832" s="9">
        <v>41913</v>
      </c>
      <c r="E11832" t="s">
        <v>295</v>
      </c>
      <c r="I11832" s="9"/>
    </row>
    <row r="11833" spans="1:9" x14ac:dyDescent="0.25">
      <c r="A11833">
        <v>910032</v>
      </c>
      <c r="B11833">
        <v>6.82</v>
      </c>
      <c r="C11833">
        <v>160</v>
      </c>
      <c r="D11833" s="9">
        <v>41745</v>
      </c>
      <c r="E11833" t="s">
        <v>295</v>
      </c>
      <c r="I11833" s="9"/>
    </row>
    <row r="11834" spans="1:9" x14ac:dyDescent="0.25">
      <c r="A11834">
        <v>910032</v>
      </c>
      <c r="B11834">
        <v>6.82</v>
      </c>
      <c r="C11834">
        <v>64</v>
      </c>
      <c r="D11834" s="9">
        <v>41737</v>
      </c>
      <c r="E11834" t="s">
        <v>295</v>
      </c>
      <c r="I11834" s="9"/>
    </row>
    <row r="11835" spans="1:9" x14ac:dyDescent="0.25">
      <c r="A11835">
        <v>910033</v>
      </c>
      <c r="B11835">
        <v>6.58</v>
      </c>
      <c r="C11835">
        <v>30</v>
      </c>
      <c r="D11835" s="9">
        <v>41745</v>
      </c>
      <c r="E11835" t="s">
        <v>295</v>
      </c>
      <c r="I11835" s="9"/>
    </row>
    <row r="11836" spans="1:9" x14ac:dyDescent="0.25">
      <c r="A11836">
        <v>910033</v>
      </c>
      <c r="B11836">
        <v>6.58</v>
      </c>
      <c r="C11836">
        <v>60</v>
      </c>
      <c r="D11836" s="9">
        <v>41722</v>
      </c>
      <c r="E11836" t="s">
        <v>295</v>
      </c>
      <c r="I11836" s="9"/>
    </row>
    <row r="11837" spans="1:9" x14ac:dyDescent="0.25">
      <c r="A11837">
        <v>910033</v>
      </c>
      <c r="B11837">
        <v>8.2200000000000006</v>
      </c>
      <c r="C11837">
        <v>30</v>
      </c>
      <c r="D11837" s="9">
        <v>41695</v>
      </c>
      <c r="E11837" t="s">
        <v>295</v>
      </c>
      <c r="I11837" s="9"/>
    </row>
    <row r="11838" spans="1:9" x14ac:dyDescent="0.25">
      <c r="A11838">
        <v>910040</v>
      </c>
      <c r="B11838">
        <v>0.83</v>
      </c>
      <c r="C11838">
        <v>1104</v>
      </c>
      <c r="D11838" s="9">
        <v>43648</v>
      </c>
      <c r="E11838" t="s">
        <v>296</v>
      </c>
      <c r="I11838" s="9"/>
    </row>
    <row r="11839" spans="1:9" x14ac:dyDescent="0.25">
      <c r="A11839">
        <v>910040</v>
      </c>
      <c r="B11839">
        <v>0.8</v>
      </c>
      <c r="C11839">
        <v>1536</v>
      </c>
      <c r="D11839" s="9">
        <v>42912</v>
      </c>
      <c r="E11839" t="s">
        <v>296</v>
      </c>
      <c r="I11839" s="9"/>
    </row>
    <row r="11840" spans="1:9" x14ac:dyDescent="0.25">
      <c r="A11840">
        <v>910040</v>
      </c>
      <c r="B11840">
        <v>0.83</v>
      </c>
      <c r="C11840">
        <v>864</v>
      </c>
      <c r="D11840" s="9">
        <v>41786</v>
      </c>
      <c r="E11840" t="s">
        <v>296</v>
      </c>
      <c r="I11840" s="9"/>
    </row>
    <row r="11841" spans="1:9" x14ac:dyDescent="0.25">
      <c r="A11841">
        <v>910040</v>
      </c>
      <c r="B11841">
        <v>0.89400000000000002</v>
      </c>
      <c r="C11841">
        <v>960</v>
      </c>
      <c r="D11841" s="9">
        <v>41786</v>
      </c>
      <c r="E11841" t="s">
        <v>296</v>
      </c>
      <c r="I11841" s="9"/>
    </row>
    <row r="11842" spans="1:9" x14ac:dyDescent="0.25">
      <c r="A11842">
        <v>920010</v>
      </c>
      <c r="B11842">
        <v>6.29</v>
      </c>
      <c r="C11842">
        <v>50</v>
      </c>
      <c r="D11842" s="9">
        <v>43073</v>
      </c>
      <c r="E11842" t="s">
        <v>295</v>
      </c>
      <c r="I11842" s="9"/>
    </row>
    <row r="11843" spans="1:9" x14ac:dyDescent="0.25">
      <c r="A11843">
        <v>920010</v>
      </c>
      <c r="B11843">
        <v>6.29</v>
      </c>
      <c r="C11843">
        <v>50</v>
      </c>
      <c r="D11843" s="9">
        <v>43070</v>
      </c>
      <c r="E11843" t="s">
        <v>295</v>
      </c>
      <c r="I11843" s="9"/>
    </row>
    <row r="11844" spans="1:9" x14ac:dyDescent="0.25">
      <c r="A11844">
        <v>920110</v>
      </c>
      <c r="B11844">
        <v>3</v>
      </c>
      <c r="C11844">
        <v>300</v>
      </c>
      <c r="D11844" s="9">
        <v>44000</v>
      </c>
      <c r="E11844" t="s">
        <v>295</v>
      </c>
      <c r="I11844" s="9"/>
    </row>
    <row r="11845" spans="1:9" x14ac:dyDescent="0.25">
      <c r="A11845">
        <v>920110</v>
      </c>
      <c r="B11845">
        <v>4.26</v>
      </c>
      <c r="C11845">
        <v>30</v>
      </c>
      <c r="D11845" s="9">
        <v>43894</v>
      </c>
      <c r="E11845" t="s">
        <v>295</v>
      </c>
      <c r="I11845" s="9"/>
    </row>
    <row r="11846" spans="1:9" x14ac:dyDescent="0.25">
      <c r="A11846">
        <v>920110</v>
      </c>
      <c r="B11846">
        <v>4.01</v>
      </c>
      <c r="C11846">
        <v>149</v>
      </c>
      <c r="D11846" s="9">
        <v>43663</v>
      </c>
      <c r="E11846" t="s">
        <v>295</v>
      </c>
      <c r="I11846" s="9"/>
    </row>
    <row r="11847" spans="1:9" x14ac:dyDescent="0.25">
      <c r="A11847">
        <v>920110</v>
      </c>
      <c r="B11847">
        <v>3.98</v>
      </c>
      <c r="C11847">
        <v>1</v>
      </c>
      <c r="D11847" s="9">
        <v>43663</v>
      </c>
      <c r="E11847" t="s">
        <v>295</v>
      </c>
      <c r="I11847" s="9"/>
    </row>
    <row r="11848" spans="1:9" x14ac:dyDescent="0.25">
      <c r="A11848">
        <v>920110</v>
      </c>
      <c r="B11848">
        <v>3.69</v>
      </c>
      <c r="C11848">
        <v>480</v>
      </c>
      <c r="D11848" s="9">
        <v>43321</v>
      </c>
      <c r="E11848" t="s">
        <v>295</v>
      </c>
      <c r="I11848" s="9"/>
    </row>
    <row r="11849" spans="1:9" x14ac:dyDescent="0.25">
      <c r="A11849">
        <v>920110</v>
      </c>
      <c r="B11849">
        <v>3.5</v>
      </c>
      <c r="C11849">
        <v>25</v>
      </c>
      <c r="D11849" s="9">
        <v>43320</v>
      </c>
      <c r="E11849" t="s">
        <v>295</v>
      </c>
      <c r="I11849" s="9"/>
    </row>
    <row r="11850" spans="1:9" x14ac:dyDescent="0.25">
      <c r="A11850">
        <v>920110</v>
      </c>
      <c r="B11850">
        <v>2.89</v>
      </c>
      <c r="C11850">
        <v>480</v>
      </c>
      <c r="D11850" s="9">
        <v>43196</v>
      </c>
      <c r="E11850" t="s">
        <v>295</v>
      </c>
      <c r="I11850" s="9"/>
    </row>
    <row r="11851" spans="1:9" x14ac:dyDescent="0.25">
      <c r="A11851">
        <v>920110</v>
      </c>
      <c r="B11851">
        <v>2.75</v>
      </c>
      <c r="C11851">
        <v>1</v>
      </c>
      <c r="D11851" s="9">
        <v>43181</v>
      </c>
      <c r="E11851" t="s">
        <v>295</v>
      </c>
      <c r="I11851" s="9"/>
    </row>
    <row r="11852" spans="1:9" x14ac:dyDescent="0.25">
      <c r="A11852">
        <v>920110</v>
      </c>
      <c r="B11852">
        <v>3.5</v>
      </c>
      <c r="C11852">
        <v>120</v>
      </c>
      <c r="D11852" s="9">
        <v>43164</v>
      </c>
      <c r="E11852" t="s">
        <v>295</v>
      </c>
      <c r="I11852" s="9"/>
    </row>
    <row r="11853" spans="1:9" x14ac:dyDescent="0.25">
      <c r="A11853">
        <v>920110</v>
      </c>
      <c r="B11853">
        <v>3.5</v>
      </c>
      <c r="C11853">
        <v>90</v>
      </c>
      <c r="D11853" s="9">
        <v>42908</v>
      </c>
      <c r="E11853" t="s">
        <v>295</v>
      </c>
      <c r="I11853" s="9"/>
    </row>
    <row r="11854" spans="1:9" x14ac:dyDescent="0.25">
      <c r="A11854">
        <v>920110</v>
      </c>
      <c r="B11854">
        <v>3</v>
      </c>
      <c r="C11854">
        <v>300</v>
      </c>
      <c r="D11854" s="9">
        <v>42874</v>
      </c>
      <c r="E11854" t="s">
        <v>295</v>
      </c>
      <c r="I11854" s="9"/>
    </row>
    <row r="11855" spans="1:9" x14ac:dyDescent="0.25">
      <c r="A11855">
        <v>920110</v>
      </c>
      <c r="B11855">
        <v>3</v>
      </c>
      <c r="C11855">
        <v>60</v>
      </c>
      <c r="D11855" s="9">
        <v>42839</v>
      </c>
      <c r="E11855" t="s">
        <v>295</v>
      </c>
      <c r="I11855" s="9"/>
    </row>
    <row r="11856" spans="1:9" x14ac:dyDescent="0.25">
      <c r="A11856">
        <v>920110</v>
      </c>
      <c r="B11856">
        <v>3.5</v>
      </c>
      <c r="C11856">
        <v>120</v>
      </c>
      <c r="D11856" s="9">
        <v>42828</v>
      </c>
      <c r="E11856" t="s">
        <v>295</v>
      </c>
      <c r="I11856" s="9"/>
    </row>
    <row r="11857" spans="1:9" x14ac:dyDescent="0.25">
      <c r="A11857">
        <v>920110</v>
      </c>
      <c r="B11857">
        <v>3.5</v>
      </c>
      <c r="C11857">
        <v>1</v>
      </c>
      <c r="D11857" s="9">
        <v>42752</v>
      </c>
      <c r="E11857" t="s">
        <v>295</v>
      </c>
      <c r="I11857" s="9"/>
    </row>
    <row r="11858" spans="1:9" x14ac:dyDescent="0.25">
      <c r="A11858">
        <v>920110</v>
      </c>
      <c r="B11858">
        <v>3</v>
      </c>
      <c r="C11858">
        <v>150</v>
      </c>
      <c r="D11858" s="9">
        <v>42713</v>
      </c>
      <c r="E11858" t="s">
        <v>295</v>
      </c>
      <c r="I11858" s="9"/>
    </row>
    <row r="11859" spans="1:9" x14ac:dyDescent="0.25">
      <c r="A11859">
        <v>920110</v>
      </c>
      <c r="B11859">
        <v>3</v>
      </c>
      <c r="C11859">
        <v>60</v>
      </c>
      <c r="D11859" s="9">
        <v>42632</v>
      </c>
      <c r="E11859" t="s">
        <v>295</v>
      </c>
      <c r="I11859" s="9"/>
    </row>
    <row r="11860" spans="1:9" x14ac:dyDescent="0.25">
      <c r="A11860">
        <v>920110</v>
      </c>
      <c r="B11860">
        <v>3</v>
      </c>
      <c r="C11860">
        <v>30</v>
      </c>
      <c r="D11860" s="9">
        <v>42615</v>
      </c>
      <c r="E11860" t="s">
        <v>295</v>
      </c>
      <c r="I11860" s="9"/>
    </row>
    <row r="11861" spans="1:9" x14ac:dyDescent="0.25">
      <c r="A11861">
        <v>920110</v>
      </c>
      <c r="B11861">
        <v>3</v>
      </c>
      <c r="C11861">
        <v>60</v>
      </c>
      <c r="D11861" s="9">
        <v>42569</v>
      </c>
      <c r="E11861" t="s">
        <v>295</v>
      </c>
      <c r="I11861" s="9"/>
    </row>
    <row r="11862" spans="1:9" x14ac:dyDescent="0.25">
      <c r="A11862">
        <v>920110</v>
      </c>
      <c r="B11862">
        <v>3</v>
      </c>
      <c r="C11862">
        <v>150</v>
      </c>
      <c r="D11862" s="9">
        <v>42535</v>
      </c>
      <c r="E11862" t="s">
        <v>295</v>
      </c>
      <c r="I11862" s="9"/>
    </row>
    <row r="11863" spans="1:9" x14ac:dyDescent="0.25">
      <c r="A11863">
        <v>920110</v>
      </c>
      <c r="B11863">
        <v>3</v>
      </c>
      <c r="C11863">
        <v>150</v>
      </c>
      <c r="D11863" s="9">
        <v>42529</v>
      </c>
      <c r="E11863" t="s">
        <v>295</v>
      </c>
      <c r="I11863" s="9"/>
    </row>
    <row r="11864" spans="1:9" x14ac:dyDescent="0.25">
      <c r="A11864">
        <v>920110</v>
      </c>
      <c r="B11864">
        <v>3</v>
      </c>
      <c r="C11864">
        <v>300</v>
      </c>
      <c r="D11864" s="9">
        <v>42479</v>
      </c>
      <c r="E11864" t="s">
        <v>295</v>
      </c>
      <c r="I11864" s="9"/>
    </row>
    <row r="11865" spans="1:9" x14ac:dyDescent="0.25">
      <c r="A11865">
        <v>920110</v>
      </c>
      <c r="B11865">
        <v>3</v>
      </c>
      <c r="C11865">
        <v>30</v>
      </c>
      <c r="D11865" s="9">
        <v>42436</v>
      </c>
      <c r="E11865" t="s">
        <v>295</v>
      </c>
      <c r="I11865" s="9"/>
    </row>
    <row r="11866" spans="1:9" x14ac:dyDescent="0.25">
      <c r="A11866">
        <v>920110</v>
      </c>
      <c r="B11866">
        <v>3</v>
      </c>
      <c r="C11866">
        <v>30</v>
      </c>
      <c r="D11866" s="9">
        <v>42297</v>
      </c>
      <c r="E11866" t="s">
        <v>295</v>
      </c>
      <c r="I11866" s="9"/>
    </row>
    <row r="11867" spans="1:9" x14ac:dyDescent="0.25">
      <c r="A11867">
        <v>920110</v>
      </c>
      <c r="B11867">
        <v>3</v>
      </c>
      <c r="C11867">
        <v>210</v>
      </c>
      <c r="D11867" s="9">
        <v>42271</v>
      </c>
      <c r="E11867" t="s">
        <v>295</v>
      </c>
      <c r="I11867" s="9"/>
    </row>
    <row r="11868" spans="1:9" x14ac:dyDescent="0.25">
      <c r="A11868">
        <v>920110</v>
      </c>
      <c r="B11868">
        <v>3</v>
      </c>
      <c r="C11868">
        <v>60</v>
      </c>
      <c r="D11868" s="9">
        <v>42222</v>
      </c>
      <c r="E11868" t="s">
        <v>295</v>
      </c>
      <c r="I11868" s="9"/>
    </row>
    <row r="11869" spans="1:9" x14ac:dyDescent="0.25">
      <c r="A11869">
        <v>920110</v>
      </c>
      <c r="B11869">
        <v>3</v>
      </c>
      <c r="C11869">
        <v>90</v>
      </c>
      <c r="D11869" s="9">
        <v>42199</v>
      </c>
      <c r="E11869" t="s">
        <v>295</v>
      </c>
      <c r="I11869" s="9"/>
    </row>
    <row r="11870" spans="1:9" x14ac:dyDescent="0.25">
      <c r="A11870">
        <v>920110</v>
      </c>
      <c r="B11870">
        <v>3</v>
      </c>
      <c r="C11870">
        <v>90</v>
      </c>
      <c r="D11870" s="9">
        <v>42198</v>
      </c>
      <c r="E11870" t="s">
        <v>295</v>
      </c>
      <c r="I11870" s="9"/>
    </row>
    <row r="11871" spans="1:9" x14ac:dyDescent="0.25">
      <c r="A11871">
        <v>920110</v>
      </c>
      <c r="B11871">
        <v>3</v>
      </c>
      <c r="C11871">
        <v>180</v>
      </c>
      <c r="D11871" s="9">
        <v>42135</v>
      </c>
      <c r="E11871" t="s">
        <v>295</v>
      </c>
      <c r="I11871" s="9"/>
    </row>
    <row r="11872" spans="1:9" x14ac:dyDescent="0.25">
      <c r="A11872">
        <v>920110</v>
      </c>
      <c r="B11872">
        <v>3</v>
      </c>
      <c r="C11872">
        <v>180</v>
      </c>
      <c r="D11872" s="9">
        <v>42114</v>
      </c>
      <c r="E11872" t="s">
        <v>295</v>
      </c>
      <c r="I11872" s="9"/>
    </row>
    <row r="11873" spans="1:9" x14ac:dyDescent="0.25">
      <c r="A11873">
        <v>920110</v>
      </c>
      <c r="B11873">
        <v>3</v>
      </c>
      <c r="C11873">
        <v>60</v>
      </c>
      <c r="D11873" s="9">
        <v>42103</v>
      </c>
      <c r="E11873" t="s">
        <v>295</v>
      </c>
      <c r="I11873" s="9"/>
    </row>
    <row r="11874" spans="1:9" x14ac:dyDescent="0.25">
      <c r="A11874">
        <v>920120</v>
      </c>
      <c r="B11874">
        <v>2.25</v>
      </c>
      <c r="C11874">
        <v>1</v>
      </c>
      <c r="D11874" s="9">
        <v>43181</v>
      </c>
      <c r="E11874" t="s">
        <v>295</v>
      </c>
      <c r="I11874" s="9"/>
    </row>
    <row r="11875" spans="1:9" x14ac:dyDescent="0.25">
      <c r="A11875">
        <v>920120</v>
      </c>
      <c r="B11875">
        <v>2.5</v>
      </c>
      <c r="C11875">
        <v>100</v>
      </c>
      <c r="D11875" s="9">
        <v>43081</v>
      </c>
      <c r="E11875" t="s">
        <v>295</v>
      </c>
      <c r="I11875" s="9"/>
    </row>
    <row r="11876" spans="1:9" x14ac:dyDescent="0.25">
      <c r="A11876">
        <v>920120</v>
      </c>
      <c r="B11876">
        <v>2.5</v>
      </c>
      <c r="C11876">
        <v>240</v>
      </c>
      <c r="D11876" s="9">
        <v>42839</v>
      </c>
      <c r="E11876" t="s">
        <v>295</v>
      </c>
      <c r="I11876" s="9"/>
    </row>
    <row r="11877" spans="1:9" x14ac:dyDescent="0.25">
      <c r="A11877">
        <v>920120</v>
      </c>
      <c r="B11877">
        <v>5</v>
      </c>
      <c r="C11877">
        <v>1</v>
      </c>
      <c r="D11877" s="9">
        <v>42752</v>
      </c>
      <c r="E11877" t="s">
        <v>295</v>
      </c>
      <c r="I11877" s="9"/>
    </row>
    <row r="11878" spans="1:9" x14ac:dyDescent="0.25">
      <c r="A11878">
        <v>920120</v>
      </c>
      <c r="B11878">
        <v>5</v>
      </c>
      <c r="C11878">
        <v>100</v>
      </c>
      <c r="D11878" s="9">
        <v>42713</v>
      </c>
      <c r="E11878" t="s">
        <v>295</v>
      </c>
      <c r="I11878" s="9"/>
    </row>
    <row r="11879" spans="1:9" x14ac:dyDescent="0.25">
      <c r="A11879">
        <v>920120</v>
      </c>
      <c r="B11879">
        <v>2.5</v>
      </c>
      <c r="C11879">
        <v>80</v>
      </c>
      <c r="D11879" s="9">
        <v>42569</v>
      </c>
      <c r="E11879" t="s">
        <v>295</v>
      </c>
      <c r="I11879" s="9"/>
    </row>
    <row r="11880" spans="1:9" x14ac:dyDescent="0.25">
      <c r="A11880">
        <v>920120</v>
      </c>
      <c r="B11880">
        <v>2.5</v>
      </c>
      <c r="C11880">
        <v>30</v>
      </c>
      <c r="D11880" s="9">
        <v>42436</v>
      </c>
      <c r="E11880" t="s">
        <v>295</v>
      </c>
      <c r="I11880" s="9"/>
    </row>
    <row r="11881" spans="1:9" x14ac:dyDescent="0.25">
      <c r="A11881">
        <v>920120</v>
      </c>
      <c r="B11881">
        <v>2.5</v>
      </c>
      <c r="C11881">
        <v>40</v>
      </c>
      <c r="D11881" s="9">
        <v>42297</v>
      </c>
      <c r="E11881" t="s">
        <v>295</v>
      </c>
      <c r="I11881" s="9"/>
    </row>
    <row r="11882" spans="1:9" x14ac:dyDescent="0.25">
      <c r="A11882">
        <v>920130</v>
      </c>
      <c r="B11882">
        <v>9.84</v>
      </c>
      <c r="C11882">
        <v>1</v>
      </c>
      <c r="D11882" s="9">
        <v>43321</v>
      </c>
      <c r="E11882" t="s">
        <v>295</v>
      </c>
      <c r="I11882" s="9"/>
    </row>
    <row r="11883" spans="1:9" x14ac:dyDescent="0.25">
      <c r="A11883">
        <v>920130</v>
      </c>
      <c r="B11883">
        <v>8</v>
      </c>
      <c r="C11883">
        <v>60</v>
      </c>
      <c r="D11883" s="9">
        <v>43320</v>
      </c>
      <c r="E11883" t="s">
        <v>295</v>
      </c>
      <c r="I11883" s="9"/>
    </row>
    <row r="11884" spans="1:9" x14ac:dyDescent="0.25">
      <c r="A11884">
        <v>920130</v>
      </c>
      <c r="B11884">
        <v>8</v>
      </c>
      <c r="C11884">
        <v>1</v>
      </c>
      <c r="D11884" s="9">
        <v>43181</v>
      </c>
      <c r="E11884" t="s">
        <v>295</v>
      </c>
      <c r="I11884" s="9"/>
    </row>
    <row r="11885" spans="1:9" x14ac:dyDescent="0.25">
      <c r="A11885">
        <v>920130</v>
      </c>
      <c r="B11885">
        <v>8.5</v>
      </c>
      <c r="C11885">
        <v>36</v>
      </c>
      <c r="D11885" s="9">
        <v>42578</v>
      </c>
      <c r="E11885" t="s">
        <v>295</v>
      </c>
      <c r="I11885" s="9"/>
    </row>
    <row r="11886" spans="1:9" x14ac:dyDescent="0.25">
      <c r="A11886">
        <v>920130</v>
      </c>
      <c r="B11886">
        <v>3</v>
      </c>
      <c r="C11886">
        <v>10</v>
      </c>
      <c r="D11886" s="9">
        <v>42422</v>
      </c>
      <c r="E11886" t="s">
        <v>295</v>
      </c>
      <c r="I11886" s="9"/>
    </row>
    <row r="11887" spans="1:9" x14ac:dyDescent="0.25">
      <c r="A11887">
        <v>920131</v>
      </c>
      <c r="B11887">
        <v>12.5</v>
      </c>
      <c r="C11887">
        <v>1</v>
      </c>
      <c r="D11887" s="9">
        <v>43181</v>
      </c>
      <c r="E11887" t="s">
        <v>295</v>
      </c>
      <c r="I11887" s="9"/>
    </row>
    <row r="11888" spans="1:9" x14ac:dyDescent="0.25">
      <c r="A11888">
        <v>920131</v>
      </c>
      <c r="B11888">
        <v>8</v>
      </c>
      <c r="C11888">
        <v>1</v>
      </c>
      <c r="D11888" s="9">
        <v>42752</v>
      </c>
      <c r="E11888" t="s">
        <v>295</v>
      </c>
      <c r="I11888" s="9"/>
    </row>
    <row r="11889" spans="1:9" x14ac:dyDescent="0.25">
      <c r="A11889">
        <v>920132</v>
      </c>
      <c r="B11889">
        <v>8</v>
      </c>
      <c r="C11889">
        <v>1</v>
      </c>
      <c r="D11889" s="9">
        <v>42752</v>
      </c>
      <c r="E11889" t="s">
        <v>295</v>
      </c>
      <c r="I11889" s="9"/>
    </row>
    <row r="11890" spans="1:9" x14ac:dyDescent="0.25">
      <c r="A11890">
        <v>920133</v>
      </c>
      <c r="B11890">
        <v>8</v>
      </c>
      <c r="C11890">
        <v>1</v>
      </c>
      <c r="D11890" s="9">
        <v>42752</v>
      </c>
      <c r="E11890" t="s">
        <v>295</v>
      </c>
      <c r="I11890" s="9"/>
    </row>
    <row r="11891" spans="1:9" x14ac:dyDescent="0.25">
      <c r="A11891">
        <v>920200</v>
      </c>
      <c r="B11891">
        <v>2.2000000000000002</v>
      </c>
      <c r="C11891">
        <v>24</v>
      </c>
      <c r="D11891" s="9">
        <v>43320</v>
      </c>
      <c r="E11891" t="s">
        <v>295</v>
      </c>
      <c r="I11891" s="9"/>
    </row>
    <row r="11892" spans="1:9" x14ac:dyDescent="0.25">
      <c r="A11892">
        <v>920200</v>
      </c>
      <c r="B11892">
        <v>2.2000000000000002</v>
      </c>
      <c r="C11892">
        <v>36</v>
      </c>
      <c r="D11892" s="9">
        <v>43312</v>
      </c>
      <c r="E11892" t="s">
        <v>295</v>
      </c>
      <c r="I11892" s="9"/>
    </row>
    <row r="11893" spans="1:9" x14ac:dyDescent="0.25">
      <c r="A11893">
        <v>920200</v>
      </c>
      <c r="B11893">
        <v>1.9</v>
      </c>
      <c r="C11893">
        <v>1</v>
      </c>
      <c r="D11893" s="9">
        <v>43181</v>
      </c>
      <c r="E11893" t="s">
        <v>295</v>
      </c>
      <c r="I11893" s="9"/>
    </row>
    <row r="11894" spans="1:9" x14ac:dyDescent="0.25">
      <c r="A11894">
        <v>920200</v>
      </c>
      <c r="B11894">
        <v>3.1</v>
      </c>
      <c r="C11894">
        <v>6</v>
      </c>
      <c r="D11894" s="9">
        <v>42752</v>
      </c>
      <c r="E11894" t="s">
        <v>295</v>
      </c>
      <c r="I11894" s="9"/>
    </row>
    <row r="11895" spans="1:9" x14ac:dyDescent="0.25">
      <c r="A11895">
        <v>920200</v>
      </c>
      <c r="B11895">
        <v>3.1</v>
      </c>
      <c r="C11895">
        <v>12</v>
      </c>
      <c r="D11895" s="9">
        <v>42422</v>
      </c>
      <c r="E11895" t="s">
        <v>295</v>
      </c>
      <c r="I11895" s="9"/>
    </row>
    <row r="11896" spans="1:9" x14ac:dyDescent="0.25">
      <c r="A11896">
        <v>920201</v>
      </c>
      <c r="B11896">
        <v>2.9</v>
      </c>
      <c r="C11896">
        <v>24</v>
      </c>
      <c r="D11896" s="9">
        <v>43320</v>
      </c>
      <c r="E11896" t="s">
        <v>295</v>
      </c>
      <c r="I11896" s="9"/>
    </row>
    <row r="11897" spans="1:9" x14ac:dyDescent="0.25">
      <c r="A11897">
        <v>920201</v>
      </c>
      <c r="B11897">
        <v>2.8</v>
      </c>
      <c r="C11897">
        <v>1</v>
      </c>
      <c r="D11897" s="9">
        <v>43181</v>
      </c>
      <c r="E11897" t="s">
        <v>295</v>
      </c>
      <c r="I11897" s="9"/>
    </row>
    <row r="11898" spans="1:9" x14ac:dyDescent="0.25">
      <c r="A11898">
        <v>920201</v>
      </c>
      <c r="B11898">
        <v>4</v>
      </c>
      <c r="C11898">
        <v>6</v>
      </c>
      <c r="D11898" s="9">
        <v>42752</v>
      </c>
      <c r="E11898" t="s">
        <v>295</v>
      </c>
      <c r="I11898" s="9"/>
    </row>
    <row r="11899" spans="1:9" x14ac:dyDescent="0.25">
      <c r="A11899">
        <v>920202</v>
      </c>
      <c r="B11899">
        <v>2.8</v>
      </c>
      <c r="C11899">
        <v>1</v>
      </c>
      <c r="D11899" s="9">
        <v>43181</v>
      </c>
      <c r="E11899" t="s">
        <v>295</v>
      </c>
      <c r="I11899" s="9"/>
    </row>
    <row r="11900" spans="1:9" x14ac:dyDescent="0.25">
      <c r="A11900">
        <v>920202</v>
      </c>
      <c r="B11900">
        <v>4</v>
      </c>
      <c r="C11900">
        <v>6</v>
      </c>
      <c r="D11900" s="9">
        <v>42752</v>
      </c>
      <c r="E11900" t="s">
        <v>295</v>
      </c>
      <c r="I11900" s="9"/>
    </row>
    <row r="11901" spans="1:9" x14ac:dyDescent="0.25">
      <c r="A11901">
        <v>920203</v>
      </c>
      <c r="B11901">
        <v>2.9</v>
      </c>
      <c r="C11901">
        <v>12</v>
      </c>
      <c r="D11901" s="9">
        <v>43320</v>
      </c>
      <c r="E11901" t="s">
        <v>295</v>
      </c>
      <c r="I11901" s="9"/>
    </row>
    <row r="11902" spans="1:9" x14ac:dyDescent="0.25">
      <c r="A11902">
        <v>920203</v>
      </c>
      <c r="B11902">
        <v>2.8</v>
      </c>
      <c r="C11902">
        <v>1</v>
      </c>
      <c r="D11902" s="9">
        <v>43181</v>
      </c>
      <c r="E11902" t="s">
        <v>295</v>
      </c>
      <c r="I11902" s="9"/>
    </row>
    <row r="11903" spans="1:9" x14ac:dyDescent="0.25">
      <c r="A11903">
        <v>920203</v>
      </c>
      <c r="B11903">
        <v>4</v>
      </c>
      <c r="C11903">
        <v>6</v>
      </c>
      <c r="D11903" s="9">
        <v>42752</v>
      </c>
      <c r="E11903" t="s">
        <v>295</v>
      </c>
      <c r="I11903" s="9"/>
    </row>
    <row r="11904" spans="1:9" x14ac:dyDescent="0.25">
      <c r="A11904">
        <v>920230</v>
      </c>
      <c r="B11904">
        <v>2.8</v>
      </c>
      <c r="C11904">
        <v>16</v>
      </c>
      <c r="D11904" s="9">
        <v>43320</v>
      </c>
      <c r="E11904" t="s">
        <v>295</v>
      </c>
      <c r="I11904" s="9"/>
    </row>
    <row r="11905" spans="1:9" x14ac:dyDescent="0.25">
      <c r="A11905">
        <v>920230</v>
      </c>
      <c r="B11905">
        <v>2.7</v>
      </c>
      <c r="C11905">
        <v>1</v>
      </c>
      <c r="D11905" s="9">
        <v>43181</v>
      </c>
      <c r="E11905" t="s">
        <v>295</v>
      </c>
      <c r="I11905" s="9"/>
    </row>
    <row r="11906" spans="1:9" x14ac:dyDescent="0.25">
      <c r="A11906">
        <v>920230</v>
      </c>
      <c r="B11906">
        <v>4</v>
      </c>
      <c r="C11906">
        <v>6</v>
      </c>
      <c r="D11906" s="9">
        <v>42752</v>
      </c>
      <c r="E11906" t="s">
        <v>295</v>
      </c>
      <c r="I11906" s="9"/>
    </row>
    <row r="11907" spans="1:9" x14ac:dyDescent="0.25">
      <c r="A11907">
        <v>920240</v>
      </c>
      <c r="B11907">
        <v>3.4</v>
      </c>
      <c r="C11907">
        <v>48</v>
      </c>
      <c r="D11907" s="9">
        <v>43375</v>
      </c>
      <c r="E11907" t="s">
        <v>295</v>
      </c>
      <c r="I11907" s="9"/>
    </row>
    <row r="11908" spans="1:9" x14ac:dyDescent="0.25">
      <c r="A11908">
        <v>920240</v>
      </c>
      <c r="B11908">
        <v>3.4</v>
      </c>
      <c r="C11908">
        <v>16</v>
      </c>
      <c r="D11908" s="9">
        <v>43320</v>
      </c>
      <c r="E11908" t="s">
        <v>295</v>
      </c>
      <c r="I11908" s="9"/>
    </row>
    <row r="11909" spans="1:9" x14ac:dyDescent="0.25">
      <c r="A11909">
        <v>920240</v>
      </c>
      <c r="B11909">
        <v>3.3</v>
      </c>
      <c r="C11909">
        <v>1</v>
      </c>
      <c r="D11909" s="9">
        <v>43181</v>
      </c>
      <c r="E11909" t="s">
        <v>295</v>
      </c>
      <c r="I11909" s="9"/>
    </row>
    <row r="11910" spans="1:9" x14ac:dyDescent="0.25">
      <c r="A11910">
        <v>920240</v>
      </c>
      <c r="B11910">
        <v>4.5</v>
      </c>
      <c r="C11910">
        <v>6</v>
      </c>
      <c r="D11910" s="9">
        <v>42752</v>
      </c>
      <c r="E11910" t="s">
        <v>295</v>
      </c>
      <c r="I11910" s="9"/>
    </row>
    <row r="11911" spans="1:9" x14ac:dyDescent="0.25">
      <c r="A11911">
        <v>920300</v>
      </c>
      <c r="B11911">
        <v>3.6</v>
      </c>
      <c r="C11911">
        <v>1</v>
      </c>
      <c r="D11911" s="9">
        <v>43181</v>
      </c>
      <c r="E11911" t="s">
        <v>295</v>
      </c>
      <c r="I11911" s="9"/>
    </row>
    <row r="11912" spans="1:9" x14ac:dyDescent="0.25">
      <c r="A11912">
        <v>920300</v>
      </c>
      <c r="B11912">
        <v>4</v>
      </c>
      <c r="C11912">
        <v>5</v>
      </c>
      <c r="D11912" s="9">
        <v>42752</v>
      </c>
      <c r="E11912" t="s">
        <v>295</v>
      </c>
      <c r="I11912" s="9"/>
    </row>
    <row r="11913" spans="1:9" x14ac:dyDescent="0.25">
      <c r="A11913">
        <v>920301</v>
      </c>
      <c r="B11913">
        <v>3.6</v>
      </c>
      <c r="C11913">
        <v>1</v>
      </c>
      <c r="D11913" s="9">
        <v>43181</v>
      </c>
      <c r="E11913" t="s">
        <v>295</v>
      </c>
      <c r="I11913" s="9"/>
    </row>
    <row r="11914" spans="1:9" x14ac:dyDescent="0.25">
      <c r="A11914">
        <v>920302</v>
      </c>
      <c r="B11914">
        <v>6.5</v>
      </c>
      <c r="C11914">
        <v>40</v>
      </c>
      <c r="D11914" s="9">
        <v>43399</v>
      </c>
      <c r="E11914" t="s">
        <v>295</v>
      </c>
      <c r="I11914" s="9"/>
    </row>
    <row r="11915" spans="1:9" x14ac:dyDescent="0.25">
      <c r="A11915">
        <v>920302</v>
      </c>
      <c r="B11915">
        <v>5.2</v>
      </c>
      <c r="C11915">
        <v>1</v>
      </c>
      <c r="D11915" s="9">
        <v>43181</v>
      </c>
      <c r="E11915" t="s">
        <v>295</v>
      </c>
      <c r="I11915" s="9"/>
    </row>
    <row r="11916" spans="1:9" x14ac:dyDescent="0.25">
      <c r="A11916">
        <v>920350</v>
      </c>
      <c r="B11916">
        <v>8</v>
      </c>
      <c r="C11916">
        <v>20</v>
      </c>
      <c r="D11916" s="9">
        <v>43320</v>
      </c>
      <c r="E11916" t="s">
        <v>295</v>
      </c>
      <c r="I11916" s="9"/>
    </row>
    <row r="11917" spans="1:9" x14ac:dyDescent="0.25">
      <c r="A11917">
        <v>920350</v>
      </c>
      <c r="B11917">
        <v>7.75</v>
      </c>
      <c r="C11917">
        <v>1</v>
      </c>
      <c r="D11917" s="9">
        <v>43181</v>
      </c>
      <c r="E11917" t="s">
        <v>295</v>
      </c>
      <c r="I11917" s="9"/>
    </row>
    <row r="11918" spans="1:9" x14ac:dyDescent="0.25">
      <c r="A11918">
        <v>920350</v>
      </c>
      <c r="B11918">
        <v>9</v>
      </c>
      <c r="C11918">
        <v>20</v>
      </c>
      <c r="D11918" s="9">
        <v>42839</v>
      </c>
      <c r="E11918" t="s">
        <v>295</v>
      </c>
      <c r="I11918" s="9"/>
    </row>
    <row r="11919" spans="1:9" x14ac:dyDescent="0.25">
      <c r="A11919">
        <v>920350</v>
      </c>
      <c r="B11919">
        <v>1.8</v>
      </c>
      <c r="C11919">
        <v>5</v>
      </c>
      <c r="D11919" s="9">
        <v>42752</v>
      </c>
      <c r="E11919" t="s">
        <v>295</v>
      </c>
      <c r="I11919" s="9"/>
    </row>
    <row r="11920" spans="1:9" x14ac:dyDescent="0.25">
      <c r="A11920">
        <v>920350</v>
      </c>
      <c r="B11920">
        <v>8.5</v>
      </c>
      <c r="C11920">
        <v>10</v>
      </c>
      <c r="D11920" s="9">
        <v>42461</v>
      </c>
      <c r="E11920" t="s">
        <v>295</v>
      </c>
      <c r="I11920" s="9"/>
    </row>
    <row r="11921" spans="1:9" x14ac:dyDescent="0.25">
      <c r="A11921">
        <v>920350</v>
      </c>
      <c r="B11921">
        <v>8.5</v>
      </c>
      <c r="C11921">
        <v>10</v>
      </c>
      <c r="D11921" s="9">
        <v>42283</v>
      </c>
      <c r="E11921" t="s">
        <v>295</v>
      </c>
      <c r="I11921" s="9"/>
    </row>
    <row r="11922" spans="1:9" x14ac:dyDescent="0.25">
      <c r="A11922">
        <v>920350</v>
      </c>
      <c r="B11922">
        <v>8.5</v>
      </c>
      <c r="C11922">
        <v>20</v>
      </c>
      <c r="D11922" s="9">
        <v>42222</v>
      </c>
      <c r="E11922" t="s">
        <v>295</v>
      </c>
      <c r="I11922" s="9"/>
    </row>
    <row r="11923" spans="1:9" x14ac:dyDescent="0.25">
      <c r="A11923">
        <v>920350</v>
      </c>
      <c r="B11923">
        <v>8.5</v>
      </c>
      <c r="C11923">
        <v>5</v>
      </c>
      <c r="D11923" s="9">
        <v>42198</v>
      </c>
      <c r="E11923" t="s">
        <v>295</v>
      </c>
      <c r="I11923" s="9"/>
    </row>
    <row r="11924" spans="1:9" x14ac:dyDescent="0.25">
      <c r="A11924">
        <v>920350</v>
      </c>
      <c r="B11924">
        <v>8.5</v>
      </c>
      <c r="C11924">
        <v>36</v>
      </c>
      <c r="D11924" s="9">
        <v>42103</v>
      </c>
      <c r="E11924" t="s">
        <v>295</v>
      </c>
      <c r="I11924" s="9"/>
    </row>
    <row r="11925" spans="1:9" x14ac:dyDescent="0.25">
      <c r="A11925">
        <v>920351</v>
      </c>
      <c r="B11925">
        <v>8</v>
      </c>
      <c r="C11925">
        <v>20</v>
      </c>
      <c r="D11925" s="9">
        <v>43320</v>
      </c>
      <c r="E11925" t="s">
        <v>295</v>
      </c>
      <c r="I11925" s="9"/>
    </row>
    <row r="11926" spans="1:9" x14ac:dyDescent="0.25">
      <c r="A11926">
        <v>920351</v>
      </c>
      <c r="B11926">
        <v>7.75</v>
      </c>
      <c r="C11926">
        <v>1</v>
      </c>
      <c r="D11926" s="9">
        <v>43181</v>
      </c>
      <c r="E11926" t="s">
        <v>295</v>
      </c>
      <c r="I11926" s="9"/>
    </row>
    <row r="11927" spans="1:9" x14ac:dyDescent="0.25">
      <c r="A11927">
        <v>920351</v>
      </c>
      <c r="B11927">
        <v>9</v>
      </c>
      <c r="C11927">
        <v>20</v>
      </c>
      <c r="D11927" s="9">
        <v>43123</v>
      </c>
      <c r="E11927" t="s">
        <v>295</v>
      </c>
      <c r="I11927" s="9"/>
    </row>
    <row r="11928" spans="1:9" x14ac:dyDescent="0.25">
      <c r="A11928">
        <v>920351</v>
      </c>
      <c r="B11928">
        <v>8.5</v>
      </c>
      <c r="C11928">
        <v>10</v>
      </c>
      <c r="D11928" s="9">
        <v>42461</v>
      </c>
      <c r="E11928" t="s">
        <v>295</v>
      </c>
      <c r="I11928" s="9"/>
    </row>
    <row r="11929" spans="1:9" x14ac:dyDescent="0.25">
      <c r="A11929">
        <v>920351</v>
      </c>
      <c r="B11929">
        <v>8.5</v>
      </c>
      <c r="C11929">
        <v>10</v>
      </c>
      <c r="D11929" s="9">
        <v>42283</v>
      </c>
      <c r="E11929" t="s">
        <v>295</v>
      </c>
      <c r="I11929" s="9"/>
    </row>
    <row r="11930" spans="1:9" x14ac:dyDescent="0.25">
      <c r="A11930">
        <v>920351</v>
      </c>
      <c r="B11930">
        <v>8.5</v>
      </c>
      <c r="C11930">
        <v>5</v>
      </c>
      <c r="D11930" s="9">
        <v>42198</v>
      </c>
      <c r="E11930" t="s">
        <v>295</v>
      </c>
      <c r="I11930" s="9"/>
    </row>
    <row r="11931" spans="1:9" x14ac:dyDescent="0.25">
      <c r="A11931">
        <v>920351</v>
      </c>
      <c r="B11931">
        <v>8.5</v>
      </c>
      <c r="C11931">
        <v>240</v>
      </c>
      <c r="D11931" s="9">
        <v>42145</v>
      </c>
      <c r="E11931" t="s">
        <v>295</v>
      </c>
      <c r="I11931" s="9"/>
    </row>
    <row r="11932" spans="1:9" x14ac:dyDescent="0.25">
      <c r="A11932">
        <v>920351</v>
      </c>
      <c r="B11932">
        <v>8.5</v>
      </c>
      <c r="C11932">
        <v>24</v>
      </c>
      <c r="D11932" s="9">
        <v>42103</v>
      </c>
      <c r="E11932" t="s">
        <v>295</v>
      </c>
      <c r="I11932" s="9"/>
    </row>
    <row r="11933" spans="1:9" x14ac:dyDescent="0.25">
      <c r="A11933">
        <v>920352</v>
      </c>
      <c r="B11933">
        <v>8</v>
      </c>
      <c r="C11933">
        <v>20</v>
      </c>
      <c r="D11933" s="9">
        <v>43320</v>
      </c>
      <c r="E11933" t="s">
        <v>295</v>
      </c>
      <c r="I11933" s="9"/>
    </row>
    <row r="11934" spans="1:9" x14ac:dyDescent="0.25">
      <c r="A11934">
        <v>920352</v>
      </c>
      <c r="B11934">
        <v>7.75</v>
      </c>
      <c r="C11934">
        <v>1</v>
      </c>
      <c r="D11934" s="9">
        <v>43181</v>
      </c>
      <c r="E11934" t="s">
        <v>295</v>
      </c>
      <c r="I11934" s="9"/>
    </row>
    <row r="11935" spans="1:9" x14ac:dyDescent="0.25">
      <c r="A11935">
        <v>920352</v>
      </c>
      <c r="B11935">
        <v>9</v>
      </c>
      <c r="C11935">
        <v>5</v>
      </c>
      <c r="D11935" s="9">
        <v>42752</v>
      </c>
      <c r="E11935" t="s">
        <v>295</v>
      </c>
      <c r="I11935" s="9"/>
    </row>
    <row r="11936" spans="1:9" x14ac:dyDescent="0.25">
      <c r="A11936">
        <v>920352</v>
      </c>
      <c r="B11936">
        <v>8.5</v>
      </c>
      <c r="C11936">
        <v>10</v>
      </c>
      <c r="D11936" s="9">
        <v>42461</v>
      </c>
      <c r="E11936" t="s">
        <v>295</v>
      </c>
      <c r="I11936" s="9"/>
    </row>
    <row r="11937" spans="1:9" x14ac:dyDescent="0.25">
      <c r="A11937">
        <v>920352</v>
      </c>
      <c r="B11937">
        <v>8.5</v>
      </c>
      <c r="C11937">
        <v>10</v>
      </c>
      <c r="D11937" s="9">
        <v>42283</v>
      </c>
      <c r="E11937" t="s">
        <v>295</v>
      </c>
      <c r="I11937" s="9"/>
    </row>
    <row r="11938" spans="1:9" x14ac:dyDescent="0.25">
      <c r="A11938">
        <v>920352</v>
      </c>
      <c r="B11938">
        <v>8.5</v>
      </c>
      <c r="C11938">
        <v>5</v>
      </c>
      <c r="D11938" s="9">
        <v>42198</v>
      </c>
      <c r="E11938" t="s">
        <v>295</v>
      </c>
      <c r="I11938" s="9"/>
    </row>
    <row r="11939" spans="1:9" x14ac:dyDescent="0.25">
      <c r="A11939">
        <v>920352</v>
      </c>
      <c r="B11939">
        <v>8.5</v>
      </c>
      <c r="C11939">
        <v>36</v>
      </c>
      <c r="D11939" s="9">
        <v>42103</v>
      </c>
      <c r="E11939" t="s">
        <v>295</v>
      </c>
      <c r="I11939" s="9"/>
    </row>
    <row r="11940" spans="1:9" x14ac:dyDescent="0.25">
      <c r="A11940">
        <v>920353</v>
      </c>
      <c r="B11940">
        <v>7.75</v>
      </c>
      <c r="C11940">
        <v>1</v>
      </c>
      <c r="D11940" s="9">
        <v>43181</v>
      </c>
      <c r="E11940" t="s">
        <v>295</v>
      </c>
      <c r="I11940" s="9"/>
    </row>
    <row r="11941" spans="1:9" x14ac:dyDescent="0.25">
      <c r="A11941">
        <v>920353</v>
      </c>
      <c r="B11941">
        <v>9</v>
      </c>
      <c r="C11941">
        <v>5</v>
      </c>
      <c r="D11941" s="9">
        <v>42752</v>
      </c>
      <c r="E11941" t="s">
        <v>295</v>
      </c>
      <c r="I11941" s="9"/>
    </row>
    <row r="11942" spans="1:9" x14ac:dyDescent="0.25">
      <c r="A11942">
        <v>920353</v>
      </c>
      <c r="B11942">
        <v>8.5</v>
      </c>
      <c r="C11942">
        <v>10</v>
      </c>
      <c r="D11942" s="9">
        <v>42283</v>
      </c>
      <c r="E11942" t="s">
        <v>295</v>
      </c>
      <c r="I11942" s="9"/>
    </row>
    <row r="11943" spans="1:9" x14ac:dyDescent="0.25">
      <c r="A11943">
        <v>920353</v>
      </c>
      <c r="B11943">
        <v>0</v>
      </c>
      <c r="C11943">
        <v>5</v>
      </c>
      <c r="D11943" s="9">
        <v>42198</v>
      </c>
      <c r="E11943" t="s">
        <v>295</v>
      </c>
      <c r="I11943" s="9"/>
    </row>
    <row r="11944" spans="1:9" x14ac:dyDescent="0.25">
      <c r="A11944">
        <v>920360</v>
      </c>
      <c r="B11944">
        <v>8.8000000000000007</v>
      </c>
      <c r="C11944">
        <v>1</v>
      </c>
      <c r="D11944" s="9">
        <v>43181</v>
      </c>
      <c r="E11944" t="s">
        <v>295</v>
      </c>
      <c r="I11944" s="9"/>
    </row>
    <row r="11945" spans="1:9" x14ac:dyDescent="0.25">
      <c r="A11945">
        <v>920361</v>
      </c>
      <c r="B11945">
        <v>8.8000000000000007</v>
      </c>
      <c r="C11945">
        <v>1</v>
      </c>
      <c r="D11945" s="9">
        <v>43181</v>
      </c>
      <c r="E11945" t="s">
        <v>295</v>
      </c>
      <c r="I11945" s="9"/>
    </row>
    <row r="11946" spans="1:9" x14ac:dyDescent="0.25">
      <c r="A11946">
        <v>920362</v>
      </c>
      <c r="B11946">
        <v>8.8000000000000007</v>
      </c>
      <c r="C11946">
        <v>1</v>
      </c>
      <c r="D11946" s="9">
        <v>43181</v>
      </c>
      <c r="E11946" t="s">
        <v>295</v>
      </c>
      <c r="I11946" s="9"/>
    </row>
    <row r="11947" spans="1:9" x14ac:dyDescent="0.25">
      <c r="A11947">
        <v>920363</v>
      </c>
      <c r="B11947">
        <v>8.8000000000000007</v>
      </c>
      <c r="C11947">
        <v>1</v>
      </c>
      <c r="D11947" s="9">
        <v>43181</v>
      </c>
      <c r="E11947" t="s">
        <v>295</v>
      </c>
      <c r="I11947" s="9"/>
    </row>
    <row r="11948" spans="1:9" x14ac:dyDescent="0.25">
      <c r="A11948">
        <v>920370</v>
      </c>
      <c r="B11948">
        <v>9.5</v>
      </c>
      <c r="C11948">
        <v>1</v>
      </c>
      <c r="D11948" s="9">
        <v>43181</v>
      </c>
      <c r="E11948" t="s">
        <v>295</v>
      </c>
      <c r="I11948" s="9"/>
    </row>
    <row r="11949" spans="1:9" x14ac:dyDescent="0.25">
      <c r="A11949">
        <v>920371</v>
      </c>
      <c r="B11949">
        <v>9.5</v>
      </c>
      <c r="C11949">
        <v>1</v>
      </c>
      <c r="D11949" s="9">
        <v>43181</v>
      </c>
      <c r="E11949" t="s">
        <v>295</v>
      </c>
      <c r="I11949" s="9"/>
    </row>
    <row r="11950" spans="1:9" x14ac:dyDescent="0.25">
      <c r="A11950">
        <v>920372</v>
      </c>
      <c r="B11950">
        <v>9.5</v>
      </c>
      <c r="C11950">
        <v>1</v>
      </c>
      <c r="D11950" s="9">
        <v>43181</v>
      </c>
      <c r="E11950" t="s">
        <v>295</v>
      </c>
      <c r="I11950" s="9"/>
    </row>
    <row r="11951" spans="1:9" x14ac:dyDescent="0.25">
      <c r="A11951">
        <v>920373</v>
      </c>
      <c r="B11951">
        <v>9.5</v>
      </c>
      <c r="C11951">
        <v>1</v>
      </c>
      <c r="D11951" s="9">
        <v>43181</v>
      </c>
      <c r="E11951" t="s">
        <v>295</v>
      </c>
      <c r="I11951" s="9"/>
    </row>
    <row r="11952" spans="1:9" x14ac:dyDescent="0.25">
      <c r="A11952">
        <v>920380</v>
      </c>
      <c r="B11952">
        <v>2.2200000000000002</v>
      </c>
      <c r="C11952">
        <v>132</v>
      </c>
      <c r="D11952" s="9">
        <v>44144</v>
      </c>
      <c r="E11952" t="s">
        <v>295</v>
      </c>
      <c r="I11952" s="9"/>
    </row>
    <row r="11953" spans="1:9" x14ac:dyDescent="0.25">
      <c r="A11953">
        <v>920380</v>
      </c>
      <c r="B11953">
        <v>2.2000000000000002</v>
      </c>
      <c r="C11953">
        <v>132</v>
      </c>
      <c r="D11953" s="9">
        <v>44083</v>
      </c>
      <c r="E11953" t="s">
        <v>295</v>
      </c>
      <c r="I11953" s="9"/>
    </row>
    <row r="11954" spans="1:9" x14ac:dyDescent="0.25">
      <c r="A11954">
        <v>920380</v>
      </c>
      <c r="B11954">
        <v>2.2000000000000002</v>
      </c>
      <c r="C11954">
        <v>132</v>
      </c>
      <c r="D11954" s="9">
        <v>44033</v>
      </c>
      <c r="E11954" t="s">
        <v>295</v>
      </c>
      <c r="I11954" s="9"/>
    </row>
    <row r="11955" spans="1:9" x14ac:dyDescent="0.25">
      <c r="A11955">
        <v>920380</v>
      </c>
      <c r="B11955">
        <v>2.71</v>
      </c>
      <c r="C11955">
        <v>131</v>
      </c>
      <c r="D11955" s="9">
        <v>43795</v>
      </c>
      <c r="E11955" t="s">
        <v>295</v>
      </c>
      <c r="I11955" s="9"/>
    </row>
    <row r="11956" spans="1:9" x14ac:dyDescent="0.25">
      <c r="A11956">
        <v>920380</v>
      </c>
      <c r="B11956">
        <v>1.94</v>
      </c>
      <c r="C11956">
        <v>1</v>
      </c>
      <c r="D11956" s="9">
        <v>43795</v>
      </c>
      <c r="E11956" t="s">
        <v>295</v>
      </c>
      <c r="I11956" s="9"/>
    </row>
    <row r="11957" spans="1:9" x14ac:dyDescent="0.25">
      <c r="A11957">
        <v>920380</v>
      </c>
      <c r="B11957">
        <v>2.15</v>
      </c>
      <c r="C11957">
        <v>132</v>
      </c>
      <c r="D11957" s="9">
        <v>43763</v>
      </c>
      <c r="E11957" t="s">
        <v>295</v>
      </c>
      <c r="I11957" s="9"/>
    </row>
    <row r="11958" spans="1:9" x14ac:dyDescent="0.25">
      <c r="A11958">
        <v>920380</v>
      </c>
      <c r="B11958">
        <v>1.94</v>
      </c>
      <c r="C11958">
        <v>1</v>
      </c>
      <c r="D11958" s="9">
        <v>43669</v>
      </c>
      <c r="E11958" t="s">
        <v>295</v>
      </c>
      <c r="I11958" s="9"/>
    </row>
    <row r="11959" spans="1:9" x14ac:dyDescent="0.25">
      <c r="A11959">
        <v>920380</v>
      </c>
      <c r="B11959">
        <v>2.71</v>
      </c>
      <c r="C11959">
        <v>131</v>
      </c>
      <c r="D11959" s="9">
        <v>43669</v>
      </c>
      <c r="E11959" t="s">
        <v>295</v>
      </c>
      <c r="I11959" s="9"/>
    </row>
    <row r="11960" spans="1:9" x14ac:dyDescent="0.25">
      <c r="A11960">
        <v>920380</v>
      </c>
      <c r="B11960">
        <v>2.7</v>
      </c>
      <c r="C11960">
        <v>131</v>
      </c>
      <c r="D11960" s="9">
        <v>43648</v>
      </c>
      <c r="E11960" t="s">
        <v>295</v>
      </c>
      <c r="I11960" s="9"/>
    </row>
    <row r="11961" spans="1:9" x14ac:dyDescent="0.25">
      <c r="A11961">
        <v>920380</v>
      </c>
      <c r="B11961">
        <v>3.25</v>
      </c>
      <c r="C11961">
        <v>1</v>
      </c>
      <c r="D11961" s="9">
        <v>43648</v>
      </c>
      <c r="E11961" t="s">
        <v>295</v>
      </c>
      <c r="I11961" s="9"/>
    </row>
    <row r="11962" spans="1:9" x14ac:dyDescent="0.25">
      <c r="A11962">
        <v>920380</v>
      </c>
      <c r="B11962">
        <v>2.1</v>
      </c>
      <c r="C11962">
        <v>132</v>
      </c>
      <c r="D11962" s="9">
        <v>43273</v>
      </c>
      <c r="E11962" t="s">
        <v>295</v>
      </c>
      <c r="I11962" s="9"/>
    </row>
    <row r="11963" spans="1:9" x14ac:dyDescent="0.25">
      <c r="A11963">
        <v>920380</v>
      </c>
      <c r="B11963">
        <v>2.1</v>
      </c>
      <c r="C11963">
        <v>264</v>
      </c>
      <c r="D11963" s="9">
        <v>43264</v>
      </c>
      <c r="E11963" t="s">
        <v>295</v>
      </c>
      <c r="I11963" s="9"/>
    </row>
    <row r="11964" spans="1:9" x14ac:dyDescent="0.25">
      <c r="A11964">
        <v>920380</v>
      </c>
      <c r="B11964">
        <v>2.0499999999999998</v>
      </c>
      <c r="C11964">
        <v>1</v>
      </c>
      <c r="D11964" s="9">
        <v>43181</v>
      </c>
      <c r="E11964" t="s">
        <v>295</v>
      </c>
      <c r="I11964" s="9"/>
    </row>
    <row r="11965" spans="1:9" x14ac:dyDescent="0.25">
      <c r="A11965">
        <v>920380</v>
      </c>
      <c r="B11965">
        <v>2.1</v>
      </c>
      <c r="C11965">
        <v>132</v>
      </c>
      <c r="D11965" s="9">
        <v>43090</v>
      </c>
      <c r="E11965" t="s">
        <v>295</v>
      </c>
      <c r="I11965" s="9"/>
    </row>
    <row r="11966" spans="1:9" x14ac:dyDescent="0.25">
      <c r="A11966">
        <v>920380</v>
      </c>
      <c r="B11966">
        <v>2.1</v>
      </c>
      <c r="C11966">
        <v>132</v>
      </c>
      <c r="D11966" s="9">
        <v>43013</v>
      </c>
      <c r="E11966" t="s">
        <v>295</v>
      </c>
      <c r="I11966" s="9"/>
    </row>
    <row r="11967" spans="1:9" x14ac:dyDescent="0.25">
      <c r="A11967">
        <v>920380</v>
      </c>
      <c r="B11967">
        <v>2.1</v>
      </c>
      <c r="C11967">
        <v>132</v>
      </c>
      <c r="D11967" s="9">
        <v>43012</v>
      </c>
      <c r="E11967" t="s">
        <v>295</v>
      </c>
      <c r="I11967" s="9"/>
    </row>
    <row r="11968" spans="1:9" x14ac:dyDescent="0.25">
      <c r="A11968">
        <v>920380</v>
      </c>
      <c r="B11968">
        <v>2.1</v>
      </c>
      <c r="C11968">
        <v>132</v>
      </c>
      <c r="D11968" s="9">
        <v>42950</v>
      </c>
      <c r="E11968" t="s">
        <v>295</v>
      </c>
      <c r="I11968" s="9"/>
    </row>
    <row r="11969" spans="1:9" x14ac:dyDescent="0.25">
      <c r="A11969">
        <v>920380</v>
      </c>
      <c r="B11969">
        <v>2.1</v>
      </c>
      <c r="C11969">
        <v>132</v>
      </c>
      <c r="D11969" s="9">
        <v>42802</v>
      </c>
      <c r="E11969" t="s">
        <v>295</v>
      </c>
      <c r="I11969" s="9"/>
    </row>
    <row r="11970" spans="1:9" x14ac:dyDescent="0.25">
      <c r="A11970">
        <v>920380</v>
      </c>
      <c r="B11970">
        <v>2.1</v>
      </c>
      <c r="C11970">
        <v>1</v>
      </c>
      <c r="D11970" s="9">
        <v>42752</v>
      </c>
      <c r="E11970" t="s">
        <v>295</v>
      </c>
      <c r="I11970" s="9"/>
    </row>
    <row r="11971" spans="1:9" x14ac:dyDescent="0.25">
      <c r="A11971">
        <v>920380</v>
      </c>
      <c r="B11971">
        <v>2.1</v>
      </c>
      <c r="C11971">
        <v>132</v>
      </c>
      <c r="D11971" s="9">
        <v>42738</v>
      </c>
      <c r="E11971" t="s">
        <v>295</v>
      </c>
      <c r="I11971" s="9"/>
    </row>
    <row r="11972" spans="1:9" x14ac:dyDescent="0.25">
      <c r="A11972">
        <v>920380</v>
      </c>
      <c r="B11972">
        <v>2.1</v>
      </c>
      <c r="C11972">
        <v>132</v>
      </c>
      <c r="D11972" s="9">
        <v>42205</v>
      </c>
      <c r="E11972" t="s">
        <v>295</v>
      </c>
      <c r="I11972" s="9"/>
    </row>
    <row r="11973" spans="1:9" x14ac:dyDescent="0.25">
      <c r="A11973">
        <v>920381</v>
      </c>
      <c r="B11973">
        <v>2.37</v>
      </c>
      <c r="C11973">
        <v>132</v>
      </c>
      <c r="D11973" s="9">
        <v>44083</v>
      </c>
      <c r="E11973" t="s">
        <v>295</v>
      </c>
      <c r="I11973" s="9"/>
    </row>
    <row r="11974" spans="1:9" x14ac:dyDescent="0.25">
      <c r="A11974">
        <v>920381</v>
      </c>
      <c r="B11974">
        <v>2.08</v>
      </c>
      <c r="C11974">
        <v>132</v>
      </c>
      <c r="D11974" s="9">
        <v>44076</v>
      </c>
      <c r="E11974" t="s">
        <v>295</v>
      </c>
      <c r="I11974" s="9"/>
    </row>
    <row r="11975" spans="1:9" x14ac:dyDescent="0.25">
      <c r="A11975">
        <v>920381</v>
      </c>
      <c r="B11975">
        <v>2.56</v>
      </c>
      <c r="C11975">
        <v>131</v>
      </c>
      <c r="D11975" s="9">
        <v>43839</v>
      </c>
      <c r="E11975" t="s">
        <v>295</v>
      </c>
      <c r="I11975" s="9"/>
    </row>
    <row r="11976" spans="1:9" x14ac:dyDescent="0.25">
      <c r="A11976">
        <v>920381</v>
      </c>
      <c r="B11976">
        <v>2.15</v>
      </c>
      <c r="C11976">
        <v>1</v>
      </c>
      <c r="D11976" s="9">
        <v>43839</v>
      </c>
      <c r="E11976" t="s">
        <v>295</v>
      </c>
      <c r="I11976" s="9"/>
    </row>
    <row r="11977" spans="1:9" x14ac:dyDescent="0.25">
      <c r="A11977">
        <v>920381</v>
      </c>
      <c r="B11977">
        <v>2.04</v>
      </c>
      <c r="C11977">
        <v>264</v>
      </c>
      <c r="D11977" s="9">
        <v>43781</v>
      </c>
      <c r="E11977" t="s">
        <v>295</v>
      </c>
      <c r="I11977" s="9"/>
    </row>
    <row r="11978" spans="1:9" x14ac:dyDescent="0.25">
      <c r="A11978">
        <v>920381</v>
      </c>
      <c r="B11978">
        <v>2.52</v>
      </c>
      <c r="C11978">
        <v>132</v>
      </c>
      <c r="D11978" s="9">
        <v>43572</v>
      </c>
      <c r="E11978" t="s">
        <v>295</v>
      </c>
      <c r="I11978" s="9"/>
    </row>
    <row r="11979" spans="1:9" x14ac:dyDescent="0.25">
      <c r="A11979">
        <v>920381</v>
      </c>
      <c r="B11979">
        <v>2.4700000000000002</v>
      </c>
      <c r="C11979">
        <v>1</v>
      </c>
      <c r="D11979" s="9">
        <v>43516</v>
      </c>
      <c r="E11979" t="s">
        <v>295</v>
      </c>
    </row>
    <row r="11980" spans="1:9" x14ac:dyDescent="0.25">
      <c r="A11980">
        <v>920381</v>
      </c>
      <c r="B11980">
        <v>2.52</v>
      </c>
      <c r="C11980">
        <v>131</v>
      </c>
      <c r="D11980" s="9">
        <v>43516</v>
      </c>
      <c r="E11980" t="s">
        <v>295</v>
      </c>
    </row>
    <row r="11981" spans="1:9" x14ac:dyDescent="0.25">
      <c r="A11981">
        <v>920381</v>
      </c>
      <c r="B11981">
        <v>1.95</v>
      </c>
      <c r="C11981">
        <v>132</v>
      </c>
      <c r="D11981" s="9">
        <v>43312</v>
      </c>
      <c r="E11981" t="s">
        <v>295</v>
      </c>
    </row>
    <row r="11982" spans="1:9" x14ac:dyDescent="0.25">
      <c r="A11982">
        <v>920381</v>
      </c>
      <c r="B11982">
        <v>2.15</v>
      </c>
      <c r="C11982">
        <v>1</v>
      </c>
      <c r="D11982" s="9">
        <v>43181</v>
      </c>
      <c r="E11982" t="s">
        <v>295</v>
      </c>
    </row>
    <row r="11983" spans="1:9" x14ac:dyDescent="0.25">
      <c r="A11983">
        <v>920381</v>
      </c>
      <c r="B11983">
        <v>1.95</v>
      </c>
      <c r="C11983">
        <v>132</v>
      </c>
      <c r="D11983" s="9">
        <v>43090</v>
      </c>
      <c r="E11983" t="s">
        <v>295</v>
      </c>
    </row>
    <row r="11984" spans="1:9" x14ac:dyDescent="0.25">
      <c r="A11984">
        <v>920381</v>
      </c>
      <c r="B11984">
        <v>1.95</v>
      </c>
      <c r="C11984">
        <v>132</v>
      </c>
      <c r="D11984" s="9">
        <v>43013</v>
      </c>
      <c r="E11984" t="s">
        <v>295</v>
      </c>
    </row>
    <row r="11985" spans="1:5" x14ac:dyDescent="0.25">
      <c r="A11985">
        <v>920381</v>
      </c>
      <c r="B11985">
        <v>1.95</v>
      </c>
      <c r="C11985">
        <v>132</v>
      </c>
      <c r="D11985" s="9">
        <v>43012</v>
      </c>
      <c r="E11985" t="s">
        <v>295</v>
      </c>
    </row>
    <row r="11986" spans="1:5" x14ac:dyDescent="0.25">
      <c r="A11986">
        <v>920381</v>
      </c>
      <c r="B11986">
        <v>1.95</v>
      </c>
      <c r="C11986">
        <v>1</v>
      </c>
      <c r="D11986" s="9">
        <v>42752</v>
      </c>
      <c r="E11986" t="s">
        <v>295</v>
      </c>
    </row>
    <row r="11987" spans="1:5" x14ac:dyDescent="0.25">
      <c r="A11987">
        <v>920381</v>
      </c>
      <c r="B11987">
        <v>1.95</v>
      </c>
      <c r="C11987">
        <v>132</v>
      </c>
      <c r="D11987" s="9">
        <v>42738</v>
      </c>
      <c r="E11987" t="s">
        <v>295</v>
      </c>
    </row>
    <row r="11988" spans="1:5" x14ac:dyDescent="0.25">
      <c r="A11988">
        <v>920381</v>
      </c>
      <c r="B11988">
        <v>1.95</v>
      </c>
      <c r="C11988">
        <v>132</v>
      </c>
      <c r="D11988" s="9">
        <v>42653</v>
      </c>
      <c r="E11988" t="s">
        <v>295</v>
      </c>
    </row>
    <row r="11989" spans="1:5" x14ac:dyDescent="0.25">
      <c r="A11989">
        <v>920381</v>
      </c>
      <c r="B11989">
        <v>1.95</v>
      </c>
      <c r="C11989">
        <v>132</v>
      </c>
      <c r="D11989" s="9">
        <v>42461</v>
      </c>
      <c r="E11989" t="s">
        <v>295</v>
      </c>
    </row>
    <row r="11990" spans="1:5" x14ac:dyDescent="0.25">
      <c r="A11990">
        <v>920381</v>
      </c>
      <c r="B11990">
        <v>1.95</v>
      </c>
      <c r="C11990">
        <v>132</v>
      </c>
      <c r="D11990" s="9">
        <v>42447</v>
      </c>
      <c r="E11990" t="s">
        <v>295</v>
      </c>
    </row>
    <row r="11991" spans="1:5" x14ac:dyDescent="0.25">
      <c r="A11991">
        <v>920381</v>
      </c>
      <c r="B11991">
        <v>1.95</v>
      </c>
      <c r="C11991">
        <v>132</v>
      </c>
      <c r="D11991" s="9">
        <v>42412</v>
      </c>
      <c r="E11991" t="s">
        <v>295</v>
      </c>
    </row>
    <row r="11992" spans="1:5" x14ac:dyDescent="0.25">
      <c r="A11992">
        <v>920381</v>
      </c>
      <c r="B11992">
        <v>1.95</v>
      </c>
      <c r="C11992">
        <v>132</v>
      </c>
      <c r="D11992" s="9">
        <v>42205</v>
      </c>
      <c r="E11992" t="s">
        <v>295</v>
      </c>
    </row>
    <row r="11993" spans="1:5" x14ac:dyDescent="0.25">
      <c r="A11993">
        <v>920382</v>
      </c>
      <c r="B11993">
        <v>2.76</v>
      </c>
      <c r="C11993">
        <v>72</v>
      </c>
      <c r="D11993" s="9">
        <v>44144</v>
      </c>
      <c r="E11993" t="s">
        <v>295</v>
      </c>
    </row>
    <row r="11994" spans="1:5" x14ac:dyDescent="0.25">
      <c r="A11994">
        <v>920382</v>
      </c>
      <c r="B11994">
        <v>3.4</v>
      </c>
      <c r="C11994">
        <v>72</v>
      </c>
      <c r="D11994" s="9">
        <v>44091</v>
      </c>
      <c r="E11994" t="s">
        <v>295</v>
      </c>
    </row>
    <row r="11995" spans="1:5" x14ac:dyDescent="0.25">
      <c r="A11995">
        <v>920382</v>
      </c>
      <c r="B11995">
        <v>1.25</v>
      </c>
      <c r="C11995">
        <v>72</v>
      </c>
      <c r="D11995" s="9">
        <v>44033</v>
      </c>
      <c r="E11995" t="s">
        <v>295</v>
      </c>
    </row>
    <row r="11996" spans="1:5" x14ac:dyDescent="0.25">
      <c r="A11996">
        <v>920382</v>
      </c>
      <c r="B11996">
        <v>1.28</v>
      </c>
      <c r="C11996">
        <v>72</v>
      </c>
      <c r="D11996" s="9">
        <v>43990</v>
      </c>
      <c r="E11996" t="s">
        <v>295</v>
      </c>
    </row>
    <row r="11997" spans="1:5" x14ac:dyDescent="0.25">
      <c r="A11997">
        <v>920382</v>
      </c>
      <c r="B11997">
        <v>2.66</v>
      </c>
      <c r="C11997">
        <v>72</v>
      </c>
      <c r="D11997" s="9">
        <v>43851</v>
      </c>
      <c r="E11997" t="s">
        <v>295</v>
      </c>
    </row>
    <row r="11998" spans="1:5" x14ac:dyDescent="0.25">
      <c r="A11998">
        <v>920382</v>
      </c>
      <c r="B11998">
        <v>2.65</v>
      </c>
      <c r="C11998">
        <v>72</v>
      </c>
      <c r="D11998" s="9">
        <v>43763</v>
      </c>
      <c r="E11998" t="s">
        <v>295</v>
      </c>
    </row>
    <row r="11999" spans="1:5" x14ac:dyDescent="0.25">
      <c r="A11999">
        <v>920382</v>
      </c>
      <c r="B11999">
        <v>3.27</v>
      </c>
      <c r="C11999">
        <v>71</v>
      </c>
      <c r="D11999" s="9">
        <v>43572</v>
      </c>
      <c r="E11999" t="s">
        <v>295</v>
      </c>
    </row>
    <row r="12000" spans="1:5" x14ac:dyDescent="0.25">
      <c r="A12000">
        <v>920382</v>
      </c>
      <c r="B12000">
        <v>2.77</v>
      </c>
      <c r="C12000">
        <v>1</v>
      </c>
      <c r="D12000" s="9">
        <v>43572</v>
      </c>
      <c r="E12000" t="s">
        <v>295</v>
      </c>
    </row>
    <row r="12001" spans="1:5" x14ac:dyDescent="0.25">
      <c r="A12001">
        <v>920382</v>
      </c>
      <c r="B12001">
        <v>2.66</v>
      </c>
      <c r="C12001">
        <v>216</v>
      </c>
      <c r="D12001" s="9">
        <v>43264</v>
      </c>
      <c r="E12001" t="s">
        <v>295</v>
      </c>
    </row>
    <row r="12002" spans="1:5" x14ac:dyDescent="0.25">
      <c r="A12002">
        <v>920382</v>
      </c>
      <c r="B12002">
        <v>2.4500000000000002</v>
      </c>
      <c r="C12002">
        <v>1</v>
      </c>
      <c r="D12002" s="9">
        <v>43181</v>
      </c>
      <c r="E12002" t="s">
        <v>295</v>
      </c>
    </row>
    <row r="12003" spans="1:5" x14ac:dyDescent="0.25">
      <c r="A12003">
        <v>920382</v>
      </c>
      <c r="B12003">
        <v>2.66</v>
      </c>
      <c r="C12003">
        <v>72</v>
      </c>
      <c r="D12003" s="9">
        <v>43090</v>
      </c>
      <c r="E12003" t="s">
        <v>295</v>
      </c>
    </row>
    <row r="12004" spans="1:5" x14ac:dyDescent="0.25">
      <c r="A12004">
        <v>920382</v>
      </c>
      <c r="B12004">
        <v>2.66</v>
      </c>
      <c r="C12004">
        <v>1</v>
      </c>
      <c r="D12004" s="9">
        <v>42752</v>
      </c>
      <c r="E12004" t="s">
        <v>295</v>
      </c>
    </row>
    <row r="12005" spans="1:5" x14ac:dyDescent="0.25">
      <c r="A12005">
        <v>920382</v>
      </c>
      <c r="B12005">
        <v>2.66</v>
      </c>
      <c r="C12005">
        <v>144</v>
      </c>
      <c r="D12005" s="9">
        <v>42738</v>
      </c>
      <c r="E12005" t="s">
        <v>295</v>
      </c>
    </row>
    <row r="12006" spans="1:5" x14ac:dyDescent="0.25">
      <c r="A12006">
        <v>920382</v>
      </c>
      <c r="B12006">
        <v>2.66</v>
      </c>
      <c r="C12006">
        <v>72</v>
      </c>
      <c r="D12006" s="9">
        <v>42205</v>
      </c>
      <c r="E12006" t="s">
        <v>295</v>
      </c>
    </row>
    <row r="12007" spans="1:5" x14ac:dyDescent="0.25">
      <c r="A12007">
        <v>920382</v>
      </c>
      <c r="B12007">
        <v>2.66</v>
      </c>
      <c r="C12007">
        <v>132</v>
      </c>
      <c r="D12007" s="9">
        <v>42146</v>
      </c>
      <c r="E12007" t="s">
        <v>295</v>
      </c>
    </row>
    <row r="12008" spans="1:5" x14ac:dyDescent="0.25">
      <c r="A12008">
        <v>920401</v>
      </c>
      <c r="B12008">
        <v>1.08</v>
      </c>
      <c r="C12008">
        <v>1008</v>
      </c>
      <c r="D12008" s="9">
        <v>44111</v>
      </c>
      <c r="E12008" t="s">
        <v>296</v>
      </c>
    </row>
    <row r="12009" spans="1:5" x14ac:dyDescent="0.25">
      <c r="A12009">
        <v>920401</v>
      </c>
      <c r="B12009">
        <v>1.05</v>
      </c>
      <c r="C12009">
        <v>1080</v>
      </c>
      <c r="D12009" s="9">
        <v>44039</v>
      </c>
      <c r="E12009" t="s">
        <v>296</v>
      </c>
    </row>
    <row r="12010" spans="1:5" x14ac:dyDescent="0.25">
      <c r="A12010">
        <v>920401</v>
      </c>
      <c r="B12010">
        <v>1.05</v>
      </c>
      <c r="C12010">
        <v>1080</v>
      </c>
      <c r="D12010" s="9">
        <v>43684</v>
      </c>
      <c r="E12010" t="s">
        <v>296</v>
      </c>
    </row>
    <row r="12011" spans="1:5" x14ac:dyDescent="0.25">
      <c r="A12011">
        <v>920401</v>
      </c>
      <c r="B12011">
        <v>1</v>
      </c>
      <c r="C12011">
        <v>1080</v>
      </c>
      <c r="D12011" s="9">
        <v>43391</v>
      </c>
      <c r="E12011" t="s">
        <v>296</v>
      </c>
    </row>
    <row r="12012" spans="1:5" x14ac:dyDescent="0.25">
      <c r="A12012">
        <v>920401</v>
      </c>
      <c r="B12012">
        <v>1</v>
      </c>
      <c r="C12012">
        <v>1080</v>
      </c>
      <c r="D12012" s="9">
        <v>43131</v>
      </c>
      <c r="E12012" t="s">
        <v>296</v>
      </c>
    </row>
    <row r="12013" spans="1:5" x14ac:dyDescent="0.25">
      <c r="A12013">
        <v>920451</v>
      </c>
      <c r="B12013">
        <v>14</v>
      </c>
      <c r="C12013">
        <v>48</v>
      </c>
      <c r="D12013" s="9">
        <v>43878</v>
      </c>
      <c r="E12013" t="s">
        <v>295</v>
      </c>
    </row>
    <row r="12014" spans="1:5" x14ac:dyDescent="0.25">
      <c r="A12014">
        <v>920451</v>
      </c>
      <c r="B12014">
        <v>14</v>
      </c>
      <c r="C12014">
        <v>46</v>
      </c>
      <c r="D12014" s="9">
        <v>43591</v>
      </c>
      <c r="E12014" t="s">
        <v>295</v>
      </c>
    </row>
    <row r="12015" spans="1:5" x14ac:dyDescent="0.25">
      <c r="A12015">
        <v>920451</v>
      </c>
      <c r="B12015">
        <v>14</v>
      </c>
      <c r="C12015">
        <v>92</v>
      </c>
      <c r="D12015" s="9">
        <v>43581</v>
      </c>
      <c r="E12015" t="s">
        <v>295</v>
      </c>
    </row>
    <row r="12016" spans="1:5" x14ac:dyDescent="0.25">
      <c r="A12016">
        <v>920451</v>
      </c>
      <c r="B12016">
        <v>14</v>
      </c>
      <c r="C12016">
        <v>29</v>
      </c>
      <c r="D12016" s="9">
        <v>43539</v>
      </c>
      <c r="E12016" t="s">
        <v>295</v>
      </c>
    </row>
    <row r="12017" spans="1:5" x14ac:dyDescent="0.25">
      <c r="A12017">
        <v>920451</v>
      </c>
      <c r="B12017">
        <v>16.61</v>
      </c>
      <c r="C12017">
        <v>4</v>
      </c>
      <c r="D12017" s="9">
        <v>43427</v>
      </c>
      <c r="E12017" t="s">
        <v>295</v>
      </c>
    </row>
    <row r="12018" spans="1:5" x14ac:dyDescent="0.25">
      <c r="A12018">
        <v>920451</v>
      </c>
      <c r="B12018">
        <v>13.5</v>
      </c>
      <c r="C12018">
        <v>26</v>
      </c>
      <c r="D12018" s="9">
        <v>43419</v>
      </c>
      <c r="E12018" t="s">
        <v>295</v>
      </c>
    </row>
    <row r="12019" spans="1:5" x14ac:dyDescent="0.25">
      <c r="A12019">
        <v>920452</v>
      </c>
      <c r="B12019">
        <v>16</v>
      </c>
      <c r="C12019">
        <v>32</v>
      </c>
      <c r="D12019" s="9">
        <v>43878</v>
      </c>
      <c r="E12019" t="s">
        <v>295</v>
      </c>
    </row>
    <row r="12020" spans="1:5" x14ac:dyDescent="0.25">
      <c r="A12020">
        <v>920452</v>
      </c>
      <c r="B12020">
        <v>16</v>
      </c>
      <c r="C12020">
        <v>16</v>
      </c>
      <c r="D12020" s="9">
        <v>43873</v>
      </c>
      <c r="E12020" t="s">
        <v>295</v>
      </c>
    </row>
    <row r="12021" spans="1:5" x14ac:dyDescent="0.25">
      <c r="A12021">
        <v>920452</v>
      </c>
      <c r="B12021">
        <v>16</v>
      </c>
      <c r="C12021">
        <v>16</v>
      </c>
      <c r="D12021" s="9">
        <v>43595</v>
      </c>
      <c r="E12021" t="s">
        <v>295</v>
      </c>
    </row>
    <row r="12022" spans="1:5" x14ac:dyDescent="0.25">
      <c r="A12022">
        <v>920452</v>
      </c>
      <c r="B12022">
        <v>16</v>
      </c>
      <c r="C12022">
        <v>32</v>
      </c>
      <c r="D12022" s="9">
        <v>43591</v>
      </c>
      <c r="E12022" t="s">
        <v>295</v>
      </c>
    </row>
    <row r="12023" spans="1:5" x14ac:dyDescent="0.25">
      <c r="A12023">
        <v>920452</v>
      </c>
      <c r="B12023">
        <v>16</v>
      </c>
      <c r="C12023">
        <v>64</v>
      </c>
      <c r="D12023" s="9">
        <v>43581</v>
      </c>
      <c r="E12023" t="s">
        <v>295</v>
      </c>
    </row>
    <row r="12024" spans="1:5" x14ac:dyDescent="0.25">
      <c r="A12024">
        <v>920452</v>
      </c>
      <c r="B12024">
        <v>19.13</v>
      </c>
      <c r="C12024">
        <v>19</v>
      </c>
      <c r="D12024" s="9">
        <v>43511</v>
      </c>
      <c r="E12024" t="s">
        <v>295</v>
      </c>
    </row>
    <row r="12025" spans="1:5" x14ac:dyDescent="0.25">
      <c r="A12025">
        <v>920452</v>
      </c>
      <c r="B12025">
        <v>15.55</v>
      </c>
      <c r="C12025">
        <v>16</v>
      </c>
      <c r="D12025" s="9">
        <v>43419</v>
      </c>
      <c r="E12025" t="s">
        <v>295</v>
      </c>
    </row>
    <row r="12026" spans="1:5" x14ac:dyDescent="0.25">
      <c r="A12026">
        <v>920453</v>
      </c>
      <c r="B12026">
        <v>2.8</v>
      </c>
      <c r="C12026">
        <v>260</v>
      </c>
      <c r="D12026" s="9">
        <v>43874</v>
      </c>
      <c r="E12026" t="s">
        <v>295</v>
      </c>
    </row>
    <row r="12027" spans="1:5" x14ac:dyDescent="0.25">
      <c r="A12027">
        <v>920453</v>
      </c>
      <c r="B12027">
        <v>2.8</v>
      </c>
      <c r="C12027">
        <v>130</v>
      </c>
      <c r="D12027" s="9">
        <v>43782</v>
      </c>
      <c r="E12027" t="s">
        <v>295</v>
      </c>
    </row>
    <row r="12028" spans="1:5" x14ac:dyDescent="0.25">
      <c r="A12028">
        <v>920453</v>
      </c>
      <c r="B12028">
        <v>2.8</v>
      </c>
      <c r="C12028">
        <v>132</v>
      </c>
      <c r="D12028" s="9">
        <v>43553</v>
      </c>
      <c r="E12028" t="s">
        <v>295</v>
      </c>
    </row>
    <row r="12029" spans="1:5" x14ac:dyDescent="0.25">
      <c r="A12029">
        <v>920453</v>
      </c>
      <c r="B12029">
        <v>2.8</v>
      </c>
      <c r="C12029">
        <v>70</v>
      </c>
      <c r="D12029" s="9">
        <v>43539</v>
      </c>
      <c r="E12029" t="s">
        <v>295</v>
      </c>
    </row>
    <row r="12030" spans="1:5" x14ac:dyDescent="0.25">
      <c r="A12030">
        <v>920453</v>
      </c>
      <c r="B12030">
        <v>2.99</v>
      </c>
      <c r="C12030">
        <v>55</v>
      </c>
      <c r="D12030" s="9">
        <v>43511</v>
      </c>
      <c r="E12030" t="s">
        <v>295</v>
      </c>
    </row>
    <row r="12031" spans="1:5" x14ac:dyDescent="0.25">
      <c r="A12031">
        <v>920453</v>
      </c>
      <c r="B12031">
        <v>2.99</v>
      </c>
      <c r="C12031">
        <v>70</v>
      </c>
      <c r="D12031" s="9">
        <v>43427</v>
      </c>
      <c r="E12031" t="s">
        <v>295</v>
      </c>
    </row>
    <row r="12032" spans="1:5" x14ac:dyDescent="0.25">
      <c r="A12032">
        <v>920453</v>
      </c>
      <c r="B12032">
        <v>2.4300000000000002</v>
      </c>
      <c r="C12032">
        <v>66</v>
      </c>
      <c r="D12032" s="9">
        <v>43419</v>
      </c>
      <c r="E12032" t="s">
        <v>295</v>
      </c>
    </row>
    <row r="12033" spans="1:5" x14ac:dyDescent="0.25">
      <c r="A12033">
        <v>920454</v>
      </c>
      <c r="B12033">
        <v>3.8</v>
      </c>
      <c r="C12033">
        <v>130</v>
      </c>
      <c r="D12033" s="9">
        <v>44057</v>
      </c>
      <c r="E12033" t="s">
        <v>295</v>
      </c>
    </row>
    <row r="12034" spans="1:5" x14ac:dyDescent="0.25">
      <c r="A12034">
        <v>920454</v>
      </c>
      <c r="B12034">
        <v>3.8</v>
      </c>
      <c r="C12034">
        <v>130</v>
      </c>
      <c r="D12034" s="9">
        <v>43874</v>
      </c>
      <c r="E12034" t="s">
        <v>295</v>
      </c>
    </row>
    <row r="12035" spans="1:5" x14ac:dyDescent="0.25">
      <c r="A12035">
        <v>920454</v>
      </c>
      <c r="B12035">
        <v>3.8</v>
      </c>
      <c r="C12035">
        <v>130</v>
      </c>
      <c r="D12035" s="9">
        <v>43810</v>
      </c>
      <c r="E12035" t="s">
        <v>295</v>
      </c>
    </row>
    <row r="12036" spans="1:5" x14ac:dyDescent="0.25">
      <c r="A12036">
        <v>920454</v>
      </c>
      <c r="B12036">
        <v>3.8</v>
      </c>
      <c r="C12036">
        <v>28</v>
      </c>
      <c r="D12036" s="9">
        <v>43546</v>
      </c>
      <c r="E12036" t="s">
        <v>295</v>
      </c>
    </row>
    <row r="12037" spans="1:5" x14ac:dyDescent="0.25">
      <c r="A12037">
        <v>920454</v>
      </c>
      <c r="B12037">
        <v>3.8</v>
      </c>
      <c r="C12037">
        <v>32</v>
      </c>
      <c r="D12037" s="9">
        <v>43539</v>
      </c>
      <c r="E12037" t="s">
        <v>295</v>
      </c>
    </row>
    <row r="12038" spans="1:5" x14ac:dyDescent="0.25">
      <c r="A12038">
        <v>920454</v>
      </c>
      <c r="B12038">
        <v>4.22</v>
      </c>
      <c r="C12038">
        <v>54</v>
      </c>
      <c r="D12038" s="9">
        <v>43511</v>
      </c>
      <c r="E12038" t="s">
        <v>295</v>
      </c>
    </row>
    <row r="12039" spans="1:5" x14ac:dyDescent="0.25">
      <c r="A12039">
        <v>920454</v>
      </c>
      <c r="B12039">
        <v>4.22</v>
      </c>
      <c r="C12039">
        <v>70</v>
      </c>
      <c r="D12039" s="9">
        <v>43427</v>
      </c>
      <c r="E12039" t="s">
        <v>295</v>
      </c>
    </row>
    <row r="12040" spans="1:5" x14ac:dyDescent="0.25">
      <c r="A12040">
        <v>920454</v>
      </c>
      <c r="B12040">
        <v>3.43</v>
      </c>
      <c r="C12040">
        <v>65</v>
      </c>
      <c r="D12040" s="9">
        <v>43419</v>
      </c>
      <c r="E12040" t="s">
        <v>295</v>
      </c>
    </row>
    <row r="12041" spans="1:5" x14ac:dyDescent="0.25">
      <c r="A12041">
        <v>920455</v>
      </c>
      <c r="B12041">
        <v>7.9</v>
      </c>
      <c r="C12041">
        <v>48</v>
      </c>
      <c r="D12041" s="9">
        <v>43881</v>
      </c>
      <c r="E12041" t="s">
        <v>295</v>
      </c>
    </row>
    <row r="12042" spans="1:5" x14ac:dyDescent="0.25">
      <c r="A12042">
        <v>920455</v>
      </c>
      <c r="B12042">
        <v>7.9</v>
      </c>
      <c r="C12042">
        <v>48</v>
      </c>
      <c r="D12042" s="9">
        <v>43878</v>
      </c>
      <c r="E12042" t="s">
        <v>295</v>
      </c>
    </row>
    <row r="12043" spans="1:5" x14ac:dyDescent="0.25">
      <c r="A12043">
        <v>920455</v>
      </c>
      <c r="B12043">
        <v>7.9</v>
      </c>
      <c r="C12043">
        <v>48</v>
      </c>
      <c r="D12043" s="9">
        <v>43874</v>
      </c>
      <c r="E12043" t="s">
        <v>295</v>
      </c>
    </row>
    <row r="12044" spans="1:5" x14ac:dyDescent="0.25">
      <c r="A12044">
        <v>920455</v>
      </c>
      <c r="B12044">
        <v>7.9</v>
      </c>
      <c r="C12044">
        <v>27</v>
      </c>
      <c r="D12044" s="9">
        <v>43546</v>
      </c>
      <c r="E12044" t="s">
        <v>295</v>
      </c>
    </row>
    <row r="12045" spans="1:5" x14ac:dyDescent="0.25">
      <c r="A12045">
        <v>920455</v>
      </c>
      <c r="B12045">
        <v>7.9</v>
      </c>
      <c r="C12045">
        <v>3</v>
      </c>
      <c r="D12045" s="9">
        <v>43539</v>
      </c>
      <c r="E12045" t="s">
        <v>295</v>
      </c>
    </row>
    <row r="12046" spans="1:5" x14ac:dyDescent="0.25">
      <c r="A12046">
        <v>920455</v>
      </c>
      <c r="B12046">
        <v>9.2899999999999991</v>
      </c>
      <c r="C12046">
        <v>65</v>
      </c>
      <c r="D12046" s="9">
        <v>43511</v>
      </c>
      <c r="E12046" t="s">
        <v>295</v>
      </c>
    </row>
    <row r="12047" spans="1:5" x14ac:dyDescent="0.25">
      <c r="A12047">
        <v>920455</v>
      </c>
      <c r="B12047">
        <v>9.2899999999999991</v>
      </c>
      <c r="C12047">
        <v>3</v>
      </c>
      <c r="D12047" s="9">
        <v>43427</v>
      </c>
      <c r="E12047" t="s">
        <v>295</v>
      </c>
    </row>
    <row r="12048" spans="1:5" x14ac:dyDescent="0.25">
      <c r="A12048">
        <v>920455</v>
      </c>
      <c r="B12048">
        <v>7.55</v>
      </c>
      <c r="C12048">
        <v>27</v>
      </c>
      <c r="D12048" s="9">
        <v>43419</v>
      </c>
      <c r="E12048" t="s">
        <v>295</v>
      </c>
    </row>
    <row r="12049" spans="1:5" x14ac:dyDescent="0.25">
      <c r="A12049">
        <v>920456</v>
      </c>
      <c r="B12049">
        <v>10.6</v>
      </c>
      <c r="C12049">
        <v>36</v>
      </c>
      <c r="D12049" s="9">
        <v>44057</v>
      </c>
      <c r="E12049" t="s">
        <v>295</v>
      </c>
    </row>
    <row r="12050" spans="1:5" x14ac:dyDescent="0.25">
      <c r="A12050">
        <v>920456</v>
      </c>
      <c r="B12050">
        <v>10.6</v>
      </c>
      <c r="C12050">
        <v>36</v>
      </c>
      <c r="D12050" s="9">
        <v>43881</v>
      </c>
      <c r="E12050" t="s">
        <v>295</v>
      </c>
    </row>
    <row r="12051" spans="1:5" x14ac:dyDescent="0.25">
      <c r="A12051">
        <v>920456</v>
      </c>
      <c r="B12051">
        <v>10.6</v>
      </c>
      <c r="C12051">
        <v>108</v>
      </c>
      <c r="D12051" s="9">
        <v>43874</v>
      </c>
      <c r="E12051" t="s">
        <v>295</v>
      </c>
    </row>
    <row r="12052" spans="1:5" x14ac:dyDescent="0.25">
      <c r="A12052">
        <v>920456</v>
      </c>
      <c r="B12052">
        <v>10.6</v>
      </c>
      <c r="C12052">
        <v>36</v>
      </c>
      <c r="D12052" s="9">
        <v>43775</v>
      </c>
      <c r="E12052" t="s">
        <v>295</v>
      </c>
    </row>
    <row r="12053" spans="1:5" x14ac:dyDescent="0.25">
      <c r="A12053">
        <v>920456</v>
      </c>
      <c r="B12053">
        <v>10.4</v>
      </c>
      <c r="C12053">
        <v>50</v>
      </c>
      <c r="D12053" s="9">
        <v>43546</v>
      </c>
      <c r="E12053" t="s">
        <v>295</v>
      </c>
    </row>
    <row r="12054" spans="1:5" x14ac:dyDescent="0.25">
      <c r="A12054">
        <v>920456</v>
      </c>
      <c r="B12054">
        <v>10.4</v>
      </c>
      <c r="C12054">
        <v>4</v>
      </c>
      <c r="D12054" s="9">
        <v>43539</v>
      </c>
      <c r="E12054" t="s">
        <v>295</v>
      </c>
    </row>
    <row r="12055" spans="1:5" x14ac:dyDescent="0.25">
      <c r="A12055">
        <v>920456</v>
      </c>
      <c r="B12055">
        <v>12.36</v>
      </c>
      <c r="C12055">
        <v>57</v>
      </c>
      <c r="D12055" s="9">
        <v>43511</v>
      </c>
      <c r="E12055" t="s">
        <v>295</v>
      </c>
    </row>
    <row r="12056" spans="1:5" x14ac:dyDescent="0.25">
      <c r="A12056">
        <v>920456</v>
      </c>
      <c r="B12056">
        <v>12.53</v>
      </c>
      <c r="C12056">
        <v>1</v>
      </c>
      <c r="D12056" s="9">
        <v>43511</v>
      </c>
      <c r="E12056" t="s">
        <v>295</v>
      </c>
    </row>
    <row r="12057" spans="1:5" x14ac:dyDescent="0.25">
      <c r="A12057">
        <v>920456</v>
      </c>
      <c r="B12057">
        <v>14.07</v>
      </c>
      <c r="C12057">
        <v>1</v>
      </c>
      <c r="D12057" s="9">
        <v>43427</v>
      </c>
      <c r="E12057" t="s">
        <v>295</v>
      </c>
    </row>
    <row r="12058" spans="1:5" x14ac:dyDescent="0.25">
      <c r="A12058">
        <v>920456</v>
      </c>
      <c r="B12058">
        <v>12.36</v>
      </c>
      <c r="C12058">
        <v>29</v>
      </c>
      <c r="D12058" s="9">
        <v>43427</v>
      </c>
      <c r="E12058" t="s">
        <v>295</v>
      </c>
    </row>
    <row r="12059" spans="1:5" x14ac:dyDescent="0.25">
      <c r="A12059">
        <v>920456</v>
      </c>
      <c r="B12059">
        <v>10.050000000000001</v>
      </c>
      <c r="C12059">
        <v>25</v>
      </c>
      <c r="D12059" s="9">
        <v>43419</v>
      </c>
      <c r="E12059" t="s">
        <v>295</v>
      </c>
    </row>
    <row r="12060" spans="1:5" x14ac:dyDescent="0.25">
      <c r="A12060">
        <v>920506</v>
      </c>
      <c r="B12060">
        <v>125</v>
      </c>
      <c r="C12060">
        <v>40</v>
      </c>
      <c r="D12060" s="9">
        <v>43584</v>
      </c>
      <c r="E12060" t="s">
        <v>295</v>
      </c>
    </row>
    <row r="12061" spans="1:5" x14ac:dyDescent="0.25">
      <c r="A12061">
        <v>930600</v>
      </c>
      <c r="B12061">
        <v>1.637</v>
      </c>
      <c r="C12061">
        <v>720</v>
      </c>
      <c r="D12061" s="9">
        <v>42753</v>
      </c>
      <c r="E12061" t="s">
        <v>297</v>
      </c>
    </row>
    <row r="12062" spans="1:5" x14ac:dyDescent="0.25">
      <c r="A12062">
        <v>930600</v>
      </c>
      <c r="B12062">
        <v>1.7789999999999999</v>
      </c>
      <c r="C12062">
        <v>1008</v>
      </c>
      <c r="D12062" s="9">
        <v>41295</v>
      </c>
      <c r="E12062" t="s">
        <v>296</v>
      </c>
    </row>
    <row r="12063" spans="1:5" x14ac:dyDescent="0.25">
      <c r="A12063">
        <v>930620</v>
      </c>
      <c r="B12063">
        <v>2.4500000000000002</v>
      </c>
      <c r="C12063">
        <v>720</v>
      </c>
      <c r="D12063" s="9">
        <v>44035</v>
      </c>
      <c r="E12063" t="s">
        <v>296</v>
      </c>
    </row>
    <row r="12064" spans="1:5" x14ac:dyDescent="0.25">
      <c r="A12064">
        <v>930620</v>
      </c>
      <c r="B12064">
        <v>2.4500000000000002</v>
      </c>
      <c r="C12064">
        <v>720</v>
      </c>
      <c r="D12064" s="9">
        <v>43784</v>
      </c>
      <c r="E12064" t="s">
        <v>296</v>
      </c>
    </row>
    <row r="12065" spans="1:5" x14ac:dyDescent="0.25">
      <c r="A12065">
        <v>930620</v>
      </c>
      <c r="B12065">
        <v>2.48</v>
      </c>
      <c r="C12065">
        <v>720</v>
      </c>
      <c r="D12065" s="9">
        <v>43612</v>
      </c>
      <c r="E12065" t="s">
        <v>296</v>
      </c>
    </row>
    <row r="12066" spans="1:5" x14ac:dyDescent="0.25">
      <c r="A12066">
        <v>930620</v>
      </c>
      <c r="B12066">
        <v>2.4500000000000002</v>
      </c>
      <c r="C12066">
        <v>720</v>
      </c>
      <c r="D12066" s="9">
        <v>43403</v>
      </c>
      <c r="E12066" t="s">
        <v>296</v>
      </c>
    </row>
    <row r="12067" spans="1:5" x14ac:dyDescent="0.25">
      <c r="A12067">
        <v>930620</v>
      </c>
      <c r="B12067">
        <v>9.4</v>
      </c>
      <c r="C12067">
        <v>720</v>
      </c>
      <c r="D12067" s="9">
        <v>43340</v>
      </c>
      <c r="E12067" t="s">
        <v>295</v>
      </c>
    </row>
    <row r="12068" spans="1:5" x14ac:dyDescent="0.25">
      <c r="A12068">
        <v>930620</v>
      </c>
      <c r="B12068">
        <v>2.4500000000000002</v>
      </c>
      <c r="C12068">
        <v>720</v>
      </c>
      <c r="D12068" s="9">
        <v>43299</v>
      </c>
      <c r="E12068" t="s">
        <v>296</v>
      </c>
    </row>
    <row r="12069" spans="1:5" x14ac:dyDescent="0.25">
      <c r="A12069">
        <v>930620</v>
      </c>
      <c r="B12069">
        <v>9.5</v>
      </c>
      <c r="C12069">
        <v>160</v>
      </c>
      <c r="D12069" s="9">
        <v>43249</v>
      </c>
      <c r="E12069" t="s">
        <v>295</v>
      </c>
    </row>
    <row r="12070" spans="1:5" x14ac:dyDescent="0.25">
      <c r="A12070">
        <v>930620</v>
      </c>
      <c r="B12070">
        <v>8.07</v>
      </c>
      <c r="C12070">
        <v>720</v>
      </c>
      <c r="D12070" s="9">
        <v>43132</v>
      </c>
      <c r="E12070" t="s">
        <v>295</v>
      </c>
    </row>
    <row r="12071" spans="1:5" x14ac:dyDescent="0.25">
      <c r="A12071">
        <v>930620</v>
      </c>
      <c r="B12071">
        <v>2.238</v>
      </c>
      <c r="C12071">
        <v>720</v>
      </c>
      <c r="D12071" s="9">
        <v>43132</v>
      </c>
      <c r="E12071" t="s">
        <v>296</v>
      </c>
    </row>
    <row r="12072" spans="1:5" x14ac:dyDescent="0.25">
      <c r="A12072">
        <v>930620</v>
      </c>
      <c r="B12072">
        <v>9.5</v>
      </c>
      <c r="C12072">
        <v>408</v>
      </c>
      <c r="D12072" s="9">
        <v>42865</v>
      </c>
      <c r="E12072" t="s">
        <v>295</v>
      </c>
    </row>
    <row r="12073" spans="1:5" x14ac:dyDescent="0.25">
      <c r="A12073">
        <v>930620</v>
      </c>
      <c r="B12073">
        <v>1.8819999999999999</v>
      </c>
      <c r="C12073">
        <v>450</v>
      </c>
      <c r="D12073" s="9">
        <v>42860</v>
      </c>
      <c r="E12073" t="s">
        <v>296</v>
      </c>
    </row>
    <row r="12074" spans="1:5" x14ac:dyDescent="0.25">
      <c r="A12074">
        <v>930620</v>
      </c>
      <c r="B12074">
        <v>9.0299999999999994</v>
      </c>
      <c r="C12074">
        <v>324</v>
      </c>
      <c r="D12074" s="9">
        <v>42520</v>
      </c>
      <c r="E12074" t="s">
        <v>295</v>
      </c>
    </row>
    <row r="12075" spans="1:5" x14ac:dyDescent="0.25">
      <c r="A12075">
        <v>930620</v>
      </c>
      <c r="B12075">
        <v>2.0569999999999999</v>
      </c>
      <c r="C12075">
        <v>648</v>
      </c>
      <c r="D12075" s="9">
        <v>42520</v>
      </c>
      <c r="E12075" t="s">
        <v>297</v>
      </c>
    </row>
    <row r="12076" spans="1:5" x14ac:dyDescent="0.25">
      <c r="A12076">
        <v>930620</v>
      </c>
      <c r="B12076">
        <v>2.0569999999999999</v>
      </c>
      <c r="C12076">
        <v>648</v>
      </c>
      <c r="D12076" s="9">
        <v>42285</v>
      </c>
      <c r="E12076" t="s">
        <v>297</v>
      </c>
    </row>
    <row r="12077" spans="1:5" x14ac:dyDescent="0.25">
      <c r="A12077">
        <v>930620</v>
      </c>
      <c r="B12077">
        <v>2.0569999999999999</v>
      </c>
      <c r="C12077">
        <v>648</v>
      </c>
      <c r="D12077" s="9">
        <v>42186</v>
      </c>
      <c r="E12077" t="s">
        <v>297</v>
      </c>
    </row>
    <row r="12078" spans="1:5" x14ac:dyDescent="0.25">
      <c r="A12078">
        <v>930620</v>
      </c>
      <c r="B12078">
        <v>2.238</v>
      </c>
      <c r="C12078">
        <v>1296</v>
      </c>
      <c r="D12078" s="9">
        <v>41786</v>
      </c>
      <c r="E12078" t="s">
        <v>296</v>
      </c>
    </row>
    <row r="12079" spans="1:5" x14ac:dyDescent="0.25">
      <c r="A12079">
        <v>930620</v>
      </c>
      <c r="B12079">
        <v>2.173</v>
      </c>
      <c r="C12079">
        <v>432</v>
      </c>
      <c r="D12079" s="9">
        <v>41535</v>
      </c>
      <c r="E12079" t="s">
        <v>296</v>
      </c>
    </row>
    <row r="12080" spans="1:5" x14ac:dyDescent="0.25">
      <c r="A12080">
        <v>930620</v>
      </c>
      <c r="B12080">
        <v>2.173</v>
      </c>
      <c r="C12080">
        <v>1260</v>
      </c>
      <c r="D12080" s="9">
        <v>41535</v>
      </c>
      <c r="E12080" t="s">
        <v>296</v>
      </c>
    </row>
    <row r="12081" spans="1:5" x14ac:dyDescent="0.25">
      <c r="A12081">
        <v>930620</v>
      </c>
      <c r="B12081">
        <v>2.173</v>
      </c>
      <c r="C12081">
        <v>1296</v>
      </c>
      <c r="D12081" s="9">
        <v>41418</v>
      </c>
      <c r="E12081" t="s">
        <v>296</v>
      </c>
    </row>
    <row r="12082" spans="1:5" x14ac:dyDescent="0.25">
      <c r="A12082">
        <v>930620</v>
      </c>
      <c r="B12082">
        <v>2.2919999999999998</v>
      </c>
      <c r="C12082">
        <v>504</v>
      </c>
      <c r="D12082" s="9">
        <v>41418</v>
      </c>
      <c r="E12082" t="s">
        <v>296</v>
      </c>
    </row>
    <row r="12083" spans="1:5" x14ac:dyDescent="0.25">
      <c r="A12083">
        <v>931250</v>
      </c>
      <c r="B12083">
        <v>3.1469999999999998</v>
      </c>
      <c r="C12083">
        <v>240</v>
      </c>
      <c r="D12083" s="9">
        <v>42285</v>
      </c>
      <c r="E12083" t="s">
        <v>297</v>
      </c>
    </row>
    <row r="12084" spans="1:5" x14ac:dyDescent="0.25">
      <c r="A12084">
        <v>931250</v>
      </c>
      <c r="B12084">
        <v>3.1469999999999998</v>
      </c>
      <c r="C12084">
        <v>240</v>
      </c>
      <c r="D12084" s="9">
        <v>42186</v>
      </c>
      <c r="E12084" t="s">
        <v>297</v>
      </c>
    </row>
    <row r="12085" spans="1:5" x14ac:dyDescent="0.25">
      <c r="A12085">
        <v>931250</v>
      </c>
      <c r="B12085">
        <v>13.94</v>
      </c>
      <c r="C12085">
        <v>828</v>
      </c>
      <c r="D12085" s="9">
        <v>42011</v>
      </c>
      <c r="E12085" t="s">
        <v>295</v>
      </c>
    </row>
    <row r="12086" spans="1:5" x14ac:dyDescent="0.25">
      <c r="A12086">
        <v>931250</v>
      </c>
      <c r="B12086">
        <v>3.95</v>
      </c>
      <c r="C12086">
        <v>828</v>
      </c>
      <c r="D12086" s="9">
        <v>41961</v>
      </c>
      <c r="E12086" t="s">
        <v>296</v>
      </c>
    </row>
    <row r="12087" spans="1:5" x14ac:dyDescent="0.25">
      <c r="A12087">
        <v>931250</v>
      </c>
      <c r="B12087">
        <v>11.14</v>
      </c>
      <c r="C12087">
        <v>240</v>
      </c>
      <c r="D12087" s="9">
        <v>41957</v>
      </c>
      <c r="E12087" t="s">
        <v>295</v>
      </c>
    </row>
    <row r="12088" spans="1:5" x14ac:dyDescent="0.25">
      <c r="A12088">
        <v>931250</v>
      </c>
      <c r="B12088">
        <v>3.3479999999999999</v>
      </c>
      <c r="C12088">
        <v>240</v>
      </c>
      <c r="D12088" s="9">
        <v>41912</v>
      </c>
      <c r="E12088" t="s">
        <v>296</v>
      </c>
    </row>
    <row r="12089" spans="1:5" x14ac:dyDescent="0.25">
      <c r="A12089">
        <v>931250</v>
      </c>
      <c r="B12089">
        <v>3.3479999999999999</v>
      </c>
      <c r="C12089">
        <v>240</v>
      </c>
      <c r="D12089" s="9">
        <v>41744</v>
      </c>
      <c r="E12089" t="s">
        <v>296</v>
      </c>
    </row>
    <row r="12090" spans="1:5" x14ac:dyDescent="0.25">
      <c r="A12090">
        <v>931250</v>
      </c>
      <c r="B12090">
        <v>3.3479999999999999</v>
      </c>
      <c r="C12090">
        <v>240</v>
      </c>
      <c r="D12090" s="9">
        <v>41295</v>
      </c>
      <c r="E12090" t="s">
        <v>296</v>
      </c>
    </row>
    <row r="12091" spans="1:5" x14ac:dyDescent="0.25">
      <c r="A12091">
        <v>931260</v>
      </c>
      <c r="B12091">
        <v>4.5</v>
      </c>
      <c r="C12091">
        <v>192</v>
      </c>
      <c r="D12091" s="9">
        <v>44035</v>
      </c>
      <c r="E12091" t="s">
        <v>296</v>
      </c>
    </row>
    <row r="12092" spans="1:5" x14ac:dyDescent="0.25">
      <c r="A12092">
        <v>931260</v>
      </c>
      <c r="B12092">
        <v>4.3499999999999996</v>
      </c>
      <c r="C12092">
        <v>240</v>
      </c>
      <c r="D12092" s="9">
        <v>43608</v>
      </c>
      <c r="E12092" t="s">
        <v>296</v>
      </c>
    </row>
    <row r="12093" spans="1:5" x14ac:dyDescent="0.25">
      <c r="A12093">
        <v>931260</v>
      </c>
      <c r="B12093">
        <v>4.3499999999999996</v>
      </c>
      <c r="C12093">
        <v>240</v>
      </c>
      <c r="D12093" s="9">
        <v>43608</v>
      </c>
      <c r="E12093" t="s">
        <v>296</v>
      </c>
    </row>
    <row r="12094" spans="1:5" x14ac:dyDescent="0.25">
      <c r="A12094">
        <v>931260</v>
      </c>
      <c r="B12094">
        <v>4.3499999999999996</v>
      </c>
      <c r="C12094">
        <v>648</v>
      </c>
      <c r="D12094" s="9">
        <v>42860</v>
      </c>
      <c r="E12094" t="s">
        <v>296</v>
      </c>
    </row>
    <row r="12095" spans="1:5" x14ac:dyDescent="0.25">
      <c r="A12095">
        <v>931260</v>
      </c>
      <c r="B12095">
        <v>4.45</v>
      </c>
      <c r="C12095">
        <v>180</v>
      </c>
      <c r="D12095" s="9">
        <v>42520</v>
      </c>
      <c r="E12095" t="s">
        <v>297</v>
      </c>
    </row>
    <row r="12096" spans="1:5" x14ac:dyDescent="0.25">
      <c r="A12096">
        <v>931260</v>
      </c>
      <c r="B12096">
        <v>4.6840000000000002</v>
      </c>
      <c r="C12096">
        <v>360</v>
      </c>
      <c r="D12096" s="9">
        <v>41786</v>
      </c>
      <c r="E12096" t="s">
        <v>296</v>
      </c>
    </row>
    <row r="12097" spans="1:5" x14ac:dyDescent="0.25">
      <c r="A12097">
        <v>931260</v>
      </c>
      <c r="B12097">
        <v>4.6840000000000002</v>
      </c>
      <c r="C12097">
        <v>360</v>
      </c>
      <c r="D12097" s="9">
        <v>41786</v>
      </c>
      <c r="E12097" t="s">
        <v>296</v>
      </c>
    </row>
    <row r="12098" spans="1:5" x14ac:dyDescent="0.25">
      <c r="A12098">
        <v>931260</v>
      </c>
      <c r="B12098">
        <v>4.548</v>
      </c>
      <c r="C12098">
        <v>768</v>
      </c>
      <c r="D12098" s="9">
        <v>41418</v>
      </c>
      <c r="E12098" t="s">
        <v>296</v>
      </c>
    </row>
    <row r="12099" spans="1:5" x14ac:dyDescent="0.25">
      <c r="A12099">
        <v>931260</v>
      </c>
      <c r="B12099">
        <v>4.3849999999999998</v>
      </c>
      <c r="C12099">
        <v>576</v>
      </c>
      <c r="D12099" s="9">
        <v>41418</v>
      </c>
      <c r="E12099" t="s">
        <v>296</v>
      </c>
    </row>
    <row r="12100" spans="1:5" x14ac:dyDescent="0.25">
      <c r="A12100">
        <v>933020</v>
      </c>
      <c r="B12100">
        <v>9.68</v>
      </c>
      <c r="C12100">
        <v>96</v>
      </c>
      <c r="D12100" s="9">
        <v>41983</v>
      </c>
      <c r="E12100" t="s">
        <v>296</v>
      </c>
    </row>
    <row r="12101" spans="1:5" x14ac:dyDescent="0.25">
      <c r="A12101">
        <v>933020</v>
      </c>
      <c r="B12101">
        <v>6.2</v>
      </c>
      <c r="C12101">
        <v>144</v>
      </c>
      <c r="D12101" s="9">
        <v>41961</v>
      </c>
      <c r="E12101" t="s">
        <v>296</v>
      </c>
    </row>
    <row r="12102" spans="1:5" x14ac:dyDescent="0.25">
      <c r="A12102">
        <v>933020</v>
      </c>
      <c r="B12102">
        <v>9.68</v>
      </c>
      <c r="C12102">
        <v>144</v>
      </c>
      <c r="D12102" s="9">
        <v>41751</v>
      </c>
      <c r="E12102" t="s">
        <v>296</v>
      </c>
    </row>
    <row r="12103" spans="1:5" x14ac:dyDescent="0.25">
      <c r="A12103">
        <v>933020</v>
      </c>
      <c r="B12103">
        <v>9.32</v>
      </c>
      <c r="C12103">
        <v>144</v>
      </c>
      <c r="D12103" s="9">
        <v>41418</v>
      </c>
      <c r="E12103" t="s">
        <v>296</v>
      </c>
    </row>
    <row r="12104" spans="1:5" x14ac:dyDescent="0.25">
      <c r="A12104">
        <v>940000</v>
      </c>
      <c r="B12104">
        <v>0.87</v>
      </c>
      <c r="C12104">
        <v>1200</v>
      </c>
      <c r="D12104" s="9">
        <v>44005</v>
      </c>
      <c r="E12104" t="s">
        <v>296</v>
      </c>
    </row>
    <row r="12105" spans="1:5" x14ac:dyDescent="0.25">
      <c r="A12105">
        <v>940000</v>
      </c>
      <c r="B12105">
        <v>0.87</v>
      </c>
      <c r="C12105">
        <v>1440</v>
      </c>
      <c r="D12105" s="9">
        <v>43839</v>
      </c>
      <c r="E12105" t="s">
        <v>296</v>
      </c>
    </row>
    <row r="12106" spans="1:5" x14ac:dyDescent="0.25">
      <c r="A12106">
        <v>940000</v>
      </c>
      <c r="B12106">
        <v>0.87</v>
      </c>
      <c r="C12106">
        <v>1200</v>
      </c>
      <c r="D12106" s="9">
        <v>43686</v>
      </c>
      <c r="E12106" t="s">
        <v>296</v>
      </c>
    </row>
    <row r="12107" spans="1:5" x14ac:dyDescent="0.25">
      <c r="A12107">
        <v>940000</v>
      </c>
      <c r="B12107">
        <v>0.87</v>
      </c>
      <c r="C12107">
        <v>1200</v>
      </c>
      <c r="D12107" s="9">
        <v>43483</v>
      </c>
      <c r="E12107" t="s">
        <v>296</v>
      </c>
    </row>
    <row r="12108" spans="1:5" x14ac:dyDescent="0.25">
      <c r="A12108">
        <v>940000</v>
      </c>
      <c r="B12108">
        <v>3.43</v>
      </c>
      <c r="C12108">
        <v>2400</v>
      </c>
      <c r="D12108" s="9">
        <v>43298</v>
      </c>
      <c r="E12108" t="s">
        <v>295</v>
      </c>
    </row>
    <row r="12109" spans="1:5" x14ac:dyDescent="0.25">
      <c r="A12109">
        <v>940000</v>
      </c>
      <c r="B12109">
        <v>0.87</v>
      </c>
      <c r="C12109">
        <v>2400</v>
      </c>
      <c r="D12109" s="9">
        <v>43264</v>
      </c>
      <c r="E12109" t="s">
        <v>296</v>
      </c>
    </row>
    <row r="12110" spans="1:5" x14ac:dyDescent="0.25">
      <c r="A12110">
        <v>940000</v>
      </c>
      <c r="B12110">
        <v>3.18</v>
      </c>
      <c r="C12110">
        <v>720</v>
      </c>
      <c r="D12110" s="9">
        <v>43138</v>
      </c>
      <c r="E12110" t="s">
        <v>295</v>
      </c>
    </row>
    <row r="12111" spans="1:5" x14ac:dyDescent="0.25">
      <c r="A12111">
        <v>940000</v>
      </c>
      <c r="B12111">
        <v>0.85</v>
      </c>
      <c r="C12111">
        <v>720</v>
      </c>
      <c r="D12111" s="9">
        <v>43111</v>
      </c>
      <c r="E12111" t="s">
        <v>296</v>
      </c>
    </row>
    <row r="12112" spans="1:5" x14ac:dyDescent="0.25">
      <c r="A12112">
        <v>940000</v>
      </c>
      <c r="B12112">
        <v>0.8</v>
      </c>
      <c r="C12112">
        <v>720</v>
      </c>
      <c r="D12112" s="9">
        <v>43017</v>
      </c>
      <c r="E12112" t="s">
        <v>296</v>
      </c>
    </row>
    <row r="12113" spans="1:5" x14ac:dyDescent="0.25">
      <c r="A12113">
        <v>940000</v>
      </c>
      <c r="B12113">
        <v>4.92</v>
      </c>
      <c r="C12113">
        <v>200</v>
      </c>
      <c r="D12113" s="9">
        <v>42990</v>
      </c>
      <c r="E12113" t="s">
        <v>295</v>
      </c>
    </row>
    <row r="12114" spans="1:5" x14ac:dyDescent="0.25">
      <c r="A12114">
        <v>940000</v>
      </c>
      <c r="B12114">
        <v>0.94</v>
      </c>
      <c r="C12114">
        <v>720</v>
      </c>
      <c r="D12114" s="9">
        <v>42573</v>
      </c>
      <c r="E12114" t="s">
        <v>296</v>
      </c>
    </row>
    <row r="12115" spans="1:5" x14ac:dyDescent="0.25">
      <c r="A12115">
        <v>940000</v>
      </c>
      <c r="B12115">
        <v>0.75</v>
      </c>
      <c r="C12115">
        <v>720</v>
      </c>
      <c r="D12115" s="9">
        <v>42207</v>
      </c>
      <c r="E12115" t="s">
        <v>296</v>
      </c>
    </row>
    <row r="12116" spans="1:5" x14ac:dyDescent="0.25">
      <c r="A12116">
        <v>940000</v>
      </c>
      <c r="B12116">
        <v>1.02</v>
      </c>
      <c r="C12116">
        <v>528</v>
      </c>
      <c r="D12116" s="9">
        <v>42031</v>
      </c>
      <c r="E12116" t="s">
        <v>296</v>
      </c>
    </row>
    <row r="12117" spans="1:5" x14ac:dyDescent="0.25">
      <c r="A12117">
        <v>940000</v>
      </c>
      <c r="B12117">
        <v>1.03</v>
      </c>
      <c r="C12117">
        <v>720</v>
      </c>
      <c r="D12117" s="9">
        <v>41747</v>
      </c>
      <c r="E12117" t="s">
        <v>296</v>
      </c>
    </row>
    <row r="12118" spans="1:5" x14ac:dyDescent="0.25">
      <c r="A12118">
        <v>940000</v>
      </c>
      <c r="B12118">
        <v>1</v>
      </c>
      <c r="C12118">
        <v>720</v>
      </c>
      <c r="D12118" s="9">
        <v>41682</v>
      </c>
      <c r="E12118" t="s">
        <v>296</v>
      </c>
    </row>
    <row r="12119" spans="1:5" x14ac:dyDescent="0.25">
      <c r="A12119">
        <v>940000</v>
      </c>
      <c r="B12119">
        <v>0.97299999999999998</v>
      </c>
      <c r="C12119">
        <v>720</v>
      </c>
      <c r="D12119" s="9">
        <v>41366</v>
      </c>
      <c r="E12119" t="s">
        <v>296</v>
      </c>
    </row>
    <row r="12120" spans="1:5" x14ac:dyDescent="0.25">
      <c r="A12120">
        <v>940000</v>
      </c>
      <c r="B12120">
        <v>0.97299999999999998</v>
      </c>
      <c r="C12120">
        <v>768</v>
      </c>
      <c r="D12120" s="9">
        <v>41281</v>
      </c>
      <c r="E12120" t="s">
        <v>296</v>
      </c>
    </row>
    <row r="12121" spans="1:5" x14ac:dyDescent="0.25">
      <c r="A12121">
        <v>940006</v>
      </c>
      <c r="B12121">
        <v>1.24</v>
      </c>
      <c r="C12121">
        <v>576</v>
      </c>
      <c r="D12121" s="9">
        <v>41281</v>
      </c>
      <c r="E12121" t="s">
        <v>296</v>
      </c>
    </row>
    <row r="12122" spans="1:5" x14ac:dyDescent="0.25">
      <c r="A12122">
        <v>940007</v>
      </c>
      <c r="B12122">
        <v>0.9</v>
      </c>
      <c r="C12122">
        <v>384</v>
      </c>
      <c r="D12122" s="9">
        <v>42207</v>
      </c>
      <c r="E12122" t="s">
        <v>296</v>
      </c>
    </row>
    <row r="12123" spans="1:5" x14ac:dyDescent="0.25">
      <c r="A12123">
        <v>940007</v>
      </c>
      <c r="B12123">
        <v>1.5</v>
      </c>
      <c r="C12123">
        <v>384</v>
      </c>
      <c r="D12123" s="9">
        <v>42031</v>
      </c>
      <c r="E12123" t="s">
        <v>296</v>
      </c>
    </row>
    <row r="12124" spans="1:5" x14ac:dyDescent="0.25">
      <c r="A12124">
        <v>940007</v>
      </c>
      <c r="B12124">
        <v>1.5</v>
      </c>
      <c r="C12124">
        <v>384</v>
      </c>
      <c r="D12124" s="9">
        <v>41747</v>
      </c>
      <c r="E12124" t="s">
        <v>296</v>
      </c>
    </row>
    <row r="12125" spans="1:5" x14ac:dyDescent="0.25">
      <c r="A12125">
        <v>940007</v>
      </c>
      <c r="B12125">
        <v>1.5</v>
      </c>
      <c r="C12125">
        <v>384</v>
      </c>
      <c r="D12125" s="9">
        <v>41682</v>
      </c>
      <c r="E12125" t="s">
        <v>296</v>
      </c>
    </row>
    <row r="12126" spans="1:5" x14ac:dyDescent="0.25">
      <c r="A12126">
        <v>940007</v>
      </c>
      <c r="B12126">
        <v>1.28</v>
      </c>
      <c r="C12126">
        <v>384</v>
      </c>
      <c r="D12126" s="9">
        <v>41281</v>
      </c>
      <c r="E12126" t="s">
        <v>296</v>
      </c>
    </row>
    <row r="12127" spans="1:5" x14ac:dyDescent="0.25">
      <c r="A12127">
        <v>940018</v>
      </c>
      <c r="B12127">
        <v>1.25</v>
      </c>
      <c r="C12127">
        <v>1296</v>
      </c>
      <c r="D12127" s="9">
        <v>44043</v>
      </c>
      <c r="E12127" t="s">
        <v>296</v>
      </c>
    </row>
    <row r="12128" spans="1:5" x14ac:dyDescent="0.25">
      <c r="A12128">
        <v>940018</v>
      </c>
      <c r="B12128">
        <v>1.25</v>
      </c>
      <c r="C12128">
        <v>1008</v>
      </c>
      <c r="D12128" s="9">
        <v>43648</v>
      </c>
      <c r="E12128" t="s">
        <v>296</v>
      </c>
    </row>
    <row r="12129" spans="1:5" x14ac:dyDescent="0.25">
      <c r="A12129">
        <v>940018</v>
      </c>
      <c r="B12129">
        <v>4.82</v>
      </c>
      <c r="C12129">
        <v>1296</v>
      </c>
      <c r="D12129" s="9">
        <v>43298</v>
      </c>
      <c r="E12129" t="s">
        <v>295</v>
      </c>
    </row>
    <row r="12130" spans="1:5" x14ac:dyDescent="0.25">
      <c r="A12130">
        <v>940018</v>
      </c>
      <c r="B12130">
        <v>1.25</v>
      </c>
      <c r="C12130">
        <v>1296</v>
      </c>
      <c r="D12130" s="9">
        <v>43264</v>
      </c>
      <c r="E12130" t="s">
        <v>296</v>
      </c>
    </row>
    <row r="12131" spans="1:5" x14ac:dyDescent="0.25">
      <c r="A12131">
        <v>940018</v>
      </c>
      <c r="B12131">
        <v>1.2</v>
      </c>
      <c r="C12131">
        <v>1008</v>
      </c>
      <c r="D12131" s="9">
        <v>42912</v>
      </c>
      <c r="E12131" t="s">
        <v>296</v>
      </c>
    </row>
    <row r="12132" spans="1:5" x14ac:dyDescent="0.25">
      <c r="A12132">
        <v>940018</v>
      </c>
      <c r="B12132">
        <v>1.32</v>
      </c>
      <c r="C12132">
        <v>1440</v>
      </c>
      <c r="D12132" s="9">
        <v>42586</v>
      </c>
      <c r="E12132" t="s">
        <v>296</v>
      </c>
    </row>
    <row r="12133" spans="1:5" x14ac:dyDescent="0.25">
      <c r="A12133">
        <v>940018</v>
      </c>
      <c r="B12133">
        <v>1.1499999999999999</v>
      </c>
      <c r="C12133">
        <v>576</v>
      </c>
      <c r="D12133" s="9">
        <v>42207</v>
      </c>
      <c r="E12133" t="s">
        <v>296</v>
      </c>
    </row>
    <row r="12134" spans="1:5" x14ac:dyDescent="0.25">
      <c r="A12134">
        <v>940018</v>
      </c>
      <c r="B12134">
        <v>1.47</v>
      </c>
      <c r="C12134">
        <v>576</v>
      </c>
      <c r="D12134" s="9">
        <v>41934</v>
      </c>
      <c r="E12134" t="s">
        <v>296</v>
      </c>
    </row>
    <row r="12135" spans="1:5" x14ac:dyDescent="0.25">
      <c r="A12135">
        <v>940031</v>
      </c>
      <c r="B12135">
        <v>1.7</v>
      </c>
      <c r="C12135">
        <v>768</v>
      </c>
      <c r="D12135" s="9">
        <v>42617</v>
      </c>
      <c r="E12135" t="s">
        <v>296</v>
      </c>
    </row>
    <row r="12136" spans="1:5" x14ac:dyDescent="0.25">
      <c r="A12136">
        <v>940032</v>
      </c>
      <c r="B12136">
        <v>1.85</v>
      </c>
      <c r="C12136">
        <v>528</v>
      </c>
      <c r="D12136" s="9">
        <v>44043</v>
      </c>
      <c r="E12136" t="s">
        <v>296</v>
      </c>
    </row>
    <row r="12137" spans="1:5" x14ac:dyDescent="0.25">
      <c r="A12137">
        <v>940032</v>
      </c>
      <c r="B12137">
        <v>1.75</v>
      </c>
      <c r="C12137">
        <v>1008</v>
      </c>
      <c r="D12137" s="9">
        <v>43063</v>
      </c>
      <c r="E12137" t="s">
        <v>296</v>
      </c>
    </row>
    <row r="12138" spans="1:5" x14ac:dyDescent="0.25">
      <c r="A12138">
        <v>940033</v>
      </c>
      <c r="B12138">
        <v>3.1859999999999999</v>
      </c>
      <c r="C12138">
        <v>48</v>
      </c>
      <c r="D12138" s="9">
        <v>42270</v>
      </c>
      <c r="E12138" t="s">
        <v>296</v>
      </c>
    </row>
    <row r="12139" spans="1:5" x14ac:dyDescent="0.25">
      <c r="A12139">
        <v>940035</v>
      </c>
      <c r="B12139">
        <v>2.16</v>
      </c>
      <c r="C12139">
        <v>288</v>
      </c>
      <c r="D12139" s="9">
        <v>44043</v>
      </c>
      <c r="E12139" t="s">
        <v>296</v>
      </c>
    </row>
    <row r="12140" spans="1:5" x14ac:dyDescent="0.25">
      <c r="A12140">
        <v>940035</v>
      </c>
      <c r="B12140">
        <v>2.16</v>
      </c>
      <c r="C12140">
        <v>96</v>
      </c>
      <c r="D12140" s="9">
        <v>43809</v>
      </c>
      <c r="E12140" t="s">
        <v>296</v>
      </c>
    </row>
    <row r="12141" spans="1:5" x14ac:dyDescent="0.25">
      <c r="A12141">
        <v>940035</v>
      </c>
      <c r="B12141">
        <v>2.16</v>
      </c>
      <c r="C12141">
        <v>288</v>
      </c>
      <c r="D12141" s="9">
        <v>43648</v>
      </c>
      <c r="E12141" t="s">
        <v>296</v>
      </c>
    </row>
    <row r="12142" spans="1:5" x14ac:dyDescent="0.25">
      <c r="A12142">
        <v>940035</v>
      </c>
      <c r="B12142">
        <v>3.2</v>
      </c>
      <c r="C12142">
        <v>528</v>
      </c>
      <c r="D12142" s="9">
        <v>42976</v>
      </c>
      <c r="E12142" t="s">
        <v>296</v>
      </c>
    </row>
    <row r="12143" spans="1:5" x14ac:dyDescent="0.25">
      <c r="A12143">
        <v>940035</v>
      </c>
      <c r="B12143">
        <v>3.9020000000000001</v>
      </c>
      <c r="C12143">
        <v>192</v>
      </c>
      <c r="D12143" s="9">
        <v>42270</v>
      </c>
      <c r="E12143" t="s">
        <v>296</v>
      </c>
    </row>
    <row r="12144" spans="1:5" x14ac:dyDescent="0.25">
      <c r="A12144">
        <v>940040</v>
      </c>
      <c r="B12144">
        <v>3.75</v>
      </c>
      <c r="C12144">
        <v>400</v>
      </c>
      <c r="D12144" s="9">
        <v>43063</v>
      </c>
      <c r="E12144" t="s">
        <v>296</v>
      </c>
    </row>
    <row r="12145" spans="1:5" x14ac:dyDescent="0.25">
      <c r="A12145">
        <v>941100</v>
      </c>
      <c r="B12145">
        <v>0.98</v>
      </c>
      <c r="C12145">
        <v>1152</v>
      </c>
      <c r="D12145" s="9">
        <v>43972</v>
      </c>
      <c r="E12145" t="s">
        <v>296</v>
      </c>
    </row>
    <row r="12146" spans="1:5" x14ac:dyDescent="0.25">
      <c r="A12146">
        <v>941100</v>
      </c>
      <c r="B12146">
        <v>0.98</v>
      </c>
      <c r="C12146">
        <v>1440</v>
      </c>
      <c r="D12146" s="9">
        <v>43803</v>
      </c>
      <c r="E12146" t="s">
        <v>296</v>
      </c>
    </row>
    <row r="12147" spans="1:5" x14ac:dyDescent="0.25">
      <c r="A12147">
        <v>941100</v>
      </c>
      <c r="B12147">
        <v>0.96</v>
      </c>
      <c r="C12147">
        <v>1296</v>
      </c>
      <c r="D12147" s="9">
        <v>43600</v>
      </c>
      <c r="E12147" t="s">
        <v>296</v>
      </c>
    </row>
    <row r="12148" spans="1:5" x14ac:dyDescent="0.25">
      <c r="A12148">
        <v>941100</v>
      </c>
      <c r="B12148">
        <v>0.96</v>
      </c>
      <c r="C12148">
        <v>1296</v>
      </c>
      <c r="D12148" s="9">
        <v>43305</v>
      </c>
      <c r="E12148" t="s">
        <v>296</v>
      </c>
    </row>
    <row r="12149" spans="1:5" x14ac:dyDescent="0.25">
      <c r="A12149">
        <v>941100</v>
      </c>
      <c r="B12149">
        <v>0.92</v>
      </c>
      <c r="C12149">
        <v>1440</v>
      </c>
      <c r="D12149" s="9">
        <v>42972</v>
      </c>
      <c r="E12149" t="s">
        <v>296</v>
      </c>
    </row>
    <row r="12150" spans="1:5" x14ac:dyDescent="0.25">
      <c r="A12150">
        <v>941100</v>
      </c>
      <c r="B12150">
        <v>3.47</v>
      </c>
      <c r="C12150">
        <v>1728</v>
      </c>
      <c r="D12150" s="9">
        <v>42269</v>
      </c>
      <c r="E12150" t="s">
        <v>295</v>
      </c>
    </row>
    <row r="12151" spans="1:5" x14ac:dyDescent="0.25">
      <c r="A12151">
        <v>941100</v>
      </c>
      <c r="B12151">
        <v>0.92</v>
      </c>
      <c r="C12151">
        <v>1728</v>
      </c>
      <c r="D12151" s="9">
        <v>42229</v>
      </c>
      <c r="E12151" t="s">
        <v>296</v>
      </c>
    </row>
    <row r="12152" spans="1:5" x14ac:dyDescent="0.25">
      <c r="A12152">
        <v>941100</v>
      </c>
      <c r="B12152">
        <v>0.91</v>
      </c>
      <c r="C12152">
        <v>1728</v>
      </c>
      <c r="D12152" s="9">
        <v>41789</v>
      </c>
      <c r="E12152" t="s">
        <v>296</v>
      </c>
    </row>
    <row r="12153" spans="1:5" x14ac:dyDescent="0.25">
      <c r="A12153">
        <v>941100</v>
      </c>
      <c r="B12153">
        <v>0.91</v>
      </c>
      <c r="C12153">
        <v>3600</v>
      </c>
      <c r="D12153" s="9">
        <v>41682</v>
      </c>
      <c r="E12153" t="s">
        <v>296</v>
      </c>
    </row>
    <row r="12154" spans="1:5" x14ac:dyDescent="0.25">
      <c r="A12154">
        <v>941100</v>
      </c>
      <c r="B12154">
        <v>0.88</v>
      </c>
      <c r="C12154">
        <v>1728</v>
      </c>
      <c r="D12154" s="9">
        <v>41417</v>
      </c>
      <c r="E12154" t="s">
        <v>296</v>
      </c>
    </row>
    <row r="12155" spans="1:5" x14ac:dyDescent="0.25">
      <c r="A12155">
        <v>941200</v>
      </c>
      <c r="B12155">
        <v>1.23</v>
      </c>
      <c r="C12155">
        <v>1200</v>
      </c>
      <c r="D12155" s="9">
        <v>44083</v>
      </c>
      <c r="E12155" t="s">
        <v>296</v>
      </c>
    </row>
    <row r="12156" spans="1:5" x14ac:dyDescent="0.25">
      <c r="A12156">
        <v>941200</v>
      </c>
      <c r="B12156">
        <v>1.2</v>
      </c>
      <c r="C12156">
        <v>1200</v>
      </c>
      <c r="D12156" s="9">
        <v>43972</v>
      </c>
      <c r="E12156" t="s">
        <v>296</v>
      </c>
    </row>
    <row r="12157" spans="1:5" x14ac:dyDescent="0.25">
      <c r="A12157">
        <v>941200</v>
      </c>
      <c r="B12157">
        <v>1.2</v>
      </c>
      <c r="C12157">
        <v>1320</v>
      </c>
      <c r="D12157" s="9">
        <v>43803</v>
      </c>
      <c r="E12157" t="s">
        <v>296</v>
      </c>
    </row>
    <row r="12158" spans="1:5" x14ac:dyDescent="0.25">
      <c r="A12158">
        <v>941200</v>
      </c>
      <c r="B12158">
        <v>1.18</v>
      </c>
      <c r="C12158">
        <v>1320</v>
      </c>
      <c r="D12158" s="9">
        <v>43600</v>
      </c>
      <c r="E12158" t="s">
        <v>296</v>
      </c>
    </row>
    <row r="12159" spans="1:5" x14ac:dyDescent="0.25">
      <c r="A12159">
        <v>941200</v>
      </c>
      <c r="B12159">
        <v>1.1499999999999999</v>
      </c>
      <c r="C12159">
        <v>1320</v>
      </c>
      <c r="D12159" s="9">
        <v>43305</v>
      </c>
      <c r="E12159" t="s">
        <v>296</v>
      </c>
    </row>
    <row r="12160" spans="1:5" x14ac:dyDescent="0.25">
      <c r="A12160">
        <v>941200</v>
      </c>
      <c r="B12160">
        <v>1.1499999999999999</v>
      </c>
      <c r="C12160">
        <v>1320</v>
      </c>
      <c r="D12160" s="9">
        <v>42972</v>
      </c>
      <c r="E12160" t="s">
        <v>296</v>
      </c>
    </row>
    <row r="12161" spans="1:5" x14ac:dyDescent="0.25">
      <c r="A12161">
        <v>941200</v>
      </c>
      <c r="B12161">
        <v>1.08</v>
      </c>
      <c r="C12161">
        <v>1800</v>
      </c>
      <c r="D12161" s="9">
        <v>42530</v>
      </c>
      <c r="E12161" t="s">
        <v>296</v>
      </c>
    </row>
    <row r="12162" spans="1:5" x14ac:dyDescent="0.25">
      <c r="A12162">
        <v>941200</v>
      </c>
      <c r="B12162">
        <v>1.08</v>
      </c>
      <c r="C12162">
        <v>200</v>
      </c>
      <c r="D12162" s="9">
        <v>42530</v>
      </c>
      <c r="E12162" t="s">
        <v>296</v>
      </c>
    </row>
    <row r="12163" spans="1:5" x14ac:dyDescent="0.25">
      <c r="A12163">
        <v>941200</v>
      </c>
      <c r="B12163">
        <v>1.1499999999999999</v>
      </c>
      <c r="C12163">
        <v>1800</v>
      </c>
      <c r="D12163" s="9">
        <v>42270</v>
      </c>
      <c r="E12163" t="s">
        <v>296</v>
      </c>
    </row>
    <row r="12164" spans="1:5" x14ac:dyDescent="0.25">
      <c r="A12164">
        <v>941200</v>
      </c>
      <c r="B12164">
        <v>1.1499999999999999</v>
      </c>
      <c r="C12164">
        <v>1800</v>
      </c>
      <c r="D12164" s="9">
        <v>42139</v>
      </c>
      <c r="E12164" t="s">
        <v>296</v>
      </c>
    </row>
    <row r="12165" spans="1:5" x14ac:dyDescent="0.25">
      <c r="A12165">
        <v>941200</v>
      </c>
      <c r="B12165">
        <v>1.1499999999999999</v>
      </c>
      <c r="C12165">
        <v>240</v>
      </c>
      <c r="D12165" s="9">
        <v>41947</v>
      </c>
      <c r="E12165" t="s">
        <v>296</v>
      </c>
    </row>
    <row r="12166" spans="1:5" x14ac:dyDescent="0.25">
      <c r="A12166">
        <v>941200</v>
      </c>
      <c r="B12166">
        <v>1.1499999999999999</v>
      </c>
      <c r="C12166">
        <v>960</v>
      </c>
      <c r="D12166" s="9">
        <v>41789</v>
      </c>
      <c r="E12166" t="s">
        <v>296</v>
      </c>
    </row>
    <row r="12167" spans="1:5" x14ac:dyDescent="0.25">
      <c r="A12167">
        <v>941200</v>
      </c>
      <c r="B12167">
        <v>1.1499999999999999</v>
      </c>
      <c r="C12167">
        <v>960</v>
      </c>
      <c r="D12167" s="9">
        <v>41682</v>
      </c>
      <c r="E12167" t="s">
        <v>296</v>
      </c>
    </row>
    <row r="12168" spans="1:5" x14ac:dyDescent="0.25">
      <c r="A12168">
        <v>941200</v>
      </c>
      <c r="B12168">
        <v>1.1100000000000001</v>
      </c>
      <c r="C12168">
        <v>2880</v>
      </c>
      <c r="D12168" s="9">
        <v>41417</v>
      </c>
      <c r="E12168" t="s">
        <v>296</v>
      </c>
    </row>
    <row r="12169" spans="1:5" x14ac:dyDescent="0.25">
      <c r="A12169">
        <v>941200</v>
      </c>
      <c r="B12169">
        <v>1.1100000000000001</v>
      </c>
      <c r="C12169">
        <v>2880</v>
      </c>
      <c r="D12169" s="9">
        <v>41330</v>
      </c>
      <c r="E12169" t="s">
        <v>296</v>
      </c>
    </row>
    <row r="12170" spans="1:5" x14ac:dyDescent="0.25">
      <c r="A12170">
        <v>941402</v>
      </c>
      <c r="B12170">
        <v>1.25</v>
      </c>
      <c r="C12170">
        <v>1140</v>
      </c>
      <c r="D12170" s="9">
        <v>43959</v>
      </c>
      <c r="E12170" t="s">
        <v>296</v>
      </c>
    </row>
    <row r="12171" spans="1:5" x14ac:dyDescent="0.25">
      <c r="A12171">
        <v>941402</v>
      </c>
      <c r="B12171">
        <v>1.25</v>
      </c>
      <c r="C12171">
        <v>1200</v>
      </c>
      <c r="D12171" s="9">
        <v>43959</v>
      </c>
      <c r="E12171" t="s">
        <v>296</v>
      </c>
    </row>
    <row r="12172" spans="1:5" x14ac:dyDescent="0.25">
      <c r="A12172">
        <v>941402</v>
      </c>
      <c r="B12172">
        <v>1.25</v>
      </c>
      <c r="C12172">
        <v>1200</v>
      </c>
      <c r="D12172" s="9">
        <v>43684</v>
      </c>
      <c r="E12172" t="s">
        <v>296</v>
      </c>
    </row>
    <row r="12173" spans="1:5" x14ac:dyDescent="0.25">
      <c r="A12173">
        <v>941402</v>
      </c>
      <c r="B12173">
        <v>1.19</v>
      </c>
      <c r="C12173">
        <v>1800</v>
      </c>
      <c r="D12173" s="9">
        <v>43592</v>
      </c>
      <c r="E12173" t="s">
        <v>296</v>
      </c>
    </row>
    <row r="12174" spans="1:5" x14ac:dyDescent="0.25">
      <c r="A12174">
        <v>941402</v>
      </c>
      <c r="B12174">
        <v>1.25</v>
      </c>
      <c r="C12174">
        <v>1800</v>
      </c>
      <c r="D12174" s="9">
        <v>43333</v>
      </c>
      <c r="E12174" t="s">
        <v>296</v>
      </c>
    </row>
    <row r="12175" spans="1:5" x14ac:dyDescent="0.25">
      <c r="A12175">
        <v>941402</v>
      </c>
      <c r="B12175">
        <v>1.25</v>
      </c>
      <c r="C12175">
        <v>1500</v>
      </c>
      <c r="D12175" s="9">
        <v>43250</v>
      </c>
      <c r="E12175" t="s">
        <v>296</v>
      </c>
    </row>
    <row r="12176" spans="1:5" x14ac:dyDescent="0.25">
      <c r="A12176">
        <v>941402</v>
      </c>
      <c r="B12176">
        <v>1.19</v>
      </c>
      <c r="C12176">
        <v>1200</v>
      </c>
      <c r="D12176" s="9">
        <v>43105</v>
      </c>
      <c r="E12176" t="s">
        <v>296</v>
      </c>
    </row>
    <row r="12177" spans="1:5" x14ac:dyDescent="0.25">
      <c r="A12177">
        <v>941402</v>
      </c>
      <c r="B12177">
        <v>1.1499999999999999</v>
      </c>
      <c r="C12177">
        <v>1200</v>
      </c>
      <c r="D12177" s="9">
        <v>42976</v>
      </c>
      <c r="E12177" t="s">
        <v>296</v>
      </c>
    </row>
    <row r="12178" spans="1:5" x14ac:dyDescent="0.25">
      <c r="A12178">
        <v>941402</v>
      </c>
      <c r="B12178">
        <v>1.1499999999999999</v>
      </c>
      <c r="C12178">
        <v>1200</v>
      </c>
      <c r="D12178" s="9">
        <v>42873</v>
      </c>
      <c r="E12178" t="s">
        <v>296</v>
      </c>
    </row>
    <row r="12179" spans="1:5" x14ac:dyDescent="0.25">
      <c r="A12179">
        <v>941402</v>
      </c>
      <c r="B12179">
        <v>1.1200000000000001</v>
      </c>
      <c r="C12179">
        <v>1200</v>
      </c>
      <c r="D12179" s="9">
        <v>42836</v>
      </c>
      <c r="E12179" t="s">
        <v>296</v>
      </c>
    </row>
    <row r="12180" spans="1:5" x14ac:dyDescent="0.25">
      <c r="A12180">
        <v>941402</v>
      </c>
      <c r="B12180">
        <v>1.1200000000000001</v>
      </c>
      <c r="C12180">
        <v>960</v>
      </c>
      <c r="D12180" s="9">
        <v>42617</v>
      </c>
      <c r="E12180" t="s">
        <v>296</v>
      </c>
    </row>
    <row r="12181" spans="1:5" x14ac:dyDescent="0.25">
      <c r="A12181">
        <v>941402</v>
      </c>
      <c r="B12181">
        <v>1.1200000000000001</v>
      </c>
      <c r="C12181">
        <v>840</v>
      </c>
      <c r="D12181" s="9">
        <v>42494</v>
      </c>
      <c r="E12181" t="s">
        <v>296</v>
      </c>
    </row>
    <row r="12182" spans="1:5" x14ac:dyDescent="0.25">
      <c r="A12182">
        <v>941402</v>
      </c>
      <c r="B12182">
        <v>1.25</v>
      </c>
      <c r="C12182">
        <v>1200</v>
      </c>
      <c r="D12182" s="9">
        <v>42229</v>
      </c>
      <c r="E12182" t="s">
        <v>296</v>
      </c>
    </row>
    <row r="12183" spans="1:5" x14ac:dyDescent="0.25">
      <c r="A12183">
        <v>941402</v>
      </c>
      <c r="B12183">
        <v>1.27</v>
      </c>
      <c r="C12183">
        <v>2400</v>
      </c>
      <c r="D12183" s="9">
        <v>42144</v>
      </c>
      <c r="E12183" t="s">
        <v>296</v>
      </c>
    </row>
    <row r="12184" spans="1:5" x14ac:dyDescent="0.25">
      <c r="A12184">
        <v>941402</v>
      </c>
      <c r="B12184">
        <v>1.25</v>
      </c>
      <c r="C12184">
        <v>1200</v>
      </c>
      <c r="D12184" s="9">
        <v>41982</v>
      </c>
      <c r="E12184" t="s">
        <v>296</v>
      </c>
    </row>
    <row r="12185" spans="1:5" x14ac:dyDescent="0.25">
      <c r="A12185">
        <v>941402</v>
      </c>
      <c r="B12185">
        <v>1.25</v>
      </c>
      <c r="C12185">
        <v>4380</v>
      </c>
      <c r="D12185" s="9">
        <v>41982</v>
      </c>
      <c r="E12185" t="s">
        <v>296</v>
      </c>
    </row>
    <row r="12186" spans="1:5" x14ac:dyDescent="0.25">
      <c r="A12186">
        <v>941402</v>
      </c>
      <c r="B12186">
        <v>1.25</v>
      </c>
      <c r="C12186">
        <v>1200</v>
      </c>
      <c r="D12186" s="9">
        <v>41746</v>
      </c>
      <c r="E12186" t="s">
        <v>296</v>
      </c>
    </row>
    <row r="12187" spans="1:5" x14ac:dyDescent="0.25">
      <c r="A12187">
        <v>941402</v>
      </c>
      <c r="B12187">
        <v>1.25</v>
      </c>
      <c r="C12187">
        <v>1080</v>
      </c>
      <c r="D12187" s="9">
        <v>41417</v>
      </c>
      <c r="E12187" t="s">
        <v>296</v>
      </c>
    </row>
    <row r="12188" spans="1:5" x14ac:dyDescent="0.25">
      <c r="A12188">
        <v>941402</v>
      </c>
      <c r="B12188">
        <v>1.25</v>
      </c>
      <c r="C12188">
        <v>3720</v>
      </c>
      <c r="D12188" s="9">
        <v>41288</v>
      </c>
      <c r="E12188" t="s">
        <v>296</v>
      </c>
    </row>
    <row r="12189" spans="1:5" x14ac:dyDescent="0.25">
      <c r="A12189">
        <v>941406</v>
      </c>
      <c r="B12189">
        <v>1.19</v>
      </c>
      <c r="C12189">
        <v>720</v>
      </c>
      <c r="D12189" s="9">
        <v>43592</v>
      </c>
      <c r="E12189" t="s">
        <v>296</v>
      </c>
    </row>
    <row r="12190" spans="1:5" x14ac:dyDescent="0.25">
      <c r="A12190">
        <v>941406</v>
      </c>
      <c r="B12190">
        <v>1.19</v>
      </c>
      <c r="C12190">
        <v>720</v>
      </c>
      <c r="D12190" s="9">
        <v>43105</v>
      </c>
      <c r="E12190" t="s">
        <v>296</v>
      </c>
    </row>
    <row r="12191" spans="1:5" x14ac:dyDescent="0.25">
      <c r="A12191">
        <v>941406</v>
      </c>
      <c r="B12191">
        <v>1.05</v>
      </c>
      <c r="C12191">
        <v>960</v>
      </c>
      <c r="D12191" s="9">
        <v>42873</v>
      </c>
      <c r="E12191" t="s">
        <v>296</v>
      </c>
    </row>
    <row r="12192" spans="1:5" x14ac:dyDescent="0.25">
      <c r="A12192">
        <v>941406</v>
      </c>
      <c r="B12192">
        <v>1.1200000000000001</v>
      </c>
      <c r="C12192">
        <v>600</v>
      </c>
      <c r="D12192" s="9">
        <v>42494</v>
      </c>
      <c r="E12192" t="s">
        <v>296</v>
      </c>
    </row>
    <row r="12193" spans="1:5" x14ac:dyDescent="0.25">
      <c r="A12193">
        <v>941406</v>
      </c>
      <c r="B12193">
        <v>1.1499999999999999</v>
      </c>
      <c r="C12193">
        <v>840</v>
      </c>
      <c r="D12193" s="9">
        <v>42380</v>
      </c>
      <c r="E12193" t="s">
        <v>296</v>
      </c>
    </row>
    <row r="12194" spans="1:5" x14ac:dyDescent="0.25">
      <c r="A12194">
        <v>941406</v>
      </c>
      <c r="B12194">
        <v>3.54</v>
      </c>
      <c r="C12194">
        <v>840</v>
      </c>
      <c r="D12194" s="9">
        <v>42269</v>
      </c>
      <c r="E12194" t="s">
        <v>295</v>
      </c>
    </row>
    <row r="12195" spans="1:5" x14ac:dyDescent="0.25">
      <c r="A12195">
        <v>941406</v>
      </c>
      <c r="B12195">
        <v>1.1499999999999999</v>
      </c>
      <c r="C12195">
        <v>840</v>
      </c>
      <c r="D12195" s="9">
        <v>42229</v>
      </c>
      <c r="E12195" t="s">
        <v>296</v>
      </c>
    </row>
    <row r="12196" spans="1:5" x14ac:dyDescent="0.25">
      <c r="A12196">
        <v>941406</v>
      </c>
      <c r="B12196">
        <v>1.1499999999999999</v>
      </c>
      <c r="C12196">
        <v>960</v>
      </c>
      <c r="D12196" s="9">
        <v>41746</v>
      </c>
      <c r="E12196" t="s">
        <v>296</v>
      </c>
    </row>
    <row r="12197" spans="1:5" x14ac:dyDescent="0.25">
      <c r="A12197">
        <v>941406</v>
      </c>
      <c r="B12197">
        <v>1.25</v>
      </c>
      <c r="C12197">
        <v>840</v>
      </c>
      <c r="D12197" s="9">
        <v>41288</v>
      </c>
      <c r="E12197" t="s">
        <v>296</v>
      </c>
    </row>
    <row r="12198" spans="1:5" x14ac:dyDescent="0.25">
      <c r="A12198">
        <v>941408</v>
      </c>
      <c r="B12198">
        <v>2.58</v>
      </c>
      <c r="C12198">
        <v>540</v>
      </c>
      <c r="D12198" s="9">
        <v>43843</v>
      </c>
      <c r="E12198" t="s">
        <v>296</v>
      </c>
    </row>
    <row r="12199" spans="1:5" x14ac:dyDescent="0.25">
      <c r="A12199">
        <v>941408</v>
      </c>
      <c r="B12199">
        <v>2.2200000000000002</v>
      </c>
      <c r="C12199">
        <v>600</v>
      </c>
      <c r="D12199" s="9">
        <v>42976</v>
      </c>
      <c r="E12199" t="s">
        <v>296</v>
      </c>
    </row>
    <row r="12200" spans="1:5" x14ac:dyDescent="0.25">
      <c r="A12200">
        <v>941408</v>
      </c>
      <c r="B12200">
        <v>1.766</v>
      </c>
      <c r="C12200">
        <v>60</v>
      </c>
      <c r="D12200" s="9">
        <v>42270</v>
      </c>
      <c r="E12200" t="s">
        <v>296</v>
      </c>
    </row>
    <row r="12201" spans="1:5" x14ac:dyDescent="0.25">
      <c r="A12201">
        <v>941410</v>
      </c>
      <c r="B12201">
        <v>2.54</v>
      </c>
      <c r="C12201">
        <v>720</v>
      </c>
      <c r="D12201" s="9">
        <v>43959</v>
      </c>
      <c r="E12201" t="s">
        <v>296</v>
      </c>
    </row>
    <row r="12202" spans="1:5" x14ac:dyDescent="0.25">
      <c r="A12202">
        <v>941410</v>
      </c>
      <c r="B12202">
        <v>12.96</v>
      </c>
      <c r="C12202">
        <v>120</v>
      </c>
      <c r="D12202" s="9">
        <v>43951</v>
      </c>
      <c r="E12202" t="s">
        <v>295</v>
      </c>
    </row>
    <row r="12203" spans="1:5" x14ac:dyDescent="0.25">
      <c r="A12203">
        <v>941410</v>
      </c>
      <c r="B12203">
        <v>2.54</v>
      </c>
      <c r="C12203">
        <v>600</v>
      </c>
      <c r="D12203" s="9">
        <v>43244</v>
      </c>
      <c r="E12203" t="s">
        <v>296</v>
      </c>
    </row>
    <row r="12204" spans="1:5" x14ac:dyDescent="0.25">
      <c r="A12204">
        <v>943000</v>
      </c>
      <c r="B12204">
        <v>1.8</v>
      </c>
      <c r="C12204">
        <v>420</v>
      </c>
      <c r="D12204" s="9">
        <v>43686</v>
      </c>
      <c r="E12204" t="s">
        <v>296</v>
      </c>
    </row>
    <row r="12205" spans="1:5" x14ac:dyDescent="0.25">
      <c r="A12205">
        <v>943000</v>
      </c>
      <c r="B12205">
        <v>1.8</v>
      </c>
      <c r="C12205">
        <v>420</v>
      </c>
      <c r="D12205" s="9">
        <v>43305</v>
      </c>
      <c r="E12205" t="s">
        <v>296</v>
      </c>
    </row>
    <row r="12206" spans="1:5" x14ac:dyDescent="0.25">
      <c r="A12206">
        <v>943000</v>
      </c>
      <c r="B12206">
        <v>6.34</v>
      </c>
      <c r="C12206">
        <v>312</v>
      </c>
      <c r="D12206" s="9">
        <v>43138</v>
      </c>
      <c r="E12206" t="s">
        <v>295</v>
      </c>
    </row>
    <row r="12207" spans="1:5" x14ac:dyDescent="0.25">
      <c r="A12207">
        <v>943000</v>
      </c>
      <c r="B12207">
        <v>1.73</v>
      </c>
      <c r="C12207">
        <v>600</v>
      </c>
      <c r="D12207" s="9">
        <v>43111</v>
      </c>
      <c r="E12207" t="s">
        <v>296</v>
      </c>
    </row>
    <row r="12208" spans="1:5" x14ac:dyDescent="0.25">
      <c r="A12208">
        <v>943000</v>
      </c>
      <c r="B12208">
        <v>1.7</v>
      </c>
      <c r="C12208">
        <v>648</v>
      </c>
      <c r="D12208" s="9">
        <v>42972</v>
      </c>
      <c r="E12208" t="s">
        <v>296</v>
      </c>
    </row>
    <row r="12209" spans="1:5" x14ac:dyDescent="0.25">
      <c r="A12209">
        <v>943000</v>
      </c>
      <c r="B12209">
        <v>1.82</v>
      </c>
      <c r="C12209">
        <v>960</v>
      </c>
      <c r="D12209" s="9">
        <v>41961</v>
      </c>
      <c r="E12209" t="s">
        <v>296</v>
      </c>
    </row>
    <row r="12210" spans="1:5" x14ac:dyDescent="0.25">
      <c r="A12210">
        <v>943000</v>
      </c>
      <c r="B12210">
        <v>1.8</v>
      </c>
      <c r="C12210">
        <v>960</v>
      </c>
      <c r="D12210" s="9">
        <v>41618</v>
      </c>
      <c r="E12210" t="s">
        <v>296</v>
      </c>
    </row>
    <row r="12211" spans="1:5" x14ac:dyDescent="0.25">
      <c r="A12211">
        <v>943000</v>
      </c>
      <c r="B12211">
        <v>1.78</v>
      </c>
      <c r="C12211">
        <v>2400</v>
      </c>
      <c r="D12211" s="9">
        <v>41330</v>
      </c>
      <c r="E12211" t="s">
        <v>296</v>
      </c>
    </row>
    <row r="12212" spans="1:5" x14ac:dyDescent="0.25">
      <c r="A12212">
        <v>943000</v>
      </c>
      <c r="B12212">
        <v>1.6519999999999999</v>
      </c>
      <c r="C12212">
        <v>144</v>
      </c>
      <c r="D12212" s="9">
        <v>41295</v>
      </c>
      <c r="E12212" t="s">
        <v>296</v>
      </c>
    </row>
    <row r="12213" spans="1:5" x14ac:dyDescent="0.25">
      <c r="A12213">
        <v>943010</v>
      </c>
      <c r="B12213">
        <v>2.85</v>
      </c>
      <c r="C12213">
        <v>480</v>
      </c>
      <c r="D12213" s="9">
        <v>42229</v>
      </c>
      <c r="E12213" t="s">
        <v>296</v>
      </c>
    </row>
    <row r="12214" spans="1:5" x14ac:dyDescent="0.25">
      <c r="A12214">
        <v>943010</v>
      </c>
      <c r="B12214">
        <v>2.85</v>
      </c>
      <c r="C12214">
        <v>360</v>
      </c>
      <c r="D12214" s="9">
        <v>42139</v>
      </c>
      <c r="E12214" t="s">
        <v>296</v>
      </c>
    </row>
    <row r="12215" spans="1:5" x14ac:dyDescent="0.25">
      <c r="A12215">
        <v>943010</v>
      </c>
      <c r="B12215">
        <v>2.85</v>
      </c>
      <c r="C12215">
        <v>336</v>
      </c>
      <c r="D12215" s="9">
        <v>41947</v>
      </c>
      <c r="E12215" t="s">
        <v>296</v>
      </c>
    </row>
    <row r="12216" spans="1:5" x14ac:dyDescent="0.25">
      <c r="A12216">
        <v>943010</v>
      </c>
      <c r="B12216">
        <v>2.85</v>
      </c>
      <c r="C12216">
        <v>360</v>
      </c>
      <c r="D12216" s="9">
        <v>41747</v>
      </c>
      <c r="E12216" t="s">
        <v>296</v>
      </c>
    </row>
    <row r="12217" spans="1:5" x14ac:dyDescent="0.25">
      <c r="A12217">
        <v>943010</v>
      </c>
      <c r="B12217">
        <v>2.85</v>
      </c>
      <c r="C12217">
        <v>720</v>
      </c>
      <c r="D12217" s="9">
        <v>41618</v>
      </c>
      <c r="E12217" t="s">
        <v>296</v>
      </c>
    </row>
    <row r="12218" spans="1:5" x14ac:dyDescent="0.25">
      <c r="A12218">
        <v>943020</v>
      </c>
      <c r="B12218">
        <v>5.58</v>
      </c>
      <c r="C12218">
        <v>300</v>
      </c>
      <c r="D12218" s="9">
        <v>43991</v>
      </c>
      <c r="E12218" t="s">
        <v>296</v>
      </c>
    </row>
    <row r="12219" spans="1:5" x14ac:dyDescent="0.25">
      <c r="A12219">
        <v>943020</v>
      </c>
      <c r="B12219">
        <v>5.58</v>
      </c>
      <c r="C12219">
        <v>160</v>
      </c>
      <c r="D12219" s="9">
        <v>43592</v>
      </c>
      <c r="E12219" t="s">
        <v>296</v>
      </c>
    </row>
    <row r="12220" spans="1:5" x14ac:dyDescent="0.25">
      <c r="A12220">
        <v>943020</v>
      </c>
      <c r="B12220">
        <v>6.18</v>
      </c>
      <c r="C12220">
        <v>200</v>
      </c>
      <c r="D12220" s="9">
        <v>43284</v>
      </c>
      <c r="E12220" t="s">
        <v>296</v>
      </c>
    </row>
    <row r="12221" spans="1:5" x14ac:dyDescent="0.25">
      <c r="A12221">
        <v>943020</v>
      </c>
      <c r="B12221">
        <v>6.2750000000000004</v>
      </c>
      <c r="C12221">
        <v>40</v>
      </c>
      <c r="D12221" s="9">
        <v>42270</v>
      </c>
      <c r="E12221" t="s">
        <v>296</v>
      </c>
    </row>
    <row r="12222" spans="1:5" x14ac:dyDescent="0.25">
      <c r="A12222">
        <v>943121</v>
      </c>
      <c r="B12222">
        <v>6.85</v>
      </c>
      <c r="C12222">
        <v>324</v>
      </c>
      <c r="D12222" s="9">
        <v>43955</v>
      </c>
      <c r="E12222" t="s">
        <v>296</v>
      </c>
    </row>
    <row r="12223" spans="1:5" x14ac:dyDescent="0.25">
      <c r="A12223">
        <v>943121</v>
      </c>
      <c r="B12223">
        <v>6.85</v>
      </c>
      <c r="C12223">
        <v>324</v>
      </c>
      <c r="D12223" s="9">
        <v>43955</v>
      </c>
      <c r="E12223" t="s">
        <v>296</v>
      </c>
    </row>
    <row r="12224" spans="1:5" x14ac:dyDescent="0.25">
      <c r="A12224">
        <v>943121</v>
      </c>
      <c r="B12224">
        <v>6.85</v>
      </c>
      <c r="C12224">
        <v>312</v>
      </c>
      <c r="D12224" s="9">
        <v>43605</v>
      </c>
      <c r="E12224" t="s">
        <v>296</v>
      </c>
    </row>
    <row r="12225" spans="1:5" x14ac:dyDescent="0.25">
      <c r="A12225">
        <v>943121</v>
      </c>
      <c r="B12225">
        <v>3.35</v>
      </c>
      <c r="C12225">
        <v>300</v>
      </c>
      <c r="D12225" s="9">
        <v>43284</v>
      </c>
      <c r="E12225" t="s">
        <v>296</v>
      </c>
    </row>
    <row r="12226" spans="1:5" x14ac:dyDescent="0.25">
      <c r="A12226">
        <v>944000</v>
      </c>
      <c r="B12226">
        <v>2.8</v>
      </c>
      <c r="C12226">
        <v>300</v>
      </c>
      <c r="D12226" s="9">
        <v>42617</v>
      </c>
      <c r="E12226" t="s">
        <v>296</v>
      </c>
    </row>
    <row r="12227" spans="1:5" x14ac:dyDescent="0.25">
      <c r="A12227">
        <v>944000</v>
      </c>
      <c r="B12227">
        <v>3.32</v>
      </c>
      <c r="C12227">
        <v>200</v>
      </c>
      <c r="D12227" s="9">
        <v>42031</v>
      </c>
      <c r="E12227" t="s">
        <v>296</v>
      </c>
    </row>
    <row r="12228" spans="1:5" x14ac:dyDescent="0.25">
      <c r="A12228">
        <v>944008</v>
      </c>
      <c r="B12228">
        <v>7.44</v>
      </c>
      <c r="C12228">
        <v>32</v>
      </c>
      <c r="D12228" s="9">
        <v>42270</v>
      </c>
      <c r="E12228" t="s">
        <v>296</v>
      </c>
    </row>
    <row r="12229" spans="1:5" x14ac:dyDescent="0.25">
      <c r="A12229">
        <v>944009</v>
      </c>
      <c r="B12229">
        <v>3.6</v>
      </c>
      <c r="C12229">
        <v>240</v>
      </c>
      <c r="D12229" s="9">
        <v>43991</v>
      </c>
      <c r="E12229" t="s">
        <v>296</v>
      </c>
    </row>
    <row r="12230" spans="1:5" x14ac:dyDescent="0.25">
      <c r="A12230">
        <v>944009</v>
      </c>
      <c r="B12230">
        <v>6.85</v>
      </c>
      <c r="C12230">
        <v>204</v>
      </c>
      <c r="D12230" s="9">
        <v>43284</v>
      </c>
      <c r="E12230" t="s">
        <v>296</v>
      </c>
    </row>
    <row r="12231" spans="1:5" x14ac:dyDescent="0.25">
      <c r="A12231">
        <v>944010</v>
      </c>
      <c r="B12231">
        <v>4.7</v>
      </c>
      <c r="C12231">
        <v>204</v>
      </c>
      <c r="D12231" s="9">
        <v>44043</v>
      </c>
      <c r="E12231" t="s">
        <v>296</v>
      </c>
    </row>
    <row r="12232" spans="1:5" x14ac:dyDescent="0.25">
      <c r="A12232">
        <v>944010</v>
      </c>
      <c r="B12232">
        <v>4.7</v>
      </c>
      <c r="C12232">
        <v>204</v>
      </c>
      <c r="D12232" s="9">
        <v>43803</v>
      </c>
      <c r="E12232" t="s">
        <v>296</v>
      </c>
    </row>
    <row r="12233" spans="1:5" x14ac:dyDescent="0.25">
      <c r="A12233">
        <v>944010</v>
      </c>
      <c r="B12233">
        <v>18.47</v>
      </c>
      <c r="C12233">
        <v>204</v>
      </c>
      <c r="D12233" s="9">
        <v>43298</v>
      </c>
      <c r="E12233" t="s">
        <v>295</v>
      </c>
    </row>
    <row r="12234" spans="1:5" x14ac:dyDescent="0.25">
      <c r="A12234">
        <v>944010</v>
      </c>
      <c r="B12234">
        <v>4.6500000000000004</v>
      </c>
      <c r="C12234">
        <v>204</v>
      </c>
      <c r="D12234" s="9">
        <v>43264</v>
      </c>
      <c r="E12234" t="s">
        <v>296</v>
      </c>
    </row>
    <row r="12235" spans="1:5" x14ac:dyDescent="0.25">
      <c r="A12235">
        <v>944010</v>
      </c>
      <c r="B12235">
        <v>4.2300000000000004</v>
      </c>
      <c r="C12235">
        <v>144</v>
      </c>
      <c r="D12235" s="9">
        <v>43063</v>
      </c>
      <c r="E12235" t="s">
        <v>296</v>
      </c>
    </row>
    <row r="12236" spans="1:5" x14ac:dyDescent="0.25">
      <c r="A12236">
        <v>944010</v>
      </c>
      <c r="B12236">
        <v>4.13</v>
      </c>
      <c r="C12236">
        <v>300</v>
      </c>
      <c r="D12236" s="9">
        <v>42530</v>
      </c>
      <c r="E12236" t="s">
        <v>296</v>
      </c>
    </row>
    <row r="12237" spans="1:5" x14ac:dyDescent="0.25">
      <c r="A12237">
        <v>944010</v>
      </c>
      <c r="B12237">
        <v>4.3</v>
      </c>
      <c r="C12237">
        <v>360</v>
      </c>
      <c r="D12237" s="9">
        <v>42139</v>
      </c>
      <c r="E12237" t="s">
        <v>296</v>
      </c>
    </row>
    <row r="12238" spans="1:5" x14ac:dyDescent="0.25">
      <c r="A12238">
        <v>944010</v>
      </c>
      <c r="B12238">
        <v>4.2</v>
      </c>
      <c r="C12238">
        <v>600</v>
      </c>
      <c r="D12238" s="9">
        <v>41747</v>
      </c>
      <c r="E12238" t="s">
        <v>296</v>
      </c>
    </row>
    <row r="12239" spans="1:5" x14ac:dyDescent="0.25">
      <c r="A12239">
        <v>944010</v>
      </c>
      <c r="B12239">
        <v>4.2</v>
      </c>
      <c r="C12239">
        <v>360</v>
      </c>
      <c r="D12239" s="9">
        <v>41618</v>
      </c>
      <c r="E12239" t="s">
        <v>296</v>
      </c>
    </row>
    <row r="12240" spans="1:5" x14ac:dyDescent="0.25">
      <c r="A12240">
        <v>944200</v>
      </c>
      <c r="B12240">
        <v>19.09</v>
      </c>
      <c r="C12240">
        <v>140</v>
      </c>
      <c r="D12240" s="9">
        <v>43298</v>
      </c>
      <c r="E12240" t="s">
        <v>295</v>
      </c>
    </row>
    <row r="12241" spans="1:5" x14ac:dyDescent="0.25">
      <c r="A12241">
        <v>944200</v>
      </c>
      <c r="B12241">
        <v>5.05</v>
      </c>
      <c r="C12241">
        <v>140</v>
      </c>
      <c r="D12241" s="9">
        <v>43264</v>
      </c>
      <c r="E12241" t="s">
        <v>296</v>
      </c>
    </row>
    <row r="12242" spans="1:5" x14ac:dyDescent="0.25">
      <c r="A12242">
        <v>944200</v>
      </c>
      <c r="B12242">
        <v>5.98</v>
      </c>
      <c r="C12242">
        <v>120</v>
      </c>
      <c r="D12242" s="9">
        <v>42976</v>
      </c>
      <c r="E12242" t="s">
        <v>296</v>
      </c>
    </row>
    <row r="12243" spans="1:5" x14ac:dyDescent="0.25">
      <c r="A12243">
        <v>944200</v>
      </c>
      <c r="B12243">
        <v>26.25</v>
      </c>
      <c r="C12243">
        <v>140</v>
      </c>
      <c r="D12243" s="9">
        <v>42520</v>
      </c>
      <c r="E12243" t="s">
        <v>295</v>
      </c>
    </row>
    <row r="12244" spans="1:5" x14ac:dyDescent="0.25">
      <c r="A12244">
        <v>944200</v>
      </c>
      <c r="B12244">
        <v>5.98</v>
      </c>
      <c r="C12244">
        <v>140</v>
      </c>
      <c r="D12244" s="9">
        <v>42520</v>
      </c>
      <c r="E12244" t="s">
        <v>297</v>
      </c>
    </row>
    <row r="12245" spans="1:5" x14ac:dyDescent="0.25">
      <c r="A12245">
        <v>944200</v>
      </c>
      <c r="B12245">
        <v>5.98</v>
      </c>
      <c r="C12245">
        <v>20</v>
      </c>
      <c r="D12245" s="9">
        <v>42186</v>
      </c>
      <c r="E12245" t="s">
        <v>296</v>
      </c>
    </row>
    <row r="12246" spans="1:5" x14ac:dyDescent="0.25">
      <c r="A12246">
        <v>945000</v>
      </c>
      <c r="B12246">
        <v>1.085</v>
      </c>
      <c r="C12246">
        <v>1800</v>
      </c>
      <c r="D12246" s="9">
        <v>41366</v>
      </c>
      <c r="E12246" t="s">
        <v>296</v>
      </c>
    </row>
    <row r="12247" spans="1:5" x14ac:dyDescent="0.25">
      <c r="A12247">
        <v>945000</v>
      </c>
      <c r="B12247">
        <v>1.1950000000000001</v>
      </c>
      <c r="C12247">
        <v>1440</v>
      </c>
      <c r="D12247" s="9">
        <v>41288</v>
      </c>
      <c r="E12247" t="s">
        <v>296</v>
      </c>
    </row>
    <row r="12248" spans="1:5" x14ac:dyDescent="0.25">
      <c r="A12248">
        <v>945000</v>
      </c>
      <c r="B12248">
        <v>1.1950000000000001</v>
      </c>
      <c r="C12248">
        <v>1400</v>
      </c>
      <c r="D12248" s="9">
        <v>41281</v>
      </c>
      <c r="E12248" t="s">
        <v>296</v>
      </c>
    </row>
    <row r="12249" spans="1:5" x14ac:dyDescent="0.25">
      <c r="A12249">
        <v>946007</v>
      </c>
      <c r="B12249">
        <v>49.9</v>
      </c>
      <c r="C12249">
        <v>30</v>
      </c>
      <c r="D12249" s="9">
        <v>42325</v>
      </c>
      <c r="E12249" t="s">
        <v>296</v>
      </c>
    </row>
    <row r="12250" spans="1:5" x14ac:dyDescent="0.25">
      <c r="A12250">
        <v>946052</v>
      </c>
      <c r="B12250">
        <v>8.8000000000000007</v>
      </c>
      <c r="C12250">
        <v>150</v>
      </c>
      <c r="D12250" s="9">
        <v>42325</v>
      </c>
      <c r="E12250" t="s">
        <v>296</v>
      </c>
    </row>
    <row r="12251" spans="1:5" x14ac:dyDescent="0.25">
      <c r="A12251">
        <v>946054</v>
      </c>
      <c r="B12251">
        <v>7.7</v>
      </c>
      <c r="C12251">
        <v>150</v>
      </c>
      <c r="D12251" s="9">
        <v>42325</v>
      </c>
      <c r="E12251" t="s">
        <v>296</v>
      </c>
    </row>
    <row r="12252" spans="1:5" x14ac:dyDescent="0.25">
      <c r="A12252">
        <v>947091</v>
      </c>
      <c r="B12252">
        <v>17.02</v>
      </c>
      <c r="C12252">
        <v>10</v>
      </c>
      <c r="D12252" s="9">
        <v>43243</v>
      </c>
      <c r="E12252" t="s">
        <v>295</v>
      </c>
    </row>
    <row r="12253" spans="1:5" x14ac:dyDescent="0.25">
      <c r="A12253">
        <v>947091</v>
      </c>
      <c r="B12253">
        <v>17.02</v>
      </c>
      <c r="C12253">
        <v>4</v>
      </c>
      <c r="D12253" s="9">
        <v>42508</v>
      </c>
      <c r="E12253" t="s">
        <v>295</v>
      </c>
    </row>
    <row r="12254" spans="1:5" x14ac:dyDescent="0.25">
      <c r="A12254">
        <v>947091</v>
      </c>
      <c r="B12254">
        <v>17.02</v>
      </c>
      <c r="C12254">
        <v>15</v>
      </c>
      <c r="D12254" s="9">
        <v>42381</v>
      </c>
      <c r="E12254" t="s">
        <v>295</v>
      </c>
    </row>
    <row r="12255" spans="1:5" x14ac:dyDescent="0.25">
      <c r="A12255">
        <v>947091</v>
      </c>
      <c r="B12255">
        <v>17.02</v>
      </c>
      <c r="C12255">
        <v>12</v>
      </c>
      <c r="D12255" s="9">
        <v>42194</v>
      </c>
      <c r="E12255" t="s">
        <v>295</v>
      </c>
    </row>
    <row r="12256" spans="1:5" x14ac:dyDescent="0.25">
      <c r="A12256">
        <v>947096</v>
      </c>
      <c r="B12256">
        <v>19.32</v>
      </c>
      <c r="C12256">
        <v>50</v>
      </c>
      <c r="D12256" s="9">
        <v>42258</v>
      </c>
      <c r="E12256" t="s">
        <v>295</v>
      </c>
    </row>
    <row r="12257" spans="1:5" x14ac:dyDescent="0.25">
      <c r="A12257">
        <v>947096</v>
      </c>
      <c r="B12257">
        <v>19.32</v>
      </c>
      <c r="C12257">
        <v>25</v>
      </c>
      <c r="D12257" s="9">
        <v>42242</v>
      </c>
      <c r="E12257" t="s">
        <v>295</v>
      </c>
    </row>
    <row r="12258" spans="1:5" x14ac:dyDescent="0.25">
      <c r="A12258">
        <v>947097</v>
      </c>
      <c r="B12258">
        <v>20.79</v>
      </c>
      <c r="C12258">
        <v>10</v>
      </c>
      <c r="D12258" s="9">
        <v>43243</v>
      </c>
      <c r="E12258" t="s">
        <v>295</v>
      </c>
    </row>
    <row r="12259" spans="1:5" x14ac:dyDescent="0.25">
      <c r="A12259">
        <v>947097</v>
      </c>
      <c r="B12259">
        <v>20.329999999999998</v>
      </c>
      <c r="C12259">
        <v>12</v>
      </c>
      <c r="D12259" s="9">
        <v>42508</v>
      </c>
      <c r="E12259" t="s">
        <v>295</v>
      </c>
    </row>
    <row r="12260" spans="1:5" x14ac:dyDescent="0.25">
      <c r="A12260">
        <v>947097</v>
      </c>
      <c r="B12260">
        <v>20.329999999999998</v>
      </c>
      <c r="C12260">
        <v>25</v>
      </c>
      <c r="D12260" s="9">
        <v>42381</v>
      </c>
      <c r="E12260" t="s">
        <v>295</v>
      </c>
    </row>
    <row r="12261" spans="1:5" x14ac:dyDescent="0.25">
      <c r="A12261">
        <v>947097</v>
      </c>
      <c r="B12261">
        <v>20.329999999999998</v>
      </c>
      <c r="C12261">
        <v>2</v>
      </c>
      <c r="D12261" s="9">
        <v>42212</v>
      </c>
      <c r="E12261" t="s">
        <v>295</v>
      </c>
    </row>
    <row r="12262" spans="1:5" x14ac:dyDescent="0.25">
      <c r="A12262">
        <v>947097</v>
      </c>
      <c r="B12262">
        <v>20.329999999999998</v>
      </c>
      <c r="C12262">
        <v>6</v>
      </c>
      <c r="D12262" s="9">
        <v>42194</v>
      </c>
      <c r="E12262" t="s">
        <v>295</v>
      </c>
    </row>
    <row r="12263" spans="1:5" x14ac:dyDescent="0.25">
      <c r="A12263">
        <v>947098</v>
      </c>
      <c r="B12263">
        <v>21.53</v>
      </c>
      <c r="C12263">
        <v>2</v>
      </c>
      <c r="D12263" s="9">
        <v>42212</v>
      </c>
      <c r="E12263" t="s">
        <v>295</v>
      </c>
    </row>
    <row r="12264" spans="1:5" x14ac:dyDescent="0.25">
      <c r="A12264">
        <v>947098</v>
      </c>
      <c r="B12264">
        <v>21.53</v>
      </c>
      <c r="C12264">
        <v>6</v>
      </c>
      <c r="D12264" s="9">
        <v>42194</v>
      </c>
      <c r="E12264" t="s">
        <v>295</v>
      </c>
    </row>
    <row r="12265" spans="1:5" x14ac:dyDescent="0.25">
      <c r="A12265">
        <v>947099</v>
      </c>
      <c r="B12265">
        <v>22.54</v>
      </c>
      <c r="C12265">
        <v>2</v>
      </c>
      <c r="D12265" s="9">
        <v>42212</v>
      </c>
      <c r="E12265" t="s">
        <v>295</v>
      </c>
    </row>
    <row r="12266" spans="1:5" x14ac:dyDescent="0.25">
      <c r="A12266">
        <v>955001</v>
      </c>
      <c r="B12266">
        <v>0.48</v>
      </c>
      <c r="C12266">
        <v>400</v>
      </c>
      <c r="D12266" s="9">
        <v>44102</v>
      </c>
      <c r="E12266" t="s">
        <v>296</v>
      </c>
    </row>
    <row r="12267" spans="1:5" x14ac:dyDescent="0.25">
      <c r="A12267">
        <v>955020</v>
      </c>
      <c r="B12267">
        <v>0.33</v>
      </c>
      <c r="C12267">
        <v>2080</v>
      </c>
      <c r="D12267" s="9">
        <v>43483</v>
      </c>
      <c r="E12267" t="s">
        <v>296</v>
      </c>
    </row>
    <row r="12268" spans="1:5" x14ac:dyDescent="0.25">
      <c r="A12268">
        <v>955020</v>
      </c>
      <c r="B12268">
        <v>1.1599999999999999</v>
      </c>
      <c r="C12268">
        <v>1040</v>
      </c>
      <c r="D12268" s="9">
        <v>43138</v>
      </c>
      <c r="E12268" t="s">
        <v>295</v>
      </c>
    </row>
    <row r="12269" spans="1:5" x14ac:dyDescent="0.25">
      <c r="A12269">
        <v>955020</v>
      </c>
      <c r="B12269">
        <v>0.33</v>
      </c>
      <c r="C12269">
        <v>2080</v>
      </c>
      <c r="D12269" s="9">
        <v>43111</v>
      </c>
      <c r="E12269" t="s">
        <v>296</v>
      </c>
    </row>
    <row r="12270" spans="1:5" x14ac:dyDescent="0.25">
      <c r="A12270">
        <v>955020</v>
      </c>
      <c r="B12270">
        <v>0.44600000000000001</v>
      </c>
      <c r="C12270">
        <v>1440</v>
      </c>
      <c r="D12270" s="9">
        <v>42397</v>
      </c>
      <c r="E12270" t="s">
        <v>296</v>
      </c>
    </row>
    <row r="12271" spans="1:5" x14ac:dyDescent="0.25">
      <c r="A12271">
        <v>955020</v>
      </c>
      <c r="B12271">
        <v>0.44600000000000001</v>
      </c>
      <c r="C12271">
        <v>2016</v>
      </c>
      <c r="D12271" s="9">
        <v>41746</v>
      </c>
      <c r="E12271" t="s">
        <v>296</v>
      </c>
    </row>
    <row r="12272" spans="1:5" x14ac:dyDescent="0.25">
      <c r="A12272">
        <v>955020</v>
      </c>
      <c r="B12272">
        <v>0.48</v>
      </c>
      <c r="C12272">
        <v>2016</v>
      </c>
      <c r="D12272" s="9">
        <v>41281</v>
      </c>
      <c r="E12272" t="s">
        <v>296</v>
      </c>
    </row>
    <row r="12273" spans="1:5" x14ac:dyDescent="0.25">
      <c r="A12273">
        <v>955021</v>
      </c>
      <c r="B12273">
        <v>0.45</v>
      </c>
      <c r="C12273">
        <v>2080</v>
      </c>
      <c r="D12273" s="9">
        <v>43483</v>
      </c>
      <c r="E12273" t="s">
        <v>296</v>
      </c>
    </row>
    <row r="12274" spans="1:5" x14ac:dyDescent="0.25">
      <c r="A12274">
        <v>955021</v>
      </c>
      <c r="B12274">
        <v>1.57</v>
      </c>
      <c r="C12274">
        <v>2080</v>
      </c>
      <c r="D12274" s="9">
        <v>43138</v>
      </c>
      <c r="E12274" t="s">
        <v>295</v>
      </c>
    </row>
    <row r="12275" spans="1:5" x14ac:dyDescent="0.25">
      <c r="A12275">
        <v>955021</v>
      </c>
      <c r="B12275">
        <v>0.45</v>
      </c>
      <c r="C12275">
        <v>2080</v>
      </c>
      <c r="D12275" s="9">
        <v>43111</v>
      </c>
      <c r="E12275" t="s">
        <v>296</v>
      </c>
    </row>
    <row r="12276" spans="1:5" x14ac:dyDescent="0.25">
      <c r="A12276">
        <v>955024</v>
      </c>
      <c r="B12276">
        <v>0.46</v>
      </c>
      <c r="C12276">
        <v>1200</v>
      </c>
      <c r="D12276" s="9">
        <v>44113</v>
      </c>
      <c r="E12276" t="s">
        <v>296</v>
      </c>
    </row>
    <row r="12277" spans="1:5" x14ac:dyDescent="0.25">
      <c r="A12277">
        <v>955024</v>
      </c>
      <c r="B12277">
        <v>0.44</v>
      </c>
      <c r="C12277">
        <v>1920</v>
      </c>
      <c r="D12277" s="9">
        <v>43483</v>
      </c>
      <c r="E12277" t="s">
        <v>296</v>
      </c>
    </row>
    <row r="12278" spans="1:5" x14ac:dyDescent="0.25">
      <c r="A12278">
        <v>955024</v>
      </c>
      <c r="B12278">
        <v>1.55</v>
      </c>
      <c r="C12278">
        <v>960</v>
      </c>
      <c r="D12278" s="9">
        <v>43138</v>
      </c>
      <c r="E12278" t="s">
        <v>295</v>
      </c>
    </row>
    <row r="12279" spans="1:5" x14ac:dyDescent="0.25">
      <c r="A12279">
        <v>955024</v>
      </c>
      <c r="B12279">
        <v>0.44</v>
      </c>
      <c r="C12279">
        <v>1920</v>
      </c>
      <c r="D12279" s="9">
        <v>43111</v>
      </c>
      <c r="E12279" t="s">
        <v>296</v>
      </c>
    </row>
    <row r="12280" spans="1:5" x14ac:dyDescent="0.25">
      <c r="A12280">
        <v>955024</v>
      </c>
      <c r="B12280">
        <v>0.54</v>
      </c>
      <c r="C12280">
        <v>1152</v>
      </c>
      <c r="D12280" s="9">
        <v>42397</v>
      </c>
      <c r="E12280" t="s">
        <v>296</v>
      </c>
    </row>
    <row r="12281" spans="1:5" x14ac:dyDescent="0.25">
      <c r="A12281">
        <v>955024</v>
      </c>
      <c r="B12281">
        <v>0.54</v>
      </c>
      <c r="C12281">
        <v>1728</v>
      </c>
      <c r="D12281" s="9">
        <v>42139</v>
      </c>
      <c r="E12281" t="s">
        <v>296</v>
      </c>
    </row>
    <row r="12282" spans="1:5" x14ac:dyDescent="0.25">
      <c r="A12282">
        <v>955024</v>
      </c>
      <c r="B12282">
        <v>0.57499999999999996</v>
      </c>
      <c r="C12282">
        <v>2016</v>
      </c>
      <c r="D12282" s="9">
        <v>41746</v>
      </c>
      <c r="E12282" t="s">
        <v>296</v>
      </c>
    </row>
    <row r="12283" spans="1:5" x14ac:dyDescent="0.25">
      <c r="A12283">
        <v>955024</v>
      </c>
      <c r="B12283">
        <v>0.755</v>
      </c>
      <c r="C12283">
        <v>2016</v>
      </c>
      <c r="D12283" s="9">
        <v>41281</v>
      </c>
      <c r="E12283" t="s">
        <v>296</v>
      </c>
    </row>
    <row r="12284" spans="1:5" x14ac:dyDescent="0.25">
      <c r="A12284">
        <v>955025</v>
      </c>
      <c r="B12284">
        <v>0.65</v>
      </c>
      <c r="C12284">
        <v>1440</v>
      </c>
      <c r="D12284" s="9">
        <v>44131</v>
      </c>
      <c r="E12284" t="s">
        <v>296</v>
      </c>
    </row>
    <row r="12285" spans="1:5" x14ac:dyDescent="0.25">
      <c r="A12285">
        <v>955025</v>
      </c>
      <c r="B12285">
        <v>0.62</v>
      </c>
      <c r="C12285">
        <v>1920</v>
      </c>
      <c r="D12285" s="9">
        <v>43483</v>
      </c>
      <c r="E12285" t="s">
        <v>296</v>
      </c>
    </row>
    <row r="12286" spans="1:5" x14ac:dyDescent="0.25">
      <c r="A12286">
        <v>955025</v>
      </c>
      <c r="B12286">
        <v>2.16</v>
      </c>
      <c r="C12286">
        <v>960</v>
      </c>
      <c r="D12286" s="9">
        <v>43138</v>
      </c>
      <c r="E12286" t="s">
        <v>295</v>
      </c>
    </row>
    <row r="12287" spans="1:5" x14ac:dyDescent="0.25">
      <c r="A12287">
        <v>955025</v>
      </c>
      <c r="B12287">
        <v>0.62</v>
      </c>
      <c r="C12287">
        <v>1920</v>
      </c>
      <c r="D12287" s="9">
        <v>43111</v>
      </c>
      <c r="E12287" t="s">
        <v>296</v>
      </c>
    </row>
    <row r="12288" spans="1:5" x14ac:dyDescent="0.25">
      <c r="A12288">
        <v>955030</v>
      </c>
      <c r="B12288">
        <v>0.67</v>
      </c>
      <c r="C12288">
        <v>1280</v>
      </c>
      <c r="D12288" s="9">
        <v>44113</v>
      </c>
      <c r="E12288" t="s">
        <v>296</v>
      </c>
    </row>
    <row r="12289" spans="1:5" x14ac:dyDescent="0.25">
      <c r="A12289">
        <v>955030</v>
      </c>
      <c r="B12289">
        <v>0.64</v>
      </c>
      <c r="C12289">
        <v>1920</v>
      </c>
      <c r="D12289" s="9">
        <v>43483</v>
      </c>
      <c r="E12289" t="s">
        <v>296</v>
      </c>
    </row>
    <row r="12290" spans="1:5" x14ac:dyDescent="0.25">
      <c r="A12290">
        <v>955030</v>
      </c>
      <c r="B12290">
        <v>2.2599999999999998</v>
      </c>
      <c r="C12290">
        <v>640</v>
      </c>
      <c r="D12290" s="9">
        <v>43138</v>
      </c>
      <c r="E12290" t="s">
        <v>295</v>
      </c>
    </row>
    <row r="12291" spans="1:5" x14ac:dyDescent="0.25">
      <c r="A12291">
        <v>955030</v>
      </c>
      <c r="B12291">
        <v>0.64</v>
      </c>
      <c r="C12291">
        <v>1920</v>
      </c>
      <c r="D12291" s="9">
        <v>43111</v>
      </c>
      <c r="E12291" t="s">
        <v>296</v>
      </c>
    </row>
    <row r="12292" spans="1:5" x14ac:dyDescent="0.25">
      <c r="A12292">
        <v>955030</v>
      </c>
      <c r="B12292">
        <v>0.79</v>
      </c>
      <c r="C12292">
        <v>1152</v>
      </c>
      <c r="D12292" s="9">
        <v>42397</v>
      </c>
      <c r="E12292" t="s">
        <v>296</v>
      </c>
    </row>
    <row r="12293" spans="1:5" x14ac:dyDescent="0.25">
      <c r="A12293">
        <v>955030</v>
      </c>
      <c r="B12293">
        <v>0.79</v>
      </c>
      <c r="C12293">
        <v>1728</v>
      </c>
      <c r="D12293" s="9">
        <v>42139</v>
      </c>
      <c r="E12293" t="s">
        <v>296</v>
      </c>
    </row>
    <row r="12294" spans="1:5" x14ac:dyDescent="0.25">
      <c r="A12294">
        <v>955030</v>
      </c>
      <c r="B12294">
        <v>0.82299999999999995</v>
      </c>
      <c r="C12294">
        <v>1680</v>
      </c>
      <c r="D12294" s="9">
        <v>41746</v>
      </c>
      <c r="E12294" t="s">
        <v>296</v>
      </c>
    </row>
    <row r="12295" spans="1:5" x14ac:dyDescent="0.25">
      <c r="A12295">
        <v>955030</v>
      </c>
      <c r="B12295">
        <v>0.98</v>
      </c>
      <c r="C12295">
        <v>1680</v>
      </c>
      <c r="D12295" s="9">
        <v>41281</v>
      </c>
      <c r="E12295" t="s">
        <v>296</v>
      </c>
    </row>
    <row r="12296" spans="1:5" x14ac:dyDescent="0.25">
      <c r="A12296">
        <v>955031</v>
      </c>
      <c r="B12296">
        <v>0.95</v>
      </c>
      <c r="C12296">
        <v>1280</v>
      </c>
      <c r="D12296" s="9">
        <v>44113</v>
      </c>
      <c r="E12296" t="s">
        <v>296</v>
      </c>
    </row>
    <row r="12297" spans="1:5" x14ac:dyDescent="0.25">
      <c r="A12297">
        <v>955031</v>
      </c>
      <c r="B12297">
        <v>3.14</v>
      </c>
      <c r="C12297">
        <v>640</v>
      </c>
      <c r="D12297" s="9">
        <v>43138</v>
      </c>
      <c r="E12297" t="s">
        <v>295</v>
      </c>
    </row>
    <row r="12298" spans="1:5" x14ac:dyDescent="0.25">
      <c r="A12298">
        <v>955031</v>
      </c>
      <c r="B12298">
        <v>0.9</v>
      </c>
      <c r="C12298">
        <v>1920</v>
      </c>
      <c r="D12298" s="9">
        <v>43111</v>
      </c>
      <c r="E12298" t="s">
        <v>296</v>
      </c>
    </row>
    <row r="12299" spans="1:5" x14ac:dyDescent="0.25">
      <c r="A12299">
        <v>955130</v>
      </c>
      <c r="B12299">
        <v>0.73</v>
      </c>
      <c r="C12299">
        <v>1120</v>
      </c>
      <c r="D12299" s="9">
        <v>44113</v>
      </c>
      <c r="E12299" t="s">
        <v>296</v>
      </c>
    </row>
    <row r="12300" spans="1:5" x14ac:dyDescent="0.25">
      <c r="A12300">
        <v>955130</v>
      </c>
      <c r="B12300">
        <v>2.44</v>
      </c>
      <c r="C12300">
        <v>1120</v>
      </c>
      <c r="D12300" s="9">
        <v>43138</v>
      </c>
      <c r="E12300" t="s">
        <v>295</v>
      </c>
    </row>
    <row r="12301" spans="1:5" x14ac:dyDescent="0.25">
      <c r="A12301">
        <v>955130</v>
      </c>
      <c r="B12301">
        <v>0.69</v>
      </c>
      <c r="C12301">
        <v>1960</v>
      </c>
      <c r="D12301" s="9">
        <v>43111</v>
      </c>
      <c r="E12301" t="s">
        <v>296</v>
      </c>
    </row>
    <row r="12302" spans="1:5" x14ac:dyDescent="0.25">
      <c r="A12302">
        <v>955130</v>
      </c>
      <c r="B12302">
        <v>0.89800000000000002</v>
      </c>
      <c r="C12302">
        <v>1200</v>
      </c>
      <c r="D12302" s="9">
        <v>42397</v>
      </c>
      <c r="E12302" t="s">
        <v>296</v>
      </c>
    </row>
    <row r="12303" spans="1:5" x14ac:dyDescent="0.25">
      <c r="A12303">
        <v>955130</v>
      </c>
      <c r="B12303">
        <v>0.89800000000000002</v>
      </c>
      <c r="C12303">
        <v>1680</v>
      </c>
      <c r="D12303" s="9">
        <v>41746</v>
      </c>
      <c r="E12303" t="s">
        <v>296</v>
      </c>
    </row>
    <row r="12304" spans="1:5" x14ac:dyDescent="0.25">
      <c r="A12304">
        <v>955130</v>
      </c>
      <c r="B12304">
        <v>1.1870000000000001</v>
      </c>
      <c r="C12304">
        <v>1680</v>
      </c>
      <c r="D12304" s="9">
        <v>41281</v>
      </c>
      <c r="E12304" t="s">
        <v>296</v>
      </c>
    </row>
    <row r="12305" spans="1:5" x14ac:dyDescent="0.25">
      <c r="A12305">
        <v>955230</v>
      </c>
      <c r="B12305">
        <v>0.53</v>
      </c>
      <c r="C12305">
        <v>1280</v>
      </c>
      <c r="D12305" s="9">
        <v>44113</v>
      </c>
      <c r="E12305" t="s">
        <v>296</v>
      </c>
    </row>
    <row r="12306" spans="1:5" x14ac:dyDescent="0.25">
      <c r="A12306">
        <v>955230</v>
      </c>
      <c r="B12306">
        <v>1.77</v>
      </c>
      <c r="C12306">
        <v>640</v>
      </c>
      <c r="D12306" s="9">
        <v>43138</v>
      </c>
      <c r="E12306" t="s">
        <v>295</v>
      </c>
    </row>
    <row r="12307" spans="1:5" x14ac:dyDescent="0.25">
      <c r="A12307">
        <v>955230</v>
      </c>
      <c r="B12307">
        <v>0.5</v>
      </c>
      <c r="C12307">
        <v>1920</v>
      </c>
      <c r="D12307" s="9">
        <v>43111</v>
      </c>
      <c r="E12307" t="s">
        <v>296</v>
      </c>
    </row>
    <row r="12308" spans="1:5" x14ac:dyDescent="0.25">
      <c r="A12308">
        <v>955230</v>
      </c>
      <c r="B12308">
        <v>0.7</v>
      </c>
      <c r="C12308">
        <v>960</v>
      </c>
      <c r="D12308" s="9">
        <v>42397</v>
      </c>
      <c r="E12308" t="s">
        <v>296</v>
      </c>
    </row>
    <row r="12309" spans="1:5" x14ac:dyDescent="0.25">
      <c r="A12309">
        <v>955230</v>
      </c>
      <c r="B12309">
        <v>0.7</v>
      </c>
      <c r="C12309">
        <v>960</v>
      </c>
      <c r="D12309" s="9">
        <v>42139</v>
      </c>
      <c r="E12309" t="s">
        <v>296</v>
      </c>
    </row>
    <row r="12310" spans="1:5" x14ac:dyDescent="0.25">
      <c r="A12310">
        <v>955230</v>
      </c>
      <c r="B12310">
        <v>0.73099999999999998</v>
      </c>
      <c r="C12310">
        <v>1680</v>
      </c>
      <c r="D12310" s="9">
        <v>41746</v>
      </c>
      <c r="E12310" t="s">
        <v>296</v>
      </c>
    </row>
    <row r="12311" spans="1:5" x14ac:dyDescent="0.25">
      <c r="A12311">
        <v>955230</v>
      </c>
      <c r="B12311">
        <v>0.98</v>
      </c>
      <c r="C12311">
        <v>1680</v>
      </c>
      <c r="D12311" s="9">
        <v>41281</v>
      </c>
      <c r="E12311" t="s">
        <v>296</v>
      </c>
    </row>
    <row r="12312" spans="1:5" x14ac:dyDescent="0.25">
      <c r="A12312">
        <v>955252</v>
      </c>
      <c r="B12312">
        <v>10.55</v>
      </c>
      <c r="C12312">
        <v>400</v>
      </c>
      <c r="D12312" s="9">
        <v>43138</v>
      </c>
      <c r="E12312" t="s">
        <v>295</v>
      </c>
    </row>
    <row r="12313" spans="1:5" x14ac:dyDescent="0.25">
      <c r="A12313">
        <v>955252</v>
      </c>
      <c r="B12313">
        <v>3.05</v>
      </c>
      <c r="C12313">
        <v>400</v>
      </c>
      <c r="D12313" s="9">
        <v>43111</v>
      </c>
      <c r="E12313" t="s">
        <v>296</v>
      </c>
    </row>
    <row r="12314" spans="1:5" x14ac:dyDescent="0.25">
      <c r="A12314">
        <v>955254</v>
      </c>
      <c r="B12314">
        <v>7.64</v>
      </c>
      <c r="C12314">
        <v>520</v>
      </c>
      <c r="D12314" s="9">
        <v>43138</v>
      </c>
      <c r="E12314" t="s">
        <v>295</v>
      </c>
    </row>
    <row r="12315" spans="1:5" x14ac:dyDescent="0.25">
      <c r="A12315">
        <v>955254</v>
      </c>
      <c r="B12315">
        <v>2.15</v>
      </c>
      <c r="C12315">
        <v>520</v>
      </c>
      <c r="D12315" s="9">
        <v>43111</v>
      </c>
      <c r="E12315" t="s">
        <v>296</v>
      </c>
    </row>
    <row r="12316" spans="1:5" x14ac:dyDescent="0.25">
      <c r="A12316">
        <v>956002</v>
      </c>
      <c r="B12316">
        <v>11.91</v>
      </c>
      <c r="C12316">
        <v>60</v>
      </c>
      <c r="D12316" s="9">
        <v>44134</v>
      </c>
      <c r="E12316" t="s">
        <v>296</v>
      </c>
    </row>
    <row r="12317" spans="1:5" x14ac:dyDescent="0.25">
      <c r="A12317">
        <v>956010</v>
      </c>
      <c r="B12317">
        <v>33.119999999999997</v>
      </c>
      <c r="C12317">
        <v>300</v>
      </c>
      <c r="D12317" s="9">
        <v>43990</v>
      </c>
      <c r="E12317" t="s">
        <v>296</v>
      </c>
    </row>
    <row r="12318" spans="1:5" x14ac:dyDescent="0.25">
      <c r="A12318">
        <v>956020</v>
      </c>
      <c r="B12318">
        <v>28.75</v>
      </c>
      <c r="C12318">
        <v>960</v>
      </c>
      <c r="D12318" s="9">
        <v>44134</v>
      </c>
      <c r="E12318" t="s">
        <v>296</v>
      </c>
    </row>
    <row r="12319" spans="1:5" x14ac:dyDescent="0.25">
      <c r="A12319">
        <v>956020</v>
      </c>
      <c r="B12319">
        <v>28.52</v>
      </c>
      <c r="C12319">
        <v>200</v>
      </c>
      <c r="D12319" s="9">
        <v>43990</v>
      </c>
      <c r="E12319" t="s">
        <v>296</v>
      </c>
    </row>
    <row r="12320" spans="1:5" x14ac:dyDescent="0.25">
      <c r="A12320">
        <v>956030</v>
      </c>
      <c r="B12320">
        <v>12.42</v>
      </c>
      <c r="C12320">
        <v>300</v>
      </c>
      <c r="D12320" s="9">
        <v>43990</v>
      </c>
      <c r="E12320" t="s">
        <v>296</v>
      </c>
    </row>
    <row r="12321" spans="1:5" x14ac:dyDescent="0.25">
      <c r="A12321">
        <v>956040</v>
      </c>
      <c r="B12321">
        <v>26.87</v>
      </c>
      <c r="C12321">
        <v>300</v>
      </c>
      <c r="D12321" s="9">
        <v>43990</v>
      </c>
      <c r="E12321" t="s">
        <v>296</v>
      </c>
    </row>
    <row r="12322" spans="1:5" x14ac:dyDescent="0.25">
      <c r="A12322">
        <v>960050</v>
      </c>
      <c r="B12322">
        <v>0.61499999999999999</v>
      </c>
      <c r="C12322">
        <v>2000</v>
      </c>
      <c r="D12322" s="9">
        <v>43592</v>
      </c>
      <c r="E12322" t="s">
        <v>296</v>
      </c>
    </row>
    <row r="12323" spans="1:5" x14ac:dyDescent="0.25">
      <c r="A12323">
        <v>960050</v>
      </c>
      <c r="B12323">
        <v>2.25</v>
      </c>
      <c r="C12323">
        <v>1620</v>
      </c>
      <c r="D12323" s="9">
        <v>43285</v>
      </c>
      <c r="E12323" t="s">
        <v>295</v>
      </c>
    </row>
    <row r="12324" spans="1:5" x14ac:dyDescent="0.25">
      <c r="A12324">
        <v>960050</v>
      </c>
      <c r="B12324">
        <v>0.57999999999999996</v>
      </c>
      <c r="C12324">
        <v>1620</v>
      </c>
      <c r="D12324" s="9">
        <v>43234</v>
      </c>
      <c r="E12324" t="s">
        <v>296</v>
      </c>
    </row>
    <row r="12325" spans="1:5" x14ac:dyDescent="0.25">
      <c r="A12325">
        <v>960050</v>
      </c>
      <c r="B12325">
        <v>0.55000000000000004</v>
      </c>
      <c r="C12325">
        <v>1500</v>
      </c>
      <c r="D12325" s="9">
        <v>42859</v>
      </c>
      <c r="E12325" t="s">
        <v>296</v>
      </c>
    </row>
    <row r="12326" spans="1:5" x14ac:dyDescent="0.25">
      <c r="A12326">
        <v>960050</v>
      </c>
      <c r="B12326">
        <v>0.66</v>
      </c>
      <c r="C12326">
        <v>1800</v>
      </c>
      <c r="D12326" s="9">
        <v>42380</v>
      </c>
      <c r="E12326" t="s">
        <v>296</v>
      </c>
    </row>
    <row r="12327" spans="1:5" x14ac:dyDescent="0.25">
      <c r="A12327">
        <v>960050</v>
      </c>
      <c r="B12327">
        <v>0.66</v>
      </c>
      <c r="C12327">
        <v>1800</v>
      </c>
      <c r="D12327" s="9">
        <v>42139</v>
      </c>
      <c r="E12327" t="s">
        <v>296</v>
      </c>
    </row>
    <row r="12328" spans="1:5" x14ac:dyDescent="0.25">
      <c r="A12328">
        <v>960050</v>
      </c>
      <c r="B12328">
        <v>0.65</v>
      </c>
      <c r="C12328">
        <v>1800</v>
      </c>
      <c r="D12328" s="9">
        <v>41718</v>
      </c>
      <c r="E12328" t="s">
        <v>296</v>
      </c>
    </row>
    <row r="12329" spans="1:5" x14ac:dyDescent="0.25">
      <c r="A12329">
        <v>960050</v>
      </c>
      <c r="B12329">
        <v>0.62</v>
      </c>
      <c r="C12329">
        <v>2160</v>
      </c>
      <c r="D12329" s="9">
        <v>41330</v>
      </c>
      <c r="E12329" t="s">
        <v>296</v>
      </c>
    </row>
    <row r="12330" spans="1:5" x14ac:dyDescent="0.25">
      <c r="A12330">
        <v>960150</v>
      </c>
      <c r="B12330">
        <v>0.6</v>
      </c>
      <c r="C12330">
        <v>2100</v>
      </c>
      <c r="D12330" s="9">
        <v>42781</v>
      </c>
      <c r="E12330" t="s">
        <v>296</v>
      </c>
    </row>
    <row r="12331" spans="1:5" x14ac:dyDescent="0.25">
      <c r="A12331">
        <v>960150</v>
      </c>
      <c r="B12331">
        <v>0.65</v>
      </c>
      <c r="C12331">
        <v>1008</v>
      </c>
      <c r="D12331" s="9">
        <v>42139</v>
      </c>
      <c r="E12331" t="s">
        <v>296</v>
      </c>
    </row>
    <row r="12332" spans="1:5" x14ac:dyDescent="0.25">
      <c r="A12332">
        <v>960150</v>
      </c>
      <c r="B12332">
        <v>0.65</v>
      </c>
      <c r="C12332">
        <v>2016</v>
      </c>
      <c r="D12332" s="9">
        <v>41526</v>
      </c>
      <c r="E12332" t="s">
        <v>296</v>
      </c>
    </row>
    <row r="12333" spans="1:5" x14ac:dyDescent="0.25">
      <c r="A12333">
        <v>960151</v>
      </c>
      <c r="B12333">
        <v>6.5</v>
      </c>
      <c r="C12333">
        <v>238</v>
      </c>
      <c r="D12333" s="9">
        <v>43063</v>
      </c>
      <c r="E12333" t="s">
        <v>296</v>
      </c>
    </row>
    <row r="12334" spans="1:5" x14ac:dyDescent="0.25">
      <c r="A12334">
        <v>960155</v>
      </c>
      <c r="B12334">
        <v>23.9</v>
      </c>
      <c r="C12334">
        <v>36</v>
      </c>
      <c r="D12334" s="9">
        <v>43951</v>
      </c>
      <c r="E12334" t="s">
        <v>295</v>
      </c>
    </row>
    <row r="12335" spans="1:5" x14ac:dyDescent="0.25">
      <c r="A12335">
        <v>960155</v>
      </c>
      <c r="B12335">
        <v>21.2</v>
      </c>
      <c r="C12335">
        <v>36</v>
      </c>
      <c r="D12335" s="9">
        <v>43250</v>
      </c>
      <c r="E12335" t="s">
        <v>295</v>
      </c>
    </row>
    <row r="12336" spans="1:5" x14ac:dyDescent="0.25">
      <c r="A12336">
        <v>960155</v>
      </c>
      <c r="B12336">
        <v>21.2</v>
      </c>
      <c r="C12336">
        <v>36</v>
      </c>
      <c r="D12336" s="9">
        <v>43213</v>
      </c>
      <c r="E12336" t="s">
        <v>295</v>
      </c>
    </row>
    <row r="12337" spans="1:5" x14ac:dyDescent="0.25">
      <c r="A12337">
        <v>960159</v>
      </c>
      <c r="B12337">
        <v>29.13</v>
      </c>
      <c r="C12337">
        <v>12</v>
      </c>
      <c r="D12337" s="9">
        <v>44109</v>
      </c>
      <c r="E12337" t="s">
        <v>295</v>
      </c>
    </row>
    <row r="12338" spans="1:5" x14ac:dyDescent="0.25">
      <c r="A12338">
        <v>960159</v>
      </c>
      <c r="B12338">
        <v>29.13</v>
      </c>
      <c r="C12338">
        <v>6</v>
      </c>
      <c r="D12338" s="9">
        <v>43951</v>
      </c>
      <c r="E12338" t="s">
        <v>295</v>
      </c>
    </row>
    <row r="12339" spans="1:5" x14ac:dyDescent="0.25">
      <c r="A12339">
        <v>960354</v>
      </c>
      <c r="B12339">
        <v>0.21</v>
      </c>
      <c r="C12339">
        <v>3600</v>
      </c>
      <c r="D12339" s="9">
        <v>41961</v>
      </c>
      <c r="E12339" t="s">
        <v>296</v>
      </c>
    </row>
    <row r="12340" spans="1:5" x14ac:dyDescent="0.25">
      <c r="A12340">
        <v>960354</v>
      </c>
      <c r="B12340">
        <v>0.20799999999999999</v>
      </c>
      <c r="C12340">
        <v>3600</v>
      </c>
      <c r="D12340" s="9">
        <v>41813</v>
      </c>
      <c r="E12340" t="s">
        <v>296</v>
      </c>
    </row>
    <row r="12341" spans="1:5" x14ac:dyDescent="0.25">
      <c r="A12341">
        <v>960356</v>
      </c>
      <c r="B12341">
        <v>0.20799999999999999</v>
      </c>
      <c r="C12341">
        <v>2400</v>
      </c>
      <c r="D12341" s="9">
        <v>41718</v>
      </c>
      <c r="E12341" t="s">
        <v>296</v>
      </c>
    </row>
    <row r="12342" spans="1:5" x14ac:dyDescent="0.25">
      <c r="A12342">
        <v>960356</v>
      </c>
      <c r="B12342">
        <v>0.22900000000000001</v>
      </c>
      <c r="C12342">
        <v>2400</v>
      </c>
      <c r="D12342" s="9">
        <v>41592</v>
      </c>
      <c r="E12342" t="s">
        <v>296</v>
      </c>
    </row>
    <row r="12343" spans="1:5" x14ac:dyDescent="0.25">
      <c r="A12343">
        <v>960360</v>
      </c>
      <c r="B12343">
        <v>0.23100000000000001</v>
      </c>
      <c r="C12343">
        <v>3600</v>
      </c>
      <c r="D12343" s="9">
        <v>41961</v>
      </c>
      <c r="E12343" t="s">
        <v>296</v>
      </c>
    </row>
    <row r="12344" spans="1:5" x14ac:dyDescent="0.25">
      <c r="A12344">
        <v>960360</v>
      </c>
      <c r="B12344">
        <v>0.23</v>
      </c>
      <c r="C12344">
        <v>7200</v>
      </c>
      <c r="D12344" s="9">
        <v>41961</v>
      </c>
      <c r="E12344" t="s">
        <v>296</v>
      </c>
    </row>
    <row r="12345" spans="1:5" x14ac:dyDescent="0.25">
      <c r="A12345">
        <v>960360</v>
      </c>
      <c r="B12345">
        <v>0.23100000000000001</v>
      </c>
      <c r="C12345">
        <v>3600</v>
      </c>
      <c r="D12345" s="9">
        <v>41947</v>
      </c>
      <c r="E12345" t="s">
        <v>296</v>
      </c>
    </row>
    <row r="12346" spans="1:5" x14ac:dyDescent="0.25">
      <c r="A12346">
        <v>960360</v>
      </c>
      <c r="B12346">
        <v>0.23100000000000001</v>
      </c>
      <c r="C12346">
        <v>3600</v>
      </c>
      <c r="D12346" s="9">
        <v>41618</v>
      </c>
      <c r="E12346" t="s">
        <v>296</v>
      </c>
    </row>
    <row r="12347" spans="1:5" x14ac:dyDescent="0.25">
      <c r="A12347">
        <v>960360</v>
      </c>
      <c r="B12347">
        <v>0.23</v>
      </c>
      <c r="C12347">
        <v>4800</v>
      </c>
      <c r="D12347" s="9">
        <v>41592</v>
      </c>
      <c r="E12347" t="s">
        <v>296</v>
      </c>
    </row>
    <row r="12348" spans="1:5" x14ac:dyDescent="0.25">
      <c r="A12348">
        <v>975000</v>
      </c>
      <c r="B12348">
        <v>0.32800000000000001</v>
      </c>
      <c r="C12348">
        <v>1200</v>
      </c>
      <c r="D12348" s="9">
        <v>42860</v>
      </c>
      <c r="E12348" t="s">
        <v>297</v>
      </c>
    </row>
    <row r="12349" spans="1:5" x14ac:dyDescent="0.25">
      <c r="A12349">
        <v>975000</v>
      </c>
      <c r="B12349">
        <v>0.34399999999999997</v>
      </c>
      <c r="C12349">
        <v>2400</v>
      </c>
      <c r="D12349" s="9">
        <v>41617</v>
      </c>
      <c r="E12349" t="s">
        <v>296</v>
      </c>
    </row>
    <row r="12350" spans="1:5" x14ac:dyDescent="0.25">
      <c r="A12350">
        <v>975000</v>
      </c>
      <c r="B12350">
        <v>0.32800000000000001</v>
      </c>
      <c r="C12350">
        <v>1500</v>
      </c>
      <c r="D12350" s="9">
        <v>41456</v>
      </c>
      <c r="E12350" t="s">
        <v>296</v>
      </c>
    </row>
    <row r="12351" spans="1:5" x14ac:dyDescent="0.25">
      <c r="A12351">
        <v>975010</v>
      </c>
      <c r="B12351">
        <v>2.68</v>
      </c>
      <c r="C12351">
        <v>1440</v>
      </c>
      <c r="D12351" s="9">
        <v>44075</v>
      </c>
      <c r="E12351" t="s">
        <v>295</v>
      </c>
    </row>
    <row r="12352" spans="1:5" x14ac:dyDescent="0.25">
      <c r="A12352">
        <v>975010</v>
      </c>
      <c r="B12352">
        <v>2.0699999999999998</v>
      </c>
      <c r="C12352">
        <v>1600</v>
      </c>
      <c r="D12352" s="9">
        <v>44034</v>
      </c>
      <c r="E12352" t="s">
        <v>295</v>
      </c>
    </row>
    <row r="12353" spans="1:5" x14ac:dyDescent="0.25">
      <c r="A12353">
        <v>975010</v>
      </c>
      <c r="B12353">
        <v>2.0699999999999998</v>
      </c>
      <c r="C12353">
        <v>1600</v>
      </c>
      <c r="D12353" s="9">
        <v>43999</v>
      </c>
      <c r="E12353" t="s">
        <v>295</v>
      </c>
    </row>
    <row r="12354" spans="1:5" x14ac:dyDescent="0.25">
      <c r="A12354">
        <v>975010</v>
      </c>
      <c r="B12354">
        <v>2.57</v>
      </c>
      <c r="C12354">
        <v>1280</v>
      </c>
      <c r="D12354" s="9">
        <v>43914</v>
      </c>
      <c r="E12354" t="s">
        <v>295</v>
      </c>
    </row>
    <row r="12355" spans="1:5" x14ac:dyDescent="0.25">
      <c r="A12355">
        <v>975010</v>
      </c>
      <c r="B12355">
        <v>2.57</v>
      </c>
      <c r="C12355">
        <v>1280</v>
      </c>
      <c r="D12355" s="9">
        <v>43908</v>
      </c>
      <c r="E12355" t="s">
        <v>295</v>
      </c>
    </row>
    <row r="12356" spans="1:5" x14ac:dyDescent="0.25">
      <c r="A12356">
        <v>975010</v>
      </c>
      <c r="B12356">
        <v>2.57</v>
      </c>
      <c r="C12356">
        <v>2560</v>
      </c>
      <c r="D12356" s="9">
        <v>43908</v>
      </c>
      <c r="E12356" t="s">
        <v>295</v>
      </c>
    </row>
    <row r="12357" spans="1:5" x14ac:dyDescent="0.25">
      <c r="A12357">
        <v>975010</v>
      </c>
      <c r="B12357">
        <v>0.31</v>
      </c>
      <c r="C12357">
        <v>1600</v>
      </c>
      <c r="D12357" s="9">
        <v>43839</v>
      </c>
      <c r="E12357" t="s">
        <v>296</v>
      </c>
    </row>
    <row r="12358" spans="1:5" x14ac:dyDescent="0.25">
      <c r="A12358">
        <v>975010</v>
      </c>
      <c r="B12358">
        <v>0.3</v>
      </c>
      <c r="C12358">
        <v>1600</v>
      </c>
      <c r="D12358" s="9">
        <v>43381</v>
      </c>
      <c r="E12358" t="s">
        <v>296</v>
      </c>
    </row>
    <row r="12359" spans="1:5" x14ac:dyDescent="0.25">
      <c r="A12359">
        <v>975010</v>
      </c>
      <c r="B12359">
        <v>0.41799999999999998</v>
      </c>
      <c r="C12359">
        <v>1728</v>
      </c>
      <c r="D12359" s="9">
        <v>42976</v>
      </c>
      <c r="E12359" t="s">
        <v>296</v>
      </c>
    </row>
    <row r="12360" spans="1:5" x14ac:dyDescent="0.25">
      <c r="A12360">
        <v>975010</v>
      </c>
      <c r="B12360">
        <v>0.45300000000000001</v>
      </c>
      <c r="C12360">
        <v>2160</v>
      </c>
      <c r="D12360" s="9">
        <v>41295</v>
      </c>
      <c r="E12360" t="s">
        <v>296</v>
      </c>
    </row>
    <row r="12361" spans="1:5" x14ac:dyDescent="0.25">
      <c r="A12361">
        <v>975020</v>
      </c>
      <c r="B12361">
        <v>2.5</v>
      </c>
      <c r="C12361">
        <v>1920</v>
      </c>
      <c r="D12361" s="9">
        <v>44043</v>
      </c>
      <c r="E12361" t="s">
        <v>295</v>
      </c>
    </row>
    <row r="12362" spans="1:5" x14ac:dyDescent="0.25">
      <c r="A12362">
        <v>975020</v>
      </c>
      <c r="B12362">
        <v>3.23</v>
      </c>
      <c r="C12362">
        <v>1800</v>
      </c>
      <c r="D12362" s="9">
        <v>43917</v>
      </c>
      <c r="E12362" t="s">
        <v>295</v>
      </c>
    </row>
    <row r="12363" spans="1:5" x14ac:dyDescent="0.25">
      <c r="A12363">
        <v>976000</v>
      </c>
      <c r="B12363">
        <v>1.25</v>
      </c>
      <c r="C12363">
        <v>600</v>
      </c>
      <c r="D12363" s="9">
        <v>43784</v>
      </c>
      <c r="E12363" t="s">
        <v>296</v>
      </c>
    </row>
    <row r="12364" spans="1:5" x14ac:dyDescent="0.25">
      <c r="A12364">
        <v>976000</v>
      </c>
      <c r="B12364">
        <v>1.25</v>
      </c>
      <c r="C12364">
        <v>600</v>
      </c>
      <c r="D12364" s="9">
        <v>43403</v>
      </c>
      <c r="E12364" t="s">
        <v>296</v>
      </c>
    </row>
    <row r="12365" spans="1:5" x14ac:dyDescent="0.25">
      <c r="A12365">
        <v>976000</v>
      </c>
      <c r="B12365">
        <v>1.25</v>
      </c>
      <c r="C12365">
        <v>600</v>
      </c>
      <c r="D12365" s="9">
        <v>43054</v>
      </c>
      <c r="E12365" t="s">
        <v>296</v>
      </c>
    </row>
    <row r="12366" spans="1:5" x14ac:dyDescent="0.25">
      <c r="A12366">
        <v>976000</v>
      </c>
      <c r="B12366">
        <v>1.2</v>
      </c>
      <c r="C12366">
        <v>600</v>
      </c>
      <c r="D12366" s="9">
        <v>42976</v>
      </c>
      <c r="E12366" t="s">
        <v>296</v>
      </c>
    </row>
    <row r="12367" spans="1:5" x14ac:dyDescent="0.25">
      <c r="A12367">
        <v>976000</v>
      </c>
      <c r="B12367">
        <v>1.1499999999999999</v>
      </c>
      <c r="C12367">
        <v>720</v>
      </c>
      <c r="D12367" s="9">
        <v>42691</v>
      </c>
      <c r="E12367" t="s">
        <v>296</v>
      </c>
    </row>
    <row r="12368" spans="1:5" x14ac:dyDescent="0.25">
      <c r="A12368">
        <v>976000</v>
      </c>
      <c r="B12368">
        <v>1.1499999999999999</v>
      </c>
      <c r="C12368">
        <v>720</v>
      </c>
      <c r="D12368" s="9">
        <v>42691</v>
      </c>
      <c r="E12368" t="s">
        <v>296</v>
      </c>
    </row>
    <row r="12369" spans="1:5" x14ac:dyDescent="0.25">
      <c r="A12369">
        <v>976000</v>
      </c>
      <c r="B12369">
        <v>1.1499999999999999</v>
      </c>
      <c r="C12369">
        <v>720</v>
      </c>
      <c r="D12369" s="9">
        <v>42617</v>
      </c>
      <c r="E12369" t="s">
        <v>296</v>
      </c>
    </row>
    <row r="12370" spans="1:5" x14ac:dyDescent="0.25">
      <c r="A12370">
        <v>976000</v>
      </c>
      <c r="B12370">
        <v>1.1499999999999999</v>
      </c>
      <c r="C12370">
        <v>600</v>
      </c>
      <c r="D12370" s="9">
        <v>42207</v>
      </c>
      <c r="E12370" t="s">
        <v>296</v>
      </c>
    </row>
    <row r="12371" spans="1:5" x14ac:dyDescent="0.25">
      <c r="A12371">
        <v>976000</v>
      </c>
      <c r="B12371">
        <v>4.22</v>
      </c>
      <c r="C12371">
        <v>720</v>
      </c>
      <c r="D12371" s="9">
        <v>41927</v>
      </c>
      <c r="E12371" t="s">
        <v>295</v>
      </c>
    </row>
    <row r="12372" spans="1:5" x14ac:dyDescent="0.25">
      <c r="A12372">
        <v>976000</v>
      </c>
      <c r="B12372">
        <v>1.3049999999999999</v>
      </c>
      <c r="C12372">
        <v>720</v>
      </c>
      <c r="D12372" s="9">
        <v>41870</v>
      </c>
      <c r="E12372" t="s">
        <v>296</v>
      </c>
    </row>
    <row r="12373" spans="1:5" x14ac:dyDescent="0.25">
      <c r="A12373">
        <v>976000</v>
      </c>
      <c r="B12373">
        <v>1.3049999999999999</v>
      </c>
      <c r="C12373">
        <v>810</v>
      </c>
      <c r="D12373" s="9">
        <v>41435</v>
      </c>
      <c r="E12373" t="s">
        <v>296</v>
      </c>
    </row>
    <row r="12374" spans="1:5" x14ac:dyDescent="0.25">
      <c r="A12374">
        <v>976000</v>
      </c>
      <c r="B12374">
        <v>1.3049999999999999</v>
      </c>
      <c r="C12374">
        <v>960</v>
      </c>
      <c r="D12374" s="9">
        <v>41295</v>
      </c>
      <c r="E12374" t="s">
        <v>296</v>
      </c>
    </row>
    <row r="12375" spans="1:5" x14ac:dyDescent="0.25">
      <c r="A12375">
        <v>976040</v>
      </c>
      <c r="B12375">
        <v>21.5</v>
      </c>
      <c r="C12375">
        <v>48</v>
      </c>
      <c r="D12375" s="9">
        <v>43979</v>
      </c>
      <c r="E12375" t="s">
        <v>295</v>
      </c>
    </row>
    <row r="12376" spans="1:5" x14ac:dyDescent="0.25">
      <c r="A12376">
        <v>976040</v>
      </c>
      <c r="B12376">
        <v>2.85</v>
      </c>
      <c r="C12376">
        <v>450</v>
      </c>
      <c r="D12376" s="9">
        <v>41782</v>
      </c>
      <c r="E12376" t="s">
        <v>296</v>
      </c>
    </row>
    <row r="12377" spans="1:5" x14ac:dyDescent="0.25">
      <c r="A12377">
        <v>976040</v>
      </c>
      <c r="B12377">
        <v>2.85</v>
      </c>
      <c r="C12377">
        <v>600</v>
      </c>
      <c r="D12377" s="9">
        <v>41435</v>
      </c>
      <c r="E12377" t="s">
        <v>296</v>
      </c>
    </row>
    <row r="12378" spans="1:5" x14ac:dyDescent="0.25">
      <c r="A12378">
        <v>976040</v>
      </c>
      <c r="B12378">
        <v>2.85</v>
      </c>
      <c r="C12378">
        <v>300</v>
      </c>
      <c r="D12378" s="9">
        <v>41295</v>
      </c>
      <c r="E12378" t="s">
        <v>296</v>
      </c>
    </row>
    <row r="12379" spans="1:5" x14ac:dyDescent="0.25">
      <c r="A12379">
        <v>976050</v>
      </c>
      <c r="B12379">
        <v>24.64</v>
      </c>
      <c r="C12379">
        <v>96</v>
      </c>
      <c r="D12379" s="9">
        <v>43973</v>
      </c>
      <c r="E12379" t="s">
        <v>295</v>
      </c>
    </row>
    <row r="12380" spans="1:5" x14ac:dyDescent="0.25">
      <c r="A12380">
        <v>976050</v>
      </c>
      <c r="B12380">
        <v>23.5</v>
      </c>
      <c r="C12380">
        <v>96</v>
      </c>
      <c r="D12380" s="9">
        <v>43963</v>
      </c>
      <c r="E12380" t="s">
        <v>295</v>
      </c>
    </row>
    <row r="12381" spans="1:5" x14ac:dyDescent="0.25">
      <c r="A12381">
        <v>976050</v>
      </c>
      <c r="B12381">
        <v>25.6</v>
      </c>
      <c r="C12381">
        <v>3</v>
      </c>
      <c r="D12381" s="9">
        <v>43885</v>
      </c>
      <c r="E12381" t="s">
        <v>295</v>
      </c>
    </row>
    <row r="12382" spans="1:5" x14ac:dyDescent="0.25">
      <c r="A12382">
        <v>976050</v>
      </c>
      <c r="B12382">
        <v>4.4000000000000004</v>
      </c>
      <c r="C12382">
        <v>216</v>
      </c>
      <c r="D12382" s="9">
        <v>43381</v>
      </c>
      <c r="E12382" t="s">
        <v>296</v>
      </c>
    </row>
    <row r="12383" spans="1:5" x14ac:dyDescent="0.25">
      <c r="A12383">
        <v>976050</v>
      </c>
      <c r="B12383">
        <v>4.17</v>
      </c>
      <c r="C12383">
        <v>156</v>
      </c>
      <c r="D12383" s="9">
        <v>43199</v>
      </c>
      <c r="E12383" t="s">
        <v>296</v>
      </c>
    </row>
    <row r="12384" spans="1:5" x14ac:dyDescent="0.25">
      <c r="A12384">
        <v>976050</v>
      </c>
      <c r="B12384">
        <v>4.05</v>
      </c>
      <c r="C12384">
        <v>90</v>
      </c>
      <c r="D12384" s="9">
        <v>43063</v>
      </c>
      <c r="E12384" t="s">
        <v>296</v>
      </c>
    </row>
    <row r="12385" spans="1:5" x14ac:dyDescent="0.25">
      <c r="A12385">
        <v>976050</v>
      </c>
      <c r="B12385">
        <v>4.05</v>
      </c>
      <c r="C12385">
        <v>126</v>
      </c>
      <c r="D12385" s="9">
        <v>43017</v>
      </c>
      <c r="E12385" t="s">
        <v>296</v>
      </c>
    </row>
    <row r="12386" spans="1:5" x14ac:dyDescent="0.25">
      <c r="A12386">
        <v>976050</v>
      </c>
      <c r="B12386">
        <v>3.95</v>
      </c>
      <c r="C12386">
        <v>216</v>
      </c>
      <c r="D12386" s="9">
        <v>42691</v>
      </c>
      <c r="E12386" t="s">
        <v>296</v>
      </c>
    </row>
    <row r="12387" spans="1:5" x14ac:dyDescent="0.25">
      <c r="A12387">
        <v>976050</v>
      </c>
      <c r="B12387">
        <v>3.95</v>
      </c>
      <c r="C12387">
        <v>216</v>
      </c>
      <c r="D12387" s="9">
        <v>42691</v>
      </c>
      <c r="E12387" t="s">
        <v>296</v>
      </c>
    </row>
    <row r="12388" spans="1:5" x14ac:dyDescent="0.25">
      <c r="A12388">
        <v>976050</v>
      </c>
      <c r="B12388">
        <v>3.95</v>
      </c>
      <c r="C12388">
        <v>240</v>
      </c>
      <c r="D12388" s="9">
        <v>42617</v>
      </c>
      <c r="E12388" t="s">
        <v>296</v>
      </c>
    </row>
    <row r="12389" spans="1:5" x14ac:dyDescent="0.25">
      <c r="A12389">
        <v>976050</v>
      </c>
      <c r="B12389">
        <v>5.4260000000000002</v>
      </c>
      <c r="C12389">
        <v>150</v>
      </c>
      <c r="D12389" s="9">
        <v>42271</v>
      </c>
      <c r="E12389" t="s">
        <v>296</v>
      </c>
    </row>
    <row r="12390" spans="1:5" x14ac:dyDescent="0.25">
      <c r="A12390">
        <v>976050</v>
      </c>
      <c r="B12390">
        <v>5.4260000000000002</v>
      </c>
      <c r="C12390">
        <v>180</v>
      </c>
      <c r="D12390" s="9">
        <v>41983</v>
      </c>
      <c r="E12390" t="s">
        <v>296</v>
      </c>
    </row>
    <row r="12391" spans="1:5" x14ac:dyDescent="0.25">
      <c r="A12391">
        <v>976050</v>
      </c>
      <c r="B12391">
        <v>5.4260000000000002</v>
      </c>
      <c r="C12391">
        <v>204</v>
      </c>
      <c r="D12391" s="9">
        <v>41782</v>
      </c>
      <c r="E12391" t="s">
        <v>296</v>
      </c>
    </row>
    <row r="12392" spans="1:5" x14ac:dyDescent="0.25">
      <c r="A12392">
        <v>976050</v>
      </c>
      <c r="B12392">
        <v>5.4260000000000002</v>
      </c>
      <c r="C12392">
        <v>156</v>
      </c>
      <c r="D12392" s="9">
        <v>41435</v>
      </c>
      <c r="E12392" t="s">
        <v>296</v>
      </c>
    </row>
    <row r="12393" spans="1:5" x14ac:dyDescent="0.25">
      <c r="A12393">
        <v>976060</v>
      </c>
      <c r="B12393">
        <v>23.5</v>
      </c>
      <c r="C12393">
        <v>48</v>
      </c>
      <c r="D12393" s="9">
        <v>43979</v>
      </c>
      <c r="E12393" t="s">
        <v>295</v>
      </c>
    </row>
    <row r="12394" spans="1:5" x14ac:dyDescent="0.25">
      <c r="A12394">
        <v>976120</v>
      </c>
      <c r="B12394">
        <v>1.323</v>
      </c>
      <c r="C12394">
        <v>1000</v>
      </c>
      <c r="D12394" s="9">
        <v>41870</v>
      </c>
      <c r="E12394" t="s">
        <v>296</v>
      </c>
    </row>
    <row r="12395" spans="1:5" x14ac:dyDescent="0.25">
      <c r="A12395">
        <v>976120</v>
      </c>
      <c r="B12395">
        <v>1.323</v>
      </c>
      <c r="C12395">
        <v>800</v>
      </c>
      <c r="D12395" s="9">
        <v>41782</v>
      </c>
      <c r="E12395" t="s">
        <v>296</v>
      </c>
    </row>
    <row r="12396" spans="1:5" x14ac:dyDescent="0.25">
      <c r="A12396">
        <v>976510</v>
      </c>
      <c r="B12396">
        <v>1.5960000000000001</v>
      </c>
      <c r="C12396">
        <v>864</v>
      </c>
      <c r="D12396" s="9">
        <v>41435</v>
      </c>
      <c r="E12396" t="s">
        <v>296</v>
      </c>
    </row>
    <row r="12397" spans="1:5" x14ac:dyDescent="0.25">
      <c r="A12397">
        <v>976510</v>
      </c>
      <c r="B12397">
        <v>1.5960000000000001</v>
      </c>
      <c r="C12397">
        <v>1008</v>
      </c>
      <c r="D12397" s="9">
        <v>41295</v>
      </c>
      <c r="E12397" t="s">
        <v>296</v>
      </c>
    </row>
    <row r="12398" spans="1:5" x14ac:dyDescent="0.25">
      <c r="A12398">
        <v>977005</v>
      </c>
      <c r="B12398">
        <v>4.5</v>
      </c>
      <c r="C12398">
        <v>150</v>
      </c>
      <c r="D12398" s="9">
        <v>44022</v>
      </c>
      <c r="E12398" t="s">
        <v>295</v>
      </c>
    </row>
    <row r="12399" spans="1:5" x14ac:dyDescent="0.25">
      <c r="A12399">
        <v>977005</v>
      </c>
      <c r="B12399">
        <v>4.5</v>
      </c>
      <c r="C12399">
        <v>150</v>
      </c>
      <c r="D12399" s="9">
        <v>43887</v>
      </c>
      <c r="E12399" t="s">
        <v>295</v>
      </c>
    </row>
    <row r="12400" spans="1:5" x14ac:dyDescent="0.25">
      <c r="A12400">
        <v>977005</v>
      </c>
      <c r="B12400">
        <v>3.6</v>
      </c>
      <c r="C12400">
        <v>160</v>
      </c>
      <c r="D12400" s="9">
        <v>43166</v>
      </c>
      <c r="E12400" t="s">
        <v>295</v>
      </c>
    </row>
    <row r="12401" spans="1:5" x14ac:dyDescent="0.25">
      <c r="A12401">
        <v>977005</v>
      </c>
      <c r="B12401">
        <v>3.6</v>
      </c>
      <c r="C12401">
        <v>180</v>
      </c>
      <c r="D12401" s="9">
        <v>42816</v>
      </c>
      <c r="E12401" t="s">
        <v>295</v>
      </c>
    </row>
    <row r="12402" spans="1:5" x14ac:dyDescent="0.25">
      <c r="A12402">
        <v>977005</v>
      </c>
      <c r="B12402">
        <v>3.6</v>
      </c>
      <c r="C12402">
        <v>30</v>
      </c>
      <c r="D12402" s="9">
        <v>42809</v>
      </c>
      <c r="E12402" t="s">
        <v>295</v>
      </c>
    </row>
    <row r="12403" spans="1:5" x14ac:dyDescent="0.25">
      <c r="A12403">
        <v>977010</v>
      </c>
      <c r="B12403">
        <v>7</v>
      </c>
      <c r="C12403">
        <v>100</v>
      </c>
      <c r="D12403" s="9">
        <v>44022</v>
      </c>
      <c r="E12403" t="s">
        <v>295</v>
      </c>
    </row>
    <row r="12404" spans="1:5" x14ac:dyDescent="0.25">
      <c r="A12404">
        <v>977010</v>
      </c>
      <c r="B12404">
        <v>5.5</v>
      </c>
      <c r="C12404">
        <v>100</v>
      </c>
      <c r="D12404" s="9">
        <v>43950</v>
      </c>
      <c r="E12404" t="s">
        <v>295</v>
      </c>
    </row>
    <row r="12405" spans="1:5" x14ac:dyDescent="0.25">
      <c r="A12405">
        <v>977010</v>
      </c>
      <c r="B12405">
        <v>5.5</v>
      </c>
      <c r="C12405">
        <v>100</v>
      </c>
      <c r="D12405" s="9">
        <v>43601</v>
      </c>
      <c r="E12405" t="s">
        <v>295</v>
      </c>
    </row>
    <row r="12406" spans="1:5" x14ac:dyDescent="0.25">
      <c r="A12406">
        <v>977010</v>
      </c>
      <c r="B12406">
        <v>5</v>
      </c>
      <c r="C12406">
        <v>100</v>
      </c>
      <c r="D12406" s="9">
        <v>43277</v>
      </c>
      <c r="E12406" t="s">
        <v>295</v>
      </c>
    </row>
    <row r="12407" spans="1:5" x14ac:dyDescent="0.25">
      <c r="A12407">
        <v>977010</v>
      </c>
      <c r="B12407">
        <v>5</v>
      </c>
      <c r="C12407">
        <v>100</v>
      </c>
      <c r="D12407" s="9">
        <v>43257</v>
      </c>
      <c r="E12407" t="s">
        <v>295</v>
      </c>
    </row>
    <row r="12408" spans="1:5" x14ac:dyDescent="0.25">
      <c r="A12408">
        <v>977010</v>
      </c>
      <c r="B12408">
        <v>5</v>
      </c>
      <c r="C12408">
        <v>100</v>
      </c>
      <c r="D12408" s="9">
        <v>43209</v>
      </c>
      <c r="E12408" t="s">
        <v>295</v>
      </c>
    </row>
    <row r="12409" spans="1:5" x14ac:dyDescent="0.25">
      <c r="A12409">
        <v>977010</v>
      </c>
      <c r="B12409">
        <v>5</v>
      </c>
      <c r="C12409">
        <v>80</v>
      </c>
      <c r="D12409" s="9">
        <v>43166</v>
      </c>
      <c r="E12409" t="s">
        <v>295</v>
      </c>
    </row>
    <row r="12410" spans="1:5" x14ac:dyDescent="0.25">
      <c r="A12410">
        <v>977010</v>
      </c>
      <c r="B12410">
        <v>5</v>
      </c>
      <c r="C12410">
        <v>80</v>
      </c>
      <c r="D12410" s="9">
        <v>42991</v>
      </c>
      <c r="E12410" t="s">
        <v>295</v>
      </c>
    </row>
    <row r="12411" spans="1:5" x14ac:dyDescent="0.25">
      <c r="A12411">
        <v>977010</v>
      </c>
      <c r="B12411">
        <v>5</v>
      </c>
      <c r="C12411">
        <v>80</v>
      </c>
      <c r="D12411" s="9">
        <v>42891</v>
      </c>
      <c r="E12411" t="s">
        <v>295</v>
      </c>
    </row>
    <row r="12412" spans="1:5" x14ac:dyDescent="0.25">
      <c r="A12412">
        <v>977010</v>
      </c>
      <c r="B12412">
        <v>5</v>
      </c>
      <c r="C12412">
        <v>80</v>
      </c>
      <c r="D12412" s="9">
        <v>42816</v>
      </c>
      <c r="E12412" t="s">
        <v>295</v>
      </c>
    </row>
    <row r="12413" spans="1:5" x14ac:dyDescent="0.25">
      <c r="A12413">
        <v>977010</v>
      </c>
      <c r="B12413">
        <v>5</v>
      </c>
      <c r="C12413">
        <v>50</v>
      </c>
      <c r="D12413" s="9">
        <v>42809</v>
      </c>
      <c r="E12413" t="s">
        <v>295</v>
      </c>
    </row>
    <row r="12414" spans="1:5" x14ac:dyDescent="0.25">
      <c r="A12414">
        <v>977044</v>
      </c>
      <c r="B12414">
        <v>22.7</v>
      </c>
      <c r="C12414">
        <v>100</v>
      </c>
      <c r="D12414" s="9">
        <v>41934</v>
      </c>
      <c r="E12414" t="s">
        <v>296</v>
      </c>
    </row>
    <row r="12415" spans="1:5" x14ac:dyDescent="0.25">
      <c r="A12415">
        <v>977050</v>
      </c>
      <c r="B12415">
        <v>31.8</v>
      </c>
      <c r="C12415">
        <v>100</v>
      </c>
      <c r="D12415" s="9">
        <v>41934</v>
      </c>
      <c r="E12415" t="s">
        <v>296</v>
      </c>
    </row>
    <row r="12416" spans="1:5" x14ac:dyDescent="0.25">
      <c r="A12416">
        <v>980000</v>
      </c>
      <c r="B12416">
        <v>0.63</v>
      </c>
      <c r="C12416">
        <v>1800</v>
      </c>
      <c r="D12416" s="9">
        <v>41612</v>
      </c>
      <c r="E12416" t="s">
        <v>295</v>
      </c>
    </row>
    <row r="12417" spans="1:5" x14ac:dyDescent="0.25">
      <c r="A12417">
        <v>982302</v>
      </c>
      <c r="B12417">
        <v>0.17</v>
      </c>
      <c r="C12417">
        <v>1200</v>
      </c>
      <c r="D12417" s="9">
        <v>42844</v>
      </c>
      <c r="E12417" t="s">
        <v>296</v>
      </c>
    </row>
    <row r="12418" spans="1:5" x14ac:dyDescent="0.25">
      <c r="A12418">
        <v>982302</v>
      </c>
      <c r="B12418">
        <v>0.4</v>
      </c>
      <c r="C12418">
        <v>1800</v>
      </c>
      <c r="D12418" s="9">
        <v>42836</v>
      </c>
      <c r="E12418" t="s">
        <v>295</v>
      </c>
    </row>
    <row r="12419" spans="1:5" x14ac:dyDescent="0.25">
      <c r="A12419">
        <v>982302</v>
      </c>
      <c r="B12419">
        <v>0.46</v>
      </c>
      <c r="C12419">
        <v>1800</v>
      </c>
      <c r="D12419" s="9">
        <v>42170</v>
      </c>
      <c r="E12419" t="s">
        <v>295</v>
      </c>
    </row>
    <row r="12420" spans="1:5" x14ac:dyDescent="0.25">
      <c r="A12420">
        <v>982302</v>
      </c>
      <c r="B12420">
        <v>0.41</v>
      </c>
      <c r="C12420">
        <v>2400</v>
      </c>
      <c r="D12420" s="9">
        <v>41879</v>
      </c>
      <c r="E12420" t="s">
        <v>295</v>
      </c>
    </row>
    <row r="12421" spans="1:5" x14ac:dyDescent="0.25">
      <c r="A12421">
        <v>982302</v>
      </c>
      <c r="B12421">
        <v>0.44</v>
      </c>
      <c r="C12421">
        <v>600</v>
      </c>
      <c r="D12421" s="9">
        <v>41820</v>
      </c>
      <c r="E12421" t="s">
        <v>295</v>
      </c>
    </row>
    <row r="12422" spans="1:5" x14ac:dyDescent="0.25">
      <c r="A12422">
        <v>982302</v>
      </c>
      <c r="B12422">
        <v>0.41</v>
      </c>
      <c r="C12422">
        <v>600</v>
      </c>
      <c r="D12422" s="9">
        <v>41725</v>
      </c>
      <c r="E12422" t="s">
        <v>295</v>
      </c>
    </row>
    <row r="12423" spans="1:5" x14ac:dyDescent="0.25">
      <c r="A12423">
        <v>982302</v>
      </c>
      <c r="B12423">
        <v>0.44</v>
      </c>
      <c r="C12423">
        <v>3000</v>
      </c>
      <c r="D12423" s="9">
        <v>41605</v>
      </c>
      <c r="E12423" t="s">
        <v>295</v>
      </c>
    </row>
    <row r="12424" spans="1:5" x14ac:dyDescent="0.25">
      <c r="A12424">
        <v>993200</v>
      </c>
      <c r="B12424">
        <v>38.840000000000003</v>
      </c>
      <c r="C12424">
        <v>40</v>
      </c>
      <c r="D12424" s="9">
        <v>42998</v>
      </c>
      <c r="E12424" t="s">
        <v>295</v>
      </c>
    </row>
    <row r="12425" spans="1:5" x14ac:dyDescent="0.25">
      <c r="A12425">
        <v>996100</v>
      </c>
      <c r="B12425">
        <v>0.60899999999999999</v>
      </c>
      <c r="C12425">
        <v>1120</v>
      </c>
      <c r="D12425" s="9">
        <v>44068</v>
      </c>
      <c r="E12425" t="s">
        <v>296</v>
      </c>
    </row>
    <row r="12426" spans="1:5" x14ac:dyDescent="0.25">
      <c r="A12426">
        <v>996100</v>
      </c>
      <c r="B12426">
        <v>0.59</v>
      </c>
      <c r="C12426">
        <v>1680</v>
      </c>
      <c r="D12426" s="9">
        <v>43228</v>
      </c>
      <c r="E12426" t="s">
        <v>296</v>
      </c>
    </row>
    <row r="12427" spans="1:5" x14ac:dyDescent="0.25">
      <c r="A12427">
        <v>996100</v>
      </c>
      <c r="B12427">
        <v>0.55000000000000004</v>
      </c>
      <c r="C12427">
        <v>1600</v>
      </c>
      <c r="D12427" s="9">
        <v>42781</v>
      </c>
      <c r="E12427" t="s">
        <v>296</v>
      </c>
    </row>
    <row r="12428" spans="1:5" x14ac:dyDescent="0.25">
      <c r="A12428">
        <v>996100</v>
      </c>
      <c r="B12428">
        <v>0.55000000000000004</v>
      </c>
      <c r="C12428">
        <v>2000</v>
      </c>
      <c r="D12428" s="9">
        <v>41877</v>
      </c>
      <c r="E12428" t="s">
        <v>296</v>
      </c>
    </row>
    <row r="12429" spans="1:5" x14ac:dyDescent="0.25">
      <c r="A12429">
        <v>996100</v>
      </c>
      <c r="B12429">
        <v>0.55000000000000004</v>
      </c>
      <c r="C12429">
        <v>1600</v>
      </c>
      <c r="D12429" s="9">
        <v>41746</v>
      </c>
      <c r="E12429" t="s">
        <v>296</v>
      </c>
    </row>
    <row r="12430" spans="1:5" x14ac:dyDescent="0.25">
      <c r="A12430">
        <v>996100</v>
      </c>
      <c r="B12430">
        <v>0.56999999999999995</v>
      </c>
      <c r="C12430">
        <v>1440</v>
      </c>
      <c r="D12430" s="9">
        <v>41592</v>
      </c>
      <c r="E12430" t="s">
        <v>296</v>
      </c>
    </row>
    <row r="12431" spans="1:5" x14ac:dyDescent="0.25">
      <c r="A12431">
        <v>996100</v>
      </c>
      <c r="B12431">
        <v>0.55000000000000004</v>
      </c>
      <c r="C12431">
        <v>1600</v>
      </c>
      <c r="D12431" s="9">
        <v>41281</v>
      </c>
      <c r="E12431" t="s">
        <v>296</v>
      </c>
    </row>
    <row r="12432" spans="1:5" x14ac:dyDescent="0.25">
      <c r="A12432">
        <v>996151</v>
      </c>
      <c r="B12432">
        <v>1.385</v>
      </c>
      <c r="C12432">
        <v>576</v>
      </c>
      <c r="D12432" s="9">
        <v>44025</v>
      </c>
      <c r="E12432" t="s">
        <v>296</v>
      </c>
    </row>
    <row r="12433" spans="1:5" x14ac:dyDescent="0.25">
      <c r="A12433">
        <v>996151</v>
      </c>
      <c r="B12433">
        <v>1.385</v>
      </c>
      <c r="C12433">
        <v>540</v>
      </c>
      <c r="D12433" s="9">
        <v>43843</v>
      </c>
      <c r="E12433" t="s">
        <v>296</v>
      </c>
    </row>
    <row r="12434" spans="1:5" x14ac:dyDescent="0.25">
      <c r="A12434">
        <v>996151</v>
      </c>
      <c r="B12434">
        <v>1.385</v>
      </c>
      <c r="C12434">
        <v>576</v>
      </c>
      <c r="D12434" s="9">
        <v>43238</v>
      </c>
      <c r="E12434" t="s">
        <v>296</v>
      </c>
    </row>
    <row r="12435" spans="1:5" x14ac:dyDescent="0.25">
      <c r="A12435">
        <v>996151</v>
      </c>
      <c r="B12435">
        <v>4.66</v>
      </c>
      <c r="C12435">
        <v>576</v>
      </c>
      <c r="D12435" s="9">
        <v>43136</v>
      </c>
      <c r="E12435" t="s">
        <v>295</v>
      </c>
    </row>
    <row r="12436" spans="1:5" x14ac:dyDescent="0.25">
      <c r="A12436">
        <v>996151</v>
      </c>
      <c r="B12436">
        <v>1.36</v>
      </c>
      <c r="C12436">
        <v>576</v>
      </c>
      <c r="D12436" s="9">
        <v>43136</v>
      </c>
      <c r="E12436" t="s">
        <v>296</v>
      </c>
    </row>
    <row r="12437" spans="1:5" x14ac:dyDescent="0.25">
      <c r="A12437">
        <v>996151</v>
      </c>
      <c r="B12437">
        <v>1.32</v>
      </c>
      <c r="C12437">
        <v>576</v>
      </c>
      <c r="D12437" s="9">
        <v>42641</v>
      </c>
      <c r="E12437" t="s">
        <v>296</v>
      </c>
    </row>
    <row r="12438" spans="1:5" x14ac:dyDescent="0.25">
      <c r="A12438">
        <v>996151</v>
      </c>
      <c r="B12438">
        <v>1.32</v>
      </c>
      <c r="C12438">
        <v>576</v>
      </c>
      <c r="D12438" s="9">
        <v>42641</v>
      </c>
      <c r="E12438" t="s">
        <v>296</v>
      </c>
    </row>
    <row r="12439" spans="1:5" x14ac:dyDescent="0.25">
      <c r="A12439">
        <v>996151</v>
      </c>
      <c r="B12439">
        <v>1.32</v>
      </c>
      <c r="C12439">
        <v>576</v>
      </c>
      <c r="D12439" s="9">
        <v>42600</v>
      </c>
      <c r="E12439" t="s">
        <v>296</v>
      </c>
    </row>
    <row r="12440" spans="1:5" x14ac:dyDescent="0.25">
      <c r="A12440">
        <v>996151</v>
      </c>
      <c r="B12440">
        <v>1.32</v>
      </c>
      <c r="C12440">
        <v>1080</v>
      </c>
      <c r="D12440" s="9">
        <v>42271</v>
      </c>
      <c r="E12440" t="s">
        <v>296</v>
      </c>
    </row>
    <row r="12441" spans="1:5" x14ac:dyDescent="0.25">
      <c r="A12441">
        <v>996151</v>
      </c>
      <c r="B12441">
        <v>1.2170000000000001</v>
      </c>
      <c r="C12441">
        <v>1080</v>
      </c>
      <c r="D12441" s="9">
        <v>41816</v>
      </c>
      <c r="E12441" t="s">
        <v>296</v>
      </c>
    </row>
    <row r="12442" spans="1:5" x14ac:dyDescent="0.25">
      <c r="A12442">
        <v>996151</v>
      </c>
      <c r="B12442">
        <v>1.198</v>
      </c>
      <c r="C12442">
        <v>1080</v>
      </c>
      <c r="D12442" s="9">
        <v>41505</v>
      </c>
      <c r="E12442" t="s">
        <v>296</v>
      </c>
    </row>
    <row r="12443" spans="1:5" x14ac:dyDescent="0.25">
      <c r="A12443">
        <v>996151</v>
      </c>
      <c r="B12443">
        <v>1.1879999999999999</v>
      </c>
      <c r="C12443">
        <v>1080</v>
      </c>
      <c r="D12443" s="9">
        <v>41362</v>
      </c>
      <c r="E12443" t="s">
        <v>296</v>
      </c>
    </row>
    <row r="12444" spans="1:5" x14ac:dyDescent="0.25">
      <c r="A12444">
        <v>996153</v>
      </c>
      <c r="B12444">
        <v>4.12</v>
      </c>
      <c r="C12444">
        <v>408</v>
      </c>
      <c r="D12444" s="9">
        <v>43843</v>
      </c>
      <c r="E12444" t="s">
        <v>296</v>
      </c>
    </row>
    <row r="12445" spans="1:5" x14ac:dyDescent="0.25">
      <c r="A12445">
        <v>996153</v>
      </c>
      <c r="B12445">
        <v>4.12</v>
      </c>
      <c r="C12445">
        <v>288</v>
      </c>
      <c r="D12445" s="9">
        <v>43843</v>
      </c>
      <c r="E12445" t="s">
        <v>296</v>
      </c>
    </row>
    <row r="12446" spans="1:5" x14ac:dyDescent="0.25">
      <c r="A12446">
        <v>996155</v>
      </c>
      <c r="B12446">
        <v>5.46</v>
      </c>
      <c r="C12446">
        <v>156</v>
      </c>
      <c r="D12446" s="9">
        <v>43936</v>
      </c>
      <c r="E12446" t="s">
        <v>296</v>
      </c>
    </row>
    <row r="12447" spans="1:5" x14ac:dyDescent="0.25">
      <c r="A12447">
        <v>996155</v>
      </c>
      <c r="B12447">
        <v>5.46</v>
      </c>
      <c r="C12447">
        <v>156</v>
      </c>
      <c r="D12447" s="9">
        <v>43843</v>
      </c>
      <c r="E12447" t="s">
        <v>296</v>
      </c>
    </row>
    <row r="12448" spans="1:5" x14ac:dyDescent="0.25">
      <c r="A12448">
        <v>996155</v>
      </c>
      <c r="B12448">
        <v>5.46</v>
      </c>
      <c r="C12448">
        <v>144</v>
      </c>
      <c r="D12448" s="9">
        <v>43612</v>
      </c>
      <c r="E12448" t="s">
        <v>296</v>
      </c>
    </row>
    <row r="12449" spans="1:5" x14ac:dyDescent="0.25">
      <c r="A12449">
        <v>996155</v>
      </c>
      <c r="B12449">
        <v>5.46</v>
      </c>
      <c r="C12449">
        <v>180</v>
      </c>
      <c r="D12449" s="9">
        <v>43612</v>
      </c>
      <c r="E12449" t="s">
        <v>296</v>
      </c>
    </row>
    <row r="12450" spans="1:5" x14ac:dyDescent="0.25">
      <c r="A12450">
        <v>996155</v>
      </c>
      <c r="B12450">
        <v>5.46</v>
      </c>
      <c r="C12450">
        <v>120</v>
      </c>
      <c r="D12450" s="9">
        <v>43452</v>
      </c>
      <c r="E12450" t="s">
        <v>296</v>
      </c>
    </row>
    <row r="12451" spans="1:5" x14ac:dyDescent="0.25">
      <c r="A12451">
        <v>996155</v>
      </c>
      <c r="B12451">
        <v>5.46</v>
      </c>
      <c r="C12451">
        <v>120</v>
      </c>
      <c r="D12451" s="9">
        <v>43238</v>
      </c>
      <c r="E12451" t="s">
        <v>296</v>
      </c>
    </row>
    <row r="12452" spans="1:5" x14ac:dyDescent="0.25">
      <c r="A12452">
        <v>996155</v>
      </c>
      <c r="B12452">
        <v>20.65</v>
      </c>
      <c r="C12452">
        <v>120</v>
      </c>
      <c r="D12452" s="9">
        <v>43238</v>
      </c>
      <c r="E12452" t="s">
        <v>295</v>
      </c>
    </row>
    <row r="12453" spans="1:5" x14ac:dyDescent="0.25">
      <c r="A12453">
        <v>996155</v>
      </c>
      <c r="B12453">
        <v>5.46</v>
      </c>
      <c r="C12453">
        <v>120</v>
      </c>
      <c r="D12453" s="9">
        <v>43054</v>
      </c>
      <c r="E12453" t="s">
        <v>296</v>
      </c>
    </row>
    <row r="12454" spans="1:5" x14ac:dyDescent="0.25">
      <c r="A12454">
        <v>996155</v>
      </c>
      <c r="B12454">
        <v>5.46</v>
      </c>
      <c r="C12454">
        <v>144</v>
      </c>
      <c r="D12454" s="9">
        <v>42815</v>
      </c>
      <c r="E12454" t="s">
        <v>296</v>
      </c>
    </row>
    <row r="12455" spans="1:5" x14ac:dyDescent="0.25">
      <c r="A12455">
        <v>996155</v>
      </c>
      <c r="B12455">
        <v>5.46</v>
      </c>
      <c r="C12455">
        <v>120</v>
      </c>
      <c r="D12455" s="9">
        <v>42600</v>
      </c>
      <c r="E12455" t="s">
        <v>296</v>
      </c>
    </row>
    <row r="12456" spans="1:5" x14ac:dyDescent="0.25">
      <c r="A12456">
        <v>996155</v>
      </c>
      <c r="B12456">
        <v>5.46</v>
      </c>
      <c r="C12456">
        <v>168</v>
      </c>
      <c r="D12456" s="9">
        <v>42111</v>
      </c>
      <c r="E12456" t="s">
        <v>296</v>
      </c>
    </row>
    <row r="12457" spans="1:5" x14ac:dyDescent="0.25">
      <c r="A12457">
        <v>996155</v>
      </c>
      <c r="B12457">
        <v>5.26</v>
      </c>
      <c r="C12457">
        <v>156</v>
      </c>
      <c r="D12457" s="9">
        <v>41816</v>
      </c>
      <c r="E12457" t="s">
        <v>296</v>
      </c>
    </row>
    <row r="12458" spans="1:5" x14ac:dyDescent="0.25">
      <c r="A12458">
        <v>996157</v>
      </c>
      <c r="B12458">
        <v>5.13</v>
      </c>
      <c r="C12458">
        <v>504</v>
      </c>
      <c r="D12458" s="9">
        <v>43843</v>
      </c>
      <c r="E12458" t="s">
        <v>296</v>
      </c>
    </row>
    <row r="12459" spans="1:5" x14ac:dyDescent="0.25">
      <c r="A12459">
        <v>996157</v>
      </c>
      <c r="B12459">
        <v>5.13</v>
      </c>
      <c r="C12459">
        <v>240</v>
      </c>
      <c r="D12459" s="9">
        <v>43843</v>
      </c>
      <c r="E12459" t="s">
        <v>296</v>
      </c>
    </row>
    <row r="12460" spans="1:5" x14ac:dyDescent="0.25">
      <c r="A12460">
        <v>996160</v>
      </c>
      <c r="B12460">
        <v>3.4</v>
      </c>
      <c r="C12460">
        <v>480</v>
      </c>
      <c r="D12460" s="9">
        <v>43843</v>
      </c>
      <c r="E12460" t="s">
        <v>296</v>
      </c>
    </row>
    <row r="12461" spans="1:5" x14ac:dyDescent="0.25">
      <c r="A12461">
        <v>996160</v>
      </c>
      <c r="B12461">
        <v>3.4</v>
      </c>
      <c r="C12461">
        <v>288</v>
      </c>
      <c r="D12461" s="9">
        <v>43843</v>
      </c>
      <c r="E12461" t="s">
        <v>296</v>
      </c>
    </row>
    <row r="12462" spans="1:5" x14ac:dyDescent="0.25">
      <c r="A12462">
        <v>996170</v>
      </c>
      <c r="B12462">
        <v>2.25</v>
      </c>
      <c r="C12462">
        <v>600</v>
      </c>
      <c r="D12462" s="9">
        <v>43686</v>
      </c>
      <c r="E12462" t="s">
        <v>296</v>
      </c>
    </row>
    <row r="12463" spans="1:5" x14ac:dyDescent="0.25">
      <c r="A12463">
        <v>996170</v>
      </c>
      <c r="B12463">
        <v>2.25</v>
      </c>
      <c r="C12463">
        <v>600</v>
      </c>
      <c r="D12463" s="9">
        <v>43381</v>
      </c>
      <c r="E12463" t="s">
        <v>296</v>
      </c>
    </row>
    <row r="12464" spans="1:5" x14ac:dyDescent="0.25">
      <c r="A12464">
        <v>996170</v>
      </c>
      <c r="B12464">
        <v>2.25</v>
      </c>
      <c r="C12464">
        <v>540</v>
      </c>
      <c r="D12464" s="9">
        <v>43305</v>
      </c>
      <c r="E12464" t="s">
        <v>296</v>
      </c>
    </row>
    <row r="12465" spans="1:5" x14ac:dyDescent="0.25">
      <c r="A12465">
        <v>996170</v>
      </c>
      <c r="B12465">
        <v>2.16</v>
      </c>
      <c r="C12465">
        <v>540</v>
      </c>
      <c r="D12465" s="9">
        <v>43017</v>
      </c>
      <c r="E12465" t="s">
        <v>296</v>
      </c>
    </row>
    <row r="12466" spans="1:5" x14ac:dyDescent="0.25">
      <c r="A12466">
        <v>997002</v>
      </c>
      <c r="B12466">
        <v>0.184</v>
      </c>
      <c r="C12466">
        <v>4000</v>
      </c>
      <c r="D12466" s="9">
        <v>42676</v>
      </c>
      <c r="E12466" t="s">
        <v>297</v>
      </c>
    </row>
    <row r="12467" spans="1:5" x14ac:dyDescent="0.25">
      <c r="A12467">
        <v>997002</v>
      </c>
      <c r="B12467">
        <v>0.2</v>
      </c>
      <c r="C12467">
        <v>5200</v>
      </c>
      <c r="D12467" s="9">
        <v>41865</v>
      </c>
      <c r="E12467" t="s">
        <v>296</v>
      </c>
    </row>
    <row r="12468" spans="1:5" x14ac:dyDescent="0.25">
      <c r="A12468">
        <v>997021</v>
      </c>
      <c r="B12468">
        <v>2.1</v>
      </c>
      <c r="C12468">
        <v>300</v>
      </c>
      <c r="D12468" s="9">
        <v>42935</v>
      </c>
      <c r="E12468" t="s">
        <v>296</v>
      </c>
    </row>
    <row r="12469" spans="1:5" x14ac:dyDescent="0.25">
      <c r="A12469">
        <v>997021</v>
      </c>
      <c r="B12469">
        <v>2.1</v>
      </c>
      <c r="C12469">
        <v>150</v>
      </c>
      <c r="D12469" s="9">
        <v>42894</v>
      </c>
      <c r="E12469" t="s">
        <v>296</v>
      </c>
    </row>
    <row r="12470" spans="1:5" x14ac:dyDescent="0.25">
      <c r="A12470">
        <v>997022</v>
      </c>
      <c r="B12470">
        <v>2.1</v>
      </c>
      <c r="C12470">
        <v>300</v>
      </c>
      <c r="D12470" s="9">
        <v>42935</v>
      </c>
      <c r="E12470" t="s">
        <v>296</v>
      </c>
    </row>
    <row r="12471" spans="1:5" x14ac:dyDescent="0.25">
      <c r="A12471">
        <v>997022</v>
      </c>
      <c r="B12471">
        <v>2.1</v>
      </c>
      <c r="C12471">
        <v>150</v>
      </c>
      <c r="D12471" s="9">
        <v>42894</v>
      </c>
      <c r="E12471" t="s">
        <v>296</v>
      </c>
    </row>
    <row r="12472" spans="1:5" x14ac:dyDescent="0.25">
      <c r="A12472">
        <v>997051</v>
      </c>
      <c r="B12472">
        <v>3.2</v>
      </c>
      <c r="C12472">
        <v>384</v>
      </c>
      <c r="D12472" s="9">
        <v>43972</v>
      </c>
      <c r="E12472" t="s">
        <v>295</v>
      </c>
    </row>
    <row r="12473" spans="1:5" x14ac:dyDescent="0.25">
      <c r="A12473">
        <v>997051</v>
      </c>
      <c r="B12473">
        <v>3.2</v>
      </c>
      <c r="C12473">
        <v>384</v>
      </c>
      <c r="D12473" s="9">
        <v>43738</v>
      </c>
      <c r="E12473" t="s">
        <v>295</v>
      </c>
    </row>
    <row r="12474" spans="1:5" x14ac:dyDescent="0.25">
      <c r="A12474">
        <v>997051</v>
      </c>
      <c r="B12474">
        <v>3.2</v>
      </c>
      <c r="C12474">
        <v>336</v>
      </c>
      <c r="D12474" s="9">
        <v>43409</v>
      </c>
      <c r="E12474" t="s">
        <v>295</v>
      </c>
    </row>
    <row r="12475" spans="1:5" x14ac:dyDescent="0.25">
      <c r="A12475">
        <v>997051</v>
      </c>
      <c r="B12475">
        <v>3.2</v>
      </c>
      <c r="C12475">
        <v>336</v>
      </c>
      <c r="D12475" s="9">
        <v>43298</v>
      </c>
      <c r="E12475" t="s">
        <v>295</v>
      </c>
    </row>
    <row r="12476" spans="1:5" x14ac:dyDescent="0.25">
      <c r="A12476">
        <v>997051</v>
      </c>
      <c r="B12476">
        <v>3.2</v>
      </c>
      <c r="C12476">
        <v>504</v>
      </c>
      <c r="D12476" s="9">
        <v>43234</v>
      </c>
      <c r="E12476" t="s">
        <v>295</v>
      </c>
    </row>
    <row r="12477" spans="1:5" x14ac:dyDescent="0.25">
      <c r="A12477">
        <v>997070</v>
      </c>
      <c r="B12477">
        <v>1.202</v>
      </c>
      <c r="C12477">
        <v>2000</v>
      </c>
      <c r="D12477" s="9">
        <v>43635</v>
      </c>
      <c r="E12477" t="s">
        <v>296</v>
      </c>
    </row>
    <row r="12478" spans="1:5" x14ac:dyDescent="0.25">
      <c r="A12478">
        <v>997071</v>
      </c>
      <c r="B12478">
        <v>1.1200000000000001</v>
      </c>
      <c r="C12478">
        <v>2000</v>
      </c>
      <c r="D12478" s="9">
        <v>43635</v>
      </c>
      <c r="E12478" t="s">
        <v>296</v>
      </c>
    </row>
    <row r="12479" spans="1:5" x14ac:dyDescent="0.25">
      <c r="A12479">
        <v>997072</v>
      </c>
      <c r="B12479">
        <v>1.169</v>
      </c>
      <c r="C12479">
        <v>2000</v>
      </c>
      <c r="D12479" s="9">
        <v>43635</v>
      </c>
      <c r="E12479" t="s">
        <v>296</v>
      </c>
    </row>
    <row r="12480" spans="1:5" x14ac:dyDescent="0.25">
      <c r="A12480">
        <v>997080</v>
      </c>
      <c r="B12480">
        <v>3</v>
      </c>
      <c r="C12480">
        <v>100</v>
      </c>
      <c r="D12480" s="9">
        <v>43635</v>
      </c>
      <c r="E12480" t="s">
        <v>296</v>
      </c>
    </row>
    <row r="12481" spans="1:5" x14ac:dyDescent="0.25">
      <c r="A12481">
        <v>997081</v>
      </c>
      <c r="B12481">
        <v>2.69</v>
      </c>
      <c r="C12481">
        <v>100</v>
      </c>
      <c r="D12481" s="9">
        <v>43635</v>
      </c>
      <c r="E12481" t="s">
        <v>296</v>
      </c>
    </row>
    <row r="12482" spans="1:5" x14ac:dyDescent="0.25">
      <c r="A12482">
        <v>997082</v>
      </c>
      <c r="B12482">
        <v>2.69</v>
      </c>
      <c r="C12482">
        <v>100</v>
      </c>
      <c r="D12482" s="9">
        <v>43635</v>
      </c>
      <c r="E12482" t="s">
        <v>296</v>
      </c>
    </row>
    <row r="12483" spans="1:5" x14ac:dyDescent="0.25">
      <c r="A12483">
        <v>998000</v>
      </c>
      <c r="B12483">
        <v>200</v>
      </c>
      <c r="C12483">
        <v>6</v>
      </c>
      <c r="D12483" s="9">
        <v>43887</v>
      </c>
      <c r="E12483" t="s">
        <v>295</v>
      </c>
    </row>
    <row r="12484" spans="1:5" x14ac:dyDescent="0.25">
      <c r="A12484">
        <v>998000</v>
      </c>
      <c r="B12484">
        <v>180</v>
      </c>
      <c r="C12484">
        <v>6</v>
      </c>
      <c r="D12484" s="9">
        <v>43669</v>
      </c>
      <c r="E12484" t="s">
        <v>295</v>
      </c>
    </row>
    <row r="12485" spans="1:5" x14ac:dyDescent="0.25">
      <c r="A12485">
        <v>998000</v>
      </c>
      <c r="B12485">
        <v>180</v>
      </c>
      <c r="C12485">
        <v>7</v>
      </c>
      <c r="D12485" s="9">
        <v>43585</v>
      </c>
      <c r="E12485" t="s">
        <v>295</v>
      </c>
    </row>
    <row r="12486" spans="1:5" x14ac:dyDescent="0.25">
      <c r="A12486">
        <v>998000</v>
      </c>
      <c r="B12486">
        <v>180</v>
      </c>
      <c r="C12486">
        <v>7</v>
      </c>
      <c r="D12486" s="9">
        <v>43556</v>
      </c>
      <c r="E12486" t="s">
        <v>295</v>
      </c>
    </row>
    <row r="12487" spans="1:5" x14ac:dyDescent="0.25">
      <c r="A12487">
        <v>998000</v>
      </c>
      <c r="B12487">
        <v>180</v>
      </c>
      <c r="C12487">
        <v>6</v>
      </c>
      <c r="D12487" s="9">
        <v>43306</v>
      </c>
      <c r="E12487" t="s">
        <v>295</v>
      </c>
    </row>
    <row r="12488" spans="1:5" x14ac:dyDescent="0.25">
      <c r="A12488">
        <v>998000</v>
      </c>
      <c r="B12488">
        <v>180</v>
      </c>
      <c r="C12488">
        <v>4</v>
      </c>
      <c r="D12488" s="9">
        <v>43242</v>
      </c>
      <c r="E12488" t="s">
        <v>295</v>
      </c>
    </row>
    <row r="12489" spans="1:5" x14ac:dyDescent="0.25">
      <c r="A12489">
        <v>998000</v>
      </c>
      <c r="B12489">
        <v>175</v>
      </c>
      <c r="C12489">
        <v>4</v>
      </c>
      <c r="D12489" s="9">
        <v>43228</v>
      </c>
      <c r="E12489" t="s">
        <v>295</v>
      </c>
    </row>
    <row r="12490" spans="1:5" x14ac:dyDescent="0.25">
      <c r="A12490">
        <v>998000</v>
      </c>
      <c r="B12490">
        <v>175</v>
      </c>
      <c r="C12490">
        <v>6</v>
      </c>
      <c r="D12490" s="9">
        <v>42865</v>
      </c>
      <c r="E12490" t="s">
        <v>295</v>
      </c>
    </row>
    <row r="12491" spans="1:5" x14ac:dyDescent="0.25">
      <c r="A12491">
        <v>998000</v>
      </c>
      <c r="B12491">
        <v>175</v>
      </c>
      <c r="C12491">
        <v>6</v>
      </c>
      <c r="D12491" s="9">
        <v>42846</v>
      </c>
      <c r="E12491" t="s">
        <v>295</v>
      </c>
    </row>
    <row r="12492" spans="1:5" x14ac:dyDescent="0.25">
      <c r="A12492">
        <v>998000</v>
      </c>
      <c r="B12492">
        <v>170</v>
      </c>
      <c r="C12492">
        <v>7</v>
      </c>
      <c r="D12492" s="9">
        <v>42558</v>
      </c>
      <c r="E12492" t="s">
        <v>295</v>
      </c>
    </row>
    <row r="12493" spans="1:5" x14ac:dyDescent="0.25">
      <c r="A12493">
        <v>998000</v>
      </c>
      <c r="B12493">
        <v>170</v>
      </c>
      <c r="C12493">
        <v>6</v>
      </c>
      <c r="D12493" s="9">
        <v>42543</v>
      </c>
      <c r="E12493" t="s">
        <v>295</v>
      </c>
    </row>
    <row r="12494" spans="1:5" x14ac:dyDescent="0.25">
      <c r="A12494">
        <v>998000</v>
      </c>
      <c r="B12494">
        <v>170</v>
      </c>
      <c r="C12494">
        <v>9</v>
      </c>
      <c r="D12494" s="9">
        <v>42514</v>
      </c>
      <c r="E12494" t="s">
        <v>295</v>
      </c>
    </row>
    <row r="12495" spans="1:5" x14ac:dyDescent="0.25">
      <c r="A12495">
        <v>998000</v>
      </c>
      <c r="B12495">
        <v>170</v>
      </c>
      <c r="C12495">
        <v>7</v>
      </c>
      <c r="D12495" s="9">
        <v>42495</v>
      </c>
      <c r="E12495" t="s">
        <v>295</v>
      </c>
    </row>
    <row r="12496" spans="1:5" x14ac:dyDescent="0.25">
      <c r="A12496">
        <v>998000</v>
      </c>
      <c r="B12496">
        <v>157</v>
      </c>
      <c r="C12496">
        <v>7</v>
      </c>
      <c r="D12496" s="9">
        <v>42124</v>
      </c>
      <c r="E12496" t="s">
        <v>295</v>
      </c>
    </row>
    <row r="12497" spans="1:5" x14ac:dyDescent="0.25">
      <c r="A12497">
        <v>998000</v>
      </c>
      <c r="B12497">
        <v>157</v>
      </c>
      <c r="C12497">
        <v>6</v>
      </c>
      <c r="D12497" s="9">
        <v>42103</v>
      </c>
      <c r="E12497" t="s">
        <v>295</v>
      </c>
    </row>
    <row r="12498" spans="1:5" x14ac:dyDescent="0.25">
      <c r="A12498">
        <v>998000</v>
      </c>
      <c r="B12498">
        <v>155</v>
      </c>
      <c r="C12498">
        <v>6</v>
      </c>
      <c r="D12498" s="9">
        <v>41824</v>
      </c>
      <c r="E12498" t="s">
        <v>295</v>
      </c>
    </row>
    <row r="12499" spans="1:5" x14ac:dyDescent="0.25">
      <c r="A12499">
        <v>998000</v>
      </c>
      <c r="B12499">
        <v>155</v>
      </c>
      <c r="C12499">
        <v>6</v>
      </c>
      <c r="D12499" s="9">
        <v>41803</v>
      </c>
      <c r="E12499" t="s">
        <v>295</v>
      </c>
    </row>
    <row r="12500" spans="1:5" x14ac:dyDescent="0.25">
      <c r="A12500">
        <v>998000</v>
      </c>
      <c r="B12500">
        <v>155</v>
      </c>
      <c r="C12500">
        <v>5</v>
      </c>
      <c r="D12500" s="9">
        <v>41788</v>
      </c>
      <c r="E12500" t="s">
        <v>295</v>
      </c>
    </row>
    <row r="12501" spans="1:5" x14ac:dyDescent="0.25">
      <c r="A12501">
        <v>998000</v>
      </c>
      <c r="B12501">
        <v>155</v>
      </c>
      <c r="C12501">
        <v>5</v>
      </c>
      <c r="D12501" s="9">
        <v>41768</v>
      </c>
      <c r="E12501" t="s">
        <v>295</v>
      </c>
    </row>
    <row r="12502" spans="1:5" x14ac:dyDescent="0.25">
      <c r="A12502">
        <v>998001</v>
      </c>
      <c r="B12502">
        <v>280</v>
      </c>
      <c r="C12502">
        <v>1</v>
      </c>
      <c r="D12502" s="9">
        <v>42495</v>
      </c>
      <c r="E12502" t="s">
        <v>295</v>
      </c>
    </row>
    <row r="12503" spans="1:5" x14ac:dyDescent="0.25">
      <c r="A12503">
        <v>998002</v>
      </c>
      <c r="B12503">
        <v>175</v>
      </c>
      <c r="C12503">
        <v>1</v>
      </c>
      <c r="D12503" s="9">
        <v>42846</v>
      </c>
      <c r="E12503" t="s">
        <v>295</v>
      </c>
    </row>
    <row r="12504" spans="1:5" x14ac:dyDescent="0.25">
      <c r="A12504">
        <v>998003</v>
      </c>
      <c r="B12504">
        <v>180</v>
      </c>
      <c r="C12504">
        <v>5</v>
      </c>
      <c r="D12504" s="9">
        <v>44019</v>
      </c>
      <c r="E12504" t="s">
        <v>295</v>
      </c>
    </row>
    <row r="12505" spans="1:5" x14ac:dyDescent="0.25">
      <c r="A12505">
        <v>998028</v>
      </c>
      <c r="B12505">
        <v>125</v>
      </c>
      <c r="C12505">
        <v>1</v>
      </c>
      <c r="D12505" s="9">
        <v>43228</v>
      </c>
      <c r="E12505" t="s">
        <v>295</v>
      </c>
    </row>
    <row r="12506" spans="1:5" x14ac:dyDescent="0.25">
      <c r="A12506">
        <v>998028</v>
      </c>
      <c r="B12506">
        <v>125</v>
      </c>
      <c r="C12506">
        <v>2</v>
      </c>
      <c r="D12506" s="9">
        <v>42846</v>
      </c>
      <c r="E12506" t="s">
        <v>295</v>
      </c>
    </row>
    <row r="12507" spans="1:5" x14ac:dyDescent="0.25">
      <c r="A12507">
        <v>998028</v>
      </c>
      <c r="B12507">
        <v>110</v>
      </c>
      <c r="C12507">
        <v>2</v>
      </c>
      <c r="D12507" s="9">
        <v>42543</v>
      </c>
      <c r="E12507" t="s">
        <v>295</v>
      </c>
    </row>
    <row r="12508" spans="1:5" x14ac:dyDescent="0.25">
      <c r="A12508">
        <v>999002</v>
      </c>
      <c r="B12508">
        <v>72.5</v>
      </c>
      <c r="C12508">
        <v>2</v>
      </c>
      <c r="D12508" s="9">
        <v>42851</v>
      </c>
      <c r="E12508" t="s">
        <v>295</v>
      </c>
    </row>
    <row r="12509" spans="1:5" x14ac:dyDescent="0.25">
      <c r="A12509">
        <v>999900</v>
      </c>
      <c r="B12509">
        <v>0.01</v>
      </c>
      <c r="C12509">
        <v>1</v>
      </c>
      <c r="D12509" s="9">
        <v>41877</v>
      </c>
      <c r="E12509" t="s">
        <v>296</v>
      </c>
    </row>
    <row r="12510" spans="1:5" x14ac:dyDescent="0.25">
      <c r="A12510">
        <v>999990</v>
      </c>
      <c r="B12510">
        <v>0.01</v>
      </c>
      <c r="C12510">
        <v>5</v>
      </c>
      <c r="D12510" s="9">
        <v>42696</v>
      </c>
      <c r="E12510" t="s">
        <v>296</v>
      </c>
    </row>
    <row r="12511" spans="1:5" x14ac:dyDescent="0.25">
      <c r="A12511">
        <v>999990</v>
      </c>
      <c r="B12511">
        <v>0.5</v>
      </c>
      <c r="C12511">
        <v>10</v>
      </c>
      <c r="D12511" s="9">
        <v>42380</v>
      </c>
      <c r="E12511" t="s">
        <v>296</v>
      </c>
    </row>
    <row r="12512" spans="1:5" x14ac:dyDescent="0.25">
      <c r="A12512">
        <v>999990</v>
      </c>
      <c r="B12512">
        <v>1E-3</v>
      </c>
      <c r="C12512">
        <v>20</v>
      </c>
      <c r="D12512" s="9">
        <v>42191</v>
      </c>
      <c r="E12512" t="s">
        <v>296</v>
      </c>
    </row>
    <row r="12513" spans="1:5" x14ac:dyDescent="0.25">
      <c r="A12513">
        <v>999990</v>
      </c>
      <c r="B12513">
        <v>17.2</v>
      </c>
      <c r="C12513">
        <v>1</v>
      </c>
      <c r="D12513" s="9">
        <v>41725</v>
      </c>
      <c r="E12513" t="s">
        <v>295</v>
      </c>
    </row>
    <row r="12514" spans="1:5" x14ac:dyDescent="0.25">
      <c r="A12514" t="s">
        <v>2484</v>
      </c>
      <c r="B12514">
        <v>4.2699999999999996</v>
      </c>
      <c r="C12514">
        <v>27</v>
      </c>
      <c r="D12514" s="9">
        <v>41778</v>
      </c>
      <c r="E12514" t="s">
        <v>295</v>
      </c>
    </row>
    <row r="12515" spans="1:5" x14ac:dyDescent="0.25">
      <c r="A12515" t="s">
        <v>2484</v>
      </c>
      <c r="B12515">
        <v>4.2699999999999996</v>
      </c>
      <c r="C12515">
        <v>40</v>
      </c>
      <c r="D12515" s="9">
        <v>41718</v>
      </c>
      <c r="E12515" t="s">
        <v>295</v>
      </c>
    </row>
    <row r="12516" spans="1:5" x14ac:dyDescent="0.25">
      <c r="A12516" t="s">
        <v>2484</v>
      </c>
      <c r="B12516">
        <v>4.2699999999999996</v>
      </c>
      <c r="C12516">
        <v>100</v>
      </c>
      <c r="D12516" s="9">
        <v>41565</v>
      </c>
      <c r="E12516" t="s">
        <v>295</v>
      </c>
    </row>
    <row r="12517" spans="1:5" x14ac:dyDescent="0.25">
      <c r="A12517" t="s">
        <v>2724</v>
      </c>
      <c r="B12517">
        <v>7.04</v>
      </c>
      <c r="C12517">
        <v>500</v>
      </c>
      <c r="D12517" s="9">
        <v>43889</v>
      </c>
      <c r="E12517" t="s">
        <v>295</v>
      </c>
    </row>
    <row r="12518" spans="1:5" x14ac:dyDescent="0.25">
      <c r="A12518" t="s">
        <v>52</v>
      </c>
      <c r="B12518">
        <v>6.1</v>
      </c>
      <c r="C12518">
        <v>498</v>
      </c>
      <c r="D12518" s="9">
        <v>43567</v>
      </c>
      <c r="E12518" t="s">
        <v>295</v>
      </c>
    </row>
    <row r="12519" spans="1:5" x14ac:dyDescent="0.25">
      <c r="A12519" t="s">
        <v>52</v>
      </c>
      <c r="B12519">
        <v>6.1</v>
      </c>
      <c r="C12519">
        <v>507</v>
      </c>
      <c r="D12519" s="9">
        <v>43500</v>
      </c>
      <c r="E12519" t="s">
        <v>295</v>
      </c>
    </row>
    <row r="12520" spans="1:5" x14ac:dyDescent="0.25">
      <c r="A12520" t="s">
        <v>52</v>
      </c>
      <c r="B12520">
        <v>6.1</v>
      </c>
      <c r="C12520">
        <v>506</v>
      </c>
      <c r="D12520" s="9">
        <v>43433</v>
      </c>
      <c r="E12520" t="s">
        <v>295</v>
      </c>
    </row>
    <row r="12521" spans="1:5" x14ac:dyDescent="0.25">
      <c r="A12521" t="s">
        <v>52</v>
      </c>
      <c r="B12521">
        <v>6.1</v>
      </c>
      <c r="C12521">
        <v>503</v>
      </c>
      <c r="D12521" s="9">
        <v>43392</v>
      </c>
      <c r="E12521" t="s">
        <v>295</v>
      </c>
    </row>
    <row r="12522" spans="1:5" x14ac:dyDescent="0.25">
      <c r="A12522" t="s">
        <v>52</v>
      </c>
      <c r="B12522">
        <v>6.1</v>
      </c>
      <c r="C12522">
        <v>501</v>
      </c>
      <c r="D12522" s="9">
        <v>43340</v>
      </c>
      <c r="E12522" t="s">
        <v>295</v>
      </c>
    </row>
    <row r="12523" spans="1:5" x14ac:dyDescent="0.25">
      <c r="A12523" t="s">
        <v>53</v>
      </c>
      <c r="B12523">
        <v>4.9000000000000004</v>
      </c>
      <c r="C12523">
        <v>504</v>
      </c>
      <c r="D12523" s="9">
        <v>43523</v>
      </c>
      <c r="E12523" t="s">
        <v>295</v>
      </c>
    </row>
    <row r="12524" spans="1:5" x14ac:dyDescent="0.25">
      <c r="A12524" t="s">
        <v>2726</v>
      </c>
      <c r="B12524">
        <v>3.9</v>
      </c>
      <c r="C12524">
        <v>2000</v>
      </c>
      <c r="D12524" s="9">
        <v>43892</v>
      </c>
      <c r="E12524" t="s">
        <v>297</v>
      </c>
    </row>
    <row r="12525" spans="1:5" x14ac:dyDescent="0.25">
      <c r="A12525" t="s">
        <v>2485</v>
      </c>
      <c r="B12525">
        <v>0.09</v>
      </c>
      <c r="C12525">
        <v>40000</v>
      </c>
      <c r="D12525" s="9">
        <v>42299</v>
      </c>
      <c r="E12525" t="s">
        <v>296</v>
      </c>
    </row>
    <row r="12526" spans="1:5" x14ac:dyDescent="0.25">
      <c r="A12526" t="s">
        <v>2486</v>
      </c>
      <c r="B12526">
        <v>0.57999999999999996</v>
      </c>
      <c r="C12526">
        <v>4320</v>
      </c>
      <c r="D12526" s="9">
        <v>43340</v>
      </c>
      <c r="E12526" t="s">
        <v>295</v>
      </c>
    </row>
    <row r="12527" spans="1:5" x14ac:dyDescent="0.25">
      <c r="A12527" t="s">
        <v>56</v>
      </c>
      <c r="B12527">
        <v>5.22</v>
      </c>
      <c r="C12527">
        <v>465</v>
      </c>
      <c r="D12527" s="9">
        <v>43567</v>
      </c>
      <c r="E12527" t="s">
        <v>295</v>
      </c>
    </row>
    <row r="12528" spans="1:5" x14ac:dyDescent="0.25">
      <c r="A12528" t="s">
        <v>56</v>
      </c>
      <c r="B12528">
        <v>5.22</v>
      </c>
      <c r="C12528">
        <v>473</v>
      </c>
      <c r="D12528" s="9">
        <v>43500</v>
      </c>
      <c r="E12528" t="s">
        <v>295</v>
      </c>
    </row>
    <row r="12529" spans="1:5" x14ac:dyDescent="0.25">
      <c r="A12529" t="s">
        <v>56</v>
      </c>
      <c r="B12529">
        <v>5.22</v>
      </c>
      <c r="C12529">
        <v>476</v>
      </c>
      <c r="D12529" s="9">
        <v>43433</v>
      </c>
      <c r="E12529" t="s">
        <v>295</v>
      </c>
    </row>
    <row r="12530" spans="1:5" x14ac:dyDescent="0.25">
      <c r="A12530" t="s">
        <v>56</v>
      </c>
      <c r="B12530">
        <v>5.22</v>
      </c>
      <c r="C12530">
        <v>477</v>
      </c>
      <c r="D12530" s="9">
        <v>43392</v>
      </c>
      <c r="E12530" t="s">
        <v>295</v>
      </c>
    </row>
    <row r="12531" spans="1:5" x14ac:dyDescent="0.25">
      <c r="A12531" t="s">
        <v>2487</v>
      </c>
      <c r="B12531">
        <v>0.79</v>
      </c>
      <c r="C12531">
        <v>1200</v>
      </c>
      <c r="D12531" s="9">
        <v>41617</v>
      </c>
      <c r="E12531" t="s">
        <v>295</v>
      </c>
    </row>
    <row r="12532" spans="1:5" x14ac:dyDescent="0.25">
      <c r="A12532" t="s">
        <v>2702</v>
      </c>
      <c r="B12532">
        <v>0.7</v>
      </c>
      <c r="C12532">
        <v>95</v>
      </c>
      <c r="D12532" s="9">
        <v>43908</v>
      </c>
      <c r="E12532" t="s">
        <v>297</v>
      </c>
    </row>
    <row r="12533" spans="1:5" x14ac:dyDescent="0.25">
      <c r="A12533" t="s">
        <v>2703</v>
      </c>
      <c r="B12533">
        <v>1.1499999999999999</v>
      </c>
      <c r="C12533">
        <v>440</v>
      </c>
      <c r="D12533" s="9">
        <v>43908</v>
      </c>
      <c r="E12533" t="s">
        <v>297</v>
      </c>
    </row>
    <row r="12534" spans="1:5" x14ac:dyDescent="0.25">
      <c r="A12534" t="s">
        <v>2704</v>
      </c>
      <c r="B12534">
        <v>1.86</v>
      </c>
      <c r="C12534">
        <v>770</v>
      </c>
      <c r="D12534" s="9">
        <v>43908</v>
      </c>
      <c r="E12534" t="s">
        <v>297</v>
      </c>
    </row>
    <row r="12535" spans="1:5" x14ac:dyDescent="0.25">
      <c r="A12535" t="s">
        <v>2706</v>
      </c>
      <c r="B12535">
        <v>4.6675000000000004</v>
      </c>
      <c r="C12535">
        <v>400</v>
      </c>
      <c r="D12535" s="9">
        <v>43908</v>
      </c>
      <c r="E12535" t="s">
        <v>297</v>
      </c>
    </row>
    <row r="12536" spans="1:5" x14ac:dyDescent="0.25">
      <c r="A12536" t="s">
        <v>2988</v>
      </c>
      <c r="B12536">
        <v>0.65</v>
      </c>
      <c r="C12536">
        <v>10000</v>
      </c>
      <c r="D12536" s="9">
        <v>44118</v>
      </c>
      <c r="E12536" t="s">
        <v>295</v>
      </c>
    </row>
    <row r="12537" spans="1:5" x14ac:dyDescent="0.25">
      <c r="A12537" t="s">
        <v>2988</v>
      </c>
      <c r="B12537">
        <v>0.65</v>
      </c>
      <c r="C12537">
        <v>4000</v>
      </c>
      <c r="D12537" s="9">
        <v>44083</v>
      </c>
      <c r="E12537" t="s">
        <v>295</v>
      </c>
    </row>
    <row r="12538" spans="1:5" x14ac:dyDescent="0.25">
      <c r="A12538" t="s">
        <v>2988</v>
      </c>
      <c r="B12538">
        <v>0.65</v>
      </c>
      <c r="C12538">
        <v>4000</v>
      </c>
      <c r="D12538" s="9">
        <v>44077</v>
      </c>
      <c r="E12538" t="s">
        <v>295</v>
      </c>
    </row>
    <row r="12539" spans="1:5" x14ac:dyDescent="0.25">
      <c r="A12539" t="s">
        <v>2988</v>
      </c>
      <c r="B12539">
        <v>0.65</v>
      </c>
      <c r="C12539">
        <v>4000</v>
      </c>
      <c r="D12539" s="9">
        <v>44070</v>
      </c>
      <c r="E12539" t="s">
        <v>295</v>
      </c>
    </row>
    <row r="12540" spans="1:5" x14ac:dyDescent="0.25">
      <c r="A12540" t="s">
        <v>60</v>
      </c>
      <c r="B12540">
        <v>52.4</v>
      </c>
      <c r="C12540">
        <v>3</v>
      </c>
      <c r="D12540" s="9">
        <v>44110</v>
      </c>
      <c r="E12540" t="s">
        <v>295</v>
      </c>
    </row>
    <row r="12541" spans="1:5" x14ac:dyDescent="0.25">
      <c r="A12541" t="s">
        <v>60</v>
      </c>
      <c r="B12541">
        <v>52.4</v>
      </c>
      <c r="C12541">
        <v>5</v>
      </c>
      <c r="D12541" s="9">
        <v>43852</v>
      </c>
      <c r="E12541" t="s">
        <v>295</v>
      </c>
    </row>
    <row r="12542" spans="1:5" x14ac:dyDescent="0.25">
      <c r="A12542" t="s">
        <v>60</v>
      </c>
      <c r="B12542">
        <v>62.73</v>
      </c>
      <c r="C12542">
        <v>6</v>
      </c>
      <c r="D12542" s="9">
        <v>43745</v>
      </c>
      <c r="E12542" t="s">
        <v>295</v>
      </c>
    </row>
    <row r="12543" spans="1:5" x14ac:dyDescent="0.25">
      <c r="A12543" t="s">
        <v>60</v>
      </c>
      <c r="B12543">
        <v>70</v>
      </c>
      <c r="C12543">
        <v>20</v>
      </c>
      <c r="D12543" s="9">
        <v>43374</v>
      </c>
      <c r="E12543" t="s">
        <v>295</v>
      </c>
    </row>
    <row r="12544" spans="1:5" x14ac:dyDescent="0.25">
      <c r="A12544" t="s">
        <v>62</v>
      </c>
      <c r="B12544">
        <v>54.5</v>
      </c>
      <c r="C12544">
        <v>8</v>
      </c>
      <c r="D12544" s="9">
        <v>44110</v>
      </c>
      <c r="E12544" t="s">
        <v>295</v>
      </c>
    </row>
    <row r="12545" spans="1:5" x14ac:dyDescent="0.25">
      <c r="A12545" t="s">
        <v>62</v>
      </c>
      <c r="B12545">
        <v>54.5</v>
      </c>
      <c r="C12545">
        <v>6</v>
      </c>
      <c r="D12545" s="9">
        <v>43852</v>
      </c>
      <c r="E12545" t="s">
        <v>295</v>
      </c>
    </row>
    <row r="12546" spans="1:5" x14ac:dyDescent="0.25">
      <c r="A12546" t="s">
        <v>62</v>
      </c>
      <c r="B12546">
        <v>65.19</v>
      </c>
      <c r="C12546">
        <v>6</v>
      </c>
      <c r="D12546" s="9">
        <v>43745</v>
      </c>
      <c r="E12546" t="s">
        <v>295</v>
      </c>
    </row>
    <row r="12547" spans="1:5" x14ac:dyDescent="0.25">
      <c r="A12547" t="s">
        <v>62</v>
      </c>
      <c r="B12547">
        <v>70</v>
      </c>
      <c r="C12547">
        <v>20</v>
      </c>
      <c r="D12547" s="9">
        <v>43374</v>
      </c>
      <c r="E12547" t="s">
        <v>295</v>
      </c>
    </row>
    <row r="12548" spans="1:5" x14ac:dyDescent="0.25">
      <c r="A12548" t="s">
        <v>63</v>
      </c>
      <c r="B12548">
        <v>57.7</v>
      </c>
      <c r="C12548">
        <v>4</v>
      </c>
      <c r="D12548" s="9">
        <v>44110</v>
      </c>
      <c r="E12548" t="s">
        <v>295</v>
      </c>
    </row>
    <row r="12549" spans="1:5" x14ac:dyDescent="0.25">
      <c r="A12549" t="s">
        <v>63</v>
      </c>
      <c r="B12549">
        <v>57.7</v>
      </c>
      <c r="C12549">
        <v>6</v>
      </c>
      <c r="D12549" s="9">
        <v>43852</v>
      </c>
      <c r="E12549" t="s">
        <v>295</v>
      </c>
    </row>
    <row r="12550" spans="1:5" x14ac:dyDescent="0.25">
      <c r="A12550" t="s">
        <v>63</v>
      </c>
      <c r="B12550">
        <v>69</v>
      </c>
      <c r="C12550">
        <v>7</v>
      </c>
      <c r="D12550" s="9">
        <v>43745</v>
      </c>
      <c r="E12550" t="s">
        <v>295</v>
      </c>
    </row>
    <row r="12551" spans="1:5" x14ac:dyDescent="0.25">
      <c r="A12551" t="s">
        <v>63</v>
      </c>
      <c r="B12551">
        <v>70</v>
      </c>
      <c r="C12551">
        <v>20</v>
      </c>
      <c r="D12551" s="9">
        <v>43374</v>
      </c>
      <c r="E12551" t="s">
        <v>295</v>
      </c>
    </row>
    <row r="12552" spans="1:5" x14ac:dyDescent="0.25">
      <c r="A12552" t="s">
        <v>64</v>
      </c>
      <c r="B12552">
        <v>59.8</v>
      </c>
      <c r="C12552">
        <v>7</v>
      </c>
      <c r="D12552" s="9">
        <v>44110</v>
      </c>
      <c r="E12552" t="s">
        <v>295</v>
      </c>
    </row>
    <row r="12553" spans="1:5" x14ac:dyDescent="0.25">
      <c r="A12553" t="s">
        <v>64</v>
      </c>
      <c r="B12553">
        <v>59.8</v>
      </c>
      <c r="C12553">
        <v>8</v>
      </c>
      <c r="D12553" s="9">
        <v>43852</v>
      </c>
      <c r="E12553" t="s">
        <v>295</v>
      </c>
    </row>
    <row r="12554" spans="1:5" x14ac:dyDescent="0.25">
      <c r="A12554" t="s">
        <v>64</v>
      </c>
      <c r="B12554">
        <v>80</v>
      </c>
      <c r="C12554">
        <v>20</v>
      </c>
      <c r="D12554" s="9">
        <v>43374</v>
      </c>
      <c r="E12554" t="s">
        <v>295</v>
      </c>
    </row>
    <row r="12555" spans="1:5" x14ac:dyDescent="0.25">
      <c r="A12555" t="s">
        <v>65</v>
      </c>
      <c r="B12555">
        <v>60.9</v>
      </c>
      <c r="C12555">
        <v>6</v>
      </c>
      <c r="D12555" s="9">
        <v>44110</v>
      </c>
      <c r="E12555" t="s">
        <v>295</v>
      </c>
    </row>
    <row r="12556" spans="1:5" x14ac:dyDescent="0.25">
      <c r="A12556" t="s">
        <v>65</v>
      </c>
      <c r="B12556">
        <v>60.9</v>
      </c>
      <c r="C12556">
        <v>6</v>
      </c>
      <c r="D12556" s="9">
        <v>43852</v>
      </c>
      <c r="E12556" t="s">
        <v>295</v>
      </c>
    </row>
    <row r="12557" spans="1:5" x14ac:dyDescent="0.25">
      <c r="A12557" t="s">
        <v>65</v>
      </c>
      <c r="B12557">
        <v>72.819999999999993</v>
      </c>
      <c r="C12557">
        <v>6</v>
      </c>
      <c r="D12557" s="9">
        <v>43745</v>
      </c>
      <c r="E12557" t="s">
        <v>295</v>
      </c>
    </row>
    <row r="12558" spans="1:5" x14ac:dyDescent="0.25">
      <c r="A12558" t="s">
        <v>65</v>
      </c>
      <c r="B12558">
        <v>80</v>
      </c>
      <c r="C12558">
        <v>20</v>
      </c>
      <c r="D12558" s="9">
        <v>43374</v>
      </c>
      <c r="E12558" t="s">
        <v>295</v>
      </c>
    </row>
    <row r="12559" spans="1:5" x14ac:dyDescent="0.25">
      <c r="A12559" t="s">
        <v>66</v>
      </c>
      <c r="B12559">
        <v>61.9</v>
      </c>
      <c r="C12559">
        <v>1</v>
      </c>
      <c r="D12559" s="9">
        <v>44110</v>
      </c>
      <c r="E12559" t="s">
        <v>295</v>
      </c>
    </row>
    <row r="12560" spans="1:5" x14ac:dyDescent="0.25">
      <c r="A12560" t="s">
        <v>66</v>
      </c>
      <c r="B12560">
        <v>61.9</v>
      </c>
      <c r="C12560">
        <v>4</v>
      </c>
      <c r="D12560" s="9">
        <v>43852</v>
      </c>
      <c r="E12560" t="s">
        <v>295</v>
      </c>
    </row>
    <row r="12561" spans="1:5" x14ac:dyDescent="0.25">
      <c r="A12561" t="s">
        <v>66</v>
      </c>
      <c r="B12561">
        <v>74.05</v>
      </c>
      <c r="C12561">
        <v>2</v>
      </c>
      <c r="D12561" s="9">
        <v>43745</v>
      </c>
      <c r="E12561" t="s">
        <v>295</v>
      </c>
    </row>
    <row r="12562" spans="1:5" x14ac:dyDescent="0.25">
      <c r="A12562" t="s">
        <v>66</v>
      </c>
      <c r="B12562">
        <v>80</v>
      </c>
      <c r="C12562">
        <v>20</v>
      </c>
      <c r="D12562" s="9">
        <v>43374</v>
      </c>
      <c r="E12562" t="s">
        <v>295</v>
      </c>
    </row>
    <row r="12563" spans="1:5" x14ac:dyDescent="0.25">
      <c r="A12563" t="s">
        <v>67</v>
      </c>
      <c r="B12563">
        <v>69.2</v>
      </c>
      <c r="C12563">
        <v>2</v>
      </c>
      <c r="D12563" s="9">
        <v>44110</v>
      </c>
      <c r="E12563" t="s">
        <v>295</v>
      </c>
    </row>
    <row r="12564" spans="1:5" x14ac:dyDescent="0.25">
      <c r="A12564" t="s">
        <v>67</v>
      </c>
      <c r="B12564">
        <v>69.2</v>
      </c>
      <c r="C12564">
        <v>2</v>
      </c>
      <c r="D12564" s="9">
        <v>43852</v>
      </c>
      <c r="E12564" t="s">
        <v>295</v>
      </c>
    </row>
    <row r="12565" spans="1:5" x14ac:dyDescent="0.25">
      <c r="A12565" t="s">
        <v>67</v>
      </c>
      <c r="B12565">
        <v>80</v>
      </c>
      <c r="C12565">
        <v>20</v>
      </c>
      <c r="D12565" s="9">
        <v>43374</v>
      </c>
      <c r="E12565" t="s">
        <v>295</v>
      </c>
    </row>
    <row r="12566" spans="1:5" x14ac:dyDescent="0.25">
      <c r="A12566" t="s">
        <v>68</v>
      </c>
      <c r="B12566">
        <v>74</v>
      </c>
      <c r="C12566">
        <v>1</v>
      </c>
      <c r="D12566" s="9">
        <v>44110</v>
      </c>
      <c r="E12566" t="s">
        <v>295</v>
      </c>
    </row>
    <row r="12567" spans="1:5" x14ac:dyDescent="0.25">
      <c r="A12567" t="s">
        <v>68</v>
      </c>
      <c r="B12567">
        <v>74</v>
      </c>
      <c r="C12567">
        <v>7</v>
      </c>
      <c r="D12567" s="9">
        <v>43852</v>
      </c>
      <c r="E12567" t="s">
        <v>295</v>
      </c>
    </row>
    <row r="12568" spans="1:5" x14ac:dyDescent="0.25">
      <c r="A12568" t="s">
        <v>68</v>
      </c>
      <c r="B12568">
        <v>88.56</v>
      </c>
      <c r="C12568">
        <v>3</v>
      </c>
      <c r="D12568" s="9">
        <v>43745</v>
      </c>
      <c r="E12568" t="s">
        <v>295</v>
      </c>
    </row>
    <row r="12569" spans="1:5" x14ac:dyDescent="0.25">
      <c r="A12569" t="s">
        <v>68</v>
      </c>
      <c r="B12569">
        <v>90</v>
      </c>
      <c r="C12569">
        <v>20</v>
      </c>
      <c r="D12569" s="9">
        <v>43374</v>
      </c>
      <c r="E12569" t="s">
        <v>295</v>
      </c>
    </row>
    <row r="12570" spans="1:5" x14ac:dyDescent="0.25">
      <c r="A12570" t="s">
        <v>70</v>
      </c>
      <c r="B12570">
        <v>2.35</v>
      </c>
      <c r="C12570">
        <v>72</v>
      </c>
      <c r="D12570" s="9">
        <v>43444</v>
      </c>
      <c r="E12570" t="s">
        <v>295</v>
      </c>
    </row>
    <row r="12571" spans="1:5" x14ac:dyDescent="0.25">
      <c r="A12571" t="s">
        <v>71</v>
      </c>
      <c r="B12571">
        <v>5.74</v>
      </c>
      <c r="C12571">
        <v>72</v>
      </c>
      <c r="D12571" s="9">
        <v>43444</v>
      </c>
      <c r="E12571" t="s">
        <v>295</v>
      </c>
    </row>
    <row r="12572" spans="1:5" x14ac:dyDescent="0.25">
      <c r="A12572" t="s">
        <v>72</v>
      </c>
      <c r="B12572">
        <v>2.59</v>
      </c>
      <c r="C12572">
        <v>72</v>
      </c>
      <c r="D12572" s="9">
        <v>43444</v>
      </c>
      <c r="E12572" t="s">
        <v>295</v>
      </c>
    </row>
    <row r="12573" spans="1:5" x14ac:dyDescent="0.25">
      <c r="A12573" t="s">
        <v>73</v>
      </c>
      <c r="B12573">
        <v>1.1000000000000001</v>
      </c>
      <c r="C12573">
        <v>500</v>
      </c>
      <c r="D12573" s="9">
        <v>43444</v>
      </c>
      <c r="E12573" t="s">
        <v>295</v>
      </c>
    </row>
    <row r="12574" spans="1:5" x14ac:dyDescent="0.25">
      <c r="A12574" t="s">
        <v>74</v>
      </c>
      <c r="B12574">
        <v>0.43</v>
      </c>
      <c r="C12574">
        <v>300</v>
      </c>
      <c r="D12574" s="9">
        <v>43444</v>
      </c>
      <c r="E12574" t="s">
        <v>295</v>
      </c>
    </row>
    <row r="12575" spans="1:5" x14ac:dyDescent="0.25">
      <c r="A12575" t="s">
        <v>75</v>
      </c>
      <c r="B12575">
        <v>0.48</v>
      </c>
      <c r="C12575">
        <v>500</v>
      </c>
      <c r="D12575" s="9">
        <v>43444</v>
      </c>
      <c r="E12575" t="s">
        <v>295</v>
      </c>
    </row>
    <row r="12576" spans="1:5" x14ac:dyDescent="0.25">
      <c r="A12576" t="s">
        <v>76</v>
      </c>
      <c r="B12576">
        <v>3.82</v>
      </c>
      <c r="C12576">
        <v>20</v>
      </c>
      <c r="D12576" s="9">
        <v>43444</v>
      </c>
      <c r="E12576" t="s">
        <v>295</v>
      </c>
    </row>
    <row r="12577" spans="1:5" x14ac:dyDescent="0.25">
      <c r="A12577" t="s">
        <v>77</v>
      </c>
      <c r="B12577">
        <v>4.18</v>
      </c>
      <c r="C12577">
        <v>31</v>
      </c>
      <c r="D12577" s="9">
        <v>43444</v>
      </c>
      <c r="E12577" t="s">
        <v>295</v>
      </c>
    </row>
    <row r="12578" spans="1:5" x14ac:dyDescent="0.25">
      <c r="A12578" t="s">
        <v>78</v>
      </c>
      <c r="B12578">
        <v>4.0199999999999996</v>
      </c>
      <c r="C12578">
        <v>30</v>
      </c>
      <c r="D12578" s="9">
        <v>43444</v>
      </c>
      <c r="E12578" t="s">
        <v>295</v>
      </c>
    </row>
    <row r="12579" spans="1:5" x14ac:dyDescent="0.25">
      <c r="A12579" t="s">
        <v>79</v>
      </c>
      <c r="B12579">
        <v>0.48</v>
      </c>
      <c r="C12579">
        <v>300</v>
      </c>
      <c r="D12579" s="9">
        <v>43444</v>
      </c>
      <c r="E12579" t="s">
        <v>295</v>
      </c>
    </row>
    <row r="12580" spans="1:5" x14ac:dyDescent="0.25">
      <c r="A12580" t="s">
        <v>2488</v>
      </c>
      <c r="B12580">
        <v>4.3099999999999996</v>
      </c>
      <c r="C12580">
        <v>30</v>
      </c>
      <c r="D12580" s="9">
        <v>43524</v>
      </c>
      <c r="E12580" t="s">
        <v>295</v>
      </c>
    </row>
    <row r="12581" spans="1:5" x14ac:dyDescent="0.25">
      <c r="A12581" t="s">
        <v>80</v>
      </c>
      <c r="B12581">
        <v>25.8</v>
      </c>
      <c r="C12581">
        <v>34</v>
      </c>
      <c r="D12581" s="9">
        <v>43852</v>
      </c>
      <c r="E12581" t="s">
        <v>295</v>
      </c>
    </row>
    <row r="12582" spans="1:5" x14ac:dyDescent="0.25">
      <c r="A12582" t="s">
        <v>80</v>
      </c>
      <c r="B12582">
        <v>30.88</v>
      </c>
      <c r="C12582">
        <v>21</v>
      </c>
      <c r="D12582" s="9">
        <v>43745</v>
      </c>
      <c r="E12582" t="s">
        <v>295</v>
      </c>
    </row>
    <row r="12583" spans="1:5" x14ac:dyDescent="0.25">
      <c r="A12583" t="s">
        <v>80</v>
      </c>
      <c r="B12583">
        <v>30.74</v>
      </c>
      <c r="C12583">
        <v>1</v>
      </c>
      <c r="D12583" s="9">
        <v>43745</v>
      </c>
      <c r="E12583" t="s">
        <v>295</v>
      </c>
    </row>
    <row r="12584" spans="1:5" x14ac:dyDescent="0.25">
      <c r="A12584" t="s">
        <v>80</v>
      </c>
      <c r="B12584">
        <v>24.5</v>
      </c>
      <c r="C12584">
        <v>70</v>
      </c>
      <c r="D12584" s="9">
        <v>43348</v>
      </c>
      <c r="E12584" t="s">
        <v>295</v>
      </c>
    </row>
    <row r="12585" spans="1:5" x14ac:dyDescent="0.25">
      <c r="A12585" t="s">
        <v>81</v>
      </c>
      <c r="B12585">
        <v>40.049999999999997</v>
      </c>
      <c r="C12585">
        <v>6</v>
      </c>
      <c r="D12585" s="9">
        <v>44110</v>
      </c>
      <c r="E12585" t="s">
        <v>295</v>
      </c>
    </row>
    <row r="12586" spans="1:5" x14ac:dyDescent="0.25">
      <c r="A12586" t="s">
        <v>81</v>
      </c>
      <c r="B12586">
        <v>40.049999999999997</v>
      </c>
      <c r="C12586">
        <v>16</v>
      </c>
      <c r="D12586" s="9">
        <v>43852</v>
      </c>
      <c r="E12586" t="s">
        <v>295</v>
      </c>
    </row>
    <row r="12587" spans="1:5" x14ac:dyDescent="0.25">
      <c r="A12587" t="s">
        <v>81</v>
      </c>
      <c r="B12587">
        <v>47.91</v>
      </c>
      <c r="C12587">
        <v>22</v>
      </c>
      <c r="D12587" s="9">
        <v>43745</v>
      </c>
      <c r="E12587" t="s">
        <v>295</v>
      </c>
    </row>
    <row r="12588" spans="1:5" x14ac:dyDescent="0.25">
      <c r="A12588" t="s">
        <v>81</v>
      </c>
      <c r="B12588">
        <v>38</v>
      </c>
      <c r="C12588">
        <v>50</v>
      </c>
      <c r="D12588" s="9">
        <v>43348</v>
      </c>
      <c r="E12588" t="s">
        <v>295</v>
      </c>
    </row>
    <row r="12589" spans="1:5" x14ac:dyDescent="0.25">
      <c r="A12589" t="s">
        <v>82</v>
      </c>
      <c r="B12589">
        <v>32.380000000000003</v>
      </c>
      <c r="C12589">
        <v>15</v>
      </c>
      <c r="D12589" s="9">
        <v>44110</v>
      </c>
      <c r="E12589" t="s">
        <v>295</v>
      </c>
    </row>
    <row r="12590" spans="1:5" x14ac:dyDescent="0.25">
      <c r="A12590" t="s">
        <v>82</v>
      </c>
      <c r="B12590">
        <v>39.83</v>
      </c>
      <c r="C12590">
        <v>15</v>
      </c>
      <c r="D12590" s="9">
        <v>43745</v>
      </c>
      <c r="E12590" t="s">
        <v>295</v>
      </c>
    </row>
    <row r="12591" spans="1:5" x14ac:dyDescent="0.25">
      <c r="A12591" t="s">
        <v>82</v>
      </c>
      <c r="B12591">
        <v>31.6</v>
      </c>
      <c r="C12591">
        <v>60</v>
      </c>
      <c r="D12591" s="9">
        <v>43348</v>
      </c>
      <c r="E12591" t="s">
        <v>295</v>
      </c>
    </row>
    <row r="12592" spans="1:5" x14ac:dyDescent="0.25">
      <c r="A12592" t="s">
        <v>2489</v>
      </c>
      <c r="B12592">
        <v>0.372</v>
      </c>
      <c r="C12592">
        <v>2016</v>
      </c>
      <c r="D12592" s="9">
        <v>41456</v>
      </c>
      <c r="E12592" t="s">
        <v>296</v>
      </c>
    </row>
    <row r="12593" spans="1:5" x14ac:dyDescent="0.25">
      <c r="A12593" t="s">
        <v>2490</v>
      </c>
      <c r="B12593">
        <v>0.41099999999999998</v>
      </c>
      <c r="C12593">
        <v>1512</v>
      </c>
      <c r="D12593" s="9">
        <v>41682</v>
      </c>
      <c r="E12593" t="s">
        <v>296</v>
      </c>
    </row>
    <row r="12594" spans="1:5" x14ac:dyDescent="0.25">
      <c r="A12594" t="s">
        <v>2490</v>
      </c>
      <c r="B12594">
        <v>0.41099999999999998</v>
      </c>
      <c r="C12594">
        <v>2016</v>
      </c>
      <c r="D12594" s="9">
        <v>41456</v>
      </c>
      <c r="E12594" t="s">
        <v>296</v>
      </c>
    </row>
    <row r="12595" spans="1:5" x14ac:dyDescent="0.25">
      <c r="A12595" t="s">
        <v>2491</v>
      </c>
      <c r="B12595">
        <v>0.63900000000000001</v>
      </c>
      <c r="C12595">
        <v>2520</v>
      </c>
      <c r="D12595" s="9">
        <v>41682</v>
      </c>
      <c r="E12595" t="s">
        <v>296</v>
      </c>
    </row>
    <row r="12596" spans="1:5" x14ac:dyDescent="0.25">
      <c r="A12596" t="s">
        <v>2491</v>
      </c>
      <c r="B12596">
        <v>0.63900000000000001</v>
      </c>
      <c r="C12596">
        <v>2040</v>
      </c>
      <c r="D12596" s="9">
        <v>41456</v>
      </c>
      <c r="E12596" t="s">
        <v>296</v>
      </c>
    </row>
    <row r="12597" spans="1:5" x14ac:dyDescent="0.25">
      <c r="A12597" t="s">
        <v>86</v>
      </c>
      <c r="B12597">
        <v>6.2</v>
      </c>
      <c r="C12597">
        <v>960</v>
      </c>
      <c r="D12597" s="9">
        <v>42194</v>
      </c>
      <c r="E12597" t="s">
        <v>295</v>
      </c>
    </row>
    <row r="12598" spans="1:5" x14ac:dyDescent="0.25">
      <c r="A12598" t="s">
        <v>87</v>
      </c>
      <c r="B12598">
        <v>1.5</v>
      </c>
      <c r="C12598">
        <v>2010</v>
      </c>
      <c r="D12598" s="9">
        <v>42873</v>
      </c>
      <c r="E12598" t="s">
        <v>295</v>
      </c>
    </row>
    <row r="12599" spans="1:5" x14ac:dyDescent="0.25">
      <c r="A12599" t="s">
        <v>2492</v>
      </c>
      <c r="B12599">
        <v>0</v>
      </c>
      <c r="C12599">
        <v>1</v>
      </c>
      <c r="D12599" s="9">
        <v>42814</v>
      </c>
      <c r="E12599" t="s">
        <v>295</v>
      </c>
    </row>
    <row r="12600" spans="1:5" x14ac:dyDescent="0.25">
      <c r="A12600" t="s">
        <v>2493</v>
      </c>
      <c r="B12600">
        <v>0</v>
      </c>
      <c r="C12600">
        <v>1</v>
      </c>
      <c r="D12600" s="9">
        <v>42814</v>
      </c>
      <c r="E12600" t="s">
        <v>295</v>
      </c>
    </row>
    <row r="12601" spans="1:5" x14ac:dyDescent="0.25">
      <c r="A12601" t="s">
        <v>2494</v>
      </c>
      <c r="B12601">
        <v>0</v>
      </c>
      <c r="C12601">
        <v>1</v>
      </c>
      <c r="D12601" s="9">
        <v>42814</v>
      </c>
      <c r="E12601" t="s">
        <v>295</v>
      </c>
    </row>
    <row r="12602" spans="1:5" x14ac:dyDescent="0.25">
      <c r="A12602" t="s">
        <v>101</v>
      </c>
      <c r="B12602">
        <v>4.5</v>
      </c>
      <c r="C12602">
        <v>36</v>
      </c>
      <c r="D12602" s="9">
        <v>42265</v>
      </c>
      <c r="E12602" t="s">
        <v>295</v>
      </c>
    </row>
    <row r="12603" spans="1:5" x14ac:dyDescent="0.25">
      <c r="A12603" t="s">
        <v>101</v>
      </c>
      <c r="B12603">
        <v>4.82</v>
      </c>
      <c r="C12603">
        <v>15</v>
      </c>
      <c r="D12603" s="9">
        <v>41892</v>
      </c>
      <c r="E12603" t="s">
        <v>295</v>
      </c>
    </row>
    <row r="12604" spans="1:5" x14ac:dyDescent="0.25">
      <c r="A12604" t="s">
        <v>110</v>
      </c>
      <c r="B12604">
        <v>3.48</v>
      </c>
      <c r="C12604">
        <v>12</v>
      </c>
      <c r="D12604" s="9">
        <v>42265</v>
      </c>
      <c r="E12604" t="s">
        <v>295</v>
      </c>
    </row>
    <row r="12605" spans="1:5" x14ac:dyDescent="0.25">
      <c r="A12605" t="s">
        <v>110</v>
      </c>
      <c r="B12605">
        <v>3.77</v>
      </c>
      <c r="C12605">
        <v>10</v>
      </c>
      <c r="D12605" s="9">
        <v>41892</v>
      </c>
      <c r="E12605" t="s">
        <v>295</v>
      </c>
    </row>
    <row r="12606" spans="1:5" x14ac:dyDescent="0.25">
      <c r="A12606" t="s">
        <v>111</v>
      </c>
      <c r="B12606">
        <v>15.29</v>
      </c>
      <c r="C12606">
        <v>120</v>
      </c>
      <c r="D12606" s="9">
        <v>42458</v>
      </c>
      <c r="E12606" t="s">
        <v>295</v>
      </c>
    </row>
    <row r="12607" spans="1:5" x14ac:dyDescent="0.25">
      <c r="A12607" t="s">
        <v>112</v>
      </c>
      <c r="B12607">
        <v>38.159999999999997</v>
      </c>
      <c r="C12607">
        <v>20</v>
      </c>
      <c r="D12607" s="9">
        <v>42458</v>
      </c>
      <c r="E12607" t="s">
        <v>295</v>
      </c>
    </row>
    <row r="12608" spans="1:5" x14ac:dyDescent="0.25">
      <c r="A12608" t="s">
        <v>113</v>
      </c>
      <c r="B12608">
        <v>50.99</v>
      </c>
      <c r="C12608">
        <v>20</v>
      </c>
      <c r="D12608" s="9">
        <v>42458</v>
      </c>
      <c r="E12608" t="s">
        <v>295</v>
      </c>
    </row>
    <row r="12609" spans="1:5" x14ac:dyDescent="0.25">
      <c r="A12609" t="s">
        <v>114</v>
      </c>
      <c r="B12609">
        <v>49.5</v>
      </c>
      <c r="C12609">
        <v>6</v>
      </c>
      <c r="D12609" s="9">
        <v>43641</v>
      </c>
      <c r="E12609" t="s">
        <v>295</v>
      </c>
    </row>
    <row r="12610" spans="1:5" x14ac:dyDescent="0.25">
      <c r="A12610" t="s">
        <v>114</v>
      </c>
      <c r="B12610">
        <v>49.5</v>
      </c>
      <c r="C12610">
        <v>6</v>
      </c>
      <c r="D12610" s="9">
        <v>43486</v>
      </c>
      <c r="E12610" t="s">
        <v>295</v>
      </c>
    </row>
    <row r="12611" spans="1:5" x14ac:dyDescent="0.25">
      <c r="A12611" t="s">
        <v>114</v>
      </c>
      <c r="B12611">
        <v>41.45</v>
      </c>
      <c r="C12611">
        <v>10</v>
      </c>
      <c r="D12611" s="9">
        <v>43035</v>
      </c>
      <c r="E12611" t="s">
        <v>295</v>
      </c>
    </row>
    <row r="12612" spans="1:5" x14ac:dyDescent="0.25">
      <c r="A12612" t="s">
        <v>114</v>
      </c>
      <c r="B12612">
        <v>38.200000000000003</v>
      </c>
      <c r="C12612">
        <v>12</v>
      </c>
      <c r="D12612" s="9">
        <v>42716</v>
      </c>
      <c r="E12612" t="s">
        <v>295</v>
      </c>
    </row>
    <row r="12613" spans="1:5" x14ac:dyDescent="0.25">
      <c r="A12613" t="s">
        <v>114</v>
      </c>
      <c r="B12613">
        <v>38.200000000000003</v>
      </c>
      <c r="C12613">
        <v>6</v>
      </c>
      <c r="D12613" s="9">
        <v>42488</v>
      </c>
      <c r="E12613" t="s">
        <v>295</v>
      </c>
    </row>
    <row r="12614" spans="1:5" x14ac:dyDescent="0.25">
      <c r="A12614" t="s">
        <v>114</v>
      </c>
      <c r="B12614">
        <v>36.58</v>
      </c>
      <c r="C12614">
        <v>6</v>
      </c>
      <c r="D12614" s="9">
        <v>42209</v>
      </c>
      <c r="E12614" t="s">
        <v>295</v>
      </c>
    </row>
    <row r="12615" spans="1:5" x14ac:dyDescent="0.25">
      <c r="A12615" t="s">
        <v>115</v>
      </c>
      <c r="B12615">
        <v>65.239999999999995</v>
      </c>
      <c r="C12615">
        <v>5</v>
      </c>
      <c r="D12615" s="9">
        <v>43641</v>
      </c>
      <c r="E12615" t="s">
        <v>295</v>
      </c>
    </row>
    <row r="12616" spans="1:5" x14ac:dyDescent="0.25">
      <c r="A12616" t="s">
        <v>115</v>
      </c>
      <c r="B12616">
        <v>67.489999999999995</v>
      </c>
      <c r="C12616">
        <v>1</v>
      </c>
      <c r="D12616" s="9">
        <v>43641</v>
      </c>
      <c r="E12616" t="s">
        <v>295</v>
      </c>
    </row>
    <row r="12617" spans="1:5" x14ac:dyDescent="0.25">
      <c r="A12617" t="s">
        <v>115</v>
      </c>
      <c r="B12617">
        <v>65.239999999999995</v>
      </c>
      <c r="C12617">
        <v>2</v>
      </c>
      <c r="D12617" s="9">
        <v>43486</v>
      </c>
      <c r="E12617" t="s">
        <v>295</v>
      </c>
    </row>
    <row r="12618" spans="1:5" x14ac:dyDescent="0.25">
      <c r="A12618" t="s">
        <v>115</v>
      </c>
      <c r="B12618">
        <v>49.93</v>
      </c>
      <c r="C12618">
        <v>12</v>
      </c>
      <c r="D12618" s="9">
        <v>42716</v>
      </c>
      <c r="E12618" t="s">
        <v>295</v>
      </c>
    </row>
    <row r="12619" spans="1:5" x14ac:dyDescent="0.25">
      <c r="A12619" t="s">
        <v>115</v>
      </c>
      <c r="B12619">
        <v>44.7</v>
      </c>
      <c r="C12619">
        <v>8</v>
      </c>
      <c r="D12619" s="9">
        <v>42209</v>
      </c>
      <c r="E12619" t="s">
        <v>295</v>
      </c>
    </row>
    <row r="12620" spans="1:5" x14ac:dyDescent="0.25">
      <c r="A12620" t="s">
        <v>115</v>
      </c>
      <c r="B12620">
        <v>41.45</v>
      </c>
      <c r="C12620">
        <v>6</v>
      </c>
      <c r="D12620" s="9">
        <v>41918</v>
      </c>
      <c r="E12620" t="s">
        <v>295</v>
      </c>
    </row>
    <row r="12621" spans="1:5" x14ac:dyDescent="0.25">
      <c r="A12621" t="s">
        <v>115</v>
      </c>
      <c r="B12621">
        <v>41.45</v>
      </c>
      <c r="C12621">
        <v>4</v>
      </c>
      <c r="D12621" s="9">
        <v>41599</v>
      </c>
      <c r="E12621" t="s">
        <v>295</v>
      </c>
    </row>
    <row r="12622" spans="1:5" x14ac:dyDescent="0.25">
      <c r="A12622" t="s">
        <v>116</v>
      </c>
      <c r="B12622">
        <v>29.06</v>
      </c>
      <c r="C12622">
        <v>29</v>
      </c>
      <c r="D12622" s="9">
        <v>43486</v>
      </c>
      <c r="E12622" t="s">
        <v>295</v>
      </c>
    </row>
    <row r="12623" spans="1:5" x14ac:dyDescent="0.25">
      <c r="A12623" t="s">
        <v>116</v>
      </c>
      <c r="B12623">
        <v>29.05</v>
      </c>
      <c r="C12623">
        <v>1</v>
      </c>
      <c r="D12623" s="9">
        <v>43486</v>
      </c>
      <c r="E12623" t="s">
        <v>295</v>
      </c>
    </row>
    <row r="12624" spans="1:5" x14ac:dyDescent="0.25">
      <c r="A12624" t="s">
        <v>116</v>
      </c>
      <c r="B12624">
        <v>24.19</v>
      </c>
      <c r="C12624">
        <v>25</v>
      </c>
      <c r="D12624" s="9">
        <v>42845</v>
      </c>
      <c r="E12624" t="s">
        <v>295</v>
      </c>
    </row>
    <row r="12625" spans="1:5" x14ac:dyDescent="0.25">
      <c r="A12625" t="s">
        <v>116</v>
      </c>
      <c r="B12625">
        <v>25.62</v>
      </c>
      <c r="C12625">
        <v>50</v>
      </c>
      <c r="D12625" s="9">
        <v>42488</v>
      </c>
      <c r="E12625" t="s">
        <v>295</v>
      </c>
    </row>
    <row r="12626" spans="1:5" x14ac:dyDescent="0.25">
      <c r="A12626" t="s">
        <v>116</v>
      </c>
      <c r="B12626">
        <v>24.87</v>
      </c>
      <c r="C12626">
        <v>12</v>
      </c>
      <c r="D12626" s="9">
        <v>42209</v>
      </c>
      <c r="E12626" t="s">
        <v>295</v>
      </c>
    </row>
    <row r="12627" spans="1:5" x14ac:dyDescent="0.25">
      <c r="A12627" t="s">
        <v>116</v>
      </c>
      <c r="B12627">
        <v>24.87</v>
      </c>
      <c r="C12627">
        <v>12</v>
      </c>
      <c r="D12627" s="9">
        <v>42087</v>
      </c>
      <c r="E12627" t="s">
        <v>295</v>
      </c>
    </row>
    <row r="12628" spans="1:5" x14ac:dyDescent="0.25">
      <c r="A12628" t="s">
        <v>116</v>
      </c>
      <c r="B12628">
        <v>19.989999999999998</v>
      </c>
      <c r="C12628">
        <v>18</v>
      </c>
      <c r="D12628" s="9">
        <v>41918</v>
      </c>
      <c r="E12628" t="s">
        <v>295</v>
      </c>
    </row>
    <row r="12629" spans="1:5" x14ac:dyDescent="0.25">
      <c r="A12629" t="s">
        <v>117</v>
      </c>
      <c r="B12629">
        <v>64.989999999999995</v>
      </c>
      <c r="C12629">
        <v>6</v>
      </c>
      <c r="D12629" s="9">
        <v>41918</v>
      </c>
      <c r="E12629" t="s">
        <v>295</v>
      </c>
    </row>
    <row r="12630" spans="1:5" x14ac:dyDescent="0.25">
      <c r="A12630" t="s">
        <v>117</v>
      </c>
      <c r="B12630">
        <v>61.96</v>
      </c>
      <c r="C12630">
        <v>100</v>
      </c>
      <c r="D12630" s="9">
        <v>41599</v>
      </c>
      <c r="E12630" t="s">
        <v>295</v>
      </c>
    </row>
    <row r="12631" spans="1:5" x14ac:dyDescent="0.25">
      <c r="A12631" t="s">
        <v>118</v>
      </c>
      <c r="B12631">
        <v>71.52</v>
      </c>
      <c r="C12631">
        <v>30</v>
      </c>
      <c r="D12631" s="9">
        <v>41599</v>
      </c>
      <c r="E12631" t="s">
        <v>295</v>
      </c>
    </row>
    <row r="12632" spans="1:5" x14ac:dyDescent="0.25">
      <c r="A12632" t="s">
        <v>119</v>
      </c>
      <c r="B12632">
        <v>0.63</v>
      </c>
      <c r="C12632">
        <v>31200</v>
      </c>
      <c r="D12632" s="9">
        <v>43384</v>
      </c>
      <c r="E12632" t="s">
        <v>295</v>
      </c>
    </row>
    <row r="12633" spans="1:5" x14ac:dyDescent="0.25">
      <c r="A12633" t="s">
        <v>119</v>
      </c>
      <c r="B12633">
        <v>0.63</v>
      </c>
      <c r="C12633">
        <v>15600</v>
      </c>
      <c r="D12633" s="9">
        <v>43280</v>
      </c>
      <c r="E12633" t="s">
        <v>295</v>
      </c>
    </row>
    <row r="12634" spans="1:5" x14ac:dyDescent="0.25">
      <c r="A12634" t="s">
        <v>119</v>
      </c>
      <c r="B12634">
        <v>0.63</v>
      </c>
      <c r="C12634">
        <v>15600</v>
      </c>
      <c r="D12634" s="9">
        <v>43188</v>
      </c>
      <c r="E12634" t="s">
        <v>295</v>
      </c>
    </row>
    <row r="12635" spans="1:5" x14ac:dyDescent="0.25">
      <c r="A12635" t="s">
        <v>119</v>
      </c>
      <c r="B12635">
        <v>0.63</v>
      </c>
      <c r="C12635">
        <v>15600</v>
      </c>
      <c r="D12635" s="9">
        <v>43105</v>
      </c>
      <c r="E12635" t="s">
        <v>295</v>
      </c>
    </row>
    <row r="12636" spans="1:5" x14ac:dyDescent="0.25">
      <c r="A12636" t="s">
        <v>119</v>
      </c>
      <c r="B12636">
        <v>0.63</v>
      </c>
      <c r="C12636">
        <v>15600</v>
      </c>
      <c r="D12636" s="9">
        <v>43004</v>
      </c>
      <c r="E12636" t="s">
        <v>295</v>
      </c>
    </row>
    <row r="12637" spans="1:5" x14ac:dyDescent="0.25">
      <c r="A12637" t="s">
        <v>119</v>
      </c>
      <c r="B12637">
        <v>0.63</v>
      </c>
      <c r="C12637">
        <v>15600</v>
      </c>
      <c r="D12637" s="9">
        <v>42951</v>
      </c>
      <c r="E12637" t="s">
        <v>295</v>
      </c>
    </row>
    <row r="12638" spans="1:5" x14ac:dyDescent="0.25">
      <c r="A12638" t="s">
        <v>119</v>
      </c>
      <c r="B12638">
        <v>0.63</v>
      </c>
      <c r="C12638">
        <v>15600</v>
      </c>
      <c r="D12638" s="9">
        <v>42893</v>
      </c>
      <c r="E12638" t="s">
        <v>295</v>
      </c>
    </row>
    <row r="12639" spans="1:5" x14ac:dyDescent="0.25">
      <c r="A12639" t="s">
        <v>119</v>
      </c>
      <c r="B12639">
        <v>0.63</v>
      </c>
      <c r="C12639">
        <v>15600</v>
      </c>
      <c r="D12639" s="9">
        <v>42835</v>
      </c>
      <c r="E12639" t="s">
        <v>295</v>
      </c>
    </row>
    <row r="12640" spans="1:5" x14ac:dyDescent="0.25">
      <c r="A12640" t="s">
        <v>119</v>
      </c>
      <c r="B12640">
        <v>0.63</v>
      </c>
      <c r="C12640">
        <v>15600</v>
      </c>
      <c r="D12640" s="9">
        <v>42821</v>
      </c>
      <c r="E12640" t="s">
        <v>295</v>
      </c>
    </row>
    <row r="12641" spans="1:5" x14ac:dyDescent="0.25">
      <c r="A12641" t="s">
        <v>119</v>
      </c>
      <c r="B12641">
        <v>0.63</v>
      </c>
      <c r="C12641">
        <v>15600</v>
      </c>
      <c r="D12641" s="9">
        <v>42713</v>
      </c>
      <c r="E12641" t="s">
        <v>295</v>
      </c>
    </row>
    <row r="12642" spans="1:5" x14ac:dyDescent="0.25">
      <c r="A12642" t="s">
        <v>119</v>
      </c>
      <c r="B12642">
        <v>0.63</v>
      </c>
      <c r="C12642">
        <v>15600</v>
      </c>
      <c r="D12642" s="9">
        <v>42664</v>
      </c>
      <c r="E12642" t="s">
        <v>295</v>
      </c>
    </row>
    <row r="12643" spans="1:5" x14ac:dyDescent="0.25">
      <c r="A12643" t="s">
        <v>119</v>
      </c>
      <c r="B12643">
        <v>0.63</v>
      </c>
      <c r="C12643">
        <v>15600</v>
      </c>
      <c r="D12643" s="9">
        <v>42612</v>
      </c>
      <c r="E12643" t="s">
        <v>295</v>
      </c>
    </row>
    <row r="12644" spans="1:5" x14ac:dyDescent="0.25">
      <c r="A12644" t="s">
        <v>119</v>
      </c>
      <c r="B12644">
        <v>0.63</v>
      </c>
      <c r="C12644">
        <v>15600</v>
      </c>
      <c r="D12644" s="9">
        <v>42521</v>
      </c>
      <c r="E12644" t="s">
        <v>295</v>
      </c>
    </row>
    <row r="12645" spans="1:5" x14ac:dyDescent="0.25">
      <c r="A12645" t="s">
        <v>119</v>
      </c>
      <c r="B12645">
        <v>0.63</v>
      </c>
      <c r="C12645">
        <v>15600</v>
      </c>
      <c r="D12645" s="9">
        <v>42451</v>
      </c>
      <c r="E12645" t="s">
        <v>295</v>
      </c>
    </row>
    <row r="12646" spans="1:5" x14ac:dyDescent="0.25">
      <c r="A12646" t="s">
        <v>119</v>
      </c>
      <c r="B12646">
        <v>0.63</v>
      </c>
      <c r="C12646">
        <v>15600</v>
      </c>
      <c r="D12646" s="9">
        <v>42331</v>
      </c>
      <c r="E12646" t="s">
        <v>295</v>
      </c>
    </row>
    <row r="12647" spans="1:5" x14ac:dyDescent="0.25">
      <c r="A12647" t="s">
        <v>119</v>
      </c>
      <c r="B12647">
        <v>0.63</v>
      </c>
      <c r="C12647">
        <v>15600</v>
      </c>
      <c r="D12647" s="9">
        <v>42284</v>
      </c>
      <c r="E12647" t="s">
        <v>295</v>
      </c>
    </row>
    <row r="12648" spans="1:5" x14ac:dyDescent="0.25">
      <c r="A12648" t="s">
        <v>119</v>
      </c>
      <c r="B12648">
        <v>0.63</v>
      </c>
      <c r="C12648">
        <v>14950</v>
      </c>
      <c r="D12648" s="9">
        <v>42263</v>
      </c>
      <c r="E12648" t="s">
        <v>295</v>
      </c>
    </row>
    <row r="12649" spans="1:5" x14ac:dyDescent="0.25">
      <c r="A12649" t="s">
        <v>119</v>
      </c>
      <c r="B12649">
        <v>0.63</v>
      </c>
      <c r="C12649">
        <v>15600</v>
      </c>
      <c r="D12649" s="9">
        <v>42205</v>
      </c>
      <c r="E12649" t="s">
        <v>295</v>
      </c>
    </row>
    <row r="12650" spans="1:5" x14ac:dyDescent="0.25">
      <c r="A12650" t="s">
        <v>119</v>
      </c>
      <c r="B12650">
        <v>0.63</v>
      </c>
      <c r="C12650">
        <v>15600</v>
      </c>
      <c r="D12650" s="9">
        <v>42111</v>
      </c>
      <c r="E12650" t="s">
        <v>295</v>
      </c>
    </row>
    <row r="12651" spans="1:5" x14ac:dyDescent="0.25">
      <c r="A12651" t="s">
        <v>119</v>
      </c>
      <c r="B12651">
        <v>0.63</v>
      </c>
      <c r="C12651">
        <v>15600</v>
      </c>
      <c r="D12651" s="9">
        <v>42026</v>
      </c>
      <c r="E12651" t="s">
        <v>295</v>
      </c>
    </row>
    <row r="12652" spans="1:5" x14ac:dyDescent="0.25">
      <c r="A12652" t="s">
        <v>119</v>
      </c>
      <c r="B12652">
        <v>0.63</v>
      </c>
      <c r="C12652">
        <v>15600</v>
      </c>
      <c r="D12652" s="9">
        <v>41948</v>
      </c>
      <c r="E12652" t="s">
        <v>295</v>
      </c>
    </row>
    <row r="12653" spans="1:5" x14ac:dyDescent="0.25">
      <c r="A12653" t="s">
        <v>119</v>
      </c>
      <c r="B12653">
        <v>0.63</v>
      </c>
      <c r="C12653">
        <v>15600</v>
      </c>
      <c r="D12653" s="9">
        <v>41892</v>
      </c>
      <c r="E12653" t="s">
        <v>295</v>
      </c>
    </row>
    <row r="12654" spans="1:5" x14ac:dyDescent="0.25">
      <c r="A12654" t="s">
        <v>119</v>
      </c>
      <c r="B12654">
        <v>0.63</v>
      </c>
      <c r="C12654">
        <v>15600</v>
      </c>
      <c r="D12654" s="9">
        <v>41767</v>
      </c>
      <c r="E12654" t="s">
        <v>295</v>
      </c>
    </row>
    <row r="12655" spans="1:5" x14ac:dyDescent="0.25">
      <c r="A12655" t="s">
        <v>119</v>
      </c>
      <c r="B12655">
        <v>0.64</v>
      </c>
      <c r="C12655">
        <v>31200</v>
      </c>
      <c r="D12655" s="9">
        <v>41724</v>
      </c>
      <c r="E12655" t="s">
        <v>295</v>
      </c>
    </row>
    <row r="12656" spans="1:5" x14ac:dyDescent="0.25">
      <c r="A12656" t="s">
        <v>119</v>
      </c>
      <c r="B12656">
        <v>0.64</v>
      </c>
      <c r="C12656">
        <v>31200</v>
      </c>
      <c r="D12656" s="9">
        <v>41530</v>
      </c>
      <c r="E12656" t="s">
        <v>295</v>
      </c>
    </row>
    <row r="12657" spans="1:5" x14ac:dyDescent="0.25">
      <c r="A12657" t="s">
        <v>120</v>
      </c>
      <c r="B12657">
        <v>80.48</v>
      </c>
      <c r="C12657">
        <v>200</v>
      </c>
      <c r="D12657" s="9">
        <v>41978</v>
      </c>
      <c r="E12657" t="s">
        <v>295</v>
      </c>
    </row>
    <row r="12658" spans="1:5" x14ac:dyDescent="0.25">
      <c r="A12658" t="s">
        <v>120</v>
      </c>
      <c r="B12658">
        <v>80.48</v>
      </c>
      <c r="C12658">
        <v>200</v>
      </c>
      <c r="D12658" s="9">
        <v>41970</v>
      </c>
      <c r="E12658" t="s">
        <v>295</v>
      </c>
    </row>
    <row r="12659" spans="1:5" x14ac:dyDescent="0.25">
      <c r="A12659" t="s">
        <v>121</v>
      </c>
      <c r="B12659">
        <v>13.49</v>
      </c>
      <c r="C12659">
        <v>28</v>
      </c>
      <c r="D12659" s="9">
        <v>43195</v>
      </c>
      <c r="E12659" t="s">
        <v>295</v>
      </c>
    </row>
    <row r="12660" spans="1:5" x14ac:dyDescent="0.25">
      <c r="A12660" t="s">
        <v>121</v>
      </c>
      <c r="B12660">
        <v>12.19</v>
      </c>
      <c r="C12660">
        <v>242</v>
      </c>
      <c r="D12660" s="9">
        <v>43195</v>
      </c>
      <c r="E12660" t="s">
        <v>295</v>
      </c>
    </row>
    <row r="12661" spans="1:5" x14ac:dyDescent="0.25">
      <c r="A12661" t="s">
        <v>122</v>
      </c>
      <c r="B12661">
        <v>6.23</v>
      </c>
      <c r="C12661">
        <v>258</v>
      </c>
      <c r="D12661" s="9">
        <v>43195</v>
      </c>
      <c r="E12661" t="s">
        <v>295</v>
      </c>
    </row>
    <row r="12662" spans="1:5" x14ac:dyDescent="0.25">
      <c r="A12662" t="s">
        <v>122</v>
      </c>
      <c r="B12662">
        <v>6.7</v>
      </c>
      <c r="C12662">
        <v>1</v>
      </c>
      <c r="D12662" s="9">
        <v>43195</v>
      </c>
      <c r="E12662" t="s">
        <v>295</v>
      </c>
    </row>
    <row r="12663" spans="1:5" x14ac:dyDescent="0.25">
      <c r="A12663" t="s">
        <v>123</v>
      </c>
      <c r="B12663">
        <v>7.66</v>
      </c>
      <c r="C12663">
        <v>270</v>
      </c>
      <c r="D12663" s="9">
        <v>43195</v>
      </c>
      <c r="E12663" t="s">
        <v>295</v>
      </c>
    </row>
    <row r="12664" spans="1:5" x14ac:dyDescent="0.25">
      <c r="A12664" t="s">
        <v>124</v>
      </c>
      <c r="B12664">
        <v>43.89</v>
      </c>
      <c r="C12664">
        <v>10</v>
      </c>
      <c r="D12664" s="9">
        <v>42577</v>
      </c>
      <c r="E12664" t="s">
        <v>295</v>
      </c>
    </row>
    <row r="12665" spans="1:5" x14ac:dyDescent="0.25">
      <c r="A12665" t="s">
        <v>124</v>
      </c>
      <c r="B12665">
        <v>43.89</v>
      </c>
      <c r="C12665">
        <v>10</v>
      </c>
      <c r="D12665" s="9">
        <v>42563</v>
      </c>
      <c r="E12665" t="s">
        <v>295</v>
      </c>
    </row>
    <row r="12666" spans="1:5" x14ac:dyDescent="0.25">
      <c r="A12666" t="s">
        <v>124</v>
      </c>
      <c r="B12666">
        <v>46.24</v>
      </c>
      <c r="C12666">
        <v>46</v>
      </c>
      <c r="D12666" s="9">
        <v>42268</v>
      </c>
      <c r="E12666" t="s">
        <v>295</v>
      </c>
    </row>
    <row r="12667" spans="1:5" x14ac:dyDescent="0.25">
      <c r="A12667" t="s">
        <v>124</v>
      </c>
      <c r="B12667">
        <v>43.9</v>
      </c>
      <c r="C12667">
        <v>300</v>
      </c>
      <c r="D12667" s="9">
        <v>42194</v>
      </c>
      <c r="E12667" t="s">
        <v>295</v>
      </c>
    </row>
    <row r="12668" spans="1:5" x14ac:dyDescent="0.25">
      <c r="A12668" t="s">
        <v>125</v>
      </c>
      <c r="B12668">
        <v>25.3</v>
      </c>
      <c r="C12668">
        <v>200</v>
      </c>
      <c r="D12668" s="9">
        <v>42194</v>
      </c>
      <c r="E12668" t="s">
        <v>295</v>
      </c>
    </row>
    <row r="12669" spans="1:5" x14ac:dyDescent="0.25">
      <c r="A12669" t="s">
        <v>44</v>
      </c>
      <c r="B12669" t="s">
        <v>2511</v>
      </c>
      <c r="C12669" t="s">
        <v>2512</v>
      </c>
      <c r="D12669" s="9" t="s">
        <v>2513</v>
      </c>
      <c r="E12669" t="s">
        <v>2600</v>
      </c>
    </row>
    <row r="12670" spans="1:5" x14ac:dyDescent="0.25">
      <c r="A12670" t="s">
        <v>126</v>
      </c>
      <c r="B12670">
        <v>10</v>
      </c>
      <c r="C12670">
        <v>360</v>
      </c>
      <c r="D12670" s="9">
        <v>44027</v>
      </c>
      <c r="E12670" t="s">
        <v>295</v>
      </c>
    </row>
    <row r="12671" spans="1:5" x14ac:dyDescent="0.25">
      <c r="A12671" t="s">
        <v>126</v>
      </c>
      <c r="B12671">
        <v>10</v>
      </c>
      <c r="C12671">
        <v>210</v>
      </c>
      <c r="D12671" s="9">
        <v>43859</v>
      </c>
      <c r="E12671" t="s">
        <v>295</v>
      </c>
    </row>
    <row r="12672" spans="1:5" x14ac:dyDescent="0.25">
      <c r="A12672" t="s">
        <v>126</v>
      </c>
      <c r="B12672">
        <v>10</v>
      </c>
      <c r="C12672">
        <v>270</v>
      </c>
      <c r="D12672" s="9">
        <v>43517</v>
      </c>
      <c r="E12672" t="s">
        <v>295</v>
      </c>
    </row>
    <row r="12673" spans="1:5" x14ac:dyDescent="0.25">
      <c r="A12673" t="s">
        <v>126</v>
      </c>
      <c r="B12673">
        <v>10</v>
      </c>
      <c r="C12673">
        <v>180</v>
      </c>
      <c r="D12673" s="9">
        <v>43347</v>
      </c>
      <c r="E12673" t="s">
        <v>295</v>
      </c>
    </row>
    <row r="12674" spans="1:5" x14ac:dyDescent="0.25">
      <c r="A12674" t="s">
        <v>126</v>
      </c>
      <c r="B12674">
        <v>10</v>
      </c>
      <c r="C12674">
        <v>240</v>
      </c>
      <c r="D12674" s="9">
        <v>42823</v>
      </c>
      <c r="E12674" t="s">
        <v>295</v>
      </c>
    </row>
    <row r="12675" spans="1:5" x14ac:dyDescent="0.25">
      <c r="A12675" t="s">
        <v>127</v>
      </c>
      <c r="B12675">
        <v>10</v>
      </c>
      <c r="C12675">
        <v>1200</v>
      </c>
      <c r="D12675" s="9">
        <v>44027</v>
      </c>
      <c r="E12675" t="s">
        <v>295</v>
      </c>
    </row>
    <row r="12676" spans="1:5" x14ac:dyDescent="0.25">
      <c r="A12676" t="s">
        <v>127</v>
      </c>
      <c r="B12676">
        <v>10</v>
      </c>
      <c r="C12676">
        <v>700</v>
      </c>
      <c r="D12676" s="9">
        <v>43859</v>
      </c>
      <c r="E12676" t="s">
        <v>295</v>
      </c>
    </row>
    <row r="12677" spans="1:5" x14ac:dyDescent="0.25">
      <c r="A12677" t="s">
        <v>127</v>
      </c>
      <c r="B12677">
        <v>10</v>
      </c>
      <c r="C12677">
        <v>400</v>
      </c>
      <c r="D12677" s="9">
        <v>43517</v>
      </c>
      <c r="E12677" t="s">
        <v>295</v>
      </c>
    </row>
    <row r="12678" spans="1:5" x14ac:dyDescent="0.25">
      <c r="A12678" t="s">
        <v>127</v>
      </c>
      <c r="B12678">
        <v>10</v>
      </c>
      <c r="C12678">
        <v>560</v>
      </c>
      <c r="D12678" s="9">
        <v>43347</v>
      </c>
      <c r="E12678" t="s">
        <v>295</v>
      </c>
    </row>
    <row r="12679" spans="1:5" x14ac:dyDescent="0.25">
      <c r="A12679" t="s">
        <v>127</v>
      </c>
      <c r="B12679">
        <v>10</v>
      </c>
      <c r="C12679">
        <v>760</v>
      </c>
      <c r="D12679" s="9">
        <v>42823</v>
      </c>
      <c r="E12679" t="s">
        <v>295</v>
      </c>
    </row>
    <row r="12680" spans="1:5" x14ac:dyDescent="0.25">
      <c r="A12680" t="s">
        <v>128</v>
      </c>
      <c r="B12680">
        <v>10</v>
      </c>
      <c r="C12680">
        <v>650</v>
      </c>
      <c r="D12680" s="9">
        <v>44027</v>
      </c>
      <c r="E12680" t="s">
        <v>295</v>
      </c>
    </row>
    <row r="12681" spans="1:5" x14ac:dyDescent="0.25">
      <c r="A12681" t="s">
        <v>128</v>
      </c>
      <c r="B12681">
        <v>10</v>
      </c>
      <c r="C12681">
        <v>375</v>
      </c>
      <c r="D12681" s="9">
        <v>43859</v>
      </c>
      <c r="E12681" t="s">
        <v>295</v>
      </c>
    </row>
    <row r="12682" spans="1:5" x14ac:dyDescent="0.25">
      <c r="A12682" t="s">
        <v>128</v>
      </c>
      <c r="B12682">
        <v>10</v>
      </c>
      <c r="C12682">
        <v>200</v>
      </c>
      <c r="D12682" s="9">
        <v>43517</v>
      </c>
      <c r="E12682" t="s">
        <v>295</v>
      </c>
    </row>
    <row r="12683" spans="1:5" x14ac:dyDescent="0.25">
      <c r="A12683" t="s">
        <v>128</v>
      </c>
      <c r="B12683">
        <v>10</v>
      </c>
      <c r="C12683">
        <v>200</v>
      </c>
      <c r="D12683" s="9">
        <v>43347</v>
      </c>
      <c r="E12683" t="s">
        <v>295</v>
      </c>
    </row>
    <row r="12684" spans="1:5" x14ac:dyDescent="0.25">
      <c r="A12684" t="s">
        <v>128</v>
      </c>
      <c r="B12684">
        <v>10</v>
      </c>
      <c r="C12684">
        <v>700</v>
      </c>
      <c r="D12684" s="9">
        <v>42823</v>
      </c>
      <c r="E12684" t="s">
        <v>295</v>
      </c>
    </row>
    <row r="12685" spans="1:5" x14ac:dyDescent="0.25">
      <c r="A12685" t="s">
        <v>129</v>
      </c>
      <c r="B12685">
        <v>85.37</v>
      </c>
      <c r="C12685">
        <v>10</v>
      </c>
      <c r="D12685" s="9">
        <v>42033</v>
      </c>
      <c r="E12685" t="s">
        <v>295</v>
      </c>
    </row>
    <row r="12686" spans="1:5" x14ac:dyDescent="0.25">
      <c r="A12686" t="s">
        <v>2495</v>
      </c>
      <c r="B12686">
        <v>68</v>
      </c>
      <c r="C12686">
        <v>1</v>
      </c>
      <c r="D12686" s="9">
        <v>42229</v>
      </c>
      <c r="E12686" t="s">
        <v>295</v>
      </c>
    </row>
    <row r="12687" spans="1:5" x14ac:dyDescent="0.25">
      <c r="A12687" t="s">
        <v>2496</v>
      </c>
      <c r="B12687">
        <v>80</v>
      </c>
      <c r="C12687">
        <v>1</v>
      </c>
      <c r="D12687" s="9">
        <v>42229</v>
      </c>
      <c r="E12687" t="s">
        <v>295</v>
      </c>
    </row>
    <row r="12688" spans="1:5" x14ac:dyDescent="0.25">
      <c r="A12688" t="s">
        <v>2497</v>
      </c>
      <c r="B12688">
        <v>160</v>
      </c>
      <c r="C12688">
        <v>1</v>
      </c>
      <c r="D12688" s="9">
        <v>42229</v>
      </c>
      <c r="E12688" t="s">
        <v>295</v>
      </c>
    </row>
    <row r="12689" spans="1:5" x14ac:dyDescent="0.25">
      <c r="A12689" t="s">
        <v>2498</v>
      </c>
      <c r="B12689">
        <v>200</v>
      </c>
      <c r="C12689">
        <v>1</v>
      </c>
      <c r="D12689" s="9">
        <v>42229</v>
      </c>
      <c r="E12689" t="s">
        <v>295</v>
      </c>
    </row>
    <row r="12690" spans="1:5" x14ac:dyDescent="0.25">
      <c r="A12690" t="s">
        <v>135</v>
      </c>
      <c r="B12690">
        <v>52.2</v>
      </c>
      <c r="C12690">
        <v>149</v>
      </c>
      <c r="D12690" s="9">
        <v>42152</v>
      </c>
      <c r="E12690" t="s">
        <v>295</v>
      </c>
    </row>
    <row r="12691" spans="1:5" x14ac:dyDescent="0.25">
      <c r="A12691" t="s">
        <v>137</v>
      </c>
      <c r="B12691">
        <v>0.97</v>
      </c>
      <c r="C12691">
        <v>2800</v>
      </c>
      <c r="D12691" s="9">
        <v>42152</v>
      </c>
      <c r="E12691" t="s">
        <v>295</v>
      </c>
    </row>
    <row r="12692" spans="1:5" x14ac:dyDescent="0.25">
      <c r="A12692" t="s">
        <v>2499</v>
      </c>
      <c r="B12692">
        <v>0.8</v>
      </c>
      <c r="C12692">
        <v>4200</v>
      </c>
      <c r="D12692" s="9">
        <v>42152</v>
      </c>
      <c r="E12692" t="s">
        <v>295</v>
      </c>
    </row>
    <row r="12693" spans="1:5" x14ac:dyDescent="0.25">
      <c r="A12693" t="s">
        <v>1693</v>
      </c>
      <c r="B12693">
        <v>66</v>
      </c>
      <c r="C12693">
        <v>32</v>
      </c>
      <c r="D12693" s="9">
        <v>43628</v>
      </c>
      <c r="E12693" t="s">
        <v>295</v>
      </c>
    </row>
    <row r="12694" spans="1:5" x14ac:dyDescent="0.25">
      <c r="A12694" t="s">
        <v>138</v>
      </c>
      <c r="B12694">
        <v>0.65</v>
      </c>
      <c r="C12694">
        <v>9600</v>
      </c>
      <c r="D12694" s="9">
        <v>43745</v>
      </c>
      <c r="E12694" t="s">
        <v>295</v>
      </c>
    </row>
    <row r="12695" spans="1:5" x14ac:dyDescent="0.25">
      <c r="A12695" t="s">
        <v>138</v>
      </c>
      <c r="B12695">
        <v>0.65</v>
      </c>
      <c r="C12695">
        <v>15600</v>
      </c>
      <c r="D12695" s="9">
        <v>43227</v>
      </c>
      <c r="E12695" t="s">
        <v>295</v>
      </c>
    </row>
    <row r="12696" spans="1:5" x14ac:dyDescent="0.25">
      <c r="A12696" t="s">
        <v>138</v>
      </c>
      <c r="B12696">
        <v>0.65</v>
      </c>
      <c r="C12696">
        <v>10200</v>
      </c>
      <c r="D12696" s="9">
        <v>42843</v>
      </c>
      <c r="E12696" t="s">
        <v>295</v>
      </c>
    </row>
    <row r="12697" spans="1:5" x14ac:dyDescent="0.25">
      <c r="A12697" t="s">
        <v>138</v>
      </c>
      <c r="B12697">
        <v>0.63</v>
      </c>
      <c r="C12697">
        <v>15600</v>
      </c>
      <c r="D12697" s="9">
        <v>42549</v>
      </c>
      <c r="E12697" t="s">
        <v>295</v>
      </c>
    </row>
    <row r="12698" spans="1:5" x14ac:dyDescent="0.25">
      <c r="A12698" t="s">
        <v>138</v>
      </c>
      <c r="B12698">
        <v>0.65</v>
      </c>
      <c r="C12698">
        <v>5200</v>
      </c>
      <c r="D12698" s="9">
        <v>42347</v>
      </c>
      <c r="E12698" t="s">
        <v>295</v>
      </c>
    </row>
    <row r="12699" spans="1:5" x14ac:dyDescent="0.25">
      <c r="A12699" t="s">
        <v>138</v>
      </c>
      <c r="B12699">
        <v>0.65</v>
      </c>
      <c r="C12699">
        <v>15600</v>
      </c>
      <c r="D12699" s="9">
        <v>42331</v>
      </c>
      <c r="E12699" t="s">
        <v>295</v>
      </c>
    </row>
    <row r="12700" spans="1:5" x14ac:dyDescent="0.25">
      <c r="A12700" t="s">
        <v>138</v>
      </c>
      <c r="B12700">
        <v>0.65</v>
      </c>
      <c r="C12700">
        <v>10400</v>
      </c>
      <c r="D12700" s="9">
        <v>42171</v>
      </c>
      <c r="E12700" t="s">
        <v>295</v>
      </c>
    </row>
    <row r="12701" spans="1:5" x14ac:dyDescent="0.25">
      <c r="A12701" t="s">
        <v>138</v>
      </c>
      <c r="B12701">
        <v>0.63</v>
      </c>
      <c r="C12701">
        <v>15600</v>
      </c>
      <c r="D12701" s="9">
        <v>42059</v>
      </c>
      <c r="E12701" t="s">
        <v>295</v>
      </c>
    </row>
    <row r="12702" spans="1:5" x14ac:dyDescent="0.25">
      <c r="A12702" t="s">
        <v>138</v>
      </c>
      <c r="B12702">
        <v>0.63</v>
      </c>
      <c r="C12702">
        <v>10400</v>
      </c>
      <c r="D12702" s="9">
        <v>41974</v>
      </c>
      <c r="E12702" t="s">
        <v>295</v>
      </c>
    </row>
    <row r="12703" spans="1:5" x14ac:dyDescent="0.25">
      <c r="A12703" t="s">
        <v>138</v>
      </c>
      <c r="B12703">
        <v>0.64</v>
      </c>
      <c r="C12703">
        <v>10400</v>
      </c>
      <c r="D12703" s="9">
        <v>41864</v>
      </c>
      <c r="E12703" t="s">
        <v>295</v>
      </c>
    </row>
    <row r="12704" spans="1:5" x14ac:dyDescent="0.25">
      <c r="A12704" t="s">
        <v>138</v>
      </c>
      <c r="B12704">
        <v>0.64</v>
      </c>
      <c r="C12704">
        <v>10400</v>
      </c>
      <c r="D12704" s="9">
        <v>41767</v>
      </c>
      <c r="E12704" t="s">
        <v>295</v>
      </c>
    </row>
    <row r="12705" spans="1:5" x14ac:dyDescent="0.25">
      <c r="A12705" t="s">
        <v>138</v>
      </c>
      <c r="B12705">
        <v>0.64</v>
      </c>
      <c r="C12705">
        <v>5200</v>
      </c>
      <c r="D12705" s="9">
        <v>41711</v>
      </c>
      <c r="E12705" t="s">
        <v>295</v>
      </c>
    </row>
    <row r="12706" spans="1:5" x14ac:dyDescent="0.25">
      <c r="A12706" t="s">
        <v>138</v>
      </c>
      <c r="B12706">
        <v>0.64</v>
      </c>
      <c r="C12706">
        <v>5000</v>
      </c>
      <c r="D12706" s="9">
        <v>41711</v>
      </c>
      <c r="E12706" t="s">
        <v>295</v>
      </c>
    </row>
    <row r="12707" spans="1:5" x14ac:dyDescent="0.25">
      <c r="A12707" t="s">
        <v>2417</v>
      </c>
      <c r="B12707">
        <v>2.23</v>
      </c>
      <c r="C12707">
        <v>7694</v>
      </c>
      <c r="D12707" s="9">
        <v>44020</v>
      </c>
      <c r="E12707" t="s">
        <v>295</v>
      </c>
    </row>
    <row r="12708" spans="1:5" x14ac:dyDescent="0.25">
      <c r="A12708" t="s">
        <v>2417</v>
      </c>
      <c r="B12708">
        <v>2.23</v>
      </c>
      <c r="C12708">
        <v>2576</v>
      </c>
      <c r="D12708" s="9">
        <v>43985</v>
      </c>
      <c r="E12708" t="s">
        <v>295</v>
      </c>
    </row>
    <row r="12709" spans="1:5" x14ac:dyDescent="0.25">
      <c r="A12709" t="s">
        <v>2417</v>
      </c>
      <c r="B12709">
        <v>2.33</v>
      </c>
      <c r="C12709">
        <v>2522</v>
      </c>
      <c r="D12709" s="9">
        <v>43819</v>
      </c>
      <c r="E12709" t="s">
        <v>295</v>
      </c>
    </row>
    <row r="12710" spans="1:5" x14ac:dyDescent="0.25">
      <c r="A12710" t="s">
        <v>2417</v>
      </c>
      <c r="B12710">
        <v>2.33</v>
      </c>
      <c r="C12710">
        <v>2520</v>
      </c>
      <c r="D12710" s="9">
        <v>43740</v>
      </c>
      <c r="E12710" t="s">
        <v>295</v>
      </c>
    </row>
    <row r="12711" spans="1:5" x14ac:dyDescent="0.25">
      <c r="A12711" t="s">
        <v>1625</v>
      </c>
      <c r="B12711">
        <v>5.6</v>
      </c>
      <c r="C12711">
        <v>1471</v>
      </c>
      <c r="D12711" s="9">
        <v>43727</v>
      </c>
      <c r="E12711" t="s">
        <v>295</v>
      </c>
    </row>
    <row r="12712" spans="1:5" x14ac:dyDescent="0.25">
      <c r="A12712" t="s">
        <v>1625</v>
      </c>
      <c r="B12712">
        <v>5.6</v>
      </c>
      <c r="C12712">
        <v>1463</v>
      </c>
      <c r="D12712" s="9">
        <v>43655</v>
      </c>
      <c r="E12712" t="s">
        <v>295</v>
      </c>
    </row>
    <row r="12713" spans="1:5" x14ac:dyDescent="0.25">
      <c r="A12713" t="s">
        <v>1625</v>
      </c>
      <c r="B12713">
        <v>5.6</v>
      </c>
      <c r="C12713">
        <v>1443</v>
      </c>
      <c r="D12713" s="9">
        <v>43640</v>
      </c>
      <c r="E12713" t="s">
        <v>295</v>
      </c>
    </row>
    <row r="12714" spans="1:5" x14ac:dyDescent="0.25">
      <c r="A12714" t="s">
        <v>1626</v>
      </c>
      <c r="B12714">
        <v>15.9</v>
      </c>
      <c r="C12714">
        <v>491</v>
      </c>
      <c r="D12714" s="9">
        <v>43647</v>
      </c>
      <c r="E12714" t="s">
        <v>295</v>
      </c>
    </row>
    <row r="12715" spans="1:5" x14ac:dyDescent="0.25">
      <c r="A12715" t="s">
        <v>2426</v>
      </c>
      <c r="B12715">
        <v>5.46</v>
      </c>
      <c r="C12715">
        <v>1450</v>
      </c>
      <c r="D12715" s="9">
        <v>43998</v>
      </c>
      <c r="E12715" t="s">
        <v>295</v>
      </c>
    </row>
    <row r="12716" spans="1:5" x14ac:dyDescent="0.25">
      <c r="A12716" t="s">
        <v>2426</v>
      </c>
      <c r="B12716">
        <v>5.46</v>
      </c>
      <c r="C12716">
        <v>1455</v>
      </c>
      <c r="D12716" s="9">
        <v>43910</v>
      </c>
      <c r="E12716" t="s">
        <v>295</v>
      </c>
    </row>
    <row r="12717" spans="1:5" x14ac:dyDescent="0.25">
      <c r="A12717" t="s">
        <v>2426</v>
      </c>
      <c r="B12717">
        <v>5.6</v>
      </c>
      <c r="C12717">
        <v>1487</v>
      </c>
      <c r="D12717" s="9">
        <v>43727</v>
      </c>
      <c r="E12717" t="s">
        <v>295</v>
      </c>
    </row>
    <row r="12718" spans="1:5" x14ac:dyDescent="0.25">
      <c r="A12718" t="s">
        <v>1627</v>
      </c>
      <c r="B12718">
        <v>2.11</v>
      </c>
      <c r="C12718">
        <v>2838</v>
      </c>
      <c r="D12718" s="9">
        <v>43615</v>
      </c>
      <c r="E12718" t="s">
        <v>295</v>
      </c>
    </row>
    <row r="12719" spans="1:5" x14ac:dyDescent="0.25">
      <c r="A12719" t="s">
        <v>2470</v>
      </c>
      <c r="B12719">
        <v>9.4499999999999993</v>
      </c>
      <c r="C12719">
        <v>1089</v>
      </c>
      <c r="D12719" s="9">
        <v>43768</v>
      </c>
      <c r="E12719" t="s">
        <v>295</v>
      </c>
    </row>
    <row r="12720" spans="1:5" x14ac:dyDescent="0.25">
      <c r="A12720" t="s">
        <v>2470</v>
      </c>
      <c r="B12720">
        <v>9.4499999999999993</v>
      </c>
      <c r="C12720">
        <v>537</v>
      </c>
      <c r="D12720" s="9">
        <v>43763</v>
      </c>
      <c r="E12720" t="s">
        <v>295</v>
      </c>
    </row>
    <row r="12721" spans="1:5" x14ac:dyDescent="0.25">
      <c r="A12721" t="s">
        <v>1628</v>
      </c>
      <c r="B12721">
        <v>11.33</v>
      </c>
      <c r="C12721">
        <v>480</v>
      </c>
      <c r="D12721" s="9">
        <v>43626</v>
      </c>
      <c r="E12721" t="s">
        <v>295</v>
      </c>
    </row>
    <row r="12722" spans="1:5" x14ac:dyDescent="0.25">
      <c r="A12722" t="s">
        <v>139</v>
      </c>
      <c r="B12722">
        <v>1.48</v>
      </c>
      <c r="C12722">
        <v>360</v>
      </c>
      <c r="D12722" s="9">
        <v>43052</v>
      </c>
      <c r="E12722" t="s">
        <v>295</v>
      </c>
    </row>
    <row r="12723" spans="1:5" x14ac:dyDescent="0.25">
      <c r="A12723" t="s">
        <v>140</v>
      </c>
      <c r="B12723">
        <v>1.49</v>
      </c>
      <c r="C12723">
        <v>4000</v>
      </c>
      <c r="D12723" s="9">
        <v>43732</v>
      </c>
      <c r="E12723" t="s">
        <v>295</v>
      </c>
    </row>
    <row r="12724" spans="1:5" x14ac:dyDescent="0.25">
      <c r="A12724" t="s">
        <v>140</v>
      </c>
      <c r="B12724">
        <v>1.39</v>
      </c>
      <c r="C12724">
        <v>910</v>
      </c>
      <c r="D12724" s="9">
        <v>43732</v>
      </c>
      <c r="E12724" t="s">
        <v>295</v>
      </c>
    </row>
    <row r="12725" spans="1:5" x14ac:dyDescent="0.25">
      <c r="A12725" t="s">
        <v>140</v>
      </c>
      <c r="B12725">
        <v>1.43</v>
      </c>
      <c r="C12725">
        <v>360</v>
      </c>
      <c r="D12725" s="9">
        <v>43052</v>
      </c>
      <c r="E12725" t="s">
        <v>295</v>
      </c>
    </row>
    <row r="12726" spans="1:5" x14ac:dyDescent="0.25">
      <c r="A12726" t="s">
        <v>141</v>
      </c>
      <c r="B12726">
        <v>1.62</v>
      </c>
      <c r="C12726">
        <v>360</v>
      </c>
      <c r="D12726" s="9">
        <v>43052</v>
      </c>
      <c r="E12726" t="s">
        <v>295</v>
      </c>
    </row>
    <row r="12727" spans="1:5" x14ac:dyDescent="0.25">
      <c r="A12727" t="s">
        <v>142</v>
      </c>
      <c r="B12727">
        <v>0.65</v>
      </c>
      <c r="C12727">
        <v>21840</v>
      </c>
      <c r="D12727" s="9">
        <v>43592</v>
      </c>
      <c r="E12727" t="s">
        <v>295</v>
      </c>
    </row>
    <row r="12728" spans="1:5" x14ac:dyDescent="0.25">
      <c r="A12728" t="s">
        <v>142</v>
      </c>
      <c r="B12728">
        <v>0.65</v>
      </c>
      <c r="C12728">
        <v>27580</v>
      </c>
      <c r="D12728" s="9">
        <v>43396</v>
      </c>
      <c r="E12728" t="s">
        <v>295</v>
      </c>
    </row>
    <row r="12729" spans="1:5" x14ac:dyDescent="0.25">
      <c r="A12729" t="s">
        <v>142</v>
      </c>
      <c r="B12729">
        <v>0.67</v>
      </c>
      <c r="C12729">
        <v>7280</v>
      </c>
      <c r="D12729" s="9">
        <v>43248</v>
      </c>
      <c r="E12729" t="s">
        <v>295</v>
      </c>
    </row>
    <row r="12730" spans="1:5" x14ac:dyDescent="0.25">
      <c r="A12730" t="s">
        <v>142</v>
      </c>
      <c r="B12730">
        <v>0.67</v>
      </c>
      <c r="C12730">
        <v>10920</v>
      </c>
      <c r="D12730" s="9">
        <v>43227</v>
      </c>
      <c r="E12730" t="s">
        <v>295</v>
      </c>
    </row>
    <row r="12731" spans="1:5" x14ac:dyDescent="0.25">
      <c r="A12731" t="s">
        <v>142</v>
      </c>
      <c r="B12731">
        <v>0.67</v>
      </c>
      <c r="C12731">
        <v>18200</v>
      </c>
      <c r="D12731" s="9">
        <v>43067</v>
      </c>
      <c r="E12731" t="s">
        <v>295</v>
      </c>
    </row>
    <row r="12732" spans="1:5" x14ac:dyDescent="0.25">
      <c r="A12732" t="s">
        <v>142</v>
      </c>
      <c r="B12732">
        <v>0.67</v>
      </c>
      <c r="C12732">
        <v>25480</v>
      </c>
      <c r="D12732" s="9">
        <v>42872</v>
      </c>
      <c r="E12732" t="s">
        <v>295</v>
      </c>
    </row>
    <row r="12733" spans="1:5" x14ac:dyDescent="0.25">
      <c r="A12733" t="s">
        <v>142</v>
      </c>
      <c r="B12733">
        <v>0.67</v>
      </c>
      <c r="C12733">
        <v>25480</v>
      </c>
      <c r="D12733" s="9">
        <v>42843</v>
      </c>
      <c r="E12733" t="s">
        <v>295</v>
      </c>
    </row>
    <row r="12734" spans="1:5" x14ac:dyDescent="0.25">
      <c r="A12734" t="s">
        <v>142</v>
      </c>
      <c r="B12734">
        <v>0.67</v>
      </c>
      <c r="C12734">
        <v>18200</v>
      </c>
      <c r="D12734" s="9">
        <v>42549</v>
      </c>
      <c r="E12734" t="s">
        <v>295</v>
      </c>
    </row>
    <row r="12735" spans="1:5" x14ac:dyDescent="0.25">
      <c r="A12735" t="s">
        <v>142</v>
      </c>
      <c r="B12735">
        <v>0.67</v>
      </c>
      <c r="C12735">
        <v>18200</v>
      </c>
      <c r="D12735" s="9">
        <v>42331</v>
      </c>
      <c r="E12735" t="s">
        <v>295</v>
      </c>
    </row>
    <row r="12736" spans="1:5" x14ac:dyDescent="0.25">
      <c r="A12736" t="s">
        <v>142</v>
      </c>
      <c r="B12736">
        <v>0.67</v>
      </c>
      <c r="C12736">
        <v>18200</v>
      </c>
      <c r="D12736" s="9">
        <v>42171</v>
      </c>
      <c r="E12736" t="s">
        <v>295</v>
      </c>
    </row>
    <row r="12737" spans="1:5" x14ac:dyDescent="0.25">
      <c r="A12737" t="s">
        <v>142</v>
      </c>
      <c r="B12737">
        <v>0.64</v>
      </c>
      <c r="C12737">
        <v>18200</v>
      </c>
      <c r="D12737" s="9">
        <v>42059</v>
      </c>
      <c r="E12737" t="s">
        <v>295</v>
      </c>
    </row>
    <row r="12738" spans="1:5" x14ac:dyDescent="0.25">
      <c r="A12738" t="s">
        <v>142</v>
      </c>
      <c r="B12738">
        <v>0.64</v>
      </c>
      <c r="C12738">
        <v>18200</v>
      </c>
      <c r="D12738" s="9">
        <v>41767</v>
      </c>
      <c r="E12738" t="s">
        <v>295</v>
      </c>
    </row>
    <row r="12739" spans="1:5" x14ac:dyDescent="0.25">
      <c r="A12739" t="s">
        <v>142</v>
      </c>
      <c r="B12739">
        <v>0.64</v>
      </c>
      <c r="C12739">
        <v>18200</v>
      </c>
      <c r="D12739" s="9">
        <v>41711</v>
      </c>
      <c r="E12739" t="s">
        <v>295</v>
      </c>
    </row>
    <row r="12740" spans="1:5" x14ac:dyDescent="0.25">
      <c r="A12740" t="s">
        <v>2418</v>
      </c>
      <c r="B12740">
        <v>0.65</v>
      </c>
      <c r="C12740">
        <v>26000</v>
      </c>
      <c r="D12740" s="9">
        <v>44123</v>
      </c>
      <c r="E12740" t="s">
        <v>295</v>
      </c>
    </row>
    <row r="12741" spans="1:5" x14ac:dyDescent="0.25">
      <c r="A12741" t="s">
        <v>2418</v>
      </c>
      <c r="B12741">
        <v>0.65</v>
      </c>
      <c r="C12741">
        <v>26500</v>
      </c>
      <c r="D12741" s="9">
        <v>44020</v>
      </c>
      <c r="E12741" t="s">
        <v>295</v>
      </c>
    </row>
    <row r="12742" spans="1:5" x14ac:dyDescent="0.25">
      <c r="A12742" t="s">
        <v>2418</v>
      </c>
      <c r="B12742">
        <v>0.65</v>
      </c>
      <c r="C12742">
        <v>15900</v>
      </c>
      <c r="D12742" s="9">
        <v>43956</v>
      </c>
      <c r="E12742" t="s">
        <v>295</v>
      </c>
    </row>
    <row r="12743" spans="1:5" x14ac:dyDescent="0.25">
      <c r="A12743" t="s">
        <v>2418</v>
      </c>
      <c r="B12743">
        <v>0.65</v>
      </c>
      <c r="C12743">
        <v>10600</v>
      </c>
      <c r="D12743" s="9">
        <v>43873</v>
      </c>
      <c r="E12743" t="s">
        <v>295</v>
      </c>
    </row>
    <row r="12744" spans="1:5" x14ac:dyDescent="0.25">
      <c r="A12744" t="s">
        <v>2418</v>
      </c>
      <c r="B12744">
        <v>0.65</v>
      </c>
      <c r="C12744">
        <v>15900</v>
      </c>
      <c r="D12744" s="9">
        <v>43861</v>
      </c>
      <c r="E12744" t="s">
        <v>295</v>
      </c>
    </row>
    <row r="12745" spans="1:5" x14ac:dyDescent="0.25">
      <c r="A12745" t="s">
        <v>2418</v>
      </c>
      <c r="B12745">
        <v>0.65</v>
      </c>
      <c r="C12745">
        <v>15900</v>
      </c>
      <c r="D12745" s="9">
        <v>43768</v>
      </c>
      <c r="E12745" t="s">
        <v>295</v>
      </c>
    </row>
    <row r="12746" spans="1:5" x14ac:dyDescent="0.25">
      <c r="A12746" t="s">
        <v>2418</v>
      </c>
      <c r="B12746">
        <v>0.65</v>
      </c>
      <c r="C12746">
        <v>5300</v>
      </c>
      <c r="D12746" s="9">
        <v>43717</v>
      </c>
      <c r="E12746" t="s">
        <v>295</v>
      </c>
    </row>
    <row r="12747" spans="1:5" x14ac:dyDescent="0.25">
      <c r="A12747" t="s">
        <v>2418</v>
      </c>
      <c r="B12747">
        <v>0.65</v>
      </c>
      <c r="C12747">
        <v>5300</v>
      </c>
      <c r="D12747" s="9">
        <v>43661</v>
      </c>
      <c r="E12747" t="s">
        <v>295</v>
      </c>
    </row>
    <row r="12748" spans="1:5" x14ac:dyDescent="0.25">
      <c r="A12748" t="s">
        <v>143</v>
      </c>
      <c r="B12748">
        <v>15.47</v>
      </c>
      <c r="C12748">
        <v>10</v>
      </c>
      <c r="D12748" s="9">
        <v>42335</v>
      </c>
      <c r="E12748" t="s">
        <v>295</v>
      </c>
    </row>
    <row r="12749" spans="1:5" x14ac:dyDescent="0.25">
      <c r="A12749" t="s">
        <v>144</v>
      </c>
      <c r="B12749">
        <v>29.95</v>
      </c>
      <c r="C12749">
        <v>15</v>
      </c>
      <c r="D12749" s="9">
        <v>42335</v>
      </c>
      <c r="E12749" t="s">
        <v>295</v>
      </c>
    </row>
    <row r="12750" spans="1:5" x14ac:dyDescent="0.25">
      <c r="A12750" t="s">
        <v>145</v>
      </c>
      <c r="B12750">
        <v>9.73</v>
      </c>
      <c r="C12750">
        <v>45</v>
      </c>
      <c r="D12750" s="9">
        <v>42998</v>
      </c>
      <c r="E12750" t="s">
        <v>295</v>
      </c>
    </row>
    <row r="12751" spans="1:5" x14ac:dyDescent="0.25">
      <c r="A12751" t="s">
        <v>146</v>
      </c>
      <c r="B12751">
        <v>8.69</v>
      </c>
      <c r="C12751">
        <v>384</v>
      </c>
      <c r="D12751" s="9">
        <v>42254</v>
      </c>
      <c r="E12751" t="s">
        <v>295</v>
      </c>
    </row>
    <row r="12752" spans="1:5" x14ac:dyDescent="0.25">
      <c r="A12752" t="s">
        <v>148</v>
      </c>
      <c r="B12752">
        <v>8.94</v>
      </c>
      <c r="C12752">
        <v>96</v>
      </c>
      <c r="D12752" s="9">
        <v>42254</v>
      </c>
      <c r="E12752" t="s">
        <v>295</v>
      </c>
    </row>
    <row r="12753" spans="1:5" x14ac:dyDescent="0.25">
      <c r="A12753" t="s">
        <v>149</v>
      </c>
      <c r="B12753">
        <v>8.94</v>
      </c>
      <c r="C12753">
        <v>192</v>
      </c>
      <c r="D12753" s="9">
        <v>42254</v>
      </c>
      <c r="E12753" t="s">
        <v>295</v>
      </c>
    </row>
    <row r="12754" spans="1:5" x14ac:dyDescent="0.25">
      <c r="A12754" t="s">
        <v>150</v>
      </c>
      <c r="B12754">
        <v>8.48</v>
      </c>
      <c r="C12754">
        <v>96</v>
      </c>
      <c r="D12754" s="9">
        <v>42254</v>
      </c>
      <c r="E12754" t="s">
        <v>295</v>
      </c>
    </row>
    <row r="12755" spans="1:5" x14ac:dyDescent="0.25">
      <c r="A12755" t="s">
        <v>151</v>
      </c>
      <c r="B12755">
        <v>8.48</v>
      </c>
      <c r="C12755">
        <v>96</v>
      </c>
      <c r="D12755" s="9">
        <v>42254</v>
      </c>
      <c r="E12755" t="s">
        <v>295</v>
      </c>
    </row>
    <row r="12756" spans="1:5" x14ac:dyDescent="0.25">
      <c r="A12756" t="s">
        <v>152</v>
      </c>
      <c r="B12756">
        <v>8.1</v>
      </c>
      <c r="C12756">
        <v>192</v>
      </c>
      <c r="D12756" s="9">
        <v>42254</v>
      </c>
      <c r="E12756" t="s">
        <v>295</v>
      </c>
    </row>
    <row r="12757" spans="1:5" x14ac:dyDescent="0.25">
      <c r="A12757" t="s">
        <v>153</v>
      </c>
      <c r="B12757">
        <v>10.6</v>
      </c>
      <c r="C12757">
        <v>120</v>
      </c>
      <c r="D12757" s="9">
        <v>42254</v>
      </c>
      <c r="E12757" t="s">
        <v>295</v>
      </c>
    </row>
    <row r="12758" spans="1:5" x14ac:dyDescent="0.25">
      <c r="A12758" t="s">
        <v>154</v>
      </c>
      <c r="B12758">
        <v>10.45</v>
      </c>
      <c r="C12758">
        <v>240</v>
      </c>
      <c r="D12758" s="9">
        <v>42254</v>
      </c>
      <c r="E12758" t="s">
        <v>295</v>
      </c>
    </row>
    <row r="12759" spans="1:5" x14ac:dyDescent="0.25">
      <c r="A12759" t="s">
        <v>155</v>
      </c>
      <c r="B12759">
        <v>10.6</v>
      </c>
      <c r="C12759">
        <v>60</v>
      </c>
      <c r="D12759" s="9">
        <v>42254</v>
      </c>
      <c r="E12759" t="s">
        <v>295</v>
      </c>
    </row>
    <row r="12760" spans="1:5" x14ac:dyDescent="0.25">
      <c r="A12760" t="s">
        <v>156</v>
      </c>
      <c r="B12760">
        <v>26.91</v>
      </c>
      <c r="C12760">
        <v>48</v>
      </c>
      <c r="D12760" s="9">
        <v>42254</v>
      </c>
      <c r="E12760" t="s">
        <v>295</v>
      </c>
    </row>
    <row r="12761" spans="1:5" x14ac:dyDescent="0.25">
      <c r="A12761" t="s">
        <v>157</v>
      </c>
      <c r="B12761">
        <v>20.28</v>
      </c>
      <c r="C12761">
        <v>60</v>
      </c>
      <c r="D12761" s="9">
        <v>42254</v>
      </c>
      <c r="E12761" t="s">
        <v>295</v>
      </c>
    </row>
    <row r="12762" spans="1:5" x14ac:dyDescent="0.25">
      <c r="A12762" t="s">
        <v>158</v>
      </c>
      <c r="B12762">
        <v>24.1</v>
      </c>
      <c r="C12762">
        <v>30</v>
      </c>
      <c r="D12762" s="9">
        <v>42254</v>
      </c>
      <c r="E12762" t="s">
        <v>295</v>
      </c>
    </row>
    <row r="12763" spans="1:5" x14ac:dyDescent="0.25">
      <c r="A12763" t="s">
        <v>159</v>
      </c>
      <c r="B12763">
        <v>28.42</v>
      </c>
      <c r="C12763">
        <v>24</v>
      </c>
      <c r="D12763" s="9">
        <v>42254</v>
      </c>
      <c r="E12763" t="s">
        <v>295</v>
      </c>
    </row>
    <row r="12764" spans="1:5" x14ac:dyDescent="0.25">
      <c r="A12764" t="s">
        <v>160</v>
      </c>
      <c r="B12764">
        <v>6.5</v>
      </c>
      <c r="C12764">
        <v>80</v>
      </c>
      <c r="D12764" s="9">
        <v>43473</v>
      </c>
      <c r="E12764" t="s">
        <v>295</v>
      </c>
    </row>
    <row r="12765" spans="1:5" x14ac:dyDescent="0.25">
      <c r="A12765" t="s">
        <v>160</v>
      </c>
      <c r="B12765">
        <v>6.2</v>
      </c>
      <c r="C12765">
        <v>50</v>
      </c>
      <c r="D12765" s="9">
        <v>43119</v>
      </c>
      <c r="E12765" t="s">
        <v>295</v>
      </c>
    </row>
    <row r="12766" spans="1:5" x14ac:dyDescent="0.25">
      <c r="A12766" t="s">
        <v>161</v>
      </c>
      <c r="B12766">
        <v>11.6</v>
      </c>
      <c r="C12766">
        <v>80</v>
      </c>
      <c r="D12766" s="9">
        <v>43473</v>
      </c>
      <c r="E12766" t="s">
        <v>295</v>
      </c>
    </row>
    <row r="12767" spans="1:5" x14ac:dyDescent="0.25">
      <c r="A12767" t="s">
        <v>161</v>
      </c>
      <c r="B12767">
        <v>11.05</v>
      </c>
      <c r="C12767">
        <v>50</v>
      </c>
      <c r="D12767" s="9">
        <v>43119</v>
      </c>
      <c r="E12767" t="s">
        <v>295</v>
      </c>
    </row>
    <row r="12768" spans="1:5" x14ac:dyDescent="0.25">
      <c r="A12768" t="s">
        <v>2543</v>
      </c>
      <c r="B12768">
        <v>14.01</v>
      </c>
      <c r="C12768">
        <v>12</v>
      </c>
      <c r="D12768" s="9">
        <v>43753</v>
      </c>
      <c r="E12768" t="s">
        <v>295</v>
      </c>
    </row>
    <row r="12769" spans="1:5" x14ac:dyDescent="0.25">
      <c r="A12769" t="s">
        <v>2543</v>
      </c>
      <c r="B12769">
        <v>14.01</v>
      </c>
      <c r="C12769">
        <v>24</v>
      </c>
      <c r="D12769" s="9">
        <v>43748</v>
      </c>
      <c r="E12769" t="s">
        <v>295</v>
      </c>
    </row>
    <row r="12770" spans="1:5" x14ac:dyDescent="0.25">
      <c r="A12770" t="s">
        <v>162</v>
      </c>
      <c r="B12770">
        <v>11.6</v>
      </c>
      <c r="C12770">
        <v>50</v>
      </c>
      <c r="D12770" s="9">
        <v>43049</v>
      </c>
      <c r="E12770" t="s">
        <v>295</v>
      </c>
    </row>
    <row r="12771" spans="1:5" x14ac:dyDescent="0.25">
      <c r="A12771" t="s">
        <v>163</v>
      </c>
      <c r="B12771">
        <v>13.06</v>
      </c>
      <c r="C12771">
        <v>60</v>
      </c>
      <c r="D12771" s="9">
        <v>43047</v>
      </c>
      <c r="E12771" t="s">
        <v>295</v>
      </c>
    </row>
    <row r="12772" spans="1:5" x14ac:dyDescent="0.25">
      <c r="A12772" t="s">
        <v>2500</v>
      </c>
      <c r="B12772">
        <v>150.4</v>
      </c>
      <c r="C12772">
        <v>1</v>
      </c>
      <c r="D12772" s="9">
        <v>43264</v>
      </c>
      <c r="E12772" t="s">
        <v>296</v>
      </c>
    </row>
    <row r="12773" spans="1:5" x14ac:dyDescent="0.25">
      <c r="A12773" t="s">
        <v>2500</v>
      </c>
      <c r="B12773">
        <v>67.5</v>
      </c>
      <c r="C12773">
        <v>1</v>
      </c>
      <c r="D12773" s="9">
        <v>43017</v>
      </c>
      <c r="E12773" t="s">
        <v>296</v>
      </c>
    </row>
    <row r="12774" spans="1:5" x14ac:dyDescent="0.25">
      <c r="A12774" t="s">
        <v>2500</v>
      </c>
      <c r="B12774">
        <v>11</v>
      </c>
      <c r="C12774">
        <v>1</v>
      </c>
      <c r="D12774" s="9">
        <v>41934</v>
      </c>
      <c r="E12774" t="s">
        <v>295</v>
      </c>
    </row>
    <row r="12775" spans="1:5" x14ac:dyDescent="0.25">
      <c r="A12775" t="s">
        <v>2500</v>
      </c>
      <c r="B12775">
        <v>11</v>
      </c>
      <c r="C12775">
        <v>1</v>
      </c>
      <c r="D12775" s="9">
        <v>41778</v>
      </c>
      <c r="E12775" t="s">
        <v>295</v>
      </c>
    </row>
    <row r="12776" spans="1:5" x14ac:dyDescent="0.25">
      <c r="A12776" t="s">
        <v>2501</v>
      </c>
      <c r="B12776">
        <v>75</v>
      </c>
      <c r="C12776">
        <v>1</v>
      </c>
      <c r="D12776" s="9">
        <v>43012</v>
      </c>
      <c r="E12776" t="s">
        <v>295</v>
      </c>
    </row>
    <row r="12777" spans="1:5" x14ac:dyDescent="0.25">
      <c r="A12777" t="s">
        <v>2502</v>
      </c>
      <c r="B12777">
        <v>345</v>
      </c>
      <c r="C12777">
        <v>1</v>
      </c>
      <c r="D12777" s="9">
        <v>43661</v>
      </c>
      <c r="E12777" t="s">
        <v>295</v>
      </c>
    </row>
    <row r="12778" spans="1:5" x14ac:dyDescent="0.25">
      <c r="A12778" t="s">
        <v>2502</v>
      </c>
      <c r="B12778">
        <v>441</v>
      </c>
      <c r="C12778">
        <v>1</v>
      </c>
      <c r="D12778" s="9">
        <v>43406</v>
      </c>
      <c r="E12778" t="s">
        <v>295</v>
      </c>
    </row>
    <row r="12779" spans="1:5" x14ac:dyDescent="0.25">
      <c r="A12779" t="s">
        <v>2502</v>
      </c>
      <c r="B12779">
        <v>87</v>
      </c>
      <c r="C12779">
        <v>1</v>
      </c>
      <c r="D12779" s="9">
        <v>43406</v>
      </c>
      <c r="E12779" t="s">
        <v>295</v>
      </c>
    </row>
    <row r="12780" spans="1:5" x14ac:dyDescent="0.25">
      <c r="A12780" t="s">
        <v>2502</v>
      </c>
      <c r="B12780">
        <v>254.6</v>
      </c>
      <c r="C12780">
        <v>1</v>
      </c>
      <c r="D12780" s="9">
        <v>43406</v>
      </c>
      <c r="E12780" t="s">
        <v>295</v>
      </c>
    </row>
    <row r="12781" spans="1:5" x14ac:dyDescent="0.25">
      <c r="A12781" t="s">
        <v>2502</v>
      </c>
      <c r="B12781">
        <v>1225</v>
      </c>
      <c r="C12781">
        <v>1</v>
      </c>
      <c r="D12781" s="9">
        <v>43026</v>
      </c>
      <c r="E12781" t="s">
        <v>295</v>
      </c>
    </row>
    <row r="12782" spans="1:5" x14ac:dyDescent="0.25">
      <c r="A12782" t="s">
        <v>2502</v>
      </c>
      <c r="B12782">
        <v>0.48899999999999999</v>
      </c>
      <c r="C12782">
        <v>1</v>
      </c>
      <c r="D12782" s="9">
        <v>42986</v>
      </c>
      <c r="E12782" t="s">
        <v>295</v>
      </c>
    </row>
    <row r="12783" spans="1:5" x14ac:dyDescent="0.25">
      <c r="A12783" t="s">
        <v>2502</v>
      </c>
      <c r="B12783">
        <v>320</v>
      </c>
      <c r="C12783">
        <v>1</v>
      </c>
      <c r="D12783" s="9">
        <v>42985</v>
      </c>
      <c r="E12783" t="s">
        <v>295</v>
      </c>
    </row>
    <row r="12784" spans="1:5" x14ac:dyDescent="0.25">
      <c r="A12784" t="s">
        <v>2502</v>
      </c>
      <c r="B12784">
        <v>540</v>
      </c>
      <c r="C12784">
        <v>1</v>
      </c>
      <c r="D12784" s="9">
        <v>42891</v>
      </c>
      <c r="E12784" t="s">
        <v>295</v>
      </c>
    </row>
    <row r="12785" spans="1:5" x14ac:dyDescent="0.25">
      <c r="A12785" t="s">
        <v>2502</v>
      </c>
      <c r="B12785">
        <v>72</v>
      </c>
      <c r="C12785">
        <v>1</v>
      </c>
      <c r="D12785" s="9">
        <v>42859</v>
      </c>
      <c r="E12785" t="s">
        <v>295</v>
      </c>
    </row>
    <row r="12786" spans="1:5" x14ac:dyDescent="0.25">
      <c r="A12786" t="s">
        <v>2502</v>
      </c>
      <c r="B12786">
        <v>312</v>
      </c>
      <c r="C12786">
        <v>1</v>
      </c>
      <c r="D12786" s="9">
        <v>42846</v>
      </c>
      <c r="E12786" t="s">
        <v>295</v>
      </c>
    </row>
    <row r="12787" spans="1:5" x14ac:dyDescent="0.25">
      <c r="A12787" t="s">
        <v>2502</v>
      </c>
      <c r="B12787">
        <v>664</v>
      </c>
      <c r="C12787">
        <v>1</v>
      </c>
      <c r="D12787" s="9">
        <v>42828</v>
      </c>
      <c r="E12787" t="s">
        <v>295</v>
      </c>
    </row>
    <row r="12788" spans="1:5" x14ac:dyDescent="0.25">
      <c r="A12788" t="s">
        <v>2502</v>
      </c>
      <c r="B12788">
        <v>80</v>
      </c>
      <c r="C12788">
        <v>1</v>
      </c>
      <c r="D12788" s="9">
        <v>42781</v>
      </c>
      <c r="E12788" t="s">
        <v>295</v>
      </c>
    </row>
    <row r="12789" spans="1:5" x14ac:dyDescent="0.25">
      <c r="A12789" t="s">
        <v>2502</v>
      </c>
      <c r="B12789">
        <v>130</v>
      </c>
      <c r="C12789">
        <v>1</v>
      </c>
      <c r="D12789" s="9">
        <v>42745</v>
      </c>
      <c r="E12789" t="s">
        <v>295</v>
      </c>
    </row>
    <row r="12790" spans="1:5" x14ac:dyDescent="0.25">
      <c r="A12790" t="s">
        <v>2502</v>
      </c>
      <c r="B12790">
        <v>50</v>
      </c>
      <c r="C12790">
        <v>1</v>
      </c>
      <c r="D12790" s="9">
        <v>42719</v>
      </c>
      <c r="E12790" t="s">
        <v>295</v>
      </c>
    </row>
    <row r="12791" spans="1:5" x14ac:dyDescent="0.25">
      <c r="A12791" t="s">
        <v>2502</v>
      </c>
      <c r="B12791">
        <v>50</v>
      </c>
      <c r="C12791">
        <v>1</v>
      </c>
      <c r="D12791" s="9">
        <v>42696</v>
      </c>
      <c r="E12791" t="s">
        <v>295</v>
      </c>
    </row>
    <row r="12792" spans="1:5" x14ac:dyDescent="0.25">
      <c r="A12792" t="s">
        <v>2502</v>
      </c>
      <c r="B12792">
        <v>130</v>
      </c>
      <c r="C12792">
        <v>1</v>
      </c>
      <c r="D12792" s="9">
        <v>42690</v>
      </c>
      <c r="E12792" t="s">
        <v>295</v>
      </c>
    </row>
    <row r="12793" spans="1:5" x14ac:dyDescent="0.25">
      <c r="A12793" t="s">
        <v>2502</v>
      </c>
      <c r="B12793">
        <v>215</v>
      </c>
      <c r="C12793">
        <v>1</v>
      </c>
      <c r="D12793" s="9">
        <v>42682</v>
      </c>
      <c r="E12793" t="s">
        <v>295</v>
      </c>
    </row>
    <row r="12794" spans="1:5" x14ac:dyDescent="0.25">
      <c r="A12794" t="s">
        <v>2502</v>
      </c>
      <c r="B12794">
        <v>71</v>
      </c>
      <c r="C12794">
        <v>1</v>
      </c>
      <c r="D12794" s="9">
        <v>42682</v>
      </c>
      <c r="E12794" t="s">
        <v>295</v>
      </c>
    </row>
    <row r="12795" spans="1:5" x14ac:dyDescent="0.25">
      <c r="A12795" t="s">
        <v>2502</v>
      </c>
      <c r="B12795">
        <v>81.3</v>
      </c>
      <c r="C12795">
        <v>1</v>
      </c>
      <c r="D12795" s="9">
        <v>42647</v>
      </c>
      <c r="E12795" t="s">
        <v>295</v>
      </c>
    </row>
    <row r="12796" spans="1:5" x14ac:dyDescent="0.25">
      <c r="A12796" t="s">
        <v>2502</v>
      </c>
      <c r="B12796">
        <v>14</v>
      </c>
      <c r="C12796">
        <v>1</v>
      </c>
      <c r="D12796" s="9">
        <v>42632</v>
      </c>
      <c r="E12796" t="s">
        <v>295</v>
      </c>
    </row>
    <row r="12797" spans="1:5" x14ac:dyDescent="0.25">
      <c r="A12797" t="s">
        <v>2502</v>
      </c>
      <c r="B12797">
        <v>75</v>
      </c>
      <c r="C12797">
        <v>1</v>
      </c>
      <c r="D12797" s="9">
        <v>42622</v>
      </c>
      <c r="E12797" t="s">
        <v>295</v>
      </c>
    </row>
    <row r="12798" spans="1:5" x14ac:dyDescent="0.25">
      <c r="A12798" t="s">
        <v>2502</v>
      </c>
      <c r="B12798">
        <v>280</v>
      </c>
      <c r="C12798">
        <v>1</v>
      </c>
      <c r="D12798" s="9">
        <v>42605</v>
      </c>
      <c r="E12798" t="s">
        <v>295</v>
      </c>
    </row>
    <row r="12799" spans="1:5" x14ac:dyDescent="0.25">
      <c r="A12799" t="s">
        <v>2502</v>
      </c>
      <c r="B12799">
        <v>450</v>
      </c>
      <c r="C12799">
        <v>1</v>
      </c>
      <c r="D12799" s="9">
        <v>42585</v>
      </c>
      <c r="E12799" t="s">
        <v>295</v>
      </c>
    </row>
    <row r="12800" spans="1:5" x14ac:dyDescent="0.25">
      <c r="A12800" t="s">
        <v>2502</v>
      </c>
      <c r="B12800">
        <v>95.46</v>
      </c>
      <c r="C12800">
        <v>1</v>
      </c>
      <c r="D12800" s="9">
        <v>42580</v>
      </c>
      <c r="E12800" t="s">
        <v>297</v>
      </c>
    </row>
    <row r="12801" spans="1:5" x14ac:dyDescent="0.25">
      <c r="A12801" t="s">
        <v>2502</v>
      </c>
      <c r="B12801">
        <v>1300</v>
      </c>
      <c r="C12801">
        <v>1</v>
      </c>
      <c r="D12801" s="9">
        <v>42580</v>
      </c>
      <c r="E12801" t="s">
        <v>295</v>
      </c>
    </row>
    <row r="12802" spans="1:5" x14ac:dyDescent="0.25">
      <c r="A12802" t="s">
        <v>2502</v>
      </c>
      <c r="B12802">
        <v>702</v>
      </c>
      <c r="C12802">
        <v>1</v>
      </c>
      <c r="D12802" s="9">
        <v>42580</v>
      </c>
      <c r="E12802" t="s">
        <v>295</v>
      </c>
    </row>
    <row r="12803" spans="1:5" x14ac:dyDescent="0.25">
      <c r="A12803" t="s">
        <v>2502</v>
      </c>
      <c r="B12803">
        <v>16</v>
      </c>
      <c r="C12803">
        <v>2</v>
      </c>
      <c r="D12803" s="9">
        <v>42577</v>
      </c>
      <c r="E12803" t="s">
        <v>295</v>
      </c>
    </row>
    <row r="12804" spans="1:5" x14ac:dyDescent="0.25">
      <c r="A12804" t="s">
        <v>2502</v>
      </c>
      <c r="B12804">
        <v>525</v>
      </c>
      <c r="C12804">
        <v>1</v>
      </c>
      <c r="D12804" s="9">
        <v>42555</v>
      </c>
      <c r="E12804" t="s">
        <v>295</v>
      </c>
    </row>
    <row r="12805" spans="1:5" x14ac:dyDescent="0.25">
      <c r="A12805" t="s">
        <v>2502</v>
      </c>
      <c r="B12805">
        <v>634</v>
      </c>
      <c r="C12805">
        <v>1</v>
      </c>
      <c r="D12805" s="9">
        <v>42543</v>
      </c>
      <c r="E12805" t="s">
        <v>295</v>
      </c>
    </row>
    <row r="12806" spans="1:5" x14ac:dyDescent="0.25">
      <c r="A12806" t="s">
        <v>2502</v>
      </c>
      <c r="B12806">
        <v>213.97</v>
      </c>
      <c r="C12806">
        <v>1</v>
      </c>
      <c r="D12806" s="9">
        <v>42536</v>
      </c>
      <c r="E12806" t="s">
        <v>297</v>
      </c>
    </row>
    <row r="12807" spans="1:5" x14ac:dyDescent="0.25">
      <c r="A12807" t="s">
        <v>2502</v>
      </c>
      <c r="B12807">
        <v>645</v>
      </c>
      <c r="C12807">
        <v>1</v>
      </c>
      <c r="D12807" s="9">
        <v>42521</v>
      </c>
      <c r="E12807" t="s">
        <v>295</v>
      </c>
    </row>
    <row r="12808" spans="1:5" x14ac:dyDescent="0.25">
      <c r="A12808" t="s">
        <v>2502</v>
      </c>
      <c r="B12808">
        <v>124.37</v>
      </c>
      <c r="C12808">
        <v>1</v>
      </c>
      <c r="D12808" s="9">
        <v>42521</v>
      </c>
      <c r="E12808" t="s">
        <v>297</v>
      </c>
    </row>
    <row r="12809" spans="1:5" x14ac:dyDescent="0.25">
      <c r="A12809" t="s">
        <v>2502</v>
      </c>
      <c r="B12809">
        <v>1620</v>
      </c>
      <c r="C12809">
        <v>1</v>
      </c>
      <c r="D12809" s="9">
        <v>42521</v>
      </c>
      <c r="E12809" t="s">
        <v>295</v>
      </c>
    </row>
    <row r="12810" spans="1:5" x14ac:dyDescent="0.25">
      <c r="A12810" t="s">
        <v>2502</v>
      </c>
      <c r="B12810">
        <v>16</v>
      </c>
      <c r="C12810">
        <v>1</v>
      </c>
      <c r="D12810" s="9">
        <v>42507</v>
      </c>
      <c r="E12810" t="s">
        <v>295</v>
      </c>
    </row>
    <row r="12811" spans="1:5" x14ac:dyDescent="0.25">
      <c r="A12811" t="s">
        <v>2502</v>
      </c>
      <c r="B12811">
        <v>30</v>
      </c>
      <c r="C12811">
        <v>1</v>
      </c>
      <c r="D12811" s="9">
        <v>42500</v>
      </c>
      <c r="E12811" t="s">
        <v>295</v>
      </c>
    </row>
    <row r="12812" spans="1:5" x14ac:dyDescent="0.25">
      <c r="A12812" t="s">
        <v>2502</v>
      </c>
      <c r="B12812">
        <v>153.80000000000001</v>
      </c>
      <c r="C12812">
        <v>1</v>
      </c>
      <c r="D12812" s="9">
        <v>42499</v>
      </c>
      <c r="E12812" t="s">
        <v>295</v>
      </c>
    </row>
    <row r="12813" spans="1:5" x14ac:dyDescent="0.25">
      <c r="A12813" t="s">
        <v>2502</v>
      </c>
      <c r="B12813">
        <v>280</v>
      </c>
      <c r="C12813">
        <v>1</v>
      </c>
      <c r="D12813" s="9">
        <v>42494</v>
      </c>
      <c r="E12813" t="s">
        <v>295</v>
      </c>
    </row>
    <row r="12814" spans="1:5" x14ac:dyDescent="0.25">
      <c r="A12814" t="s">
        <v>2502</v>
      </c>
      <c r="B12814">
        <v>389</v>
      </c>
      <c r="C12814">
        <v>1</v>
      </c>
      <c r="D12814" s="9">
        <v>42490</v>
      </c>
      <c r="E12814" t="s">
        <v>295</v>
      </c>
    </row>
    <row r="12815" spans="1:5" x14ac:dyDescent="0.25">
      <c r="A12815" t="s">
        <v>2502</v>
      </c>
      <c r="B12815">
        <v>152.5</v>
      </c>
      <c r="C12815">
        <v>1</v>
      </c>
      <c r="D12815" s="9">
        <v>42475</v>
      </c>
      <c r="E12815" t="s">
        <v>297</v>
      </c>
    </row>
    <row r="12816" spans="1:5" x14ac:dyDescent="0.25">
      <c r="A12816" t="s">
        <v>2502</v>
      </c>
      <c r="B12816">
        <v>105.5</v>
      </c>
      <c r="C12816">
        <v>1</v>
      </c>
      <c r="D12816" s="9">
        <v>42460</v>
      </c>
      <c r="E12816" t="s">
        <v>297</v>
      </c>
    </row>
    <row r="12817" spans="1:5" x14ac:dyDescent="0.25">
      <c r="A12817" t="s">
        <v>2502</v>
      </c>
      <c r="B12817">
        <v>36</v>
      </c>
      <c r="C12817">
        <v>1</v>
      </c>
      <c r="D12817" s="9">
        <v>42445</v>
      </c>
      <c r="E12817" t="s">
        <v>295</v>
      </c>
    </row>
    <row r="12818" spans="1:5" x14ac:dyDescent="0.25">
      <c r="A12818" t="s">
        <v>2502</v>
      </c>
      <c r="B12818">
        <v>1345</v>
      </c>
      <c r="C12818">
        <v>1</v>
      </c>
      <c r="D12818" s="9">
        <v>42366</v>
      </c>
      <c r="E12818" t="s">
        <v>295</v>
      </c>
    </row>
    <row r="12819" spans="1:5" x14ac:dyDescent="0.25">
      <c r="A12819" t="s">
        <v>2502</v>
      </c>
      <c r="B12819">
        <v>637</v>
      </c>
      <c r="C12819">
        <v>1</v>
      </c>
      <c r="D12819" s="9">
        <v>42366</v>
      </c>
      <c r="E12819" t="s">
        <v>295</v>
      </c>
    </row>
    <row r="12820" spans="1:5" x14ac:dyDescent="0.25">
      <c r="A12820" t="s">
        <v>2502</v>
      </c>
      <c r="B12820">
        <v>77</v>
      </c>
      <c r="C12820">
        <v>1</v>
      </c>
      <c r="D12820" s="9">
        <v>42366</v>
      </c>
      <c r="E12820" t="s">
        <v>295</v>
      </c>
    </row>
    <row r="12821" spans="1:5" x14ac:dyDescent="0.25">
      <c r="A12821" t="s">
        <v>2502</v>
      </c>
      <c r="B12821">
        <v>139.19999999999999</v>
      </c>
      <c r="C12821">
        <v>1</v>
      </c>
      <c r="D12821" s="9">
        <v>42366</v>
      </c>
      <c r="E12821" t="s">
        <v>295</v>
      </c>
    </row>
    <row r="12822" spans="1:5" x14ac:dyDescent="0.25">
      <c r="A12822" t="s">
        <v>2502</v>
      </c>
      <c r="B12822">
        <v>739</v>
      </c>
      <c r="C12822">
        <v>1</v>
      </c>
      <c r="D12822" s="9">
        <v>42366</v>
      </c>
      <c r="E12822" t="s">
        <v>295</v>
      </c>
    </row>
    <row r="12823" spans="1:5" x14ac:dyDescent="0.25">
      <c r="A12823" t="s">
        <v>2502</v>
      </c>
      <c r="B12823">
        <v>568.5</v>
      </c>
      <c r="C12823">
        <v>1</v>
      </c>
      <c r="D12823" s="9">
        <v>42345</v>
      </c>
      <c r="E12823" t="s">
        <v>295</v>
      </c>
    </row>
    <row r="12824" spans="1:5" x14ac:dyDescent="0.25">
      <c r="A12824" t="s">
        <v>2502</v>
      </c>
      <c r="B12824">
        <v>120</v>
      </c>
      <c r="C12824">
        <v>1</v>
      </c>
      <c r="D12824" s="9">
        <v>42342</v>
      </c>
      <c r="E12824" t="s">
        <v>297</v>
      </c>
    </row>
    <row r="12825" spans="1:5" x14ac:dyDescent="0.25">
      <c r="A12825" t="s">
        <v>2502</v>
      </c>
      <c r="B12825">
        <v>42.5</v>
      </c>
      <c r="C12825">
        <v>1</v>
      </c>
      <c r="D12825" s="9">
        <v>42335</v>
      </c>
      <c r="E12825" t="s">
        <v>297</v>
      </c>
    </row>
    <row r="12826" spans="1:5" x14ac:dyDescent="0.25">
      <c r="A12826" t="s">
        <v>2502</v>
      </c>
      <c r="B12826">
        <v>60</v>
      </c>
      <c r="C12826">
        <v>1</v>
      </c>
      <c r="D12826" s="9">
        <v>42332</v>
      </c>
      <c r="E12826" t="s">
        <v>295</v>
      </c>
    </row>
    <row r="12827" spans="1:5" x14ac:dyDescent="0.25">
      <c r="A12827" t="s">
        <v>2502</v>
      </c>
      <c r="B12827">
        <v>300.5</v>
      </c>
      <c r="C12827">
        <v>1</v>
      </c>
      <c r="D12827" s="9">
        <v>42318</v>
      </c>
      <c r="E12827" t="s">
        <v>295</v>
      </c>
    </row>
    <row r="12828" spans="1:5" x14ac:dyDescent="0.25">
      <c r="A12828" t="s">
        <v>2502</v>
      </c>
      <c r="B12828">
        <v>65</v>
      </c>
      <c r="C12828">
        <v>1</v>
      </c>
      <c r="D12828" s="9">
        <v>42318</v>
      </c>
      <c r="E12828" t="s">
        <v>297</v>
      </c>
    </row>
    <row r="12829" spans="1:5" x14ac:dyDescent="0.25">
      <c r="A12829" t="s">
        <v>2502</v>
      </c>
      <c r="B12829">
        <v>132</v>
      </c>
      <c r="C12829">
        <v>1</v>
      </c>
      <c r="D12829" s="9">
        <v>42317</v>
      </c>
      <c r="E12829" t="s">
        <v>295</v>
      </c>
    </row>
    <row r="12830" spans="1:5" x14ac:dyDescent="0.25">
      <c r="A12830" t="s">
        <v>2502</v>
      </c>
      <c r="B12830">
        <v>1850</v>
      </c>
      <c r="C12830">
        <v>1</v>
      </c>
      <c r="D12830" s="9">
        <v>42307</v>
      </c>
      <c r="E12830" t="s">
        <v>295</v>
      </c>
    </row>
    <row r="12831" spans="1:5" x14ac:dyDescent="0.25">
      <c r="A12831" t="s">
        <v>2502</v>
      </c>
      <c r="B12831">
        <v>100</v>
      </c>
      <c r="C12831">
        <v>1</v>
      </c>
      <c r="D12831" s="9">
        <v>42307</v>
      </c>
      <c r="E12831" t="s">
        <v>295</v>
      </c>
    </row>
    <row r="12832" spans="1:5" x14ac:dyDescent="0.25">
      <c r="A12832" t="s">
        <v>2502</v>
      </c>
      <c r="B12832">
        <v>339.3</v>
      </c>
      <c r="C12832">
        <v>1</v>
      </c>
      <c r="D12832" s="9">
        <v>42307</v>
      </c>
      <c r="E12832" t="s">
        <v>295</v>
      </c>
    </row>
    <row r="12833" spans="1:5" x14ac:dyDescent="0.25">
      <c r="A12833" t="s">
        <v>2502</v>
      </c>
      <c r="B12833">
        <v>2080</v>
      </c>
      <c r="C12833">
        <v>1</v>
      </c>
      <c r="D12833" s="9">
        <v>42307</v>
      </c>
      <c r="E12833" t="s">
        <v>295</v>
      </c>
    </row>
    <row r="12834" spans="1:5" x14ac:dyDescent="0.25">
      <c r="A12834" t="s">
        <v>2502</v>
      </c>
      <c r="B12834">
        <v>55</v>
      </c>
      <c r="C12834">
        <v>1</v>
      </c>
      <c r="D12834" s="9">
        <v>42282</v>
      </c>
      <c r="E12834" t="s">
        <v>297</v>
      </c>
    </row>
    <row r="12835" spans="1:5" x14ac:dyDescent="0.25">
      <c r="A12835" t="s">
        <v>2502</v>
      </c>
      <c r="B12835">
        <v>5</v>
      </c>
      <c r="C12835">
        <v>1</v>
      </c>
      <c r="D12835" s="9">
        <v>42282</v>
      </c>
      <c r="E12835" t="s">
        <v>297</v>
      </c>
    </row>
    <row r="12836" spans="1:5" x14ac:dyDescent="0.25">
      <c r="A12836" t="s">
        <v>2502</v>
      </c>
      <c r="B12836">
        <v>101</v>
      </c>
      <c r="C12836">
        <v>1</v>
      </c>
      <c r="D12836" s="9">
        <v>42277</v>
      </c>
      <c r="E12836" t="s">
        <v>295</v>
      </c>
    </row>
    <row r="12837" spans="1:5" x14ac:dyDescent="0.25">
      <c r="A12837" t="s">
        <v>2502</v>
      </c>
      <c r="B12837">
        <v>273</v>
      </c>
      <c r="C12837">
        <v>1</v>
      </c>
      <c r="D12837" s="9">
        <v>42277</v>
      </c>
      <c r="E12837" t="s">
        <v>295</v>
      </c>
    </row>
    <row r="12838" spans="1:5" x14ac:dyDescent="0.25">
      <c r="A12838" t="s">
        <v>2502</v>
      </c>
      <c r="B12838">
        <v>1345</v>
      </c>
      <c r="C12838">
        <v>1</v>
      </c>
      <c r="D12838" s="9">
        <v>42277</v>
      </c>
      <c r="E12838" t="s">
        <v>295</v>
      </c>
    </row>
    <row r="12839" spans="1:5" x14ac:dyDescent="0.25">
      <c r="A12839" t="s">
        <v>2502</v>
      </c>
      <c r="B12839">
        <v>58</v>
      </c>
      <c r="C12839">
        <v>1</v>
      </c>
      <c r="D12839" s="9">
        <v>42277</v>
      </c>
      <c r="E12839" t="s">
        <v>295</v>
      </c>
    </row>
    <row r="12840" spans="1:5" x14ac:dyDescent="0.25">
      <c r="A12840" t="s">
        <v>2502</v>
      </c>
      <c r="B12840">
        <v>2436.5</v>
      </c>
      <c r="C12840">
        <v>1</v>
      </c>
      <c r="D12840" s="9">
        <v>42277</v>
      </c>
      <c r="E12840" t="s">
        <v>295</v>
      </c>
    </row>
    <row r="12841" spans="1:5" x14ac:dyDescent="0.25">
      <c r="A12841" t="s">
        <v>2502</v>
      </c>
      <c r="B12841">
        <v>300</v>
      </c>
      <c r="C12841">
        <v>1</v>
      </c>
      <c r="D12841" s="9">
        <v>42249</v>
      </c>
      <c r="E12841" t="s">
        <v>295</v>
      </c>
    </row>
    <row r="12842" spans="1:5" x14ac:dyDescent="0.25">
      <c r="A12842" t="s">
        <v>2502</v>
      </c>
      <c r="B12842">
        <v>1370</v>
      </c>
      <c r="C12842">
        <v>1</v>
      </c>
      <c r="D12842" s="9">
        <v>42214</v>
      </c>
      <c r="E12842" t="s">
        <v>295</v>
      </c>
    </row>
    <row r="12843" spans="1:5" x14ac:dyDescent="0.25">
      <c r="A12843" t="s">
        <v>2502</v>
      </c>
      <c r="B12843">
        <v>358</v>
      </c>
      <c r="C12843">
        <v>1</v>
      </c>
      <c r="D12843" s="9">
        <v>42214</v>
      </c>
      <c r="E12843" t="s">
        <v>295</v>
      </c>
    </row>
    <row r="12844" spans="1:5" x14ac:dyDescent="0.25">
      <c r="A12844" t="s">
        <v>2502</v>
      </c>
      <c r="B12844">
        <v>342.5</v>
      </c>
      <c r="C12844">
        <v>1</v>
      </c>
      <c r="D12844" s="9">
        <v>42214</v>
      </c>
      <c r="E12844" t="s">
        <v>295</v>
      </c>
    </row>
    <row r="12845" spans="1:5" x14ac:dyDescent="0.25">
      <c r="A12845" t="s">
        <v>2502</v>
      </c>
      <c r="B12845">
        <v>1977.5</v>
      </c>
      <c r="C12845">
        <v>1</v>
      </c>
      <c r="D12845" s="9">
        <v>42214</v>
      </c>
      <c r="E12845" t="s">
        <v>295</v>
      </c>
    </row>
    <row r="12846" spans="1:5" x14ac:dyDescent="0.25">
      <c r="A12846" t="s">
        <v>2502</v>
      </c>
      <c r="B12846">
        <v>234.5</v>
      </c>
      <c r="C12846">
        <v>1</v>
      </c>
      <c r="D12846" s="9">
        <v>42185</v>
      </c>
      <c r="E12846" t="s">
        <v>295</v>
      </c>
    </row>
    <row r="12847" spans="1:5" x14ac:dyDescent="0.25">
      <c r="A12847" t="s">
        <v>2502</v>
      </c>
      <c r="B12847">
        <v>1750</v>
      </c>
      <c r="C12847">
        <v>1</v>
      </c>
      <c r="D12847" s="9">
        <v>42173</v>
      </c>
      <c r="E12847" t="s">
        <v>295</v>
      </c>
    </row>
    <row r="12848" spans="1:5" x14ac:dyDescent="0.25">
      <c r="A12848" t="s">
        <v>2502</v>
      </c>
      <c r="B12848">
        <v>1</v>
      </c>
      <c r="C12848">
        <v>1</v>
      </c>
      <c r="D12848" s="9">
        <v>41892</v>
      </c>
      <c r="E12848" t="s">
        <v>295</v>
      </c>
    </row>
    <row r="12849" spans="1:5" x14ac:dyDescent="0.25">
      <c r="A12849" t="s">
        <v>2503</v>
      </c>
      <c r="B12849">
        <v>2500</v>
      </c>
      <c r="C12849">
        <v>1</v>
      </c>
      <c r="D12849" s="9">
        <v>43406</v>
      </c>
      <c r="E12849" t="s">
        <v>295</v>
      </c>
    </row>
    <row r="12850" spans="1:5" x14ac:dyDescent="0.25">
      <c r="A12850" t="s">
        <v>2503</v>
      </c>
      <c r="B12850">
        <v>2000</v>
      </c>
      <c r="C12850">
        <v>1</v>
      </c>
      <c r="D12850" s="9">
        <v>42543</v>
      </c>
      <c r="E12850" t="s">
        <v>295</v>
      </c>
    </row>
    <row r="12851" spans="1:5" x14ac:dyDescent="0.25">
      <c r="A12851" t="s">
        <v>2503</v>
      </c>
      <c r="B12851">
        <v>2000</v>
      </c>
      <c r="C12851">
        <v>1</v>
      </c>
      <c r="D12851" s="9">
        <v>42521</v>
      </c>
      <c r="E12851" t="s">
        <v>295</v>
      </c>
    </row>
    <row r="12852" spans="1:5" x14ac:dyDescent="0.25">
      <c r="A12852" t="s">
        <v>2503</v>
      </c>
      <c r="B12852">
        <v>1200</v>
      </c>
      <c r="C12852">
        <v>1</v>
      </c>
      <c r="D12852" s="9">
        <v>42499</v>
      </c>
      <c r="E12852" t="s">
        <v>295</v>
      </c>
    </row>
    <row r="12853" spans="1:5" x14ac:dyDescent="0.25">
      <c r="A12853" t="s">
        <v>2503</v>
      </c>
      <c r="B12853">
        <v>2000</v>
      </c>
      <c r="C12853">
        <v>1</v>
      </c>
      <c r="D12853" s="9">
        <v>42490</v>
      </c>
      <c r="E12853" t="s">
        <v>295</v>
      </c>
    </row>
    <row r="12854" spans="1:5" x14ac:dyDescent="0.25">
      <c r="A12854" t="s">
        <v>2503</v>
      </c>
      <c r="B12854">
        <v>1200</v>
      </c>
      <c r="C12854">
        <v>1</v>
      </c>
      <c r="D12854" s="9">
        <v>42366</v>
      </c>
      <c r="E12854" t="s">
        <v>295</v>
      </c>
    </row>
    <row r="12855" spans="1:5" x14ac:dyDescent="0.25">
      <c r="A12855" t="s">
        <v>2503</v>
      </c>
      <c r="B12855">
        <v>2000</v>
      </c>
      <c r="C12855">
        <v>1</v>
      </c>
      <c r="D12855" s="9">
        <v>42366</v>
      </c>
      <c r="E12855" t="s">
        <v>295</v>
      </c>
    </row>
    <row r="12856" spans="1:5" x14ac:dyDescent="0.25">
      <c r="A12856" t="s">
        <v>2503</v>
      </c>
      <c r="B12856">
        <v>1200</v>
      </c>
      <c r="C12856">
        <v>1</v>
      </c>
      <c r="D12856" s="9">
        <v>42307</v>
      </c>
      <c r="E12856" t="s">
        <v>295</v>
      </c>
    </row>
    <row r="12857" spans="1:5" x14ac:dyDescent="0.25">
      <c r="A12857" t="s">
        <v>2503</v>
      </c>
      <c r="B12857">
        <v>2000</v>
      </c>
      <c r="C12857">
        <v>1</v>
      </c>
      <c r="D12857" s="9">
        <v>42277</v>
      </c>
      <c r="E12857" t="s">
        <v>295</v>
      </c>
    </row>
    <row r="12858" spans="1:5" x14ac:dyDescent="0.25">
      <c r="A12858" t="s">
        <v>2503</v>
      </c>
      <c r="B12858">
        <v>1200</v>
      </c>
      <c r="C12858">
        <v>1</v>
      </c>
      <c r="D12858" s="9">
        <v>42214</v>
      </c>
      <c r="E12858" t="s">
        <v>295</v>
      </c>
    </row>
    <row r="12859" spans="1:5" x14ac:dyDescent="0.25">
      <c r="A12859" t="s">
        <v>2504</v>
      </c>
      <c r="B12859">
        <v>760</v>
      </c>
      <c r="C12859">
        <v>1</v>
      </c>
      <c r="D12859" s="9">
        <v>42698</v>
      </c>
      <c r="E12859" t="s">
        <v>296</v>
      </c>
    </row>
    <row r="12860" spans="1:5" x14ac:dyDescent="0.25">
      <c r="A12860" t="s">
        <v>2505</v>
      </c>
      <c r="B12860">
        <v>167</v>
      </c>
      <c r="C12860">
        <v>1</v>
      </c>
      <c r="D12860" s="9">
        <v>42499</v>
      </c>
      <c r="E12860" t="s">
        <v>295</v>
      </c>
    </row>
    <row r="12861" spans="1:5" x14ac:dyDescent="0.25">
      <c r="A12861" t="s">
        <v>2506</v>
      </c>
      <c r="B12861">
        <v>200</v>
      </c>
      <c r="C12861">
        <v>1</v>
      </c>
      <c r="D12861" s="9">
        <v>42664</v>
      </c>
      <c r="E12861" t="s">
        <v>295</v>
      </c>
    </row>
    <row r="12862" spans="1:5" x14ac:dyDescent="0.25">
      <c r="A12862" t="s">
        <v>2507</v>
      </c>
      <c r="B12862">
        <v>660</v>
      </c>
      <c r="C12862">
        <v>1</v>
      </c>
      <c r="D12862" s="9">
        <v>43406</v>
      </c>
      <c r="E12862" t="s">
        <v>295</v>
      </c>
    </row>
    <row r="12863" spans="1:5" x14ac:dyDescent="0.25">
      <c r="A12863" t="s">
        <v>2507</v>
      </c>
      <c r="B12863">
        <v>150</v>
      </c>
      <c r="C12863">
        <v>1</v>
      </c>
      <c r="D12863" s="9">
        <v>42682</v>
      </c>
      <c r="E12863" t="s">
        <v>295</v>
      </c>
    </row>
    <row r="12864" spans="1:5" x14ac:dyDescent="0.25">
      <c r="A12864" t="s">
        <v>2507</v>
      </c>
      <c r="B12864">
        <v>12</v>
      </c>
      <c r="C12864">
        <v>1</v>
      </c>
      <c r="D12864" s="9">
        <v>42653</v>
      </c>
      <c r="E12864" t="s">
        <v>295</v>
      </c>
    </row>
    <row r="12865" spans="1:5" x14ac:dyDescent="0.25">
      <c r="A12865" t="s">
        <v>2507</v>
      </c>
      <c r="B12865">
        <v>20</v>
      </c>
      <c r="C12865">
        <v>1</v>
      </c>
      <c r="D12865" s="9">
        <v>42541</v>
      </c>
      <c r="E12865" t="s">
        <v>295</v>
      </c>
    </row>
    <row r="12866" spans="1:5" x14ac:dyDescent="0.25">
      <c r="A12866" t="s">
        <v>2507</v>
      </c>
      <c r="B12866">
        <v>36</v>
      </c>
      <c r="C12866">
        <v>1</v>
      </c>
      <c r="D12866" s="9">
        <v>42535</v>
      </c>
      <c r="E12866" t="s">
        <v>295</v>
      </c>
    </row>
    <row r="12867" spans="1:5" x14ac:dyDescent="0.25">
      <c r="A12867" t="s">
        <v>2507</v>
      </c>
      <c r="B12867">
        <v>36</v>
      </c>
      <c r="C12867">
        <v>1</v>
      </c>
      <c r="D12867" s="9">
        <v>42529</v>
      </c>
      <c r="E12867" t="s">
        <v>295</v>
      </c>
    </row>
    <row r="12868" spans="1:5" x14ac:dyDescent="0.25">
      <c r="A12868" t="s">
        <v>2507</v>
      </c>
      <c r="B12868">
        <v>50</v>
      </c>
      <c r="C12868">
        <v>1</v>
      </c>
      <c r="D12868" s="9">
        <v>42488</v>
      </c>
      <c r="E12868" t="s">
        <v>295</v>
      </c>
    </row>
    <row r="12869" spans="1:5" x14ac:dyDescent="0.25">
      <c r="A12869" t="s">
        <v>2507</v>
      </c>
      <c r="B12869">
        <v>398</v>
      </c>
      <c r="C12869">
        <v>1</v>
      </c>
      <c r="D12869" s="9">
        <v>42445</v>
      </c>
      <c r="E12869" t="s">
        <v>295</v>
      </c>
    </row>
    <row r="12870" spans="1:5" x14ac:dyDescent="0.25">
      <c r="A12870" t="s">
        <v>2507</v>
      </c>
      <c r="B12870">
        <v>11.38</v>
      </c>
      <c r="C12870">
        <v>1</v>
      </c>
      <c r="D12870" s="9">
        <v>42422</v>
      </c>
      <c r="E12870" t="s">
        <v>295</v>
      </c>
    </row>
    <row r="12871" spans="1:5" x14ac:dyDescent="0.25">
      <c r="A12871" t="s">
        <v>2507</v>
      </c>
      <c r="B12871">
        <v>130</v>
      </c>
      <c r="C12871">
        <v>1</v>
      </c>
      <c r="D12871" s="9">
        <v>42318</v>
      </c>
      <c r="E12871" t="s">
        <v>295</v>
      </c>
    </row>
    <row r="12872" spans="1:5" x14ac:dyDescent="0.25">
      <c r="A12872" t="s">
        <v>2507</v>
      </c>
      <c r="B12872">
        <v>12</v>
      </c>
      <c r="C12872">
        <v>1</v>
      </c>
      <c r="D12872" s="9">
        <v>42297</v>
      </c>
      <c r="E12872" t="s">
        <v>295</v>
      </c>
    </row>
    <row r="12873" spans="1:5" x14ac:dyDescent="0.25">
      <c r="A12873" t="s">
        <v>2507</v>
      </c>
      <c r="B12873">
        <v>21</v>
      </c>
      <c r="C12873">
        <v>1</v>
      </c>
      <c r="D12873" s="9">
        <v>42283</v>
      </c>
      <c r="E12873" t="s">
        <v>295</v>
      </c>
    </row>
    <row r="12874" spans="1:5" x14ac:dyDescent="0.25">
      <c r="A12874" t="s">
        <v>2507</v>
      </c>
      <c r="B12874">
        <v>230</v>
      </c>
      <c r="C12874">
        <v>1</v>
      </c>
      <c r="D12874" s="9">
        <v>42282</v>
      </c>
      <c r="E12874" t="s">
        <v>297</v>
      </c>
    </row>
    <row r="12875" spans="1:5" x14ac:dyDescent="0.25">
      <c r="A12875" t="s">
        <v>2507</v>
      </c>
      <c r="B12875">
        <v>5</v>
      </c>
      <c r="C12875">
        <v>1</v>
      </c>
      <c r="D12875" s="9">
        <v>42282</v>
      </c>
      <c r="E12875" t="s">
        <v>297</v>
      </c>
    </row>
    <row r="12876" spans="1:5" x14ac:dyDescent="0.25">
      <c r="A12876" t="s">
        <v>2507</v>
      </c>
      <c r="B12876">
        <v>2949.75</v>
      </c>
      <c r="C12876">
        <v>1</v>
      </c>
      <c r="D12876" s="9">
        <v>42276</v>
      </c>
      <c r="E12876" t="s">
        <v>295</v>
      </c>
    </row>
    <row r="12877" spans="1:5" x14ac:dyDescent="0.25">
      <c r="A12877" t="s">
        <v>2507</v>
      </c>
      <c r="B12877">
        <v>2063.92</v>
      </c>
      <c r="C12877">
        <v>1</v>
      </c>
      <c r="D12877" s="9">
        <v>42249</v>
      </c>
      <c r="E12877" t="s">
        <v>295</v>
      </c>
    </row>
    <row r="12878" spans="1:5" x14ac:dyDescent="0.25">
      <c r="A12878" t="s">
        <v>2507</v>
      </c>
      <c r="B12878">
        <v>11</v>
      </c>
      <c r="C12878">
        <v>1</v>
      </c>
      <c r="D12878" s="9">
        <v>42193</v>
      </c>
      <c r="E12878" t="s">
        <v>295</v>
      </c>
    </row>
    <row r="12879" spans="1:5" x14ac:dyDescent="0.25">
      <c r="A12879" t="s">
        <v>2507</v>
      </c>
      <c r="B12879">
        <v>2128.56</v>
      </c>
      <c r="C12879">
        <v>1</v>
      </c>
      <c r="D12879" s="9">
        <v>42185</v>
      </c>
      <c r="E12879" t="s">
        <v>295</v>
      </c>
    </row>
    <row r="12880" spans="1:5" x14ac:dyDescent="0.25">
      <c r="A12880" t="s">
        <v>2507</v>
      </c>
      <c r="B12880">
        <v>2797.79</v>
      </c>
      <c r="C12880">
        <v>1</v>
      </c>
      <c r="D12880" s="9">
        <v>42173</v>
      </c>
      <c r="E12880" t="s">
        <v>295</v>
      </c>
    </row>
    <row r="12881" spans="1:5" x14ac:dyDescent="0.25">
      <c r="A12881" t="s">
        <v>2508</v>
      </c>
      <c r="B12881">
        <v>250</v>
      </c>
      <c r="C12881">
        <v>1</v>
      </c>
      <c r="D12881" s="9">
        <v>43437</v>
      </c>
      <c r="E12881" t="s">
        <v>295</v>
      </c>
    </row>
    <row r="12882" spans="1:5" x14ac:dyDescent="0.25">
      <c r="A12882" t="s">
        <v>2508</v>
      </c>
      <c r="B12882">
        <v>864</v>
      </c>
      <c r="C12882">
        <v>1</v>
      </c>
      <c r="D12882" s="9">
        <v>43150</v>
      </c>
      <c r="E12882" t="s">
        <v>295</v>
      </c>
    </row>
    <row r="12883" spans="1:5" x14ac:dyDescent="0.25">
      <c r="A12883" t="s">
        <v>2508</v>
      </c>
      <c r="B12883">
        <v>450</v>
      </c>
      <c r="C12883">
        <v>1</v>
      </c>
      <c r="D12883" s="9">
        <v>43032</v>
      </c>
      <c r="E12883" t="s">
        <v>295</v>
      </c>
    </row>
    <row r="12884" spans="1:5" x14ac:dyDescent="0.25">
      <c r="A12884" t="s">
        <v>2508</v>
      </c>
      <c r="B12884">
        <v>550</v>
      </c>
      <c r="C12884">
        <v>1</v>
      </c>
      <c r="D12884" s="9">
        <v>42891</v>
      </c>
      <c r="E12884" t="s">
        <v>295</v>
      </c>
    </row>
    <row r="12885" spans="1:5" x14ac:dyDescent="0.25">
      <c r="A12885" t="s">
        <v>2508</v>
      </c>
      <c r="B12885">
        <v>264</v>
      </c>
      <c r="C12885">
        <v>1</v>
      </c>
      <c r="D12885" s="9">
        <v>42844</v>
      </c>
      <c r="E12885" t="s">
        <v>295</v>
      </c>
    </row>
    <row r="12886" spans="1:5" x14ac:dyDescent="0.25">
      <c r="A12886" t="s">
        <v>2508</v>
      </c>
      <c r="B12886">
        <v>560</v>
      </c>
      <c r="C12886">
        <v>1</v>
      </c>
      <c r="D12886" s="9">
        <v>42839</v>
      </c>
      <c r="E12886" t="s">
        <v>295</v>
      </c>
    </row>
    <row r="12887" spans="1:5" x14ac:dyDescent="0.25">
      <c r="A12887" t="s">
        <v>2508</v>
      </c>
      <c r="B12887">
        <v>470</v>
      </c>
      <c r="C12887">
        <v>1</v>
      </c>
      <c r="D12887" s="9">
        <v>42828</v>
      </c>
      <c r="E12887" t="s">
        <v>295</v>
      </c>
    </row>
    <row r="12888" spans="1:5" x14ac:dyDescent="0.25">
      <c r="A12888" t="s">
        <v>2508</v>
      </c>
      <c r="B12888">
        <v>210</v>
      </c>
      <c r="C12888">
        <v>1</v>
      </c>
      <c r="D12888" s="9">
        <v>42776</v>
      </c>
      <c r="E12888" t="s">
        <v>295</v>
      </c>
    </row>
    <row r="12889" spans="1:5" x14ac:dyDescent="0.25">
      <c r="A12889" t="s">
        <v>2508</v>
      </c>
      <c r="B12889">
        <v>630</v>
      </c>
      <c r="C12889">
        <v>1</v>
      </c>
      <c r="D12889" s="9">
        <v>42745</v>
      </c>
      <c r="E12889" t="s">
        <v>295</v>
      </c>
    </row>
    <row r="12890" spans="1:5" x14ac:dyDescent="0.25">
      <c r="A12890" t="s">
        <v>2508</v>
      </c>
      <c r="B12890">
        <v>284</v>
      </c>
      <c r="C12890">
        <v>1</v>
      </c>
      <c r="D12890" s="9">
        <v>42703</v>
      </c>
      <c r="E12890" t="s">
        <v>295</v>
      </c>
    </row>
    <row r="12891" spans="1:5" x14ac:dyDescent="0.25">
      <c r="A12891" t="s">
        <v>2508</v>
      </c>
      <c r="B12891">
        <v>550</v>
      </c>
      <c r="C12891">
        <v>1</v>
      </c>
      <c r="D12891" s="9">
        <v>42696</v>
      </c>
      <c r="E12891" t="s">
        <v>295</v>
      </c>
    </row>
    <row r="12892" spans="1:5" x14ac:dyDescent="0.25">
      <c r="A12892" t="s">
        <v>2508</v>
      </c>
      <c r="B12892">
        <v>230</v>
      </c>
      <c r="C12892">
        <v>1</v>
      </c>
      <c r="D12892" s="9">
        <v>42691</v>
      </c>
      <c r="E12892" t="s">
        <v>295</v>
      </c>
    </row>
    <row r="12893" spans="1:5" x14ac:dyDescent="0.25">
      <c r="A12893" t="s">
        <v>2508</v>
      </c>
      <c r="B12893">
        <v>570</v>
      </c>
      <c r="C12893">
        <v>1</v>
      </c>
      <c r="D12893" s="9">
        <v>42690</v>
      </c>
      <c r="E12893" t="s">
        <v>295</v>
      </c>
    </row>
    <row r="12894" spans="1:5" x14ac:dyDescent="0.25">
      <c r="A12894" t="s">
        <v>2508</v>
      </c>
      <c r="B12894">
        <v>180</v>
      </c>
      <c r="C12894">
        <v>1</v>
      </c>
      <c r="D12894" s="9">
        <v>42682</v>
      </c>
      <c r="E12894" t="s">
        <v>295</v>
      </c>
    </row>
    <row r="12895" spans="1:5" x14ac:dyDescent="0.25">
      <c r="A12895" t="s">
        <v>2508</v>
      </c>
      <c r="B12895">
        <v>217</v>
      </c>
      <c r="C12895">
        <v>1</v>
      </c>
      <c r="D12895" s="9">
        <v>42626</v>
      </c>
      <c r="E12895" t="s">
        <v>295</v>
      </c>
    </row>
    <row r="12896" spans="1:5" x14ac:dyDescent="0.25">
      <c r="A12896" t="s">
        <v>2508</v>
      </c>
      <c r="B12896">
        <v>30</v>
      </c>
      <c r="C12896">
        <v>1</v>
      </c>
      <c r="D12896" s="9">
        <v>42556</v>
      </c>
      <c r="E12896" t="s">
        <v>295</v>
      </c>
    </row>
    <row r="12897" spans="1:5" x14ac:dyDescent="0.25">
      <c r="A12897" t="s">
        <v>2508</v>
      </c>
      <c r="B12897">
        <v>184</v>
      </c>
      <c r="C12897">
        <v>1</v>
      </c>
      <c r="D12897" s="9">
        <v>42555</v>
      </c>
      <c r="E12897" t="s">
        <v>295</v>
      </c>
    </row>
    <row r="12898" spans="1:5" x14ac:dyDescent="0.25">
      <c r="A12898" t="s">
        <v>2508</v>
      </c>
      <c r="B12898">
        <v>250</v>
      </c>
      <c r="C12898">
        <v>1</v>
      </c>
      <c r="D12898" s="9">
        <v>42543</v>
      </c>
      <c r="E12898" t="s">
        <v>295</v>
      </c>
    </row>
    <row r="12899" spans="1:5" x14ac:dyDescent="0.25">
      <c r="A12899" t="s">
        <v>2508</v>
      </c>
      <c r="B12899">
        <v>317</v>
      </c>
      <c r="C12899">
        <v>1</v>
      </c>
      <c r="D12899" s="9">
        <v>42490</v>
      </c>
      <c r="E12899" t="s">
        <v>295</v>
      </c>
    </row>
    <row r="12900" spans="1:5" x14ac:dyDescent="0.25">
      <c r="A12900" t="s">
        <v>2508</v>
      </c>
      <c r="B12900">
        <v>267</v>
      </c>
      <c r="C12900">
        <v>1</v>
      </c>
      <c r="D12900" s="9">
        <v>42479</v>
      </c>
      <c r="E12900" t="s">
        <v>295</v>
      </c>
    </row>
    <row r="12901" spans="1:5" x14ac:dyDescent="0.25">
      <c r="A12901" t="s">
        <v>2508</v>
      </c>
      <c r="B12901">
        <v>740</v>
      </c>
      <c r="C12901">
        <v>1</v>
      </c>
      <c r="D12901" s="9">
        <v>42465</v>
      </c>
      <c r="E12901" t="s">
        <v>295</v>
      </c>
    </row>
    <row r="12902" spans="1:5" x14ac:dyDescent="0.25">
      <c r="A12902" t="s">
        <v>2508</v>
      </c>
      <c r="B12902">
        <v>166</v>
      </c>
      <c r="C12902">
        <v>1</v>
      </c>
      <c r="D12902" s="9">
        <v>42452</v>
      </c>
      <c r="E12902" t="s">
        <v>295</v>
      </c>
    </row>
    <row r="12903" spans="1:5" x14ac:dyDescent="0.25">
      <c r="A12903" t="s">
        <v>2508</v>
      </c>
      <c r="B12903">
        <v>200</v>
      </c>
      <c r="C12903">
        <v>1</v>
      </c>
      <c r="D12903" s="9">
        <v>42445</v>
      </c>
      <c r="E12903" t="s">
        <v>295</v>
      </c>
    </row>
    <row r="12904" spans="1:5" x14ac:dyDescent="0.25">
      <c r="A12904" t="s">
        <v>2508</v>
      </c>
      <c r="B12904">
        <v>400</v>
      </c>
      <c r="C12904">
        <v>1</v>
      </c>
      <c r="D12904" s="9">
        <v>42332</v>
      </c>
      <c r="E12904" t="s">
        <v>295</v>
      </c>
    </row>
    <row r="12905" spans="1:5" x14ac:dyDescent="0.25">
      <c r="A12905" t="s">
        <v>2508</v>
      </c>
      <c r="B12905">
        <v>60</v>
      </c>
      <c r="C12905">
        <v>1</v>
      </c>
      <c r="D12905" s="9">
        <v>42282</v>
      </c>
      <c r="E12905" t="s">
        <v>297</v>
      </c>
    </row>
    <row r="12906" spans="1:5" x14ac:dyDescent="0.25">
      <c r="A12906" t="s">
        <v>2508</v>
      </c>
      <c r="B12906">
        <v>1400</v>
      </c>
      <c r="C12906">
        <v>1</v>
      </c>
      <c r="D12906" s="9">
        <v>42276</v>
      </c>
      <c r="E12906" t="s">
        <v>295</v>
      </c>
    </row>
    <row r="12907" spans="1:5" x14ac:dyDescent="0.25">
      <c r="A12907" t="s">
        <v>2508</v>
      </c>
      <c r="B12907">
        <v>580</v>
      </c>
      <c r="C12907">
        <v>1</v>
      </c>
      <c r="D12907" s="9">
        <v>42249</v>
      </c>
      <c r="E12907" t="s">
        <v>295</v>
      </c>
    </row>
    <row r="12908" spans="1:5" x14ac:dyDescent="0.25">
      <c r="A12908" t="s">
        <v>2508</v>
      </c>
      <c r="B12908">
        <v>510</v>
      </c>
      <c r="C12908">
        <v>1</v>
      </c>
      <c r="D12908" s="9">
        <v>42185</v>
      </c>
      <c r="E12908" t="s">
        <v>295</v>
      </c>
    </row>
    <row r="12909" spans="1:5" x14ac:dyDescent="0.25">
      <c r="A12909" t="s">
        <v>2508</v>
      </c>
      <c r="B12909">
        <v>460</v>
      </c>
      <c r="C12909">
        <v>1</v>
      </c>
      <c r="D12909" s="9">
        <v>42173</v>
      </c>
      <c r="E12909" t="s">
        <v>295</v>
      </c>
    </row>
    <row r="12910" spans="1:5" x14ac:dyDescent="0.25">
      <c r="A12910" t="s">
        <v>2509</v>
      </c>
      <c r="B12910">
        <v>0</v>
      </c>
      <c r="C12910">
        <v>1</v>
      </c>
      <c r="D12910" s="9">
        <v>44119</v>
      </c>
      <c r="E12910" t="s">
        <v>295</v>
      </c>
    </row>
    <row r="12911" spans="1:5" x14ac:dyDescent="0.25">
      <c r="A12911" t="s">
        <v>2509</v>
      </c>
      <c r="B12911">
        <v>2500</v>
      </c>
      <c r="C12911">
        <v>1</v>
      </c>
      <c r="D12911" s="9">
        <v>44071</v>
      </c>
      <c r="E12911" t="s">
        <v>296</v>
      </c>
    </row>
    <row r="12912" spans="1:5" x14ac:dyDescent="0.25">
      <c r="A12912" t="s">
        <v>2509</v>
      </c>
      <c r="B12912">
        <v>200</v>
      </c>
      <c r="C12912">
        <v>2</v>
      </c>
      <c r="D12912" s="9">
        <v>44008</v>
      </c>
      <c r="E12912" t="s">
        <v>295</v>
      </c>
    </row>
    <row r="12913" spans="1:5" x14ac:dyDescent="0.25">
      <c r="A12913" t="s">
        <v>2509</v>
      </c>
      <c r="B12913">
        <v>50</v>
      </c>
      <c r="C12913">
        <v>2</v>
      </c>
      <c r="D12913" s="9">
        <v>43986</v>
      </c>
      <c r="E12913" t="s">
        <v>297</v>
      </c>
    </row>
    <row r="12914" spans="1:5" x14ac:dyDescent="0.25">
      <c r="A12914" t="s">
        <v>2509</v>
      </c>
      <c r="B12914">
        <v>10</v>
      </c>
      <c r="C12914">
        <v>1</v>
      </c>
      <c r="D12914" s="9">
        <v>43885</v>
      </c>
      <c r="E12914" t="s">
        <v>295</v>
      </c>
    </row>
    <row r="12915" spans="1:5" x14ac:dyDescent="0.25">
      <c r="A12915" t="s">
        <v>2509</v>
      </c>
      <c r="B12915">
        <v>130.08000000000001</v>
      </c>
      <c r="C12915">
        <v>1</v>
      </c>
      <c r="D12915" s="9">
        <v>43782</v>
      </c>
      <c r="E12915" t="s">
        <v>295</v>
      </c>
    </row>
    <row r="12916" spans="1:5" x14ac:dyDescent="0.25">
      <c r="A12916" t="s">
        <v>2509</v>
      </c>
      <c r="B12916">
        <v>45</v>
      </c>
      <c r="C12916">
        <v>1</v>
      </c>
      <c r="D12916" s="9">
        <v>43732</v>
      </c>
      <c r="E12916" t="s">
        <v>295</v>
      </c>
    </row>
    <row r="12917" spans="1:5" x14ac:dyDescent="0.25">
      <c r="A12917" t="s">
        <v>2509</v>
      </c>
      <c r="B12917">
        <v>15.42</v>
      </c>
      <c r="C12917">
        <v>1</v>
      </c>
      <c r="D12917" s="9">
        <v>43524</v>
      </c>
      <c r="E12917" t="s">
        <v>295</v>
      </c>
    </row>
    <row r="12918" spans="1:5" x14ac:dyDescent="0.25">
      <c r="A12918" t="s">
        <v>2509</v>
      </c>
      <c r="B12918">
        <v>10</v>
      </c>
      <c r="C12918">
        <v>1</v>
      </c>
      <c r="D12918" s="9">
        <v>43035</v>
      </c>
      <c r="E12918" t="s">
        <v>295</v>
      </c>
    </row>
    <row r="12919" spans="1:5" x14ac:dyDescent="0.25">
      <c r="A12919" t="s">
        <v>2509</v>
      </c>
      <c r="B12919">
        <v>50</v>
      </c>
      <c r="C12919">
        <v>1</v>
      </c>
      <c r="D12919" s="9">
        <v>43032</v>
      </c>
      <c r="E12919" t="s">
        <v>295</v>
      </c>
    </row>
    <row r="12920" spans="1:5" x14ac:dyDescent="0.25">
      <c r="A12920" t="s">
        <v>2509</v>
      </c>
      <c r="B12920">
        <v>50</v>
      </c>
      <c r="C12920">
        <v>1</v>
      </c>
      <c r="D12920" s="9">
        <v>42950</v>
      </c>
      <c r="E12920" t="s">
        <v>297</v>
      </c>
    </row>
    <row r="12921" spans="1:5" x14ac:dyDescent="0.25">
      <c r="A12921" t="s">
        <v>2509</v>
      </c>
      <c r="B12921">
        <v>150</v>
      </c>
      <c r="C12921">
        <v>4</v>
      </c>
      <c r="D12921" s="9">
        <v>42935</v>
      </c>
      <c r="E12921" t="s">
        <v>296</v>
      </c>
    </row>
    <row r="12922" spans="1:5" x14ac:dyDescent="0.25">
      <c r="A12922" t="s">
        <v>2509</v>
      </c>
      <c r="B12922">
        <v>300</v>
      </c>
      <c r="C12922">
        <v>1</v>
      </c>
      <c r="D12922" s="9">
        <v>42894</v>
      </c>
      <c r="E12922" t="s">
        <v>296</v>
      </c>
    </row>
    <row r="12923" spans="1:5" x14ac:dyDescent="0.25">
      <c r="A12923" t="s">
        <v>2509</v>
      </c>
      <c r="B12923">
        <v>50</v>
      </c>
      <c r="C12923">
        <v>1</v>
      </c>
      <c r="D12923" s="9">
        <v>42891</v>
      </c>
      <c r="E12923" t="s">
        <v>295</v>
      </c>
    </row>
    <row r="12924" spans="1:5" x14ac:dyDescent="0.25">
      <c r="A12924" t="s">
        <v>2509</v>
      </c>
      <c r="B12924">
        <v>100</v>
      </c>
      <c r="C12924">
        <v>1</v>
      </c>
      <c r="D12924" s="9">
        <v>42839</v>
      </c>
      <c r="E12924" t="s">
        <v>295</v>
      </c>
    </row>
    <row r="12925" spans="1:5" x14ac:dyDescent="0.25">
      <c r="A12925" t="s">
        <v>2509</v>
      </c>
      <c r="B12925">
        <v>0</v>
      </c>
      <c r="C12925">
        <v>1</v>
      </c>
      <c r="D12925" s="9">
        <v>42814</v>
      </c>
      <c r="E12925" t="s">
        <v>295</v>
      </c>
    </row>
    <row r="12926" spans="1:5" x14ac:dyDescent="0.25">
      <c r="A12926" t="s">
        <v>2509</v>
      </c>
      <c r="B12926">
        <v>400</v>
      </c>
      <c r="C12926">
        <v>1</v>
      </c>
      <c r="D12926" s="9">
        <v>42776</v>
      </c>
      <c r="E12926" t="s">
        <v>295</v>
      </c>
    </row>
    <row r="12927" spans="1:5" x14ac:dyDescent="0.25">
      <c r="A12927" t="s">
        <v>2509</v>
      </c>
      <c r="B12927">
        <v>100</v>
      </c>
      <c r="C12927">
        <v>1</v>
      </c>
      <c r="D12927" s="9">
        <v>42719</v>
      </c>
      <c r="E12927" t="s">
        <v>295</v>
      </c>
    </row>
    <row r="12928" spans="1:5" x14ac:dyDescent="0.25">
      <c r="A12928" t="s">
        <v>2509</v>
      </c>
      <c r="B12928">
        <v>45</v>
      </c>
      <c r="C12928">
        <v>1</v>
      </c>
      <c r="D12928" s="9">
        <v>42716</v>
      </c>
      <c r="E12928" t="s">
        <v>295</v>
      </c>
    </row>
    <row r="12929" spans="1:5" x14ac:dyDescent="0.25">
      <c r="A12929" t="s">
        <v>2509</v>
      </c>
      <c r="B12929">
        <v>67.5</v>
      </c>
      <c r="C12929">
        <v>1</v>
      </c>
      <c r="D12929" s="9">
        <v>42555</v>
      </c>
      <c r="E12929" t="s">
        <v>295</v>
      </c>
    </row>
    <row r="12930" spans="1:5" x14ac:dyDescent="0.25">
      <c r="A12930" t="s">
        <v>2509</v>
      </c>
      <c r="B12930">
        <v>50</v>
      </c>
      <c r="C12930">
        <v>1</v>
      </c>
      <c r="D12930" s="9">
        <v>42464</v>
      </c>
      <c r="E12930" t="s">
        <v>297</v>
      </c>
    </row>
    <row r="12931" spans="1:5" x14ac:dyDescent="0.25">
      <c r="A12931" t="s">
        <v>2509</v>
      </c>
      <c r="B12931">
        <v>12</v>
      </c>
      <c r="C12931">
        <v>1</v>
      </c>
      <c r="D12931" s="9">
        <v>42436</v>
      </c>
      <c r="E12931" t="s">
        <v>295</v>
      </c>
    </row>
    <row r="12932" spans="1:5" x14ac:dyDescent="0.25">
      <c r="A12932" t="s">
        <v>2509</v>
      </c>
      <c r="B12932">
        <v>10</v>
      </c>
      <c r="C12932">
        <v>1</v>
      </c>
      <c r="D12932" s="9">
        <v>42354</v>
      </c>
      <c r="E12932" t="s">
        <v>295</v>
      </c>
    </row>
    <row r="12933" spans="1:5" x14ac:dyDescent="0.25">
      <c r="A12933" t="s">
        <v>2509</v>
      </c>
      <c r="B12933">
        <v>45</v>
      </c>
      <c r="C12933">
        <v>1</v>
      </c>
      <c r="D12933" s="9">
        <v>42209</v>
      </c>
      <c r="E12933" t="s">
        <v>295</v>
      </c>
    </row>
    <row r="12934" spans="1:5" x14ac:dyDescent="0.25">
      <c r="A12934" t="s">
        <v>2509</v>
      </c>
      <c r="B12934">
        <v>10.57</v>
      </c>
      <c r="C12934">
        <v>1</v>
      </c>
      <c r="D12934" s="9">
        <v>42199</v>
      </c>
      <c r="E12934" t="s">
        <v>295</v>
      </c>
    </row>
    <row r="12935" spans="1:5" x14ac:dyDescent="0.25">
      <c r="A12935" t="s">
        <v>2509</v>
      </c>
      <c r="B12935">
        <v>300</v>
      </c>
      <c r="C12935">
        <v>1</v>
      </c>
      <c r="D12935" s="9">
        <v>42194</v>
      </c>
      <c r="E12935" t="s">
        <v>295</v>
      </c>
    </row>
    <row r="12936" spans="1:5" x14ac:dyDescent="0.25">
      <c r="A12936" t="s">
        <v>2509</v>
      </c>
      <c r="B12936">
        <v>92.6</v>
      </c>
      <c r="C12936">
        <v>1</v>
      </c>
      <c r="D12936" s="9">
        <v>42167</v>
      </c>
      <c r="E12936" t="s">
        <v>295</v>
      </c>
    </row>
    <row r="12937" spans="1:5" x14ac:dyDescent="0.25">
      <c r="A12937" t="s">
        <v>2509</v>
      </c>
      <c r="B12937">
        <v>132</v>
      </c>
      <c r="C12937">
        <v>1</v>
      </c>
      <c r="D12937" s="9">
        <v>42137</v>
      </c>
      <c r="E12937" t="s">
        <v>295</v>
      </c>
    </row>
    <row r="12938" spans="1:5" x14ac:dyDescent="0.25">
      <c r="A12938" t="s">
        <v>2509</v>
      </c>
      <c r="B12938">
        <v>98</v>
      </c>
      <c r="C12938">
        <v>1</v>
      </c>
      <c r="D12938" s="9">
        <v>42103</v>
      </c>
      <c r="E12938" t="s">
        <v>295</v>
      </c>
    </row>
    <row r="12939" spans="1:5" x14ac:dyDescent="0.25">
      <c r="A12939" t="s">
        <v>2509</v>
      </c>
      <c r="B12939">
        <v>15</v>
      </c>
      <c r="C12939">
        <v>1</v>
      </c>
      <c r="D12939" s="9">
        <v>42087</v>
      </c>
      <c r="E12939" t="s">
        <v>295</v>
      </c>
    </row>
    <row r="12940" spans="1:5" x14ac:dyDescent="0.25">
      <c r="A12940" t="s">
        <v>2509</v>
      </c>
      <c r="B12940">
        <v>11</v>
      </c>
      <c r="C12940">
        <v>1</v>
      </c>
      <c r="D12940" s="9">
        <v>42052</v>
      </c>
      <c r="E12940" t="s">
        <v>295</v>
      </c>
    </row>
    <row r="12941" spans="1:5" x14ac:dyDescent="0.25">
      <c r="A12941" t="s">
        <v>2509</v>
      </c>
      <c r="B12941">
        <v>16.260000000000002</v>
      </c>
      <c r="C12941">
        <v>1</v>
      </c>
      <c r="D12941" s="9">
        <v>42033</v>
      </c>
      <c r="E12941" t="s">
        <v>295</v>
      </c>
    </row>
    <row r="12942" spans="1:5" x14ac:dyDescent="0.25">
      <c r="A12942" t="s">
        <v>2509</v>
      </c>
      <c r="B12942">
        <v>198</v>
      </c>
      <c r="C12942">
        <v>1</v>
      </c>
      <c r="D12942" s="9">
        <v>41984</v>
      </c>
      <c r="E12942" t="s">
        <v>295</v>
      </c>
    </row>
    <row r="12943" spans="1:5" x14ac:dyDescent="0.25">
      <c r="A12943" t="s">
        <v>2509</v>
      </c>
      <c r="B12943">
        <v>880</v>
      </c>
      <c r="C12943">
        <v>1</v>
      </c>
      <c r="D12943" s="9">
        <v>41960</v>
      </c>
      <c r="E12943" t="s">
        <v>295</v>
      </c>
    </row>
    <row r="12944" spans="1:5" x14ac:dyDescent="0.25">
      <c r="A12944" t="s">
        <v>2509</v>
      </c>
      <c r="B12944">
        <v>99</v>
      </c>
      <c r="C12944">
        <v>1</v>
      </c>
      <c r="D12944" s="9">
        <v>41922</v>
      </c>
      <c r="E12944" t="s">
        <v>295</v>
      </c>
    </row>
    <row r="12945" spans="1:5" x14ac:dyDescent="0.25">
      <c r="A12945" t="s">
        <v>2509</v>
      </c>
      <c r="B12945">
        <v>50</v>
      </c>
      <c r="C12945">
        <v>1</v>
      </c>
      <c r="D12945" s="9">
        <v>41918</v>
      </c>
      <c r="E12945" t="s">
        <v>295</v>
      </c>
    </row>
    <row r="12946" spans="1:5" x14ac:dyDescent="0.25">
      <c r="A12946" t="s">
        <v>2509</v>
      </c>
      <c r="B12946">
        <v>17.5</v>
      </c>
      <c r="C12946">
        <v>1</v>
      </c>
      <c r="D12946" s="9">
        <v>41906</v>
      </c>
      <c r="E12946" t="s">
        <v>295</v>
      </c>
    </row>
    <row r="12947" spans="1:5" x14ac:dyDescent="0.25">
      <c r="A12947" t="s">
        <v>2509</v>
      </c>
      <c r="B12947">
        <v>200</v>
      </c>
      <c r="C12947">
        <v>1</v>
      </c>
      <c r="D12947" s="9">
        <v>41877</v>
      </c>
      <c r="E12947" t="s">
        <v>296</v>
      </c>
    </row>
    <row r="12948" spans="1:5" x14ac:dyDescent="0.25">
      <c r="A12948" t="s">
        <v>2509</v>
      </c>
      <c r="B12948">
        <v>17.5</v>
      </c>
      <c r="C12948">
        <v>1</v>
      </c>
      <c r="D12948" s="9">
        <v>41870</v>
      </c>
      <c r="E12948" t="s">
        <v>295</v>
      </c>
    </row>
    <row r="12949" spans="1:5" x14ac:dyDescent="0.25">
      <c r="A12949" t="s">
        <v>2509</v>
      </c>
      <c r="B12949">
        <v>500</v>
      </c>
      <c r="C12949">
        <v>1</v>
      </c>
      <c r="D12949" s="9">
        <v>41837</v>
      </c>
      <c r="E12949" t="s">
        <v>295</v>
      </c>
    </row>
    <row r="12950" spans="1:5" x14ac:dyDescent="0.25">
      <c r="A12950" t="s">
        <v>2509</v>
      </c>
      <c r="B12950">
        <v>99</v>
      </c>
      <c r="C12950">
        <v>1</v>
      </c>
      <c r="D12950" s="9">
        <v>41794</v>
      </c>
      <c r="E12950" t="s">
        <v>295</v>
      </c>
    </row>
    <row r="12951" spans="1:5" x14ac:dyDescent="0.25">
      <c r="A12951" t="s">
        <v>2509</v>
      </c>
      <c r="B12951">
        <v>99</v>
      </c>
      <c r="C12951">
        <v>1</v>
      </c>
      <c r="D12951" s="9">
        <v>41775</v>
      </c>
      <c r="E12951" t="s">
        <v>295</v>
      </c>
    </row>
    <row r="12952" spans="1:5" x14ac:dyDescent="0.25">
      <c r="A12952" t="s">
        <v>2509</v>
      </c>
      <c r="B12952">
        <v>40</v>
      </c>
      <c r="C12952">
        <v>1</v>
      </c>
      <c r="D12952" s="9">
        <v>41612</v>
      </c>
      <c r="E12952" t="s">
        <v>295</v>
      </c>
    </row>
    <row r="12953" spans="1:5" x14ac:dyDescent="0.25">
      <c r="A12953" t="s">
        <v>2509</v>
      </c>
      <c r="B12953">
        <v>150</v>
      </c>
      <c r="C12953">
        <v>1</v>
      </c>
      <c r="D12953" s="9">
        <v>41612</v>
      </c>
      <c r="E12953" t="s">
        <v>295</v>
      </c>
    </row>
    <row r="12954" spans="1:5" x14ac:dyDescent="0.25">
      <c r="A12954" t="s">
        <v>2509</v>
      </c>
      <c r="B12954">
        <v>11</v>
      </c>
      <c r="C12954">
        <v>1</v>
      </c>
      <c r="D12954" s="9">
        <v>41606</v>
      </c>
      <c r="E12954" t="s">
        <v>295</v>
      </c>
    </row>
    <row r="12955" spans="1:5" x14ac:dyDescent="0.25">
      <c r="A12955" t="s">
        <v>165</v>
      </c>
      <c r="B12955">
        <v>2.95</v>
      </c>
      <c r="C12955">
        <v>760</v>
      </c>
      <c r="D12955" s="9">
        <v>43781</v>
      </c>
      <c r="E12955" t="s">
        <v>295</v>
      </c>
    </row>
    <row r="12956" spans="1:5" x14ac:dyDescent="0.25">
      <c r="A12956" t="s">
        <v>165</v>
      </c>
      <c r="B12956">
        <v>2.86</v>
      </c>
      <c r="C12956">
        <v>300</v>
      </c>
      <c r="D12956" s="9">
        <v>43052</v>
      </c>
      <c r="E12956" t="s">
        <v>295</v>
      </c>
    </row>
    <row r="12957" spans="1:5" x14ac:dyDescent="0.25">
      <c r="A12957" t="s">
        <v>166</v>
      </c>
      <c r="B12957">
        <v>4.32</v>
      </c>
      <c r="C12957">
        <v>960</v>
      </c>
      <c r="D12957" s="9">
        <v>43052</v>
      </c>
      <c r="E12957" t="s">
        <v>295</v>
      </c>
    </row>
    <row r="12958" spans="1:5" x14ac:dyDescent="0.25">
      <c r="A12958" t="s">
        <v>167</v>
      </c>
      <c r="B12958">
        <v>3.13</v>
      </c>
      <c r="C12958">
        <v>1200</v>
      </c>
      <c r="D12958" s="9">
        <v>43781</v>
      </c>
      <c r="E12958" t="s">
        <v>295</v>
      </c>
    </row>
    <row r="12959" spans="1:5" x14ac:dyDescent="0.25">
      <c r="A12959" t="s">
        <v>167</v>
      </c>
      <c r="B12959">
        <v>3.15</v>
      </c>
      <c r="C12959">
        <v>960</v>
      </c>
      <c r="D12959" s="9">
        <v>43052</v>
      </c>
      <c r="E12959" t="s">
        <v>295</v>
      </c>
    </row>
    <row r="12960" spans="1:5" x14ac:dyDescent="0.25">
      <c r="A12960" t="s">
        <v>167</v>
      </c>
      <c r="B12960">
        <v>3.39</v>
      </c>
      <c r="C12960">
        <v>240</v>
      </c>
      <c r="D12960" s="9">
        <v>42405</v>
      </c>
      <c r="E12960" t="s">
        <v>295</v>
      </c>
    </row>
    <row r="12961" spans="1:5" x14ac:dyDescent="0.25">
      <c r="A12961" t="s">
        <v>168</v>
      </c>
      <c r="B12961">
        <v>4.8099999999999996</v>
      </c>
      <c r="C12961">
        <v>80</v>
      </c>
      <c r="D12961" s="9">
        <v>42405</v>
      </c>
      <c r="E12961" t="s">
        <v>295</v>
      </c>
    </row>
    <row r="12962" spans="1:5" x14ac:dyDescent="0.25">
      <c r="A12962" t="s">
        <v>168</v>
      </c>
      <c r="B12962">
        <v>4.2699999999999996</v>
      </c>
      <c r="C12962">
        <v>80</v>
      </c>
      <c r="D12962" s="9">
        <v>42184</v>
      </c>
      <c r="E12962" t="s">
        <v>295</v>
      </c>
    </row>
    <row r="12963" spans="1:5" x14ac:dyDescent="0.25">
      <c r="A12963" t="s">
        <v>168</v>
      </c>
      <c r="B12963">
        <v>4.2699999999999996</v>
      </c>
      <c r="C12963">
        <v>80</v>
      </c>
      <c r="D12963" s="9">
        <v>42167</v>
      </c>
      <c r="E12963" t="s">
        <v>295</v>
      </c>
    </row>
    <row r="12964" spans="1:5" x14ac:dyDescent="0.25">
      <c r="A12964" t="s">
        <v>168</v>
      </c>
      <c r="B12964">
        <v>4.2699999999999996</v>
      </c>
      <c r="C12964">
        <v>160</v>
      </c>
      <c r="D12964" s="9">
        <v>42082</v>
      </c>
      <c r="E12964" t="s">
        <v>295</v>
      </c>
    </row>
    <row r="12965" spans="1:5" x14ac:dyDescent="0.25">
      <c r="A12965" t="s">
        <v>169</v>
      </c>
      <c r="B12965">
        <v>6.1</v>
      </c>
      <c r="C12965">
        <v>60</v>
      </c>
      <c r="D12965" s="9">
        <v>42184</v>
      </c>
      <c r="E12965" t="s">
        <v>295</v>
      </c>
    </row>
    <row r="12966" spans="1:5" x14ac:dyDescent="0.25">
      <c r="A12966" t="s">
        <v>169</v>
      </c>
      <c r="B12966">
        <v>6.1</v>
      </c>
      <c r="C12966">
        <v>60</v>
      </c>
      <c r="D12966" s="9">
        <v>42167</v>
      </c>
      <c r="E12966" t="s">
        <v>295</v>
      </c>
    </row>
    <row r="12967" spans="1:5" x14ac:dyDescent="0.25">
      <c r="A12967" t="s">
        <v>169</v>
      </c>
      <c r="B12967">
        <v>6.1</v>
      </c>
      <c r="C12967">
        <v>60</v>
      </c>
      <c r="D12967" s="9">
        <v>42082</v>
      </c>
      <c r="E12967" t="s">
        <v>295</v>
      </c>
    </row>
    <row r="12968" spans="1:5" x14ac:dyDescent="0.25">
      <c r="A12968" t="s">
        <v>170</v>
      </c>
      <c r="B12968">
        <v>7.26</v>
      </c>
      <c r="C12968">
        <v>320</v>
      </c>
      <c r="D12968" s="9">
        <v>43052</v>
      </c>
      <c r="E12968" t="s">
        <v>295</v>
      </c>
    </row>
    <row r="12969" spans="1:5" x14ac:dyDescent="0.25">
      <c r="A12969" t="s">
        <v>170</v>
      </c>
      <c r="B12969">
        <v>7.82</v>
      </c>
      <c r="C12969">
        <v>40</v>
      </c>
      <c r="D12969" s="9">
        <v>42405</v>
      </c>
      <c r="E12969" t="s">
        <v>295</v>
      </c>
    </row>
    <row r="12970" spans="1:5" x14ac:dyDescent="0.25">
      <c r="A12970" t="s">
        <v>170</v>
      </c>
      <c r="B12970">
        <v>6.94</v>
      </c>
      <c r="C12970">
        <v>40</v>
      </c>
      <c r="D12970" s="9">
        <v>42082</v>
      </c>
      <c r="E12970" t="s">
        <v>295</v>
      </c>
    </row>
    <row r="12971" spans="1:5" x14ac:dyDescent="0.25">
      <c r="A12971" t="s">
        <v>171</v>
      </c>
      <c r="B12971">
        <v>9.4700000000000006</v>
      </c>
      <c r="C12971">
        <v>320</v>
      </c>
      <c r="D12971" s="9">
        <v>43052</v>
      </c>
      <c r="E12971" t="s">
        <v>295</v>
      </c>
    </row>
    <row r="12972" spans="1:5" x14ac:dyDescent="0.25">
      <c r="A12972" t="s">
        <v>171</v>
      </c>
      <c r="B12972">
        <v>9.06</v>
      </c>
      <c r="C12972">
        <v>40</v>
      </c>
      <c r="D12972" s="9">
        <v>42184</v>
      </c>
      <c r="E12972" t="s">
        <v>295</v>
      </c>
    </row>
    <row r="12973" spans="1:5" x14ac:dyDescent="0.25">
      <c r="A12973" t="s">
        <v>171</v>
      </c>
      <c r="B12973">
        <v>9.06</v>
      </c>
      <c r="C12973">
        <v>40</v>
      </c>
      <c r="D12973" s="9">
        <v>42167</v>
      </c>
      <c r="E12973" t="s">
        <v>295</v>
      </c>
    </row>
    <row r="12974" spans="1:5" x14ac:dyDescent="0.25">
      <c r="A12974" t="s">
        <v>171</v>
      </c>
      <c r="B12974">
        <v>9.06</v>
      </c>
      <c r="C12974">
        <v>40</v>
      </c>
      <c r="D12974" s="9">
        <v>42082</v>
      </c>
      <c r="E12974" t="s">
        <v>295</v>
      </c>
    </row>
    <row r="12975" spans="1:5" x14ac:dyDescent="0.25">
      <c r="A12975" t="s">
        <v>172</v>
      </c>
      <c r="B12975">
        <v>13.2</v>
      </c>
      <c r="C12975">
        <v>60</v>
      </c>
      <c r="D12975" s="9">
        <v>42405</v>
      </c>
      <c r="E12975" t="s">
        <v>295</v>
      </c>
    </row>
    <row r="12976" spans="1:5" x14ac:dyDescent="0.25">
      <c r="A12976" t="s">
        <v>172</v>
      </c>
      <c r="B12976">
        <v>11.72</v>
      </c>
      <c r="C12976">
        <v>60</v>
      </c>
      <c r="D12976" s="9">
        <v>42082</v>
      </c>
      <c r="E12976" t="s">
        <v>295</v>
      </c>
    </row>
    <row r="12977" spans="1:5" x14ac:dyDescent="0.25">
      <c r="A12977" t="s">
        <v>173</v>
      </c>
      <c r="B12977">
        <v>15.14</v>
      </c>
      <c r="C12977">
        <v>30</v>
      </c>
      <c r="D12977" s="9">
        <v>42082</v>
      </c>
      <c r="E12977" t="s">
        <v>295</v>
      </c>
    </row>
    <row r="12978" spans="1:5" x14ac:dyDescent="0.25">
      <c r="A12978" t="s">
        <v>174</v>
      </c>
      <c r="B12978">
        <v>19.739999999999998</v>
      </c>
      <c r="C12978">
        <v>20</v>
      </c>
      <c r="D12978" s="9">
        <v>42405</v>
      </c>
      <c r="E12978" t="s">
        <v>295</v>
      </c>
    </row>
    <row r="12979" spans="1:5" x14ac:dyDescent="0.25">
      <c r="A12979" t="s">
        <v>175</v>
      </c>
      <c r="B12979">
        <v>2.35</v>
      </c>
      <c r="C12979">
        <v>200</v>
      </c>
      <c r="D12979" s="9">
        <v>41960</v>
      </c>
      <c r="E12979" t="s">
        <v>295</v>
      </c>
    </row>
    <row r="12980" spans="1:5" x14ac:dyDescent="0.25">
      <c r="A12980" t="s">
        <v>176</v>
      </c>
      <c r="B12980">
        <v>3.26</v>
      </c>
      <c r="C12980">
        <v>240</v>
      </c>
      <c r="D12980" s="9">
        <v>41960</v>
      </c>
      <c r="E12980" t="s">
        <v>295</v>
      </c>
    </row>
    <row r="12981" spans="1:5" x14ac:dyDescent="0.25">
      <c r="A12981" t="s">
        <v>177</v>
      </c>
      <c r="B12981">
        <v>3.01</v>
      </c>
      <c r="C12981">
        <v>120</v>
      </c>
      <c r="D12981" s="9">
        <v>42184</v>
      </c>
      <c r="E12981" t="s">
        <v>295</v>
      </c>
    </row>
    <row r="12982" spans="1:5" x14ac:dyDescent="0.25">
      <c r="A12982" t="s">
        <v>177</v>
      </c>
      <c r="B12982">
        <v>3.01</v>
      </c>
      <c r="C12982">
        <v>120</v>
      </c>
      <c r="D12982" s="9">
        <v>42167</v>
      </c>
      <c r="E12982" t="s">
        <v>295</v>
      </c>
    </row>
    <row r="12983" spans="1:5" x14ac:dyDescent="0.25">
      <c r="A12983" t="s">
        <v>177</v>
      </c>
      <c r="B12983">
        <v>3.01</v>
      </c>
      <c r="C12983">
        <v>240</v>
      </c>
      <c r="D12983" s="9">
        <v>42082</v>
      </c>
      <c r="E12983" t="s">
        <v>295</v>
      </c>
    </row>
    <row r="12984" spans="1:5" x14ac:dyDescent="0.25">
      <c r="A12984" t="s">
        <v>177</v>
      </c>
      <c r="B12984">
        <v>3.01</v>
      </c>
      <c r="C12984">
        <v>408</v>
      </c>
      <c r="D12984" s="9">
        <v>41960</v>
      </c>
      <c r="E12984" t="s">
        <v>295</v>
      </c>
    </row>
    <row r="12985" spans="1:5" x14ac:dyDescent="0.25">
      <c r="A12985" t="s">
        <v>178</v>
      </c>
      <c r="B12985">
        <v>3.26</v>
      </c>
      <c r="C12985">
        <v>240</v>
      </c>
      <c r="D12985" s="9">
        <v>43781</v>
      </c>
      <c r="E12985" t="s">
        <v>295</v>
      </c>
    </row>
    <row r="12986" spans="1:5" x14ac:dyDescent="0.25">
      <c r="A12986" t="s">
        <v>178</v>
      </c>
      <c r="B12986">
        <v>2.74</v>
      </c>
      <c r="C12986">
        <v>600</v>
      </c>
      <c r="D12986" s="9">
        <v>41960</v>
      </c>
      <c r="E12986" t="s">
        <v>295</v>
      </c>
    </row>
    <row r="12987" spans="1:5" x14ac:dyDescent="0.25">
      <c r="A12987" t="s">
        <v>179</v>
      </c>
      <c r="B12987">
        <v>3.33</v>
      </c>
      <c r="C12987">
        <v>48</v>
      </c>
      <c r="D12987" s="9">
        <v>43052</v>
      </c>
      <c r="E12987" t="s">
        <v>295</v>
      </c>
    </row>
    <row r="12988" spans="1:5" x14ac:dyDescent="0.25">
      <c r="A12988" t="s">
        <v>180</v>
      </c>
      <c r="B12988">
        <v>10.06</v>
      </c>
      <c r="C12988">
        <v>240</v>
      </c>
      <c r="D12988" s="9">
        <v>41960</v>
      </c>
      <c r="E12988" t="s">
        <v>295</v>
      </c>
    </row>
    <row r="12989" spans="1:5" x14ac:dyDescent="0.25">
      <c r="A12989" t="s">
        <v>181</v>
      </c>
      <c r="B12989">
        <v>7.9</v>
      </c>
      <c r="C12989">
        <v>120</v>
      </c>
      <c r="D12989" s="9">
        <v>41960</v>
      </c>
      <c r="E12989" t="s">
        <v>295</v>
      </c>
    </row>
    <row r="12990" spans="1:5" x14ac:dyDescent="0.25">
      <c r="A12990" t="s">
        <v>182</v>
      </c>
      <c r="B12990">
        <v>1</v>
      </c>
      <c r="C12990">
        <v>150</v>
      </c>
      <c r="D12990" s="9">
        <v>43052</v>
      </c>
      <c r="E12990" t="s">
        <v>295</v>
      </c>
    </row>
    <row r="12991" spans="1:5" x14ac:dyDescent="0.25">
      <c r="A12991" t="s">
        <v>183</v>
      </c>
      <c r="B12991">
        <v>1.31</v>
      </c>
      <c r="C12991">
        <v>100</v>
      </c>
      <c r="D12991" s="9">
        <v>43052</v>
      </c>
      <c r="E12991" t="s">
        <v>295</v>
      </c>
    </row>
    <row r="12992" spans="1:5" x14ac:dyDescent="0.25">
      <c r="A12992" t="s">
        <v>184</v>
      </c>
      <c r="B12992">
        <v>1.03</v>
      </c>
      <c r="C12992">
        <v>50</v>
      </c>
      <c r="D12992" s="9">
        <v>43052</v>
      </c>
      <c r="E12992" t="s">
        <v>295</v>
      </c>
    </row>
    <row r="12993" spans="1:5" x14ac:dyDescent="0.25">
      <c r="A12993" t="s">
        <v>185</v>
      </c>
      <c r="B12993">
        <v>1.29</v>
      </c>
      <c r="C12993">
        <v>50</v>
      </c>
      <c r="D12993" s="9">
        <v>43052</v>
      </c>
      <c r="E12993" t="s">
        <v>295</v>
      </c>
    </row>
    <row r="12994" spans="1:5" x14ac:dyDescent="0.25">
      <c r="A12994" t="s">
        <v>186</v>
      </c>
      <c r="B12994">
        <v>1.54</v>
      </c>
      <c r="C12994">
        <v>50</v>
      </c>
      <c r="D12994" s="9">
        <v>43052</v>
      </c>
      <c r="E12994" t="s">
        <v>295</v>
      </c>
    </row>
    <row r="12995" spans="1:5" x14ac:dyDescent="0.25">
      <c r="A12995" t="s">
        <v>187</v>
      </c>
      <c r="B12995">
        <v>2.15</v>
      </c>
      <c r="C12995">
        <v>50</v>
      </c>
      <c r="D12995" s="9">
        <v>43781</v>
      </c>
      <c r="E12995" t="s">
        <v>295</v>
      </c>
    </row>
    <row r="12996" spans="1:5" x14ac:dyDescent="0.25">
      <c r="A12996" t="s">
        <v>187</v>
      </c>
      <c r="B12996">
        <v>1.78</v>
      </c>
      <c r="C12996">
        <v>50</v>
      </c>
      <c r="D12996" s="9">
        <v>43052</v>
      </c>
      <c r="E12996" t="s">
        <v>295</v>
      </c>
    </row>
    <row r="12997" spans="1:5" x14ac:dyDescent="0.25">
      <c r="A12997" t="s">
        <v>188</v>
      </c>
      <c r="B12997">
        <v>0.6</v>
      </c>
      <c r="C12997">
        <v>100</v>
      </c>
      <c r="D12997" s="9">
        <v>42271</v>
      </c>
      <c r="E12997" t="s">
        <v>295</v>
      </c>
    </row>
    <row r="12998" spans="1:5" x14ac:dyDescent="0.25">
      <c r="A12998" t="s">
        <v>188</v>
      </c>
      <c r="B12998">
        <v>0.56999999999999995</v>
      </c>
      <c r="C12998">
        <v>100</v>
      </c>
      <c r="D12998" s="9">
        <v>42167</v>
      </c>
      <c r="E12998" t="s">
        <v>295</v>
      </c>
    </row>
    <row r="12999" spans="1:5" x14ac:dyDescent="0.25">
      <c r="A12999" t="s">
        <v>189</v>
      </c>
      <c r="B12999">
        <v>1.04</v>
      </c>
      <c r="C12999">
        <v>100</v>
      </c>
      <c r="D12999" s="9">
        <v>42271</v>
      </c>
      <c r="E12999" t="s">
        <v>295</v>
      </c>
    </row>
    <row r="13000" spans="1:5" x14ac:dyDescent="0.25">
      <c r="A13000" t="s">
        <v>189</v>
      </c>
      <c r="B13000">
        <v>1.04</v>
      </c>
      <c r="C13000">
        <v>50</v>
      </c>
      <c r="D13000" s="9">
        <v>42254</v>
      </c>
      <c r="E13000" t="s">
        <v>295</v>
      </c>
    </row>
    <row r="13001" spans="1:5" x14ac:dyDescent="0.25">
      <c r="A13001" t="s">
        <v>189</v>
      </c>
      <c r="B13001">
        <v>1</v>
      </c>
      <c r="C13001">
        <v>50</v>
      </c>
      <c r="D13001" s="9">
        <v>42184</v>
      </c>
      <c r="E13001" t="s">
        <v>295</v>
      </c>
    </row>
    <row r="13002" spans="1:5" x14ac:dyDescent="0.25">
      <c r="A13002" t="s">
        <v>189</v>
      </c>
      <c r="B13002">
        <v>1</v>
      </c>
      <c r="C13002">
        <v>50</v>
      </c>
      <c r="D13002" s="9">
        <v>42167</v>
      </c>
      <c r="E13002" t="s">
        <v>295</v>
      </c>
    </row>
    <row r="13003" spans="1:5" x14ac:dyDescent="0.25">
      <c r="A13003" t="s">
        <v>190</v>
      </c>
      <c r="B13003">
        <v>1.59</v>
      </c>
      <c r="C13003">
        <v>200</v>
      </c>
      <c r="D13003" s="9">
        <v>42271</v>
      </c>
      <c r="E13003" t="s">
        <v>295</v>
      </c>
    </row>
    <row r="13004" spans="1:5" x14ac:dyDescent="0.25">
      <c r="A13004" t="s">
        <v>190</v>
      </c>
      <c r="B13004">
        <v>1.59</v>
      </c>
      <c r="C13004">
        <v>100</v>
      </c>
      <c r="D13004" s="9">
        <v>42254</v>
      </c>
      <c r="E13004" t="s">
        <v>295</v>
      </c>
    </row>
    <row r="13005" spans="1:5" x14ac:dyDescent="0.25">
      <c r="A13005" t="s">
        <v>190</v>
      </c>
      <c r="B13005">
        <v>1.53</v>
      </c>
      <c r="C13005">
        <v>25</v>
      </c>
      <c r="D13005" s="9">
        <v>42184</v>
      </c>
      <c r="E13005" t="s">
        <v>295</v>
      </c>
    </row>
    <row r="13006" spans="1:5" x14ac:dyDescent="0.25">
      <c r="A13006" t="s">
        <v>191</v>
      </c>
      <c r="B13006">
        <v>2.2799999999999998</v>
      </c>
      <c r="C13006">
        <v>200</v>
      </c>
      <c r="D13006" s="9">
        <v>42271</v>
      </c>
      <c r="E13006" t="s">
        <v>295</v>
      </c>
    </row>
    <row r="13007" spans="1:5" x14ac:dyDescent="0.25">
      <c r="A13007" t="s">
        <v>191</v>
      </c>
      <c r="B13007">
        <v>2.2799999999999998</v>
      </c>
      <c r="C13007">
        <v>100</v>
      </c>
      <c r="D13007" s="9">
        <v>42254</v>
      </c>
      <c r="E13007" t="s">
        <v>295</v>
      </c>
    </row>
    <row r="13008" spans="1:5" x14ac:dyDescent="0.25">
      <c r="A13008" t="s">
        <v>191</v>
      </c>
      <c r="B13008">
        <v>2.1800000000000002</v>
      </c>
      <c r="C13008">
        <v>20</v>
      </c>
      <c r="D13008" s="9">
        <v>42184</v>
      </c>
      <c r="E13008" t="s">
        <v>295</v>
      </c>
    </row>
    <row r="13009" spans="1:5" x14ac:dyDescent="0.25">
      <c r="A13009" t="s">
        <v>191</v>
      </c>
      <c r="B13009">
        <v>2.1800000000000002</v>
      </c>
      <c r="C13009">
        <v>20</v>
      </c>
      <c r="D13009" s="9">
        <v>42167</v>
      </c>
      <c r="E13009" t="s">
        <v>295</v>
      </c>
    </row>
    <row r="13010" spans="1:5" x14ac:dyDescent="0.25">
      <c r="A13010" t="s">
        <v>192</v>
      </c>
      <c r="B13010">
        <v>3.19</v>
      </c>
      <c r="C13010">
        <v>150</v>
      </c>
      <c r="D13010" s="9">
        <v>42271</v>
      </c>
      <c r="E13010" t="s">
        <v>295</v>
      </c>
    </row>
    <row r="13011" spans="1:5" x14ac:dyDescent="0.25">
      <c r="A13011" t="s">
        <v>192</v>
      </c>
      <c r="B13011">
        <v>3.19</v>
      </c>
      <c r="C13011">
        <v>50</v>
      </c>
      <c r="D13011" s="9">
        <v>42254</v>
      </c>
      <c r="E13011" t="s">
        <v>295</v>
      </c>
    </row>
    <row r="13012" spans="1:5" x14ac:dyDescent="0.25">
      <c r="A13012" t="s">
        <v>192</v>
      </c>
      <c r="B13012">
        <v>3.05</v>
      </c>
      <c r="C13012">
        <v>10</v>
      </c>
      <c r="D13012" s="9">
        <v>42184</v>
      </c>
      <c r="E13012" t="s">
        <v>295</v>
      </c>
    </row>
    <row r="13013" spans="1:5" x14ac:dyDescent="0.25">
      <c r="A13013" t="s">
        <v>192</v>
      </c>
      <c r="B13013">
        <v>3.05</v>
      </c>
      <c r="C13013">
        <v>10</v>
      </c>
      <c r="D13013" s="9">
        <v>42167</v>
      </c>
      <c r="E13013" t="s">
        <v>295</v>
      </c>
    </row>
    <row r="13014" spans="1:5" x14ac:dyDescent="0.25">
      <c r="A13014" t="s">
        <v>193</v>
      </c>
      <c r="B13014">
        <v>4.34</v>
      </c>
      <c r="C13014">
        <v>150</v>
      </c>
      <c r="D13014" s="9">
        <v>42271</v>
      </c>
      <c r="E13014" t="s">
        <v>295</v>
      </c>
    </row>
    <row r="13015" spans="1:5" x14ac:dyDescent="0.25">
      <c r="A13015" t="s">
        <v>193</v>
      </c>
      <c r="B13015">
        <v>4.34</v>
      </c>
      <c r="C13015">
        <v>50</v>
      </c>
      <c r="D13015" s="9">
        <v>42254</v>
      </c>
      <c r="E13015" t="s">
        <v>295</v>
      </c>
    </row>
    <row r="13016" spans="1:5" x14ac:dyDescent="0.25">
      <c r="A13016" t="s">
        <v>193</v>
      </c>
      <c r="B13016">
        <v>4.16</v>
      </c>
      <c r="C13016">
        <v>10</v>
      </c>
      <c r="D13016" s="9">
        <v>42184</v>
      </c>
      <c r="E13016" t="s">
        <v>295</v>
      </c>
    </row>
    <row r="13017" spans="1:5" x14ac:dyDescent="0.25">
      <c r="A13017" t="s">
        <v>193</v>
      </c>
      <c r="B13017">
        <v>4.16</v>
      </c>
      <c r="C13017">
        <v>10</v>
      </c>
      <c r="D13017" s="9">
        <v>42167</v>
      </c>
      <c r="E13017" t="s">
        <v>295</v>
      </c>
    </row>
    <row r="13018" spans="1:5" x14ac:dyDescent="0.25">
      <c r="A13018" t="s">
        <v>194</v>
      </c>
      <c r="B13018">
        <v>6.96</v>
      </c>
      <c r="C13018">
        <v>150</v>
      </c>
      <c r="D13018" s="9">
        <v>42271</v>
      </c>
      <c r="E13018" t="s">
        <v>295</v>
      </c>
    </row>
    <row r="13019" spans="1:5" x14ac:dyDescent="0.25">
      <c r="A13019" t="s">
        <v>194</v>
      </c>
      <c r="B13019">
        <v>6.96</v>
      </c>
      <c r="C13019">
        <v>20</v>
      </c>
      <c r="D13019" s="9">
        <v>42254</v>
      </c>
      <c r="E13019" t="s">
        <v>295</v>
      </c>
    </row>
    <row r="13020" spans="1:5" x14ac:dyDescent="0.25">
      <c r="A13020" t="s">
        <v>194</v>
      </c>
      <c r="B13020">
        <v>6.66</v>
      </c>
      <c r="C13020">
        <v>5</v>
      </c>
      <c r="D13020" s="9">
        <v>42184</v>
      </c>
      <c r="E13020" t="s">
        <v>295</v>
      </c>
    </row>
    <row r="13021" spans="1:5" x14ac:dyDescent="0.25">
      <c r="A13021" t="s">
        <v>194</v>
      </c>
      <c r="B13021">
        <v>6.66</v>
      </c>
      <c r="C13021">
        <v>5</v>
      </c>
      <c r="D13021" s="9">
        <v>42167</v>
      </c>
      <c r="E13021" t="s">
        <v>295</v>
      </c>
    </row>
    <row r="13022" spans="1:5" x14ac:dyDescent="0.25">
      <c r="A13022" t="s">
        <v>195</v>
      </c>
      <c r="B13022">
        <v>10.15</v>
      </c>
      <c r="C13022">
        <v>100</v>
      </c>
      <c r="D13022" s="9">
        <v>42271</v>
      </c>
      <c r="E13022" t="s">
        <v>295</v>
      </c>
    </row>
    <row r="13023" spans="1:5" x14ac:dyDescent="0.25">
      <c r="A13023" t="s">
        <v>195</v>
      </c>
      <c r="B13023">
        <v>10.15</v>
      </c>
      <c r="C13023">
        <v>20</v>
      </c>
      <c r="D13023" s="9">
        <v>42254</v>
      </c>
      <c r="E13023" t="s">
        <v>295</v>
      </c>
    </row>
    <row r="13024" spans="1:5" x14ac:dyDescent="0.25">
      <c r="A13024" t="s">
        <v>195</v>
      </c>
      <c r="B13024">
        <v>9.7200000000000006</v>
      </c>
      <c r="C13024">
        <v>5</v>
      </c>
      <c r="D13024" s="9">
        <v>42184</v>
      </c>
      <c r="E13024" t="s">
        <v>295</v>
      </c>
    </row>
    <row r="13025" spans="1:5" x14ac:dyDescent="0.25">
      <c r="A13025" t="s">
        <v>195</v>
      </c>
      <c r="B13025">
        <v>9.7200000000000006</v>
      </c>
      <c r="C13025">
        <v>5</v>
      </c>
      <c r="D13025" s="9">
        <v>42167</v>
      </c>
      <c r="E13025" t="s">
        <v>295</v>
      </c>
    </row>
    <row r="13026" spans="1:5" x14ac:dyDescent="0.25">
      <c r="A13026" t="s">
        <v>2989</v>
      </c>
      <c r="B13026">
        <v>18.95</v>
      </c>
      <c r="C13026">
        <v>50</v>
      </c>
      <c r="D13026" s="9">
        <v>44102</v>
      </c>
      <c r="E13026" t="s">
        <v>295</v>
      </c>
    </row>
    <row r="13027" spans="1:5" x14ac:dyDescent="0.25">
      <c r="A13027" t="s">
        <v>2990</v>
      </c>
      <c r="B13027">
        <v>5.48</v>
      </c>
      <c r="C13027">
        <v>100</v>
      </c>
      <c r="D13027" s="9">
        <v>44102</v>
      </c>
      <c r="E13027" t="s">
        <v>295</v>
      </c>
    </row>
    <row r="13028" spans="1:5" x14ac:dyDescent="0.25">
      <c r="A13028" t="s">
        <v>196</v>
      </c>
      <c r="B13028">
        <v>2.5099999999999998</v>
      </c>
      <c r="C13028">
        <v>50</v>
      </c>
      <c r="D13028" s="9">
        <v>41617</v>
      </c>
      <c r="E13028" t="s">
        <v>295</v>
      </c>
    </row>
    <row r="13029" spans="1:5" x14ac:dyDescent="0.25">
      <c r="A13029" t="s">
        <v>197</v>
      </c>
      <c r="B13029">
        <v>3.15</v>
      </c>
      <c r="C13029">
        <v>150</v>
      </c>
      <c r="D13029" s="9">
        <v>41617</v>
      </c>
      <c r="E13029" t="s">
        <v>295</v>
      </c>
    </row>
    <row r="13030" spans="1:5" x14ac:dyDescent="0.25">
      <c r="A13030" t="s">
        <v>198</v>
      </c>
      <c r="B13030">
        <v>5.22</v>
      </c>
      <c r="C13030">
        <v>60</v>
      </c>
      <c r="D13030" s="9">
        <v>41617</v>
      </c>
      <c r="E13030" t="s">
        <v>295</v>
      </c>
    </row>
    <row r="13031" spans="1:5" x14ac:dyDescent="0.25">
      <c r="A13031" t="s">
        <v>199</v>
      </c>
      <c r="B13031">
        <v>4.68</v>
      </c>
      <c r="C13031">
        <v>72</v>
      </c>
      <c r="D13031" s="9">
        <v>41751</v>
      </c>
      <c r="E13031" t="s">
        <v>295</v>
      </c>
    </row>
    <row r="13032" spans="1:5" x14ac:dyDescent="0.25">
      <c r="A13032" t="s">
        <v>200</v>
      </c>
      <c r="B13032">
        <v>5.68</v>
      </c>
      <c r="C13032">
        <v>72</v>
      </c>
      <c r="D13032" s="9">
        <v>41751</v>
      </c>
      <c r="E13032" t="s">
        <v>295</v>
      </c>
    </row>
    <row r="13033" spans="1:5" x14ac:dyDescent="0.25">
      <c r="A13033" t="s">
        <v>201</v>
      </c>
      <c r="B13033">
        <v>6.46</v>
      </c>
      <c r="C13033">
        <v>72</v>
      </c>
      <c r="D13033" s="9">
        <v>41751</v>
      </c>
      <c r="E13033" t="s">
        <v>295</v>
      </c>
    </row>
    <row r="13034" spans="1:5" x14ac:dyDescent="0.25">
      <c r="A13034" t="s">
        <v>202</v>
      </c>
      <c r="B13034">
        <v>4.32</v>
      </c>
      <c r="C13034">
        <v>72</v>
      </c>
      <c r="D13034" s="9">
        <v>41751</v>
      </c>
      <c r="E13034" t="s">
        <v>295</v>
      </c>
    </row>
    <row r="13035" spans="1:5" x14ac:dyDescent="0.25">
      <c r="A13035" t="s">
        <v>204</v>
      </c>
      <c r="B13035">
        <v>0.54</v>
      </c>
      <c r="C13035">
        <v>100</v>
      </c>
      <c r="D13035" s="9">
        <v>42291</v>
      </c>
      <c r="E13035" t="s">
        <v>295</v>
      </c>
    </row>
    <row r="13036" spans="1:5" x14ac:dyDescent="0.25">
      <c r="A13036" t="s">
        <v>204</v>
      </c>
      <c r="B13036">
        <v>3.3</v>
      </c>
      <c r="C13036">
        <v>100</v>
      </c>
      <c r="D13036" s="9">
        <v>42206</v>
      </c>
      <c r="E13036" t="s">
        <v>295</v>
      </c>
    </row>
    <row r="13037" spans="1:5" x14ac:dyDescent="0.25">
      <c r="A13037" t="s">
        <v>204</v>
      </c>
      <c r="B13037">
        <v>0.54</v>
      </c>
      <c r="C13037">
        <v>200</v>
      </c>
      <c r="D13037" s="9">
        <v>42146</v>
      </c>
      <c r="E13037" t="s">
        <v>295</v>
      </c>
    </row>
    <row r="13038" spans="1:5" x14ac:dyDescent="0.25">
      <c r="A13038" t="s">
        <v>204</v>
      </c>
      <c r="B13038">
        <v>0.54</v>
      </c>
      <c r="C13038">
        <v>100</v>
      </c>
      <c r="D13038" s="9">
        <v>42082</v>
      </c>
      <c r="E13038" t="s">
        <v>295</v>
      </c>
    </row>
    <row r="13039" spans="1:5" x14ac:dyDescent="0.25">
      <c r="A13039" t="s">
        <v>204</v>
      </c>
      <c r="B13039">
        <v>0.54</v>
      </c>
      <c r="C13039">
        <v>50</v>
      </c>
      <c r="D13039" s="9">
        <v>42052</v>
      </c>
      <c r="E13039" t="s">
        <v>295</v>
      </c>
    </row>
    <row r="13040" spans="1:5" x14ac:dyDescent="0.25">
      <c r="A13040" t="s">
        <v>204</v>
      </c>
      <c r="B13040">
        <v>0.54</v>
      </c>
      <c r="C13040">
        <v>100</v>
      </c>
      <c r="D13040" s="9">
        <v>41981</v>
      </c>
      <c r="E13040" t="s">
        <v>295</v>
      </c>
    </row>
    <row r="13041" spans="1:5" x14ac:dyDescent="0.25">
      <c r="A13041" t="s">
        <v>204</v>
      </c>
      <c r="B13041">
        <v>0.68</v>
      </c>
      <c r="C13041">
        <v>100</v>
      </c>
      <c r="D13041" s="9">
        <v>41906</v>
      </c>
      <c r="E13041" t="s">
        <v>295</v>
      </c>
    </row>
    <row r="13042" spans="1:5" x14ac:dyDescent="0.25">
      <c r="A13042" t="s">
        <v>204</v>
      </c>
      <c r="B13042">
        <v>0.68</v>
      </c>
      <c r="C13042">
        <v>100</v>
      </c>
      <c r="D13042" s="9">
        <v>41870</v>
      </c>
      <c r="E13042" t="s">
        <v>295</v>
      </c>
    </row>
    <row r="13043" spans="1:5" x14ac:dyDescent="0.25">
      <c r="A13043" t="s">
        <v>204</v>
      </c>
      <c r="B13043">
        <v>0.67</v>
      </c>
      <c r="C13043">
        <v>200</v>
      </c>
      <c r="D13043" s="9">
        <v>41754</v>
      </c>
      <c r="E13043" t="s">
        <v>295</v>
      </c>
    </row>
    <row r="13044" spans="1:5" x14ac:dyDescent="0.25">
      <c r="A13044" t="s">
        <v>204</v>
      </c>
      <c r="B13044">
        <v>0.67</v>
      </c>
      <c r="C13044">
        <v>300</v>
      </c>
      <c r="D13044" s="9">
        <v>41562</v>
      </c>
      <c r="E13044" t="s">
        <v>295</v>
      </c>
    </row>
    <row r="13045" spans="1:5" x14ac:dyDescent="0.25">
      <c r="A13045" t="s">
        <v>205</v>
      </c>
      <c r="B13045">
        <v>0</v>
      </c>
      <c r="C13045">
        <v>100</v>
      </c>
      <c r="D13045" s="9">
        <v>42206</v>
      </c>
      <c r="E13045" t="s">
        <v>295</v>
      </c>
    </row>
    <row r="13046" spans="1:5" x14ac:dyDescent="0.25">
      <c r="A13046" t="s">
        <v>205</v>
      </c>
      <c r="B13046">
        <v>0.64</v>
      </c>
      <c r="C13046">
        <v>200</v>
      </c>
      <c r="D13046" s="9">
        <v>42146</v>
      </c>
      <c r="E13046" t="s">
        <v>295</v>
      </c>
    </row>
    <row r="13047" spans="1:5" x14ac:dyDescent="0.25">
      <c r="A13047" t="s">
        <v>205</v>
      </c>
      <c r="B13047">
        <v>0.64</v>
      </c>
      <c r="C13047">
        <v>100</v>
      </c>
      <c r="D13047" s="9">
        <v>42082</v>
      </c>
      <c r="E13047" t="s">
        <v>295</v>
      </c>
    </row>
    <row r="13048" spans="1:5" x14ac:dyDescent="0.25">
      <c r="A13048" t="s">
        <v>205</v>
      </c>
      <c r="B13048">
        <v>0.64</v>
      </c>
      <c r="C13048">
        <v>50</v>
      </c>
      <c r="D13048" s="9">
        <v>42052</v>
      </c>
      <c r="E13048" t="s">
        <v>295</v>
      </c>
    </row>
    <row r="13049" spans="1:5" x14ac:dyDescent="0.25">
      <c r="A13049" t="s">
        <v>205</v>
      </c>
      <c r="B13049">
        <v>0.64</v>
      </c>
      <c r="C13049">
        <v>100</v>
      </c>
      <c r="D13049" s="9">
        <v>41981</v>
      </c>
      <c r="E13049" t="s">
        <v>295</v>
      </c>
    </row>
    <row r="13050" spans="1:5" x14ac:dyDescent="0.25">
      <c r="A13050" t="s">
        <v>205</v>
      </c>
      <c r="B13050">
        <v>0.75</v>
      </c>
      <c r="C13050">
        <v>72</v>
      </c>
      <c r="D13050" s="9">
        <v>41906</v>
      </c>
      <c r="E13050" t="s">
        <v>295</v>
      </c>
    </row>
    <row r="13051" spans="1:5" x14ac:dyDescent="0.25">
      <c r="A13051" t="s">
        <v>205</v>
      </c>
      <c r="B13051">
        <v>0.75</v>
      </c>
      <c r="C13051">
        <v>100</v>
      </c>
      <c r="D13051" s="9">
        <v>41870</v>
      </c>
      <c r="E13051" t="s">
        <v>295</v>
      </c>
    </row>
    <row r="13052" spans="1:5" x14ac:dyDescent="0.25">
      <c r="A13052" t="s">
        <v>205</v>
      </c>
      <c r="B13052">
        <v>0.74</v>
      </c>
      <c r="C13052">
        <v>200</v>
      </c>
      <c r="D13052" s="9">
        <v>41754</v>
      </c>
      <c r="E13052" t="s">
        <v>295</v>
      </c>
    </row>
    <row r="13053" spans="1:5" x14ac:dyDescent="0.25">
      <c r="A13053" t="s">
        <v>205</v>
      </c>
      <c r="B13053">
        <v>0.74</v>
      </c>
      <c r="C13053">
        <v>20</v>
      </c>
      <c r="D13053" s="9">
        <v>41675</v>
      </c>
      <c r="E13053" t="s">
        <v>295</v>
      </c>
    </row>
    <row r="13054" spans="1:5" x14ac:dyDescent="0.25">
      <c r="A13054" t="s">
        <v>205</v>
      </c>
      <c r="B13054">
        <v>0.74</v>
      </c>
      <c r="C13054">
        <v>100</v>
      </c>
      <c r="D13054" s="9">
        <v>41617</v>
      </c>
      <c r="E13054" t="s">
        <v>295</v>
      </c>
    </row>
    <row r="13055" spans="1:5" x14ac:dyDescent="0.25">
      <c r="A13055" t="s">
        <v>205</v>
      </c>
      <c r="B13055">
        <v>0.74</v>
      </c>
      <c r="C13055">
        <v>200</v>
      </c>
      <c r="D13055" s="9">
        <v>41562</v>
      </c>
      <c r="E13055" t="s">
        <v>295</v>
      </c>
    </row>
    <row r="13056" spans="1:5" x14ac:dyDescent="0.25">
      <c r="A13056" t="s">
        <v>206</v>
      </c>
      <c r="B13056">
        <v>5.87</v>
      </c>
      <c r="C13056">
        <v>100</v>
      </c>
      <c r="D13056" s="9">
        <v>41562</v>
      </c>
      <c r="E13056" t="s">
        <v>295</v>
      </c>
    </row>
    <row r="13057" spans="1:5" x14ac:dyDescent="0.25">
      <c r="A13057" t="s">
        <v>210</v>
      </c>
      <c r="B13057">
        <v>2.08</v>
      </c>
      <c r="C13057">
        <v>32</v>
      </c>
      <c r="D13057" s="9">
        <v>41603</v>
      </c>
      <c r="E13057" t="s">
        <v>295</v>
      </c>
    </row>
    <row r="13058" spans="1:5" x14ac:dyDescent="0.25">
      <c r="A13058" t="s">
        <v>216</v>
      </c>
      <c r="B13058">
        <v>1.1299999999999999</v>
      </c>
      <c r="C13058">
        <v>60</v>
      </c>
      <c r="D13058" s="9">
        <v>41617</v>
      </c>
      <c r="E13058" t="s">
        <v>295</v>
      </c>
    </row>
    <row r="13059" spans="1:5" x14ac:dyDescent="0.25">
      <c r="A13059" t="s">
        <v>217</v>
      </c>
      <c r="B13059">
        <v>1.18</v>
      </c>
      <c r="C13059">
        <v>60</v>
      </c>
      <c r="D13059" s="9">
        <v>41617</v>
      </c>
      <c r="E13059" t="s">
        <v>295</v>
      </c>
    </row>
    <row r="13060" spans="1:5" x14ac:dyDescent="0.25">
      <c r="A13060" t="s">
        <v>218</v>
      </c>
      <c r="B13060">
        <v>1.36</v>
      </c>
      <c r="C13060">
        <v>60</v>
      </c>
      <c r="D13060" s="9">
        <v>41617</v>
      </c>
      <c r="E13060" t="s">
        <v>295</v>
      </c>
    </row>
    <row r="13061" spans="1:5" x14ac:dyDescent="0.25">
      <c r="A13061" t="s">
        <v>220</v>
      </c>
      <c r="B13061">
        <v>1.18</v>
      </c>
      <c r="C13061">
        <v>20</v>
      </c>
      <c r="D13061" s="9">
        <v>42291</v>
      </c>
      <c r="E13061" t="s">
        <v>295</v>
      </c>
    </row>
    <row r="13062" spans="1:5" x14ac:dyDescent="0.25">
      <c r="A13062" t="s">
        <v>220</v>
      </c>
      <c r="B13062">
        <v>1.18</v>
      </c>
      <c r="C13062">
        <v>40</v>
      </c>
      <c r="D13062" s="9">
        <v>42082</v>
      </c>
      <c r="E13062" t="s">
        <v>295</v>
      </c>
    </row>
    <row r="13063" spans="1:5" x14ac:dyDescent="0.25">
      <c r="A13063" t="s">
        <v>220</v>
      </c>
      <c r="B13063">
        <v>1.18</v>
      </c>
      <c r="C13063">
        <v>30</v>
      </c>
      <c r="D13063" s="9">
        <v>41981</v>
      </c>
      <c r="E13063" t="s">
        <v>295</v>
      </c>
    </row>
    <row r="13064" spans="1:5" x14ac:dyDescent="0.25">
      <c r="A13064" t="s">
        <v>220</v>
      </c>
      <c r="B13064">
        <v>1.19</v>
      </c>
      <c r="C13064">
        <v>3</v>
      </c>
      <c r="D13064" s="9">
        <v>41906</v>
      </c>
      <c r="E13064" t="s">
        <v>295</v>
      </c>
    </row>
    <row r="13065" spans="1:5" x14ac:dyDescent="0.25">
      <c r="A13065" t="s">
        <v>220</v>
      </c>
      <c r="B13065">
        <v>1.2</v>
      </c>
      <c r="C13065">
        <v>20</v>
      </c>
      <c r="D13065" s="9">
        <v>41754</v>
      </c>
      <c r="E13065" t="s">
        <v>295</v>
      </c>
    </row>
    <row r="13066" spans="1:5" x14ac:dyDescent="0.25">
      <c r="A13066" t="s">
        <v>220</v>
      </c>
      <c r="B13066">
        <v>0.98</v>
      </c>
      <c r="C13066">
        <v>10</v>
      </c>
      <c r="D13066" s="9">
        <v>41675</v>
      </c>
      <c r="E13066" t="s">
        <v>295</v>
      </c>
    </row>
    <row r="13067" spans="1:5" x14ac:dyDescent="0.25">
      <c r="A13067" t="s">
        <v>221</v>
      </c>
      <c r="B13067">
        <v>0</v>
      </c>
      <c r="C13067">
        <v>20</v>
      </c>
      <c r="D13067" s="9">
        <v>41562</v>
      </c>
      <c r="E13067" t="s">
        <v>295</v>
      </c>
    </row>
    <row r="13068" spans="1:5" x14ac:dyDescent="0.25">
      <c r="A13068" t="s">
        <v>222</v>
      </c>
      <c r="B13068">
        <v>1.44</v>
      </c>
      <c r="C13068">
        <v>20</v>
      </c>
      <c r="D13068" s="9">
        <v>42291</v>
      </c>
      <c r="E13068" t="s">
        <v>295</v>
      </c>
    </row>
    <row r="13069" spans="1:5" x14ac:dyDescent="0.25">
      <c r="A13069" t="s">
        <v>222</v>
      </c>
      <c r="B13069">
        <v>1.44</v>
      </c>
      <c r="C13069">
        <v>30</v>
      </c>
      <c r="D13069" s="9">
        <v>42082</v>
      </c>
      <c r="E13069" t="s">
        <v>295</v>
      </c>
    </row>
    <row r="13070" spans="1:5" x14ac:dyDescent="0.25">
      <c r="A13070" t="s">
        <v>222</v>
      </c>
      <c r="B13070">
        <v>1.44</v>
      </c>
      <c r="C13070">
        <v>20</v>
      </c>
      <c r="D13070" s="9">
        <v>41981</v>
      </c>
      <c r="E13070" t="s">
        <v>295</v>
      </c>
    </row>
    <row r="13071" spans="1:5" x14ac:dyDescent="0.25">
      <c r="A13071" t="s">
        <v>222</v>
      </c>
      <c r="B13071">
        <v>1.44</v>
      </c>
      <c r="C13071">
        <v>20</v>
      </c>
      <c r="D13071" s="9">
        <v>41906</v>
      </c>
      <c r="E13071" t="s">
        <v>295</v>
      </c>
    </row>
    <row r="13072" spans="1:5" x14ac:dyDescent="0.25">
      <c r="A13072" t="s">
        <v>222</v>
      </c>
      <c r="B13072">
        <v>0.98</v>
      </c>
      <c r="C13072">
        <v>30</v>
      </c>
      <c r="D13072" s="9">
        <v>41675</v>
      </c>
      <c r="E13072" t="s">
        <v>295</v>
      </c>
    </row>
    <row r="13073" spans="1:5" x14ac:dyDescent="0.25">
      <c r="A13073" t="s">
        <v>222</v>
      </c>
      <c r="B13073">
        <v>0.98</v>
      </c>
      <c r="C13073">
        <v>50</v>
      </c>
      <c r="D13073" s="9">
        <v>41562</v>
      </c>
      <c r="E13073" t="s">
        <v>295</v>
      </c>
    </row>
    <row r="13074" spans="1:5" x14ac:dyDescent="0.25">
      <c r="A13074" t="s">
        <v>223</v>
      </c>
      <c r="B13074">
        <v>1.5</v>
      </c>
      <c r="C13074">
        <v>20</v>
      </c>
      <c r="D13074" s="9">
        <v>42291</v>
      </c>
      <c r="E13074" t="s">
        <v>295</v>
      </c>
    </row>
    <row r="13075" spans="1:5" x14ac:dyDescent="0.25">
      <c r="A13075" t="s">
        <v>223</v>
      </c>
      <c r="B13075">
        <v>1.5</v>
      </c>
      <c r="C13075">
        <v>30</v>
      </c>
      <c r="D13075" s="9">
        <v>42146</v>
      </c>
      <c r="E13075" t="s">
        <v>295</v>
      </c>
    </row>
    <row r="13076" spans="1:5" x14ac:dyDescent="0.25">
      <c r="A13076" t="s">
        <v>223</v>
      </c>
      <c r="B13076">
        <v>1.5</v>
      </c>
      <c r="C13076">
        <v>40</v>
      </c>
      <c r="D13076" s="9">
        <v>42082</v>
      </c>
      <c r="E13076" t="s">
        <v>295</v>
      </c>
    </row>
    <row r="13077" spans="1:5" x14ac:dyDescent="0.25">
      <c r="A13077" t="s">
        <v>223</v>
      </c>
      <c r="B13077">
        <v>1.5</v>
      </c>
      <c r="C13077">
        <v>30</v>
      </c>
      <c r="D13077" s="9">
        <v>41981</v>
      </c>
      <c r="E13077" t="s">
        <v>295</v>
      </c>
    </row>
    <row r="13078" spans="1:5" x14ac:dyDescent="0.25">
      <c r="A13078" t="s">
        <v>223</v>
      </c>
      <c r="B13078">
        <v>1.5</v>
      </c>
      <c r="C13078">
        <v>20</v>
      </c>
      <c r="D13078" s="9">
        <v>41906</v>
      </c>
      <c r="E13078" t="s">
        <v>295</v>
      </c>
    </row>
    <row r="13079" spans="1:5" x14ac:dyDescent="0.25">
      <c r="A13079" t="s">
        <v>223</v>
      </c>
      <c r="B13079">
        <v>1.48</v>
      </c>
      <c r="C13079">
        <v>30</v>
      </c>
      <c r="D13079" s="9">
        <v>41754</v>
      </c>
      <c r="E13079" t="s">
        <v>295</v>
      </c>
    </row>
    <row r="13080" spans="1:5" x14ac:dyDescent="0.25">
      <c r="A13080" t="s">
        <v>223</v>
      </c>
      <c r="B13080">
        <v>1.2</v>
      </c>
      <c r="C13080">
        <v>98</v>
      </c>
      <c r="D13080" s="9">
        <v>41617</v>
      </c>
      <c r="E13080" t="s">
        <v>295</v>
      </c>
    </row>
    <row r="13081" spans="1:5" x14ac:dyDescent="0.25">
      <c r="A13081" t="s">
        <v>223</v>
      </c>
      <c r="B13081">
        <v>0</v>
      </c>
      <c r="C13081">
        <v>70</v>
      </c>
      <c r="D13081" s="9">
        <v>41562</v>
      </c>
      <c r="E13081" t="s">
        <v>295</v>
      </c>
    </row>
    <row r="13082" spans="1:5" x14ac:dyDescent="0.25">
      <c r="A13082" t="s">
        <v>224</v>
      </c>
      <c r="B13082">
        <v>1.81</v>
      </c>
      <c r="C13082">
        <v>20</v>
      </c>
      <c r="D13082" s="9">
        <v>42291</v>
      </c>
      <c r="E13082" t="s">
        <v>295</v>
      </c>
    </row>
    <row r="13083" spans="1:5" x14ac:dyDescent="0.25">
      <c r="A13083" t="s">
        <v>224</v>
      </c>
      <c r="B13083">
        <v>1.81</v>
      </c>
      <c r="C13083">
        <v>20</v>
      </c>
      <c r="D13083" s="9">
        <v>42146</v>
      </c>
      <c r="E13083" t="s">
        <v>295</v>
      </c>
    </row>
    <row r="13084" spans="1:5" x14ac:dyDescent="0.25">
      <c r="A13084" t="s">
        <v>224</v>
      </c>
      <c r="B13084">
        <v>1.81</v>
      </c>
      <c r="C13084">
        <v>40</v>
      </c>
      <c r="D13084" s="9">
        <v>42082</v>
      </c>
      <c r="E13084" t="s">
        <v>295</v>
      </c>
    </row>
    <row r="13085" spans="1:5" x14ac:dyDescent="0.25">
      <c r="A13085" t="s">
        <v>224</v>
      </c>
      <c r="B13085">
        <v>1.81</v>
      </c>
      <c r="C13085">
        <v>30</v>
      </c>
      <c r="D13085" s="9">
        <v>41981</v>
      </c>
      <c r="E13085" t="s">
        <v>295</v>
      </c>
    </row>
    <row r="13086" spans="1:5" x14ac:dyDescent="0.25">
      <c r="A13086" t="s">
        <v>224</v>
      </c>
      <c r="B13086">
        <v>1.81</v>
      </c>
      <c r="C13086">
        <v>20</v>
      </c>
      <c r="D13086" s="9">
        <v>41906</v>
      </c>
      <c r="E13086" t="s">
        <v>295</v>
      </c>
    </row>
    <row r="13087" spans="1:5" x14ac:dyDescent="0.25">
      <c r="A13087" t="s">
        <v>224</v>
      </c>
      <c r="B13087">
        <v>2</v>
      </c>
      <c r="C13087">
        <v>12</v>
      </c>
      <c r="D13087" s="9">
        <v>41870</v>
      </c>
      <c r="E13087" t="s">
        <v>295</v>
      </c>
    </row>
    <row r="13088" spans="1:5" x14ac:dyDescent="0.25">
      <c r="A13088" t="s">
        <v>224</v>
      </c>
      <c r="B13088">
        <v>1.53</v>
      </c>
      <c r="C13088">
        <v>4</v>
      </c>
      <c r="D13088" s="9">
        <v>41754</v>
      </c>
      <c r="E13088" t="s">
        <v>295</v>
      </c>
    </row>
    <row r="13089" spans="1:5" x14ac:dyDescent="0.25">
      <c r="A13089" t="s">
        <v>224</v>
      </c>
      <c r="B13089">
        <v>1.9</v>
      </c>
      <c r="C13089">
        <v>26</v>
      </c>
      <c r="D13089" s="9">
        <v>41754</v>
      </c>
      <c r="E13089" t="s">
        <v>295</v>
      </c>
    </row>
    <row r="13090" spans="1:5" x14ac:dyDescent="0.25">
      <c r="A13090" t="s">
        <v>224</v>
      </c>
      <c r="B13090">
        <v>1.53</v>
      </c>
      <c r="C13090">
        <v>50</v>
      </c>
      <c r="D13090" s="9">
        <v>41675</v>
      </c>
      <c r="E13090" t="s">
        <v>295</v>
      </c>
    </row>
    <row r="13091" spans="1:5" x14ac:dyDescent="0.25">
      <c r="A13091" t="s">
        <v>224</v>
      </c>
      <c r="B13091">
        <v>1.53</v>
      </c>
      <c r="C13091">
        <v>50</v>
      </c>
      <c r="D13091" s="9">
        <v>41562</v>
      </c>
      <c r="E13091" t="s">
        <v>295</v>
      </c>
    </row>
    <row r="13092" spans="1:5" x14ac:dyDescent="0.25">
      <c r="A13092" t="s">
        <v>225</v>
      </c>
      <c r="B13092">
        <v>1.98</v>
      </c>
      <c r="C13092">
        <v>40</v>
      </c>
      <c r="D13092" s="9">
        <v>42291</v>
      </c>
      <c r="E13092" t="s">
        <v>295</v>
      </c>
    </row>
    <row r="13093" spans="1:5" x14ac:dyDescent="0.25">
      <c r="A13093" t="s">
        <v>225</v>
      </c>
      <c r="B13093">
        <v>0</v>
      </c>
      <c r="C13093">
        <v>30</v>
      </c>
      <c r="D13093" s="9">
        <v>42206</v>
      </c>
      <c r="E13093" t="s">
        <v>295</v>
      </c>
    </row>
    <row r="13094" spans="1:5" x14ac:dyDescent="0.25">
      <c r="A13094" t="s">
        <v>225</v>
      </c>
      <c r="B13094">
        <v>1.98</v>
      </c>
      <c r="C13094">
        <v>20</v>
      </c>
      <c r="D13094" s="9">
        <v>42146</v>
      </c>
      <c r="E13094" t="s">
        <v>295</v>
      </c>
    </row>
    <row r="13095" spans="1:5" x14ac:dyDescent="0.25">
      <c r="A13095" t="s">
        <v>225</v>
      </c>
      <c r="B13095">
        <v>1.98</v>
      </c>
      <c r="C13095">
        <v>40</v>
      </c>
      <c r="D13095" s="9">
        <v>42082</v>
      </c>
      <c r="E13095" t="s">
        <v>295</v>
      </c>
    </row>
    <row r="13096" spans="1:5" x14ac:dyDescent="0.25">
      <c r="A13096" t="s">
        <v>225</v>
      </c>
      <c r="B13096">
        <v>1.98</v>
      </c>
      <c r="C13096">
        <v>30</v>
      </c>
      <c r="D13096" s="9">
        <v>41981</v>
      </c>
      <c r="E13096" t="s">
        <v>295</v>
      </c>
    </row>
    <row r="13097" spans="1:5" x14ac:dyDescent="0.25">
      <c r="A13097" t="s">
        <v>225</v>
      </c>
      <c r="B13097">
        <v>1.98</v>
      </c>
      <c r="C13097">
        <v>40</v>
      </c>
      <c r="D13097" s="9">
        <v>41906</v>
      </c>
      <c r="E13097" t="s">
        <v>295</v>
      </c>
    </row>
    <row r="13098" spans="1:5" x14ac:dyDescent="0.25">
      <c r="A13098" t="s">
        <v>225</v>
      </c>
      <c r="B13098">
        <v>1.99</v>
      </c>
      <c r="C13098">
        <v>8</v>
      </c>
      <c r="D13098" s="9">
        <v>41870</v>
      </c>
      <c r="E13098" t="s">
        <v>295</v>
      </c>
    </row>
    <row r="13099" spans="1:5" x14ac:dyDescent="0.25">
      <c r="A13099" t="s">
        <v>225</v>
      </c>
      <c r="B13099">
        <v>1.9</v>
      </c>
      <c r="C13099">
        <v>30</v>
      </c>
      <c r="D13099" s="9">
        <v>41754</v>
      </c>
      <c r="E13099" t="s">
        <v>295</v>
      </c>
    </row>
    <row r="13100" spans="1:5" x14ac:dyDescent="0.25">
      <c r="A13100" t="s">
        <v>225</v>
      </c>
      <c r="B13100">
        <v>1.67</v>
      </c>
      <c r="C13100">
        <v>50</v>
      </c>
      <c r="D13100" s="9">
        <v>41675</v>
      </c>
      <c r="E13100" t="s">
        <v>295</v>
      </c>
    </row>
    <row r="13101" spans="1:5" x14ac:dyDescent="0.25">
      <c r="A13101" t="s">
        <v>225</v>
      </c>
      <c r="B13101">
        <v>1.67</v>
      </c>
      <c r="C13101">
        <v>50</v>
      </c>
      <c r="D13101" s="9">
        <v>41617</v>
      </c>
      <c r="E13101" t="s">
        <v>295</v>
      </c>
    </row>
    <row r="13102" spans="1:5" x14ac:dyDescent="0.25">
      <c r="A13102" t="s">
        <v>225</v>
      </c>
      <c r="B13102">
        <v>1.67</v>
      </c>
      <c r="C13102">
        <v>50</v>
      </c>
      <c r="D13102" s="9">
        <v>41562</v>
      </c>
      <c r="E13102" t="s">
        <v>295</v>
      </c>
    </row>
    <row r="13103" spans="1:5" x14ac:dyDescent="0.25">
      <c r="A13103" t="s">
        <v>226</v>
      </c>
      <c r="B13103">
        <v>2.66</v>
      </c>
      <c r="C13103">
        <v>50</v>
      </c>
      <c r="D13103" s="9">
        <v>42291</v>
      </c>
      <c r="E13103" t="s">
        <v>295</v>
      </c>
    </row>
    <row r="13104" spans="1:5" x14ac:dyDescent="0.25">
      <c r="A13104" t="s">
        <v>226</v>
      </c>
      <c r="B13104">
        <v>2.66</v>
      </c>
      <c r="C13104">
        <v>20</v>
      </c>
      <c r="D13104" s="9">
        <v>42146</v>
      </c>
      <c r="E13104" t="s">
        <v>295</v>
      </c>
    </row>
    <row r="13105" spans="1:5" x14ac:dyDescent="0.25">
      <c r="A13105" t="s">
        <v>226</v>
      </c>
      <c r="B13105">
        <v>2.66</v>
      </c>
      <c r="C13105">
        <v>40</v>
      </c>
      <c r="D13105" s="9">
        <v>42082</v>
      </c>
      <c r="E13105" t="s">
        <v>295</v>
      </c>
    </row>
    <row r="13106" spans="1:5" x14ac:dyDescent="0.25">
      <c r="A13106" t="s">
        <v>226</v>
      </c>
      <c r="B13106">
        <v>2.66</v>
      </c>
      <c r="C13106">
        <v>30</v>
      </c>
      <c r="D13106" s="9">
        <v>41981</v>
      </c>
      <c r="E13106" t="s">
        <v>295</v>
      </c>
    </row>
    <row r="13107" spans="1:5" x14ac:dyDescent="0.25">
      <c r="A13107" t="s">
        <v>226</v>
      </c>
      <c r="B13107">
        <v>2.66</v>
      </c>
      <c r="C13107">
        <v>20</v>
      </c>
      <c r="D13107" s="9">
        <v>41906</v>
      </c>
      <c r="E13107" t="s">
        <v>295</v>
      </c>
    </row>
    <row r="13108" spans="1:5" x14ac:dyDescent="0.25">
      <c r="A13108" t="s">
        <v>226</v>
      </c>
      <c r="B13108">
        <v>2.62</v>
      </c>
      <c r="C13108">
        <v>27</v>
      </c>
      <c r="D13108" s="9">
        <v>41870</v>
      </c>
      <c r="E13108" t="s">
        <v>295</v>
      </c>
    </row>
    <row r="13109" spans="1:5" x14ac:dyDescent="0.25">
      <c r="A13109" t="s">
        <v>226</v>
      </c>
      <c r="B13109">
        <v>2.62</v>
      </c>
      <c r="C13109">
        <v>30</v>
      </c>
      <c r="D13109" s="9">
        <v>41754</v>
      </c>
      <c r="E13109" t="s">
        <v>295</v>
      </c>
    </row>
    <row r="13110" spans="1:5" x14ac:dyDescent="0.25">
      <c r="A13110" t="s">
        <v>226</v>
      </c>
      <c r="B13110">
        <v>2.09</v>
      </c>
      <c r="C13110">
        <v>50</v>
      </c>
      <c r="D13110" s="9">
        <v>41675</v>
      </c>
      <c r="E13110" t="s">
        <v>295</v>
      </c>
    </row>
    <row r="13111" spans="1:5" x14ac:dyDescent="0.25">
      <c r="A13111" t="s">
        <v>226</v>
      </c>
      <c r="B13111">
        <v>2.09</v>
      </c>
      <c r="C13111">
        <v>20</v>
      </c>
      <c r="D13111" s="9">
        <v>41617</v>
      </c>
      <c r="E13111" t="s">
        <v>295</v>
      </c>
    </row>
    <row r="13112" spans="1:5" x14ac:dyDescent="0.25">
      <c r="A13112" t="s">
        <v>226</v>
      </c>
      <c r="B13112">
        <v>2.09</v>
      </c>
      <c r="C13112">
        <v>60</v>
      </c>
      <c r="D13112" s="9">
        <v>41562</v>
      </c>
      <c r="E13112" t="s">
        <v>295</v>
      </c>
    </row>
    <row r="13113" spans="1:5" x14ac:dyDescent="0.25">
      <c r="A13113" t="s">
        <v>227</v>
      </c>
      <c r="B13113">
        <v>3.23</v>
      </c>
      <c r="C13113">
        <v>20</v>
      </c>
      <c r="D13113" s="9">
        <v>42146</v>
      </c>
      <c r="E13113" t="s">
        <v>295</v>
      </c>
    </row>
    <row r="13114" spans="1:5" x14ac:dyDescent="0.25">
      <c r="A13114" t="s">
        <v>227</v>
      </c>
      <c r="B13114">
        <v>3.23</v>
      </c>
      <c r="C13114">
        <v>20</v>
      </c>
      <c r="D13114" s="9">
        <v>42082</v>
      </c>
      <c r="E13114" t="s">
        <v>295</v>
      </c>
    </row>
    <row r="13115" spans="1:5" x14ac:dyDescent="0.25">
      <c r="A13115" t="s">
        <v>227</v>
      </c>
      <c r="B13115">
        <v>3.23</v>
      </c>
      <c r="C13115">
        <v>30</v>
      </c>
      <c r="D13115" s="9">
        <v>41981</v>
      </c>
      <c r="E13115" t="s">
        <v>295</v>
      </c>
    </row>
    <row r="13116" spans="1:5" x14ac:dyDescent="0.25">
      <c r="A13116" t="s">
        <v>227</v>
      </c>
      <c r="B13116">
        <v>2.62</v>
      </c>
      <c r="C13116">
        <v>10</v>
      </c>
      <c r="D13116" s="9">
        <v>41870</v>
      </c>
      <c r="E13116" t="s">
        <v>295</v>
      </c>
    </row>
    <row r="13117" spans="1:5" x14ac:dyDescent="0.25">
      <c r="A13117" t="s">
        <v>227</v>
      </c>
      <c r="B13117">
        <v>2.41</v>
      </c>
      <c r="C13117">
        <v>20</v>
      </c>
      <c r="D13117" s="9">
        <v>41754</v>
      </c>
      <c r="E13117" t="s">
        <v>295</v>
      </c>
    </row>
    <row r="13118" spans="1:5" x14ac:dyDescent="0.25">
      <c r="A13118" t="s">
        <v>227</v>
      </c>
      <c r="B13118">
        <v>2.4</v>
      </c>
      <c r="C13118">
        <v>20</v>
      </c>
      <c r="D13118" s="9">
        <v>41675</v>
      </c>
      <c r="E13118" t="s">
        <v>295</v>
      </c>
    </row>
    <row r="13119" spans="1:5" x14ac:dyDescent="0.25">
      <c r="A13119" t="s">
        <v>227</v>
      </c>
      <c r="B13119">
        <v>2.4</v>
      </c>
      <c r="C13119">
        <v>20</v>
      </c>
      <c r="D13119" s="9">
        <v>41617</v>
      </c>
      <c r="E13119" t="s">
        <v>295</v>
      </c>
    </row>
    <row r="13120" spans="1:5" x14ac:dyDescent="0.25">
      <c r="A13120" t="s">
        <v>227</v>
      </c>
      <c r="B13120">
        <v>2.4</v>
      </c>
      <c r="C13120">
        <v>50</v>
      </c>
      <c r="D13120" s="9">
        <v>41562</v>
      </c>
      <c r="E13120" t="s">
        <v>295</v>
      </c>
    </row>
    <row r="13121" spans="1:5" x14ac:dyDescent="0.25">
      <c r="A13121" t="s">
        <v>228</v>
      </c>
      <c r="B13121">
        <v>3.98</v>
      </c>
      <c r="C13121">
        <v>50</v>
      </c>
      <c r="D13121" s="9">
        <v>43052</v>
      </c>
      <c r="E13121" t="s">
        <v>295</v>
      </c>
    </row>
    <row r="13122" spans="1:5" x14ac:dyDescent="0.25">
      <c r="A13122" t="s">
        <v>228</v>
      </c>
      <c r="B13122">
        <v>3.75</v>
      </c>
      <c r="C13122">
        <v>40</v>
      </c>
      <c r="D13122" s="9">
        <v>42146</v>
      </c>
      <c r="E13122" t="s">
        <v>295</v>
      </c>
    </row>
    <row r="13123" spans="1:5" x14ac:dyDescent="0.25">
      <c r="A13123" t="s">
        <v>228</v>
      </c>
      <c r="B13123">
        <v>3.75</v>
      </c>
      <c r="C13123">
        <v>10</v>
      </c>
      <c r="D13123" s="9">
        <v>42082</v>
      </c>
      <c r="E13123" t="s">
        <v>295</v>
      </c>
    </row>
    <row r="13124" spans="1:5" x14ac:dyDescent="0.25">
      <c r="A13124" t="s">
        <v>228</v>
      </c>
      <c r="B13124">
        <v>3.75</v>
      </c>
      <c r="C13124">
        <v>10</v>
      </c>
      <c r="D13124" s="9">
        <v>41981</v>
      </c>
      <c r="E13124" t="s">
        <v>295</v>
      </c>
    </row>
    <row r="13125" spans="1:5" x14ac:dyDescent="0.25">
      <c r="A13125" t="s">
        <v>228</v>
      </c>
      <c r="B13125">
        <v>3.75</v>
      </c>
      <c r="C13125">
        <v>20</v>
      </c>
      <c r="D13125" s="9">
        <v>41906</v>
      </c>
      <c r="E13125" t="s">
        <v>295</v>
      </c>
    </row>
    <row r="13126" spans="1:5" x14ac:dyDescent="0.25">
      <c r="A13126" t="s">
        <v>228</v>
      </c>
      <c r="B13126">
        <v>3.15</v>
      </c>
      <c r="C13126">
        <v>26</v>
      </c>
      <c r="D13126" s="9">
        <v>41870</v>
      </c>
      <c r="E13126" t="s">
        <v>295</v>
      </c>
    </row>
    <row r="13127" spans="1:5" x14ac:dyDescent="0.25">
      <c r="A13127" t="s">
        <v>228</v>
      </c>
      <c r="B13127">
        <v>3.15</v>
      </c>
      <c r="C13127">
        <v>30</v>
      </c>
      <c r="D13127" s="9">
        <v>41754</v>
      </c>
      <c r="E13127" t="s">
        <v>295</v>
      </c>
    </row>
    <row r="13128" spans="1:5" x14ac:dyDescent="0.25">
      <c r="A13128" t="s">
        <v>228</v>
      </c>
      <c r="B13128">
        <v>2.84</v>
      </c>
      <c r="C13128">
        <v>20</v>
      </c>
      <c r="D13128" s="9">
        <v>41617</v>
      </c>
      <c r="E13128" t="s">
        <v>295</v>
      </c>
    </row>
    <row r="13129" spans="1:5" x14ac:dyDescent="0.25">
      <c r="A13129" t="s">
        <v>228</v>
      </c>
      <c r="B13129">
        <v>2.84</v>
      </c>
      <c r="C13129">
        <v>50</v>
      </c>
      <c r="D13129" s="9">
        <v>41562</v>
      </c>
      <c r="E13129" t="s">
        <v>295</v>
      </c>
    </row>
    <row r="13130" spans="1:5" x14ac:dyDescent="0.25">
      <c r="A13130" t="s">
        <v>229</v>
      </c>
      <c r="B13130">
        <v>6.04</v>
      </c>
      <c r="C13130">
        <v>50</v>
      </c>
      <c r="D13130" s="9">
        <v>43052</v>
      </c>
      <c r="E13130" t="s">
        <v>295</v>
      </c>
    </row>
    <row r="13131" spans="1:5" x14ac:dyDescent="0.25">
      <c r="A13131" t="s">
        <v>229</v>
      </c>
      <c r="B13131">
        <v>5.74</v>
      </c>
      <c r="C13131">
        <v>20</v>
      </c>
      <c r="D13131" s="9">
        <v>42291</v>
      </c>
      <c r="E13131" t="s">
        <v>295</v>
      </c>
    </row>
    <row r="13132" spans="1:5" x14ac:dyDescent="0.25">
      <c r="A13132" t="s">
        <v>229</v>
      </c>
      <c r="B13132">
        <v>5.74</v>
      </c>
      <c r="C13132">
        <v>20</v>
      </c>
      <c r="D13132" s="9">
        <v>42082</v>
      </c>
      <c r="E13132" t="s">
        <v>295</v>
      </c>
    </row>
    <row r="13133" spans="1:5" x14ac:dyDescent="0.25">
      <c r="A13133" t="s">
        <v>229</v>
      </c>
      <c r="B13133">
        <v>5.74</v>
      </c>
      <c r="C13133">
        <v>10</v>
      </c>
      <c r="D13133" s="9">
        <v>41981</v>
      </c>
      <c r="E13133" t="s">
        <v>295</v>
      </c>
    </row>
    <row r="13134" spans="1:5" x14ac:dyDescent="0.25">
      <c r="A13134" t="s">
        <v>229</v>
      </c>
      <c r="B13134">
        <v>4.41</v>
      </c>
      <c r="C13134">
        <v>20</v>
      </c>
      <c r="D13134" s="9">
        <v>41870</v>
      </c>
      <c r="E13134" t="s">
        <v>295</v>
      </c>
    </row>
    <row r="13135" spans="1:5" x14ac:dyDescent="0.25">
      <c r="A13135" t="s">
        <v>229</v>
      </c>
      <c r="B13135">
        <v>3.82</v>
      </c>
      <c r="C13135">
        <v>30</v>
      </c>
      <c r="D13135" s="9">
        <v>41754</v>
      </c>
      <c r="E13135" t="s">
        <v>295</v>
      </c>
    </row>
    <row r="13136" spans="1:5" x14ac:dyDescent="0.25">
      <c r="A13136" t="s">
        <v>229</v>
      </c>
      <c r="B13136">
        <v>3.82</v>
      </c>
      <c r="C13136">
        <v>50</v>
      </c>
      <c r="D13136" s="9">
        <v>41617</v>
      </c>
      <c r="E13136" t="s">
        <v>295</v>
      </c>
    </row>
    <row r="13137" spans="1:5" x14ac:dyDescent="0.25">
      <c r="A13137" t="s">
        <v>229</v>
      </c>
      <c r="B13137">
        <v>3.82</v>
      </c>
      <c r="C13137">
        <v>30</v>
      </c>
      <c r="D13137" s="9">
        <v>41562</v>
      </c>
      <c r="E13137" t="s">
        <v>295</v>
      </c>
    </row>
    <row r="13138" spans="1:5" x14ac:dyDescent="0.25">
      <c r="A13138" t="s">
        <v>230</v>
      </c>
      <c r="B13138">
        <v>5.31</v>
      </c>
      <c r="C13138">
        <v>20</v>
      </c>
      <c r="D13138" s="9">
        <v>42291</v>
      </c>
      <c r="E13138" t="s">
        <v>295</v>
      </c>
    </row>
    <row r="13139" spans="1:5" x14ac:dyDescent="0.25">
      <c r="A13139" t="s">
        <v>230</v>
      </c>
      <c r="B13139">
        <v>0</v>
      </c>
      <c r="C13139">
        <v>10</v>
      </c>
      <c r="D13139" s="9">
        <v>42206</v>
      </c>
      <c r="E13139" t="s">
        <v>295</v>
      </c>
    </row>
    <row r="13140" spans="1:5" x14ac:dyDescent="0.25">
      <c r="A13140" t="s">
        <v>230</v>
      </c>
      <c r="B13140">
        <v>5.31</v>
      </c>
      <c r="C13140">
        <v>10</v>
      </c>
      <c r="D13140" s="9">
        <v>42146</v>
      </c>
      <c r="E13140" t="s">
        <v>295</v>
      </c>
    </row>
    <row r="13141" spans="1:5" x14ac:dyDescent="0.25">
      <c r="A13141" t="s">
        <v>230</v>
      </c>
      <c r="B13141">
        <v>5.31</v>
      </c>
      <c r="C13141">
        <v>20</v>
      </c>
      <c r="D13141" s="9">
        <v>42082</v>
      </c>
      <c r="E13141" t="s">
        <v>295</v>
      </c>
    </row>
    <row r="13142" spans="1:5" x14ac:dyDescent="0.25">
      <c r="A13142" t="s">
        <v>230</v>
      </c>
      <c r="B13142">
        <v>5.31</v>
      </c>
      <c r="C13142">
        <v>20</v>
      </c>
      <c r="D13142" s="9">
        <v>41981</v>
      </c>
      <c r="E13142" t="s">
        <v>295</v>
      </c>
    </row>
    <row r="13143" spans="1:5" x14ac:dyDescent="0.25">
      <c r="A13143" t="s">
        <v>230</v>
      </c>
      <c r="B13143">
        <v>7.66</v>
      </c>
      <c r="C13143">
        <v>14</v>
      </c>
      <c r="D13143" s="9">
        <v>41870</v>
      </c>
      <c r="E13143" t="s">
        <v>295</v>
      </c>
    </row>
    <row r="13144" spans="1:5" x14ac:dyDescent="0.25">
      <c r="A13144" t="s">
        <v>230</v>
      </c>
      <c r="B13144">
        <v>7.63</v>
      </c>
      <c r="C13144">
        <v>20</v>
      </c>
      <c r="D13144" s="9">
        <v>41675</v>
      </c>
      <c r="E13144" t="s">
        <v>295</v>
      </c>
    </row>
    <row r="13145" spans="1:5" x14ac:dyDescent="0.25">
      <c r="A13145" t="s">
        <v>230</v>
      </c>
      <c r="B13145">
        <v>7.63</v>
      </c>
      <c r="C13145">
        <v>20</v>
      </c>
      <c r="D13145" s="9">
        <v>41562</v>
      </c>
      <c r="E13145" t="s">
        <v>295</v>
      </c>
    </row>
    <row r="13146" spans="1:5" x14ac:dyDescent="0.25">
      <c r="A13146" t="s">
        <v>231</v>
      </c>
      <c r="B13146">
        <v>0</v>
      </c>
      <c r="C13146">
        <v>10</v>
      </c>
      <c r="D13146" s="9">
        <v>42206</v>
      </c>
      <c r="E13146" t="s">
        <v>295</v>
      </c>
    </row>
    <row r="13147" spans="1:5" x14ac:dyDescent="0.25">
      <c r="A13147" t="s">
        <v>231</v>
      </c>
      <c r="B13147">
        <v>9.08</v>
      </c>
      <c r="C13147">
        <v>20</v>
      </c>
      <c r="D13147" s="9">
        <v>42146</v>
      </c>
      <c r="E13147" t="s">
        <v>295</v>
      </c>
    </row>
    <row r="13148" spans="1:5" x14ac:dyDescent="0.25">
      <c r="A13148" t="s">
        <v>231</v>
      </c>
      <c r="B13148">
        <v>9.08</v>
      </c>
      <c r="C13148">
        <v>20</v>
      </c>
      <c r="D13148" s="9">
        <v>42082</v>
      </c>
      <c r="E13148" t="s">
        <v>295</v>
      </c>
    </row>
    <row r="13149" spans="1:5" x14ac:dyDescent="0.25">
      <c r="A13149" t="s">
        <v>231</v>
      </c>
      <c r="B13149">
        <v>9.08</v>
      </c>
      <c r="C13149">
        <v>20</v>
      </c>
      <c r="D13149" s="9">
        <v>41981</v>
      </c>
      <c r="E13149" t="s">
        <v>295</v>
      </c>
    </row>
    <row r="13150" spans="1:5" x14ac:dyDescent="0.25">
      <c r="A13150" t="s">
        <v>231</v>
      </c>
      <c r="B13150">
        <v>9.08</v>
      </c>
      <c r="C13150">
        <v>20</v>
      </c>
      <c r="D13150" s="9">
        <v>41906</v>
      </c>
      <c r="E13150" t="s">
        <v>295</v>
      </c>
    </row>
    <row r="13151" spans="1:5" x14ac:dyDescent="0.25">
      <c r="A13151" t="s">
        <v>231</v>
      </c>
      <c r="B13151">
        <v>5.84</v>
      </c>
      <c r="C13151">
        <v>40</v>
      </c>
      <c r="D13151" s="9">
        <v>41675</v>
      </c>
      <c r="E13151" t="s">
        <v>295</v>
      </c>
    </row>
    <row r="13152" spans="1:5" x14ac:dyDescent="0.25">
      <c r="A13152" t="s">
        <v>231</v>
      </c>
      <c r="B13152">
        <v>5.84</v>
      </c>
      <c r="C13152">
        <v>40</v>
      </c>
      <c r="D13152" s="9">
        <v>41562</v>
      </c>
      <c r="E13152" t="s">
        <v>295</v>
      </c>
    </row>
    <row r="13153" spans="1:5" x14ac:dyDescent="0.25">
      <c r="A13153" t="s">
        <v>232</v>
      </c>
      <c r="B13153">
        <v>6.4</v>
      </c>
      <c r="C13153">
        <v>50</v>
      </c>
      <c r="D13153" s="9">
        <v>41617</v>
      </c>
      <c r="E13153" t="s">
        <v>295</v>
      </c>
    </row>
    <row r="13154" spans="1:5" x14ac:dyDescent="0.25">
      <c r="A13154" t="s">
        <v>234</v>
      </c>
      <c r="B13154">
        <v>1.45</v>
      </c>
      <c r="C13154">
        <v>59</v>
      </c>
      <c r="D13154" s="9">
        <v>41754</v>
      </c>
      <c r="E13154" t="s">
        <v>295</v>
      </c>
    </row>
    <row r="13155" spans="1:5" x14ac:dyDescent="0.25">
      <c r="A13155" t="s">
        <v>234</v>
      </c>
      <c r="B13155">
        <v>1.45</v>
      </c>
      <c r="C13155">
        <v>100</v>
      </c>
      <c r="D13155" s="9">
        <v>41562</v>
      </c>
      <c r="E13155" t="s">
        <v>295</v>
      </c>
    </row>
    <row r="13156" spans="1:5" x14ac:dyDescent="0.25">
      <c r="A13156" t="s">
        <v>236</v>
      </c>
      <c r="B13156">
        <v>11.98</v>
      </c>
      <c r="C13156">
        <v>32</v>
      </c>
      <c r="D13156" s="9">
        <v>41617</v>
      </c>
      <c r="E13156" t="s">
        <v>295</v>
      </c>
    </row>
    <row r="13157" spans="1:5" x14ac:dyDescent="0.25">
      <c r="A13157" t="s">
        <v>239</v>
      </c>
      <c r="B13157">
        <v>1.55</v>
      </c>
      <c r="C13157">
        <v>100</v>
      </c>
      <c r="D13157" s="9">
        <v>41754</v>
      </c>
      <c r="E13157" t="s">
        <v>295</v>
      </c>
    </row>
    <row r="13158" spans="1:5" x14ac:dyDescent="0.25">
      <c r="A13158" t="s">
        <v>240</v>
      </c>
      <c r="B13158">
        <v>3.18</v>
      </c>
      <c r="C13158">
        <v>96</v>
      </c>
      <c r="D13158" s="9">
        <v>41617</v>
      </c>
      <c r="E13158" t="s">
        <v>295</v>
      </c>
    </row>
    <row r="13159" spans="1:5" x14ac:dyDescent="0.25">
      <c r="A13159" t="s">
        <v>241</v>
      </c>
      <c r="B13159">
        <v>2.29</v>
      </c>
      <c r="C13159">
        <v>50</v>
      </c>
      <c r="D13159" s="9">
        <v>41754</v>
      </c>
      <c r="E13159" t="s">
        <v>295</v>
      </c>
    </row>
    <row r="13160" spans="1:5" x14ac:dyDescent="0.25">
      <c r="A13160" t="s">
        <v>241</v>
      </c>
      <c r="B13160">
        <v>2.29</v>
      </c>
      <c r="C13160">
        <v>13</v>
      </c>
      <c r="D13160" s="9">
        <v>41617</v>
      </c>
      <c r="E13160" t="s">
        <v>295</v>
      </c>
    </row>
    <row r="13161" spans="1:5" x14ac:dyDescent="0.25">
      <c r="A13161" t="s">
        <v>242</v>
      </c>
      <c r="B13161">
        <v>2.94</v>
      </c>
      <c r="C13161">
        <v>57</v>
      </c>
      <c r="D13161" s="9">
        <v>41675</v>
      </c>
      <c r="E13161" t="s">
        <v>295</v>
      </c>
    </row>
    <row r="13162" spans="1:5" x14ac:dyDescent="0.25">
      <c r="A13162" t="s">
        <v>242</v>
      </c>
      <c r="B13162">
        <v>2.66</v>
      </c>
      <c r="C13162">
        <v>120</v>
      </c>
      <c r="D13162" s="9">
        <v>41617</v>
      </c>
      <c r="E13162" t="s">
        <v>295</v>
      </c>
    </row>
    <row r="13163" spans="1:5" x14ac:dyDescent="0.25">
      <c r="A13163" t="s">
        <v>243</v>
      </c>
      <c r="B13163">
        <v>5.0599999999999996</v>
      </c>
      <c r="C13163">
        <v>13</v>
      </c>
      <c r="D13163" s="9">
        <v>41754</v>
      </c>
      <c r="E13163" t="s">
        <v>295</v>
      </c>
    </row>
    <row r="13164" spans="1:5" x14ac:dyDescent="0.25">
      <c r="A13164" t="s">
        <v>243</v>
      </c>
      <c r="B13164">
        <v>4.95</v>
      </c>
      <c r="C13164">
        <v>90</v>
      </c>
      <c r="D13164" s="9">
        <v>41617</v>
      </c>
      <c r="E13164" t="s">
        <v>295</v>
      </c>
    </row>
    <row r="13165" spans="1:5" x14ac:dyDescent="0.25">
      <c r="A13165" t="s">
        <v>244</v>
      </c>
      <c r="B13165">
        <v>21.42</v>
      </c>
      <c r="C13165">
        <v>20</v>
      </c>
      <c r="D13165" s="9">
        <v>41751</v>
      </c>
      <c r="E13165" t="s">
        <v>295</v>
      </c>
    </row>
    <row r="13166" spans="1:5" x14ac:dyDescent="0.25">
      <c r="A13166" t="s">
        <v>245</v>
      </c>
      <c r="B13166">
        <v>13.12</v>
      </c>
      <c r="C13166">
        <v>20</v>
      </c>
      <c r="D13166" s="9">
        <v>41751</v>
      </c>
      <c r="E13166" t="s">
        <v>295</v>
      </c>
    </row>
    <row r="13167" spans="1:5" x14ac:dyDescent="0.25">
      <c r="A13167" t="s">
        <v>245</v>
      </c>
      <c r="B13167">
        <v>21.28</v>
      </c>
      <c r="C13167">
        <v>20</v>
      </c>
      <c r="D13167" s="9">
        <v>41617</v>
      </c>
      <c r="E13167" t="s">
        <v>295</v>
      </c>
    </row>
    <row r="13168" spans="1:5" x14ac:dyDescent="0.25">
      <c r="A13168" t="s">
        <v>245</v>
      </c>
      <c r="B13168">
        <v>21.22</v>
      </c>
      <c r="C13168">
        <v>20</v>
      </c>
      <c r="D13168" s="9">
        <v>41562</v>
      </c>
      <c r="E13168" t="s">
        <v>295</v>
      </c>
    </row>
    <row r="13169" spans="1:5" x14ac:dyDescent="0.25">
      <c r="A13169" t="s">
        <v>246</v>
      </c>
      <c r="B13169">
        <v>3.35</v>
      </c>
      <c r="C13169">
        <v>39</v>
      </c>
      <c r="D13169" s="9">
        <v>41906</v>
      </c>
      <c r="E13169" t="s">
        <v>295</v>
      </c>
    </row>
    <row r="13170" spans="1:5" x14ac:dyDescent="0.25">
      <c r="A13170" t="s">
        <v>246</v>
      </c>
      <c r="B13170">
        <v>3.35</v>
      </c>
      <c r="C13170">
        <v>100</v>
      </c>
      <c r="D13170" s="9">
        <v>41562</v>
      </c>
      <c r="E13170" t="s">
        <v>295</v>
      </c>
    </row>
    <row r="13171" spans="1:5" x14ac:dyDescent="0.25">
      <c r="A13171" t="s">
        <v>247</v>
      </c>
      <c r="B13171">
        <v>4.3499999999999996</v>
      </c>
      <c r="C13171">
        <v>48</v>
      </c>
      <c r="D13171" s="9">
        <v>41617</v>
      </c>
      <c r="E13171" t="s">
        <v>295</v>
      </c>
    </row>
    <row r="13172" spans="1:5" x14ac:dyDescent="0.25">
      <c r="A13172" t="s">
        <v>248</v>
      </c>
      <c r="B13172">
        <v>0.5</v>
      </c>
      <c r="C13172">
        <v>40</v>
      </c>
      <c r="D13172" s="9">
        <v>41981</v>
      </c>
      <c r="E13172" t="s">
        <v>295</v>
      </c>
    </row>
    <row r="13173" spans="1:5" x14ac:dyDescent="0.25">
      <c r="A13173" t="s">
        <v>248</v>
      </c>
      <c r="B13173">
        <v>0.62</v>
      </c>
      <c r="C13173">
        <v>40</v>
      </c>
      <c r="D13173" s="9">
        <v>41906</v>
      </c>
      <c r="E13173" t="s">
        <v>295</v>
      </c>
    </row>
    <row r="13174" spans="1:5" x14ac:dyDescent="0.25">
      <c r="A13174" t="s">
        <v>248</v>
      </c>
      <c r="B13174">
        <v>0.6</v>
      </c>
      <c r="C13174">
        <v>60</v>
      </c>
      <c r="D13174" s="9">
        <v>41675</v>
      </c>
      <c r="E13174" t="s">
        <v>295</v>
      </c>
    </row>
    <row r="13175" spans="1:5" x14ac:dyDescent="0.25">
      <c r="A13175" t="s">
        <v>249</v>
      </c>
      <c r="B13175">
        <v>0.62</v>
      </c>
      <c r="C13175">
        <v>40</v>
      </c>
      <c r="D13175" s="9">
        <v>41981</v>
      </c>
      <c r="E13175" t="s">
        <v>295</v>
      </c>
    </row>
    <row r="13176" spans="1:5" x14ac:dyDescent="0.25">
      <c r="A13176" t="s">
        <v>249</v>
      </c>
      <c r="B13176">
        <v>0.69</v>
      </c>
      <c r="C13176">
        <v>60</v>
      </c>
      <c r="D13176" s="9">
        <v>41675</v>
      </c>
      <c r="E13176" t="s">
        <v>295</v>
      </c>
    </row>
    <row r="13177" spans="1:5" x14ac:dyDescent="0.25">
      <c r="A13177" t="s">
        <v>250</v>
      </c>
      <c r="B13177">
        <v>0.75</v>
      </c>
      <c r="C13177">
        <v>40</v>
      </c>
      <c r="D13177" s="9">
        <v>41981</v>
      </c>
      <c r="E13177" t="s">
        <v>295</v>
      </c>
    </row>
    <row r="13178" spans="1:5" x14ac:dyDescent="0.25">
      <c r="A13178" t="s">
        <v>250</v>
      </c>
      <c r="B13178">
        <v>0.75</v>
      </c>
      <c r="C13178">
        <v>40</v>
      </c>
      <c r="D13178" s="9">
        <v>41906</v>
      </c>
      <c r="E13178" t="s">
        <v>295</v>
      </c>
    </row>
    <row r="13179" spans="1:5" x14ac:dyDescent="0.25">
      <c r="A13179" t="s">
        <v>250</v>
      </c>
      <c r="B13179">
        <v>0.75</v>
      </c>
      <c r="C13179">
        <v>60</v>
      </c>
      <c r="D13179" s="9">
        <v>41675</v>
      </c>
      <c r="E13179" t="s">
        <v>295</v>
      </c>
    </row>
    <row r="13180" spans="1:5" x14ac:dyDescent="0.25">
      <c r="A13180" t="s">
        <v>250</v>
      </c>
      <c r="B13180">
        <v>0.75</v>
      </c>
      <c r="C13180">
        <v>80</v>
      </c>
      <c r="D13180" s="9">
        <v>41562</v>
      </c>
      <c r="E13180" t="s">
        <v>295</v>
      </c>
    </row>
    <row r="13181" spans="1:5" x14ac:dyDescent="0.25">
      <c r="A13181" t="s">
        <v>251</v>
      </c>
      <c r="B13181">
        <v>0.87</v>
      </c>
      <c r="C13181">
        <v>40</v>
      </c>
      <c r="D13181" s="9">
        <v>41981</v>
      </c>
      <c r="E13181" t="s">
        <v>295</v>
      </c>
    </row>
    <row r="13182" spans="1:5" x14ac:dyDescent="0.25">
      <c r="A13182" t="s">
        <v>251</v>
      </c>
      <c r="B13182">
        <v>0.87</v>
      </c>
      <c r="C13182">
        <v>40</v>
      </c>
      <c r="D13182" s="9">
        <v>41906</v>
      </c>
      <c r="E13182" t="s">
        <v>295</v>
      </c>
    </row>
    <row r="13183" spans="1:5" x14ac:dyDescent="0.25">
      <c r="A13183" t="s">
        <v>251</v>
      </c>
      <c r="B13183">
        <v>0.87</v>
      </c>
      <c r="C13183">
        <v>60</v>
      </c>
      <c r="D13183" s="9">
        <v>41754</v>
      </c>
      <c r="E13183" t="s">
        <v>295</v>
      </c>
    </row>
    <row r="13184" spans="1:5" x14ac:dyDescent="0.25">
      <c r="A13184" t="s">
        <v>251</v>
      </c>
      <c r="B13184">
        <v>0.87</v>
      </c>
      <c r="C13184">
        <v>60</v>
      </c>
      <c r="D13184" s="9">
        <v>41675</v>
      </c>
      <c r="E13184" t="s">
        <v>295</v>
      </c>
    </row>
    <row r="13185" spans="1:5" x14ac:dyDescent="0.25">
      <c r="A13185" t="s">
        <v>260</v>
      </c>
      <c r="B13185">
        <v>4.2300000000000004</v>
      </c>
      <c r="C13185">
        <v>60</v>
      </c>
      <c r="D13185" s="9">
        <v>41617</v>
      </c>
      <c r="E13185" t="s">
        <v>295</v>
      </c>
    </row>
    <row r="13186" spans="1:5" x14ac:dyDescent="0.25">
      <c r="A13186" t="s">
        <v>260</v>
      </c>
      <c r="B13186">
        <v>4.2300000000000004</v>
      </c>
      <c r="C13186">
        <v>47</v>
      </c>
      <c r="D13186" s="9">
        <v>41562</v>
      </c>
      <c r="E13186" t="s">
        <v>295</v>
      </c>
    </row>
    <row r="13187" spans="1:5" x14ac:dyDescent="0.25">
      <c r="A13187" t="s">
        <v>261</v>
      </c>
      <c r="B13187">
        <v>1.41</v>
      </c>
      <c r="C13187">
        <v>144</v>
      </c>
      <c r="D13187" s="9">
        <v>41675</v>
      </c>
      <c r="E13187" t="s">
        <v>295</v>
      </c>
    </row>
    <row r="13188" spans="1:5" x14ac:dyDescent="0.25">
      <c r="A13188" t="s">
        <v>262</v>
      </c>
      <c r="B13188">
        <v>2.54</v>
      </c>
      <c r="C13188">
        <v>12</v>
      </c>
      <c r="D13188" s="9">
        <v>41675</v>
      </c>
      <c r="E13188" t="s">
        <v>295</v>
      </c>
    </row>
    <row r="13189" spans="1:5" x14ac:dyDescent="0.25">
      <c r="A13189" t="s">
        <v>263</v>
      </c>
      <c r="B13189">
        <v>0.79</v>
      </c>
      <c r="C13189">
        <v>200</v>
      </c>
      <c r="D13189" s="9">
        <v>41617</v>
      </c>
      <c r="E13189" t="s">
        <v>295</v>
      </c>
    </row>
    <row r="13190" spans="1:5" x14ac:dyDescent="0.25">
      <c r="A13190" t="s">
        <v>263</v>
      </c>
      <c r="B13190">
        <v>0.79</v>
      </c>
      <c r="C13190">
        <v>200</v>
      </c>
      <c r="D13190" s="9">
        <v>41562</v>
      </c>
      <c r="E13190" t="s">
        <v>295</v>
      </c>
    </row>
    <row r="13191" spans="1:5" x14ac:dyDescent="0.25">
      <c r="A13191" t="s">
        <v>264</v>
      </c>
      <c r="B13191">
        <v>1.06</v>
      </c>
      <c r="C13191">
        <v>200</v>
      </c>
      <c r="D13191" s="9">
        <v>41617</v>
      </c>
      <c r="E13191" t="s">
        <v>295</v>
      </c>
    </row>
    <row r="13192" spans="1:5" x14ac:dyDescent="0.25">
      <c r="A13192" t="s">
        <v>267</v>
      </c>
      <c r="B13192">
        <v>1.89</v>
      </c>
      <c r="C13192">
        <v>240</v>
      </c>
      <c r="D13192" s="9">
        <v>41751</v>
      </c>
      <c r="E13192" t="s">
        <v>295</v>
      </c>
    </row>
    <row r="13193" spans="1:5" x14ac:dyDescent="0.25">
      <c r="A13193" t="s">
        <v>268</v>
      </c>
      <c r="B13193">
        <v>1.1499999999999999</v>
      </c>
      <c r="C13193">
        <v>200</v>
      </c>
      <c r="D13193" s="9">
        <v>41562</v>
      </c>
      <c r="E13193" t="s">
        <v>295</v>
      </c>
    </row>
    <row r="13194" spans="1:5" x14ac:dyDescent="0.25">
      <c r="A13194" t="s">
        <v>2510</v>
      </c>
      <c r="B13194">
        <v>5.2</v>
      </c>
      <c r="C13194">
        <v>200</v>
      </c>
      <c r="D13194" s="9">
        <v>41830</v>
      </c>
      <c r="E13194" t="s">
        <v>295</v>
      </c>
    </row>
    <row r="13195" spans="1:5" x14ac:dyDescent="0.25">
      <c r="A13195" t="s">
        <v>269</v>
      </c>
      <c r="B13195">
        <v>1.04</v>
      </c>
      <c r="C13195">
        <v>100</v>
      </c>
      <c r="D13195" s="9">
        <v>41617</v>
      </c>
      <c r="E13195" t="s">
        <v>295</v>
      </c>
    </row>
    <row r="13196" spans="1:5" x14ac:dyDescent="0.25">
      <c r="A13196" t="s">
        <v>269</v>
      </c>
      <c r="B13196">
        <v>1.04</v>
      </c>
      <c r="C13196">
        <v>100</v>
      </c>
      <c r="D13196" s="9">
        <v>41562</v>
      </c>
      <c r="E13196" t="s">
        <v>295</v>
      </c>
    </row>
    <row r="13197" spans="1:5" x14ac:dyDescent="0.25">
      <c r="A13197" t="s">
        <v>270</v>
      </c>
      <c r="B13197">
        <v>1.94</v>
      </c>
      <c r="C13197">
        <v>20</v>
      </c>
      <c r="D13197" s="9">
        <v>41906</v>
      </c>
      <c r="E13197" t="s">
        <v>295</v>
      </c>
    </row>
    <row r="13198" spans="1:5" x14ac:dyDescent="0.25">
      <c r="A13198" t="s">
        <v>270</v>
      </c>
      <c r="B13198">
        <v>1.94</v>
      </c>
      <c r="C13198">
        <v>90</v>
      </c>
      <c r="D13198" s="9">
        <v>41754</v>
      </c>
      <c r="E13198" t="s">
        <v>295</v>
      </c>
    </row>
    <row r="13199" spans="1:5" x14ac:dyDescent="0.25">
      <c r="A13199" t="s">
        <v>270</v>
      </c>
      <c r="B13199">
        <v>1.94</v>
      </c>
      <c r="C13199">
        <v>100</v>
      </c>
      <c r="D13199" s="9">
        <v>41562</v>
      </c>
      <c r="E13199" t="s">
        <v>295</v>
      </c>
    </row>
    <row r="13200" spans="1:5" x14ac:dyDescent="0.25">
      <c r="D13200" s="9"/>
    </row>
    <row r="13201" spans="4:4" x14ac:dyDescent="0.25">
      <c r="D13201" s="9"/>
    </row>
    <row r="13202" spans="4:4" x14ac:dyDescent="0.25">
      <c r="D13202" s="9"/>
    </row>
    <row r="13203" spans="4:4" x14ac:dyDescent="0.25">
      <c r="D13203" s="9"/>
    </row>
    <row r="13204" spans="4:4" x14ac:dyDescent="0.25">
      <c r="D13204" s="9"/>
    </row>
    <row r="13205" spans="4:4" x14ac:dyDescent="0.25">
      <c r="D13205" s="9"/>
    </row>
    <row r="13206" spans="4:4" x14ac:dyDescent="0.25">
      <c r="D13206" s="9"/>
    </row>
    <row r="13207" spans="4:4" x14ac:dyDescent="0.25">
      <c r="D13207" s="9"/>
    </row>
    <row r="13208" spans="4:4" x14ac:dyDescent="0.25">
      <c r="D13208" s="9"/>
    </row>
    <row r="13209" spans="4:4" x14ac:dyDescent="0.25">
      <c r="D13209" s="9"/>
    </row>
    <row r="13210" spans="4:4" x14ac:dyDescent="0.25">
      <c r="D13210" s="9"/>
    </row>
    <row r="13211" spans="4:4" x14ac:dyDescent="0.25">
      <c r="D13211" s="9"/>
    </row>
    <row r="13212" spans="4:4" x14ac:dyDescent="0.25">
      <c r="D13212" s="9"/>
    </row>
    <row r="13213" spans="4:4" x14ac:dyDescent="0.25">
      <c r="D13213" s="9"/>
    </row>
    <row r="13214" spans="4:4" x14ac:dyDescent="0.25">
      <c r="D13214" s="9"/>
    </row>
    <row r="13215" spans="4:4" x14ac:dyDescent="0.25">
      <c r="D13215" s="9"/>
    </row>
    <row r="13216" spans="4:4" x14ac:dyDescent="0.25">
      <c r="D13216" s="9"/>
    </row>
    <row r="13217" spans="4:4" x14ac:dyDescent="0.25">
      <c r="D13217" s="9"/>
    </row>
    <row r="13218" spans="4:4" x14ac:dyDescent="0.25">
      <c r="D13218" s="9"/>
    </row>
    <row r="13219" spans="4:4" x14ac:dyDescent="0.25">
      <c r="D13219" s="9"/>
    </row>
    <row r="13220" spans="4:4" x14ac:dyDescent="0.25">
      <c r="D13220" s="9"/>
    </row>
    <row r="13221" spans="4:4" x14ac:dyDescent="0.25">
      <c r="D13221" s="9"/>
    </row>
    <row r="13222" spans="4:4" x14ac:dyDescent="0.25">
      <c r="D13222" s="9"/>
    </row>
    <row r="13223" spans="4:4" x14ac:dyDescent="0.25">
      <c r="D13223" s="9"/>
    </row>
    <row r="13224" spans="4:4" x14ac:dyDescent="0.25">
      <c r="D13224" s="9"/>
    </row>
    <row r="13225" spans="4:4" x14ac:dyDescent="0.25">
      <c r="D13225" s="9"/>
    </row>
    <row r="13226" spans="4:4" x14ac:dyDescent="0.25">
      <c r="D13226" s="9"/>
    </row>
    <row r="13227" spans="4:4" x14ac:dyDescent="0.25">
      <c r="D13227" s="9"/>
    </row>
    <row r="13228" spans="4:4" x14ac:dyDescent="0.25">
      <c r="D13228" s="9"/>
    </row>
    <row r="13229" spans="4:4" x14ac:dyDescent="0.25">
      <c r="D13229" s="9"/>
    </row>
    <row r="13230" spans="4:4" x14ac:dyDescent="0.25">
      <c r="D13230" s="9"/>
    </row>
    <row r="13231" spans="4:4" x14ac:dyDescent="0.25">
      <c r="D13231" s="9"/>
    </row>
    <row r="13232" spans="4:4" x14ac:dyDescent="0.25">
      <c r="D13232" s="9"/>
    </row>
    <row r="13233" spans="4:4" x14ac:dyDescent="0.25">
      <c r="D13233" s="9"/>
    </row>
    <row r="13234" spans="4:4" x14ac:dyDescent="0.25">
      <c r="D13234" s="9"/>
    </row>
    <row r="13235" spans="4:4" x14ac:dyDescent="0.25">
      <c r="D13235" s="9"/>
    </row>
    <row r="13236" spans="4:4" x14ac:dyDescent="0.25">
      <c r="D13236" s="9"/>
    </row>
    <row r="13237" spans="4:4" x14ac:dyDescent="0.25">
      <c r="D13237" s="9"/>
    </row>
    <row r="13238" spans="4:4" x14ac:dyDescent="0.25">
      <c r="D13238" s="9"/>
    </row>
    <row r="13239" spans="4:4" x14ac:dyDescent="0.25">
      <c r="D13239" s="9"/>
    </row>
    <row r="13240" spans="4:4" x14ac:dyDescent="0.25">
      <c r="D13240" s="9"/>
    </row>
    <row r="13241" spans="4:4" x14ac:dyDescent="0.25">
      <c r="D13241" s="9"/>
    </row>
    <row r="13242" spans="4:4" x14ac:dyDescent="0.25">
      <c r="D13242" s="9"/>
    </row>
    <row r="13243" spans="4:4" x14ac:dyDescent="0.25">
      <c r="D13243" s="9"/>
    </row>
    <row r="13244" spans="4:4" x14ac:dyDescent="0.25">
      <c r="D13244" s="9"/>
    </row>
    <row r="13245" spans="4:4" x14ac:dyDescent="0.25">
      <c r="D13245" s="9"/>
    </row>
    <row r="13246" spans="4:4" x14ac:dyDescent="0.25">
      <c r="D13246" s="9"/>
    </row>
    <row r="13247" spans="4:4" x14ac:dyDescent="0.25">
      <c r="D13247" s="9"/>
    </row>
    <row r="13248" spans="4:4" x14ac:dyDescent="0.25">
      <c r="D13248" s="9"/>
    </row>
    <row r="13249" spans="4:4" x14ac:dyDescent="0.25">
      <c r="D13249" s="9"/>
    </row>
    <row r="13250" spans="4:4" x14ac:dyDescent="0.25">
      <c r="D13250" s="9"/>
    </row>
    <row r="13251" spans="4:4" x14ac:dyDescent="0.25">
      <c r="D13251" s="9"/>
    </row>
    <row r="13252" spans="4:4" x14ac:dyDescent="0.25">
      <c r="D13252" s="9"/>
    </row>
    <row r="13253" spans="4:4" x14ac:dyDescent="0.25">
      <c r="D13253" s="9"/>
    </row>
    <row r="13254" spans="4:4" x14ac:dyDescent="0.25">
      <c r="D13254" s="9"/>
    </row>
    <row r="13255" spans="4:4" x14ac:dyDescent="0.25">
      <c r="D13255" s="9"/>
    </row>
    <row r="13256" spans="4:4" x14ac:dyDescent="0.25">
      <c r="D13256" s="9"/>
    </row>
    <row r="13257" spans="4:4" x14ac:dyDescent="0.25">
      <c r="D13257" s="9"/>
    </row>
    <row r="13258" spans="4:4" x14ac:dyDescent="0.25">
      <c r="D13258" s="9"/>
    </row>
    <row r="13259" spans="4:4" x14ac:dyDescent="0.25">
      <c r="D13259" s="9"/>
    </row>
    <row r="13260" spans="4:4" x14ac:dyDescent="0.25">
      <c r="D13260" s="9"/>
    </row>
    <row r="13261" spans="4:4" x14ac:dyDescent="0.25">
      <c r="D13261" s="9"/>
    </row>
    <row r="13262" spans="4:4" x14ac:dyDescent="0.25">
      <c r="D13262" s="9"/>
    </row>
    <row r="13263" spans="4:4" x14ac:dyDescent="0.25">
      <c r="D13263" s="9"/>
    </row>
    <row r="13264" spans="4:4" x14ac:dyDescent="0.25">
      <c r="D13264" s="9"/>
    </row>
    <row r="13265" spans="4:4" x14ac:dyDescent="0.25">
      <c r="D13265" s="9"/>
    </row>
    <row r="13266" spans="4:4" x14ac:dyDescent="0.25">
      <c r="D13266" s="9"/>
    </row>
    <row r="13267" spans="4:4" x14ac:dyDescent="0.25">
      <c r="D13267" s="9"/>
    </row>
    <row r="13268" spans="4:4" x14ac:dyDescent="0.25">
      <c r="D13268" s="9"/>
    </row>
    <row r="13269" spans="4:4" x14ac:dyDescent="0.25">
      <c r="D13269" s="9"/>
    </row>
    <row r="13270" spans="4:4" x14ac:dyDescent="0.25">
      <c r="D13270" s="9"/>
    </row>
    <row r="13271" spans="4:4" x14ac:dyDescent="0.25">
      <c r="D13271" s="9"/>
    </row>
    <row r="13272" spans="4:4" x14ac:dyDescent="0.25">
      <c r="D13272" s="9"/>
    </row>
    <row r="13273" spans="4:4" x14ac:dyDescent="0.25">
      <c r="D13273" s="9"/>
    </row>
    <row r="13274" spans="4:4" x14ac:dyDescent="0.25">
      <c r="D13274" s="9"/>
    </row>
    <row r="13275" spans="4:4" x14ac:dyDescent="0.25">
      <c r="D13275" s="9"/>
    </row>
    <row r="13276" spans="4:4" x14ac:dyDescent="0.25">
      <c r="D13276" s="9"/>
    </row>
    <row r="13277" spans="4:4" x14ac:dyDescent="0.25">
      <c r="D13277" s="9"/>
    </row>
    <row r="13278" spans="4:4" x14ac:dyDescent="0.25">
      <c r="D13278" s="9"/>
    </row>
    <row r="13279" spans="4:4" x14ac:dyDescent="0.25">
      <c r="D13279" s="9"/>
    </row>
    <row r="13280" spans="4:4" x14ac:dyDescent="0.25">
      <c r="D13280" s="9"/>
    </row>
    <row r="13281" spans="4:4" x14ac:dyDescent="0.25">
      <c r="D13281" s="9"/>
    </row>
    <row r="13282" spans="4:4" x14ac:dyDescent="0.25">
      <c r="D13282" s="9"/>
    </row>
    <row r="13283" spans="4:4" x14ac:dyDescent="0.25">
      <c r="D13283" s="9"/>
    </row>
    <row r="13284" spans="4:4" x14ac:dyDescent="0.25">
      <c r="D13284" s="9"/>
    </row>
    <row r="13285" spans="4:4" x14ac:dyDescent="0.25">
      <c r="D13285" s="9"/>
    </row>
    <row r="13286" spans="4:4" x14ac:dyDescent="0.25">
      <c r="D13286" s="9"/>
    </row>
    <row r="13287" spans="4:4" x14ac:dyDescent="0.25">
      <c r="D13287" s="9"/>
    </row>
    <row r="13288" spans="4:4" x14ac:dyDescent="0.25">
      <c r="D13288" s="9"/>
    </row>
    <row r="13289" spans="4:4" x14ac:dyDescent="0.25">
      <c r="D13289" s="9"/>
    </row>
    <row r="13290" spans="4:4" x14ac:dyDescent="0.25">
      <c r="D13290" s="9"/>
    </row>
    <row r="13291" spans="4:4" x14ac:dyDescent="0.25">
      <c r="D13291" s="9"/>
    </row>
    <row r="13292" spans="4:4" x14ac:dyDescent="0.25">
      <c r="D13292" s="9"/>
    </row>
    <row r="13293" spans="4:4" x14ac:dyDescent="0.25">
      <c r="D13293" s="9"/>
    </row>
    <row r="13294" spans="4:4" x14ac:dyDescent="0.25">
      <c r="D13294" s="9"/>
    </row>
    <row r="13295" spans="4:4" x14ac:dyDescent="0.25">
      <c r="D13295" s="9"/>
    </row>
    <row r="13296" spans="4:4" x14ac:dyDescent="0.25">
      <c r="D13296" s="9"/>
    </row>
    <row r="13297" spans="4:4" x14ac:dyDescent="0.25">
      <c r="D13297" s="9"/>
    </row>
    <row r="13298" spans="4:4" x14ac:dyDescent="0.25">
      <c r="D13298" s="9"/>
    </row>
    <row r="13299" spans="4:4" x14ac:dyDescent="0.25">
      <c r="D13299" s="9"/>
    </row>
    <row r="13300" spans="4:4" x14ac:dyDescent="0.25">
      <c r="D13300" s="9"/>
    </row>
    <row r="13301" spans="4:4" x14ac:dyDescent="0.25">
      <c r="D13301" s="9"/>
    </row>
    <row r="13302" spans="4:4" x14ac:dyDescent="0.25">
      <c r="D13302" s="9"/>
    </row>
    <row r="13303" spans="4:4" x14ac:dyDescent="0.25">
      <c r="D13303" s="9"/>
    </row>
    <row r="13304" spans="4:4" x14ac:dyDescent="0.25">
      <c r="D13304" s="9"/>
    </row>
    <row r="13305" spans="4:4" x14ac:dyDescent="0.25">
      <c r="D13305" s="9"/>
    </row>
    <row r="13306" spans="4:4" x14ac:dyDescent="0.25">
      <c r="D13306" s="9"/>
    </row>
    <row r="13307" spans="4:4" x14ac:dyDescent="0.25">
      <c r="D13307" s="9"/>
    </row>
    <row r="13308" spans="4:4" x14ac:dyDescent="0.25">
      <c r="D13308" s="9"/>
    </row>
    <row r="13309" spans="4:4" x14ac:dyDescent="0.25">
      <c r="D13309" s="9"/>
    </row>
    <row r="13310" spans="4:4" x14ac:dyDescent="0.25">
      <c r="D13310" s="9"/>
    </row>
    <row r="13311" spans="4:4" x14ac:dyDescent="0.25">
      <c r="D13311" s="9"/>
    </row>
    <row r="13312" spans="4:4" x14ac:dyDescent="0.25">
      <c r="D13312" s="9"/>
    </row>
    <row r="13313" spans="4:4" x14ac:dyDescent="0.25">
      <c r="D13313" s="9"/>
    </row>
    <row r="13314" spans="4:4" x14ac:dyDescent="0.25">
      <c r="D13314" s="9"/>
    </row>
    <row r="13315" spans="4:4" x14ac:dyDescent="0.25">
      <c r="D13315" s="9"/>
    </row>
    <row r="13316" spans="4:4" x14ac:dyDescent="0.25">
      <c r="D13316" s="9"/>
    </row>
    <row r="13317" spans="4:4" x14ac:dyDescent="0.25">
      <c r="D13317" s="9"/>
    </row>
    <row r="13318" spans="4:4" x14ac:dyDescent="0.25">
      <c r="D13318" s="9"/>
    </row>
    <row r="13319" spans="4:4" x14ac:dyDescent="0.25">
      <c r="D13319" s="9"/>
    </row>
    <row r="13320" spans="4:4" x14ac:dyDescent="0.25">
      <c r="D13320" s="9"/>
    </row>
    <row r="13321" spans="4:4" x14ac:dyDescent="0.25">
      <c r="D13321" s="9"/>
    </row>
    <row r="13322" spans="4:4" x14ac:dyDescent="0.25">
      <c r="D13322" s="9"/>
    </row>
    <row r="13323" spans="4:4" x14ac:dyDescent="0.25">
      <c r="D13323" s="9"/>
    </row>
    <row r="13324" spans="4:4" x14ac:dyDescent="0.25">
      <c r="D13324" s="9"/>
    </row>
    <row r="13325" spans="4:4" x14ac:dyDescent="0.25">
      <c r="D13325" s="9"/>
    </row>
    <row r="13326" spans="4:4" x14ac:dyDescent="0.25">
      <c r="D13326" s="9"/>
    </row>
    <row r="13327" spans="4:4" x14ac:dyDescent="0.25">
      <c r="D13327" s="9"/>
    </row>
    <row r="13328" spans="4:4" x14ac:dyDescent="0.25">
      <c r="D13328" s="9"/>
    </row>
    <row r="13329" spans="4:4" x14ac:dyDescent="0.25">
      <c r="D13329" s="9"/>
    </row>
    <row r="13330" spans="4:4" x14ac:dyDescent="0.25">
      <c r="D13330" s="9"/>
    </row>
    <row r="13331" spans="4:4" x14ac:dyDescent="0.25">
      <c r="D13331" s="9"/>
    </row>
    <row r="13332" spans="4:4" x14ac:dyDescent="0.25">
      <c r="D13332" s="9"/>
    </row>
    <row r="13333" spans="4:4" x14ac:dyDescent="0.25">
      <c r="D13333" s="9"/>
    </row>
    <row r="13334" spans="4:4" x14ac:dyDescent="0.25">
      <c r="D13334" s="9"/>
    </row>
    <row r="13335" spans="4:4" x14ac:dyDescent="0.25">
      <c r="D13335" s="9"/>
    </row>
    <row r="13336" spans="4:4" x14ac:dyDescent="0.25">
      <c r="D13336" s="9"/>
    </row>
    <row r="13337" spans="4:4" x14ac:dyDescent="0.25">
      <c r="D13337" s="9"/>
    </row>
    <row r="13338" spans="4:4" x14ac:dyDescent="0.25">
      <c r="D13338" s="9"/>
    </row>
    <row r="13339" spans="4:4" x14ac:dyDescent="0.25">
      <c r="D13339" s="9"/>
    </row>
    <row r="13340" spans="4:4" x14ac:dyDescent="0.25">
      <c r="D13340" s="9"/>
    </row>
    <row r="13341" spans="4:4" x14ac:dyDescent="0.25">
      <c r="D13341" s="9"/>
    </row>
    <row r="13342" spans="4:4" x14ac:dyDescent="0.25">
      <c r="D13342" s="9"/>
    </row>
    <row r="13343" spans="4:4" x14ac:dyDescent="0.25">
      <c r="D13343" s="9"/>
    </row>
    <row r="13344" spans="4:4" x14ac:dyDescent="0.25">
      <c r="D13344" s="9"/>
    </row>
    <row r="13345" spans="4:4" x14ac:dyDescent="0.25">
      <c r="D13345" s="9"/>
    </row>
    <row r="13346" spans="4:4" x14ac:dyDescent="0.25">
      <c r="D13346" s="9"/>
    </row>
    <row r="13347" spans="4:4" x14ac:dyDescent="0.25">
      <c r="D13347" s="9"/>
    </row>
    <row r="13348" spans="4:4" x14ac:dyDescent="0.25">
      <c r="D13348" s="9"/>
    </row>
    <row r="13349" spans="4:4" x14ac:dyDescent="0.25">
      <c r="D13349" s="9"/>
    </row>
    <row r="13350" spans="4:4" x14ac:dyDescent="0.25">
      <c r="D13350" s="9"/>
    </row>
    <row r="13351" spans="4:4" x14ac:dyDescent="0.25">
      <c r="D13351" s="9"/>
    </row>
    <row r="13352" spans="4:4" x14ac:dyDescent="0.25">
      <c r="D13352" s="9"/>
    </row>
    <row r="13353" spans="4:4" x14ac:dyDescent="0.25">
      <c r="D13353" s="9"/>
    </row>
    <row r="13354" spans="4:4" x14ac:dyDescent="0.25">
      <c r="D13354" s="9"/>
    </row>
    <row r="13355" spans="4:4" x14ac:dyDescent="0.25">
      <c r="D13355" s="9"/>
    </row>
    <row r="13356" spans="4:4" x14ac:dyDescent="0.25">
      <c r="D13356" s="9"/>
    </row>
    <row r="13357" spans="4:4" x14ac:dyDescent="0.25">
      <c r="D13357" s="9"/>
    </row>
    <row r="13358" spans="4:4" x14ac:dyDescent="0.25">
      <c r="D13358" s="9"/>
    </row>
    <row r="13359" spans="4:4" x14ac:dyDescent="0.25">
      <c r="D13359" s="9"/>
    </row>
    <row r="13360" spans="4:4" x14ac:dyDescent="0.25">
      <c r="D13360" s="9"/>
    </row>
    <row r="13361" spans="4:4" x14ac:dyDescent="0.25">
      <c r="D13361" s="9"/>
    </row>
    <row r="13362" spans="4:4" x14ac:dyDescent="0.25">
      <c r="D13362" s="9"/>
    </row>
    <row r="13363" spans="4:4" x14ac:dyDescent="0.25">
      <c r="D13363" s="9"/>
    </row>
    <row r="13364" spans="4:4" x14ac:dyDescent="0.25">
      <c r="D13364" s="9"/>
    </row>
    <row r="13365" spans="4:4" x14ac:dyDescent="0.25">
      <c r="D13365" s="9"/>
    </row>
    <row r="13366" spans="4:4" x14ac:dyDescent="0.25">
      <c r="D13366" s="9"/>
    </row>
    <row r="13367" spans="4:4" x14ac:dyDescent="0.25">
      <c r="D13367" s="9"/>
    </row>
    <row r="13368" spans="4:4" x14ac:dyDescent="0.25">
      <c r="D13368" s="9"/>
    </row>
    <row r="13369" spans="4:4" x14ac:dyDescent="0.25">
      <c r="D13369" s="9"/>
    </row>
    <row r="13370" spans="4:4" x14ac:dyDescent="0.25">
      <c r="D13370" s="9"/>
    </row>
    <row r="13371" spans="4:4" x14ac:dyDescent="0.25">
      <c r="D13371" s="9"/>
    </row>
    <row r="13372" spans="4:4" x14ac:dyDescent="0.25">
      <c r="D13372" s="9"/>
    </row>
    <row r="13373" spans="4:4" x14ac:dyDescent="0.25">
      <c r="D13373" s="9"/>
    </row>
    <row r="13374" spans="4:4" x14ac:dyDescent="0.25">
      <c r="D13374" s="9"/>
    </row>
    <row r="13375" spans="4:4" x14ac:dyDescent="0.25">
      <c r="D13375" s="9"/>
    </row>
    <row r="13376" spans="4:4" x14ac:dyDescent="0.25">
      <c r="D13376" s="9"/>
    </row>
    <row r="13377" spans="4:4" x14ac:dyDescent="0.25">
      <c r="D13377" s="9"/>
    </row>
    <row r="13378" spans="4:4" x14ac:dyDescent="0.25">
      <c r="D13378" s="9"/>
    </row>
    <row r="13379" spans="4:4" x14ac:dyDescent="0.25">
      <c r="D13379" s="9"/>
    </row>
    <row r="13380" spans="4:4" x14ac:dyDescent="0.25">
      <c r="D13380" s="9"/>
    </row>
    <row r="13381" spans="4:4" x14ac:dyDescent="0.25">
      <c r="D13381" s="9"/>
    </row>
    <row r="13382" spans="4:4" x14ac:dyDescent="0.25">
      <c r="D13382" s="9"/>
    </row>
    <row r="13383" spans="4:4" x14ac:dyDescent="0.25">
      <c r="D13383" s="9"/>
    </row>
    <row r="13384" spans="4:4" x14ac:dyDescent="0.25">
      <c r="D13384" s="9"/>
    </row>
    <row r="13385" spans="4:4" x14ac:dyDescent="0.25">
      <c r="D13385" s="9"/>
    </row>
    <row r="13386" spans="4:4" x14ac:dyDescent="0.25">
      <c r="D13386" s="9"/>
    </row>
    <row r="13387" spans="4:4" x14ac:dyDescent="0.25">
      <c r="D13387" s="9"/>
    </row>
    <row r="13388" spans="4:4" x14ac:dyDescent="0.25">
      <c r="D13388" s="9"/>
    </row>
    <row r="13389" spans="4:4" x14ac:dyDescent="0.25">
      <c r="D13389" s="9"/>
    </row>
    <row r="13390" spans="4:4" x14ac:dyDescent="0.25">
      <c r="D13390" s="9"/>
    </row>
    <row r="13391" spans="4:4" x14ac:dyDescent="0.25">
      <c r="D13391" s="9"/>
    </row>
    <row r="13392" spans="4:4" x14ac:dyDescent="0.25">
      <c r="D13392" s="9"/>
    </row>
    <row r="13393" spans="4:4" x14ac:dyDescent="0.25">
      <c r="D13393" s="9"/>
    </row>
    <row r="13394" spans="4:4" x14ac:dyDescent="0.25">
      <c r="D13394" s="9"/>
    </row>
    <row r="13395" spans="4:4" x14ac:dyDescent="0.25">
      <c r="D13395" s="9"/>
    </row>
    <row r="13396" spans="4:4" x14ac:dyDescent="0.25">
      <c r="D13396" s="9"/>
    </row>
    <row r="13397" spans="4:4" x14ac:dyDescent="0.25">
      <c r="D13397" s="9"/>
    </row>
    <row r="13398" spans="4:4" x14ac:dyDescent="0.25">
      <c r="D13398" s="9"/>
    </row>
    <row r="13399" spans="4:4" x14ac:dyDescent="0.25">
      <c r="D13399" s="9"/>
    </row>
    <row r="13400" spans="4:4" x14ac:dyDescent="0.25">
      <c r="D13400" s="9"/>
    </row>
    <row r="13401" spans="4:4" x14ac:dyDescent="0.25">
      <c r="D13401" s="9"/>
    </row>
    <row r="13402" spans="4:4" x14ac:dyDescent="0.25">
      <c r="D13402" s="9"/>
    </row>
    <row r="13403" spans="4:4" x14ac:dyDescent="0.25">
      <c r="D13403" s="9"/>
    </row>
    <row r="13404" spans="4:4" x14ac:dyDescent="0.25">
      <c r="D13404" s="9"/>
    </row>
    <row r="13405" spans="4:4" x14ac:dyDescent="0.25">
      <c r="D13405" s="9"/>
    </row>
    <row r="13406" spans="4:4" x14ac:dyDescent="0.25">
      <c r="D13406" s="9"/>
    </row>
    <row r="13407" spans="4:4" x14ac:dyDescent="0.25">
      <c r="D13407" s="9"/>
    </row>
    <row r="13408" spans="4:4" x14ac:dyDescent="0.25">
      <c r="D13408" s="9"/>
    </row>
    <row r="13409" spans="4:4" x14ac:dyDescent="0.25">
      <c r="D13409" s="9"/>
    </row>
    <row r="13410" spans="4:4" x14ac:dyDescent="0.25">
      <c r="D13410" s="9"/>
    </row>
    <row r="13411" spans="4:4" x14ac:dyDescent="0.25">
      <c r="D13411" s="9"/>
    </row>
    <row r="13412" spans="4:4" x14ac:dyDescent="0.25">
      <c r="D13412" s="9"/>
    </row>
    <row r="13413" spans="4:4" x14ac:dyDescent="0.25">
      <c r="D13413" s="9"/>
    </row>
    <row r="13414" spans="4:4" x14ac:dyDescent="0.25">
      <c r="D13414" s="9"/>
    </row>
    <row r="13415" spans="4:4" x14ac:dyDescent="0.25">
      <c r="D13415" s="9"/>
    </row>
    <row r="13416" spans="4:4" x14ac:dyDescent="0.25">
      <c r="D13416" s="9"/>
    </row>
    <row r="13417" spans="4:4" x14ac:dyDescent="0.25">
      <c r="D13417" s="9"/>
    </row>
    <row r="13418" spans="4:4" x14ac:dyDescent="0.25">
      <c r="D13418" s="9"/>
    </row>
    <row r="13419" spans="4:4" x14ac:dyDescent="0.25">
      <c r="D13419" s="9"/>
    </row>
    <row r="13420" spans="4:4" x14ac:dyDescent="0.25">
      <c r="D13420" s="9"/>
    </row>
    <row r="13421" spans="4:4" x14ac:dyDescent="0.25">
      <c r="D13421" s="9"/>
    </row>
    <row r="13422" spans="4:4" x14ac:dyDescent="0.25">
      <c r="D13422" s="9"/>
    </row>
    <row r="13423" spans="4:4" x14ac:dyDescent="0.25">
      <c r="D13423" s="9"/>
    </row>
    <row r="13424" spans="4:4" x14ac:dyDescent="0.25">
      <c r="D13424" s="9"/>
    </row>
    <row r="13425" spans="4:4" x14ac:dyDescent="0.25">
      <c r="D13425" s="9"/>
    </row>
    <row r="13426" spans="4:4" x14ac:dyDescent="0.25">
      <c r="D13426" s="9"/>
    </row>
    <row r="13427" spans="4:4" x14ac:dyDescent="0.25">
      <c r="D13427" s="9"/>
    </row>
    <row r="13428" spans="4:4" x14ac:dyDescent="0.25">
      <c r="D13428" s="9"/>
    </row>
    <row r="13429" spans="4:4" x14ac:dyDescent="0.25">
      <c r="D13429" s="9"/>
    </row>
    <row r="13430" spans="4:4" x14ac:dyDescent="0.25">
      <c r="D13430" s="9"/>
    </row>
    <row r="13431" spans="4:4" x14ac:dyDescent="0.25">
      <c r="D13431" s="9"/>
    </row>
    <row r="13432" spans="4:4" x14ac:dyDescent="0.25">
      <c r="D13432" s="9"/>
    </row>
    <row r="13433" spans="4:4" x14ac:dyDescent="0.25">
      <c r="D13433" s="9"/>
    </row>
    <row r="13434" spans="4:4" x14ac:dyDescent="0.25">
      <c r="D13434" s="9"/>
    </row>
    <row r="13435" spans="4:4" x14ac:dyDescent="0.25">
      <c r="D13435" s="9"/>
    </row>
    <row r="13436" spans="4:4" x14ac:dyDescent="0.25">
      <c r="D13436" s="9"/>
    </row>
    <row r="13437" spans="4:4" x14ac:dyDescent="0.25">
      <c r="D13437" s="9"/>
    </row>
    <row r="13438" spans="4:4" x14ac:dyDescent="0.25">
      <c r="D13438" s="9"/>
    </row>
    <row r="13439" spans="4:4" x14ac:dyDescent="0.25">
      <c r="D13439" s="9"/>
    </row>
    <row r="13440" spans="4:4" x14ac:dyDescent="0.25">
      <c r="D13440" s="9"/>
    </row>
    <row r="13441" spans="4:4" x14ac:dyDescent="0.25">
      <c r="D13441" s="9"/>
    </row>
    <row r="13442" spans="4:4" x14ac:dyDescent="0.25">
      <c r="D13442" s="9"/>
    </row>
    <row r="13443" spans="4:4" x14ac:dyDescent="0.25">
      <c r="D13443" s="9"/>
    </row>
    <row r="13444" spans="4:4" x14ac:dyDescent="0.25">
      <c r="D13444" s="9"/>
    </row>
    <row r="13445" spans="4:4" x14ac:dyDescent="0.25">
      <c r="D13445" s="9"/>
    </row>
    <row r="13446" spans="4:4" x14ac:dyDescent="0.25">
      <c r="D13446" s="9"/>
    </row>
    <row r="13447" spans="4:4" x14ac:dyDescent="0.25">
      <c r="D13447" s="9"/>
    </row>
    <row r="13448" spans="4:4" x14ac:dyDescent="0.25">
      <c r="D13448" s="9"/>
    </row>
    <row r="13449" spans="4:4" x14ac:dyDescent="0.25">
      <c r="D13449" s="9"/>
    </row>
    <row r="13450" spans="4:4" x14ac:dyDescent="0.25">
      <c r="D13450" s="9"/>
    </row>
    <row r="13451" spans="4:4" x14ac:dyDescent="0.25">
      <c r="D13451" s="9"/>
    </row>
    <row r="13452" spans="4:4" x14ac:dyDescent="0.25">
      <c r="D13452" s="9"/>
    </row>
    <row r="13453" spans="4:4" x14ac:dyDescent="0.25">
      <c r="D13453" s="9"/>
    </row>
    <row r="13454" spans="4:4" x14ac:dyDescent="0.25">
      <c r="D13454" s="9"/>
    </row>
    <row r="13455" spans="4:4" x14ac:dyDescent="0.25">
      <c r="D13455" s="9"/>
    </row>
    <row r="13456" spans="4:4" x14ac:dyDescent="0.25">
      <c r="D13456" s="9"/>
    </row>
    <row r="13457" spans="4:4" x14ac:dyDescent="0.25">
      <c r="D13457" s="9"/>
    </row>
    <row r="13458" spans="4:4" x14ac:dyDescent="0.25">
      <c r="D13458" s="9"/>
    </row>
    <row r="13459" spans="4:4" x14ac:dyDescent="0.25">
      <c r="D13459" s="9"/>
    </row>
    <row r="13460" spans="4:4" x14ac:dyDescent="0.25">
      <c r="D13460" s="9"/>
    </row>
    <row r="13461" spans="4:4" x14ac:dyDescent="0.25">
      <c r="D13461" s="9"/>
    </row>
    <row r="13462" spans="4:4" x14ac:dyDescent="0.25">
      <c r="D13462" s="9"/>
    </row>
    <row r="13463" spans="4:4" x14ac:dyDescent="0.25">
      <c r="D13463" s="9"/>
    </row>
    <row r="13464" spans="4:4" x14ac:dyDescent="0.25">
      <c r="D13464" s="9"/>
    </row>
    <row r="13465" spans="4:4" x14ac:dyDescent="0.25">
      <c r="D13465" s="9"/>
    </row>
    <row r="13466" spans="4:4" x14ac:dyDescent="0.25">
      <c r="D13466" s="9"/>
    </row>
    <row r="13467" spans="4:4" x14ac:dyDescent="0.25">
      <c r="D13467" s="9"/>
    </row>
    <row r="13468" spans="4:4" x14ac:dyDescent="0.25">
      <c r="D13468" s="9"/>
    </row>
    <row r="13469" spans="4:4" x14ac:dyDescent="0.25">
      <c r="D13469" s="9"/>
    </row>
    <row r="13470" spans="4:4" x14ac:dyDescent="0.25">
      <c r="D13470" s="9"/>
    </row>
    <row r="13471" spans="4:4" x14ac:dyDescent="0.25">
      <c r="D13471" s="9"/>
    </row>
    <row r="13472" spans="4:4" x14ac:dyDescent="0.25">
      <c r="D13472" s="9"/>
    </row>
    <row r="13473" spans="4:4" x14ac:dyDescent="0.25">
      <c r="D13473" s="9"/>
    </row>
    <row r="13474" spans="4:4" x14ac:dyDescent="0.25">
      <c r="D13474" s="9"/>
    </row>
    <row r="13475" spans="4:4" x14ac:dyDescent="0.25">
      <c r="D13475" s="9"/>
    </row>
    <row r="13476" spans="4:4" x14ac:dyDescent="0.25">
      <c r="D13476" s="9"/>
    </row>
    <row r="13477" spans="4:4" x14ac:dyDescent="0.25">
      <c r="D13477" s="9"/>
    </row>
    <row r="13478" spans="4:4" x14ac:dyDescent="0.25">
      <c r="D13478" s="9"/>
    </row>
    <row r="13479" spans="4:4" x14ac:dyDescent="0.25">
      <c r="D13479" s="9"/>
    </row>
    <row r="13480" spans="4:4" x14ac:dyDescent="0.25">
      <c r="D13480" s="9"/>
    </row>
    <row r="13481" spans="4:4" x14ac:dyDescent="0.25">
      <c r="D13481" s="9"/>
    </row>
    <row r="13482" spans="4:4" x14ac:dyDescent="0.25">
      <c r="D13482" s="9"/>
    </row>
    <row r="13483" spans="4:4" x14ac:dyDescent="0.25">
      <c r="D13483" s="9"/>
    </row>
    <row r="13484" spans="4:4" x14ac:dyDescent="0.25">
      <c r="D13484" s="9"/>
    </row>
    <row r="13485" spans="4:4" x14ac:dyDescent="0.25">
      <c r="D13485" s="9"/>
    </row>
    <row r="13486" spans="4:4" x14ac:dyDescent="0.25">
      <c r="D13486" s="9"/>
    </row>
    <row r="13487" spans="4:4" x14ac:dyDescent="0.25">
      <c r="D13487" s="9"/>
    </row>
    <row r="13488" spans="4:4" x14ac:dyDescent="0.25">
      <c r="D13488" s="9"/>
    </row>
    <row r="13489" spans="4:4" x14ac:dyDescent="0.25">
      <c r="D13489" s="9"/>
    </row>
    <row r="13490" spans="4:4" x14ac:dyDescent="0.25">
      <c r="D13490" s="9"/>
    </row>
    <row r="13491" spans="4:4" x14ac:dyDescent="0.25">
      <c r="D13491" s="9"/>
    </row>
    <row r="13492" spans="4:4" x14ac:dyDescent="0.25">
      <c r="D13492" s="9"/>
    </row>
    <row r="13493" spans="4:4" x14ac:dyDescent="0.25">
      <c r="D13493" s="9"/>
    </row>
    <row r="13494" spans="4:4" x14ac:dyDescent="0.25">
      <c r="D13494" s="9"/>
    </row>
    <row r="13495" spans="4:4" x14ac:dyDescent="0.25">
      <c r="D13495" s="9"/>
    </row>
    <row r="13496" spans="4:4" x14ac:dyDescent="0.25">
      <c r="D13496" s="9"/>
    </row>
    <row r="13497" spans="4:4" x14ac:dyDescent="0.25">
      <c r="D13497" s="9"/>
    </row>
    <row r="13498" spans="4:4" x14ac:dyDescent="0.25">
      <c r="D13498" s="9"/>
    </row>
    <row r="13499" spans="4:4" x14ac:dyDescent="0.25">
      <c r="D13499" s="9"/>
    </row>
    <row r="13500" spans="4:4" x14ac:dyDescent="0.25">
      <c r="D13500" s="9"/>
    </row>
    <row r="13501" spans="4:4" x14ac:dyDescent="0.25">
      <c r="D13501" s="9"/>
    </row>
    <row r="13502" spans="4:4" x14ac:dyDescent="0.25">
      <c r="D13502" s="9"/>
    </row>
    <row r="13503" spans="4:4" x14ac:dyDescent="0.25">
      <c r="D13503" s="9"/>
    </row>
    <row r="13504" spans="4:4" x14ac:dyDescent="0.25">
      <c r="D13504" s="9"/>
    </row>
    <row r="13505" spans="4:4" x14ac:dyDescent="0.25">
      <c r="D13505" s="9"/>
    </row>
    <row r="13506" spans="4:4" x14ac:dyDescent="0.25">
      <c r="D13506" s="9"/>
    </row>
    <row r="13507" spans="4:4" x14ac:dyDescent="0.25">
      <c r="D13507" s="9"/>
    </row>
    <row r="13508" spans="4:4" x14ac:dyDescent="0.25">
      <c r="D13508" s="9"/>
    </row>
    <row r="13509" spans="4:4" x14ac:dyDescent="0.25">
      <c r="D13509" s="9"/>
    </row>
    <row r="13510" spans="4:4" x14ac:dyDescent="0.25">
      <c r="D13510" s="9"/>
    </row>
    <row r="13511" spans="4:4" x14ac:dyDescent="0.25">
      <c r="D13511" s="9"/>
    </row>
    <row r="13512" spans="4:4" x14ac:dyDescent="0.25">
      <c r="D13512" s="9"/>
    </row>
    <row r="13513" spans="4:4" x14ac:dyDescent="0.25">
      <c r="D13513" s="9"/>
    </row>
    <row r="13514" spans="4:4" x14ac:dyDescent="0.25">
      <c r="D13514" s="9"/>
    </row>
    <row r="13515" spans="4:4" x14ac:dyDescent="0.25">
      <c r="D13515" s="9"/>
    </row>
    <row r="13516" spans="4:4" x14ac:dyDescent="0.25">
      <c r="D13516" s="9"/>
    </row>
    <row r="13517" spans="4:4" x14ac:dyDescent="0.25">
      <c r="D13517" s="9"/>
    </row>
    <row r="13518" spans="4:4" x14ac:dyDescent="0.25">
      <c r="D13518" s="9"/>
    </row>
    <row r="13519" spans="4:4" x14ac:dyDescent="0.25">
      <c r="D13519" s="9"/>
    </row>
    <row r="13520" spans="4:4" x14ac:dyDescent="0.25">
      <c r="D13520" s="9"/>
    </row>
    <row r="13521" spans="4:4" x14ac:dyDescent="0.25">
      <c r="D13521" s="9"/>
    </row>
    <row r="13522" spans="4:4" x14ac:dyDescent="0.25">
      <c r="D13522" s="9"/>
    </row>
    <row r="13523" spans="4:4" x14ac:dyDescent="0.25">
      <c r="D13523" s="9"/>
    </row>
    <row r="13524" spans="4:4" x14ac:dyDescent="0.25">
      <c r="D13524" s="9"/>
    </row>
    <row r="13525" spans="4:4" x14ac:dyDescent="0.25">
      <c r="D13525" s="9"/>
    </row>
    <row r="13526" spans="4:4" x14ac:dyDescent="0.25">
      <c r="D13526" s="9"/>
    </row>
    <row r="13527" spans="4:4" x14ac:dyDescent="0.25">
      <c r="D13527" s="9"/>
    </row>
    <row r="13528" spans="4:4" x14ac:dyDescent="0.25">
      <c r="D13528" s="9"/>
    </row>
    <row r="13529" spans="4:4" x14ac:dyDescent="0.25">
      <c r="D13529" s="9"/>
    </row>
    <row r="13530" spans="4:4" x14ac:dyDescent="0.25">
      <c r="D13530" s="9"/>
    </row>
    <row r="13531" spans="4:4" x14ac:dyDescent="0.25">
      <c r="D13531" s="9"/>
    </row>
    <row r="13532" spans="4:4" x14ac:dyDescent="0.25">
      <c r="D13532" s="9"/>
    </row>
    <row r="13533" spans="4:4" x14ac:dyDescent="0.25">
      <c r="D13533" s="9"/>
    </row>
    <row r="13534" spans="4:4" x14ac:dyDescent="0.25">
      <c r="D13534" s="9"/>
    </row>
    <row r="13535" spans="4:4" x14ac:dyDescent="0.25">
      <c r="D13535" s="9"/>
    </row>
    <row r="13536" spans="4:4" x14ac:dyDescent="0.25">
      <c r="D13536" s="9"/>
    </row>
    <row r="13537" spans="4:4" x14ac:dyDescent="0.25">
      <c r="D13537" s="9"/>
    </row>
    <row r="13538" spans="4:4" x14ac:dyDescent="0.25">
      <c r="D13538" s="9"/>
    </row>
    <row r="13539" spans="4:4" x14ac:dyDescent="0.25">
      <c r="D13539" s="9"/>
    </row>
    <row r="13540" spans="4:4" x14ac:dyDescent="0.25">
      <c r="D13540" s="9"/>
    </row>
    <row r="13541" spans="4:4" x14ac:dyDescent="0.25">
      <c r="D13541" s="9"/>
    </row>
    <row r="13542" spans="4:4" x14ac:dyDescent="0.25">
      <c r="D13542" s="9"/>
    </row>
    <row r="13543" spans="4:4" x14ac:dyDescent="0.25">
      <c r="D13543" s="9"/>
    </row>
    <row r="13544" spans="4:4" x14ac:dyDescent="0.25">
      <c r="D13544" s="9"/>
    </row>
    <row r="13545" spans="4:4" x14ac:dyDescent="0.25">
      <c r="D13545" s="9"/>
    </row>
    <row r="13546" spans="4:4" x14ac:dyDescent="0.25">
      <c r="D13546" s="9"/>
    </row>
    <row r="13547" spans="4:4" x14ac:dyDescent="0.25">
      <c r="D13547" s="9"/>
    </row>
    <row r="13548" spans="4:4" x14ac:dyDescent="0.25">
      <c r="D13548" s="9"/>
    </row>
    <row r="13549" spans="4:4" x14ac:dyDescent="0.25">
      <c r="D13549" s="9"/>
    </row>
    <row r="13550" spans="4:4" x14ac:dyDescent="0.25">
      <c r="D13550" s="9"/>
    </row>
    <row r="13551" spans="4:4" x14ac:dyDescent="0.25">
      <c r="D13551" s="9"/>
    </row>
    <row r="13552" spans="4:4" x14ac:dyDescent="0.25">
      <c r="D13552" s="9"/>
    </row>
    <row r="13553" spans="4:4" x14ac:dyDescent="0.25">
      <c r="D13553" s="9"/>
    </row>
    <row r="13554" spans="4:4" x14ac:dyDescent="0.25">
      <c r="D13554" s="9"/>
    </row>
    <row r="13555" spans="4:4" x14ac:dyDescent="0.25">
      <c r="D13555" s="9"/>
    </row>
    <row r="13556" spans="4:4" x14ac:dyDescent="0.25">
      <c r="D13556" s="9"/>
    </row>
    <row r="13557" spans="4:4" x14ac:dyDescent="0.25">
      <c r="D13557" s="9"/>
    </row>
    <row r="13558" spans="4:4" x14ac:dyDescent="0.25">
      <c r="D13558" s="9"/>
    </row>
    <row r="13559" spans="4:4" x14ac:dyDescent="0.25">
      <c r="D13559" s="9"/>
    </row>
    <row r="13560" spans="4:4" x14ac:dyDescent="0.25">
      <c r="D13560" s="9"/>
    </row>
    <row r="13561" spans="4:4" x14ac:dyDescent="0.25">
      <c r="D13561" s="9"/>
    </row>
    <row r="13562" spans="4:4" x14ac:dyDescent="0.25">
      <c r="D13562" s="9"/>
    </row>
    <row r="13563" spans="4:4" x14ac:dyDescent="0.25">
      <c r="D13563" s="9"/>
    </row>
    <row r="13564" spans="4:4" x14ac:dyDescent="0.25">
      <c r="D13564" s="9"/>
    </row>
    <row r="13565" spans="4:4" x14ac:dyDescent="0.25">
      <c r="D13565" s="9"/>
    </row>
    <row r="13566" spans="4:4" x14ac:dyDescent="0.25">
      <c r="D13566" s="9"/>
    </row>
    <row r="13567" spans="4:4" x14ac:dyDescent="0.25">
      <c r="D13567" s="9"/>
    </row>
    <row r="13568" spans="4:4" x14ac:dyDescent="0.25">
      <c r="D13568" s="9"/>
    </row>
    <row r="13569" spans="4:4" x14ac:dyDescent="0.25">
      <c r="D13569" s="9"/>
    </row>
    <row r="13570" spans="4:4" x14ac:dyDescent="0.25">
      <c r="D13570" s="9"/>
    </row>
    <row r="13571" spans="4:4" x14ac:dyDescent="0.25">
      <c r="D13571" s="9"/>
    </row>
    <row r="13572" spans="4:4" x14ac:dyDescent="0.25">
      <c r="D13572" s="9"/>
    </row>
    <row r="13573" spans="4:4" x14ac:dyDescent="0.25">
      <c r="D13573" s="9"/>
    </row>
    <row r="13574" spans="4:4" x14ac:dyDescent="0.25">
      <c r="D13574" s="9"/>
    </row>
    <row r="13575" spans="4:4" x14ac:dyDescent="0.25">
      <c r="D13575" s="9"/>
    </row>
    <row r="13576" spans="4:4" x14ac:dyDescent="0.25">
      <c r="D13576" s="9"/>
    </row>
    <row r="13577" spans="4:4" x14ac:dyDescent="0.25">
      <c r="D13577" s="9"/>
    </row>
    <row r="13578" spans="4:4" x14ac:dyDescent="0.25">
      <c r="D13578" s="9"/>
    </row>
    <row r="13579" spans="4:4" x14ac:dyDescent="0.25">
      <c r="D13579" s="9"/>
    </row>
    <row r="13580" spans="4:4" x14ac:dyDescent="0.25">
      <c r="D13580" s="9"/>
    </row>
    <row r="13581" spans="4:4" x14ac:dyDescent="0.25">
      <c r="D13581" s="9"/>
    </row>
    <row r="13582" spans="4:4" x14ac:dyDescent="0.25">
      <c r="D13582" s="9"/>
    </row>
    <row r="13583" spans="4:4" x14ac:dyDescent="0.25">
      <c r="D13583" s="9"/>
    </row>
    <row r="13584" spans="4:4" x14ac:dyDescent="0.25">
      <c r="D13584" s="9"/>
    </row>
    <row r="13585" spans="4:4" x14ac:dyDescent="0.25">
      <c r="D13585" s="9"/>
    </row>
    <row r="13586" spans="4:4" x14ac:dyDescent="0.25">
      <c r="D13586" s="9"/>
    </row>
    <row r="13587" spans="4:4" x14ac:dyDescent="0.25">
      <c r="D13587" s="9"/>
    </row>
    <row r="13588" spans="4:4" x14ac:dyDescent="0.25">
      <c r="D13588" s="9"/>
    </row>
    <row r="13589" spans="4:4" x14ac:dyDescent="0.25">
      <c r="D13589" s="9"/>
    </row>
    <row r="13590" spans="4:4" x14ac:dyDescent="0.25">
      <c r="D13590" s="9"/>
    </row>
    <row r="13591" spans="4:4" x14ac:dyDescent="0.25">
      <c r="D13591" s="9"/>
    </row>
    <row r="13592" spans="4:4" x14ac:dyDescent="0.25">
      <c r="D13592" s="9"/>
    </row>
    <row r="13593" spans="4:4" x14ac:dyDescent="0.25">
      <c r="D13593" s="9"/>
    </row>
    <row r="13594" spans="4:4" x14ac:dyDescent="0.25">
      <c r="D13594" s="9"/>
    </row>
    <row r="13595" spans="4:4" x14ac:dyDescent="0.25">
      <c r="D13595" s="9"/>
    </row>
    <row r="13596" spans="4:4" x14ac:dyDescent="0.25">
      <c r="D13596" s="9"/>
    </row>
    <row r="13597" spans="4:4" x14ac:dyDescent="0.25">
      <c r="D13597" s="9"/>
    </row>
    <row r="13598" spans="4:4" x14ac:dyDescent="0.25">
      <c r="D13598" s="9"/>
    </row>
    <row r="13599" spans="4:4" x14ac:dyDescent="0.25">
      <c r="D13599" s="9"/>
    </row>
    <row r="13600" spans="4:4" x14ac:dyDescent="0.25">
      <c r="D13600" s="9"/>
    </row>
    <row r="13601" spans="4:4" x14ac:dyDescent="0.25">
      <c r="D13601" s="9"/>
    </row>
    <row r="13602" spans="4:4" x14ac:dyDescent="0.25">
      <c r="D13602" s="9"/>
    </row>
    <row r="13603" spans="4:4" x14ac:dyDescent="0.25">
      <c r="D13603" s="9"/>
    </row>
    <row r="13604" spans="4:4" x14ac:dyDescent="0.25">
      <c r="D13604" s="9"/>
    </row>
    <row r="13605" spans="4:4" x14ac:dyDescent="0.25">
      <c r="D13605" s="9"/>
    </row>
    <row r="13606" spans="4:4" x14ac:dyDescent="0.25">
      <c r="D13606" s="9"/>
    </row>
    <row r="13607" spans="4:4" x14ac:dyDescent="0.25">
      <c r="D13607" s="9"/>
    </row>
    <row r="13608" spans="4:4" x14ac:dyDescent="0.25">
      <c r="D13608" s="9"/>
    </row>
    <row r="13609" spans="4:4" x14ac:dyDescent="0.25">
      <c r="D13609" s="9"/>
    </row>
    <row r="13610" spans="4:4" x14ac:dyDescent="0.25">
      <c r="D13610" s="9"/>
    </row>
    <row r="13611" spans="4:4" x14ac:dyDescent="0.25">
      <c r="D13611" s="9"/>
    </row>
    <row r="13612" spans="4:4" x14ac:dyDescent="0.25">
      <c r="D13612" s="9"/>
    </row>
    <row r="13613" spans="4:4" x14ac:dyDescent="0.25">
      <c r="D13613" s="9"/>
    </row>
    <row r="13614" spans="4:4" x14ac:dyDescent="0.25">
      <c r="D13614" s="9"/>
    </row>
    <row r="13615" spans="4:4" x14ac:dyDescent="0.25">
      <c r="D13615" s="9"/>
    </row>
    <row r="13616" spans="4:4" x14ac:dyDescent="0.25">
      <c r="D13616" s="9"/>
    </row>
    <row r="13617" spans="4:4" x14ac:dyDescent="0.25">
      <c r="D13617" s="9"/>
    </row>
    <row r="13618" spans="4:4" x14ac:dyDescent="0.25">
      <c r="D13618" s="9"/>
    </row>
    <row r="13619" spans="4:4" x14ac:dyDescent="0.25">
      <c r="D13619" s="9"/>
    </row>
    <row r="13620" spans="4:4" x14ac:dyDescent="0.25">
      <c r="D13620" s="9"/>
    </row>
    <row r="13621" spans="4:4" x14ac:dyDescent="0.25">
      <c r="D13621" s="9"/>
    </row>
    <row r="13622" spans="4:4" x14ac:dyDescent="0.25">
      <c r="D13622" s="9"/>
    </row>
    <row r="13623" spans="4:4" x14ac:dyDescent="0.25">
      <c r="D13623" s="9"/>
    </row>
    <row r="13624" spans="4:4" x14ac:dyDescent="0.25">
      <c r="D13624" s="9"/>
    </row>
    <row r="13625" spans="4:4" x14ac:dyDescent="0.25">
      <c r="D13625" s="9"/>
    </row>
    <row r="13626" spans="4:4" x14ac:dyDescent="0.25">
      <c r="D13626" s="9"/>
    </row>
    <row r="13627" spans="4:4" x14ac:dyDescent="0.25">
      <c r="D13627" s="9"/>
    </row>
    <row r="13628" spans="4:4" x14ac:dyDescent="0.25">
      <c r="D13628" s="9"/>
    </row>
    <row r="13629" spans="4:4" x14ac:dyDescent="0.25">
      <c r="D13629" s="9"/>
    </row>
    <row r="13630" spans="4:4" x14ac:dyDescent="0.25">
      <c r="D13630" s="9"/>
    </row>
    <row r="13631" spans="4:4" x14ac:dyDescent="0.25">
      <c r="D13631" s="9"/>
    </row>
    <row r="13632" spans="4:4" x14ac:dyDescent="0.25">
      <c r="D13632" s="9"/>
    </row>
    <row r="13633" spans="4:4" x14ac:dyDescent="0.25">
      <c r="D13633" s="9"/>
    </row>
    <row r="13634" spans="4:4" x14ac:dyDescent="0.25">
      <c r="D13634" s="9"/>
    </row>
    <row r="13635" spans="4:4" x14ac:dyDescent="0.25">
      <c r="D13635" s="9"/>
    </row>
    <row r="13636" spans="4:4" x14ac:dyDescent="0.25">
      <c r="D13636" s="9"/>
    </row>
    <row r="13637" spans="4:4" x14ac:dyDescent="0.25">
      <c r="D13637" s="9"/>
    </row>
    <row r="13638" spans="4:4" x14ac:dyDescent="0.25">
      <c r="D13638" s="9"/>
    </row>
    <row r="13639" spans="4:4" x14ac:dyDescent="0.25">
      <c r="D13639" s="9"/>
    </row>
    <row r="13640" spans="4:4" x14ac:dyDescent="0.25">
      <c r="D13640" s="9"/>
    </row>
    <row r="13641" spans="4:4" x14ac:dyDescent="0.25">
      <c r="D13641" s="9"/>
    </row>
    <row r="13642" spans="4:4" x14ac:dyDescent="0.25">
      <c r="D13642" s="9"/>
    </row>
    <row r="13643" spans="4:4" x14ac:dyDescent="0.25">
      <c r="D13643" s="9"/>
    </row>
    <row r="13644" spans="4:4" x14ac:dyDescent="0.25">
      <c r="D13644" s="9"/>
    </row>
    <row r="13645" spans="4:4" x14ac:dyDescent="0.25">
      <c r="D13645" s="9"/>
    </row>
    <row r="13646" spans="4:4" x14ac:dyDescent="0.25">
      <c r="D13646" s="9"/>
    </row>
    <row r="13647" spans="4:4" x14ac:dyDescent="0.25">
      <c r="D13647" s="9"/>
    </row>
    <row r="13648" spans="4:4" x14ac:dyDescent="0.25">
      <c r="D13648" s="9"/>
    </row>
    <row r="13649" spans="4:4" x14ac:dyDescent="0.25">
      <c r="D13649" s="9"/>
    </row>
    <row r="13650" spans="4:4" x14ac:dyDescent="0.25">
      <c r="D13650" s="9"/>
    </row>
    <row r="13651" spans="4:4" x14ac:dyDescent="0.25">
      <c r="D13651" s="9"/>
    </row>
    <row r="13652" spans="4:4" x14ac:dyDescent="0.25">
      <c r="D13652" s="9"/>
    </row>
    <row r="13653" spans="4:4" x14ac:dyDescent="0.25">
      <c r="D13653" s="9"/>
    </row>
    <row r="13654" spans="4:4" x14ac:dyDescent="0.25">
      <c r="D13654" s="9"/>
    </row>
    <row r="13655" spans="4:4" x14ac:dyDescent="0.25">
      <c r="D13655" s="9"/>
    </row>
    <row r="13656" spans="4:4" x14ac:dyDescent="0.25">
      <c r="D13656" s="9"/>
    </row>
    <row r="13657" spans="4:4" x14ac:dyDescent="0.25">
      <c r="D13657" s="9"/>
    </row>
    <row r="13658" spans="4:4" x14ac:dyDescent="0.25">
      <c r="D13658" s="9"/>
    </row>
    <row r="13659" spans="4:4" x14ac:dyDescent="0.25">
      <c r="D13659" s="9"/>
    </row>
    <row r="13660" spans="4:4" x14ac:dyDescent="0.25">
      <c r="D13660" s="9"/>
    </row>
    <row r="13661" spans="4:4" x14ac:dyDescent="0.25">
      <c r="D13661" s="9"/>
    </row>
    <row r="13662" spans="4:4" x14ac:dyDescent="0.25">
      <c r="D13662" s="9"/>
    </row>
    <row r="13663" spans="4:4" x14ac:dyDescent="0.25">
      <c r="D13663" s="9"/>
    </row>
    <row r="13664" spans="4:4" x14ac:dyDescent="0.25">
      <c r="D13664" s="9"/>
    </row>
    <row r="13665" spans="4:4" x14ac:dyDescent="0.25">
      <c r="D13665" s="9"/>
    </row>
    <row r="13666" spans="4:4" x14ac:dyDescent="0.25">
      <c r="D13666" s="9"/>
    </row>
    <row r="13667" spans="4:4" x14ac:dyDescent="0.25">
      <c r="D13667" s="9"/>
    </row>
    <row r="13668" spans="4:4" x14ac:dyDescent="0.25">
      <c r="D13668" s="9"/>
    </row>
    <row r="13669" spans="4:4" x14ac:dyDescent="0.25">
      <c r="D13669" s="9"/>
    </row>
    <row r="13670" spans="4:4" x14ac:dyDescent="0.25">
      <c r="D13670" s="9"/>
    </row>
    <row r="13671" spans="4:4" x14ac:dyDescent="0.25">
      <c r="D13671" s="9"/>
    </row>
    <row r="13672" spans="4:4" x14ac:dyDescent="0.25">
      <c r="D13672" s="9"/>
    </row>
    <row r="13673" spans="4:4" x14ac:dyDescent="0.25">
      <c r="D13673" s="9"/>
    </row>
    <row r="13674" spans="4:4" x14ac:dyDescent="0.25">
      <c r="D13674" s="9"/>
    </row>
    <row r="13675" spans="4:4" x14ac:dyDescent="0.25">
      <c r="D13675" s="9"/>
    </row>
    <row r="13676" spans="4:4" x14ac:dyDescent="0.25">
      <c r="D13676" s="9"/>
    </row>
    <row r="13677" spans="4:4" x14ac:dyDescent="0.25">
      <c r="D13677" s="9"/>
    </row>
    <row r="13678" spans="4:4" x14ac:dyDescent="0.25">
      <c r="D13678" s="9"/>
    </row>
    <row r="13679" spans="4:4" x14ac:dyDescent="0.25">
      <c r="D13679" s="9"/>
    </row>
    <row r="13680" spans="4:4" x14ac:dyDescent="0.25">
      <c r="D13680" s="9"/>
    </row>
    <row r="13681" spans="4:4" x14ac:dyDescent="0.25">
      <c r="D13681" s="9"/>
    </row>
    <row r="13682" spans="4:4" x14ac:dyDescent="0.25">
      <c r="D13682" s="9"/>
    </row>
    <row r="13683" spans="4:4" x14ac:dyDescent="0.25">
      <c r="D13683" s="9"/>
    </row>
    <row r="13684" spans="4:4" x14ac:dyDescent="0.25">
      <c r="D13684" s="9"/>
    </row>
    <row r="13685" spans="4:4" x14ac:dyDescent="0.25">
      <c r="D13685" s="9"/>
    </row>
    <row r="13686" spans="4:4" x14ac:dyDescent="0.25">
      <c r="D13686" s="9"/>
    </row>
    <row r="13687" spans="4:4" x14ac:dyDescent="0.25">
      <c r="D13687" s="9"/>
    </row>
    <row r="13688" spans="4:4" x14ac:dyDescent="0.25">
      <c r="D13688" s="9"/>
    </row>
    <row r="13689" spans="4:4" x14ac:dyDescent="0.25">
      <c r="D13689" s="9"/>
    </row>
    <row r="13690" spans="4:4" x14ac:dyDescent="0.25">
      <c r="D13690" s="9"/>
    </row>
    <row r="13691" spans="4:4" x14ac:dyDescent="0.25">
      <c r="D13691" s="9"/>
    </row>
    <row r="13692" spans="4:4" x14ac:dyDescent="0.25">
      <c r="D13692" s="9"/>
    </row>
    <row r="13693" spans="4:4" x14ac:dyDescent="0.25">
      <c r="D13693" s="9"/>
    </row>
    <row r="13694" spans="4:4" x14ac:dyDescent="0.25">
      <c r="D13694" s="9"/>
    </row>
    <row r="13695" spans="4:4" x14ac:dyDescent="0.25">
      <c r="D13695" s="9"/>
    </row>
    <row r="13696" spans="4:4" x14ac:dyDescent="0.25">
      <c r="D13696" s="9"/>
    </row>
    <row r="13697" spans="4:4" x14ac:dyDescent="0.25">
      <c r="D13697" s="9"/>
    </row>
    <row r="13698" spans="4:4" x14ac:dyDescent="0.25">
      <c r="D13698" s="9"/>
    </row>
    <row r="13699" spans="4:4" x14ac:dyDescent="0.25">
      <c r="D13699" s="9"/>
    </row>
    <row r="13700" spans="4:4" x14ac:dyDescent="0.25">
      <c r="D13700" s="9"/>
    </row>
    <row r="13701" spans="4:4" x14ac:dyDescent="0.25">
      <c r="D13701" s="9"/>
    </row>
    <row r="13702" spans="4:4" x14ac:dyDescent="0.25">
      <c r="D13702" s="9"/>
    </row>
    <row r="13703" spans="4:4" x14ac:dyDescent="0.25">
      <c r="D13703" s="9"/>
    </row>
    <row r="13704" spans="4:4" x14ac:dyDescent="0.25">
      <c r="D13704" s="9"/>
    </row>
    <row r="13705" spans="4:4" x14ac:dyDescent="0.25">
      <c r="D13705" s="9"/>
    </row>
    <row r="13706" spans="4:4" x14ac:dyDescent="0.25">
      <c r="D13706" s="9"/>
    </row>
    <row r="13707" spans="4:4" x14ac:dyDescent="0.25">
      <c r="D13707" s="9"/>
    </row>
    <row r="13708" spans="4:4" x14ac:dyDescent="0.25">
      <c r="D13708" s="9"/>
    </row>
    <row r="13709" spans="4:4" x14ac:dyDescent="0.25">
      <c r="D13709" s="9"/>
    </row>
    <row r="13710" spans="4:4" x14ac:dyDescent="0.25">
      <c r="D13710" s="9"/>
    </row>
    <row r="13711" spans="4:4" x14ac:dyDescent="0.25">
      <c r="D13711" s="9"/>
    </row>
    <row r="13712" spans="4:4" x14ac:dyDescent="0.25">
      <c r="D13712" s="9"/>
    </row>
    <row r="13713" spans="4:4" x14ac:dyDescent="0.25">
      <c r="D13713" s="9"/>
    </row>
    <row r="13714" spans="4:4" x14ac:dyDescent="0.25">
      <c r="D13714" s="9"/>
    </row>
    <row r="13715" spans="4:4" x14ac:dyDescent="0.25">
      <c r="D13715" s="9"/>
    </row>
    <row r="13716" spans="4:4" x14ac:dyDescent="0.25">
      <c r="D13716" s="9"/>
    </row>
    <row r="13717" spans="4:4" x14ac:dyDescent="0.25">
      <c r="D13717" s="9"/>
    </row>
    <row r="13718" spans="4:4" x14ac:dyDescent="0.25">
      <c r="D13718" s="9"/>
    </row>
    <row r="13719" spans="4:4" x14ac:dyDescent="0.25">
      <c r="D13719" s="9"/>
    </row>
    <row r="13720" spans="4:4" x14ac:dyDescent="0.25">
      <c r="D13720" s="9"/>
    </row>
    <row r="13721" spans="4:4" x14ac:dyDescent="0.25">
      <c r="D13721" s="9"/>
    </row>
    <row r="13722" spans="4:4" x14ac:dyDescent="0.25">
      <c r="D13722" s="9"/>
    </row>
    <row r="13723" spans="4:4" x14ac:dyDescent="0.25">
      <c r="D13723" s="9"/>
    </row>
    <row r="13724" spans="4:4" x14ac:dyDescent="0.25">
      <c r="D13724" s="9"/>
    </row>
    <row r="13725" spans="4:4" x14ac:dyDescent="0.25">
      <c r="D13725" s="9"/>
    </row>
    <row r="13726" spans="4:4" x14ac:dyDescent="0.25">
      <c r="D13726" s="9"/>
    </row>
    <row r="13727" spans="4:4" x14ac:dyDescent="0.25">
      <c r="D13727" s="9"/>
    </row>
    <row r="13728" spans="4:4" x14ac:dyDescent="0.25">
      <c r="D13728" s="9"/>
    </row>
    <row r="13729" spans="4:4" x14ac:dyDescent="0.25">
      <c r="D13729" s="9"/>
    </row>
    <row r="13730" spans="4:4" x14ac:dyDescent="0.25">
      <c r="D13730" s="9"/>
    </row>
    <row r="13731" spans="4:4" x14ac:dyDescent="0.25">
      <c r="D13731" s="9"/>
    </row>
    <row r="13732" spans="4:4" x14ac:dyDescent="0.25">
      <c r="D13732" s="9"/>
    </row>
    <row r="13733" spans="4:4" x14ac:dyDescent="0.25">
      <c r="D13733" s="9"/>
    </row>
    <row r="13734" spans="4:4" x14ac:dyDescent="0.25">
      <c r="D13734" s="9"/>
    </row>
    <row r="13735" spans="4:4" x14ac:dyDescent="0.25">
      <c r="D13735" s="9"/>
    </row>
    <row r="13736" spans="4:4" x14ac:dyDescent="0.25">
      <c r="D13736" s="9"/>
    </row>
    <row r="13737" spans="4:4" x14ac:dyDescent="0.25">
      <c r="D13737" s="9"/>
    </row>
    <row r="13738" spans="4:4" x14ac:dyDescent="0.25">
      <c r="D13738" s="9"/>
    </row>
    <row r="13739" spans="4:4" x14ac:dyDescent="0.25">
      <c r="D13739" s="9"/>
    </row>
    <row r="13740" spans="4:4" x14ac:dyDescent="0.25">
      <c r="D13740" s="9"/>
    </row>
    <row r="13741" spans="4:4" x14ac:dyDescent="0.25">
      <c r="D13741" s="9"/>
    </row>
    <row r="13742" spans="4:4" x14ac:dyDescent="0.25">
      <c r="D13742" s="9"/>
    </row>
    <row r="13743" spans="4:4" x14ac:dyDescent="0.25">
      <c r="D13743" s="9"/>
    </row>
    <row r="13744" spans="4:4" x14ac:dyDescent="0.25">
      <c r="D13744" s="9"/>
    </row>
    <row r="13745" spans="4:4" x14ac:dyDescent="0.25">
      <c r="D13745" s="9"/>
    </row>
    <row r="13746" spans="4:4" x14ac:dyDescent="0.25">
      <c r="D13746" s="9"/>
    </row>
    <row r="13747" spans="4:4" x14ac:dyDescent="0.25">
      <c r="D13747" s="9"/>
    </row>
    <row r="13748" spans="4:4" x14ac:dyDescent="0.25">
      <c r="D13748" s="9"/>
    </row>
    <row r="13749" spans="4:4" x14ac:dyDescent="0.25">
      <c r="D13749" s="9"/>
    </row>
    <row r="13750" spans="4:4" x14ac:dyDescent="0.25">
      <c r="D13750" s="9"/>
    </row>
    <row r="13751" spans="4:4" x14ac:dyDescent="0.25">
      <c r="D13751" s="9"/>
    </row>
    <row r="13752" spans="4:4" x14ac:dyDescent="0.25">
      <c r="D13752" s="9"/>
    </row>
    <row r="13753" spans="4:4" x14ac:dyDescent="0.25">
      <c r="D13753" s="9"/>
    </row>
    <row r="13754" spans="4:4" x14ac:dyDescent="0.25">
      <c r="D13754" s="9"/>
    </row>
    <row r="13755" spans="4:4" x14ac:dyDescent="0.25">
      <c r="D13755" s="9"/>
    </row>
    <row r="13756" spans="4:4" x14ac:dyDescent="0.25">
      <c r="D13756" s="9"/>
    </row>
    <row r="13757" spans="4:4" x14ac:dyDescent="0.25">
      <c r="D13757" s="9"/>
    </row>
    <row r="13758" spans="4:4" x14ac:dyDescent="0.25">
      <c r="D13758" s="9"/>
    </row>
    <row r="13759" spans="4:4" x14ac:dyDescent="0.25">
      <c r="D13759" s="9"/>
    </row>
    <row r="13760" spans="4:4" x14ac:dyDescent="0.25">
      <c r="D13760" s="9"/>
    </row>
    <row r="13761" spans="4:4" x14ac:dyDescent="0.25">
      <c r="D13761" s="9"/>
    </row>
    <row r="13762" spans="4:4" x14ac:dyDescent="0.25">
      <c r="D13762" s="9"/>
    </row>
    <row r="13763" spans="4:4" x14ac:dyDescent="0.25">
      <c r="D13763" s="9"/>
    </row>
    <row r="13764" spans="4:4" x14ac:dyDescent="0.25">
      <c r="D13764" s="9"/>
    </row>
    <row r="13765" spans="4:4" x14ac:dyDescent="0.25">
      <c r="D13765" s="9"/>
    </row>
    <row r="13766" spans="4:4" x14ac:dyDescent="0.25">
      <c r="D13766" s="9"/>
    </row>
    <row r="13767" spans="4:4" x14ac:dyDescent="0.25">
      <c r="D13767" s="9"/>
    </row>
    <row r="13768" spans="4:4" x14ac:dyDescent="0.25">
      <c r="D13768" s="9"/>
    </row>
    <row r="13769" spans="4:4" x14ac:dyDescent="0.25">
      <c r="D13769" s="9"/>
    </row>
    <row r="13770" spans="4:4" x14ac:dyDescent="0.25">
      <c r="D13770" s="9"/>
    </row>
    <row r="13771" spans="4:4" x14ac:dyDescent="0.25">
      <c r="D13771" s="9"/>
    </row>
    <row r="13772" spans="4:4" x14ac:dyDescent="0.25">
      <c r="D13772" s="9"/>
    </row>
    <row r="13773" spans="4:4" x14ac:dyDescent="0.25">
      <c r="D13773" s="9"/>
    </row>
    <row r="13774" spans="4:4" x14ac:dyDescent="0.25">
      <c r="D13774" s="9"/>
    </row>
    <row r="13775" spans="4:4" x14ac:dyDescent="0.25">
      <c r="D13775" s="9"/>
    </row>
    <row r="13776" spans="4:4" x14ac:dyDescent="0.25">
      <c r="D13776" s="9"/>
    </row>
    <row r="13777" spans="4:4" x14ac:dyDescent="0.25">
      <c r="D13777" s="9"/>
    </row>
    <row r="13778" spans="4:4" x14ac:dyDescent="0.25">
      <c r="D13778" s="9"/>
    </row>
    <row r="13779" spans="4:4" x14ac:dyDescent="0.25">
      <c r="D13779" s="9"/>
    </row>
    <row r="13780" spans="4:4" x14ac:dyDescent="0.25">
      <c r="D13780" s="9"/>
    </row>
    <row r="13781" spans="4:4" x14ac:dyDescent="0.25">
      <c r="D13781" s="9"/>
    </row>
    <row r="13782" spans="4:4" x14ac:dyDescent="0.25">
      <c r="D13782" s="9"/>
    </row>
    <row r="13783" spans="4:4" x14ac:dyDescent="0.25">
      <c r="D13783" s="9"/>
    </row>
    <row r="13784" spans="4:4" x14ac:dyDescent="0.25">
      <c r="D13784" s="9"/>
    </row>
    <row r="13785" spans="4:4" x14ac:dyDescent="0.25">
      <c r="D13785" s="9"/>
    </row>
    <row r="13786" spans="4:4" x14ac:dyDescent="0.25">
      <c r="D13786" s="9"/>
    </row>
    <row r="13787" spans="4:4" x14ac:dyDescent="0.25">
      <c r="D13787" s="9"/>
    </row>
    <row r="13788" spans="4:4" x14ac:dyDescent="0.25">
      <c r="D13788" s="9"/>
    </row>
    <row r="13789" spans="4:4" x14ac:dyDescent="0.25">
      <c r="D13789" s="9"/>
    </row>
    <row r="13790" spans="4:4" x14ac:dyDescent="0.25">
      <c r="D13790" s="9"/>
    </row>
    <row r="13791" spans="4:4" x14ac:dyDescent="0.25">
      <c r="D13791" s="9"/>
    </row>
    <row r="13792" spans="4:4" x14ac:dyDescent="0.25">
      <c r="D13792" s="9"/>
    </row>
    <row r="13793" spans="4:4" x14ac:dyDescent="0.25">
      <c r="D13793" s="9"/>
    </row>
    <row r="13794" spans="4:4" x14ac:dyDescent="0.25">
      <c r="D13794" s="9"/>
    </row>
    <row r="13795" spans="4:4" x14ac:dyDescent="0.25">
      <c r="D13795" s="9"/>
    </row>
    <row r="13796" spans="4:4" x14ac:dyDescent="0.25">
      <c r="D13796" s="9"/>
    </row>
    <row r="13797" spans="4:4" x14ac:dyDescent="0.25">
      <c r="D13797" s="9"/>
    </row>
    <row r="13798" spans="4:4" x14ac:dyDescent="0.25">
      <c r="D13798" s="9"/>
    </row>
    <row r="13799" spans="4:4" x14ac:dyDescent="0.25">
      <c r="D13799" s="9"/>
    </row>
    <row r="13800" spans="4:4" x14ac:dyDescent="0.25">
      <c r="D13800" s="9"/>
    </row>
    <row r="13801" spans="4:4" x14ac:dyDescent="0.25">
      <c r="D13801" s="9"/>
    </row>
    <row r="13802" spans="4:4" x14ac:dyDescent="0.25">
      <c r="D13802" s="9"/>
    </row>
    <row r="13803" spans="4:4" x14ac:dyDescent="0.25">
      <c r="D13803" s="9"/>
    </row>
    <row r="13804" spans="4:4" x14ac:dyDescent="0.25">
      <c r="D13804" s="9"/>
    </row>
    <row r="13805" spans="4:4" x14ac:dyDescent="0.25">
      <c r="D13805" s="9"/>
    </row>
    <row r="13806" spans="4:4" x14ac:dyDescent="0.25">
      <c r="D13806" s="9"/>
    </row>
    <row r="13807" spans="4:4" x14ac:dyDescent="0.25">
      <c r="D13807" s="9"/>
    </row>
    <row r="13808" spans="4:4" x14ac:dyDescent="0.25">
      <c r="D13808" s="9"/>
    </row>
    <row r="13809" spans="4:4" x14ac:dyDescent="0.25">
      <c r="D13809" s="9"/>
    </row>
    <row r="13810" spans="4:4" x14ac:dyDescent="0.25">
      <c r="D13810" s="9"/>
    </row>
    <row r="13811" spans="4:4" x14ac:dyDescent="0.25">
      <c r="D13811" s="9"/>
    </row>
    <row r="13812" spans="4:4" x14ac:dyDescent="0.25">
      <c r="D13812" s="9"/>
    </row>
    <row r="13813" spans="4:4" x14ac:dyDescent="0.25">
      <c r="D13813" s="9"/>
    </row>
    <row r="13814" spans="4:4" x14ac:dyDescent="0.25">
      <c r="D13814" s="9"/>
    </row>
    <row r="13815" spans="4:4" x14ac:dyDescent="0.25">
      <c r="D13815" s="9"/>
    </row>
    <row r="13816" spans="4:4" x14ac:dyDescent="0.25">
      <c r="D13816" s="9"/>
    </row>
    <row r="13817" spans="4:4" x14ac:dyDescent="0.25">
      <c r="D13817" s="9"/>
    </row>
    <row r="13818" spans="4:4" x14ac:dyDescent="0.25">
      <c r="D13818" s="9"/>
    </row>
    <row r="13819" spans="4:4" x14ac:dyDescent="0.25">
      <c r="D13819" s="9"/>
    </row>
    <row r="13820" spans="4:4" x14ac:dyDescent="0.25">
      <c r="D13820" s="9"/>
    </row>
    <row r="13821" spans="4:4" x14ac:dyDescent="0.25">
      <c r="D13821" s="9"/>
    </row>
    <row r="13822" spans="4:4" x14ac:dyDescent="0.25">
      <c r="D13822" s="9"/>
    </row>
    <row r="13823" spans="4:4" x14ac:dyDescent="0.25">
      <c r="D13823" s="9"/>
    </row>
    <row r="13824" spans="4:4" x14ac:dyDescent="0.25">
      <c r="D13824" s="9"/>
    </row>
    <row r="13825" spans="4:4" x14ac:dyDescent="0.25">
      <c r="D13825" s="9"/>
    </row>
    <row r="13826" spans="4:4" x14ac:dyDescent="0.25">
      <c r="D13826" s="9"/>
    </row>
    <row r="13827" spans="4:4" x14ac:dyDescent="0.25">
      <c r="D13827" s="9"/>
    </row>
    <row r="13828" spans="4:4" x14ac:dyDescent="0.25">
      <c r="D13828" s="9"/>
    </row>
    <row r="13829" spans="4:4" x14ac:dyDescent="0.25">
      <c r="D13829" s="9"/>
    </row>
    <row r="13830" spans="4:4" x14ac:dyDescent="0.25">
      <c r="D13830" s="9"/>
    </row>
    <row r="13831" spans="4:4" x14ac:dyDescent="0.25">
      <c r="D13831" s="9"/>
    </row>
    <row r="13832" spans="4:4" x14ac:dyDescent="0.25">
      <c r="D13832" s="9"/>
    </row>
    <row r="13833" spans="4:4" x14ac:dyDescent="0.25">
      <c r="D13833" s="9"/>
    </row>
    <row r="13834" spans="4:4" x14ac:dyDescent="0.25">
      <c r="D13834" s="9"/>
    </row>
    <row r="13835" spans="4:4" x14ac:dyDescent="0.25">
      <c r="D13835" s="9"/>
    </row>
    <row r="13836" spans="4:4" x14ac:dyDescent="0.25">
      <c r="D13836" s="9"/>
    </row>
    <row r="13837" spans="4:4" x14ac:dyDescent="0.25">
      <c r="D13837" s="9"/>
    </row>
    <row r="13838" spans="4:4" x14ac:dyDescent="0.25">
      <c r="D13838" s="9"/>
    </row>
    <row r="13839" spans="4:4" x14ac:dyDescent="0.25">
      <c r="D13839" s="9"/>
    </row>
    <row r="13840" spans="4:4" x14ac:dyDescent="0.25">
      <c r="D13840" s="9"/>
    </row>
    <row r="13841" spans="4:4" x14ac:dyDescent="0.25">
      <c r="D13841" s="9"/>
    </row>
    <row r="13842" spans="4:4" x14ac:dyDescent="0.25">
      <c r="D13842" s="9"/>
    </row>
    <row r="13843" spans="4:4" x14ac:dyDescent="0.25">
      <c r="D13843" s="9"/>
    </row>
    <row r="13844" spans="4:4" x14ac:dyDescent="0.25">
      <c r="D13844" s="9"/>
    </row>
    <row r="13845" spans="4:4" x14ac:dyDescent="0.25">
      <c r="D13845" s="9"/>
    </row>
    <row r="13846" spans="4:4" x14ac:dyDescent="0.25">
      <c r="D13846" s="9"/>
    </row>
    <row r="13847" spans="4:4" x14ac:dyDescent="0.25">
      <c r="D13847" s="9"/>
    </row>
    <row r="13848" spans="4:4" x14ac:dyDescent="0.25">
      <c r="D13848" s="9"/>
    </row>
    <row r="13849" spans="4:4" x14ac:dyDescent="0.25">
      <c r="D13849" s="9"/>
    </row>
    <row r="13850" spans="4:4" x14ac:dyDescent="0.25">
      <c r="D13850" s="9"/>
    </row>
    <row r="13851" spans="4:4" x14ac:dyDescent="0.25">
      <c r="D13851" s="9"/>
    </row>
    <row r="13852" spans="4:4" x14ac:dyDescent="0.25">
      <c r="D13852" s="9"/>
    </row>
    <row r="13853" spans="4:4" x14ac:dyDescent="0.25">
      <c r="D13853" s="9"/>
    </row>
    <row r="13854" spans="4:4" x14ac:dyDescent="0.25">
      <c r="D13854" s="9"/>
    </row>
    <row r="13855" spans="4:4" x14ac:dyDescent="0.25">
      <c r="D13855" s="9"/>
    </row>
    <row r="13856" spans="4:4" x14ac:dyDescent="0.25">
      <c r="D13856" s="9"/>
    </row>
    <row r="13857" spans="4:4" x14ac:dyDescent="0.25">
      <c r="D13857" s="9"/>
    </row>
    <row r="13858" spans="4:4" x14ac:dyDescent="0.25">
      <c r="D13858" s="9"/>
    </row>
    <row r="13859" spans="4:4" x14ac:dyDescent="0.25">
      <c r="D13859" s="9"/>
    </row>
    <row r="13860" spans="4:4" x14ac:dyDescent="0.25">
      <c r="D13860" s="9"/>
    </row>
    <row r="13861" spans="4:4" x14ac:dyDescent="0.25">
      <c r="D13861" s="9"/>
    </row>
    <row r="13862" spans="4:4" x14ac:dyDescent="0.25">
      <c r="D13862" s="9"/>
    </row>
    <row r="13863" spans="4:4" x14ac:dyDescent="0.25">
      <c r="D13863" s="9"/>
    </row>
    <row r="13864" spans="4:4" x14ac:dyDescent="0.25">
      <c r="D13864" s="9"/>
    </row>
    <row r="13865" spans="4:4" x14ac:dyDescent="0.25">
      <c r="D13865" s="9"/>
    </row>
    <row r="13866" spans="4:4" x14ac:dyDescent="0.25">
      <c r="D13866" s="9"/>
    </row>
    <row r="13867" spans="4:4" x14ac:dyDescent="0.25">
      <c r="D13867" s="9"/>
    </row>
    <row r="13868" spans="4:4" x14ac:dyDescent="0.25">
      <c r="D13868" s="9"/>
    </row>
    <row r="13869" spans="4:4" x14ac:dyDescent="0.25">
      <c r="D13869" s="9"/>
    </row>
    <row r="13870" spans="4:4" x14ac:dyDescent="0.25">
      <c r="D13870" s="9"/>
    </row>
    <row r="13871" spans="4:4" x14ac:dyDescent="0.25">
      <c r="D13871" s="9"/>
    </row>
    <row r="13872" spans="4:4" x14ac:dyDescent="0.25">
      <c r="D13872" s="9"/>
    </row>
    <row r="13873" spans="4:4" x14ac:dyDescent="0.25">
      <c r="D13873" s="9"/>
    </row>
    <row r="13874" spans="4:4" x14ac:dyDescent="0.25">
      <c r="D13874" s="9"/>
    </row>
    <row r="13875" spans="4:4" x14ac:dyDescent="0.25">
      <c r="D13875" s="9"/>
    </row>
    <row r="13876" spans="4:4" x14ac:dyDescent="0.25">
      <c r="D13876" s="9"/>
    </row>
    <row r="13877" spans="4:4" x14ac:dyDescent="0.25">
      <c r="D13877" s="9"/>
    </row>
    <row r="13878" spans="4:4" x14ac:dyDescent="0.25">
      <c r="D13878" s="9"/>
    </row>
    <row r="13879" spans="4:4" x14ac:dyDescent="0.25">
      <c r="D13879" s="9"/>
    </row>
    <row r="13880" spans="4:4" x14ac:dyDescent="0.25">
      <c r="D13880" s="9"/>
    </row>
    <row r="13881" spans="4:4" x14ac:dyDescent="0.25">
      <c r="D13881" s="9"/>
    </row>
    <row r="13882" spans="4:4" x14ac:dyDescent="0.25">
      <c r="D13882" s="9"/>
    </row>
    <row r="13883" spans="4:4" x14ac:dyDescent="0.25">
      <c r="D13883" s="9"/>
    </row>
    <row r="13884" spans="4:4" x14ac:dyDescent="0.25">
      <c r="D13884" s="9"/>
    </row>
    <row r="13885" spans="4:4" x14ac:dyDescent="0.25">
      <c r="D13885" s="9"/>
    </row>
    <row r="13886" spans="4:4" x14ac:dyDescent="0.25">
      <c r="D13886" s="9"/>
    </row>
    <row r="13887" spans="4:4" x14ac:dyDescent="0.25">
      <c r="D13887" s="9"/>
    </row>
    <row r="13888" spans="4:4" x14ac:dyDescent="0.25">
      <c r="D13888" s="9"/>
    </row>
    <row r="13889" spans="4:4" x14ac:dyDescent="0.25">
      <c r="D13889" s="9"/>
    </row>
    <row r="13890" spans="4:4" x14ac:dyDescent="0.25">
      <c r="D13890" s="9"/>
    </row>
    <row r="13891" spans="4:4" x14ac:dyDescent="0.25">
      <c r="D13891" s="9"/>
    </row>
    <row r="13892" spans="4:4" x14ac:dyDescent="0.25">
      <c r="D13892" s="9"/>
    </row>
    <row r="13893" spans="4:4" x14ac:dyDescent="0.25">
      <c r="D13893" s="9"/>
    </row>
    <row r="13894" spans="4:4" x14ac:dyDescent="0.25">
      <c r="D13894" s="9"/>
    </row>
    <row r="13895" spans="4:4" x14ac:dyDescent="0.25">
      <c r="D13895" s="9"/>
    </row>
    <row r="13896" spans="4:4" x14ac:dyDescent="0.25">
      <c r="D13896" s="9"/>
    </row>
    <row r="13897" spans="4:4" x14ac:dyDescent="0.25">
      <c r="D13897" s="9"/>
    </row>
    <row r="13898" spans="4:4" x14ac:dyDescent="0.25">
      <c r="D13898" s="9"/>
    </row>
    <row r="13899" spans="4:4" x14ac:dyDescent="0.25">
      <c r="D13899" s="9"/>
    </row>
    <row r="13900" spans="4:4" x14ac:dyDescent="0.25">
      <c r="D13900" s="9"/>
    </row>
    <row r="13901" spans="4:4" x14ac:dyDescent="0.25">
      <c r="D13901" s="9"/>
    </row>
    <row r="13902" spans="4:4" x14ac:dyDescent="0.25">
      <c r="D13902" s="9"/>
    </row>
    <row r="13903" spans="4:4" x14ac:dyDescent="0.25">
      <c r="D13903" s="9"/>
    </row>
    <row r="13904" spans="4:4" x14ac:dyDescent="0.25">
      <c r="D13904" s="9"/>
    </row>
    <row r="13905" spans="4:4" x14ac:dyDescent="0.25">
      <c r="D13905" s="9"/>
    </row>
    <row r="13906" spans="4:4" x14ac:dyDescent="0.25">
      <c r="D13906" s="9"/>
    </row>
    <row r="13907" spans="4:4" x14ac:dyDescent="0.25">
      <c r="D13907" s="9"/>
    </row>
    <row r="13908" spans="4:4" x14ac:dyDescent="0.25">
      <c r="D13908" s="9"/>
    </row>
    <row r="13909" spans="4:4" x14ac:dyDescent="0.25">
      <c r="D13909" s="9"/>
    </row>
    <row r="13910" spans="4:4" x14ac:dyDescent="0.25">
      <c r="D13910" s="9"/>
    </row>
    <row r="13911" spans="4:4" x14ac:dyDescent="0.25">
      <c r="D13911" s="9"/>
    </row>
    <row r="13912" spans="4:4" x14ac:dyDescent="0.25">
      <c r="D13912" s="9"/>
    </row>
    <row r="13913" spans="4:4" x14ac:dyDescent="0.25">
      <c r="D13913" s="9"/>
    </row>
    <row r="13914" spans="4:4" x14ac:dyDescent="0.25">
      <c r="D13914" s="9"/>
    </row>
    <row r="13915" spans="4:4" x14ac:dyDescent="0.25">
      <c r="D13915" s="9"/>
    </row>
    <row r="13916" spans="4:4" x14ac:dyDescent="0.25">
      <c r="D13916" s="9"/>
    </row>
    <row r="13917" spans="4:4" x14ac:dyDescent="0.25">
      <c r="D13917" s="9"/>
    </row>
    <row r="13918" spans="4:4" x14ac:dyDescent="0.25">
      <c r="D13918" s="9"/>
    </row>
    <row r="13919" spans="4:4" x14ac:dyDescent="0.25">
      <c r="D13919" s="9"/>
    </row>
    <row r="13920" spans="4:4" x14ac:dyDescent="0.25">
      <c r="D13920" s="9"/>
    </row>
    <row r="13921" spans="4:4" x14ac:dyDescent="0.25">
      <c r="D13921" s="9"/>
    </row>
    <row r="13922" spans="4:4" x14ac:dyDescent="0.25">
      <c r="D13922" s="9"/>
    </row>
    <row r="13923" spans="4:4" x14ac:dyDescent="0.25">
      <c r="D13923" s="9"/>
    </row>
    <row r="13924" spans="4:4" x14ac:dyDescent="0.25">
      <c r="D13924" s="9"/>
    </row>
    <row r="13925" spans="4:4" x14ac:dyDescent="0.25">
      <c r="D13925" s="9"/>
    </row>
    <row r="13926" spans="4:4" x14ac:dyDescent="0.25">
      <c r="D13926" s="9"/>
    </row>
    <row r="13927" spans="4:4" x14ac:dyDescent="0.25">
      <c r="D13927" s="9"/>
    </row>
    <row r="13928" spans="4:4" x14ac:dyDescent="0.25">
      <c r="D13928" s="9"/>
    </row>
    <row r="13929" spans="4:4" x14ac:dyDescent="0.25">
      <c r="D13929" s="9"/>
    </row>
    <row r="13930" spans="4:4" x14ac:dyDescent="0.25">
      <c r="D13930" s="9"/>
    </row>
    <row r="13931" spans="4:4" x14ac:dyDescent="0.25">
      <c r="D13931" s="9"/>
    </row>
    <row r="13932" spans="4:4" x14ac:dyDescent="0.25">
      <c r="D13932" s="9"/>
    </row>
    <row r="13933" spans="4:4" x14ac:dyDescent="0.25">
      <c r="D13933" s="9"/>
    </row>
    <row r="13934" spans="4:4" x14ac:dyDescent="0.25">
      <c r="D13934" s="9"/>
    </row>
    <row r="13935" spans="4:4" x14ac:dyDescent="0.25">
      <c r="D13935" s="9"/>
    </row>
    <row r="13936" spans="4:4" x14ac:dyDescent="0.25">
      <c r="D13936" s="9"/>
    </row>
    <row r="13937" spans="4:4" x14ac:dyDescent="0.25">
      <c r="D13937" s="9"/>
    </row>
    <row r="13938" spans="4:4" x14ac:dyDescent="0.25">
      <c r="D13938" s="9"/>
    </row>
    <row r="13939" spans="4:4" x14ac:dyDescent="0.25">
      <c r="D13939" s="9"/>
    </row>
    <row r="13940" spans="4:4" x14ac:dyDescent="0.25">
      <c r="D13940" s="9"/>
    </row>
    <row r="13941" spans="4:4" x14ac:dyDescent="0.25">
      <c r="D13941" s="9"/>
    </row>
    <row r="13942" spans="4:4" x14ac:dyDescent="0.25">
      <c r="D13942" s="9"/>
    </row>
    <row r="13943" spans="4:4" x14ac:dyDescent="0.25">
      <c r="D13943" s="9"/>
    </row>
    <row r="13944" spans="4:4" x14ac:dyDescent="0.25">
      <c r="D13944" s="9"/>
    </row>
    <row r="13945" spans="4:4" x14ac:dyDescent="0.25">
      <c r="D13945" s="9"/>
    </row>
    <row r="13946" spans="4:4" x14ac:dyDescent="0.25">
      <c r="D13946" s="9"/>
    </row>
    <row r="13947" spans="4:4" x14ac:dyDescent="0.25">
      <c r="D13947" s="9"/>
    </row>
    <row r="13948" spans="4:4" x14ac:dyDescent="0.25">
      <c r="D13948" s="9"/>
    </row>
    <row r="13949" spans="4:4" x14ac:dyDescent="0.25">
      <c r="D13949" s="9"/>
    </row>
    <row r="13950" spans="4:4" x14ac:dyDescent="0.25">
      <c r="D13950" s="9"/>
    </row>
    <row r="13951" spans="4:4" x14ac:dyDescent="0.25">
      <c r="D13951" s="9"/>
    </row>
    <row r="13952" spans="4:4" x14ac:dyDescent="0.25">
      <c r="D13952" s="9"/>
    </row>
    <row r="13953" spans="4:4" x14ac:dyDescent="0.25">
      <c r="D13953" s="9"/>
    </row>
    <row r="13954" spans="4:4" x14ac:dyDescent="0.25">
      <c r="D13954" s="9"/>
    </row>
    <row r="13955" spans="4:4" x14ac:dyDescent="0.25">
      <c r="D13955" s="9"/>
    </row>
    <row r="13956" spans="4:4" x14ac:dyDescent="0.25">
      <c r="D13956" s="9"/>
    </row>
    <row r="13957" spans="4:4" x14ac:dyDescent="0.25">
      <c r="D13957" s="9"/>
    </row>
    <row r="13958" spans="4:4" x14ac:dyDescent="0.25">
      <c r="D13958" s="9"/>
    </row>
    <row r="13959" spans="4:4" x14ac:dyDescent="0.25">
      <c r="D13959" s="9"/>
    </row>
    <row r="13960" spans="4:4" x14ac:dyDescent="0.25">
      <c r="D13960" s="9"/>
    </row>
    <row r="13961" spans="4:4" x14ac:dyDescent="0.25">
      <c r="D13961" s="9"/>
    </row>
    <row r="13962" spans="4:4" x14ac:dyDescent="0.25">
      <c r="D13962" s="9"/>
    </row>
    <row r="13963" spans="4:4" x14ac:dyDescent="0.25">
      <c r="D13963" s="9"/>
    </row>
    <row r="13964" spans="4:4" x14ac:dyDescent="0.25">
      <c r="D13964" s="9"/>
    </row>
    <row r="13965" spans="4:4" x14ac:dyDescent="0.25">
      <c r="D13965" s="9"/>
    </row>
    <row r="13966" spans="4:4" x14ac:dyDescent="0.25">
      <c r="D13966" s="9"/>
    </row>
    <row r="13967" spans="4:4" x14ac:dyDescent="0.25">
      <c r="D13967" s="9"/>
    </row>
    <row r="13968" spans="4:4" x14ac:dyDescent="0.25">
      <c r="D13968" s="9"/>
    </row>
    <row r="13969" spans="4:4" x14ac:dyDescent="0.25">
      <c r="D13969" s="9"/>
    </row>
    <row r="13970" spans="4:4" x14ac:dyDescent="0.25">
      <c r="D13970" s="9"/>
    </row>
    <row r="13971" spans="4:4" x14ac:dyDescent="0.25">
      <c r="D13971" s="9"/>
    </row>
    <row r="13972" spans="4:4" x14ac:dyDescent="0.25">
      <c r="D13972" s="9"/>
    </row>
    <row r="13973" spans="4:4" x14ac:dyDescent="0.25">
      <c r="D13973" s="9"/>
    </row>
    <row r="13974" spans="4:4" x14ac:dyDescent="0.25">
      <c r="D13974" s="9"/>
    </row>
    <row r="13975" spans="4:4" x14ac:dyDescent="0.25">
      <c r="D13975" s="9"/>
    </row>
    <row r="13976" spans="4:4" x14ac:dyDescent="0.25">
      <c r="D13976" s="9"/>
    </row>
    <row r="13977" spans="4:4" x14ac:dyDescent="0.25">
      <c r="D13977" s="9"/>
    </row>
    <row r="13978" spans="4:4" x14ac:dyDescent="0.25">
      <c r="D13978" s="9"/>
    </row>
    <row r="13979" spans="4:4" x14ac:dyDescent="0.25">
      <c r="D13979" s="9"/>
    </row>
    <row r="13980" spans="4:4" x14ac:dyDescent="0.25">
      <c r="D13980" s="9"/>
    </row>
    <row r="13981" spans="4:4" x14ac:dyDescent="0.25">
      <c r="D13981" s="9"/>
    </row>
    <row r="13982" spans="4:4" x14ac:dyDescent="0.25">
      <c r="D13982" s="9"/>
    </row>
    <row r="13983" spans="4:4" x14ac:dyDescent="0.25">
      <c r="D13983" s="9"/>
    </row>
    <row r="13984" spans="4:4" x14ac:dyDescent="0.25">
      <c r="D13984" s="9"/>
    </row>
    <row r="13985" spans="4:4" x14ac:dyDescent="0.25">
      <c r="D13985" s="9"/>
    </row>
    <row r="13986" spans="4:4" x14ac:dyDescent="0.25">
      <c r="D13986" s="9"/>
    </row>
    <row r="13987" spans="4:4" x14ac:dyDescent="0.25">
      <c r="D13987" s="9"/>
    </row>
    <row r="13988" spans="4:4" x14ac:dyDescent="0.25">
      <c r="D13988" s="9"/>
    </row>
    <row r="13989" spans="4:4" x14ac:dyDescent="0.25">
      <c r="D13989" s="9"/>
    </row>
    <row r="13990" spans="4:4" x14ac:dyDescent="0.25">
      <c r="D13990" s="9"/>
    </row>
    <row r="13991" spans="4:4" x14ac:dyDescent="0.25">
      <c r="D13991" s="9"/>
    </row>
    <row r="13992" spans="4:4" x14ac:dyDescent="0.25">
      <c r="D13992" s="9"/>
    </row>
    <row r="13993" spans="4:4" x14ac:dyDescent="0.25">
      <c r="D13993" s="9"/>
    </row>
    <row r="13994" spans="4:4" x14ac:dyDescent="0.25">
      <c r="D13994" s="9"/>
    </row>
    <row r="13995" spans="4:4" x14ac:dyDescent="0.25">
      <c r="D13995" s="9"/>
    </row>
    <row r="13996" spans="4:4" x14ac:dyDescent="0.25">
      <c r="D13996" s="9"/>
    </row>
    <row r="13997" spans="4:4" x14ac:dyDescent="0.25">
      <c r="D13997" s="9"/>
    </row>
    <row r="13998" spans="4:4" x14ac:dyDescent="0.25">
      <c r="D13998" s="9"/>
    </row>
    <row r="13999" spans="4:4" x14ac:dyDescent="0.25">
      <c r="D13999" s="9"/>
    </row>
    <row r="14000" spans="4:4" x14ac:dyDescent="0.25">
      <c r="D14000" s="9"/>
    </row>
    <row r="14001" spans="4:4" x14ac:dyDescent="0.25">
      <c r="D14001" s="9"/>
    </row>
    <row r="14002" spans="4:4" x14ac:dyDescent="0.25">
      <c r="D14002" s="9"/>
    </row>
    <row r="14003" spans="4:4" x14ac:dyDescent="0.25">
      <c r="D14003" s="9"/>
    </row>
    <row r="14004" spans="4:4" x14ac:dyDescent="0.25">
      <c r="D14004" s="9"/>
    </row>
    <row r="14005" spans="4:4" x14ac:dyDescent="0.25">
      <c r="D14005" s="9"/>
    </row>
    <row r="14006" spans="4:4" x14ac:dyDescent="0.25">
      <c r="D14006" s="9"/>
    </row>
    <row r="14007" spans="4:4" x14ac:dyDescent="0.25">
      <c r="D14007" s="9"/>
    </row>
    <row r="14008" spans="4:4" x14ac:dyDescent="0.25">
      <c r="D14008" s="9"/>
    </row>
    <row r="14009" spans="4:4" x14ac:dyDescent="0.25">
      <c r="D14009" s="9"/>
    </row>
    <row r="14010" spans="4:4" x14ac:dyDescent="0.25">
      <c r="D14010" s="9"/>
    </row>
    <row r="14011" spans="4:4" x14ac:dyDescent="0.25">
      <c r="D14011" s="9"/>
    </row>
    <row r="14012" spans="4:4" x14ac:dyDescent="0.25">
      <c r="D14012" s="9"/>
    </row>
    <row r="14013" spans="4:4" x14ac:dyDescent="0.25">
      <c r="D14013" s="9"/>
    </row>
    <row r="14014" spans="4:4" x14ac:dyDescent="0.25">
      <c r="D14014" s="9"/>
    </row>
    <row r="14015" spans="4:4" x14ac:dyDescent="0.25">
      <c r="D14015" s="9"/>
    </row>
    <row r="14016" spans="4:4" x14ac:dyDescent="0.25">
      <c r="D14016" s="9"/>
    </row>
    <row r="14017" spans="4:4" x14ac:dyDescent="0.25">
      <c r="D14017" s="9"/>
    </row>
    <row r="14018" spans="4:4" x14ac:dyDescent="0.25">
      <c r="D14018" s="9"/>
    </row>
    <row r="14019" spans="4:4" x14ac:dyDescent="0.25">
      <c r="D14019" s="9"/>
    </row>
    <row r="14020" spans="4:4" x14ac:dyDescent="0.25">
      <c r="D14020" s="9"/>
    </row>
    <row r="14021" spans="4:4" x14ac:dyDescent="0.25">
      <c r="D14021" s="9"/>
    </row>
    <row r="14022" spans="4:4" x14ac:dyDescent="0.25">
      <c r="D14022" s="9"/>
    </row>
    <row r="14023" spans="4:4" x14ac:dyDescent="0.25">
      <c r="D14023" s="9"/>
    </row>
    <row r="14024" spans="4:4" x14ac:dyDescent="0.25">
      <c r="D14024" s="9"/>
    </row>
    <row r="14025" spans="4:4" x14ac:dyDescent="0.25">
      <c r="D14025" s="9"/>
    </row>
    <row r="14026" spans="4:4" x14ac:dyDescent="0.25">
      <c r="D14026" s="9"/>
    </row>
    <row r="14027" spans="4:4" x14ac:dyDescent="0.25">
      <c r="D14027" s="9"/>
    </row>
    <row r="14028" spans="4:4" x14ac:dyDescent="0.25">
      <c r="D14028" s="9"/>
    </row>
    <row r="14029" spans="4:4" x14ac:dyDescent="0.25">
      <c r="D14029" s="9"/>
    </row>
    <row r="14030" spans="4:4" x14ac:dyDescent="0.25">
      <c r="D14030" s="9"/>
    </row>
    <row r="14031" spans="4:4" x14ac:dyDescent="0.25">
      <c r="D14031" s="9"/>
    </row>
    <row r="14032" spans="4:4" x14ac:dyDescent="0.25">
      <c r="D14032" s="9"/>
    </row>
    <row r="14033" spans="4:4" x14ac:dyDescent="0.25">
      <c r="D14033" s="9"/>
    </row>
    <row r="14034" spans="4:4" x14ac:dyDescent="0.25">
      <c r="D14034" s="9"/>
    </row>
    <row r="14035" spans="4:4" x14ac:dyDescent="0.25">
      <c r="D14035" s="9"/>
    </row>
    <row r="14036" spans="4:4" x14ac:dyDescent="0.25">
      <c r="D14036" s="9"/>
    </row>
    <row r="14037" spans="4:4" x14ac:dyDescent="0.25">
      <c r="D14037" s="9"/>
    </row>
    <row r="14038" spans="4:4" x14ac:dyDescent="0.25">
      <c r="D14038" s="9"/>
    </row>
    <row r="14039" spans="4:4" x14ac:dyDescent="0.25">
      <c r="D14039" s="9"/>
    </row>
    <row r="14040" spans="4:4" x14ac:dyDescent="0.25">
      <c r="D14040" s="9"/>
    </row>
    <row r="14041" spans="4:4" x14ac:dyDescent="0.25">
      <c r="D14041" s="9"/>
    </row>
    <row r="14042" spans="4:4" x14ac:dyDescent="0.25">
      <c r="D14042" s="9"/>
    </row>
    <row r="14043" spans="4:4" x14ac:dyDescent="0.25">
      <c r="D14043" s="9"/>
    </row>
    <row r="14044" spans="4:4" x14ac:dyDescent="0.25">
      <c r="D14044" s="9"/>
    </row>
    <row r="14045" spans="4:4" x14ac:dyDescent="0.25">
      <c r="D14045" s="9"/>
    </row>
    <row r="14046" spans="4:4" x14ac:dyDescent="0.25">
      <c r="D14046" s="9"/>
    </row>
    <row r="14047" spans="4:4" x14ac:dyDescent="0.25">
      <c r="D14047" s="9"/>
    </row>
    <row r="14048" spans="4:4" x14ac:dyDescent="0.25">
      <c r="D14048" s="9"/>
    </row>
    <row r="14049" spans="4:4" x14ac:dyDescent="0.25">
      <c r="D14049" s="9"/>
    </row>
    <row r="14050" spans="4:4" x14ac:dyDescent="0.25">
      <c r="D14050" s="9"/>
    </row>
    <row r="14051" spans="4:4" x14ac:dyDescent="0.25">
      <c r="D14051" s="9"/>
    </row>
    <row r="14052" spans="4:4" x14ac:dyDescent="0.25">
      <c r="D14052" s="9"/>
    </row>
    <row r="14053" spans="4:4" x14ac:dyDescent="0.25">
      <c r="D14053" s="9"/>
    </row>
    <row r="14054" spans="4:4" x14ac:dyDescent="0.25">
      <c r="D14054" s="9"/>
    </row>
    <row r="14055" spans="4:4" x14ac:dyDescent="0.25">
      <c r="D14055" s="9"/>
    </row>
    <row r="14056" spans="4:4" x14ac:dyDescent="0.25">
      <c r="D14056" s="9"/>
    </row>
    <row r="14057" spans="4:4" x14ac:dyDescent="0.25">
      <c r="D14057" s="9"/>
    </row>
    <row r="14058" spans="4:4" x14ac:dyDescent="0.25">
      <c r="D14058" s="9"/>
    </row>
    <row r="14059" spans="4:4" x14ac:dyDescent="0.25">
      <c r="D14059" s="9"/>
    </row>
    <row r="14060" spans="4:4" x14ac:dyDescent="0.25">
      <c r="D14060" s="9"/>
    </row>
    <row r="14061" spans="4:4" x14ac:dyDescent="0.25">
      <c r="D14061" s="9"/>
    </row>
    <row r="14062" spans="4:4" x14ac:dyDescent="0.25">
      <c r="D14062" s="9"/>
    </row>
    <row r="14063" spans="4:4" x14ac:dyDescent="0.25">
      <c r="D14063" s="9"/>
    </row>
    <row r="14064" spans="4:4" x14ac:dyDescent="0.25">
      <c r="D14064" s="9"/>
    </row>
    <row r="14065" spans="4:4" x14ac:dyDescent="0.25">
      <c r="D14065" s="9"/>
    </row>
    <row r="14066" spans="4:4" x14ac:dyDescent="0.25">
      <c r="D14066" s="9"/>
    </row>
    <row r="14067" spans="4:4" x14ac:dyDescent="0.25">
      <c r="D14067" s="9"/>
    </row>
    <row r="14068" spans="4:4" x14ac:dyDescent="0.25">
      <c r="D14068" s="9"/>
    </row>
    <row r="14069" spans="4:4" x14ac:dyDescent="0.25">
      <c r="D14069" s="9"/>
    </row>
    <row r="14070" spans="4:4" x14ac:dyDescent="0.25">
      <c r="D14070" s="9"/>
    </row>
    <row r="14071" spans="4:4" x14ac:dyDescent="0.25">
      <c r="D14071" s="9"/>
    </row>
    <row r="14072" spans="4:4" x14ac:dyDescent="0.25">
      <c r="D14072" s="9"/>
    </row>
    <row r="14073" spans="4:4" x14ac:dyDescent="0.25">
      <c r="D14073" s="9"/>
    </row>
    <row r="14074" spans="4:4" x14ac:dyDescent="0.25">
      <c r="D14074" s="9"/>
    </row>
    <row r="14075" spans="4:4" x14ac:dyDescent="0.25">
      <c r="D14075" s="9"/>
    </row>
    <row r="14076" spans="4:4" x14ac:dyDescent="0.25">
      <c r="D14076" s="9"/>
    </row>
    <row r="14077" spans="4:4" x14ac:dyDescent="0.25">
      <c r="D14077" s="9"/>
    </row>
    <row r="14078" spans="4:4" x14ac:dyDescent="0.25">
      <c r="D14078" s="9"/>
    </row>
    <row r="14079" spans="4:4" x14ac:dyDescent="0.25">
      <c r="D14079" s="9"/>
    </row>
    <row r="14080" spans="4:4" x14ac:dyDescent="0.25">
      <c r="D14080" s="9"/>
    </row>
    <row r="14081" spans="4:4" x14ac:dyDescent="0.25">
      <c r="D14081" s="9"/>
    </row>
    <row r="14082" spans="4:4" x14ac:dyDescent="0.25">
      <c r="D14082" s="9"/>
    </row>
    <row r="14083" spans="4:4" x14ac:dyDescent="0.25">
      <c r="D14083" s="9"/>
    </row>
    <row r="14084" spans="4:4" x14ac:dyDescent="0.25">
      <c r="D14084" s="9"/>
    </row>
    <row r="14085" spans="4:4" x14ac:dyDescent="0.25">
      <c r="D14085" s="9"/>
    </row>
    <row r="14086" spans="4:4" x14ac:dyDescent="0.25">
      <c r="D14086" s="9"/>
    </row>
    <row r="14087" spans="4:4" x14ac:dyDescent="0.25">
      <c r="D14087" s="9"/>
    </row>
    <row r="14088" spans="4:4" x14ac:dyDescent="0.25">
      <c r="D14088" s="9"/>
    </row>
    <row r="14089" spans="4:4" x14ac:dyDescent="0.25">
      <c r="D14089" s="9"/>
    </row>
    <row r="14090" spans="4:4" x14ac:dyDescent="0.25">
      <c r="D14090" s="9"/>
    </row>
    <row r="14091" spans="4:4" x14ac:dyDescent="0.25">
      <c r="D14091" s="9"/>
    </row>
    <row r="14092" spans="4:4" x14ac:dyDescent="0.25">
      <c r="D14092" s="9"/>
    </row>
    <row r="14093" spans="4:4" x14ac:dyDescent="0.25">
      <c r="D14093" s="9"/>
    </row>
    <row r="14094" spans="4:4" x14ac:dyDescent="0.25">
      <c r="D14094" s="9"/>
    </row>
    <row r="14095" spans="4:4" x14ac:dyDescent="0.25">
      <c r="D14095" s="9"/>
    </row>
    <row r="14096" spans="4:4" x14ac:dyDescent="0.25">
      <c r="D14096" s="9"/>
    </row>
    <row r="14097" spans="4:4" x14ac:dyDescent="0.25">
      <c r="D14097" s="9"/>
    </row>
    <row r="14098" spans="4:4" x14ac:dyDescent="0.25">
      <c r="D14098" s="9"/>
    </row>
    <row r="14099" spans="4:4" x14ac:dyDescent="0.25">
      <c r="D14099" s="9"/>
    </row>
    <row r="14100" spans="4:4" x14ac:dyDescent="0.25">
      <c r="D14100" s="9"/>
    </row>
    <row r="14101" spans="4:4" x14ac:dyDescent="0.25">
      <c r="D14101" s="9"/>
    </row>
    <row r="14102" spans="4:4" x14ac:dyDescent="0.25">
      <c r="D14102" s="9"/>
    </row>
    <row r="14103" spans="4:4" x14ac:dyDescent="0.25">
      <c r="D14103" s="9"/>
    </row>
    <row r="14104" spans="4:4" x14ac:dyDescent="0.25">
      <c r="D14104" s="9"/>
    </row>
    <row r="14105" spans="4:4" x14ac:dyDescent="0.25">
      <c r="D14105" s="9"/>
    </row>
    <row r="14106" spans="4:4" x14ac:dyDescent="0.25">
      <c r="D14106" s="9"/>
    </row>
    <row r="14107" spans="4:4" x14ac:dyDescent="0.25">
      <c r="D14107" s="9"/>
    </row>
    <row r="14108" spans="4:4" x14ac:dyDescent="0.25">
      <c r="D14108" s="9"/>
    </row>
    <row r="14109" spans="4:4" x14ac:dyDescent="0.25">
      <c r="D14109" s="9"/>
    </row>
    <row r="14110" spans="4:4" x14ac:dyDescent="0.25">
      <c r="D14110" s="9"/>
    </row>
    <row r="14111" spans="4:4" x14ac:dyDescent="0.25">
      <c r="D14111" s="9"/>
    </row>
    <row r="14112" spans="4:4" x14ac:dyDescent="0.25">
      <c r="D14112" s="9"/>
    </row>
    <row r="14113" spans="4:4" x14ac:dyDescent="0.25">
      <c r="D14113" s="9"/>
    </row>
    <row r="14114" spans="4:4" x14ac:dyDescent="0.25">
      <c r="D14114" s="9"/>
    </row>
    <row r="14115" spans="4:4" x14ac:dyDescent="0.25">
      <c r="D14115" s="9"/>
    </row>
    <row r="14116" spans="4:4" x14ac:dyDescent="0.25">
      <c r="D14116" s="9"/>
    </row>
    <row r="14117" spans="4:4" x14ac:dyDescent="0.25">
      <c r="D14117" s="9"/>
    </row>
    <row r="14118" spans="4:4" x14ac:dyDescent="0.25">
      <c r="D14118" s="9"/>
    </row>
    <row r="14119" spans="4:4" x14ac:dyDescent="0.25">
      <c r="D14119" s="9"/>
    </row>
    <row r="14120" spans="4:4" x14ac:dyDescent="0.25">
      <c r="D14120" s="9"/>
    </row>
    <row r="14121" spans="4:4" x14ac:dyDescent="0.25">
      <c r="D14121" s="9"/>
    </row>
    <row r="14122" spans="4:4" x14ac:dyDescent="0.25">
      <c r="D14122" s="9"/>
    </row>
    <row r="14123" spans="4:4" x14ac:dyDescent="0.25">
      <c r="D14123" s="9"/>
    </row>
    <row r="14124" spans="4:4" x14ac:dyDescent="0.25">
      <c r="D14124" s="9"/>
    </row>
    <row r="14125" spans="4:4" x14ac:dyDescent="0.25">
      <c r="D14125" s="9"/>
    </row>
    <row r="14126" spans="4:4" x14ac:dyDescent="0.25">
      <c r="D14126" s="9"/>
    </row>
    <row r="14127" spans="4:4" x14ac:dyDescent="0.25">
      <c r="D14127" s="9"/>
    </row>
    <row r="14128" spans="4:4" x14ac:dyDescent="0.25">
      <c r="D14128" s="9"/>
    </row>
    <row r="14129" spans="4:4" x14ac:dyDescent="0.25">
      <c r="D14129" s="9"/>
    </row>
    <row r="14130" spans="4:4" x14ac:dyDescent="0.25">
      <c r="D14130" s="9"/>
    </row>
    <row r="14131" spans="4:4" x14ac:dyDescent="0.25">
      <c r="D14131" s="9"/>
    </row>
    <row r="14132" spans="4:4" x14ac:dyDescent="0.25">
      <c r="D14132" s="9"/>
    </row>
    <row r="14133" spans="4:4" x14ac:dyDescent="0.25">
      <c r="D14133" s="9"/>
    </row>
    <row r="14134" spans="4:4" x14ac:dyDescent="0.25">
      <c r="D14134" s="9"/>
    </row>
    <row r="14135" spans="4:4" x14ac:dyDescent="0.25">
      <c r="D14135" s="9"/>
    </row>
    <row r="14136" spans="4:4" x14ac:dyDescent="0.25">
      <c r="D14136" s="9"/>
    </row>
    <row r="14137" spans="4:4" x14ac:dyDescent="0.25">
      <c r="D14137" s="9"/>
    </row>
    <row r="14138" spans="4:4" x14ac:dyDescent="0.25">
      <c r="D14138" s="9"/>
    </row>
    <row r="14139" spans="4:4" x14ac:dyDescent="0.25">
      <c r="D14139" s="9"/>
    </row>
    <row r="14140" spans="4:4" x14ac:dyDescent="0.25">
      <c r="D14140" s="9"/>
    </row>
    <row r="14141" spans="4:4" x14ac:dyDescent="0.25">
      <c r="D14141" s="9"/>
    </row>
    <row r="14142" spans="4:4" x14ac:dyDescent="0.25">
      <c r="D14142" s="9"/>
    </row>
    <row r="14143" spans="4:4" x14ac:dyDescent="0.25">
      <c r="D14143" s="9"/>
    </row>
    <row r="14144" spans="4:4" x14ac:dyDescent="0.25">
      <c r="D14144" s="9"/>
    </row>
    <row r="14145" spans="4:4" x14ac:dyDescent="0.25">
      <c r="D14145" s="9"/>
    </row>
    <row r="14146" spans="4:4" x14ac:dyDescent="0.25">
      <c r="D14146" s="9"/>
    </row>
    <row r="14147" spans="4:4" x14ac:dyDescent="0.25">
      <c r="D14147" s="9"/>
    </row>
    <row r="14148" spans="4:4" x14ac:dyDescent="0.25">
      <c r="D14148" s="9"/>
    </row>
    <row r="14149" spans="4:4" x14ac:dyDescent="0.25">
      <c r="D14149" s="9"/>
    </row>
    <row r="14150" spans="4:4" x14ac:dyDescent="0.25">
      <c r="D14150" s="9"/>
    </row>
    <row r="14151" spans="4:4" x14ac:dyDescent="0.25">
      <c r="D14151" s="9"/>
    </row>
    <row r="14152" spans="4:4" x14ac:dyDescent="0.25">
      <c r="D14152" s="9"/>
    </row>
    <row r="14153" spans="4:4" x14ac:dyDescent="0.25">
      <c r="D14153" s="9"/>
    </row>
    <row r="14154" spans="4:4" x14ac:dyDescent="0.25">
      <c r="D14154" s="9"/>
    </row>
    <row r="14155" spans="4:4" x14ac:dyDescent="0.25">
      <c r="D14155" s="9"/>
    </row>
    <row r="14156" spans="4:4" x14ac:dyDescent="0.25">
      <c r="D14156" s="9"/>
    </row>
    <row r="14157" spans="4:4" x14ac:dyDescent="0.25">
      <c r="D14157" s="9"/>
    </row>
    <row r="14158" spans="4:4" x14ac:dyDescent="0.25">
      <c r="D14158" s="9"/>
    </row>
    <row r="14159" spans="4:4" x14ac:dyDescent="0.25">
      <c r="D14159" s="9"/>
    </row>
    <row r="14160" spans="4:4" x14ac:dyDescent="0.25">
      <c r="D14160" s="9"/>
    </row>
    <row r="14161" spans="4:4" x14ac:dyDescent="0.25">
      <c r="D14161" s="9"/>
    </row>
    <row r="14162" spans="4:4" x14ac:dyDescent="0.25">
      <c r="D14162" s="9"/>
    </row>
    <row r="14163" spans="4:4" x14ac:dyDescent="0.25">
      <c r="D14163" s="9"/>
    </row>
    <row r="14164" spans="4:4" x14ac:dyDescent="0.25">
      <c r="D14164" s="9"/>
    </row>
    <row r="14165" spans="4:4" x14ac:dyDescent="0.25">
      <c r="D14165" s="9"/>
    </row>
    <row r="14166" spans="4:4" x14ac:dyDescent="0.25">
      <c r="D14166" s="9"/>
    </row>
    <row r="14167" spans="4:4" x14ac:dyDescent="0.25">
      <c r="D14167" s="9"/>
    </row>
    <row r="14168" spans="4:4" x14ac:dyDescent="0.25">
      <c r="D14168" s="9"/>
    </row>
    <row r="14169" spans="4:4" x14ac:dyDescent="0.25">
      <c r="D14169" s="9"/>
    </row>
    <row r="14170" spans="4:4" x14ac:dyDescent="0.25">
      <c r="D14170" s="9"/>
    </row>
    <row r="14171" spans="4:4" x14ac:dyDescent="0.25">
      <c r="D14171" s="9"/>
    </row>
    <row r="14172" spans="4:4" x14ac:dyDescent="0.25">
      <c r="D14172" s="9"/>
    </row>
    <row r="14173" spans="4:4" x14ac:dyDescent="0.25">
      <c r="D14173" s="9"/>
    </row>
    <row r="14174" spans="4:4" x14ac:dyDescent="0.25">
      <c r="D14174" s="9"/>
    </row>
    <row r="14175" spans="4:4" x14ac:dyDescent="0.25">
      <c r="D14175" s="9"/>
    </row>
    <row r="14176" spans="4:4" x14ac:dyDescent="0.25">
      <c r="D14176" s="9"/>
    </row>
    <row r="14177" spans="4:4" x14ac:dyDescent="0.25">
      <c r="D14177" s="9"/>
    </row>
    <row r="14178" spans="4:4" x14ac:dyDescent="0.25">
      <c r="D14178" s="9"/>
    </row>
    <row r="14179" spans="4:4" x14ac:dyDescent="0.25">
      <c r="D14179" s="9"/>
    </row>
    <row r="14180" spans="4:4" x14ac:dyDescent="0.25">
      <c r="D14180" s="9"/>
    </row>
    <row r="14181" spans="4:4" x14ac:dyDescent="0.25">
      <c r="D14181" s="9"/>
    </row>
    <row r="14182" spans="4:4" x14ac:dyDescent="0.25">
      <c r="D14182" s="9"/>
    </row>
    <row r="14183" spans="4:4" x14ac:dyDescent="0.25">
      <c r="D14183" s="9"/>
    </row>
    <row r="14184" spans="4:4" x14ac:dyDescent="0.25">
      <c r="D14184" s="9"/>
    </row>
    <row r="14185" spans="4:4" x14ac:dyDescent="0.25">
      <c r="D14185" s="9"/>
    </row>
    <row r="14186" spans="4:4" x14ac:dyDescent="0.25">
      <c r="D14186" s="9"/>
    </row>
    <row r="14187" spans="4:4" x14ac:dyDescent="0.25">
      <c r="D14187" s="9"/>
    </row>
    <row r="14188" spans="4:4" x14ac:dyDescent="0.25">
      <c r="D14188" s="9"/>
    </row>
    <row r="14189" spans="4:4" x14ac:dyDescent="0.25">
      <c r="D14189" s="9"/>
    </row>
    <row r="14190" spans="4:4" x14ac:dyDescent="0.25">
      <c r="D14190" s="9"/>
    </row>
    <row r="14191" spans="4:4" x14ac:dyDescent="0.25">
      <c r="D14191" s="9"/>
    </row>
    <row r="14192" spans="4:4" x14ac:dyDescent="0.25">
      <c r="D14192" s="9"/>
    </row>
    <row r="14193" spans="4:4" x14ac:dyDescent="0.25">
      <c r="D14193" s="9"/>
    </row>
    <row r="14194" spans="4:4" x14ac:dyDescent="0.25">
      <c r="D14194" s="9"/>
    </row>
    <row r="14195" spans="4:4" x14ac:dyDescent="0.25">
      <c r="D14195" s="9"/>
    </row>
    <row r="14196" spans="4:4" x14ac:dyDescent="0.25">
      <c r="D14196" s="9"/>
    </row>
    <row r="14197" spans="4:4" x14ac:dyDescent="0.25">
      <c r="D14197" s="9"/>
    </row>
    <row r="14198" spans="4:4" x14ac:dyDescent="0.25">
      <c r="D14198" s="9"/>
    </row>
    <row r="14199" spans="4:4" x14ac:dyDescent="0.25">
      <c r="D14199" s="9"/>
    </row>
    <row r="14200" spans="4:4" x14ac:dyDescent="0.25">
      <c r="D14200" s="9"/>
    </row>
    <row r="14201" spans="4:4" x14ac:dyDescent="0.25">
      <c r="D14201" s="9"/>
    </row>
    <row r="14202" spans="4:4" x14ac:dyDescent="0.25">
      <c r="D14202" s="9"/>
    </row>
    <row r="14203" spans="4:4" x14ac:dyDescent="0.25">
      <c r="D14203" s="9"/>
    </row>
    <row r="14204" spans="4:4" x14ac:dyDescent="0.25">
      <c r="D14204" s="9"/>
    </row>
    <row r="14205" spans="4:4" x14ac:dyDescent="0.25">
      <c r="D14205" s="9"/>
    </row>
    <row r="14206" spans="4:4" x14ac:dyDescent="0.25">
      <c r="D14206" s="9"/>
    </row>
    <row r="14207" spans="4:4" x14ac:dyDescent="0.25">
      <c r="D14207" s="9"/>
    </row>
    <row r="14208" spans="4:4" x14ac:dyDescent="0.25">
      <c r="D14208" s="9"/>
    </row>
    <row r="14209" spans="4:4" x14ac:dyDescent="0.25">
      <c r="D14209" s="9"/>
    </row>
    <row r="14210" spans="4:4" x14ac:dyDescent="0.25">
      <c r="D14210" s="9"/>
    </row>
    <row r="14211" spans="4:4" x14ac:dyDescent="0.25">
      <c r="D14211" s="9"/>
    </row>
    <row r="14212" spans="4:4" x14ac:dyDescent="0.25">
      <c r="D14212" s="9"/>
    </row>
    <row r="14213" spans="4:4" x14ac:dyDescent="0.25">
      <c r="D14213" s="9"/>
    </row>
    <row r="14214" spans="4:4" x14ac:dyDescent="0.25">
      <c r="D14214" s="9"/>
    </row>
    <row r="14215" spans="4:4" x14ac:dyDescent="0.25">
      <c r="D14215" s="9"/>
    </row>
    <row r="14216" spans="4:4" x14ac:dyDescent="0.25">
      <c r="D14216" s="9"/>
    </row>
    <row r="14217" spans="4:4" x14ac:dyDescent="0.25">
      <c r="D14217" s="9"/>
    </row>
    <row r="14218" spans="4:4" x14ac:dyDescent="0.25">
      <c r="D14218" s="9"/>
    </row>
    <row r="14219" spans="4:4" x14ac:dyDescent="0.25">
      <c r="D14219" s="9"/>
    </row>
    <row r="14220" spans="4:4" x14ac:dyDescent="0.25">
      <c r="D14220" s="9"/>
    </row>
    <row r="14221" spans="4:4" x14ac:dyDescent="0.25">
      <c r="D14221" s="9"/>
    </row>
    <row r="14222" spans="4:4" x14ac:dyDescent="0.25">
      <c r="D14222" s="9"/>
    </row>
    <row r="14223" spans="4:4" x14ac:dyDescent="0.25">
      <c r="D14223" s="9"/>
    </row>
    <row r="14224" spans="4:4" x14ac:dyDescent="0.25">
      <c r="D14224" s="9"/>
    </row>
    <row r="14225" spans="4:4" x14ac:dyDescent="0.25">
      <c r="D14225" s="9"/>
    </row>
    <row r="14226" spans="4:4" x14ac:dyDescent="0.25">
      <c r="D14226" s="9"/>
    </row>
    <row r="14227" spans="4:4" x14ac:dyDescent="0.25">
      <c r="D14227" s="9"/>
    </row>
    <row r="14228" spans="4:4" x14ac:dyDescent="0.25">
      <c r="D14228" s="9"/>
    </row>
    <row r="14229" spans="4:4" x14ac:dyDescent="0.25">
      <c r="D14229" s="9"/>
    </row>
    <row r="14230" spans="4:4" x14ac:dyDescent="0.25">
      <c r="D14230" s="9"/>
    </row>
    <row r="14231" spans="4:4" x14ac:dyDescent="0.25">
      <c r="D14231" s="9"/>
    </row>
    <row r="14232" spans="4:4" x14ac:dyDescent="0.25">
      <c r="D14232" s="9"/>
    </row>
    <row r="14233" spans="4:4" x14ac:dyDescent="0.25">
      <c r="D14233" s="9"/>
    </row>
    <row r="14234" spans="4:4" x14ac:dyDescent="0.25">
      <c r="D14234" s="9"/>
    </row>
    <row r="14235" spans="4:4" x14ac:dyDescent="0.25">
      <c r="D14235" s="9"/>
    </row>
    <row r="14236" spans="4:4" x14ac:dyDescent="0.25">
      <c r="D14236" s="9"/>
    </row>
    <row r="14237" spans="4:4" x14ac:dyDescent="0.25">
      <c r="D14237" s="9"/>
    </row>
    <row r="14238" spans="4:4" x14ac:dyDescent="0.25">
      <c r="D14238" s="9"/>
    </row>
    <row r="14239" spans="4:4" x14ac:dyDescent="0.25">
      <c r="D14239" s="9"/>
    </row>
    <row r="14240" spans="4:4" x14ac:dyDescent="0.25">
      <c r="D14240" s="9"/>
    </row>
    <row r="14241" spans="4:4" x14ac:dyDescent="0.25">
      <c r="D14241" s="9"/>
    </row>
    <row r="14242" spans="4:4" x14ac:dyDescent="0.25">
      <c r="D14242" s="9"/>
    </row>
    <row r="14243" spans="4:4" x14ac:dyDescent="0.25">
      <c r="D14243" s="9"/>
    </row>
    <row r="14244" spans="4:4" x14ac:dyDescent="0.25">
      <c r="D14244" s="9"/>
    </row>
    <row r="14245" spans="4:4" x14ac:dyDescent="0.25">
      <c r="D14245" s="9"/>
    </row>
    <row r="14246" spans="4:4" x14ac:dyDescent="0.25">
      <c r="D14246" s="9"/>
    </row>
    <row r="14247" spans="4:4" x14ac:dyDescent="0.25">
      <c r="D14247" s="9"/>
    </row>
    <row r="14248" spans="4:4" x14ac:dyDescent="0.25">
      <c r="D14248" s="9"/>
    </row>
    <row r="14249" spans="4:4" x14ac:dyDescent="0.25">
      <c r="D14249" s="9"/>
    </row>
    <row r="14250" spans="4:4" x14ac:dyDescent="0.25">
      <c r="D14250" s="9"/>
    </row>
    <row r="14251" spans="4:4" x14ac:dyDescent="0.25">
      <c r="D14251" s="9"/>
    </row>
    <row r="14252" spans="4:4" x14ac:dyDescent="0.25">
      <c r="D14252" s="9"/>
    </row>
    <row r="14253" spans="4:4" x14ac:dyDescent="0.25">
      <c r="D14253" s="9"/>
    </row>
    <row r="14254" spans="4:4" x14ac:dyDescent="0.25">
      <c r="D14254" s="9"/>
    </row>
    <row r="14255" spans="4:4" x14ac:dyDescent="0.25">
      <c r="D14255" s="9"/>
    </row>
    <row r="14256" spans="4:4" x14ac:dyDescent="0.25">
      <c r="D14256" s="9"/>
    </row>
    <row r="14257" spans="4:4" x14ac:dyDescent="0.25">
      <c r="D14257" s="9"/>
    </row>
    <row r="14258" spans="4:4" x14ac:dyDescent="0.25">
      <c r="D14258" s="9"/>
    </row>
    <row r="14259" spans="4:4" x14ac:dyDescent="0.25">
      <c r="D14259" s="9"/>
    </row>
    <row r="14260" spans="4:4" x14ac:dyDescent="0.25">
      <c r="D14260" s="9"/>
    </row>
    <row r="14261" spans="4:4" x14ac:dyDescent="0.25">
      <c r="D14261" s="9"/>
    </row>
    <row r="14262" spans="4:4" x14ac:dyDescent="0.25">
      <c r="D14262" s="9"/>
    </row>
    <row r="14263" spans="4:4" x14ac:dyDescent="0.25">
      <c r="D14263" s="9"/>
    </row>
    <row r="14264" spans="4:4" x14ac:dyDescent="0.25">
      <c r="D14264" s="9"/>
    </row>
    <row r="14265" spans="4:4" x14ac:dyDescent="0.25">
      <c r="D14265" s="9"/>
    </row>
    <row r="14266" spans="4:4" x14ac:dyDescent="0.25">
      <c r="D14266" s="9"/>
    </row>
    <row r="14267" spans="4:4" x14ac:dyDescent="0.25">
      <c r="D14267" s="9"/>
    </row>
    <row r="14268" spans="4:4" x14ac:dyDescent="0.25">
      <c r="D14268" s="9"/>
    </row>
    <row r="14269" spans="4:4" x14ac:dyDescent="0.25">
      <c r="D14269" s="9"/>
    </row>
    <row r="14270" spans="4:4" x14ac:dyDescent="0.25">
      <c r="D14270" s="9"/>
    </row>
    <row r="14271" spans="4:4" x14ac:dyDescent="0.25">
      <c r="D14271" s="9"/>
    </row>
    <row r="14272" spans="4:4" x14ac:dyDescent="0.25">
      <c r="D14272" s="9"/>
    </row>
    <row r="14273" spans="4:4" x14ac:dyDescent="0.25">
      <c r="D14273" s="9"/>
    </row>
    <row r="14274" spans="4:4" x14ac:dyDescent="0.25">
      <c r="D14274" s="9"/>
    </row>
    <row r="14275" spans="4:4" x14ac:dyDescent="0.25">
      <c r="D14275" s="9"/>
    </row>
    <row r="14276" spans="4:4" x14ac:dyDescent="0.25">
      <c r="D14276" s="9"/>
    </row>
    <row r="14277" spans="4:4" x14ac:dyDescent="0.25">
      <c r="D14277" s="9"/>
    </row>
    <row r="14278" spans="4:4" x14ac:dyDescent="0.25">
      <c r="D14278" s="9"/>
    </row>
    <row r="14279" spans="4:4" x14ac:dyDescent="0.25">
      <c r="D14279" s="9"/>
    </row>
    <row r="14280" spans="4:4" x14ac:dyDescent="0.25">
      <c r="D14280" s="9"/>
    </row>
    <row r="14281" spans="4:4" x14ac:dyDescent="0.25">
      <c r="D14281" s="9"/>
    </row>
    <row r="14282" spans="4:4" x14ac:dyDescent="0.25">
      <c r="D14282" s="9"/>
    </row>
    <row r="14283" spans="4:4" x14ac:dyDescent="0.25">
      <c r="D14283" s="9"/>
    </row>
    <row r="14284" spans="4:4" x14ac:dyDescent="0.25">
      <c r="D14284" s="9"/>
    </row>
    <row r="14285" spans="4:4" x14ac:dyDescent="0.25">
      <c r="D14285" s="9"/>
    </row>
    <row r="14286" spans="4:4" x14ac:dyDescent="0.25">
      <c r="D14286" s="9"/>
    </row>
    <row r="14287" spans="4:4" x14ac:dyDescent="0.25">
      <c r="D14287" s="9"/>
    </row>
    <row r="14288" spans="4:4" x14ac:dyDescent="0.25">
      <c r="D14288" s="9"/>
    </row>
    <row r="14289" spans="4:4" x14ac:dyDescent="0.25">
      <c r="D14289" s="9"/>
    </row>
    <row r="14290" spans="4:4" x14ac:dyDescent="0.25">
      <c r="D14290" s="9"/>
    </row>
    <row r="14291" spans="4:4" x14ac:dyDescent="0.25">
      <c r="D14291" s="9"/>
    </row>
    <row r="14292" spans="4:4" x14ac:dyDescent="0.25">
      <c r="D14292" s="9"/>
    </row>
    <row r="14293" spans="4:4" x14ac:dyDescent="0.25">
      <c r="D14293" s="9"/>
    </row>
    <row r="14294" spans="4:4" x14ac:dyDescent="0.25">
      <c r="D14294" s="9"/>
    </row>
    <row r="14295" spans="4:4" x14ac:dyDescent="0.25">
      <c r="D14295" s="9"/>
    </row>
    <row r="14296" spans="4:4" x14ac:dyDescent="0.25">
      <c r="D14296" s="9"/>
    </row>
    <row r="14297" spans="4:4" x14ac:dyDescent="0.25">
      <c r="D14297" s="9"/>
    </row>
    <row r="14298" spans="4:4" x14ac:dyDescent="0.25">
      <c r="D14298" s="9"/>
    </row>
    <row r="14299" spans="4:4" x14ac:dyDescent="0.25">
      <c r="D14299" s="9"/>
    </row>
    <row r="14300" spans="4:4" x14ac:dyDescent="0.25">
      <c r="D14300" s="9"/>
    </row>
    <row r="14301" spans="4:4" x14ac:dyDescent="0.25">
      <c r="D14301" s="9"/>
    </row>
    <row r="14302" spans="4:4" x14ac:dyDescent="0.25">
      <c r="D14302" s="9"/>
    </row>
    <row r="14303" spans="4:4" x14ac:dyDescent="0.25">
      <c r="D14303" s="9"/>
    </row>
    <row r="14304" spans="4:4" x14ac:dyDescent="0.25">
      <c r="D14304" s="9"/>
    </row>
    <row r="14305" spans="4:4" x14ac:dyDescent="0.25">
      <c r="D14305" s="9"/>
    </row>
    <row r="14306" spans="4:4" x14ac:dyDescent="0.25">
      <c r="D14306" s="9"/>
    </row>
    <row r="14307" spans="4:4" x14ac:dyDescent="0.25">
      <c r="D14307" s="9"/>
    </row>
    <row r="14308" spans="4:4" x14ac:dyDescent="0.25">
      <c r="D14308" s="9"/>
    </row>
    <row r="14309" spans="4:4" x14ac:dyDescent="0.25">
      <c r="D14309" s="9"/>
    </row>
    <row r="14310" spans="4:4" x14ac:dyDescent="0.25">
      <c r="D14310" s="9"/>
    </row>
    <row r="14311" spans="4:4" x14ac:dyDescent="0.25">
      <c r="D14311" s="9"/>
    </row>
    <row r="14312" spans="4:4" x14ac:dyDescent="0.25">
      <c r="D14312" s="9"/>
    </row>
    <row r="14313" spans="4:4" x14ac:dyDescent="0.25">
      <c r="D14313" s="9"/>
    </row>
    <row r="14314" spans="4:4" x14ac:dyDescent="0.25">
      <c r="D14314" s="9"/>
    </row>
    <row r="14315" spans="4:4" x14ac:dyDescent="0.25">
      <c r="D14315" s="9"/>
    </row>
    <row r="14316" spans="4:4" x14ac:dyDescent="0.25">
      <c r="D14316" s="9"/>
    </row>
    <row r="14317" spans="4:4" x14ac:dyDescent="0.25">
      <c r="D14317" s="9"/>
    </row>
    <row r="14318" spans="4:4" x14ac:dyDescent="0.25">
      <c r="D14318" s="9"/>
    </row>
    <row r="14319" spans="4:4" x14ac:dyDescent="0.25">
      <c r="D14319" s="9"/>
    </row>
    <row r="14320" spans="4:4" x14ac:dyDescent="0.25">
      <c r="D14320" s="9"/>
    </row>
    <row r="14321" spans="4:4" x14ac:dyDescent="0.25">
      <c r="D14321" s="9"/>
    </row>
    <row r="14322" spans="4:4" x14ac:dyDescent="0.25">
      <c r="D14322" s="9"/>
    </row>
    <row r="14323" spans="4:4" x14ac:dyDescent="0.25">
      <c r="D14323" s="9"/>
    </row>
    <row r="14324" spans="4:4" x14ac:dyDescent="0.25">
      <c r="D14324" s="9"/>
    </row>
    <row r="14325" spans="4:4" x14ac:dyDescent="0.25">
      <c r="D14325" s="9"/>
    </row>
    <row r="14326" spans="4:4" x14ac:dyDescent="0.25">
      <c r="D14326" s="9"/>
    </row>
    <row r="14327" spans="4:4" x14ac:dyDescent="0.25">
      <c r="D14327" s="9"/>
    </row>
    <row r="14328" spans="4:4" x14ac:dyDescent="0.25">
      <c r="D14328" s="9"/>
    </row>
    <row r="14329" spans="4:4" x14ac:dyDescent="0.25">
      <c r="D14329" s="9"/>
    </row>
    <row r="14330" spans="4:4" x14ac:dyDescent="0.25">
      <c r="D14330" s="9"/>
    </row>
    <row r="14331" spans="4:4" x14ac:dyDescent="0.25">
      <c r="D14331" s="9"/>
    </row>
    <row r="14332" spans="4:4" x14ac:dyDescent="0.25">
      <c r="D14332" s="9"/>
    </row>
    <row r="14333" spans="4:4" x14ac:dyDescent="0.25">
      <c r="D14333" s="9"/>
    </row>
    <row r="14334" spans="4:4" x14ac:dyDescent="0.25">
      <c r="D14334" s="9"/>
    </row>
    <row r="14335" spans="4:4" x14ac:dyDescent="0.25">
      <c r="D14335" s="9"/>
    </row>
    <row r="14336" spans="4:4" x14ac:dyDescent="0.25">
      <c r="D14336" s="9"/>
    </row>
    <row r="14337" spans="4:4" x14ac:dyDescent="0.25">
      <c r="D14337" s="9"/>
    </row>
    <row r="14338" spans="4:4" x14ac:dyDescent="0.25">
      <c r="D14338" s="9"/>
    </row>
    <row r="14339" spans="4:4" x14ac:dyDescent="0.25">
      <c r="D14339" s="9"/>
    </row>
    <row r="14340" spans="4:4" x14ac:dyDescent="0.25">
      <c r="D14340" s="9"/>
    </row>
    <row r="14341" spans="4:4" x14ac:dyDescent="0.25">
      <c r="D14341" s="9"/>
    </row>
    <row r="14342" spans="4:4" x14ac:dyDescent="0.25">
      <c r="D14342" s="9"/>
    </row>
    <row r="14343" spans="4:4" x14ac:dyDescent="0.25">
      <c r="D14343" s="9"/>
    </row>
    <row r="14344" spans="4:4" x14ac:dyDescent="0.25">
      <c r="D14344" s="9"/>
    </row>
    <row r="14345" spans="4:4" x14ac:dyDescent="0.25">
      <c r="D14345" s="9"/>
    </row>
    <row r="14346" spans="4:4" x14ac:dyDescent="0.25">
      <c r="D14346" s="9"/>
    </row>
    <row r="14347" spans="4:4" x14ac:dyDescent="0.25">
      <c r="D14347" s="9"/>
    </row>
    <row r="14348" spans="4:4" x14ac:dyDescent="0.25">
      <c r="D14348" s="9"/>
    </row>
    <row r="14349" spans="4:4" x14ac:dyDescent="0.25">
      <c r="D14349" s="9"/>
    </row>
    <row r="14350" spans="4:4" x14ac:dyDescent="0.25">
      <c r="D14350" s="9"/>
    </row>
    <row r="14351" spans="4:4" x14ac:dyDescent="0.25">
      <c r="D14351" s="9"/>
    </row>
    <row r="14352" spans="4:4" x14ac:dyDescent="0.25">
      <c r="D14352" s="9"/>
    </row>
    <row r="14353" spans="4:4" x14ac:dyDescent="0.25">
      <c r="D14353" s="9"/>
    </row>
    <row r="14354" spans="4:4" x14ac:dyDescent="0.25">
      <c r="D14354" s="9"/>
    </row>
    <row r="14355" spans="4:4" x14ac:dyDescent="0.25">
      <c r="D14355" s="9"/>
    </row>
    <row r="14356" spans="4:4" x14ac:dyDescent="0.25">
      <c r="D14356" s="9"/>
    </row>
    <row r="14357" spans="4:4" x14ac:dyDescent="0.25">
      <c r="D14357" s="9"/>
    </row>
    <row r="14358" spans="4:4" x14ac:dyDescent="0.25">
      <c r="D14358" s="9"/>
    </row>
    <row r="14359" spans="4:4" x14ac:dyDescent="0.25">
      <c r="D14359" s="9"/>
    </row>
    <row r="14360" spans="4:4" x14ac:dyDescent="0.25">
      <c r="D14360" s="9"/>
    </row>
    <row r="14361" spans="4:4" x14ac:dyDescent="0.25">
      <c r="D14361" s="9"/>
    </row>
    <row r="14362" spans="4:4" x14ac:dyDescent="0.25">
      <c r="D14362" s="9"/>
    </row>
    <row r="14363" spans="4:4" x14ac:dyDescent="0.25">
      <c r="D14363" s="9"/>
    </row>
    <row r="14364" spans="4:4" x14ac:dyDescent="0.25">
      <c r="D14364" s="9"/>
    </row>
    <row r="14365" spans="4:4" x14ac:dyDescent="0.25">
      <c r="D14365" s="9"/>
    </row>
    <row r="14366" spans="4:4" x14ac:dyDescent="0.25">
      <c r="D14366" s="9"/>
    </row>
    <row r="14367" spans="4:4" x14ac:dyDescent="0.25">
      <c r="D14367" s="9"/>
    </row>
    <row r="14368" spans="4:4" x14ac:dyDescent="0.25">
      <c r="D14368" s="9"/>
    </row>
    <row r="14369" spans="4:4" x14ac:dyDescent="0.25">
      <c r="D14369" s="9"/>
    </row>
    <row r="14370" spans="4:4" x14ac:dyDescent="0.25">
      <c r="D14370" s="9"/>
    </row>
    <row r="14371" spans="4:4" x14ac:dyDescent="0.25">
      <c r="D14371" s="9"/>
    </row>
    <row r="14372" spans="4:4" x14ac:dyDescent="0.25">
      <c r="D14372" s="9"/>
    </row>
    <row r="14373" spans="4:4" x14ac:dyDescent="0.25">
      <c r="D14373" s="9"/>
    </row>
    <row r="14374" spans="4:4" x14ac:dyDescent="0.25">
      <c r="D14374" s="9"/>
    </row>
    <row r="14375" spans="4:4" x14ac:dyDescent="0.25">
      <c r="D14375" s="9"/>
    </row>
    <row r="14376" spans="4:4" x14ac:dyDescent="0.25">
      <c r="D14376" s="9"/>
    </row>
    <row r="14377" spans="4:4" x14ac:dyDescent="0.25">
      <c r="D14377" s="9"/>
    </row>
    <row r="14378" spans="4:4" x14ac:dyDescent="0.25">
      <c r="D14378" s="9"/>
    </row>
    <row r="14379" spans="4:4" x14ac:dyDescent="0.25">
      <c r="D14379" s="9"/>
    </row>
    <row r="14380" spans="4:4" x14ac:dyDescent="0.25">
      <c r="D14380" s="9"/>
    </row>
    <row r="14381" spans="4:4" x14ac:dyDescent="0.25">
      <c r="D14381" s="9"/>
    </row>
    <row r="14382" spans="4:4" x14ac:dyDescent="0.25">
      <c r="D14382" s="9"/>
    </row>
    <row r="14383" spans="4:4" x14ac:dyDescent="0.25">
      <c r="D14383" s="9"/>
    </row>
    <row r="14384" spans="4:4" x14ac:dyDescent="0.25">
      <c r="D14384" s="9"/>
    </row>
    <row r="14385" spans="4:4" x14ac:dyDescent="0.25">
      <c r="D14385" s="9"/>
    </row>
    <row r="14386" spans="4:4" x14ac:dyDescent="0.25">
      <c r="D14386" s="9"/>
    </row>
    <row r="14387" spans="4:4" x14ac:dyDescent="0.25">
      <c r="D14387" s="9"/>
    </row>
    <row r="14388" spans="4:4" x14ac:dyDescent="0.25">
      <c r="D14388" s="9"/>
    </row>
    <row r="14389" spans="4:4" x14ac:dyDescent="0.25">
      <c r="D14389" s="9"/>
    </row>
    <row r="14390" spans="4:4" x14ac:dyDescent="0.25">
      <c r="D14390" s="9"/>
    </row>
    <row r="14391" spans="4:4" x14ac:dyDescent="0.25">
      <c r="D14391" s="9"/>
    </row>
    <row r="14392" spans="4:4" x14ac:dyDescent="0.25">
      <c r="D14392" s="9"/>
    </row>
    <row r="14393" spans="4:4" x14ac:dyDescent="0.25">
      <c r="D14393" s="9"/>
    </row>
    <row r="14394" spans="4:4" x14ac:dyDescent="0.25">
      <c r="D14394" s="9"/>
    </row>
    <row r="14395" spans="4:4" x14ac:dyDescent="0.25">
      <c r="D14395" s="9"/>
    </row>
    <row r="14396" spans="4:4" x14ac:dyDescent="0.25">
      <c r="D14396" s="9"/>
    </row>
    <row r="14397" spans="4:4" x14ac:dyDescent="0.25">
      <c r="D14397" s="9"/>
    </row>
    <row r="14398" spans="4:4" x14ac:dyDescent="0.25">
      <c r="D14398" s="9"/>
    </row>
    <row r="14399" spans="4:4" x14ac:dyDescent="0.25">
      <c r="D14399" s="9"/>
    </row>
    <row r="14400" spans="4:4" x14ac:dyDescent="0.25">
      <c r="D14400" s="9"/>
    </row>
    <row r="14401" spans="4:4" x14ac:dyDescent="0.25">
      <c r="D14401" s="9"/>
    </row>
    <row r="14402" spans="4:4" x14ac:dyDescent="0.25">
      <c r="D14402" s="9"/>
    </row>
    <row r="14403" spans="4:4" x14ac:dyDescent="0.25">
      <c r="D14403" s="9"/>
    </row>
    <row r="14404" spans="4:4" x14ac:dyDescent="0.25">
      <c r="D14404" s="9"/>
    </row>
    <row r="14405" spans="4:4" x14ac:dyDescent="0.25">
      <c r="D14405" s="9"/>
    </row>
    <row r="14406" spans="4:4" x14ac:dyDescent="0.25">
      <c r="D14406" s="9"/>
    </row>
    <row r="14407" spans="4:4" x14ac:dyDescent="0.25">
      <c r="D14407" s="9"/>
    </row>
    <row r="14408" spans="4:4" x14ac:dyDescent="0.25">
      <c r="D14408" s="9"/>
    </row>
    <row r="14409" spans="4:4" x14ac:dyDescent="0.25">
      <c r="D14409" s="9"/>
    </row>
    <row r="14410" spans="4:4" x14ac:dyDescent="0.25">
      <c r="D14410" s="9"/>
    </row>
    <row r="14411" spans="4:4" x14ac:dyDescent="0.25">
      <c r="D14411" s="9"/>
    </row>
    <row r="14412" spans="4:4" x14ac:dyDescent="0.25">
      <c r="D14412" s="9"/>
    </row>
    <row r="14413" spans="4:4" x14ac:dyDescent="0.25">
      <c r="D14413" s="9"/>
    </row>
    <row r="14414" spans="4:4" x14ac:dyDescent="0.25">
      <c r="D14414" s="9"/>
    </row>
    <row r="14415" spans="4:4" x14ac:dyDescent="0.25">
      <c r="D14415" s="9"/>
    </row>
    <row r="14416" spans="4:4" x14ac:dyDescent="0.25">
      <c r="D14416" s="9"/>
    </row>
    <row r="14417" spans="4:4" x14ac:dyDescent="0.25">
      <c r="D14417" s="9"/>
    </row>
    <row r="14418" spans="4:4" x14ac:dyDescent="0.25">
      <c r="D14418" s="9"/>
    </row>
    <row r="14419" spans="4:4" x14ac:dyDescent="0.25">
      <c r="D14419" s="9"/>
    </row>
    <row r="14420" spans="4:4" x14ac:dyDescent="0.25">
      <c r="D14420" s="9"/>
    </row>
    <row r="14421" spans="4:4" x14ac:dyDescent="0.25">
      <c r="D14421" s="9"/>
    </row>
    <row r="14422" spans="4:4" x14ac:dyDescent="0.25">
      <c r="D14422" s="9"/>
    </row>
    <row r="14423" spans="4:4" x14ac:dyDescent="0.25">
      <c r="D14423" s="9"/>
    </row>
    <row r="14424" spans="4:4" x14ac:dyDescent="0.25">
      <c r="D14424" s="9"/>
    </row>
    <row r="14425" spans="4:4" x14ac:dyDescent="0.25">
      <c r="D14425" s="9"/>
    </row>
    <row r="14426" spans="4:4" x14ac:dyDescent="0.25">
      <c r="D14426" s="9"/>
    </row>
    <row r="14427" spans="4:4" x14ac:dyDescent="0.25">
      <c r="D14427" s="9"/>
    </row>
    <row r="14428" spans="4:4" x14ac:dyDescent="0.25">
      <c r="D14428" s="9"/>
    </row>
    <row r="14429" spans="4:4" x14ac:dyDescent="0.25">
      <c r="D14429" s="9"/>
    </row>
    <row r="14430" spans="4:4" x14ac:dyDescent="0.25">
      <c r="D14430" s="9"/>
    </row>
    <row r="14431" spans="4:4" x14ac:dyDescent="0.25">
      <c r="D14431" s="9"/>
    </row>
    <row r="14432" spans="4:4" x14ac:dyDescent="0.25">
      <c r="D14432" s="9"/>
    </row>
    <row r="14433" spans="4:4" x14ac:dyDescent="0.25">
      <c r="D14433" s="9"/>
    </row>
    <row r="14434" spans="4:4" x14ac:dyDescent="0.25">
      <c r="D14434" s="9"/>
    </row>
    <row r="14435" spans="4:4" x14ac:dyDescent="0.25">
      <c r="D14435" s="9"/>
    </row>
    <row r="14436" spans="4:4" x14ac:dyDescent="0.25">
      <c r="D14436" s="9"/>
    </row>
    <row r="14437" spans="4:4" x14ac:dyDescent="0.25">
      <c r="D14437" s="9"/>
    </row>
    <row r="14438" spans="4:4" x14ac:dyDescent="0.25">
      <c r="D14438" s="9"/>
    </row>
    <row r="14439" spans="4:4" x14ac:dyDescent="0.25">
      <c r="D14439" s="9"/>
    </row>
    <row r="14440" spans="4:4" x14ac:dyDescent="0.25">
      <c r="D14440" s="9"/>
    </row>
    <row r="14441" spans="4:4" x14ac:dyDescent="0.25">
      <c r="D14441" s="9"/>
    </row>
    <row r="14442" spans="4:4" x14ac:dyDescent="0.25">
      <c r="D14442" s="9"/>
    </row>
    <row r="14443" spans="4:4" x14ac:dyDescent="0.25">
      <c r="D14443" s="9"/>
    </row>
    <row r="14444" spans="4:4" x14ac:dyDescent="0.25">
      <c r="D14444" s="9"/>
    </row>
    <row r="14445" spans="4:4" x14ac:dyDescent="0.25">
      <c r="D14445" s="9"/>
    </row>
    <row r="14446" spans="4:4" x14ac:dyDescent="0.25">
      <c r="D14446" s="9"/>
    </row>
    <row r="14447" spans="4:4" x14ac:dyDescent="0.25">
      <c r="D14447" s="9"/>
    </row>
    <row r="14448" spans="4:4" x14ac:dyDescent="0.25">
      <c r="D14448" s="9"/>
    </row>
    <row r="14449" spans="4:4" x14ac:dyDescent="0.25">
      <c r="D14449" s="9"/>
    </row>
    <row r="14450" spans="4:4" x14ac:dyDescent="0.25">
      <c r="D14450" s="9"/>
    </row>
    <row r="14451" spans="4:4" x14ac:dyDescent="0.25">
      <c r="D14451" s="9"/>
    </row>
    <row r="14452" spans="4:4" x14ac:dyDescent="0.25">
      <c r="D14452" s="9"/>
    </row>
    <row r="14453" spans="4:4" x14ac:dyDescent="0.25">
      <c r="D14453" s="9"/>
    </row>
    <row r="14454" spans="4:4" x14ac:dyDescent="0.25">
      <c r="D14454" s="9"/>
    </row>
    <row r="14455" spans="4:4" x14ac:dyDescent="0.25">
      <c r="D14455" s="9"/>
    </row>
    <row r="14456" spans="4:4" x14ac:dyDescent="0.25">
      <c r="D14456" s="9"/>
    </row>
    <row r="14457" spans="4:4" x14ac:dyDescent="0.25">
      <c r="D14457" s="9"/>
    </row>
    <row r="14458" spans="4:4" x14ac:dyDescent="0.25">
      <c r="D14458" s="9"/>
    </row>
    <row r="14459" spans="4:4" x14ac:dyDescent="0.25">
      <c r="D14459" s="9"/>
    </row>
    <row r="14460" spans="4:4" x14ac:dyDescent="0.25">
      <c r="D14460" s="9"/>
    </row>
    <row r="14461" spans="4:4" x14ac:dyDescent="0.25">
      <c r="D14461" s="9"/>
    </row>
    <row r="14462" spans="4:4" x14ac:dyDescent="0.25">
      <c r="D14462" s="9"/>
    </row>
    <row r="14463" spans="4:4" x14ac:dyDescent="0.25">
      <c r="D14463" s="9"/>
    </row>
    <row r="14464" spans="4:4" x14ac:dyDescent="0.25">
      <c r="D14464" s="9"/>
    </row>
    <row r="14465" spans="4:4" x14ac:dyDescent="0.25">
      <c r="D14465" s="9"/>
    </row>
    <row r="14466" spans="4:4" x14ac:dyDescent="0.25">
      <c r="D14466" s="9"/>
    </row>
    <row r="14467" spans="4:4" x14ac:dyDescent="0.25">
      <c r="D14467" s="9"/>
    </row>
    <row r="14468" spans="4:4" x14ac:dyDescent="0.25">
      <c r="D14468" s="9"/>
    </row>
    <row r="14469" spans="4:4" x14ac:dyDescent="0.25">
      <c r="D14469" s="9"/>
    </row>
    <row r="14470" spans="4:4" x14ac:dyDescent="0.25">
      <c r="D14470" s="9"/>
    </row>
    <row r="14471" spans="4:4" x14ac:dyDescent="0.25">
      <c r="D14471" s="9"/>
    </row>
    <row r="14472" spans="4:4" x14ac:dyDescent="0.25">
      <c r="D14472" s="9"/>
    </row>
    <row r="14473" spans="4:4" x14ac:dyDescent="0.25">
      <c r="D14473" s="9"/>
    </row>
    <row r="14474" spans="4:4" x14ac:dyDescent="0.25">
      <c r="D14474" s="9"/>
    </row>
    <row r="14475" spans="4:4" x14ac:dyDescent="0.25">
      <c r="D14475" s="9"/>
    </row>
    <row r="14476" spans="4:4" x14ac:dyDescent="0.25">
      <c r="D14476" s="9"/>
    </row>
    <row r="14477" spans="4:4" x14ac:dyDescent="0.25">
      <c r="D14477" s="9"/>
    </row>
    <row r="14478" spans="4:4" x14ac:dyDescent="0.25">
      <c r="D14478" s="9"/>
    </row>
    <row r="14479" spans="4:4" x14ac:dyDescent="0.25">
      <c r="D14479" s="9"/>
    </row>
    <row r="14480" spans="4:4" x14ac:dyDescent="0.25">
      <c r="D14480" s="9"/>
    </row>
    <row r="14481" spans="4:4" x14ac:dyDescent="0.25">
      <c r="D14481" s="9"/>
    </row>
    <row r="14482" spans="4:4" x14ac:dyDescent="0.25">
      <c r="D14482" s="9"/>
    </row>
    <row r="14483" spans="4:4" x14ac:dyDescent="0.25">
      <c r="D14483" s="9"/>
    </row>
    <row r="14484" spans="4:4" x14ac:dyDescent="0.25">
      <c r="D14484" s="9"/>
    </row>
    <row r="14485" spans="4:4" x14ac:dyDescent="0.25">
      <c r="D14485" s="9"/>
    </row>
    <row r="14486" spans="4:4" x14ac:dyDescent="0.25">
      <c r="D14486" s="9"/>
    </row>
    <row r="14487" spans="4:4" x14ac:dyDescent="0.25">
      <c r="D14487" s="9"/>
    </row>
    <row r="14488" spans="4:4" x14ac:dyDescent="0.25">
      <c r="D14488" s="9"/>
    </row>
    <row r="14489" spans="4:4" x14ac:dyDescent="0.25">
      <c r="D14489" s="9"/>
    </row>
    <row r="14490" spans="4:4" x14ac:dyDescent="0.25">
      <c r="D14490" s="9"/>
    </row>
    <row r="14491" spans="4:4" x14ac:dyDescent="0.25">
      <c r="D14491" s="9"/>
    </row>
    <row r="14492" spans="4:4" x14ac:dyDescent="0.25">
      <c r="D14492" s="9"/>
    </row>
    <row r="14493" spans="4:4" x14ac:dyDescent="0.25">
      <c r="D14493" s="9"/>
    </row>
    <row r="14494" spans="4:4" x14ac:dyDescent="0.25">
      <c r="D14494" s="9"/>
    </row>
    <row r="14495" spans="4:4" x14ac:dyDescent="0.25">
      <c r="D14495" s="9"/>
    </row>
    <row r="14496" spans="4:4" x14ac:dyDescent="0.25">
      <c r="D14496" s="9"/>
    </row>
    <row r="14497" spans="4:4" x14ac:dyDescent="0.25">
      <c r="D14497" s="9"/>
    </row>
    <row r="14498" spans="4:4" x14ac:dyDescent="0.25">
      <c r="D14498" s="9"/>
    </row>
    <row r="14499" spans="4:4" x14ac:dyDescent="0.25">
      <c r="D14499" s="9"/>
    </row>
    <row r="14500" spans="4:4" x14ac:dyDescent="0.25">
      <c r="D14500" s="9"/>
    </row>
    <row r="14501" spans="4:4" x14ac:dyDescent="0.25">
      <c r="D14501" s="9"/>
    </row>
    <row r="14502" spans="4:4" x14ac:dyDescent="0.25">
      <c r="D14502" s="9"/>
    </row>
    <row r="14503" spans="4:4" x14ac:dyDescent="0.25">
      <c r="D14503" s="9"/>
    </row>
    <row r="14504" spans="4:4" x14ac:dyDescent="0.25">
      <c r="D14504" s="9"/>
    </row>
    <row r="14505" spans="4:4" x14ac:dyDescent="0.25">
      <c r="D14505" s="9"/>
    </row>
    <row r="14506" spans="4:4" x14ac:dyDescent="0.25">
      <c r="D14506" s="9"/>
    </row>
    <row r="14507" spans="4:4" x14ac:dyDescent="0.25">
      <c r="D14507" s="9"/>
    </row>
    <row r="14508" spans="4:4" x14ac:dyDescent="0.25">
      <c r="D14508" s="9"/>
    </row>
    <row r="14509" spans="4:4" x14ac:dyDescent="0.25">
      <c r="D14509" s="9"/>
    </row>
    <row r="14510" spans="4:4" x14ac:dyDescent="0.25">
      <c r="D14510" s="9"/>
    </row>
    <row r="14511" spans="4:4" x14ac:dyDescent="0.25">
      <c r="D14511" s="9"/>
    </row>
    <row r="14512" spans="4:4" x14ac:dyDescent="0.25">
      <c r="D14512" s="9"/>
    </row>
    <row r="14513" spans="4:4" x14ac:dyDescent="0.25">
      <c r="D14513" s="9"/>
    </row>
    <row r="14514" spans="4:4" x14ac:dyDescent="0.25">
      <c r="D14514" s="9"/>
    </row>
    <row r="14515" spans="4:4" x14ac:dyDescent="0.25">
      <c r="D14515" s="9"/>
    </row>
    <row r="14516" spans="4:4" x14ac:dyDescent="0.25">
      <c r="D14516" s="9"/>
    </row>
    <row r="14517" spans="4:4" x14ac:dyDescent="0.25">
      <c r="D14517" s="9"/>
    </row>
    <row r="14518" spans="4:4" x14ac:dyDescent="0.25">
      <c r="D14518" s="9"/>
    </row>
    <row r="14519" spans="4:4" x14ac:dyDescent="0.25">
      <c r="D14519" s="9"/>
    </row>
    <row r="14520" spans="4:4" x14ac:dyDescent="0.25">
      <c r="D14520" s="9"/>
    </row>
    <row r="14521" spans="4:4" x14ac:dyDescent="0.25">
      <c r="D14521" s="9"/>
    </row>
    <row r="14522" spans="4:4" x14ac:dyDescent="0.25">
      <c r="D14522" s="9"/>
    </row>
    <row r="14523" spans="4:4" x14ac:dyDescent="0.25">
      <c r="D14523" s="9"/>
    </row>
    <row r="14524" spans="4:4" x14ac:dyDescent="0.25">
      <c r="D14524" s="9"/>
    </row>
    <row r="14525" spans="4:4" x14ac:dyDescent="0.25">
      <c r="D14525" s="9"/>
    </row>
    <row r="14526" spans="4:4" x14ac:dyDescent="0.25">
      <c r="D14526" s="9"/>
    </row>
    <row r="14527" spans="4:4" x14ac:dyDescent="0.25">
      <c r="D14527" s="9"/>
    </row>
    <row r="14528" spans="4:4" x14ac:dyDescent="0.25">
      <c r="D14528" s="9"/>
    </row>
    <row r="14529" spans="4:4" x14ac:dyDescent="0.25">
      <c r="D14529" s="9"/>
    </row>
    <row r="14530" spans="4:4" x14ac:dyDescent="0.25">
      <c r="D14530" s="9"/>
    </row>
    <row r="14531" spans="4:4" x14ac:dyDescent="0.25">
      <c r="D14531" s="9"/>
    </row>
    <row r="14532" spans="4:4" x14ac:dyDescent="0.25">
      <c r="D14532" s="9"/>
    </row>
    <row r="14533" spans="4:4" x14ac:dyDescent="0.25">
      <c r="D14533" s="9"/>
    </row>
    <row r="14534" spans="4:4" x14ac:dyDescent="0.25">
      <c r="D14534" s="9"/>
    </row>
    <row r="14535" spans="4:4" x14ac:dyDescent="0.25">
      <c r="D14535" s="9"/>
    </row>
    <row r="14536" spans="4:4" x14ac:dyDescent="0.25">
      <c r="D14536" s="9"/>
    </row>
    <row r="14537" spans="4:4" x14ac:dyDescent="0.25">
      <c r="D14537" s="9"/>
    </row>
    <row r="14538" spans="4:4" x14ac:dyDescent="0.25">
      <c r="D14538" s="9"/>
    </row>
    <row r="14539" spans="4:4" x14ac:dyDescent="0.25">
      <c r="D14539" s="9"/>
    </row>
    <row r="14540" spans="4:4" x14ac:dyDescent="0.25">
      <c r="D14540" s="9"/>
    </row>
    <row r="14541" spans="4:4" x14ac:dyDescent="0.25">
      <c r="D14541" s="9"/>
    </row>
    <row r="14542" spans="4:4" x14ac:dyDescent="0.25">
      <c r="D14542" s="9"/>
    </row>
    <row r="14543" spans="4:4" x14ac:dyDescent="0.25">
      <c r="D14543" s="9"/>
    </row>
    <row r="14544" spans="4:4" x14ac:dyDescent="0.25">
      <c r="D14544" s="9"/>
    </row>
    <row r="14545" spans="4:4" x14ac:dyDescent="0.25">
      <c r="D14545" s="9"/>
    </row>
    <row r="14546" spans="4:4" x14ac:dyDescent="0.25">
      <c r="D14546" s="9"/>
    </row>
    <row r="14547" spans="4:4" x14ac:dyDescent="0.25">
      <c r="D14547" s="9"/>
    </row>
    <row r="14548" spans="4:4" x14ac:dyDescent="0.25">
      <c r="D14548" s="9"/>
    </row>
    <row r="14549" spans="4:4" x14ac:dyDescent="0.25">
      <c r="D14549" s="9"/>
    </row>
    <row r="14550" spans="4:4" x14ac:dyDescent="0.25">
      <c r="D14550" s="9"/>
    </row>
    <row r="14551" spans="4:4" x14ac:dyDescent="0.25">
      <c r="D14551" s="9"/>
    </row>
    <row r="14552" spans="4:4" x14ac:dyDescent="0.25">
      <c r="D14552" s="9"/>
    </row>
    <row r="14553" spans="4:4" x14ac:dyDescent="0.25">
      <c r="D14553" s="9"/>
    </row>
    <row r="14554" spans="4:4" x14ac:dyDescent="0.25">
      <c r="D14554" s="9"/>
    </row>
    <row r="14555" spans="4:4" x14ac:dyDescent="0.25">
      <c r="D14555" s="9"/>
    </row>
    <row r="14556" spans="4:4" x14ac:dyDescent="0.25">
      <c r="D14556" s="9"/>
    </row>
    <row r="14557" spans="4:4" x14ac:dyDescent="0.25">
      <c r="D14557" s="9"/>
    </row>
    <row r="14558" spans="4:4" x14ac:dyDescent="0.25">
      <c r="D14558" s="9"/>
    </row>
    <row r="14559" spans="4:4" x14ac:dyDescent="0.25">
      <c r="D14559" s="9"/>
    </row>
    <row r="14560" spans="4:4" x14ac:dyDescent="0.25">
      <c r="D14560" s="9"/>
    </row>
    <row r="14561" spans="4:4" x14ac:dyDescent="0.25">
      <c r="D14561" s="9"/>
    </row>
    <row r="14562" spans="4:4" x14ac:dyDescent="0.25">
      <c r="D14562" s="9"/>
    </row>
    <row r="14563" spans="4:4" x14ac:dyDescent="0.25">
      <c r="D14563" s="9"/>
    </row>
    <row r="14564" spans="4:4" x14ac:dyDescent="0.25">
      <c r="D14564" s="9"/>
    </row>
    <row r="14565" spans="4:4" x14ac:dyDescent="0.25">
      <c r="D14565" s="9"/>
    </row>
    <row r="14566" spans="4:4" x14ac:dyDescent="0.25">
      <c r="D14566" s="9"/>
    </row>
    <row r="14567" spans="4:4" x14ac:dyDescent="0.25">
      <c r="D14567" s="9"/>
    </row>
    <row r="14568" spans="4:4" x14ac:dyDescent="0.25">
      <c r="D14568" s="9"/>
    </row>
    <row r="14569" spans="4:4" x14ac:dyDescent="0.25">
      <c r="D14569" s="9"/>
    </row>
    <row r="14570" spans="4:4" x14ac:dyDescent="0.25">
      <c r="D14570" s="9"/>
    </row>
    <row r="14571" spans="4:4" x14ac:dyDescent="0.25">
      <c r="D14571" s="9"/>
    </row>
    <row r="14572" spans="4:4" x14ac:dyDescent="0.25">
      <c r="D14572" s="9"/>
    </row>
    <row r="14573" spans="4:4" x14ac:dyDescent="0.25">
      <c r="D14573" s="9"/>
    </row>
    <row r="14574" spans="4:4" x14ac:dyDescent="0.25">
      <c r="D14574" s="9"/>
    </row>
    <row r="14575" spans="4:4" x14ac:dyDescent="0.25">
      <c r="D14575" s="9"/>
    </row>
    <row r="14576" spans="4:4" x14ac:dyDescent="0.25">
      <c r="D14576" s="9"/>
    </row>
    <row r="14577" spans="4:4" x14ac:dyDescent="0.25">
      <c r="D14577" s="9"/>
    </row>
    <row r="14578" spans="4:4" x14ac:dyDescent="0.25">
      <c r="D14578" s="9"/>
    </row>
    <row r="14579" spans="4:4" x14ac:dyDescent="0.25">
      <c r="D14579" s="9"/>
    </row>
    <row r="14580" spans="4:4" x14ac:dyDescent="0.25">
      <c r="D14580" s="9"/>
    </row>
    <row r="14581" spans="4:4" x14ac:dyDescent="0.25">
      <c r="D14581" s="9"/>
    </row>
    <row r="14582" spans="4:4" x14ac:dyDescent="0.25">
      <c r="D14582" s="9"/>
    </row>
    <row r="14583" spans="4:4" x14ac:dyDescent="0.25">
      <c r="D14583" s="9"/>
    </row>
    <row r="14584" spans="4:4" x14ac:dyDescent="0.25">
      <c r="D14584" s="9"/>
    </row>
    <row r="14585" spans="4:4" x14ac:dyDescent="0.25">
      <c r="D14585" s="9"/>
    </row>
    <row r="14586" spans="4:4" x14ac:dyDescent="0.25">
      <c r="D14586" s="9"/>
    </row>
    <row r="14587" spans="4:4" x14ac:dyDescent="0.25">
      <c r="D14587" s="9"/>
    </row>
    <row r="14588" spans="4:4" x14ac:dyDescent="0.25">
      <c r="D14588" s="9"/>
    </row>
    <row r="14589" spans="4:4" x14ac:dyDescent="0.25">
      <c r="D14589" s="9"/>
    </row>
    <row r="14590" spans="4:4" x14ac:dyDescent="0.25">
      <c r="D14590" s="9"/>
    </row>
    <row r="14591" spans="4:4" x14ac:dyDescent="0.25">
      <c r="D14591" s="9"/>
    </row>
    <row r="14592" spans="4:4" x14ac:dyDescent="0.25">
      <c r="D14592" s="9"/>
    </row>
    <row r="14593" spans="4:4" x14ac:dyDescent="0.25">
      <c r="D14593" s="9"/>
    </row>
    <row r="14594" spans="4:4" x14ac:dyDescent="0.25">
      <c r="D14594" s="9"/>
    </row>
    <row r="14595" spans="4:4" x14ac:dyDescent="0.25">
      <c r="D14595" s="9"/>
    </row>
    <row r="14596" spans="4:4" x14ac:dyDescent="0.25">
      <c r="D14596" s="9"/>
    </row>
    <row r="14597" spans="4:4" x14ac:dyDescent="0.25">
      <c r="D14597" s="9"/>
    </row>
    <row r="14598" spans="4:4" x14ac:dyDescent="0.25">
      <c r="D14598" s="9"/>
    </row>
    <row r="14599" spans="4:4" x14ac:dyDescent="0.25">
      <c r="D14599" s="9"/>
    </row>
    <row r="14600" spans="4:4" x14ac:dyDescent="0.25">
      <c r="D14600" s="9"/>
    </row>
    <row r="14601" spans="4:4" x14ac:dyDescent="0.25">
      <c r="D14601" s="9"/>
    </row>
    <row r="14602" spans="4:4" x14ac:dyDescent="0.25">
      <c r="D14602" s="9"/>
    </row>
    <row r="14603" spans="4:4" x14ac:dyDescent="0.25">
      <c r="D14603" s="9"/>
    </row>
    <row r="14604" spans="4:4" x14ac:dyDescent="0.25">
      <c r="D14604" s="9"/>
    </row>
    <row r="14605" spans="4:4" x14ac:dyDescent="0.25">
      <c r="D14605" s="9"/>
    </row>
    <row r="14606" spans="4:4" x14ac:dyDescent="0.25">
      <c r="D14606" s="9"/>
    </row>
    <row r="14607" spans="4:4" x14ac:dyDescent="0.25">
      <c r="D14607" s="9"/>
    </row>
    <row r="14608" spans="4:4" x14ac:dyDescent="0.25">
      <c r="D14608" s="9"/>
    </row>
    <row r="14609" spans="4:4" x14ac:dyDescent="0.25">
      <c r="D14609" s="9"/>
    </row>
    <row r="14610" spans="4:4" x14ac:dyDescent="0.25">
      <c r="D14610" s="9"/>
    </row>
    <row r="14611" spans="4:4" x14ac:dyDescent="0.25">
      <c r="D14611" s="9"/>
    </row>
    <row r="14612" spans="4:4" x14ac:dyDescent="0.25">
      <c r="D14612" s="9"/>
    </row>
    <row r="14613" spans="4:4" x14ac:dyDescent="0.25">
      <c r="D14613" s="9"/>
    </row>
    <row r="14614" spans="4:4" x14ac:dyDescent="0.25">
      <c r="D14614" s="9"/>
    </row>
    <row r="14615" spans="4:4" x14ac:dyDescent="0.25">
      <c r="D14615" s="9"/>
    </row>
    <row r="14616" spans="4:4" x14ac:dyDescent="0.25">
      <c r="D14616" s="9"/>
    </row>
    <row r="14617" spans="4:4" x14ac:dyDescent="0.25">
      <c r="D14617" s="9"/>
    </row>
    <row r="14618" spans="4:4" x14ac:dyDescent="0.25">
      <c r="D14618" s="9"/>
    </row>
    <row r="14619" spans="4:4" x14ac:dyDescent="0.25">
      <c r="D14619" s="9"/>
    </row>
    <row r="14620" spans="4:4" x14ac:dyDescent="0.25">
      <c r="D14620" s="9"/>
    </row>
    <row r="14621" spans="4:4" x14ac:dyDescent="0.25">
      <c r="D14621" s="9"/>
    </row>
    <row r="14622" spans="4:4" x14ac:dyDescent="0.25">
      <c r="D14622" s="9"/>
    </row>
    <row r="14623" spans="4:4" x14ac:dyDescent="0.25">
      <c r="D14623" s="9"/>
    </row>
    <row r="14624" spans="4:4" x14ac:dyDescent="0.25">
      <c r="D14624" s="9"/>
    </row>
    <row r="14625" spans="4:4" x14ac:dyDescent="0.25">
      <c r="D14625" s="9"/>
    </row>
    <row r="14626" spans="4:4" x14ac:dyDescent="0.25">
      <c r="D14626" s="9"/>
    </row>
    <row r="14627" spans="4:4" x14ac:dyDescent="0.25">
      <c r="D14627" s="9"/>
    </row>
    <row r="14628" spans="4:4" x14ac:dyDescent="0.25">
      <c r="D14628" s="9"/>
    </row>
    <row r="14629" spans="4:4" x14ac:dyDescent="0.25">
      <c r="D14629" s="9"/>
    </row>
    <row r="14630" spans="4:4" x14ac:dyDescent="0.25">
      <c r="D14630" s="9"/>
    </row>
    <row r="14631" spans="4:4" x14ac:dyDescent="0.25">
      <c r="D14631" s="9"/>
    </row>
    <row r="14632" spans="4:4" x14ac:dyDescent="0.25">
      <c r="D14632" s="9"/>
    </row>
    <row r="14633" spans="4:4" x14ac:dyDescent="0.25">
      <c r="D14633" s="9"/>
    </row>
    <row r="14634" spans="4:4" x14ac:dyDescent="0.25">
      <c r="D14634" s="9"/>
    </row>
    <row r="14635" spans="4:4" x14ac:dyDescent="0.25">
      <c r="D14635" s="9"/>
    </row>
    <row r="14636" spans="4:4" x14ac:dyDescent="0.25">
      <c r="D14636" s="9"/>
    </row>
    <row r="14637" spans="4:4" x14ac:dyDescent="0.25">
      <c r="D14637" s="9"/>
    </row>
    <row r="14638" spans="4:4" x14ac:dyDescent="0.25">
      <c r="D14638" s="9"/>
    </row>
    <row r="14639" spans="4:4" x14ac:dyDescent="0.25">
      <c r="D14639" s="9"/>
    </row>
    <row r="14640" spans="4:4" x14ac:dyDescent="0.25">
      <c r="D14640" s="9"/>
    </row>
    <row r="14641" spans="4:4" x14ac:dyDescent="0.25">
      <c r="D14641" s="9"/>
    </row>
    <row r="14642" spans="4:4" x14ac:dyDescent="0.25">
      <c r="D14642" s="9"/>
    </row>
    <row r="14643" spans="4:4" x14ac:dyDescent="0.25">
      <c r="D14643" s="9"/>
    </row>
    <row r="14644" spans="4:4" x14ac:dyDescent="0.25">
      <c r="D14644" s="9"/>
    </row>
    <row r="14645" spans="4:4" x14ac:dyDescent="0.25">
      <c r="D14645" s="9"/>
    </row>
    <row r="14646" spans="4:4" x14ac:dyDescent="0.25">
      <c r="D14646" s="9"/>
    </row>
    <row r="14647" spans="4:4" x14ac:dyDescent="0.25">
      <c r="D14647" s="9"/>
    </row>
    <row r="14648" spans="4:4" x14ac:dyDescent="0.25">
      <c r="D14648" s="9"/>
    </row>
    <row r="14649" spans="4:4" x14ac:dyDescent="0.25">
      <c r="D14649" s="9"/>
    </row>
    <row r="14650" spans="4:4" x14ac:dyDescent="0.25">
      <c r="D14650" s="9"/>
    </row>
    <row r="14651" spans="4:4" x14ac:dyDescent="0.25">
      <c r="D14651" s="9"/>
    </row>
    <row r="14652" spans="4:4" x14ac:dyDescent="0.25">
      <c r="D14652" s="9"/>
    </row>
    <row r="14653" spans="4:4" x14ac:dyDescent="0.25">
      <c r="D14653" s="9"/>
    </row>
    <row r="14654" spans="4:4" x14ac:dyDescent="0.25">
      <c r="D14654" s="9"/>
    </row>
    <row r="14655" spans="4:4" x14ac:dyDescent="0.25">
      <c r="D14655" s="9"/>
    </row>
    <row r="14656" spans="4:4" x14ac:dyDescent="0.25">
      <c r="D14656" s="9"/>
    </row>
    <row r="14657" spans="4:4" x14ac:dyDescent="0.25">
      <c r="D14657" s="9"/>
    </row>
    <row r="14658" spans="4:4" x14ac:dyDescent="0.25">
      <c r="D14658" s="9"/>
    </row>
    <row r="14659" spans="4:4" x14ac:dyDescent="0.25">
      <c r="D14659" s="9"/>
    </row>
    <row r="14660" spans="4:4" x14ac:dyDescent="0.25">
      <c r="D14660" s="9"/>
    </row>
    <row r="14661" spans="4:4" x14ac:dyDescent="0.25">
      <c r="D14661" s="9"/>
    </row>
    <row r="14662" spans="4:4" x14ac:dyDescent="0.25">
      <c r="D14662" s="9"/>
    </row>
    <row r="14663" spans="4:4" x14ac:dyDescent="0.25">
      <c r="D14663" s="9"/>
    </row>
    <row r="14664" spans="4:4" x14ac:dyDescent="0.25">
      <c r="D14664" s="9"/>
    </row>
    <row r="14665" spans="4:4" x14ac:dyDescent="0.25">
      <c r="D14665" s="9"/>
    </row>
    <row r="14666" spans="4:4" x14ac:dyDescent="0.25">
      <c r="D14666" s="9"/>
    </row>
    <row r="14667" spans="4:4" x14ac:dyDescent="0.25">
      <c r="D14667" s="9"/>
    </row>
    <row r="14668" spans="4:4" x14ac:dyDescent="0.25">
      <c r="D14668" s="9"/>
    </row>
    <row r="14669" spans="4:4" x14ac:dyDescent="0.25">
      <c r="D14669" s="9"/>
    </row>
    <row r="14670" spans="4:4" x14ac:dyDescent="0.25">
      <c r="D14670" s="9"/>
    </row>
    <row r="14671" spans="4:4" x14ac:dyDescent="0.25">
      <c r="D14671" s="9"/>
    </row>
    <row r="14672" spans="4:4" x14ac:dyDescent="0.25">
      <c r="D14672" s="9"/>
    </row>
    <row r="14673" spans="4:4" x14ac:dyDescent="0.25">
      <c r="D14673" s="9"/>
    </row>
    <row r="14674" spans="4:4" x14ac:dyDescent="0.25">
      <c r="D14674" s="9"/>
    </row>
    <row r="14675" spans="4:4" x14ac:dyDescent="0.25">
      <c r="D14675" s="9"/>
    </row>
    <row r="14676" spans="4:4" x14ac:dyDescent="0.25">
      <c r="D14676" s="9"/>
    </row>
    <row r="14677" spans="4:4" x14ac:dyDescent="0.25">
      <c r="D14677" s="9"/>
    </row>
    <row r="14678" spans="4:4" x14ac:dyDescent="0.25">
      <c r="D14678" s="9"/>
    </row>
    <row r="14679" spans="4:4" x14ac:dyDescent="0.25">
      <c r="D14679" s="9"/>
    </row>
    <row r="14680" spans="4:4" x14ac:dyDescent="0.25">
      <c r="D14680" s="9"/>
    </row>
    <row r="14681" spans="4:4" x14ac:dyDescent="0.25">
      <c r="D14681" s="9"/>
    </row>
    <row r="14682" spans="4:4" x14ac:dyDescent="0.25">
      <c r="D14682" s="9"/>
    </row>
    <row r="14683" spans="4:4" x14ac:dyDescent="0.25">
      <c r="D14683" s="9"/>
    </row>
    <row r="14684" spans="4:4" x14ac:dyDescent="0.25">
      <c r="D14684" s="9"/>
    </row>
    <row r="14685" spans="4:4" x14ac:dyDescent="0.25">
      <c r="D14685" s="9"/>
    </row>
    <row r="14686" spans="4:4" x14ac:dyDescent="0.25">
      <c r="D14686" s="9"/>
    </row>
    <row r="14687" spans="4:4" x14ac:dyDescent="0.25">
      <c r="D14687" s="9"/>
    </row>
    <row r="14688" spans="4:4" x14ac:dyDescent="0.25">
      <c r="D14688" s="9"/>
    </row>
    <row r="14689" spans="4:4" x14ac:dyDescent="0.25">
      <c r="D14689" s="9"/>
    </row>
    <row r="14690" spans="4:4" x14ac:dyDescent="0.25">
      <c r="D14690" s="9"/>
    </row>
    <row r="14691" spans="4:4" x14ac:dyDescent="0.25">
      <c r="D14691" s="9"/>
    </row>
    <row r="14692" spans="4:4" x14ac:dyDescent="0.25">
      <c r="D14692" s="9"/>
    </row>
    <row r="14693" spans="4:4" x14ac:dyDescent="0.25">
      <c r="D14693" s="9"/>
    </row>
    <row r="14694" spans="4:4" x14ac:dyDescent="0.25">
      <c r="D14694" s="9"/>
    </row>
    <row r="14695" spans="4:4" x14ac:dyDescent="0.25">
      <c r="D14695" s="9"/>
    </row>
    <row r="14696" spans="4:4" x14ac:dyDescent="0.25">
      <c r="D14696" s="9"/>
    </row>
    <row r="14697" spans="4:4" x14ac:dyDescent="0.25">
      <c r="D14697" s="9"/>
    </row>
    <row r="14698" spans="4:4" x14ac:dyDescent="0.25">
      <c r="D14698" s="9"/>
    </row>
    <row r="14699" spans="4:4" x14ac:dyDescent="0.25">
      <c r="D14699" s="9"/>
    </row>
    <row r="14700" spans="4:4" x14ac:dyDescent="0.25">
      <c r="D14700" s="9"/>
    </row>
    <row r="14701" spans="4:4" x14ac:dyDescent="0.25">
      <c r="D14701" s="9"/>
    </row>
    <row r="14702" spans="4:4" x14ac:dyDescent="0.25">
      <c r="D14702" s="9"/>
    </row>
    <row r="14703" spans="4:4" x14ac:dyDescent="0.25">
      <c r="D14703" s="9"/>
    </row>
    <row r="14704" spans="4:4" x14ac:dyDescent="0.25">
      <c r="D14704" s="9"/>
    </row>
    <row r="14705" spans="4:4" x14ac:dyDescent="0.25">
      <c r="D14705" s="9"/>
    </row>
    <row r="14706" spans="4:4" x14ac:dyDescent="0.25">
      <c r="D14706" s="9"/>
    </row>
    <row r="14707" spans="4:4" x14ac:dyDescent="0.25">
      <c r="D14707" s="9"/>
    </row>
    <row r="14708" spans="4:4" x14ac:dyDescent="0.25">
      <c r="D14708" s="9"/>
    </row>
    <row r="14709" spans="4:4" x14ac:dyDescent="0.25">
      <c r="D14709" s="9"/>
    </row>
    <row r="14710" spans="4:4" x14ac:dyDescent="0.25">
      <c r="D14710" s="9"/>
    </row>
    <row r="14711" spans="4:4" x14ac:dyDescent="0.25">
      <c r="D14711" s="9"/>
    </row>
    <row r="14712" spans="4:4" x14ac:dyDescent="0.25">
      <c r="D14712" s="9"/>
    </row>
    <row r="14713" spans="4:4" x14ac:dyDescent="0.25">
      <c r="D14713" s="9"/>
    </row>
    <row r="14714" spans="4:4" x14ac:dyDescent="0.25">
      <c r="D14714" s="9"/>
    </row>
    <row r="14715" spans="4:4" x14ac:dyDescent="0.25">
      <c r="D14715" s="9"/>
    </row>
    <row r="14716" spans="4:4" x14ac:dyDescent="0.25">
      <c r="D14716" s="9"/>
    </row>
    <row r="14717" spans="4:4" x14ac:dyDescent="0.25">
      <c r="D14717" s="9"/>
    </row>
    <row r="14718" spans="4:4" x14ac:dyDescent="0.25">
      <c r="D14718" s="9"/>
    </row>
    <row r="14719" spans="4:4" x14ac:dyDescent="0.25">
      <c r="D14719" s="9"/>
    </row>
    <row r="14720" spans="4:4" x14ac:dyDescent="0.25">
      <c r="D14720" s="9"/>
    </row>
    <row r="14721" spans="4:4" x14ac:dyDescent="0.25">
      <c r="D14721" s="9"/>
    </row>
    <row r="14722" spans="4:4" x14ac:dyDescent="0.25">
      <c r="D14722" s="9"/>
    </row>
    <row r="14723" spans="4:4" x14ac:dyDescent="0.25">
      <c r="D14723" s="9"/>
    </row>
    <row r="14724" spans="4:4" x14ac:dyDescent="0.25">
      <c r="D14724" s="9"/>
    </row>
    <row r="14725" spans="4:4" x14ac:dyDescent="0.25">
      <c r="D14725" s="9"/>
    </row>
    <row r="14726" spans="4:4" x14ac:dyDescent="0.25">
      <c r="D14726" s="9"/>
    </row>
    <row r="14727" spans="4:4" x14ac:dyDescent="0.25">
      <c r="D14727" s="9"/>
    </row>
    <row r="14728" spans="4:4" x14ac:dyDescent="0.25">
      <c r="D14728" s="9"/>
    </row>
    <row r="14729" spans="4:4" x14ac:dyDescent="0.25">
      <c r="D14729" s="9"/>
    </row>
    <row r="14730" spans="4:4" x14ac:dyDescent="0.25">
      <c r="D14730" s="9"/>
    </row>
    <row r="14731" spans="4:4" x14ac:dyDescent="0.25">
      <c r="D14731" s="9"/>
    </row>
    <row r="14732" spans="4:4" x14ac:dyDescent="0.25">
      <c r="D14732" s="9"/>
    </row>
    <row r="14733" spans="4:4" x14ac:dyDescent="0.25">
      <c r="D14733" s="9"/>
    </row>
    <row r="14734" spans="4:4" x14ac:dyDescent="0.25">
      <c r="D14734" s="9"/>
    </row>
    <row r="14735" spans="4:4" x14ac:dyDescent="0.25">
      <c r="D14735" s="9"/>
    </row>
    <row r="14736" spans="4:4" x14ac:dyDescent="0.25">
      <c r="D14736" s="9"/>
    </row>
    <row r="14737" spans="4:4" x14ac:dyDescent="0.25">
      <c r="D14737" s="9"/>
    </row>
    <row r="14738" spans="4:4" x14ac:dyDescent="0.25">
      <c r="D14738" s="9"/>
    </row>
    <row r="14739" spans="4:4" x14ac:dyDescent="0.25">
      <c r="D14739" s="9"/>
    </row>
    <row r="14740" spans="4:4" x14ac:dyDescent="0.25">
      <c r="D14740" s="9"/>
    </row>
    <row r="14741" spans="4:4" x14ac:dyDescent="0.25">
      <c r="D14741" s="9"/>
    </row>
    <row r="14742" spans="4:4" x14ac:dyDescent="0.25">
      <c r="D14742" s="9"/>
    </row>
    <row r="14743" spans="4:4" x14ac:dyDescent="0.25">
      <c r="D14743" s="9"/>
    </row>
    <row r="14744" spans="4:4" x14ac:dyDescent="0.25">
      <c r="D14744" s="9"/>
    </row>
    <row r="14745" spans="4:4" x14ac:dyDescent="0.25">
      <c r="D14745" s="9"/>
    </row>
    <row r="14746" spans="4:4" x14ac:dyDescent="0.25">
      <c r="D14746" s="9"/>
    </row>
    <row r="14747" spans="4:4" x14ac:dyDescent="0.25">
      <c r="D14747" s="9"/>
    </row>
    <row r="14748" spans="4:4" x14ac:dyDescent="0.25">
      <c r="D14748" s="9"/>
    </row>
    <row r="14749" spans="4:4" x14ac:dyDescent="0.25">
      <c r="D14749" s="9"/>
    </row>
    <row r="14750" spans="4:4" x14ac:dyDescent="0.25">
      <c r="D14750" s="9"/>
    </row>
    <row r="14751" spans="4:4" x14ac:dyDescent="0.25">
      <c r="D14751" s="9"/>
    </row>
    <row r="14752" spans="4:4" x14ac:dyDescent="0.25">
      <c r="D14752" s="9"/>
    </row>
    <row r="14753" spans="4:4" x14ac:dyDescent="0.25">
      <c r="D14753" s="9"/>
    </row>
    <row r="14754" spans="4:4" x14ac:dyDescent="0.25">
      <c r="D14754" s="9"/>
    </row>
    <row r="14755" spans="4:4" x14ac:dyDescent="0.25">
      <c r="D14755" s="9"/>
    </row>
    <row r="14756" spans="4:4" x14ac:dyDescent="0.25">
      <c r="D14756" s="9"/>
    </row>
    <row r="14757" spans="4:4" x14ac:dyDescent="0.25">
      <c r="D14757" s="9"/>
    </row>
    <row r="14758" spans="4:4" x14ac:dyDescent="0.25">
      <c r="D14758" s="9"/>
    </row>
    <row r="14759" spans="4:4" x14ac:dyDescent="0.25">
      <c r="D14759" s="9"/>
    </row>
    <row r="14760" spans="4:4" x14ac:dyDescent="0.25">
      <c r="D14760" s="9"/>
    </row>
    <row r="14761" spans="4:4" x14ac:dyDescent="0.25">
      <c r="D14761" s="9"/>
    </row>
    <row r="14762" spans="4:4" x14ac:dyDescent="0.25">
      <c r="D14762" s="9"/>
    </row>
    <row r="14763" spans="4:4" x14ac:dyDescent="0.25">
      <c r="D14763" s="9"/>
    </row>
    <row r="14764" spans="4:4" x14ac:dyDescent="0.25">
      <c r="D14764" s="9"/>
    </row>
    <row r="14765" spans="4:4" x14ac:dyDescent="0.25">
      <c r="D14765" s="9"/>
    </row>
    <row r="14766" spans="4:4" x14ac:dyDescent="0.25">
      <c r="D14766" s="9"/>
    </row>
    <row r="14767" spans="4:4" x14ac:dyDescent="0.25">
      <c r="D14767" s="9"/>
    </row>
    <row r="14768" spans="4:4" x14ac:dyDescent="0.25">
      <c r="D14768" s="9"/>
    </row>
    <row r="14769" spans="4:4" x14ac:dyDescent="0.25">
      <c r="D14769" s="9"/>
    </row>
    <row r="14770" spans="4:4" x14ac:dyDescent="0.25">
      <c r="D14770" s="9"/>
    </row>
    <row r="14771" spans="4:4" x14ac:dyDescent="0.25">
      <c r="D14771" s="9"/>
    </row>
    <row r="14772" spans="4:4" x14ac:dyDescent="0.25">
      <c r="D14772" s="9"/>
    </row>
    <row r="14773" spans="4:4" x14ac:dyDescent="0.25">
      <c r="D14773" s="9"/>
    </row>
    <row r="14774" spans="4:4" x14ac:dyDescent="0.25">
      <c r="D14774" s="9"/>
    </row>
    <row r="14775" spans="4:4" x14ac:dyDescent="0.25">
      <c r="D14775" s="9"/>
    </row>
    <row r="14776" spans="4:4" x14ac:dyDescent="0.25">
      <c r="D14776" s="9"/>
    </row>
    <row r="14777" spans="4:4" x14ac:dyDescent="0.25">
      <c r="D14777" s="9"/>
    </row>
    <row r="14778" spans="4:4" x14ac:dyDescent="0.25">
      <c r="D14778" s="9"/>
    </row>
    <row r="14779" spans="4:4" x14ac:dyDescent="0.25">
      <c r="D14779" s="9"/>
    </row>
    <row r="14780" spans="4:4" x14ac:dyDescent="0.25">
      <c r="D14780" s="9"/>
    </row>
    <row r="14781" spans="4:4" x14ac:dyDescent="0.25">
      <c r="D14781" s="9"/>
    </row>
    <row r="14782" spans="4:4" x14ac:dyDescent="0.25">
      <c r="D14782" s="9"/>
    </row>
    <row r="14783" spans="4:4" x14ac:dyDescent="0.25">
      <c r="D14783" s="9"/>
    </row>
    <row r="14784" spans="4:4" x14ac:dyDescent="0.25">
      <c r="D14784" s="9"/>
    </row>
    <row r="14785" spans="4:4" x14ac:dyDescent="0.25">
      <c r="D14785" s="9"/>
    </row>
    <row r="14786" spans="4:4" x14ac:dyDescent="0.25">
      <c r="D14786" s="9"/>
    </row>
    <row r="14787" spans="4:4" x14ac:dyDescent="0.25">
      <c r="D14787" s="9"/>
    </row>
    <row r="14788" spans="4:4" x14ac:dyDescent="0.25">
      <c r="D14788" s="9"/>
    </row>
    <row r="14789" spans="4:4" x14ac:dyDescent="0.25">
      <c r="D14789" s="9"/>
    </row>
    <row r="14790" spans="4:4" x14ac:dyDescent="0.25">
      <c r="D14790" s="9"/>
    </row>
    <row r="14791" spans="4:4" x14ac:dyDescent="0.25">
      <c r="D14791" s="9"/>
    </row>
    <row r="14792" spans="4:4" x14ac:dyDescent="0.25">
      <c r="D14792" s="9"/>
    </row>
    <row r="14793" spans="4:4" x14ac:dyDescent="0.25">
      <c r="D14793" s="9"/>
    </row>
    <row r="14794" spans="4:4" x14ac:dyDescent="0.25">
      <c r="D14794" s="9"/>
    </row>
    <row r="14795" spans="4:4" x14ac:dyDescent="0.25">
      <c r="D14795" s="9"/>
    </row>
    <row r="14796" spans="4:4" x14ac:dyDescent="0.25">
      <c r="D14796" s="9"/>
    </row>
    <row r="14797" spans="4:4" x14ac:dyDescent="0.25">
      <c r="D14797" s="9"/>
    </row>
    <row r="14798" spans="4:4" x14ac:dyDescent="0.25">
      <c r="D14798" s="9"/>
    </row>
    <row r="14799" spans="4:4" x14ac:dyDescent="0.25">
      <c r="D14799" s="9"/>
    </row>
    <row r="14800" spans="4:4" x14ac:dyDescent="0.25">
      <c r="D14800" s="9"/>
    </row>
    <row r="14801" spans="4:4" x14ac:dyDescent="0.25">
      <c r="D14801" s="9"/>
    </row>
    <row r="14802" spans="4:4" x14ac:dyDescent="0.25">
      <c r="D14802" s="9"/>
    </row>
    <row r="14803" spans="4:4" x14ac:dyDescent="0.25">
      <c r="D14803" s="9"/>
    </row>
    <row r="14804" spans="4:4" x14ac:dyDescent="0.25">
      <c r="D14804" s="9"/>
    </row>
    <row r="14805" spans="4:4" x14ac:dyDescent="0.25">
      <c r="D14805" s="9"/>
    </row>
    <row r="14806" spans="4:4" x14ac:dyDescent="0.25">
      <c r="D14806" s="9"/>
    </row>
    <row r="14807" spans="4:4" x14ac:dyDescent="0.25">
      <c r="D14807" s="9"/>
    </row>
    <row r="14808" spans="4:4" x14ac:dyDescent="0.25">
      <c r="D14808" s="9"/>
    </row>
    <row r="14809" spans="4:4" x14ac:dyDescent="0.25">
      <c r="D14809" s="9"/>
    </row>
    <row r="14810" spans="4:4" x14ac:dyDescent="0.25">
      <c r="D14810" s="9"/>
    </row>
    <row r="14811" spans="4:4" x14ac:dyDescent="0.25">
      <c r="D14811" s="9"/>
    </row>
    <row r="14812" spans="4:4" x14ac:dyDescent="0.25">
      <c r="D14812" s="9"/>
    </row>
    <row r="14813" spans="4:4" x14ac:dyDescent="0.25">
      <c r="D14813" s="9"/>
    </row>
    <row r="14814" spans="4:4" x14ac:dyDescent="0.25">
      <c r="D14814" s="9"/>
    </row>
    <row r="14815" spans="4:4" x14ac:dyDescent="0.25">
      <c r="D14815" s="9"/>
    </row>
    <row r="14816" spans="4:4" x14ac:dyDescent="0.25">
      <c r="D14816" s="9"/>
    </row>
    <row r="14817" spans="4:4" x14ac:dyDescent="0.25">
      <c r="D14817" s="9"/>
    </row>
    <row r="14818" spans="4:4" x14ac:dyDescent="0.25">
      <c r="D14818" s="9"/>
    </row>
    <row r="14819" spans="4:4" x14ac:dyDescent="0.25">
      <c r="D14819" s="9"/>
    </row>
    <row r="14820" spans="4:4" x14ac:dyDescent="0.25">
      <c r="D14820" s="9"/>
    </row>
    <row r="14821" spans="4:4" x14ac:dyDescent="0.25">
      <c r="D14821" s="9"/>
    </row>
    <row r="14822" spans="4:4" x14ac:dyDescent="0.25">
      <c r="D14822" s="9"/>
    </row>
    <row r="14823" spans="4:4" x14ac:dyDescent="0.25">
      <c r="D14823" s="9"/>
    </row>
    <row r="14824" spans="4:4" x14ac:dyDescent="0.25">
      <c r="D14824" s="9"/>
    </row>
    <row r="14825" spans="4:4" x14ac:dyDescent="0.25">
      <c r="D14825" s="9"/>
    </row>
    <row r="14826" spans="4:4" x14ac:dyDescent="0.25">
      <c r="D14826" s="9"/>
    </row>
    <row r="14827" spans="4:4" x14ac:dyDescent="0.25">
      <c r="D14827" s="9"/>
    </row>
    <row r="14828" spans="4:4" x14ac:dyDescent="0.25">
      <c r="D14828" s="9"/>
    </row>
    <row r="14829" spans="4:4" x14ac:dyDescent="0.25">
      <c r="D14829" s="9"/>
    </row>
    <row r="14830" spans="4:4" x14ac:dyDescent="0.25">
      <c r="D14830" s="9"/>
    </row>
    <row r="14831" spans="4:4" x14ac:dyDescent="0.25">
      <c r="D14831" s="9"/>
    </row>
    <row r="14832" spans="4:4" x14ac:dyDescent="0.25">
      <c r="D14832" s="9"/>
    </row>
    <row r="14833" spans="4:4" x14ac:dyDescent="0.25">
      <c r="D14833" s="9"/>
    </row>
    <row r="14834" spans="4:4" x14ac:dyDescent="0.25">
      <c r="D14834" s="9"/>
    </row>
    <row r="14835" spans="4:4" x14ac:dyDescent="0.25">
      <c r="D14835" s="9"/>
    </row>
    <row r="14836" spans="4:4" x14ac:dyDescent="0.25">
      <c r="D14836" s="9"/>
    </row>
    <row r="14837" spans="4:4" x14ac:dyDescent="0.25">
      <c r="D14837" s="9"/>
    </row>
    <row r="14838" spans="4:4" x14ac:dyDescent="0.25">
      <c r="D14838" s="9"/>
    </row>
    <row r="14839" spans="4:4" x14ac:dyDescent="0.25">
      <c r="D14839" s="9"/>
    </row>
    <row r="14840" spans="4:4" x14ac:dyDescent="0.25">
      <c r="D14840" s="9"/>
    </row>
    <row r="14841" spans="4:4" x14ac:dyDescent="0.25">
      <c r="D14841" s="9"/>
    </row>
    <row r="14842" spans="4:4" x14ac:dyDescent="0.25">
      <c r="D14842" s="9"/>
    </row>
    <row r="14843" spans="4:4" x14ac:dyDescent="0.25">
      <c r="D14843" s="9"/>
    </row>
    <row r="14844" spans="4:4" x14ac:dyDescent="0.25">
      <c r="D14844" s="9"/>
    </row>
    <row r="14845" spans="4:4" x14ac:dyDescent="0.25">
      <c r="D14845" s="9"/>
    </row>
    <row r="14846" spans="4:4" x14ac:dyDescent="0.25">
      <c r="D14846" s="9"/>
    </row>
    <row r="14847" spans="4:4" x14ac:dyDescent="0.25">
      <c r="D14847" s="9"/>
    </row>
    <row r="14848" spans="4:4" x14ac:dyDescent="0.25">
      <c r="D14848" s="9"/>
    </row>
    <row r="14849" spans="4:4" x14ac:dyDescent="0.25">
      <c r="D14849" s="9"/>
    </row>
    <row r="14850" spans="4:4" x14ac:dyDescent="0.25">
      <c r="D14850" s="9"/>
    </row>
    <row r="14851" spans="4:4" x14ac:dyDescent="0.25">
      <c r="D14851" s="9"/>
    </row>
    <row r="14852" spans="4:4" x14ac:dyDescent="0.25">
      <c r="D14852" s="9"/>
    </row>
    <row r="14853" spans="4:4" x14ac:dyDescent="0.25">
      <c r="D14853" s="9"/>
    </row>
    <row r="14854" spans="4:4" x14ac:dyDescent="0.25">
      <c r="D14854" s="9"/>
    </row>
    <row r="14855" spans="4:4" x14ac:dyDescent="0.25">
      <c r="D14855" s="9"/>
    </row>
    <row r="14856" spans="4:4" x14ac:dyDescent="0.25">
      <c r="D14856" s="9"/>
    </row>
    <row r="14857" spans="4:4" x14ac:dyDescent="0.25">
      <c r="D14857" s="9"/>
    </row>
    <row r="14858" spans="4:4" x14ac:dyDescent="0.25">
      <c r="D14858" s="9"/>
    </row>
    <row r="14859" spans="4:4" x14ac:dyDescent="0.25">
      <c r="D14859" s="9"/>
    </row>
    <row r="14860" spans="4:4" x14ac:dyDescent="0.25">
      <c r="D14860" s="9"/>
    </row>
    <row r="14861" spans="4:4" x14ac:dyDescent="0.25">
      <c r="D14861" s="9"/>
    </row>
    <row r="14862" spans="4:4" x14ac:dyDescent="0.25">
      <c r="D14862" s="9"/>
    </row>
    <row r="14863" spans="4:4" x14ac:dyDescent="0.25">
      <c r="D14863" s="9"/>
    </row>
    <row r="14864" spans="4:4" x14ac:dyDescent="0.25">
      <c r="D14864" s="9"/>
    </row>
    <row r="14865" spans="4:4" x14ac:dyDescent="0.25">
      <c r="D14865" s="9"/>
    </row>
    <row r="14866" spans="4:4" x14ac:dyDescent="0.25">
      <c r="D14866" s="9"/>
    </row>
    <row r="14867" spans="4:4" x14ac:dyDescent="0.25">
      <c r="D14867" s="9"/>
    </row>
    <row r="14868" spans="4:4" x14ac:dyDescent="0.25">
      <c r="D14868" s="9"/>
    </row>
    <row r="14869" spans="4:4" x14ac:dyDescent="0.25">
      <c r="D14869" s="9"/>
    </row>
    <row r="14870" spans="4:4" x14ac:dyDescent="0.25">
      <c r="D14870" s="9"/>
    </row>
    <row r="14871" spans="4:4" x14ac:dyDescent="0.25">
      <c r="D14871" s="9"/>
    </row>
    <row r="14872" spans="4:4" x14ac:dyDescent="0.25">
      <c r="D14872" s="9"/>
    </row>
    <row r="14873" spans="4:4" x14ac:dyDescent="0.25">
      <c r="D14873" s="9"/>
    </row>
    <row r="14874" spans="4:4" x14ac:dyDescent="0.25">
      <c r="D14874" s="9"/>
    </row>
    <row r="14875" spans="4:4" x14ac:dyDescent="0.25">
      <c r="D14875" s="9"/>
    </row>
    <row r="14876" spans="4:4" x14ac:dyDescent="0.25">
      <c r="D14876" s="9"/>
    </row>
    <row r="14877" spans="4:4" x14ac:dyDescent="0.25">
      <c r="D14877" s="9"/>
    </row>
    <row r="14878" spans="4:4" x14ac:dyDescent="0.25">
      <c r="D14878" s="9"/>
    </row>
    <row r="14879" spans="4:4" x14ac:dyDescent="0.25">
      <c r="D14879" s="9"/>
    </row>
    <row r="14880" spans="4:4" x14ac:dyDescent="0.25">
      <c r="D14880" s="9"/>
    </row>
    <row r="14881" spans="4:4" x14ac:dyDescent="0.25">
      <c r="D14881" s="9"/>
    </row>
    <row r="14882" spans="4:4" x14ac:dyDescent="0.25">
      <c r="D14882" s="9"/>
    </row>
    <row r="14883" spans="4:4" x14ac:dyDescent="0.25">
      <c r="D14883" s="9"/>
    </row>
    <row r="14884" spans="4:4" x14ac:dyDescent="0.25">
      <c r="D14884" s="9"/>
    </row>
    <row r="14885" spans="4:4" x14ac:dyDescent="0.25">
      <c r="D14885" s="9"/>
    </row>
    <row r="14886" spans="4:4" x14ac:dyDescent="0.25">
      <c r="D14886" s="9"/>
    </row>
    <row r="14887" spans="4:4" x14ac:dyDescent="0.25">
      <c r="D14887" s="9"/>
    </row>
    <row r="14888" spans="4:4" x14ac:dyDescent="0.25">
      <c r="D14888" s="9"/>
    </row>
    <row r="14889" spans="4:4" x14ac:dyDescent="0.25">
      <c r="D14889" s="9"/>
    </row>
    <row r="14890" spans="4:4" x14ac:dyDescent="0.25">
      <c r="D14890" s="9"/>
    </row>
    <row r="14891" spans="4:4" x14ac:dyDescent="0.25">
      <c r="D14891" s="9"/>
    </row>
    <row r="14892" spans="4:4" x14ac:dyDescent="0.25">
      <c r="D14892" s="9"/>
    </row>
    <row r="14893" spans="4:4" x14ac:dyDescent="0.25">
      <c r="D14893" s="9"/>
    </row>
    <row r="14894" spans="4:4" x14ac:dyDescent="0.25">
      <c r="D14894" s="9"/>
    </row>
    <row r="14895" spans="4:4" x14ac:dyDescent="0.25">
      <c r="D14895" s="9"/>
    </row>
    <row r="14896" spans="4:4" x14ac:dyDescent="0.25">
      <c r="D14896" s="9"/>
    </row>
    <row r="14897" spans="4:4" x14ac:dyDescent="0.25">
      <c r="D14897" s="9"/>
    </row>
    <row r="14898" spans="4:4" x14ac:dyDescent="0.25">
      <c r="D14898" s="9"/>
    </row>
    <row r="14899" spans="4:4" x14ac:dyDescent="0.25">
      <c r="D14899" s="9"/>
    </row>
    <row r="14900" spans="4:4" x14ac:dyDescent="0.25">
      <c r="D14900" s="9"/>
    </row>
    <row r="14901" spans="4:4" x14ac:dyDescent="0.25">
      <c r="D14901" s="9"/>
    </row>
    <row r="14902" spans="4:4" x14ac:dyDescent="0.25">
      <c r="D14902" s="9"/>
    </row>
    <row r="14903" spans="4:4" x14ac:dyDescent="0.25">
      <c r="D14903" s="9"/>
    </row>
    <row r="14904" spans="4:4" x14ac:dyDescent="0.25">
      <c r="D14904" s="9"/>
    </row>
    <row r="14905" spans="4:4" x14ac:dyDescent="0.25">
      <c r="D14905" s="9"/>
    </row>
    <row r="14906" spans="4:4" x14ac:dyDescent="0.25">
      <c r="D14906" s="9"/>
    </row>
    <row r="14907" spans="4:4" x14ac:dyDescent="0.25">
      <c r="D14907" s="9"/>
    </row>
    <row r="14908" spans="4:4" x14ac:dyDescent="0.25">
      <c r="D14908" s="9"/>
    </row>
    <row r="14909" spans="4:4" x14ac:dyDescent="0.25">
      <c r="D14909" s="9"/>
    </row>
    <row r="14910" spans="4:4" x14ac:dyDescent="0.25">
      <c r="D14910" s="9"/>
    </row>
    <row r="14911" spans="4:4" x14ac:dyDescent="0.25">
      <c r="D14911" s="9"/>
    </row>
    <row r="14912" spans="4:4" x14ac:dyDescent="0.25">
      <c r="D14912" s="9"/>
    </row>
    <row r="14913" spans="4:4" x14ac:dyDescent="0.25">
      <c r="D14913" s="9"/>
    </row>
    <row r="14914" spans="4:4" x14ac:dyDescent="0.25">
      <c r="D14914" s="9"/>
    </row>
    <row r="14915" spans="4:4" x14ac:dyDescent="0.25">
      <c r="D14915" s="9"/>
    </row>
    <row r="14916" spans="4:4" x14ac:dyDescent="0.25">
      <c r="D14916" s="9"/>
    </row>
    <row r="14917" spans="4:4" x14ac:dyDescent="0.25">
      <c r="D14917" s="9"/>
    </row>
    <row r="14918" spans="4:4" x14ac:dyDescent="0.25">
      <c r="D14918" s="9"/>
    </row>
    <row r="14919" spans="4:4" x14ac:dyDescent="0.25">
      <c r="D14919" s="9"/>
    </row>
    <row r="14920" spans="4:4" x14ac:dyDescent="0.25">
      <c r="D14920" s="9"/>
    </row>
    <row r="14921" spans="4:4" x14ac:dyDescent="0.25">
      <c r="D14921" s="9"/>
    </row>
    <row r="14922" spans="4:4" x14ac:dyDescent="0.25">
      <c r="D14922" s="9"/>
    </row>
    <row r="14923" spans="4:4" x14ac:dyDescent="0.25">
      <c r="D14923" s="9"/>
    </row>
    <row r="14924" spans="4:4" x14ac:dyDescent="0.25">
      <c r="D14924" s="9"/>
    </row>
    <row r="14925" spans="4:4" x14ac:dyDescent="0.25">
      <c r="D14925" s="9"/>
    </row>
    <row r="14926" spans="4:4" x14ac:dyDescent="0.25">
      <c r="D14926" s="9"/>
    </row>
    <row r="14927" spans="4:4" x14ac:dyDescent="0.25">
      <c r="D14927" s="9"/>
    </row>
    <row r="14928" spans="4:4" x14ac:dyDescent="0.25">
      <c r="D14928" s="9"/>
    </row>
    <row r="14929" spans="4:4" x14ac:dyDescent="0.25">
      <c r="D14929" s="9"/>
    </row>
    <row r="14930" spans="4:4" x14ac:dyDescent="0.25">
      <c r="D14930" s="9"/>
    </row>
    <row r="14931" spans="4:4" x14ac:dyDescent="0.25">
      <c r="D14931" s="9"/>
    </row>
    <row r="14932" spans="4:4" x14ac:dyDescent="0.25">
      <c r="D14932" s="9"/>
    </row>
    <row r="14933" spans="4:4" x14ac:dyDescent="0.25">
      <c r="D14933" s="9"/>
    </row>
    <row r="14934" spans="4:4" x14ac:dyDescent="0.25">
      <c r="D14934" s="9"/>
    </row>
    <row r="14935" spans="4:4" x14ac:dyDescent="0.25">
      <c r="D14935" s="9"/>
    </row>
    <row r="14936" spans="4:4" x14ac:dyDescent="0.25">
      <c r="D14936" s="9"/>
    </row>
    <row r="14937" spans="4:4" x14ac:dyDescent="0.25">
      <c r="D14937" s="9"/>
    </row>
    <row r="14938" spans="4:4" x14ac:dyDescent="0.25">
      <c r="D14938" s="9"/>
    </row>
    <row r="14939" spans="4:4" x14ac:dyDescent="0.25">
      <c r="D14939" s="9"/>
    </row>
    <row r="14940" spans="4:4" x14ac:dyDescent="0.25">
      <c r="D14940" s="9"/>
    </row>
    <row r="14941" spans="4:4" x14ac:dyDescent="0.25">
      <c r="D14941" s="9"/>
    </row>
    <row r="14942" spans="4:4" x14ac:dyDescent="0.25">
      <c r="D14942" s="9"/>
    </row>
    <row r="14943" spans="4:4" x14ac:dyDescent="0.25">
      <c r="D14943" s="9"/>
    </row>
    <row r="14944" spans="4:4" x14ac:dyDescent="0.25">
      <c r="D14944" s="9"/>
    </row>
    <row r="14945" spans="4:4" x14ac:dyDescent="0.25">
      <c r="D14945" s="9"/>
    </row>
    <row r="14946" spans="4:4" x14ac:dyDescent="0.25">
      <c r="D14946" s="9"/>
    </row>
    <row r="14947" spans="4:4" x14ac:dyDescent="0.25">
      <c r="D14947" s="9"/>
    </row>
    <row r="14948" spans="4:4" x14ac:dyDescent="0.25">
      <c r="D14948" s="9"/>
    </row>
    <row r="14949" spans="4:4" x14ac:dyDescent="0.25">
      <c r="D14949" s="9"/>
    </row>
    <row r="14950" spans="4:4" x14ac:dyDescent="0.25">
      <c r="D14950" s="9"/>
    </row>
    <row r="14951" spans="4:4" x14ac:dyDescent="0.25">
      <c r="D14951" s="9"/>
    </row>
    <row r="14952" spans="4:4" x14ac:dyDescent="0.25">
      <c r="D14952" s="9"/>
    </row>
    <row r="14953" spans="4:4" x14ac:dyDescent="0.25">
      <c r="D14953" s="9"/>
    </row>
    <row r="14954" spans="4:4" x14ac:dyDescent="0.25">
      <c r="D14954" s="9"/>
    </row>
    <row r="14955" spans="4:4" x14ac:dyDescent="0.25">
      <c r="D14955" s="9"/>
    </row>
    <row r="14956" spans="4:4" x14ac:dyDescent="0.25">
      <c r="D14956" s="9"/>
    </row>
    <row r="14957" spans="4:4" x14ac:dyDescent="0.25">
      <c r="D14957" s="9"/>
    </row>
    <row r="14958" spans="4:4" x14ac:dyDescent="0.25">
      <c r="D14958" s="9"/>
    </row>
    <row r="14959" spans="4:4" x14ac:dyDescent="0.25">
      <c r="D14959" s="9"/>
    </row>
    <row r="14960" spans="4:4" x14ac:dyDescent="0.25">
      <c r="D14960" s="9"/>
    </row>
    <row r="14961" spans="4:4" x14ac:dyDescent="0.25">
      <c r="D14961" s="9"/>
    </row>
    <row r="14962" spans="4:4" x14ac:dyDescent="0.25">
      <c r="D14962" s="9"/>
    </row>
    <row r="14963" spans="4:4" x14ac:dyDescent="0.25">
      <c r="D14963" s="9"/>
    </row>
    <row r="14964" spans="4:4" x14ac:dyDescent="0.25">
      <c r="D14964" s="9"/>
    </row>
    <row r="14965" spans="4:4" x14ac:dyDescent="0.25">
      <c r="D14965" s="9"/>
    </row>
    <row r="14966" spans="4:4" x14ac:dyDescent="0.25">
      <c r="D14966" s="9"/>
    </row>
    <row r="14967" spans="4:4" x14ac:dyDescent="0.25">
      <c r="D14967" s="9"/>
    </row>
    <row r="14968" spans="4:4" x14ac:dyDescent="0.25">
      <c r="D14968" s="9"/>
    </row>
    <row r="14969" spans="4:4" x14ac:dyDescent="0.25">
      <c r="D14969" s="9"/>
    </row>
    <row r="14970" spans="4:4" x14ac:dyDescent="0.25">
      <c r="D14970" s="9"/>
    </row>
    <row r="14971" spans="4:4" x14ac:dyDescent="0.25">
      <c r="D14971" s="9"/>
    </row>
    <row r="14972" spans="4:4" x14ac:dyDescent="0.25">
      <c r="D14972" s="9"/>
    </row>
    <row r="14973" spans="4:4" x14ac:dyDescent="0.25">
      <c r="D14973" s="9"/>
    </row>
    <row r="14974" spans="4:4" x14ac:dyDescent="0.25">
      <c r="D14974" s="9"/>
    </row>
    <row r="14975" spans="4:4" x14ac:dyDescent="0.25">
      <c r="D14975" s="9"/>
    </row>
    <row r="14976" spans="4:4" x14ac:dyDescent="0.25">
      <c r="D14976" s="9"/>
    </row>
    <row r="14977" spans="4:4" x14ac:dyDescent="0.25">
      <c r="D14977" s="9"/>
    </row>
    <row r="14978" spans="4:4" x14ac:dyDescent="0.25">
      <c r="D14978" s="9"/>
    </row>
    <row r="14979" spans="4:4" x14ac:dyDescent="0.25">
      <c r="D14979" s="9"/>
    </row>
    <row r="14980" spans="4:4" x14ac:dyDescent="0.25">
      <c r="D14980" s="9"/>
    </row>
    <row r="14981" spans="4:4" x14ac:dyDescent="0.25">
      <c r="D14981" s="9"/>
    </row>
    <row r="14982" spans="4:4" x14ac:dyDescent="0.25">
      <c r="D14982" s="9"/>
    </row>
    <row r="14983" spans="4:4" x14ac:dyDescent="0.25">
      <c r="D14983" s="9"/>
    </row>
    <row r="14984" spans="4:4" x14ac:dyDescent="0.25">
      <c r="D14984" s="9"/>
    </row>
    <row r="14985" spans="4:4" x14ac:dyDescent="0.25">
      <c r="D14985" s="9"/>
    </row>
    <row r="14986" spans="4:4" x14ac:dyDescent="0.25">
      <c r="D14986" s="9"/>
    </row>
    <row r="14987" spans="4:4" x14ac:dyDescent="0.25">
      <c r="D14987" s="9"/>
    </row>
    <row r="14988" spans="4:4" x14ac:dyDescent="0.25">
      <c r="D14988" s="9"/>
    </row>
    <row r="14989" spans="4:4" x14ac:dyDescent="0.25">
      <c r="D14989" s="9"/>
    </row>
    <row r="14990" spans="4:4" x14ac:dyDescent="0.25">
      <c r="D14990" s="9"/>
    </row>
    <row r="14991" spans="4:4" x14ac:dyDescent="0.25">
      <c r="D14991" s="9"/>
    </row>
    <row r="14992" spans="4:4" x14ac:dyDescent="0.25">
      <c r="D14992" s="9"/>
    </row>
    <row r="14993" spans="4:4" x14ac:dyDescent="0.25">
      <c r="D14993" s="9"/>
    </row>
    <row r="14994" spans="4:4" x14ac:dyDescent="0.25">
      <c r="D14994" s="9"/>
    </row>
    <row r="14995" spans="4:4" x14ac:dyDescent="0.25">
      <c r="D14995" s="9"/>
    </row>
    <row r="14996" spans="4:4" x14ac:dyDescent="0.25">
      <c r="D14996" s="9"/>
    </row>
    <row r="14997" spans="4:4" x14ac:dyDescent="0.25">
      <c r="D14997" s="9"/>
    </row>
    <row r="14998" spans="4:4" x14ac:dyDescent="0.25">
      <c r="D14998" s="9"/>
    </row>
    <row r="14999" spans="4:4" x14ac:dyDescent="0.25">
      <c r="D14999" s="9"/>
    </row>
    <row r="15000" spans="4:4" x14ac:dyDescent="0.25">
      <c r="D15000" s="9"/>
    </row>
    <row r="15001" spans="4:4" x14ac:dyDescent="0.25">
      <c r="D15001" s="9"/>
    </row>
    <row r="15002" spans="4:4" x14ac:dyDescent="0.25">
      <c r="D15002" s="9"/>
    </row>
    <row r="15003" spans="4:4" x14ac:dyDescent="0.25">
      <c r="D15003" s="9"/>
    </row>
    <row r="15004" spans="4:4" x14ac:dyDescent="0.25">
      <c r="D15004" s="9"/>
    </row>
    <row r="15005" spans="4:4" x14ac:dyDescent="0.25">
      <c r="D15005" s="9"/>
    </row>
    <row r="15006" spans="4:4" x14ac:dyDescent="0.25">
      <c r="D15006" s="9"/>
    </row>
    <row r="15007" spans="4:4" x14ac:dyDescent="0.25">
      <c r="D15007" s="9"/>
    </row>
    <row r="15008" spans="4:4" x14ac:dyDescent="0.25">
      <c r="D15008" s="9"/>
    </row>
    <row r="15009" spans="4:4" x14ac:dyDescent="0.25">
      <c r="D15009" s="9"/>
    </row>
    <row r="15010" spans="4:4" x14ac:dyDescent="0.25">
      <c r="D15010" s="9"/>
    </row>
    <row r="15011" spans="4:4" x14ac:dyDescent="0.25">
      <c r="D15011" s="9"/>
    </row>
    <row r="15012" spans="4:4" x14ac:dyDescent="0.25">
      <c r="D15012" s="9"/>
    </row>
    <row r="15013" spans="4:4" x14ac:dyDescent="0.25">
      <c r="D15013" s="9"/>
    </row>
    <row r="15014" spans="4:4" x14ac:dyDescent="0.25">
      <c r="D15014" s="9"/>
    </row>
    <row r="15015" spans="4:4" x14ac:dyDescent="0.25">
      <c r="D15015" s="9"/>
    </row>
    <row r="15016" spans="4:4" x14ac:dyDescent="0.25">
      <c r="D15016" s="9"/>
    </row>
    <row r="15017" spans="4:4" x14ac:dyDescent="0.25">
      <c r="D15017" s="9"/>
    </row>
    <row r="15018" spans="4:4" x14ac:dyDescent="0.25">
      <c r="D15018" s="9"/>
    </row>
    <row r="15019" spans="4:4" x14ac:dyDescent="0.25">
      <c r="D15019" s="9"/>
    </row>
    <row r="15020" spans="4:4" x14ac:dyDescent="0.25">
      <c r="D15020" s="9"/>
    </row>
    <row r="15021" spans="4:4" x14ac:dyDescent="0.25">
      <c r="D15021" s="9"/>
    </row>
    <row r="15022" spans="4:4" x14ac:dyDescent="0.25">
      <c r="D15022" s="9"/>
    </row>
    <row r="15023" spans="4:4" x14ac:dyDescent="0.25">
      <c r="D15023" s="9"/>
    </row>
    <row r="15024" spans="4:4" x14ac:dyDescent="0.25">
      <c r="D15024" s="9"/>
    </row>
    <row r="15025" spans="4:4" x14ac:dyDescent="0.25">
      <c r="D15025" s="9"/>
    </row>
    <row r="15026" spans="4:4" x14ac:dyDescent="0.25">
      <c r="D15026" s="9"/>
    </row>
    <row r="15027" spans="4:4" x14ac:dyDescent="0.25">
      <c r="D15027" s="9"/>
    </row>
    <row r="15028" spans="4:4" x14ac:dyDescent="0.25">
      <c r="D15028" s="9"/>
    </row>
    <row r="15029" spans="4:4" x14ac:dyDescent="0.25">
      <c r="D15029" s="9"/>
    </row>
    <row r="15030" spans="4:4" x14ac:dyDescent="0.25">
      <c r="D15030" s="9"/>
    </row>
    <row r="15031" spans="4:4" x14ac:dyDescent="0.25">
      <c r="D15031" s="9"/>
    </row>
    <row r="15032" spans="4:4" x14ac:dyDescent="0.25">
      <c r="D15032" s="9"/>
    </row>
    <row r="15033" spans="4:4" x14ac:dyDescent="0.25">
      <c r="D15033" s="9"/>
    </row>
    <row r="15034" spans="4:4" x14ac:dyDescent="0.25">
      <c r="D15034" s="9"/>
    </row>
    <row r="15035" spans="4:4" x14ac:dyDescent="0.25">
      <c r="D15035" s="9"/>
    </row>
    <row r="15036" spans="4:4" x14ac:dyDescent="0.25">
      <c r="D15036" s="9"/>
    </row>
    <row r="15037" spans="4:4" x14ac:dyDescent="0.25">
      <c r="D15037" s="9"/>
    </row>
    <row r="15038" spans="4:4" x14ac:dyDescent="0.25">
      <c r="D15038" s="9"/>
    </row>
    <row r="15039" spans="4:4" x14ac:dyDescent="0.25">
      <c r="D15039" s="9"/>
    </row>
    <row r="15040" spans="4:4" x14ac:dyDescent="0.25">
      <c r="D15040" s="9"/>
    </row>
    <row r="15041" spans="4:4" x14ac:dyDescent="0.25">
      <c r="D15041" s="9"/>
    </row>
    <row r="15042" spans="4:4" x14ac:dyDescent="0.25">
      <c r="D15042" s="9"/>
    </row>
    <row r="15043" spans="4:4" x14ac:dyDescent="0.25">
      <c r="D15043" s="9"/>
    </row>
    <row r="15044" spans="4:4" x14ac:dyDescent="0.25">
      <c r="D15044" s="9"/>
    </row>
    <row r="15045" spans="4:4" x14ac:dyDescent="0.25">
      <c r="D15045" s="9"/>
    </row>
    <row r="15046" spans="4:4" x14ac:dyDescent="0.25">
      <c r="D15046" s="9"/>
    </row>
    <row r="15047" spans="4:4" x14ac:dyDescent="0.25">
      <c r="D15047" s="9"/>
    </row>
    <row r="15048" spans="4:4" x14ac:dyDescent="0.25">
      <c r="D15048" s="9"/>
    </row>
    <row r="15049" spans="4:4" x14ac:dyDescent="0.25">
      <c r="D15049" s="9"/>
    </row>
    <row r="15050" spans="4:4" x14ac:dyDescent="0.25">
      <c r="D15050" s="9"/>
    </row>
    <row r="15051" spans="4:4" x14ac:dyDescent="0.25">
      <c r="D15051" s="9"/>
    </row>
    <row r="15052" spans="4:4" x14ac:dyDescent="0.25">
      <c r="D15052" s="9"/>
    </row>
    <row r="15053" spans="4:4" x14ac:dyDescent="0.25">
      <c r="D15053" s="9"/>
    </row>
    <row r="15054" spans="4:4" x14ac:dyDescent="0.25">
      <c r="D15054" s="9"/>
    </row>
    <row r="15055" spans="4:4" x14ac:dyDescent="0.25">
      <c r="D15055" s="9"/>
    </row>
    <row r="15056" spans="4:4" x14ac:dyDescent="0.25">
      <c r="D15056" s="9"/>
    </row>
    <row r="15057" spans="4:4" x14ac:dyDescent="0.25">
      <c r="D15057" s="9"/>
    </row>
    <row r="15058" spans="4:4" x14ac:dyDescent="0.25">
      <c r="D15058" s="9"/>
    </row>
    <row r="15059" spans="4:4" x14ac:dyDescent="0.25">
      <c r="D15059" s="9"/>
    </row>
    <row r="15060" spans="4:4" x14ac:dyDescent="0.25">
      <c r="D15060" s="9"/>
    </row>
    <row r="15061" spans="4:4" x14ac:dyDescent="0.25">
      <c r="D15061" s="9"/>
    </row>
    <row r="15062" spans="4:4" x14ac:dyDescent="0.25">
      <c r="D15062" s="9"/>
    </row>
    <row r="15063" spans="4:4" x14ac:dyDescent="0.25">
      <c r="D15063" s="9"/>
    </row>
    <row r="15064" spans="4:4" x14ac:dyDescent="0.25">
      <c r="D15064" s="9"/>
    </row>
    <row r="15065" spans="4:4" x14ac:dyDescent="0.25">
      <c r="D15065" s="9"/>
    </row>
    <row r="15066" spans="4:4" x14ac:dyDescent="0.25">
      <c r="D15066" s="9"/>
    </row>
    <row r="15067" spans="4:4" x14ac:dyDescent="0.25">
      <c r="D15067" s="9"/>
    </row>
    <row r="15068" spans="4:4" x14ac:dyDescent="0.25">
      <c r="D15068" s="9"/>
    </row>
    <row r="15069" spans="4:4" x14ac:dyDescent="0.25">
      <c r="D15069" s="9"/>
    </row>
    <row r="15070" spans="4:4" x14ac:dyDescent="0.25">
      <c r="D15070" s="9"/>
    </row>
    <row r="15071" spans="4:4" x14ac:dyDescent="0.25">
      <c r="D15071" s="9"/>
    </row>
    <row r="15072" spans="4:4" x14ac:dyDescent="0.25">
      <c r="D15072" s="9"/>
    </row>
    <row r="15073" spans="4:4" x14ac:dyDescent="0.25">
      <c r="D15073" s="9"/>
    </row>
    <row r="15074" spans="4:4" x14ac:dyDescent="0.25">
      <c r="D15074" s="9"/>
    </row>
    <row r="15075" spans="4:4" x14ac:dyDescent="0.25">
      <c r="D15075" s="9"/>
    </row>
    <row r="15076" spans="4:4" x14ac:dyDescent="0.25">
      <c r="D15076" s="9"/>
    </row>
    <row r="15077" spans="4:4" x14ac:dyDescent="0.25">
      <c r="D15077" s="9"/>
    </row>
    <row r="15078" spans="4:4" x14ac:dyDescent="0.25">
      <c r="D15078" s="9"/>
    </row>
    <row r="15079" spans="4:4" x14ac:dyDescent="0.25">
      <c r="D15079" s="9"/>
    </row>
    <row r="15080" spans="4:4" x14ac:dyDescent="0.25">
      <c r="D15080" s="9"/>
    </row>
    <row r="15081" spans="4:4" x14ac:dyDescent="0.25">
      <c r="D15081" s="9"/>
    </row>
    <row r="15082" spans="4:4" x14ac:dyDescent="0.25">
      <c r="D15082" s="9"/>
    </row>
    <row r="15083" spans="4:4" x14ac:dyDescent="0.25">
      <c r="D15083" s="9"/>
    </row>
    <row r="15084" spans="4:4" x14ac:dyDescent="0.25">
      <c r="D15084" s="9"/>
    </row>
    <row r="15085" spans="4:4" x14ac:dyDescent="0.25">
      <c r="D15085" s="9"/>
    </row>
    <row r="15086" spans="4:4" x14ac:dyDescent="0.25">
      <c r="D15086" s="9"/>
    </row>
    <row r="15087" spans="4:4" x14ac:dyDescent="0.25">
      <c r="D15087" s="9"/>
    </row>
    <row r="15088" spans="4:4" x14ac:dyDescent="0.25">
      <c r="D15088" s="9"/>
    </row>
    <row r="15089" spans="4:4" x14ac:dyDescent="0.25">
      <c r="D15089" s="9"/>
    </row>
    <row r="15090" spans="4:4" x14ac:dyDescent="0.25">
      <c r="D15090" s="9"/>
    </row>
    <row r="15091" spans="4:4" x14ac:dyDescent="0.25">
      <c r="D15091" s="9"/>
    </row>
    <row r="15092" spans="4:4" x14ac:dyDescent="0.25">
      <c r="D15092" s="9"/>
    </row>
    <row r="15093" spans="4:4" x14ac:dyDescent="0.25">
      <c r="D15093" s="9"/>
    </row>
    <row r="15094" spans="4:4" x14ac:dyDescent="0.25">
      <c r="D15094" s="9"/>
    </row>
    <row r="15095" spans="4:4" x14ac:dyDescent="0.25">
      <c r="D15095" s="9"/>
    </row>
    <row r="15096" spans="4:4" x14ac:dyDescent="0.25">
      <c r="D15096" s="9"/>
    </row>
    <row r="15097" spans="4:4" x14ac:dyDescent="0.25">
      <c r="D15097" s="9"/>
    </row>
    <row r="15098" spans="4:4" x14ac:dyDescent="0.25">
      <c r="D15098" s="9"/>
    </row>
    <row r="15099" spans="4:4" x14ac:dyDescent="0.25">
      <c r="D15099" s="9"/>
    </row>
    <row r="15100" spans="4:4" x14ac:dyDescent="0.25">
      <c r="D15100" s="9"/>
    </row>
    <row r="15101" spans="4:4" x14ac:dyDescent="0.25">
      <c r="D15101" s="9"/>
    </row>
    <row r="15102" spans="4:4" x14ac:dyDescent="0.25">
      <c r="D15102" s="9"/>
    </row>
    <row r="15103" spans="4:4" x14ac:dyDescent="0.25">
      <c r="D15103" s="9"/>
    </row>
    <row r="15104" spans="4:4" x14ac:dyDescent="0.25">
      <c r="D15104" s="9"/>
    </row>
    <row r="15105" spans="4:4" x14ac:dyDescent="0.25">
      <c r="D15105" s="9"/>
    </row>
    <row r="15106" spans="4:4" x14ac:dyDescent="0.25">
      <c r="D15106" s="9"/>
    </row>
    <row r="15107" spans="4:4" x14ac:dyDescent="0.25">
      <c r="D15107" s="9"/>
    </row>
    <row r="15108" spans="4:4" x14ac:dyDescent="0.25">
      <c r="D15108" s="9"/>
    </row>
    <row r="15109" spans="4:4" x14ac:dyDescent="0.25">
      <c r="D15109" s="9"/>
    </row>
    <row r="15110" spans="4:4" x14ac:dyDescent="0.25">
      <c r="D15110" s="9"/>
    </row>
    <row r="15111" spans="4:4" x14ac:dyDescent="0.25">
      <c r="D15111" s="9"/>
    </row>
    <row r="15112" spans="4:4" x14ac:dyDescent="0.25">
      <c r="D15112" s="9"/>
    </row>
    <row r="15113" spans="4:4" x14ac:dyDescent="0.25">
      <c r="D15113" s="9"/>
    </row>
    <row r="15114" spans="4:4" x14ac:dyDescent="0.25">
      <c r="D15114" s="9"/>
    </row>
    <row r="15115" spans="4:4" x14ac:dyDescent="0.25">
      <c r="D15115" s="9"/>
    </row>
    <row r="15116" spans="4:4" x14ac:dyDescent="0.25">
      <c r="D15116" s="9"/>
    </row>
    <row r="15117" spans="4:4" x14ac:dyDescent="0.25">
      <c r="D15117" s="9"/>
    </row>
    <row r="15118" spans="4:4" x14ac:dyDescent="0.25">
      <c r="D15118" s="9"/>
    </row>
    <row r="15119" spans="4:4" x14ac:dyDescent="0.25">
      <c r="D15119" s="9"/>
    </row>
    <row r="15120" spans="4:4" x14ac:dyDescent="0.25">
      <c r="D15120" s="9"/>
    </row>
    <row r="15121" spans="4:4" x14ac:dyDescent="0.25">
      <c r="D15121" s="9"/>
    </row>
    <row r="15122" spans="4:4" x14ac:dyDescent="0.25">
      <c r="D15122" s="9"/>
    </row>
    <row r="15123" spans="4:4" x14ac:dyDescent="0.25">
      <c r="D15123" s="9"/>
    </row>
    <row r="15124" spans="4:4" x14ac:dyDescent="0.25">
      <c r="D15124" s="9"/>
    </row>
    <row r="15125" spans="4:4" x14ac:dyDescent="0.25">
      <c r="D15125" s="9"/>
    </row>
    <row r="15126" spans="4:4" x14ac:dyDescent="0.25">
      <c r="D15126" s="9"/>
    </row>
    <row r="15127" spans="4:4" x14ac:dyDescent="0.25">
      <c r="D15127" s="9"/>
    </row>
    <row r="15128" spans="4:4" x14ac:dyDescent="0.25">
      <c r="D15128" s="9"/>
    </row>
    <row r="15129" spans="4:4" x14ac:dyDescent="0.25">
      <c r="D15129" s="9"/>
    </row>
    <row r="15130" spans="4:4" x14ac:dyDescent="0.25">
      <c r="D15130" s="9"/>
    </row>
    <row r="15131" spans="4:4" x14ac:dyDescent="0.25">
      <c r="D15131" s="9"/>
    </row>
    <row r="15132" spans="4:4" x14ac:dyDescent="0.25">
      <c r="D15132" s="9"/>
    </row>
    <row r="15133" spans="4:4" x14ac:dyDescent="0.25">
      <c r="D15133" s="9"/>
    </row>
    <row r="15134" spans="4:4" x14ac:dyDescent="0.25">
      <c r="D15134" s="9"/>
    </row>
    <row r="15135" spans="4:4" x14ac:dyDescent="0.25">
      <c r="D15135" s="9"/>
    </row>
    <row r="15136" spans="4:4" x14ac:dyDescent="0.25">
      <c r="D15136" s="9"/>
    </row>
    <row r="15137" spans="4:4" x14ac:dyDescent="0.25">
      <c r="D15137" s="9"/>
    </row>
    <row r="15138" spans="4:4" x14ac:dyDescent="0.25">
      <c r="D15138" s="9"/>
    </row>
    <row r="15139" spans="4:4" x14ac:dyDescent="0.25">
      <c r="D15139" s="9"/>
    </row>
    <row r="15140" spans="4:4" x14ac:dyDescent="0.25">
      <c r="D15140" s="9"/>
    </row>
    <row r="15141" spans="4:4" x14ac:dyDescent="0.25">
      <c r="D15141" s="9"/>
    </row>
    <row r="15142" spans="4:4" x14ac:dyDescent="0.25">
      <c r="D15142" s="9"/>
    </row>
    <row r="15143" spans="4:4" x14ac:dyDescent="0.25">
      <c r="D15143" s="9"/>
    </row>
    <row r="15144" spans="4:4" x14ac:dyDescent="0.25">
      <c r="D15144" s="9"/>
    </row>
    <row r="15145" spans="4:4" x14ac:dyDescent="0.25">
      <c r="D15145" s="9"/>
    </row>
    <row r="15146" spans="4:4" x14ac:dyDescent="0.25">
      <c r="D15146" s="9"/>
    </row>
    <row r="15147" spans="4:4" x14ac:dyDescent="0.25">
      <c r="D15147" s="9"/>
    </row>
    <row r="15148" spans="4:4" x14ac:dyDescent="0.25">
      <c r="D15148" s="9"/>
    </row>
    <row r="15149" spans="4:4" x14ac:dyDescent="0.25">
      <c r="D15149" s="9"/>
    </row>
    <row r="15150" spans="4:4" x14ac:dyDescent="0.25">
      <c r="D15150" s="9"/>
    </row>
    <row r="15151" spans="4:4" x14ac:dyDescent="0.25">
      <c r="D15151" s="9"/>
    </row>
    <row r="15152" spans="4:4" x14ac:dyDescent="0.25">
      <c r="D15152" s="9"/>
    </row>
    <row r="15153" spans="4:4" x14ac:dyDescent="0.25">
      <c r="D15153" s="9"/>
    </row>
    <row r="15154" spans="4:4" x14ac:dyDescent="0.25">
      <c r="D15154" s="9"/>
    </row>
    <row r="15155" spans="4:4" x14ac:dyDescent="0.25">
      <c r="D15155" s="9"/>
    </row>
    <row r="15156" spans="4:4" x14ac:dyDescent="0.25">
      <c r="D15156" s="9"/>
    </row>
    <row r="15157" spans="4:4" x14ac:dyDescent="0.25">
      <c r="D15157" s="9"/>
    </row>
    <row r="15158" spans="4:4" x14ac:dyDescent="0.25">
      <c r="D15158" s="9"/>
    </row>
    <row r="15159" spans="4:4" x14ac:dyDescent="0.25">
      <c r="D15159" s="9"/>
    </row>
    <row r="15160" spans="4:4" x14ac:dyDescent="0.25">
      <c r="D15160" s="9"/>
    </row>
    <row r="15161" spans="4:4" x14ac:dyDescent="0.25">
      <c r="D15161" s="9"/>
    </row>
    <row r="15162" spans="4:4" x14ac:dyDescent="0.25">
      <c r="D15162" s="9"/>
    </row>
    <row r="15163" spans="4:4" x14ac:dyDescent="0.25">
      <c r="D15163" s="9"/>
    </row>
    <row r="15164" spans="4:4" x14ac:dyDescent="0.25">
      <c r="D15164" s="9"/>
    </row>
    <row r="15165" spans="4:4" x14ac:dyDescent="0.25">
      <c r="D15165" s="9"/>
    </row>
    <row r="15166" spans="4:4" x14ac:dyDescent="0.25">
      <c r="D15166" s="9"/>
    </row>
    <row r="15167" spans="4:4" x14ac:dyDescent="0.25">
      <c r="D15167" s="9"/>
    </row>
    <row r="15168" spans="4:4" x14ac:dyDescent="0.25">
      <c r="D15168" s="9"/>
    </row>
    <row r="15169" spans="4:4" x14ac:dyDescent="0.25">
      <c r="D15169" s="9"/>
    </row>
    <row r="15170" spans="4:4" x14ac:dyDescent="0.25">
      <c r="D15170" s="9"/>
    </row>
    <row r="15171" spans="4:4" x14ac:dyDescent="0.25">
      <c r="D15171" s="9"/>
    </row>
    <row r="15172" spans="4:4" x14ac:dyDescent="0.25">
      <c r="D15172" s="9"/>
    </row>
    <row r="15173" spans="4:4" x14ac:dyDescent="0.25">
      <c r="D15173" s="9"/>
    </row>
    <row r="15174" spans="4:4" x14ac:dyDescent="0.25">
      <c r="D15174" s="9"/>
    </row>
    <row r="15175" spans="4:4" x14ac:dyDescent="0.25">
      <c r="D15175" s="9"/>
    </row>
    <row r="15176" spans="4:4" x14ac:dyDescent="0.25">
      <c r="D15176" s="9"/>
    </row>
    <row r="15177" spans="4:4" x14ac:dyDescent="0.25">
      <c r="D15177" s="9"/>
    </row>
    <row r="15178" spans="4:4" x14ac:dyDescent="0.25">
      <c r="D15178" s="9"/>
    </row>
    <row r="15179" spans="4:4" x14ac:dyDescent="0.25">
      <c r="D15179" s="9"/>
    </row>
    <row r="15180" spans="4:4" x14ac:dyDescent="0.25">
      <c r="D15180" s="9"/>
    </row>
    <row r="15181" spans="4:4" x14ac:dyDescent="0.25">
      <c r="D15181" s="9"/>
    </row>
    <row r="15182" spans="4:4" x14ac:dyDescent="0.25">
      <c r="D15182" s="9"/>
    </row>
    <row r="15183" spans="4:4" x14ac:dyDescent="0.25">
      <c r="D15183" s="9"/>
    </row>
    <row r="15184" spans="4:4" x14ac:dyDescent="0.25">
      <c r="D15184" s="9"/>
    </row>
    <row r="15185" spans="4:4" x14ac:dyDescent="0.25">
      <c r="D15185" s="9"/>
    </row>
    <row r="15186" spans="4:4" x14ac:dyDescent="0.25">
      <c r="D15186" s="9"/>
    </row>
    <row r="15187" spans="4:4" x14ac:dyDescent="0.25">
      <c r="D15187" s="9"/>
    </row>
    <row r="15188" spans="4:4" x14ac:dyDescent="0.25">
      <c r="D15188" s="9"/>
    </row>
    <row r="15189" spans="4:4" x14ac:dyDescent="0.25">
      <c r="D15189" s="9"/>
    </row>
    <row r="15190" spans="4:4" x14ac:dyDescent="0.25">
      <c r="D15190" s="9"/>
    </row>
    <row r="15191" spans="4:4" x14ac:dyDescent="0.25">
      <c r="D15191" s="9"/>
    </row>
    <row r="15192" spans="4:4" x14ac:dyDescent="0.25">
      <c r="D15192" s="9"/>
    </row>
    <row r="15193" spans="4:4" x14ac:dyDescent="0.25">
      <c r="D15193" s="9"/>
    </row>
    <row r="15194" spans="4:4" x14ac:dyDescent="0.25">
      <c r="D15194" s="9"/>
    </row>
    <row r="15195" spans="4:4" x14ac:dyDescent="0.25">
      <c r="D15195" s="9"/>
    </row>
    <row r="15196" spans="4:4" x14ac:dyDescent="0.25">
      <c r="D15196" s="9"/>
    </row>
    <row r="15197" spans="4:4" x14ac:dyDescent="0.25">
      <c r="D15197" s="9"/>
    </row>
    <row r="15198" spans="4:4" x14ac:dyDescent="0.25">
      <c r="D15198" s="9"/>
    </row>
    <row r="15199" spans="4:4" x14ac:dyDescent="0.25">
      <c r="D15199" s="9"/>
    </row>
    <row r="15200" spans="4:4" x14ac:dyDescent="0.25">
      <c r="D15200" s="9"/>
    </row>
    <row r="15201" spans="4:4" x14ac:dyDescent="0.25">
      <c r="D15201" s="9"/>
    </row>
    <row r="15202" spans="4:4" x14ac:dyDescent="0.25">
      <c r="D15202" s="9"/>
    </row>
    <row r="15203" spans="4:4" x14ac:dyDescent="0.25">
      <c r="D15203" s="9"/>
    </row>
    <row r="15204" spans="4:4" x14ac:dyDescent="0.25">
      <c r="D15204" s="9"/>
    </row>
    <row r="15205" spans="4:4" x14ac:dyDescent="0.25">
      <c r="D15205" s="9"/>
    </row>
    <row r="15206" spans="4:4" x14ac:dyDescent="0.25">
      <c r="D15206" s="9"/>
    </row>
    <row r="15207" spans="4:4" x14ac:dyDescent="0.25">
      <c r="D15207" s="9"/>
    </row>
    <row r="15208" spans="4:4" x14ac:dyDescent="0.25">
      <c r="D15208" s="9"/>
    </row>
    <row r="15209" spans="4:4" x14ac:dyDescent="0.25">
      <c r="D15209" s="9"/>
    </row>
    <row r="15210" spans="4:4" x14ac:dyDescent="0.25">
      <c r="D15210" s="9"/>
    </row>
    <row r="15211" spans="4:4" x14ac:dyDescent="0.25">
      <c r="D15211" s="9"/>
    </row>
    <row r="15212" spans="4:4" x14ac:dyDescent="0.25">
      <c r="D15212" s="9"/>
    </row>
    <row r="15213" spans="4:4" x14ac:dyDescent="0.25">
      <c r="D15213" s="9"/>
    </row>
    <row r="15214" spans="4:4" x14ac:dyDescent="0.25">
      <c r="D15214" s="9"/>
    </row>
    <row r="15215" spans="4:4" x14ac:dyDescent="0.25">
      <c r="D15215" s="9"/>
    </row>
    <row r="15216" spans="4:4" x14ac:dyDescent="0.25">
      <c r="D15216" s="9"/>
    </row>
    <row r="15217" spans="4:4" x14ac:dyDescent="0.25">
      <c r="D15217" s="9"/>
    </row>
    <row r="15218" spans="4:4" x14ac:dyDescent="0.25">
      <c r="D15218" s="9"/>
    </row>
    <row r="15219" spans="4:4" x14ac:dyDescent="0.25">
      <c r="D15219" s="9"/>
    </row>
    <row r="15220" spans="4:4" x14ac:dyDescent="0.25">
      <c r="D15220" s="9"/>
    </row>
    <row r="15221" spans="4:4" x14ac:dyDescent="0.25">
      <c r="D15221" s="9"/>
    </row>
    <row r="15222" spans="4:4" x14ac:dyDescent="0.25">
      <c r="D15222" s="9"/>
    </row>
    <row r="15223" spans="4:4" x14ac:dyDescent="0.25">
      <c r="D15223" s="9"/>
    </row>
    <row r="15224" spans="4:4" x14ac:dyDescent="0.25">
      <c r="D15224" s="9"/>
    </row>
    <row r="15225" spans="4:4" x14ac:dyDescent="0.25">
      <c r="D15225" s="9"/>
    </row>
    <row r="15226" spans="4:4" x14ac:dyDescent="0.25">
      <c r="D15226" s="9"/>
    </row>
    <row r="15227" spans="4:4" x14ac:dyDescent="0.25">
      <c r="D15227" s="9"/>
    </row>
    <row r="15228" spans="4:4" x14ac:dyDescent="0.25">
      <c r="D15228" s="9"/>
    </row>
    <row r="15229" spans="4:4" x14ac:dyDescent="0.25">
      <c r="D15229" s="9"/>
    </row>
    <row r="15230" spans="4:4" x14ac:dyDescent="0.25">
      <c r="D15230" s="9"/>
    </row>
    <row r="15231" spans="4:4" x14ac:dyDescent="0.25">
      <c r="D15231" s="9"/>
    </row>
    <row r="15232" spans="4:4" x14ac:dyDescent="0.25">
      <c r="D15232" s="9"/>
    </row>
    <row r="15233" spans="4:4" x14ac:dyDescent="0.25">
      <c r="D15233" s="9"/>
    </row>
    <row r="15234" spans="4:4" x14ac:dyDescent="0.25">
      <c r="D15234" s="9"/>
    </row>
    <row r="15235" spans="4:4" x14ac:dyDescent="0.25">
      <c r="D15235" s="9"/>
    </row>
    <row r="15236" spans="4:4" x14ac:dyDescent="0.25">
      <c r="D15236" s="9"/>
    </row>
    <row r="15237" spans="4:4" x14ac:dyDescent="0.25">
      <c r="D15237" s="9"/>
    </row>
    <row r="15238" spans="4:4" x14ac:dyDescent="0.25">
      <c r="D15238" s="9"/>
    </row>
    <row r="15239" spans="4:4" x14ac:dyDescent="0.25">
      <c r="D15239" s="9"/>
    </row>
    <row r="15240" spans="4:4" x14ac:dyDescent="0.25">
      <c r="D15240" s="9"/>
    </row>
    <row r="15241" spans="4:4" x14ac:dyDescent="0.25">
      <c r="D15241" s="9"/>
    </row>
    <row r="15242" spans="4:4" x14ac:dyDescent="0.25">
      <c r="D15242" s="9"/>
    </row>
    <row r="15243" spans="4:4" x14ac:dyDescent="0.25">
      <c r="D15243" s="9"/>
    </row>
    <row r="15244" spans="4:4" x14ac:dyDescent="0.25">
      <c r="D15244" s="9"/>
    </row>
    <row r="15245" spans="4:4" x14ac:dyDescent="0.25">
      <c r="D15245" s="9"/>
    </row>
    <row r="15246" spans="4:4" x14ac:dyDescent="0.25">
      <c r="D15246" s="9"/>
    </row>
    <row r="15247" spans="4:4" x14ac:dyDescent="0.25">
      <c r="D15247" s="9"/>
    </row>
    <row r="15248" spans="4:4" x14ac:dyDescent="0.25">
      <c r="D15248" s="9"/>
    </row>
    <row r="15249" spans="4:4" x14ac:dyDescent="0.25">
      <c r="D15249" s="9"/>
    </row>
    <row r="15250" spans="4:4" x14ac:dyDescent="0.25">
      <c r="D15250" s="9"/>
    </row>
    <row r="15251" spans="4:4" x14ac:dyDescent="0.25">
      <c r="D15251" s="9"/>
    </row>
    <row r="15252" spans="4:4" x14ac:dyDescent="0.25">
      <c r="D15252" s="9"/>
    </row>
    <row r="15253" spans="4:4" x14ac:dyDescent="0.25">
      <c r="D15253" s="9"/>
    </row>
    <row r="15254" spans="4:4" x14ac:dyDescent="0.25">
      <c r="D15254" s="9"/>
    </row>
    <row r="15255" spans="4:4" x14ac:dyDescent="0.25">
      <c r="D15255" s="9"/>
    </row>
    <row r="15256" spans="4:4" x14ac:dyDescent="0.25">
      <c r="D15256" s="9"/>
    </row>
    <row r="15257" spans="4:4" x14ac:dyDescent="0.25">
      <c r="D15257" s="9"/>
    </row>
    <row r="15258" spans="4:4" x14ac:dyDescent="0.25">
      <c r="D15258" s="9"/>
    </row>
    <row r="15259" spans="4:4" x14ac:dyDescent="0.25">
      <c r="D15259" s="9"/>
    </row>
    <row r="15260" spans="4:4" x14ac:dyDescent="0.25">
      <c r="D15260" s="9"/>
    </row>
    <row r="15261" spans="4:4" x14ac:dyDescent="0.25">
      <c r="D15261" s="9"/>
    </row>
    <row r="15262" spans="4:4" x14ac:dyDescent="0.25">
      <c r="D15262" s="9"/>
    </row>
    <row r="15263" spans="4:4" x14ac:dyDescent="0.25">
      <c r="D15263" s="9"/>
    </row>
    <row r="15264" spans="4:4" x14ac:dyDescent="0.25">
      <c r="D15264" s="9"/>
    </row>
    <row r="15265" spans="4:4" x14ac:dyDescent="0.25">
      <c r="D15265" s="9"/>
    </row>
    <row r="15266" spans="4:4" x14ac:dyDescent="0.25">
      <c r="D15266" s="9"/>
    </row>
    <row r="15267" spans="4:4" x14ac:dyDescent="0.25">
      <c r="D15267" s="9"/>
    </row>
    <row r="15268" spans="4:4" x14ac:dyDescent="0.25">
      <c r="D15268" s="9"/>
    </row>
    <row r="15269" spans="4:4" x14ac:dyDescent="0.25">
      <c r="D15269" s="9"/>
    </row>
    <row r="15270" spans="4:4" x14ac:dyDescent="0.25">
      <c r="D15270" s="9"/>
    </row>
    <row r="15271" spans="4:4" x14ac:dyDescent="0.25">
      <c r="D15271" s="9"/>
    </row>
    <row r="15272" spans="4:4" x14ac:dyDescent="0.25">
      <c r="D15272" s="9"/>
    </row>
    <row r="15273" spans="4:4" x14ac:dyDescent="0.25">
      <c r="D15273" s="9"/>
    </row>
    <row r="15274" spans="4:4" x14ac:dyDescent="0.25">
      <c r="D15274" s="9"/>
    </row>
    <row r="15275" spans="4:4" x14ac:dyDescent="0.25">
      <c r="D15275" s="9"/>
    </row>
    <row r="15276" spans="4:4" x14ac:dyDescent="0.25">
      <c r="D15276" s="9"/>
    </row>
    <row r="15277" spans="4:4" x14ac:dyDescent="0.25">
      <c r="D15277" s="9"/>
    </row>
    <row r="15278" spans="4:4" x14ac:dyDescent="0.25">
      <c r="D15278" s="9"/>
    </row>
    <row r="15279" spans="4:4" x14ac:dyDescent="0.25">
      <c r="D15279" s="9"/>
    </row>
    <row r="15280" spans="4:4" x14ac:dyDescent="0.25">
      <c r="D15280" s="9"/>
    </row>
    <row r="15281" spans="4:4" x14ac:dyDescent="0.25">
      <c r="D15281" s="9"/>
    </row>
    <row r="15282" spans="4:4" x14ac:dyDescent="0.25">
      <c r="D15282" s="9"/>
    </row>
    <row r="15283" spans="4:4" x14ac:dyDescent="0.25">
      <c r="D15283" s="9"/>
    </row>
    <row r="15284" spans="4:4" x14ac:dyDescent="0.25">
      <c r="D15284" s="9"/>
    </row>
    <row r="15285" spans="4:4" x14ac:dyDescent="0.25">
      <c r="D15285" s="9"/>
    </row>
    <row r="15286" spans="4:4" x14ac:dyDescent="0.25">
      <c r="D15286" s="9"/>
    </row>
    <row r="15287" spans="4:4" x14ac:dyDescent="0.25">
      <c r="D15287" s="9"/>
    </row>
    <row r="15288" spans="4:4" x14ac:dyDescent="0.25">
      <c r="D15288" s="9"/>
    </row>
    <row r="15289" spans="4:4" x14ac:dyDescent="0.25">
      <c r="D15289" s="9"/>
    </row>
    <row r="15290" spans="4:4" x14ac:dyDescent="0.25">
      <c r="D15290" s="9"/>
    </row>
    <row r="15291" spans="4:4" x14ac:dyDescent="0.25">
      <c r="D15291" s="9"/>
    </row>
    <row r="15292" spans="4:4" x14ac:dyDescent="0.25">
      <c r="D15292" s="9"/>
    </row>
    <row r="15293" spans="4:4" x14ac:dyDescent="0.25">
      <c r="D15293" s="9"/>
    </row>
    <row r="15294" spans="4:4" x14ac:dyDescent="0.25">
      <c r="D15294" s="9"/>
    </row>
    <row r="15295" spans="4:4" x14ac:dyDescent="0.25">
      <c r="D15295" s="9"/>
    </row>
    <row r="15296" spans="4:4" x14ac:dyDescent="0.25">
      <c r="D15296" s="9"/>
    </row>
    <row r="15297" spans="4:4" x14ac:dyDescent="0.25">
      <c r="D15297" s="9"/>
    </row>
    <row r="15298" spans="4:4" x14ac:dyDescent="0.25">
      <c r="D15298" s="9"/>
    </row>
    <row r="15299" spans="4:4" x14ac:dyDescent="0.25">
      <c r="D15299" s="9"/>
    </row>
    <row r="15300" spans="4:4" x14ac:dyDescent="0.25">
      <c r="D15300" s="9"/>
    </row>
    <row r="15301" spans="4:4" x14ac:dyDescent="0.25">
      <c r="D15301" s="9"/>
    </row>
    <row r="15302" spans="4:4" x14ac:dyDescent="0.25">
      <c r="D15302" s="9"/>
    </row>
    <row r="15303" spans="4:4" x14ac:dyDescent="0.25">
      <c r="D15303" s="9"/>
    </row>
    <row r="15304" spans="4:4" x14ac:dyDescent="0.25">
      <c r="D15304" s="9"/>
    </row>
    <row r="15305" spans="4:4" x14ac:dyDescent="0.25">
      <c r="D15305" s="9"/>
    </row>
    <row r="15306" spans="4:4" x14ac:dyDescent="0.25">
      <c r="D15306" s="9"/>
    </row>
    <row r="15307" spans="4:4" x14ac:dyDescent="0.25">
      <c r="D15307" s="9"/>
    </row>
    <row r="15308" spans="4:4" x14ac:dyDescent="0.25">
      <c r="D15308" s="9"/>
    </row>
    <row r="15309" spans="4:4" x14ac:dyDescent="0.25">
      <c r="D15309" s="9"/>
    </row>
    <row r="15310" spans="4:4" x14ac:dyDescent="0.25">
      <c r="D15310" s="9"/>
    </row>
    <row r="15311" spans="4:4" x14ac:dyDescent="0.25">
      <c r="D15311" s="9"/>
    </row>
    <row r="15312" spans="4:4" x14ac:dyDescent="0.25">
      <c r="D15312" s="9"/>
    </row>
    <row r="15313" spans="4:4" x14ac:dyDescent="0.25">
      <c r="D15313" s="9"/>
    </row>
    <row r="15314" spans="4:4" x14ac:dyDescent="0.25">
      <c r="D15314" s="9"/>
    </row>
    <row r="15315" spans="4:4" x14ac:dyDescent="0.25">
      <c r="D15315" s="9"/>
    </row>
    <row r="15316" spans="4:4" x14ac:dyDescent="0.25">
      <c r="D15316" s="9"/>
    </row>
    <row r="15317" spans="4:4" x14ac:dyDescent="0.25">
      <c r="D15317" s="9"/>
    </row>
    <row r="15318" spans="4:4" x14ac:dyDescent="0.25">
      <c r="D15318" s="9"/>
    </row>
    <row r="15319" spans="4:4" x14ac:dyDescent="0.25">
      <c r="D15319" s="9"/>
    </row>
    <row r="15320" spans="4:4" x14ac:dyDescent="0.25">
      <c r="D15320" s="9"/>
    </row>
    <row r="15321" spans="4:4" x14ac:dyDescent="0.25">
      <c r="D15321" s="9"/>
    </row>
    <row r="15322" spans="4:4" x14ac:dyDescent="0.25">
      <c r="D15322" s="9"/>
    </row>
    <row r="15323" spans="4:4" x14ac:dyDescent="0.25">
      <c r="D15323" s="9"/>
    </row>
    <row r="15324" spans="4:4" x14ac:dyDescent="0.25">
      <c r="D15324" s="9"/>
    </row>
    <row r="15325" spans="4:4" x14ac:dyDescent="0.25">
      <c r="D15325" s="9"/>
    </row>
    <row r="15326" spans="4:4" x14ac:dyDescent="0.25">
      <c r="D15326" s="9"/>
    </row>
    <row r="15327" spans="4:4" x14ac:dyDescent="0.25">
      <c r="D15327" s="9"/>
    </row>
    <row r="15328" spans="4:4" x14ac:dyDescent="0.25">
      <c r="D15328" s="9"/>
    </row>
    <row r="15329" spans="4:4" x14ac:dyDescent="0.25">
      <c r="D15329" s="9"/>
    </row>
    <row r="15330" spans="4:4" x14ac:dyDescent="0.25">
      <c r="D15330" s="9"/>
    </row>
    <row r="15331" spans="4:4" x14ac:dyDescent="0.25">
      <c r="D15331" s="9"/>
    </row>
    <row r="15332" spans="4:4" x14ac:dyDescent="0.25">
      <c r="D15332" s="9"/>
    </row>
    <row r="15333" spans="4:4" x14ac:dyDescent="0.25">
      <c r="D15333" s="9"/>
    </row>
    <row r="15334" spans="4:4" x14ac:dyDescent="0.25">
      <c r="D15334" s="9"/>
    </row>
    <row r="15335" spans="4:4" x14ac:dyDescent="0.25">
      <c r="D15335" s="9"/>
    </row>
    <row r="15336" spans="4:4" x14ac:dyDescent="0.25">
      <c r="D15336" s="9"/>
    </row>
    <row r="15337" spans="4:4" x14ac:dyDescent="0.25">
      <c r="D15337" s="9"/>
    </row>
    <row r="15338" spans="4:4" x14ac:dyDescent="0.25">
      <c r="D15338" s="9"/>
    </row>
    <row r="15339" spans="4:4" x14ac:dyDescent="0.25">
      <c r="D15339" s="9"/>
    </row>
    <row r="15340" spans="4:4" x14ac:dyDescent="0.25">
      <c r="D15340" s="9"/>
    </row>
    <row r="15341" spans="4:4" x14ac:dyDescent="0.25">
      <c r="D15341" s="9"/>
    </row>
    <row r="15342" spans="4:4" x14ac:dyDescent="0.25">
      <c r="D15342" s="9"/>
    </row>
    <row r="15343" spans="4:4" x14ac:dyDescent="0.25">
      <c r="D15343" s="9"/>
    </row>
    <row r="15344" spans="4:4" x14ac:dyDescent="0.25">
      <c r="D15344" s="9"/>
    </row>
    <row r="15345" spans="4:4" x14ac:dyDescent="0.25">
      <c r="D15345" s="9"/>
    </row>
    <row r="15346" spans="4:4" x14ac:dyDescent="0.25">
      <c r="D15346" s="9"/>
    </row>
    <row r="15347" spans="4:4" x14ac:dyDescent="0.25">
      <c r="D15347" s="9"/>
    </row>
    <row r="15348" spans="4:4" x14ac:dyDescent="0.25">
      <c r="D15348" s="9"/>
    </row>
    <row r="15349" spans="4:4" x14ac:dyDescent="0.25">
      <c r="D15349" s="9"/>
    </row>
    <row r="15350" spans="4:4" x14ac:dyDescent="0.25">
      <c r="D15350" s="9"/>
    </row>
    <row r="15351" spans="4:4" x14ac:dyDescent="0.25">
      <c r="D15351" s="9"/>
    </row>
    <row r="15352" spans="4:4" x14ac:dyDescent="0.25">
      <c r="D15352" s="9"/>
    </row>
    <row r="15353" spans="4:4" x14ac:dyDescent="0.25">
      <c r="D15353" s="9"/>
    </row>
    <row r="15354" spans="4:4" x14ac:dyDescent="0.25">
      <c r="D15354" s="9"/>
    </row>
    <row r="15355" spans="4:4" x14ac:dyDescent="0.25">
      <c r="D15355" s="9"/>
    </row>
    <row r="15356" spans="4:4" x14ac:dyDescent="0.25">
      <c r="D15356" s="9"/>
    </row>
    <row r="15357" spans="4:4" x14ac:dyDescent="0.25">
      <c r="D15357" s="9"/>
    </row>
    <row r="15358" spans="4:4" x14ac:dyDescent="0.25">
      <c r="D15358" s="9"/>
    </row>
    <row r="15359" spans="4:4" x14ac:dyDescent="0.25">
      <c r="D15359" s="9"/>
    </row>
    <row r="15360" spans="4:4" x14ac:dyDescent="0.25">
      <c r="D15360" s="9"/>
    </row>
    <row r="15361" spans="4:4" x14ac:dyDescent="0.25">
      <c r="D15361" s="9"/>
    </row>
    <row r="15362" spans="4:4" x14ac:dyDescent="0.25">
      <c r="D15362" s="9"/>
    </row>
    <row r="15363" spans="4:4" x14ac:dyDescent="0.25">
      <c r="D15363" s="9"/>
    </row>
    <row r="15364" spans="4:4" x14ac:dyDescent="0.25">
      <c r="D15364" s="9"/>
    </row>
    <row r="15365" spans="4:4" x14ac:dyDescent="0.25">
      <c r="D15365" s="9"/>
    </row>
    <row r="15366" spans="4:4" x14ac:dyDescent="0.25">
      <c r="D15366" s="9"/>
    </row>
    <row r="15367" spans="4:4" x14ac:dyDescent="0.25">
      <c r="D15367" s="9"/>
    </row>
    <row r="15368" spans="4:4" x14ac:dyDescent="0.25">
      <c r="D15368" s="9"/>
    </row>
    <row r="15369" spans="4:4" x14ac:dyDescent="0.25">
      <c r="D15369" s="9"/>
    </row>
    <row r="15370" spans="4:4" x14ac:dyDescent="0.25">
      <c r="D15370" s="9"/>
    </row>
    <row r="15371" spans="4:4" x14ac:dyDescent="0.25">
      <c r="D15371" s="9"/>
    </row>
    <row r="15372" spans="4:4" x14ac:dyDescent="0.25">
      <c r="D15372" s="9"/>
    </row>
    <row r="15373" spans="4:4" x14ac:dyDescent="0.25">
      <c r="D15373" s="9"/>
    </row>
    <row r="15374" spans="4:4" x14ac:dyDescent="0.25">
      <c r="D15374" s="9"/>
    </row>
    <row r="15375" spans="4:4" x14ac:dyDescent="0.25">
      <c r="D15375" s="9"/>
    </row>
    <row r="15376" spans="4:4" x14ac:dyDescent="0.25">
      <c r="D15376" s="9"/>
    </row>
    <row r="15377" spans="4:4" x14ac:dyDescent="0.25">
      <c r="D15377" s="9"/>
    </row>
    <row r="15378" spans="4:4" x14ac:dyDescent="0.25">
      <c r="D15378" s="9"/>
    </row>
    <row r="15379" spans="4:4" x14ac:dyDescent="0.25">
      <c r="D15379" s="9"/>
    </row>
    <row r="15380" spans="4:4" x14ac:dyDescent="0.25">
      <c r="D15380" s="9"/>
    </row>
    <row r="15381" spans="4:4" x14ac:dyDescent="0.25">
      <c r="D15381" s="9"/>
    </row>
    <row r="15382" spans="4:4" x14ac:dyDescent="0.25">
      <c r="D15382" s="9"/>
    </row>
    <row r="15383" spans="4:4" x14ac:dyDescent="0.25">
      <c r="D15383" s="9"/>
    </row>
    <row r="15384" spans="4:4" x14ac:dyDescent="0.25">
      <c r="D15384" s="9"/>
    </row>
    <row r="15385" spans="4:4" x14ac:dyDescent="0.25">
      <c r="D15385" s="9"/>
    </row>
    <row r="15386" spans="4:4" x14ac:dyDescent="0.25">
      <c r="D15386" s="9"/>
    </row>
    <row r="15387" spans="4:4" x14ac:dyDescent="0.25">
      <c r="D15387" s="9"/>
    </row>
    <row r="15388" spans="4:4" x14ac:dyDescent="0.25">
      <c r="D15388" s="9"/>
    </row>
    <row r="15389" spans="4:4" x14ac:dyDescent="0.25">
      <c r="D15389" s="9"/>
    </row>
    <row r="15390" spans="4:4" x14ac:dyDescent="0.25">
      <c r="D15390" s="9"/>
    </row>
    <row r="15391" spans="4:4" x14ac:dyDescent="0.25">
      <c r="D15391" s="9"/>
    </row>
    <row r="15392" spans="4:4" x14ac:dyDescent="0.25">
      <c r="D15392" s="9"/>
    </row>
    <row r="15393" spans="4:4" x14ac:dyDescent="0.25">
      <c r="D15393" s="9"/>
    </row>
    <row r="15394" spans="4:4" x14ac:dyDescent="0.25">
      <c r="D15394" s="9"/>
    </row>
    <row r="15395" spans="4:4" x14ac:dyDescent="0.25">
      <c r="D15395" s="9"/>
    </row>
    <row r="15396" spans="4:4" x14ac:dyDescent="0.25">
      <c r="D15396" s="9"/>
    </row>
    <row r="15397" spans="4:4" x14ac:dyDescent="0.25">
      <c r="D15397" s="9"/>
    </row>
    <row r="15398" spans="4:4" x14ac:dyDescent="0.25">
      <c r="D15398" s="9"/>
    </row>
    <row r="15399" spans="4:4" x14ac:dyDescent="0.25">
      <c r="D15399" s="9"/>
    </row>
    <row r="15400" spans="4:4" x14ac:dyDescent="0.25">
      <c r="D15400" s="9"/>
    </row>
    <row r="15401" spans="4:4" x14ac:dyDescent="0.25">
      <c r="D15401" s="9"/>
    </row>
    <row r="15402" spans="4:4" x14ac:dyDescent="0.25">
      <c r="D15402" s="9"/>
    </row>
    <row r="15403" spans="4:4" x14ac:dyDescent="0.25">
      <c r="D15403" s="9"/>
    </row>
    <row r="15404" spans="4:4" x14ac:dyDescent="0.25">
      <c r="D15404" s="9"/>
    </row>
    <row r="15405" spans="4:4" x14ac:dyDescent="0.25">
      <c r="D15405" s="9"/>
    </row>
    <row r="15406" spans="4:4" x14ac:dyDescent="0.25">
      <c r="D15406" s="9"/>
    </row>
    <row r="15407" spans="4:4" x14ac:dyDescent="0.25">
      <c r="D15407" s="9"/>
    </row>
    <row r="15408" spans="4:4" x14ac:dyDescent="0.25">
      <c r="D15408" s="9"/>
    </row>
    <row r="15409" spans="4:4" x14ac:dyDescent="0.25">
      <c r="D15409" s="9"/>
    </row>
    <row r="15410" spans="4:4" x14ac:dyDescent="0.25">
      <c r="D15410" s="9"/>
    </row>
    <row r="15411" spans="4:4" x14ac:dyDescent="0.25">
      <c r="D15411" s="9"/>
    </row>
    <row r="15412" spans="4:4" x14ac:dyDescent="0.25">
      <c r="D15412" s="9"/>
    </row>
    <row r="15413" spans="4:4" x14ac:dyDescent="0.25">
      <c r="D15413" s="9"/>
    </row>
    <row r="15414" spans="4:4" x14ac:dyDescent="0.25">
      <c r="D15414" s="9"/>
    </row>
    <row r="15415" spans="4:4" x14ac:dyDescent="0.25">
      <c r="D15415" s="9"/>
    </row>
    <row r="15416" spans="4:4" x14ac:dyDescent="0.25">
      <c r="D15416" s="9"/>
    </row>
    <row r="15417" spans="4:4" x14ac:dyDescent="0.25">
      <c r="D15417" s="9"/>
    </row>
    <row r="15418" spans="4:4" x14ac:dyDescent="0.25">
      <c r="D15418" s="9"/>
    </row>
    <row r="15419" spans="4:4" x14ac:dyDescent="0.25">
      <c r="D15419" s="9"/>
    </row>
    <row r="15420" spans="4:4" x14ac:dyDescent="0.25">
      <c r="D15420" s="9"/>
    </row>
    <row r="15421" spans="4:4" x14ac:dyDescent="0.25">
      <c r="D15421" s="9"/>
    </row>
    <row r="15422" spans="4:4" x14ac:dyDescent="0.25">
      <c r="D15422" s="9"/>
    </row>
    <row r="15423" spans="4:4" x14ac:dyDescent="0.25">
      <c r="D15423" s="9"/>
    </row>
    <row r="15424" spans="4:4" x14ac:dyDescent="0.25">
      <c r="D15424" s="9"/>
    </row>
    <row r="15425" spans="4:4" x14ac:dyDescent="0.25">
      <c r="D15425" s="9"/>
    </row>
    <row r="15426" spans="4:4" x14ac:dyDescent="0.25">
      <c r="D15426" s="9"/>
    </row>
    <row r="15427" spans="4:4" x14ac:dyDescent="0.25">
      <c r="D15427" s="9"/>
    </row>
    <row r="15428" spans="4:4" x14ac:dyDescent="0.25">
      <c r="D15428" s="9"/>
    </row>
    <row r="15429" spans="4:4" x14ac:dyDescent="0.25">
      <c r="D15429" s="9"/>
    </row>
    <row r="15430" spans="4:4" x14ac:dyDescent="0.25">
      <c r="D15430" s="9"/>
    </row>
    <row r="15431" spans="4:4" x14ac:dyDescent="0.25">
      <c r="D15431" s="9"/>
    </row>
    <row r="15432" spans="4:4" x14ac:dyDescent="0.25">
      <c r="D15432" s="9"/>
    </row>
    <row r="15433" spans="4:4" x14ac:dyDescent="0.25">
      <c r="D15433" s="9"/>
    </row>
    <row r="15434" spans="4:4" x14ac:dyDescent="0.25">
      <c r="D15434" s="9"/>
    </row>
    <row r="15435" spans="4:4" x14ac:dyDescent="0.25">
      <c r="D15435" s="9"/>
    </row>
    <row r="15436" spans="4:4" x14ac:dyDescent="0.25">
      <c r="D15436" s="9"/>
    </row>
    <row r="15437" spans="4:4" x14ac:dyDescent="0.25">
      <c r="D15437" s="9"/>
    </row>
    <row r="15438" spans="4:4" x14ac:dyDescent="0.25">
      <c r="D15438" s="9"/>
    </row>
    <row r="15439" spans="4:4" x14ac:dyDescent="0.25">
      <c r="D15439" s="9"/>
    </row>
    <row r="15440" spans="4:4" x14ac:dyDescent="0.25">
      <c r="D15440" s="9"/>
    </row>
    <row r="15441" spans="4:4" x14ac:dyDescent="0.25">
      <c r="D15441" s="9"/>
    </row>
    <row r="15442" spans="4:4" x14ac:dyDescent="0.25">
      <c r="D15442" s="9"/>
    </row>
    <row r="15443" spans="4:4" x14ac:dyDescent="0.25">
      <c r="D15443" s="9"/>
    </row>
    <row r="15444" spans="4:4" x14ac:dyDescent="0.25">
      <c r="D15444" s="9"/>
    </row>
    <row r="15445" spans="4:4" x14ac:dyDescent="0.25">
      <c r="D15445" s="9"/>
    </row>
    <row r="15446" spans="4:4" x14ac:dyDescent="0.25">
      <c r="D15446" s="9"/>
    </row>
    <row r="15447" spans="4:4" x14ac:dyDescent="0.25">
      <c r="D15447" s="9"/>
    </row>
    <row r="15448" spans="4:4" x14ac:dyDescent="0.25">
      <c r="D15448" s="9"/>
    </row>
    <row r="15449" spans="4:4" x14ac:dyDescent="0.25">
      <c r="D15449" s="9"/>
    </row>
    <row r="15450" spans="4:4" x14ac:dyDescent="0.25">
      <c r="D15450" s="9"/>
    </row>
    <row r="15451" spans="4:4" x14ac:dyDescent="0.25">
      <c r="D15451" s="9"/>
    </row>
    <row r="15452" spans="4:4" x14ac:dyDescent="0.25">
      <c r="D15452" s="9"/>
    </row>
    <row r="15453" spans="4:4" x14ac:dyDescent="0.25">
      <c r="D15453" s="9"/>
    </row>
    <row r="15454" spans="4:4" x14ac:dyDescent="0.25">
      <c r="D15454" s="9"/>
    </row>
    <row r="15455" spans="4:4" x14ac:dyDescent="0.25">
      <c r="D15455" s="9"/>
    </row>
    <row r="15456" spans="4:4" x14ac:dyDescent="0.25">
      <c r="D15456" s="9"/>
    </row>
    <row r="15457" spans="4:4" x14ac:dyDescent="0.25">
      <c r="D15457" s="9"/>
    </row>
    <row r="15458" spans="4:4" x14ac:dyDescent="0.25">
      <c r="D15458" s="9"/>
    </row>
    <row r="15459" spans="4:4" x14ac:dyDescent="0.25">
      <c r="D15459" s="9"/>
    </row>
    <row r="15460" spans="4:4" x14ac:dyDescent="0.25">
      <c r="D15460" s="9"/>
    </row>
    <row r="15461" spans="4:4" x14ac:dyDescent="0.25">
      <c r="D15461" s="9"/>
    </row>
    <row r="15462" spans="4:4" x14ac:dyDescent="0.25">
      <c r="D15462" s="9"/>
    </row>
    <row r="15463" spans="4:4" x14ac:dyDescent="0.25">
      <c r="D15463" s="9"/>
    </row>
    <row r="15464" spans="4:4" x14ac:dyDescent="0.25">
      <c r="D15464" s="9"/>
    </row>
    <row r="15465" spans="4:4" x14ac:dyDescent="0.25">
      <c r="D15465" s="9"/>
    </row>
    <row r="15466" spans="4:4" x14ac:dyDescent="0.25">
      <c r="D15466" s="9"/>
    </row>
    <row r="15467" spans="4:4" x14ac:dyDescent="0.25">
      <c r="D15467" s="9"/>
    </row>
    <row r="15468" spans="4:4" x14ac:dyDescent="0.25">
      <c r="D15468" s="9"/>
    </row>
    <row r="15469" spans="4:4" x14ac:dyDescent="0.25">
      <c r="D15469" s="9"/>
    </row>
    <row r="15470" spans="4:4" x14ac:dyDescent="0.25">
      <c r="D15470" s="9"/>
    </row>
    <row r="15471" spans="4:4" x14ac:dyDescent="0.25">
      <c r="D15471" s="9"/>
    </row>
    <row r="15472" spans="4:4" x14ac:dyDescent="0.25">
      <c r="D15472" s="9"/>
    </row>
    <row r="15473" spans="4:4" x14ac:dyDescent="0.25">
      <c r="D15473" s="9"/>
    </row>
    <row r="15474" spans="4:4" x14ac:dyDescent="0.25">
      <c r="D15474" s="9"/>
    </row>
    <row r="15475" spans="4:4" x14ac:dyDescent="0.25">
      <c r="D15475" s="9"/>
    </row>
    <row r="15476" spans="4:4" x14ac:dyDescent="0.25">
      <c r="D15476" s="9"/>
    </row>
    <row r="15477" spans="4:4" x14ac:dyDescent="0.25">
      <c r="D15477" s="9"/>
    </row>
    <row r="15478" spans="4:4" x14ac:dyDescent="0.25">
      <c r="D15478" s="9"/>
    </row>
    <row r="15479" spans="4:4" x14ac:dyDescent="0.25">
      <c r="D15479" s="9"/>
    </row>
    <row r="15480" spans="4:4" x14ac:dyDescent="0.25">
      <c r="D15480" s="9"/>
    </row>
    <row r="15481" spans="4:4" x14ac:dyDescent="0.25">
      <c r="D15481" s="9"/>
    </row>
    <row r="15482" spans="4:4" x14ac:dyDescent="0.25">
      <c r="D15482" s="9"/>
    </row>
    <row r="15483" spans="4:4" x14ac:dyDescent="0.25">
      <c r="D15483" s="9"/>
    </row>
    <row r="15484" spans="4:4" x14ac:dyDescent="0.25">
      <c r="D15484" s="9"/>
    </row>
    <row r="15485" spans="4:4" x14ac:dyDescent="0.25">
      <c r="D15485" s="9"/>
    </row>
    <row r="15486" spans="4:4" x14ac:dyDescent="0.25">
      <c r="D15486" s="9"/>
    </row>
    <row r="15487" spans="4:4" x14ac:dyDescent="0.25">
      <c r="D15487" s="9"/>
    </row>
    <row r="15488" spans="4:4" x14ac:dyDescent="0.25">
      <c r="D15488" s="9"/>
    </row>
    <row r="15489" spans="4:4" x14ac:dyDescent="0.25">
      <c r="D15489" s="9"/>
    </row>
    <row r="15490" spans="4:4" x14ac:dyDescent="0.25">
      <c r="D15490" s="9"/>
    </row>
    <row r="15491" spans="4:4" x14ac:dyDescent="0.25">
      <c r="D15491" s="9"/>
    </row>
    <row r="15492" spans="4:4" x14ac:dyDescent="0.25">
      <c r="D15492" s="9"/>
    </row>
    <row r="15493" spans="4:4" x14ac:dyDescent="0.25">
      <c r="D15493" s="9"/>
    </row>
    <row r="15494" spans="4:4" x14ac:dyDescent="0.25">
      <c r="D15494" s="9"/>
    </row>
    <row r="15495" spans="4:4" x14ac:dyDescent="0.25">
      <c r="D15495" s="9"/>
    </row>
    <row r="15496" spans="4:4" x14ac:dyDescent="0.25">
      <c r="D15496" s="9"/>
    </row>
    <row r="15497" spans="4:4" x14ac:dyDescent="0.25">
      <c r="D15497" s="9"/>
    </row>
    <row r="15498" spans="4:4" x14ac:dyDescent="0.25">
      <c r="D15498" s="9"/>
    </row>
    <row r="15499" spans="4:4" x14ac:dyDescent="0.25">
      <c r="D15499" s="9"/>
    </row>
    <row r="15500" spans="4:4" x14ac:dyDescent="0.25">
      <c r="D15500" s="9"/>
    </row>
    <row r="15501" spans="4:4" x14ac:dyDescent="0.25">
      <c r="D15501" s="9"/>
    </row>
    <row r="15502" spans="4:4" x14ac:dyDescent="0.25">
      <c r="D15502" s="9"/>
    </row>
    <row r="15503" spans="4:4" x14ac:dyDescent="0.25">
      <c r="D15503" s="9"/>
    </row>
    <row r="15504" spans="4:4" x14ac:dyDescent="0.25">
      <c r="D15504" s="9"/>
    </row>
    <row r="15505" spans="4:4" x14ac:dyDescent="0.25">
      <c r="D15505" s="9"/>
    </row>
    <row r="15506" spans="4:4" x14ac:dyDescent="0.25">
      <c r="D15506" s="9"/>
    </row>
    <row r="15507" spans="4:4" x14ac:dyDescent="0.25">
      <c r="D15507" s="9"/>
    </row>
    <row r="15508" spans="4:4" x14ac:dyDescent="0.25">
      <c r="D15508" s="9"/>
    </row>
    <row r="15509" spans="4:4" x14ac:dyDescent="0.25">
      <c r="D15509" s="9"/>
    </row>
    <row r="15510" spans="4:4" x14ac:dyDescent="0.25">
      <c r="D15510" s="9"/>
    </row>
    <row r="15511" spans="4:4" x14ac:dyDescent="0.25">
      <c r="D15511" s="9"/>
    </row>
    <row r="15512" spans="4:4" x14ac:dyDescent="0.25">
      <c r="D15512" s="9"/>
    </row>
    <row r="15513" spans="4:4" x14ac:dyDescent="0.25">
      <c r="D15513" s="9"/>
    </row>
    <row r="15514" spans="4:4" x14ac:dyDescent="0.25">
      <c r="D15514" s="9"/>
    </row>
    <row r="15515" spans="4:4" x14ac:dyDescent="0.25">
      <c r="D15515" s="9"/>
    </row>
    <row r="15516" spans="4:4" x14ac:dyDescent="0.25">
      <c r="D15516" s="9"/>
    </row>
    <row r="15517" spans="4:4" x14ac:dyDescent="0.25">
      <c r="D15517" s="9"/>
    </row>
    <row r="15518" spans="4:4" x14ac:dyDescent="0.25">
      <c r="D15518" s="9"/>
    </row>
    <row r="15519" spans="4:4" x14ac:dyDescent="0.25">
      <c r="D15519" s="9"/>
    </row>
    <row r="15520" spans="4:4" x14ac:dyDescent="0.25">
      <c r="D15520" s="9"/>
    </row>
    <row r="15521" spans="4:4" x14ac:dyDescent="0.25">
      <c r="D15521" s="9"/>
    </row>
    <row r="15522" spans="4:4" x14ac:dyDescent="0.25">
      <c r="D15522" s="9"/>
    </row>
    <row r="15523" spans="4:4" x14ac:dyDescent="0.25">
      <c r="D15523" s="9"/>
    </row>
    <row r="15524" spans="4:4" x14ac:dyDescent="0.25">
      <c r="D15524" s="9"/>
    </row>
    <row r="15525" spans="4:4" x14ac:dyDescent="0.25">
      <c r="D15525" s="9"/>
    </row>
    <row r="15526" spans="4:4" x14ac:dyDescent="0.25">
      <c r="D15526" s="9"/>
    </row>
    <row r="15527" spans="4:4" x14ac:dyDescent="0.25">
      <c r="D15527" s="9"/>
    </row>
    <row r="15528" spans="4:4" x14ac:dyDescent="0.25">
      <c r="D15528" s="9"/>
    </row>
    <row r="15529" spans="4:4" x14ac:dyDescent="0.25">
      <c r="D15529" s="9"/>
    </row>
    <row r="15530" spans="4:4" x14ac:dyDescent="0.25">
      <c r="D15530" s="9"/>
    </row>
    <row r="15531" spans="4:4" x14ac:dyDescent="0.25">
      <c r="D15531" s="9"/>
    </row>
    <row r="15532" spans="4:4" x14ac:dyDescent="0.25">
      <c r="D15532" s="9"/>
    </row>
    <row r="15533" spans="4:4" x14ac:dyDescent="0.25">
      <c r="D15533" s="9"/>
    </row>
    <row r="15534" spans="4:4" x14ac:dyDescent="0.25">
      <c r="D15534" s="9"/>
    </row>
    <row r="15535" spans="4:4" x14ac:dyDescent="0.25">
      <c r="D15535" s="9"/>
    </row>
    <row r="15536" spans="4:4" x14ac:dyDescent="0.25">
      <c r="D15536" s="9"/>
    </row>
    <row r="15537" spans="4:4" x14ac:dyDescent="0.25">
      <c r="D15537" s="9"/>
    </row>
    <row r="15538" spans="4:4" x14ac:dyDescent="0.25">
      <c r="D15538" s="9"/>
    </row>
    <row r="15539" spans="4:4" x14ac:dyDescent="0.25">
      <c r="D15539" s="9"/>
    </row>
    <row r="15540" spans="4:4" x14ac:dyDescent="0.25">
      <c r="D15540" s="9"/>
    </row>
    <row r="15541" spans="4:4" x14ac:dyDescent="0.25">
      <c r="D15541" s="9"/>
    </row>
    <row r="15542" spans="4:4" x14ac:dyDescent="0.25">
      <c r="D15542" s="9"/>
    </row>
    <row r="15543" spans="4:4" x14ac:dyDescent="0.25">
      <c r="D15543" s="9"/>
    </row>
    <row r="15544" spans="4:4" x14ac:dyDescent="0.25">
      <c r="D15544" s="9"/>
    </row>
    <row r="15545" spans="4:4" x14ac:dyDescent="0.25">
      <c r="D15545" s="9"/>
    </row>
    <row r="15546" spans="4:4" x14ac:dyDescent="0.25">
      <c r="D15546" s="9"/>
    </row>
    <row r="15547" spans="4:4" x14ac:dyDescent="0.25">
      <c r="D15547" s="9"/>
    </row>
    <row r="15548" spans="4:4" x14ac:dyDescent="0.25">
      <c r="D15548" s="9"/>
    </row>
    <row r="15549" spans="4:4" x14ac:dyDescent="0.25">
      <c r="D15549" s="9"/>
    </row>
    <row r="15550" spans="4:4" x14ac:dyDescent="0.25">
      <c r="D15550" s="9"/>
    </row>
    <row r="15551" spans="4:4" x14ac:dyDescent="0.25">
      <c r="D15551" s="9"/>
    </row>
    <row r="15552" spans="4:4" x14ac:dyDescent="0.25">
      <c r="D15552" s="9"/>
    </row>
    <row r="15553" spans="4:4" x14ac:dyDescent="0.25">
      <c r="D15553" s="9"/>
    </row>
    <row r="15554" spans="4:4" x14ac:dyDescent="0.25">
      <c r="D15554" s="9"/>
    </row>
    <row r="15555" spans="4:4" x14ac:dyDescent="0.25">
      <c r="D15555" s="9"/>
    </row>
    <row r="15556" spans="4:4" x14ac:dyDescent="0.25">
      <c r="D15556" s="9"/>
    </row>
    <row r="15557" spans="4:4" x14ac:dyDescent="0.25">
      <c r="D15557" s="9"/>
    </row>
    <row r="15558" spans="4:4" x14ac:dyDescent="0.25">
      <c r="D15558" s="9"/>
    </row>
    <row r="15559" spans="4:4" x14ac:dyDescent="0.25">
      <c r="D15559" s="9"/>
    </row>
    <row r="15560" spans="4:4" x14ac:dyDescent="0.25">
      <c r="D15560" s="9"/>
    </row>
    <row r="15561" spans="4:4" x14ac:dyDescent="0.25">
      <c r="D15561" s="9"/>
    </row>
    <row r="15562" spans="4:4" x14ac:dyDescent="0.25">
      <c r="D15562" s="9"/>
    </row>
    <row r="15563" spans="4:4" x14ac:dyDescent="0.25">
      <c r="D15563" s="9"/>
    </row>
    <row r="15564" spans="4:4" x14ac:dyDescent="0.25">
      <c r="D15564" s="9"/>
    </row>
    <row r="15565" spans="4:4" x14ac:dyDescent="0.25">
      <c r="D15565" s="9"/>
    </row>
    <row r="15566" spans="4:4" x14ac:dyDescent="0.25">
      <c r="D15566" s="9"/>
    </row>
    <row r="15567" spans="4:4" x14ac:dyDescent="0.25">
      <c r="D15567" s="9"/>
    </row>
    <row r="15568" spans="4:4" x14ac:dyDescent="0.25">
      <c r="D15568" s="9"/>
    </row>
    <row r="15569" spans="4:4" x14ac:dyDescent="0.25">
      <c r="D15569" s="9"/>
    </row>
    <row r="15570" spans="4:4" x14ac:dyDescent="0.25">
      <c r="D15570" s="9"/>
    </row>
    <row r="15571" spans="4:4" x14ac:dyDescent="0.25">
      <c r="D15571" s="9"/>
    </row>
    <row r="15572" spans="4:4" x14ac:dyDescent="0.25">
      <c r="D15572" s="9"/>
    </row>
    <row r="15573" spans="4:4" x14ac:dyDescent="0.25">
      <c r="D15573" s="9"/>
    </row>
    <row r="15574" spans="4:4" x14ac:dyDescent="0.25">
      <c r="D15574" s="9"/>
    </row>
    <row r="15575" spans="4:4" x14ac:dyDescent="0.25">
      <c r="D15575" s="9"/>
    </row>
    <row r="15576" spans="4:4" x14ac:dyDescent="0.25">
      <c r="D15576" s="9"/>
    </row>
    <row r="15577" spans="4:4" x14ac:dyDescent="0.25">
      <c r="D15577" s="9"/>
    </row>
    <row r="15578" spans="4:4" x14ac:dyDescent="0.25">
      <c r="D15578" s="9"/>
    </row>
    <row r="15579" spans="4:4" x14ac:dyDescent="0.25">
      <c r="D15579" s="9"/>
    </row>
    <row r="15580" spans="4:4" x14ac:dyDescent="0.25">
      <c r="D15580" s="9"/>
    </row>
    <row r="15581" spans="4:4" x14ac:dyDescent="0.25">
      <c r="D15581" s="9"/>
    </row>
    <row r="15582" spans="4:4" x14ac:dyDescent="0.25">
      <c r="D15582" s="9"/>
    </row>
    <row r="15583" spans="4:4" x14ac:dyDescent="0.25">
      <c r="D15583" s="9"/>
    </row>
    <row r="15584" spans="4:4" x14ac:dyDescent="0.25">
      <c r="D15584" s="9"/>
    </row>
    <row r="15585" spans="4:4" x14ac:dyDescent="0.25">
      <c r="D15585" s="9"/>
    </row>
    <row r="15586" spans="4:4" x14ac:dyDescent="0.25">
      <c r="D15586" s="9"/>
    </row>
    <row r="15587" spans="4:4" x14ac:dyDescent="0.25">
      <c r="D15587" s="9"/>
    </row>
    <row r="15588" spans="4:4" x14ac:dyDescent="0.25">
      <c r="D15588" s="9"/>
    </row>
    <row r="15589" spans="4:4" x14ac:dyDescent="0.25">
      <c r="D15589" s="9"/>
    </row>
    <row r="15590" spans="4:4" x14ac:dyDescent="0.25">
      <c r="D15590" s="9"/>
    </row>
    <row r="15591" spans="4:4" x14ac:dyDescent="0.25">
      <c r="D15591" s="9"/>
    </row>
    <row r="15592" spans="4:4" x14ac:dyDescent="0.25">
      <c r="D15592" s="9"/>
    </row>
    <row r="15593" spans="4:4" x14ac:dyDescent="0.25">
      <c r="D15593" s="9"/>
    </row>
    <row r="15594" spans="4:4" x14ac:dyDescent="0.25">
      <c r="D15594" s="9"/>
    </row>
    <row r="15595" spans="4:4" x14ac:dyDescent="0.25">
      <c r="D15595" s="9"/>
    </row>
    <row r="15596" spans="4:4" x14ac:dyDescent="0.25">
      <c r="D15596" s="9"/>
    </row>
    <row r="15597" spans="4:4" x14ac:dyDescent="0.25">
      <c r="D15597" s="9"/>
    </row>
    <row r="15598" spans="4:4" x14ac:dyDescent="0.25">
      <c r="D15598" s="9"/>
    </row>
    <row r="15599" spans="4:4" x14ac:dyDescent="0.25">
      <c r="D15599" s="9"/>
    </row>
    <row r="15600" spans="4:4" x14ac:dyDescent="0.25">
      <c r="D15600" s="9"/>
    </row>
    <row r="15601" spans="4:4" x14ac:dyDescent="0.25">
      <c r="D15601" s="9"/>
    </row>
    <row r="15602" spans="4:4" x14ac:dyDescent="0.25">
      <c r="D15602" s="9"/>
    </row>
    <row r="15603" spans="4:4" x14ac:dyDescent="0.25">
      <c r="D15603" s="9"/>
    </row>
    <row r="15604" spans="4:4" x14ac:dyDescent="0.25">
      <c r="D15604" s="9"/>
    </row>
    <row r="15605" spans="4:4" x14ac:dyDescent="0.25">
      <c r="D15605" s="9"/>
    </row>
    <row r="15606" spans="4:4" x14ac:dyDescent="0.25">
      <c r="D15606" s="9"/>
    </row>
    <row r="15607" spans="4:4" x14ac:dyDescent="0.25">
      <c r="D15607" s="9"/>
    </row>
    <row r="15608" spans="4:4" x14ac:dyDescent="0.25">
      <c r="D15608" s="9"/>
    </row>
    <row r="15609" spans="4:4" x14ac:dyDescent="0.25">
      <c r="D15609" s="9"/>
    </row>
    <row r="15610" spans="4:4" x14ac:dyDescent="0.25">
      <c r="D15610" s="9"/>
    </row>
    <row r="15611" spans="4:4" x14ac:dyDescent="0.25">
      <c r="D15611" s="9"/>
    </row>
    <row r="15612" spans="4:4" x14ac:dyDescent="0.25">
      <c r="D15612" s="9"/>
    </row>
    <row r="15613" spans="4:4" x14ac:dyDescent="0.25">
      <c r="D15613" s="9"/>
    </row>
    <row r="15614" spans="4:4" x14ac:dyDescent="0.25">
      <c r="D15614" s="9"/>
    </row>
    <row r="15615" spans="4:4" x14ac:dyDescent="0.25">
      <c r="D15615" s="9"/>
    </row>
    <row r="15616" spans="4:4" x14ac:dyDescent="0.25">
      <c r="D15616" s="9"/>
    </row>
    <row r="15617" spans="4:4" x14ac:dyDescent="0.25">
      <c r="D15617" s="9"/>
    </row>
    <row r="15618" spans="4:4" x14ac:dyDescent="0.25">
      <c r="D15618" s="9"/>
    </row>
    <row r="15619" spans="4:4" x14ac:dyDescent="0.25">
      <c r="D15619" s="9"/>
    </row>
    <row r="15620" spans="4:4" x14ac:dyDescent="0.25">
      <c r="D15620" s="9"/>
    </row>
    <row r="15621" spans="4:4" x14ac:dyDescent="0.25">
      <c r="D15621" s="9"/>
    </row>
    <row r="15622" spans="4:4" x14ac:dyDescent="0.25">
      <c r="D15622" s="9"/>
    </row>
    <row r="15623" spans="4:4" x14ac:dyDescent="0.25">
      <c r="D15623" s="9"/>
    </row>
    <row r="15624" spans="4:4" x14ac:dyDescent="0.25">
      <c r="D15624" s="9"/>
    </row>
    <row r="15625" spans="4:4" x14ac:dyDescent="0.25">
      <c r="D15625" s="9"/>
    </row>
    <row r="15626" spans="4:4" x14ac:dyDescent="0.25">
      <c r="D15626" s="9"/>
    </row>
    <row r="15627" spans="4:4" x14ac:dyDescent="0.25">
      <c r="D15627" s="9"/>
    </row>
    <row r="15628" spans="4:4" x14ac:dyDescent="0.25">
      <c r="D15628" s="9"/>
    </row>
    <row r="15629" spans="4:4" x14ac:dyDescent="0.25">
      <c r="D15629" s="9"/>
    </row>
    <row r="15630" spans="4:4" x14ac:dyDescent="0.25">
      <c r="D15630" s="9"/>
    </row>
    <row r="15631" spans="4:4" x14ac:dyDescent="0.25">
      <c r="D15631" s="9"/>
    </row>
    <row r="15632" spans="4:4" x14ac:dyDescent="0.25">
      <c r="D15632" s="9"/>
    </row>
    <row r="15633" spans="4:4" x14ac:dyDescent="0.25">
      <c r="D15633" s="9"/>
    </row>
    <row r="15634" spans="4:4" x14ac:dyDescent="0.25">
      <c r="D15634" s="9"/>
    </row>
    <row r="15635" spans="4:4" x14ac:dyDescent="0.25">
      <c r="D15635" s="9"/>
    </row>
    <row r="15636" spans="4:4" x14ac:dyDescent="0.25">
      <c r="D15636" s="9"/>
    </row>
    <row r="15637" spans="4:4" x14ac:dyDescent="0.25">
      <c r="D15637" s="9"/>
    </row>
    <row r="15638" spans="4:4" x14ac:dyDescent="0.25">
      <c r="D15638" s="9"/>
    </row>
    <row r="15639" spans="4:4" x14ac:dyDescent="0.25">
      <c r="D15639" s="9"/>
    </row>
    <row r="15640" spans="4:4" x14ac:dyDescent="0.25">
      <c r="D15640" s="9"/>
    </row>
    <row r="15641" spans="4:4" x14ac:dyDescent="0.25">
      <c r="D15641" s="9"/>
    </row>
    <row r="15642" spans="4:4" x14ac:dyDescent="0.25">
      <c r="D15642" s="9"/>
    </row>
    <row r="15643" spans="4:4" x14ac:dyDescent="0.25">
      <c r="D15643" s="9"/>
    </row>
    <row r="15644" spans="4:4" x14ac:dyDescent="0.25">
      <c r="D15644" s="9"/>
    </row>
    <row r="15645" spans="4:4" x14ac:dyDescent="0.25">
      <c r="D15645" s="9"/>
    </row>
    <row r="15646" spans="4:4" x14ac:dyDescent="0.25">
      <c r="D15646" s="9"/>
    </row>
    <row r="15647" spans="4:4" x14ac:dyDescent="0.25">
      <c r="D15647" s="9"/>
    </row>
    <row r="15648" spans="4:4" x14ac:dyDescent="0.25">
      <c r="D15648" s="9"/>
    </row>
    <row r="15649" spans="4:4" x14ac:dyDescent="0.25">
      <c r="D15649" s="9"/>
    </row>
    <row r="15650" spans="4:4" x14ac:dyDescent="0.25">
      <c r="D15650" s="9"/>
    </row>
    <row r="15651" spans="4:4" x14ac:dyDescent="0.25">
      <c r="D15651" s="9"/>
    </row>
    <row r="15652" spans="4:4" x14ac:dyDescent="0.25">
      <c r="D15652" s="9"/>
    </row>
    <row r="15653" spans="4:4" x14ac:dyDescent="0.25">
      <c r="D15653" s="9"/>
    </row>
    <row r="15654" spans="4:4" x14ac:dyDescent="0.25">
      <c r="D15654" s="9"/>
    </row>
    <row r="15655" spans="4:4" x14ac:dyDescent="0.25">
      <c r="D15655" s="9"/>
    </row>
    <row r="15656" spans="4:4" x14ac:dyDescent="0.25">
      <c r="D15656" s="9"/>
    </row>
    <row r="15657" spans="4:4" x14ac:dyDescent="0.25">
      <c r="D15657" s="9"/>
    </row>
    <row r="15658" spans="4:4" x14ac:dyDescent="0.25">
      <c r="D15658" s="9"/>
    </row>
    <row r="15659" spans="4:4" x14ac:dyDescent="0.25">
      <c r="D15659" s="9"/>
    </row>
    <row r="15660" spans="4:4" x14ac:dyDescent="0.25">
      <c r="D15660" s="9"/>
    </row>
    <row r="15661" spans="4:4" x14ac:dyDescent="0.25">
      <c r="D15661" s="9"/>
    </row>
    <row r="15662" spans="4:4" x14ac:dyDescent="0.25">
      <c r="D15662" s="9"/>
    </row>
    <row r="15663" spans="4:4" x14ac:dyDescent="0.25">
      <c r="D15663" s="9"/>
    </row>
    <row r="15664" spans="4:4" x14ac:dyDescent="0.25">
      <c r="D15664" s="9"/>
    </row>
    <row r="15665" spans="4:4" x14ac:dyDescent="0.25">
      <c r="D15665" s="9"/>
    </row>
    <row r="15666" spans="4:4" x14ac:dyDescent="0.25">
      <c r="D15666" s="9"/>
    </row>
    <row r="15667" spans="4:4" x14ac:dyDescent="0.25">
      <c r="D15667" s="9"/>
    </row>
    <row r="15668" spans="4:4" x14ac:dyDescent="0.25">
      <c r="D15668" s="9"/>
    </row>
    <row r="15669" spans="4:4" x14ac:dyDescent="0.25">
      <c r="D15669" s="9"/>
    </row>
    <row r="15670" spans="4:4" x14ac:dyDescent="0.25">
      <c r="D15670" s="9"/>
    </row>
    <row r="15671" spans="4:4" x14ac:dyDescent="0.25">
      <c r="D15671" s="9"/>
    </row>
    <row r="15672" spans="4:4" x14ac:dyDescent="0.25">
      <c r="D15672" s="9"/>
    </row>
    <row r="15673" spans="4:4" x14ac:dyDescent="0.25">
      <c r="D15673" s="9"/>
    </row>
    <row r="15674" spans="4:4" x14ac:dyDescent="0.25">
      <c r="D15674" s="9"/>
    </row>
    <row r="15675" spans="4:4" x14ac:dyDescent="0.25">
      <c r="D15675" s="9"/>
    </row>
    <row r="15676" spans="4:4" x14ac:dyDescent="0.25">
      <c r="D15676" s="9"/>
    </row>
    <row r="15677" spans="4:4" x14ac:dyDescent="0.25">
      <c r="D15677" s="9"/>
    </row>
    <row r="15678" spans="4:4" x14ac:dyDescent="0.25">
      <c r="D15678" s="9"/>
    </row>
    <row r="15679" spans="4:4" x14ac:dyDescent="0.25">
      <c r="D15679" s="9"/>
    </row>
    <row r="15680" spans="4:4" x14ac:dyDescent="0.25">
      <c r="D15680" s="9"/>
    </row>
    <row r="15681" spans="4:4" x14ac:dyDescent="0.25">
      <c r="D15681" s="9"/>
    </row>
    <row r="15682" spans="4:4" x14ac:dyDescent="0.25">
      <c r="D15682" s="9"/>
    </row>
    <row r="15683" spans="4:4" x14ac:dyDescent="0.25">
      <c r="D15683" s="9"/>
    </row>
    <row r="15684" spans="4:4" x14ac:dyDescent="0.25">
      <c r="D15684" s="9"/>
    </row>
    <row r="15685" spans="4:4" x14ac:dyDescent="0.25">
      <c r="D15685" s="9"/>
    </row>
    <row r="15686" spans="4:4" x14ac:dyDescent="0.25">
      <c r="D15686" s="9"/>
    </row>
    <row r="15687" spans="4:4" x14ac:dyDescent="0.25">
      <c r="D15687" s="9"/>
    </row>
    <row r="15688" spans="4:4" x14ac:dyDescent="0.25">
      <c r="D15688" s="9"/>
    </row>
    <row r="15689" spans="4:4" x14ac:dyDescent="0.25">
      <c r="D15689" s="9"/>
    </row>
    <row r="15690" spans="4:4" x14ac:dyDescent="0.25">
      <c r="D15690" s="9"/>
    </row>
    <row r="15691" spans="4:4" x14ac:dyDescent="0.25">
      <c r="D15691" s="9"/>
    </row>
    <row r="15692" spans="4:4" x14ac:dyDescent="0.25">
      <c r="D15692" s="9"/>
    </row>
    <row r="15693" spans="4:4" x14ac:dyDescent="0.25">
      <c r="D15693" s="9"/>
    </row>
    <row r="15694" spans="4:4" x14ac:dyDescent="0.25">
      <c r="D15694" s="9"/>
    </row>
    <row r="15695" spans="4:4" x14ac:dyDescent="0.25">
      <c r="D15695" s="9"/>
    </row>
    <row r="15696" spans="4:4" x14ac:dyDescent="0.25">
      <c r="D15696" s="9"/>
    </row>
    <row r="15697" spans="4:4" x14ac:dyDescent="0.25">
      <c r="D15697" s="9"/>
    </row>
    <row r="15698" spans="4:4" x14ac:dyDescent="0.25">
      <c r="D15698" s="9"/>
    </row>
    <row r="15699" spans="4:4" x14ac:dyDescent="0.25">
      <c r="D15699" s="9"/>
    </row>
    <row r="15700" spans="4:4" x14ac:dyDescent="0.25">
      <c r="D15700" s="9"/>
    </row>
    <row r="15701" spans="4:4" x14ac:dyDescent="0.25">
      <c r="D15701" s="9"/>
    </row>
    <row r="15702" spans="4:4" x14ac:dyDescent="0.25">
      <c r="D15702" s="9"/>
    </row>
    <row r="15703" spans="4:4" x14ac:dyDescent="0.25">
      <c r="D15703" s="9"/>
    </row>
    <row r="15704" spans="4:4" x14ac:dyDescent="0.25">
      <c r="D15704" s="9"/>
    </row>
    <row r="15705" spans="4:4" x14ac:dyDescent="0.25">
      <c r="D15705" s="9"/>
    </row>
    <row r="15706" spans="4:4" x14ac:dyDescent="0.25">
      <c r="D15706" s="9"/>
    </row>
    <row r="15707" spans="4:4" x14ac:dyDescent="0.25">
      <c r="D15707" s="9"/>
    </row>
    <row r="15708" spans="4:4" x14ac:dyDescent="0.25">
      <c r="D15708" s="9"/>
    </row>
    <row r="15709" spans="4:4" x14ac:dyDescent="0.25">
      <c r="D15709" s="9"/>
    </row>
    <row r="15710" spans="4:4" x14ac:dyDescent="0.25">
      <c r="D15710" s="9"/>
    </row>
    <row r="15711" spans="4:4" x14ac:dyDescent="0.25">
      <c r="D15711" s="9"/>
    </row>
    <row r="15712" spans="4:4" x14ac:dyDescent="0.25">
      <c r="D15712" s="9"/>
    </row>
    <row r="15713" spans="4:4" x14ac:dyDescent="0.25">
      <c r="D15713" s="9"/>
    </row>
    <row r="15714" spans="4:4" x14ac:dyDescent="0.25">
      <c r="D15714" s="9"/>
    </row>
    <row r="15715" spans="4:4" x14ac:dyDescent="0.25">
      <c r="D15715" s="9"/>
    </row>
    <row r="15716" spans="4:4" x14ac:dyDescent="0.25">
      <c r="D15716" s="9"/>
    </row>
    <row r="15717" spans="4:4" x14ac:dyDescent="0.25">
      <c r="D15717" s="9"/>
    </row>
    <row r="15718" spans="4:4" x14ac:dyDescent="0.25">
      <c r="D15718" s="9"/>
    </row>
    <row r="15719" spans="4:4" x14ac:dyDescent="0.25">
      <c r="D15719" s="9"/>
    </row>
    <row r="15720" spans="4:4" x14ac:dyDescent="0.25">
      <c r="D15720" s="9"/>
    </row>
    <row r="15721" spans="4:4" x14ac:dyDescent="0.25">
      <c r="D15721" s="9"/>
    </row>
    <row r="15722" spans="4:4" x14ac:dyDescent="0.25">
      <c r="D15722" s="9"/>
    </row>
    <row r="15723" spans="4:4" x14ac:dyDescent="0.25">
      <c r="D15723" s="9"/>
    </row>
    <row r="15724" spans="4:4" x14ac:dyDescent="0.25">
      <c r="D15724" s="9"/>
    </row>
    <row r="15725" spans="4:4" x14ac:dyDescent="0.25">
      <c r="D15725" s="9"/>
    </row>
    <row r="15726" spans="4:4" x14ac:dyDescent="0.25">
      <c r="D15726" s="9"/>
    </row>
    <row r="15727" spans="4:4" x14ac:dyDescent="0.25">
      <c r="D15727" s="9"/>
    </row>
    <row r="15728" spans="4:4" x14ac:dyDescent="0.25">
      <c r="D15728" s="9"/>
    </row>
    <row r="15729" spans="4:4" x14ac:dyDescent="0.25">
      <c r="D15729" s="9"/>
    </row>
    <row r="15730" spans="4:4" x14ac:dyDescent="0.25">
      <c r="D15730" s="9"/>
    </row>
    <row r="15731" spans="4:4" x14ac:dyDescent="0.25">
      <c r="D15731" s="9"/>
    </row>
    <row r="15732" spans="4:4" x14ac:dyDescent="0.25">
      <c r="D15732" s="9"/>
    </row>
    <row r="15733" spans="4:4" x14ac:dyDescent="0.25">
      <c r="D15733" s="9"/>
    </row>
    <row r="15734" spans="4:4" x14ac:dyDescent="0.25">
      <c r="D15734" s="9"/>
    </row>
    <row r="15735" spans="4:4" x14ac:dyDescent="0.25">
      <c r="D15735" s="9"/>
    </row>
    <row r="15736" spans="4:4" x14ac:dyDescent="0.25">
      <c r="D15736" s="9"/>
    </row>
    <row r="15737" spans="4:4" x14ac:dyDescent="0.25">
      <c r="D15737" s="9"/>
    </row>
    <row r="15738" spans="4:4" x14ac:dyDescent="0.25">
      <c r="D15738" s="9"/>
    </row>
    <row r="15739" spans="4:4" x14ac:dyDescent="0.25">
      <c r="D15739" s="9"/>
    </row>
    <row r="15740" spans="4:4" x14ac:dyDescent="0.25">
      <c r="D15740" s="9"/>
    </row>
    <row r="15741" spans="4:4" x14ac:dyDescent="0.25">
      <c r="D15741" s="9"/>
    </row>
    <row r="15742" spans="4:4" x14ac:dyDescent="0.25">
      <c r="D15742" s="9"/>
    </row>
    <row r="15743" spans="4:4" x14ac:dyDescent="0.25">
      <c r="D15743" s="9"/>
    </row>
    <row r="15744" spans="4:4" x14ac:dyDescent="0.25">
      <c r="D15744" s="9"/>
    </row>
    <row r="15745" spans="4:4" x14ac:dyDescent="0.25">
      <c r="D15745" s="9"/>
    </row>
    <row r="15746" spans="4:4" x14ac:dyDescent="0.25">
      <c r="D15746" s="9"/>
    </row>
    <row r="15747" spans="4:4" x14ac:dyDescent="0.25">
      <c r="D15747" s="9"/>
    </row>
    <row r="15748" spans="4:4" x14ac:dyDescent="0.25">
      <c r="D15748" s="9"/>
    </row>
    <row r="15749" spans="4:4" x14ac:dyDescent="0.25">
      <c r="D15749" s="9"/>
    </row>
    <row r="15750" spans="4:4" x14ac:dyDescent="0.25">
      <c r="D15750" s="9"/>
    </row>
    <row r="15751" spans="4:4" x14ac:dyDescent="0.25">
      <c r="D15751" s="9"/>
    </row>
    <row r="15752" spans="4:4" x14ac:dyDescent="0.25">
      <c r="D15752" s="9"/>
    </row>
    <row r="15753" spans="4:4" x14ac:dyDescent="0.25">
      <c r="D15753" s="9"/>
    </row>
    <row r="15754" spans="4:4" x14ac:dyDescent="0.25">
      <c r="D15754" s="9"/>
    </row>
    <row r="15755" spans="4:4" x14ac:dyDescent="0.25">
      <c r="D15755" s="9"/>
    </row>
    <row r="15756" spans="4:4" x14ac:dyDescent="0.25">
      <c r="D15756" s="9"/>
    </row>
    <row r="15757" spans="4:4" x14ac:dyDescent="0.25">
      <c r="D15757" s="9"/>
    </row>
    <row r="15758" spans="4:4" x14ac:dyDescent="0.25">
      <c r="D15758" s="9"/>
    </row>
    <row r="15759" spans="4:4" x14ac:dyDescent="0.25">
      <c r="D15759" s="9"/>
    </row>
    <row r="15760" spans="4:4" x14ac:dyDescent="0.25">
      <c r="D15760" s="9"/>
    </row>
    <row r="15761" spans="4:4" x14ac:dyDescent="0.25">
      <c r="D15761" s="9"/>
    </row>
    <row r="15762" spans="4:4" x14ac:dyDescent="0.25">
      <c r="D15762" s="9"/>
    </row>
    <row r="15763" spans="4:4" x14ac:dyDescent="0.25">
      <c r="D15763" s="9"/>
    </row>
    <row r="15764" spans="4:4" x14ac:dyDescent="0.25">
      <c r="D15764" s="9"/>
    </row>
    <row r="15765" spans="4:4" x14ac:dyDescent="0.25">
      <c r="D15765" s="9"/>
    </row>
    <row r="15766" spans="4:4" x14ac:dyDescent="0.25">
      <c r="D15766" s="9"/>
    </row>
    <row r="15767" spans="4:4" x14ac:dyDescent="0.25">
      <c r="D15767" s="9"/>
    </row>
    <row r="15768" spans="4:4" x14ac:dyDescent="0.25">
      <c r="D15768" s="9"/>
    </row>
    <row r="15769" spans="4:4" x14ac:dyDescent="0.25">
      <c r="D15769" s="9"/>
    </row>
    <row r="15770" spans="4:4" x14ac:dyDescent="0.25">
      <c r="D15770" s="9"/>
    </row>
    <row r="15771" spans="4:4" x14ac:dyDescent="0.25">
      <c r="D15771" s="9"/>
    </row>
    <row r="15772" spans="4:4" x14ac:dyDescent="0.25">
      <c r="D15772" s="9"/>
    </row>
    <row r="15773" spans="4:4" x14ac:dyDescent="0.25">
      <c r="D15773" s="9"/>
    </row>
    <row r="15774" spans="4:4" x14ac:dyDescent="0.25">
      <c r="D15774" s="9"/>
    </row>
    <row r="15775" spans="4:4" x14ac:dyDescent="0.25">
      <c r="D15775" s="9"/>
    </row>
    <row r="15776" spans="4:4" x14ac:dyDescent="0.25">
      <c r="D15776" s="9"/>
    </row>
    <row r="15777" spans="4:4" x14ac:dyDescent="0.25">
      <c r="D15777" s="9"/>
    </row>
    <row r="15778" spans="4:4" x14ac:dyDescent="0.25">
      <c r="D15778" s="9"/>
    </row>
    <row r="15779" spans="4:4" x14ac:dyDescent="0.25">
      <c r="D15779" s="9"/>
    </row>
    <row r="15780" spans="4:4" x14ac:dyDescent="0.25">
      <c r="D15780" s="9"/>
    </row>
    <row r="15781" spans="4:4" x14ac:dyDescent="0.25">
      <c r="D15781" s="9"/>
    </row>
    <row r="15782" spans="4:4" x14ac:dyDescent="0.25">
      <c r="D15782" s="9"/>
    </row>
    <row r="15783" spans="4:4" x14ac:dyDescent="0.25">
      <c r="D15783" s="9"/>
    </row>
    <row r="15784" spans="4:4" x14ac:dyDescent="0.25">
      <c r="D15784" s="9"/>
    </row>
    <row r="15785" spans="4:4" x14ac:dyDescent="0.25">
      <c r="D15785" s="9"/>
    </row>
    <row r="15786" spans="4:4" x14ac:dyDescent="0.25">
      <c r="D15786" s="9"/>
    </row>
    <row r="15787" spans="4:4" x14ac:dyDescent="0.25">
      <c r="D15787" s="9"/>
    </row>
    <row r="15788" spans="4:4" x14ac:dyDescent="0.25">
      <c r="D15788" s="9"/>
    </row>
    <row r="15789" spans="4:4" x14ac:dyDescent="0.25">
      <c r="D15789" s="9"/>
    </row>
    <row r="15790" spans="4:4" x14ac:dyDescent="0.25">
      <c r="D15790" s="9"/>
    </row>
    <row r="15791" spans="4:4" x14ac:dyDescent="0.25">
      <c r="D15791" s="9"/>
    </row>
    <row r="15792" spans="4:4" x14ac:dyDescent="0.25">
      <c r="D15792" s="9"/>
    </row>
    <row r="15793" spans="4:4" x14ac:dyDescent="0.25">
      <c r="D15793" s="9"/>
    </row>
    <row r="15794" spans="4:4" x14ac:dyDescent="0.25">
      <c r="D15794" s="9"/>
    </row>
    <row r="15795" spans="4:4" x14ac:dyDescent="0.25">
      <c r="D15795" s="9"/>
    </row>
    <row r="15796" spans="4:4" x14ac:dyDescent="0.25">
      <c r="D15796" s="9"/>
    </row>
    <row r="15797" spans="4:4" x14ac:dyDescent="0.25">
      <c r="D15797" s="9"/>
    </row>
    <row r="15798" spans="4:4" x14ac:dyDescent="0.25">
      <c r="D15798" s="9"/>
    </row>
    <row r="15799" spans="4:4" x14ac:dyDescent="0.25">
      <c r="D15799" s="9"/>
    </row>
    <row r="15800" spans="4:4" x14ac:dyDescent="0.25">
      <c r="D15800" s="9"/>
    </row>
    <row r="15801" spans="4:4" x14ac:dyDescent="0.25">
      <c r="D15801" s="9"/>
    </row>
    <row r="15802" spans="4:4" x14ac:dyDescent="0.25">
      <c r="D15802" s="9"/>
    </row>
    <row r="15803" spans="4:4" x14ac:dyDescent="0.25">
      <c r="D15803" s="9"/>
    </row>
    <row r="15804" spans="4:4" x14ac:dyDescent="0.25">
      <c r="D15804" s="9"/>
    </row>
    <row r="15805" spans="4:4" x14ac:dyDescent="0.25">
      <c r="D15805" s="9"/>
    </row>
    <row r="15806" spans="4:4" x14ac:dyDescent="0.25">
      <c r="D15806" s="9"/>
    </row>
    <row r="15807" spans="4:4" x14ac:dyDescent="0.25">
      <c r="D15807" s="9"/>
    </row>
    <row r="15808" spans="4:4" x14ac:dyDescent="0.25">
      <c r="D15808" s="9"/>
    </row>
    <row r="15809" spans="4:4" x14ac:dyDescent="0.25">
      <c r="D15809" s="9"/>
    </row>
    <row r="15810" spans="4:4" x14ac:dyDescent="0.25">
      <c r="D15810" s="9"/>
    </row>
    <row r="15811" spans="4:4" x14ac:dyDescent="0.25">
      <c r="D15811" s="9"/>
    </row>
    <row r="15812" spans="4:4" x14ac:dyDescent="0.25">
      <c r="D15812" s="9"/>
    </row>
    <row r="15813" spans="4:4" x14ac:dyDescent="0.25">
      <c r="D15813" s="9"/>
    </row>
    <row r="15814" spans="4:4" x14ac:dyDescent="0.25">
      <c r="D15814" s="9"/>
    </row>
    <row r="15815" spans="4:4" x14ac:dyDescent="0.25">
      <c r="D15815" s="9"/>
    </row>
    <row r="15816" spans="4:4" x14ac:dyDescent="0.25">
      <c r="D15816" s="9"/>
    </row>
    <row r="15817" spans="4:4" x14ac:dyDescent="0.25">
      <c r="D15817" s="9"/>
    </row>
    <row r="15818" spans="4:4" x14ac:dyDescent="0.25">
      <c r="D15818" s="9"/>
    </row>
    <row r="15819" spans="4:4" x14ac:dyDescent="0.25">
      <c r="D15819" s="9"/>
    </row>
    <row r="15820" spans="4:4" x14ac:dyDescent="0.25">
      <c r="D15820" s="9"/>
    </row>
    <row r="15821" spans="4:4" x14ac:dyDescent="0.25">
      <c r="D15821" s="9"/>
    </row>
    <row r="15822" spans="4:4" x14ac:dyDescent="0.25">
      <c r="D15822" s="9"/>
    </row>
    <row r="15823" spans="4:4" x14ac:dyDescent="0.25">
      <c r="D15823" s="9"/>
    </row>
    <row r="15824" spans="4:4" x14ac:dyDescent="0.25">
      <c r="D15824" s="9"/>
    </row>
    <row r="15825" spans="4:4" x14ac:dyDescent="0.25">
      <c r="D15825" s="9"/>
    </row>
    <row r="15826" spans="4:4" x14ac:dyDescent="0.25">
      <c r="D15826" s="9"/>
    </row>
    <row r="15827" spans="4:4" x14ac:dyDescent="0.25">
      <c r="D15827" s="9"/>
    </row>
    <row r="15828" spans="4:4" x14ac:dyDescent="0.25">
      <c r="D15828" s="9"/>
    </row>
    <row r="15829" spans="4:4" x14ac:dyDescent="0.25">
      <c r="D15829" s="9"/>
    </row>
    <row r="15830" spans="4:4" x14ac:dyDescent="0.25">
      <c r="D15830" s="9"/>
    </row>
    <row r="15831" spans="4:4" x14ac:dyDescent="0.25">
      <c r="D15831" s="9"/>
    </row>
    <row r="15832" spans="4:4" x14ac:dyDescent="0.25">
      <c r="D15832" s="9"/>
    </row>
    <row r="15833" spans="4:4" x14ac:dyDescent="0.25">
      <c r="D15833" s="9"/>
    </row>
    <row r="15834" spans="4:4" x14ac:dyDescent="0.25">
      <c r="D15834" s="9"/>
    </row>
    <row r="15835" spans="4:4" x14ac:dyDescent="0.25">
      <c r="D15835" s="9"/>
    </row>
    <row r="15836" spans="4:4" x14ac:dyDescent="0.25">
      <c r="D15836" s="9"/>
    </row>
    <row r="15837" spans="4:4" x14ac:dyDescent="0.25">
      <c r="D15837" s="9"/>
    </row>
    <row r="15838" spans="4:4" x14ac:dyDescent="0.25">
      <c r="D15838" s="9"/>
    </row>
    <row r="15839" spans="4:4" x14ac:dyDescent="0.25">
      <c r="D15839" s="9"/>
    </row>
    <row r="15840" spans="4:4" x14ac:dyDescent="0.25">
      <c r="D15840" s="9"/>
    </row>
    <row r="15841" spans="4:4" x14ac:dyDescent="0.25">
      <c r="D15841" s="9"/>
    </row>
    <row r="15842" spans="4:4" x14ac:dyDescent="0.25">
      <c r="D15842" s="9"/>
    </row>
    <row r="15843" spans="4:4" x14ac:dyDescent="0.25">
      <c r="D15843" s="9"/>
    </row>
    <row r="15844" spans="4:4" x14ac:dyDescent="0.25">
      <c r="D15844" s="9"/>
    </row>
    <row r="15845" spans="4:4" x14ac:dyDescent="0.25">
      <c r="D15845" s="9"/>
    </row>
    <row r="15846" spans="4:4" x14ac:dyDescent="0.25">
      <c r="D15846" s="9"/>
    </row>
    <row r="15847" spans="4:4" x14ac:dyDescent="0.25">
      <c r="D15847" s="9"/>
    </row>
    <row r="15848" spans="4:4" x14ac:dyDescent="0.25">
      <c r="D15848" s="9"/>
    </row>
    <row r="15849" spans="4:4" x14ac:dyDescent="0.25">
      <c r="D15849" s="9"/>
    </row>
    <row r="15850" spans="4:4" x14ac:dyDescent="0.25">
      <c r="D15850" s="9"/>
    </row>
    <row r="15851" spans="4:4" x14ac:dyDescent="0.25">
      <c r="D15851" s="9"/>
    </row>
    <row r="15852" spans="4:4" x14ac:dyDescent="0.25">
      <c r="D15852" s="9"/>
    </row>
    <row r="15853" spans="4:4" x14ac:dyDescent="0.25">
      <c r="D15853" s="9"/>
    </row>
    <row r="15854" spans="4:4" x14ac:dyDescent="0.25">
      <c r="D15854" s="9"/>
    </row>
    <row r="15855" spans="4:4" x14ac:dyDescent="0.25">
      <c r="D15855" s="9"/>
    </row>
    <row r="15856" spans="4:4" x14ac:dyDescent="0.25">
      <c r="D15856" s="9"/>
    </row>
    <row r="15857" spans="4:4" x14ac:dyDescent="0.25">
      <c r="D15857" s="9"/>
    </row>
    <row r="15858" spans="4:4" x14ac:dyDescent="0.25">
      <c r="D15858" s="9"/>
    </row>
    <row r="15859" spans="4:4" x14ac:dyDescent="0.25">
      <c r="D15859" s="9"/>
    </row>
    <row r="15860" spans="4:4" x14ac:dyDescent="0.25">
      <c r="D15860" s="9"/>
    </row>
    <row r="15861" spans="4:4" x14ac:dyDescent="0.25">
      <c r="D15861" s="9"/>
    </row>
    <row r="15862" spans="4:4" x14ac:dyDescent="0.25">
      <c r="D15862" s="9"/>
    </row>
    <row r="15863" spans="4:4" x14ac:dyDescent="0.25">
      <c r="D15863" s="9"/>
    </row>
    <row r="15864" spans="4:4" x14ac:dyDescent="0.25">
      <c r="D15864" s="9"/>
    </row>
    <row r="15865" spans="4:4" x14ac:dyDescent="0.25">
      <c r="D15865" s="9"/>
    </row>
    <row r="15866" spans="4:4" x14ac:dyDescent="0.25">
      <c r="D15866" s="9"/>
    </row>
    <row r="15867" spans="4:4" x14ac:dyDescent="0.25">
      <c r="D15867" s="9"/>
    </row>
    <row r="15868" spans="4:4" x14ac:dyDescent="0.25">
      <c r="D15868" s="9"/>
    </row>
    <row r="15869" spans="4:4" x14ac:dyDescent="0.25">
      <c r="D15869" s="9"/>
    </row>
    <row r="15870" spans="4:4" x14ac:dyDescent="0.25">
      <c r="D15870" s="9"/>
    </row>
    <row r="15871" spans="4:4" x14ac:dyDescent="0.25">
      <c r="D15871" s="9"/>
    </row>
    <row r="15872" spans="4:4" x14ac:dyDescent="0.25">
      <c r="D15872" s="9"/>
    </row>
    <row r="15873" spans="4:4" x14ac:dyDescent="0.25">
      <c r="D15873" s="9"/>
    </row>
    <row r="15874" spans="4:4" x14ac:dyDescent="0.25">
      <c r="D15874" s="9"/>
    </row>
    <row r="15875" spans="4:4" x14ac:dyDescent="0.25">
      <c r="D15875" s="9"/>
    </row>
    <row r="15876" spans="4:4" x14ac:dyDescent="0.25">
      <c r="D15876" s="9"/>
    </row>
    <row r="15877" spans="4:4" x14ac:dyDescent="0.25">
      <c r="D15877" s="9"/>
    </row>
    <row r="15878" spans="4:4" x14ac:dyDescent="0.25">
      <c r="D15878" s="9"/>
    </row>
    <row r="15879" spans="4:4" x14ac:dyDescent="0.25">
      <c r="D15879" s="9"/>
    </row>
    <row r="15880" spans="4:4" x14ac:dyDescent="0.25">
      <c r="D15880" s="9"/>
    </row>
    <row r="15881" spans="4:4" x14ac:dyDescent="0.25">
      <c r="D15881" s="9"/>
    </row>
    <row r="15882" spans="4:4" x14ac:dyDescent="0.25">
      <c r="D15882" s="9"/>
    </row>
    <row r="15883" spans="4:4" x14ac:dyDescent="0.25">
      <c r="D15883" s="9"/>
    </row>
    <row r="15884" spans="4:4" x14ac:dyDescent="0.25">
      <c r="D15884" s="9"/>
    </row>
    <row r="15885" spans="4:4" x14ac:dyDescent="0.25">
      <c r="D15885" s="9"/>
    </row>
    <row r="15886" spans="4:4" x14ac:dyDescent="0.25">
      <c r="D15886" s="9"/>
    </row>
    <row r="15887" spans="4:4" x14ac:dyDescent="0.25">
      <c r="D15887" s="9"/>
    </row>
    <row r="15888" spans="4:4" x14ac:dyDescent="0.25">
      <c r="D15888" s="9"/>
    </row>
    <row r="15889" spans="4:4" x14ac:dyDescent="0.25">
      <c r="D15889" s="9"/>
    </row>
    <row r="15890" spans="4:4" x14ac:dyDescent="0.25">
      <c r="D15890" s="9"/>
    </row>
    <row r="15891" spans="4:4" x14ac:dyDescent="0.25">
      <c r="D15891" s="9"/>
    </row>
    <row r="15892" spans="4:4" x14ac:dyDescent="0.25">
      <c r="D15892" s="9"/>
    </row>
    <row r="15893" spans="4:4" x14ac:dyDescent="0.25">
      <c r="D15893" s="9"/>
    </row>
    <row r="15894" spans="4:4" x14ac:dyDescent="0.25">
      <c r="D15894" s="9"/>
    </row>
    <row r="15895" spans="4:4" x14ac:dyDescent="0.25">
      <c r="D15895" s="9"/>
    </row>
    <row r="15896" spans="4:4" x14ac:dyDescent="0.25">
      <c r="D15896" s="9"/>
    </row>
    <row r="15897" spans="4:4" x14ac:dyDescent="0.25">
      <c r="D15897" s="9"/>
    </row>
    <row r="15898" spans="4:4" x14ac:dyDescent="0.25">
      <c r="D15898" s="9"/>
    </row>
    <row r="15899" spans="4:4" x14ac:dyDescent="0.25">
      <c r="D15899" s="9"/>
    </row>
    <row r="15900" spans="4:4" x14ac:dyDescent="0.25">
      <c r="D15900" s="9"/>
    </row>
    <row r="15901" spans="4:4" x14ac:dyDescent="0.25">
      <c r="D15901" s="9"/>
    </row>
    <row r="15902" spans="4:4" x14ac:dyDescent="0.25">
      <c r="D15902" s="9"/>
    </row>
    <row r="15903" spans="4:4" x14ac:dyDescent="0.25">
      <c r="D15903" s="9"/>
    </row>
    <row r="15904" spans="4:4" x14ac:dyDescent="0.25">
      <c r="D15904" s="9"/>
    </row>
    <row r="15905" spans="4:4" x14ac:dyDescent="0.25">
      <c r="D15905" s="9"/>
    </row>
    <row r="15906" spans="4:4" x14ac:dyDescent="0.25">
      <c r="D15906" s="9"/>
    </row>
    <row r="15907" spans="4:4" x14ac:dyDescent="0.25">
      <c r="D15907" s="9"/>
    </row>
    <row r="15908" spans="4:4" x14ac:dyDescent="0.25">
      <c r="D15908" s="9"/>
    </row>
    <row r="15909" spans="4:4" x14ac:dyDescent="0.25">
      <c r="D15909" s="9"/>
    </row>
    <row r="15910" spans="4:4" x14ac:dyDescent="0.25">
      <c r="D15910" s="9"/>
    </row>
    <row r="15911" spans="4:4" x14ac:dyDescent="0.25">
      <c r="D15911" s="9"/>
    </row>
    <row r="15912" spans="4:4" x14ac:dyDescent="0.25">
      <c r="D15912" s="9"/>
    </row>
    <row r="15913" spans="4:4" x14ac:dyDescent="0.25">
      <c r="D15913" s="9"/>
    </row>
    <row r="15914" spans="4:4" x14ac:dyDescent="0.25">
      <c r="D15914" s="9"/>
    </row>
    <row r="15915" spans="4:4" x14ac:dyDescent="0.25">
      <c r="D15915" s="9"/>
    </row>
    <row r="15916" spans="4:4" x14ac:dyDescent="0.25">
      <c r="D15916" s="9"/>
    </row>
    <row r="15917" spans="4:4" x14ac:dyDescent="0.25">
      <c r="D15917" s="9"/>
    </row>
    <row r="15918" spans="4:4" x14ac:dyDescent="0.25">
      <c r="D15918" s="9"/>
    </row>
    <row r="15919" spans="4:4" x14ac:dyDescent="0.25">
      <c r="D15919" s="9"/>
    </row>
    <row r="15920" spans="4:4" x14ac:dyDescent="0.25">
      <c r="D15920" s="9"/>
    </row>
    <row r="15921" spans="4:4" x14ac:dyDescent="0.25">
      <c r="D15921" s="9"/>
    </row>
    <row r="15922" spans="4:4" x14ac:dyDescent="0.25">
      <c r="D15922" s="9"/>
    </row>
    <row r="15923" spans="4:4" x14ac:dyDescent="0.25">
      <c r="D15923" s="9"/>
    </row>
    <row r="15924" spans="4:4" x14ac:dyDescent="0.25">
      <c r="D15924" s="9"/>
    </row>
    <row r="15925" spans="4:4" x14ac:dyDescent="0.25">
      <c r="D15925" s="9"/>
    </row>
    <row r="15926" spans="4:4" x14ac:dyDescent="0.25">
      <c r="D15926" s="9"/>
    </row>
    <row r="15927" spans="4:4" x14ac:dyDescent="0.25">
      <c r="D15927" s="9"/>
    </row>
    <row r="15928" spans="4:4" x14ac:dyDescent="0.25">
      <c r="D15928" s="9"/>
    </row>
    <row r="15929" spans="4:4" x14ac:dyDescent="0.25">
      <c r="D15929" s="9"/>
    </row>
    <row r="15930" spans="4:4" x14ac:dyDescent="0.25">
      <c r="D15930" s="9"/>
    </row>
    <row r="15931" spans="4:4" x14ac:dyDescent="0.25">
      <c r="D15931" s="9"/>
    </row>
    <row r="15932" spans="4:4" x14ac:dyDescent="0.25">
      <c r="D15932" s="9"/>
    </row>
    <row r="15933" spans="4:4" x14ac:dyDescent="0.25">
      <c r="D15933" s="9"/>
    </row>
    <row r="15934" spans="4:4" x14ac:dyDescent="0.25">
      <c r="D15934" s="9"/>
    </row>
    <row r="15935" spans="4:4" x14ac:dyDescent="0.25">
      <c r="D15935" s="9"/>
    </row>
    <row r="15936" spans="4:4" x14ac:dyDescent="0.25">
      <c r="D15936" s="9"/>
    </row>
    <row r="15937" spans="4:4" x14ac:dyDescent="0.25">
      <c r="D15937" s="9"/>
    </row>
    <row r="15938" spans="4:4" x14ac:dyDescent="0.25">
      <c r="D15938" s="9"/>
    </row>
    <row r="15939" spans="4:4" x14ac:dyDescent="0.25">
      <c r="D15939" s="9"/>
    </row>
    <row r="15940" spans="4:4" x14ac:dyDescent="0.25">
      <c r="D15940" s="9"/>
    </row>
    <row r="15941" spans="4:4" x14ac:dyDescent="0.25">
      <c r="D15941" s="9"/>
    </row>
    <row r="15942" spans="4:4" x14ac:dyDescent="0.25">
      <c r="D15942" s="9"/>
    </row>
    <row r="15943" spans="4:4" x14ac:dyDescent="0.25">
      <c r="D15943" s="9"/>
    </row>
    <row r="15944" spans="4:4" x14ac:dyDescent="0.25">
      <c r="D15944" s="9"/>
    </row>
    <row r="15945" spans="4:4" x14ac:dyDescent="0.25">
      <c r="D15945" s="9"/>
    </row>
    <row r="15946" spans="4:4" x14ac:dyDescent="0.25">
      <c r="D15946" s="9"/>
    </row>
    <row r="15947" spans="4:4" x14ac:dyDescent="0.25">
      <c r="D15947" s="9"/>
    </row>
    <row r="15948" spans="4:4" x14ac:dyDescent="0.25">
      <c r="D15948" s="9"/>
    </row>
    <row r="15949" spans="4:4" x14ac:dyDescent="0.25">
      <c r="D15949" s="9"/>
    </row>
    <row r="15950" spans="4:4" x14ac:dyDescent="0.25">
      <c r="D15950" s="9"/>
    </row>
    <row r="15951" spans="4:4" x14ac:dyDescent="0.25">
      <c r="D15951" s="9"/>
    </row>
    <row r="15952" spans="4:4" x14ac:dyDescent="0.25">
      <c r="D15952" s="9"/>
    </row>
    <row r="15953" spans="4:4" x14ac:dyDescent="0.25">
      <c r="D15953" s="9"/>
    </row>
    <row r="15954" spans="4:4" x14ac:dyDescent="0.25">
      <c r="D15954" s="9"/>
    </row>
    <row r="15955" spans="4:4" x14ac:dyDescent="0.25">
      <c r="D15955" s="9"/>
    </row>
    <row r="15956" spans="4:4" x14ac:dyDescent="0.25">
      <c r="D15956" s="9"/>
    </row>
    <row r="15957" spans="4:4" x14ac:dyDescent="0.25">
      <c r="D15957" s="9"/>
    </row>
    <row r="15958" spans="4:4" x14ac:dyDescent="0.25">
      <c r="D15958" s="9"/>
    </row>
    <row r="15959" spans="4:4" x14ac:dyDescent="0.25">
      <c r="D15959" s="9"/>
    </row>
    <row r="15960" spans="4:4" x14ac:dyDescent="0.25">
      <c r="D15960" s="9"/>
    </row>
    <row r="15961" spans="4:4" x14ac:dyDescent="0.25">
      <c r="D15961" s="9"/>
    </row>
    <row r="15962" spans="4:4" x14ac:dyDescent="0.25">
      <c r="D15962" s="9"/>
    </row>
    <row r="15963" spans="4:4" x14ac:dyDescent="0.25">
      <c r="D15963" s="9"/>
    </row>
    <row r="15964" spans="4:4" x14ac:dyDescent="0.25">
      <c r="D15964" s="9"/>
    </row>
    <row r="15965" spans="4:4" x14ac:dyDescent="0.25">
      <c r="D15965" s="9"/>
    </row>
    <row r="15966" spans="4:4" x14ac:dyDescent="0.25">
      <c r="D15966" s="9"/>
    </row>
    <row r="15967" spans="4:4" x14ac:dyDescent="0.25">
      <c r="D15967" s="9"/>
    </row>
    <row r="15968" spans="4:4" x14ac:dyDescent="0.25">
      <c r="D15968" s="9"/>
    </row>
    <row r="15969" spans="4:4" x14ac:dyDescent="0.25">
      <c r="D15969" s="9"/>
    </row>
    <row r="15970" spans="4:4" x14ac:dyDescent="0.25">
      <c r="D15970" s="9"/>
    </row>
    <row r="15971" spans="4:4" x14ac:dyDescent="0.25">
      <c r="D15971" s="9"/>
    </row>
    <row r="15972" spans="4:4" x14ac:dyDescent="0.25">
      <c r="D15972" s="9"/>
    </row>
    <row r="15973" spans="4:4" x14ac:dyDescent="0.25">
      <c r="D15973" s="9"/>
    </row>
    <row r="15974" spans="4:4" x14ac:dyDescent="0.25">
      <c r="D15974" s="9"/>
    </row>
    <row r="15975" spans="4:4" x14ac:dyDescent="0.25">
      <c r="D15975" s="9"/>
    </row>
    <row r="15976" spans="4:4" x14ac:dyDescent="0.25">
      <c r="D15976" s="9"/>
    </row>
    <row r="15977" spans="4:4" x14ac:dyDescent="0.25">
      <c r="D15977" s="9"/>
    </row>
    <row r="15978" spans="4:4" x14ac:dyDescent="0.25">
      <c r="D15978" s="9"/>
    </row>
    <row r="15979" spans="4:4" x14ac:dyDescent="0.25">
      <c r="D15979" s="9"/>
    </row>
    <row r="15980" spans="4:4" x14ac:dyDescent="0.25">
      <c r="D15980" s="9"/>
    </row>
    <row r="15981" spans="4:4" x14ac:dyDescent="0.25">
      <c r="D15981" s="9"/>
    </row>
    <row r="15982" spans="4:4" x14ac:dyDescent="0.25">
      <c r="D15982" s="9"/>
    </row>
    <row r="15983" spans="4:4" x14ac:dyDescent="0.25">
      <c r="D15983" s="9"/>
    </row>
    <row r="15984" spans="4:4" x14ac:dyDescent="0.25">
      <c r="D15984" s="9"/>
    </row>
    <row r="15985" spans="4:4" x14ac:dyDescent="0.25">
      <c r="D15985" s="9"/>
    </row>
    <row r="15986" spans="4:4" x14ac:dyDescent="0.25">
      <c r="D15986" s="9"/>
    </row>
    <row r="15987" spans="4:4" x14ac:dyDescent="0.25">
      <c r="D15987" s="9"/>
    </row>
    <row r="15988" spans="4:4" x14ac:dyDescent="0.25">
      <c r="D15988" s="9"/>
    </row>
    <row r="15989" spans="4:4" x14ac:dyDescent="0.25">
      <c r="D15989" s="9"/>
    </row>
    <row r="15990" spans="4:4" x14ac:dyDescent="0.25">
      <c r="D15990" s="9"/>
    </row>
    <row r="15991" spans="4:4" x14ac:dyDescent="0.25">
      <c r="D15991" s="9"/>
    </row>
    <row r="15992" spans="4:4" x14ac:dyDescent="0.25">
      <c r="D15992" s="9"/>
    </row>
    <row r="15993" spans="4:4" x14ac:dyDescent="0.25">
      <c r="D15993" s="9"/>
    </row>
    <row r="15994" spans="4:4" x14ac:dyDescent="0.25">
      <c r="D15994" s="9"/>
    </row>
    <row r="15995" spans="4:4" x14ac:dyDescent="0.25">
      <c r="D15995" s="9"/>
    </row>
    <row r="15996" spans="4:4" x14ac:dyDescent="0.25">
      <c r="D15996" s="9"/>
    </row>
    <row r="15997" spans="4:4" x14ac:dyDescent="0.25">
      <c r="D15997" s="9"/>
    </row>
    <row r="15998" spans="4:4" x14ac:dyDescent="0.25">
      <c r="D15998" s="9"/>
    </row>
    <row r="15999" spans="4:4" x14ac:dyDescent="0.25">
      <c r="D15999" s="9"/>
    </row>
    <row r="16000" spans="4:4" x14ac:dyDescent="0.25">
      <c r="D16000" s="9"/>
    </row>
    <row r="16001" spans="4:4" x14ac:dyDescent="0.25">
      <c r="D16001" s="9"/>
    </row>
    <row r="16002" spans="4:4" x14ac:dyDescent="0.25">
      <c r="D16002" s="9"/>
    </row>
    <row r="16003" spans="4:4" x14ac:dyDescent="0.25">
      <c r="D16003" s="9"/>
    </row>
    <row r="16004" spans="4:4" x14ac:dyDescent="0.25">
      <c r="D16004" s="9"/>
    </row>
    <row r="16005" spans="4:4" x14ac:dyDescent="0.25">
      <c r="D16005" s="9"/>
    </row>
    <row r="16006" spans="4:4" x14ac:dyDescent="0.25">
      <c r="D16006" s="9"/>
    </row>
    <row r="16007" spans="4:4" x14ac:dyDescent="0.25">
      <c r="D16007" s="9"/>
    </row>
    <row r="16008" spans="4:4" x14ac:dyDescent="0.25">
      <c r="D16008" s="9"/>
    </row>
    <row r="16009" spans="4:4" x14ac:dyDescent="0.25">
      <c r="D16009" s="9"/>
    </row>
    <row r="16010" spans="4:4" x14ac:dyDescent="0.25">
      <c r="D16010" s="9"/>
    </row>
    <row r="16011" spans="4:4" x14ac:dyDescent="0.25">
      <c r="D16011" s="9"/>
    </row>
    <row r="16012" spans="4:4" x14ac:dyDescent="0.25">
      <c r="D16012" s="9"/>
    </row>
    <row r="16013" spans="4:4" x14ac:dyDescent="0.25">
      <c r="D16013" s="9"/>
    </row>
    <row r="16014" spans="4:4" x14ac:dyDescent="0.25">
      <c r="D16014" s="9"/>
    </row>
    <row r="16015" spans="4:4" x14ac:dyDescent="0.25">
      <c r="D16015" s="9"/>
    </row>
    <row r="16016" spans="4:4" x14ac:dyDescent="0.25">
      <c r="D16016" s="9"/>
    </row>
    <row r="16017" spans="4:4" x14ac:dyDescent="0.25">
      <c r="D16017" s="9"/>
    </row>
    <row r="16018" spans="4:4" x14ac:dyDescent="0.25">
      <c r="D16018" s="9"/>
    </row>
    <row r="16019" spans="4:4" x14ac:dyDescent="0.25">
      <c r="D16019" s="9"/>
    </row>
    <row r="16020" spans="4:4" x14ac:dyDescent="0.25">
      <c r="D16020" s="9"/>
    </row>
    <row r="16021" spans="4:4" x14ac:dyDescent="0.25">
      <c r="D16021" s="9"/>
    </row>
    <row r="16022" spans="4:4" x14ac:dyDescent="0.25">
      <c r="D16022" s="9"/>
    </row>
    <row r="16023" spans="4:4" x14ac:dyDescent="0.25">
      <c r="D16023" s="9"/>
    </row>
    <row r="16024" spans="4:4" x14ac:dyDescent="0.25">
      <c r="D16024" s="9"/>
    </row>
    <row r="16025" spans="4:4" x14ac:dyDescent="0.25">
      <c r="D16025" s="9"/>
    </row>
    <row r="16026" spans="4:4" x14ac:dyDescent="0.25">
      <c r="D16026" s="9"/>
    </row>
    <row r="16027" spans="4:4" x14ac:dyDescent="0.25">
      <c r="D16027" s="9"/>
    </row>
    <row r="16028" spans="4:4" x14ac:dyDescent="0.25">
      <c r="D16028" s="9"/>
    </row>
    <row r="16029" spans="4:4" x14ac:dyDescent="0.25">
      <c r="D16029" s="9"/>
    </row>
    <row r="16030" spans="4:4" x14ac:dyDescent="0.25">
      <c r="D16030" s="9"/>
    </row>
    <row r="16031" spans="4:4" x14ac:dyDescent="0.25">
      <c r="D16031" s="9"/>
    </row>
    <row r="16032" spans="4:4" x14ac:dyDescent="0.25">
      <c r="D16032" s="9"/>
    </row>
    <row r="16033" spans="4:4" x14ac:dyDescent="0.25">
      <c r="D16033" s="9"/>
    </row>
    <row r="16034" spans="4:4" x14ac:dyDescent="0.25">
      <c r="D16034" s="9"/>
    </row>
    <row r="16035" spans="4:4" x14ac:dyDescent="0.25">
      <c r="D16035" s="9"/>
    </row>
    <row r="16036" spans="4:4" x14ac:dyDescent="0.25">
      <c r="D16036" s="9"/>
    </row>
    <row r="16037" spans="4:4" x14ac:dyDescent="0.25">
      <c r="D16037" s="9"/>
    </row>
    <row r="16038" spans="4:4" x14ac:dyDescent="0.25">
      <c r="D16038" s="9"/>
    </row>
    <row r="16039" spans="4:4" x14ac:dyDescent="0.25">
      <c r="D16039" s="9"/>
    </row>
    <row r="16040" spans="4:4" x14ac:dyDescent="0.25">
      <c r="D16040" s="9"/>
    </row>
    <row r="16041" spans="4:4" x14ac:dyDescent="0.25">
      <c r="D16041" s="9"/>
    </row>
    <row r="16042" spans="4:4" x14ac:dyDescent="0.25">
      <c r="D16042" s="9"/>
    </row>
    <row r="16043" spans="4:4" x14ac:dyDescent="0.25">
      <c r="D16043" s="9"/>
    </row>
    <row r="16044" spans="4:4" x14ac:dyDescent="0.25">
      <c r="D16044" s="9"/>
    </row>
    <row r="16045" spans="4:4" x14ac:dyDescent="0.25">
      <c r="D16045" s="9"/>
    </row>
    <row r="16046" spans="4:4" x14ac:dyDescent="0.25">
      <c r="D16046" s="9"/>
    </row>
    <row r="16047" spans="4:4" x14ac:dyDescent="0.25">
      <c r="D16047" s="9"/>
    </row>
    <row r="16048" spans="4:4" x14ac:dyDescent="0.25">
      <c r="D16048" s="9"/>
    </row>
    <row r="16049" spans="4:4" x14ac:dyDescent="0.25">
      <c r="D16049" s="9"/>
    </row>
    <row r="16050" spans="4:4" x14ac:dyDescent="0.25">
      <c r="D16050" s="9"/>
    </row>
    <row r="16051" spans="4:4" x14ac:dyDescent="0.25">
      <c r="D16051" s="9"/>
    </row>
    <row r="16052" spans="4:4" x14ac:dyDescent="0.25">
      <c r="D16052" s="9"/>
    </row>
    <row r="16053" spans="4:4" x14ac:dyDescent="0.25">
      <c r="D16053" s="9"/>
    </row>
    <row r="16054" spans="4:4" x14ac:dyDescent="0.25">
      <c r="D16054" s="9"/>
    </row>
    <row r="16055" spans="4:4" x14ac:dyDescent="0.25">
      <c r="D16055" s="9"/>
    </row>
    <row r="16056" spans="4:4" x14ac:dyDescent="0.25">
      <c r="D16056" s="9"/>
    </row>
    <row r="16057" spans="4:4" x14ac:dyDescent="0.25">
      <c r="D16057" s="9"/>
    </row>
    <row r="16058" spans="4:4" x14ac:dyDescent="0.25">
      <c r="D16058" s="9"/>
    </row>
    <row r="16059" spans="4:4" x14ac:dyDescent="0.25">
      <c r="D16059" s="9"/>
    </row>
    <row r="16060" spans="4:4" x14ac:dyDescent="0.25">
      <c r="D16060" s="9"/>
    </row>
    <row r="16061" spans="4:4" x14ac:dyDescent="0.25">
      <c r="D16061" s="9"/>
    </row>
    <row r="16062" spans="4:4" x14ac:dyDescent="0.25">
      <c r="D16062" s="9"/>
    </row>
    <row r="16063" spans="4:4" x14ac:dyDescent="0.25">
      <c r="D16063" s="9"/>
    </row>
    <row r="16064" spans="4:4" x14ac:dyDescent="0.25">
      <c r="D16064" s="9"/>
    </row>
    <row r="16065" spans="4:4" x14ac:dyDescent="0.25">
      <c r="D16065" s="9"/>
    </row>
    <row r="16066" spans="4:4" x14ac:dyDescent="0.25">
      <c r="D16066" s="9"/>
    </row>
    <row r="16067" spans="4:4" x14ac:dyDescent="0.25">
      <c r="D16067" s="9"/>
    </row>
    <row r="16068" spans="4:4" x14ac:dyDescent="0.25">
      <c r="D16068" s="9"/>
    </row>
    <row r="16069" spans="4:4" x14ac:dyDescent="0.25">
      <c r="D16069" s="9"/>
    </row>
    <row r="16070" spans="4:4" x14ac:dyDescent="0.25">
      <c r="D16070" s="9"/>
    </row>
    <row r="16071" spans="4:4" x14ac:dyDescent="0.25">
      <c r="D16071" s="9"/>
    </row>
    <row r="16072" spans="4:4" x14ac:dyDescent="0.25">
      <c r="D16072" s="9"/>
    </row>
    <row r="16073" spans="4:4" x14ac:dyDescent="0.25">
      <c r="D16073" s="9"/>
    </row>
    <row r="16074" spans="4:4" x14ac:dyDescent="0.25">
      <c r="D16074" s="9"/>
    </row>
    <row r="16075" spans="4:4" x14ac:dyDescent="0.25">
      <c r="D16075" s="9"/>
    </row>
    <row r="16076" spans="4:4" x14ac:dyDescent="0.25">
      <c r="D16076" s="9"/>
    </row>
    <row r="16077" spans="4:4" x14ac:dyDescent="0.25">
      <c r="D16077" s="9"/>
    </row>
    <row r="16078" spans="4:4" x14ac:dyDescent="0.25">
      <c r="D16078" s="9"/>
    </row>
    <row r="16079" spans="4:4" x14ac:dyDescent="0.25">
      <c r="D16079" s="9"/>
    </row>
    <row r="16080" spans="4:4" x14ac:dyDescent="0.25">
      <c r="D16080" s="9"/>
    </row>
    <row r="16081" spans="4:4" x14ac:dyDescent="0.25">
      <c r="D16081" s="9"/>
    </row>
    <row r="16082" spans="4:4" x14ac:dyDescent="0.25">
      <c r="D16082" s="9"/>
    </row>
    <row r="16083" spans="4:4" x14ac:dyDescent="0.25">
      <c r="D16083" s="9"/>
    </row>
    <row r="16084" spans="4:4" x14ac:dyDescent="0.25">
      <c r="D16084" s="9"/>
    </row>
    <row r="16085" spans="4:4" x14ac:dyDescent="0.25">
      <c r="D16085" s="9"/>
    </row>
    <row r="16086" spans="4:4" x14ac:dyDescent="0.25">
      <c r="D16086" s="9"/>
    </row>
    <row r="16087" spans="4:4" x14ac:dyDescent="0.25">
      <c r="D16087" s="9"/>
    </row>
    <row r="16088" spans="4:4" x14ac:dyDescent="0.25">
      <c r="D16088" s="9"/>
    </row>
    <row r="16089" spans="4:4" x14ac:dyDescent="0.25">
      <c r="D16089" s="9"/>
    </row>
    <row r="16090" spans="4:4" x14ac:dyDescent="0.25">
      <c r="D16090" s="9"/>
    </row>
    <row r="16091" spans="4:4" x14ac:dyDescent="0.25">
      <c r="D16091" s="9"/>
    </row>
    <row r="16092" spans="4:4" x14ac:dyDescent="0.25">
      <c r="D16092" s="9"/>
    </row>
    <row r="16093" spans="4:4" x14ac:dyDescent="0.25">
      <c r="D16093" s="9"/>
    </row>
    <row r="16094" spans="4:4" x14ac:dyDescent="0.25">
      <c r="D16094" s="9"/>
    </row>
    <row r="16095" spans="4:4" x14ac:dyDescent="0.25">
      <c r="D16095" s="9"/>
    </row>
    <row r="16096" spans="4:4" x14ac:dyDescent="0.25">
      <c r="D16096" s="9"/>
    </row>
    <row r="16097" spans="4:4" x14ac:dyDescent="0.25">
      <c r="D16097" s="9"/>
    </row>
    <row r="16098" spans="4:4" x14ac:dyDescent="0.25">
      <c r="D16098" s="9"/>
    </row>
    <row r="16099" spans="4:4" x14ac:dyDescent="0.25">
      <c r="D16099" s="9"/>
    </row>
    <row r="16100" spans="4:4" x14ac:dyDescent="0.25">
      <c r="D16100" s="9"/>
    </row>
    <row r="16101" spans="4:4" x14ac:dyDescent="0.25">
      <c r="D16101" s="9"/>
    </row>
    <row r="16102" spans="4:4" x14ac:dyDescent="0.25">
      <c r="D16102" s="9"/>
    </row>
    <row r="16103" spans="4:4" x14ac:dyDescent="0.25">
      <c r="D16103" s="9"/>
    </row>
    <row r="16104" spans="4:4" x14ac:dyDescent="0.25">
      <c r="D16104" s="9"/>
    </row>
    <row r="16105" spans="4:4" x14ac:dyDescent="0.25">
      <c r="D16105" s="9"/>
    </row>
    <row r="16106" spans="4:4" x14ac:dyDescent="0.25">
      <c r="D16106" s="9"/>
    </row>
    <row r="16107" spans="4:4" x14ac:dyDescent="0.25">
      <c r="D16107" s="9"/>
    </row>
    <row r="16108" spans="4:4" x14ac:dyDescent="0.25">
      <c r="D16108" s="9"/>
    </row>
    <row r="16109" spans="4:4" x14ac:dyDescent="0.25">
      <c r="D16109" s="9"/>
    </row>
    <row r="16110" spans="4:4" x14ac:dyDescent="0.25">
      <c r="D16110" s="9"/>
    </row>
    <row r="16111" spans="4:4" x14ac:dyDescent="0.25">
      <c r="D16111" s="9"/>
    </row>
    <row r="16112" spans="4:4" x14ac:dyDescent="0.25">
      <c r="D16112" s="9"/>
    </row>
    <row r="16113" spans="4:4" x14ac:dyDescent="0.25">
      <c r="D16113" s="9"/>
    </row>
    <row r="16114" spans="4:4" x14ac:dyDescent="0.25">
      <c r="D16114" s="9"/>
    </row>
    <row r="16115" spans="4:4" x14ac:dyDescent="0.25">
      <c r="D16115" s="9"/>
    </row>
    <row r="16116" spans="4:4" x14ac:dyDescent="0.25">
      <c r="D16116" s="9"/>
    </row>
    <row r="16117" spans="4:4" x14ac:dyDescent="0.25">
      <c r="D16117" s="9"/>
    </row>
    <row r="16118" spans="4:4" x14ac:dyDescent="0.25">
      <c r="D16118" s="9"/>
    </row>
    <row r="16119" spans="4:4" x14ac:dyDescent="0.25">
      <c r="D16119" s="9"/>
    </row>
    <row r="16120" spans="4:4" x14ac:dyDescent="0.25">
      <c r="D16120" s="9"/>
    </row>
    <row r="16121" spans="4:4" x14ac:dyDescent="0.25">
      <c r="D16121" s="9"/>
    </row>
    <row r="16122" spans="4:4" x14ac:dyDescent="0.25">
      <c r="D16122" s="9"/>
    </row>
    <row r="16123" spans="4:4" x14ac:dyDescent="0.25">
      <c r="D16123" s="9"/>
    </row>
    <row r="16124" spans="4:4" x14ac:dyDescent="0.25">
      <c r="D16124" s="9"/>
    </row>
    <row r="16125" spans="4:4" x14ac:dyDescent="0.25">
      <c r="D16125" s="9"/>
    </row>
    <row r="16126" spans="4:4" x14ac:dyDescent="0.25">
      <c r="D16126" s="9"/>
    </row>
    <row r="16127" spans="4:4" x14ac:dyDescent="0.25">
      <c r="D16127" s="9"/>
    </row>
    <row r="16128" spans="4:4" x14ac:dyDescent="0.25">
      <c r="D16128" s="9"/>
    </row>
    <row r="16129" spans="4:4" x14ac:dyDescent="0.25">
      <c r="D16129" s="9"/>
    </row>
    <row r="16130" spans="4:4" x14ac:dyDescent="0.25">
      <c r="D16130" s="9"/>
    </row>
    <row r="16131" spans="4:4" x14ac:dyDescent="0.25">
      <c r="D16131" s="9"/>
    </row>
    <row r="16132" spans="4:4" x14ac:dyDescent="0.25">
      <c r="D16132" s="9"/>
    </row>
    <row r="16133" spans="4:4" x14ac:dyDescent="0.25">
      <c r="D16133" s="9"/>
    </row>
    <row r="16134" spans="4:4" x14ac:dyDescent="0.25">
      <c r="D16134" s="9"/>
    </row>
    <row r="16135" spans="4:4" x14ac:dyDescent="0.25">
      <c r="D16135" s="9"/>
    </row>
    <row r="16136" spans="4:4" x14ac:dyDescent="0.25">
      <c r="D16136" s="9"/>
    </row>
    <row r="16137" spans="4:4" x14ac:dyDescent="0.25">
      <c r="D16137" s="9"/>
    </row>
    <row r="16138" spans="4:4" x14ac:dyDescent="0.25">
      <c r="D16138" s="9"/>
    </row>
    <row r="16139" spans="4:4" x14ac:dyDescent="0.25">
      <c r="D16139" s="9"/>
    </row>
    <row r="16140" spans="4:4" x14ac:dyDescent="0.25">
      <c r="D16140" s="9"/>
    </row>
    <row r="16141" spans="4:4" x14ac:dyDescent="0.25">
      <c r="D16141" s="9"/>
    </row>
    <row r="16142" spans="4:4" x14ac:dyDescent="0.25">
      <c r="D16142" s="9"/>
    </row>
    <row r="16143" spans="4:4" x14ac:dyDescent="0.25">
      <c r="D16143" s="9"/>
    </row>
    <row r="16144" spans="4:4" x14ac:dyDescent="0.25">
      <c r="D16144" s="9"/>
    </row>
    <row r="16145" spans="4:4" x14ac:dyDescent="0.25">
      <c r="D16145" s="9"/>
    </row>
    <row r="16146" spans="4:4" x14ac:dyDescent="0.25">
      <c r="D16146" s="9"/>
    </row>
    <row r="16147" spans="4:4" x14ac:dyDescent="0.25">
      <c r="D16147" s="9"/>
    </row>
    <row r="16148" spans="4:4" x14ac:dyDescent="0.25">
      <c r="D16148" s="9"/>
    </row>
    <row r="16149" spans="4:4" x14ac:dyDescent="0.25">
      <c r="D16149" s="9"/>
    </row>
    <row r="16150" spans="4:4" x14ac:dyDescent="0.25">
      <c r="D16150" s="9"/>
    </row>
    <row r="16151" spans="4:4" x14ac:dyDescent="0.25">
      <c r="D16151" s="9"/>
    </row>
    <row r="16152" spans="4:4" x14ac:dyDescent="0.25">
      <c r="D16152" s="9"/>
    </row>
    <row r="16153" spans="4:4" x14ac:dyDescent="0.25">
      <c r="D16153" s="9"/>
    </row>
    <row r="16154" spans="4:4" x14ac:dyDescent="0.25">
      <c r="D16154" s="9"/>
    </row>
    <row r="16155" spans="4:4" x14ac:dyDescent="0.25">
      <c r="D16155" s="9"/>
    </row>
    <row r="16156" spans="4:4" x14ac:dyDescent="0.25">
      <c r="D16156" s="9"/>
    </row>
    <row r="16157" spans="4:4" x14ac:dyDescent="0.25">
      <c r="D16157" s="9"/>
    </row>
    <row r="16158" spans="4:4" x14ac:dyDescent="0.25">
      <c r="D16158" s="9"/>
    </row>
    <row r="16159" spans="4:4" x14ac:dyDescent="0.25">
      <c r="D16159" s="9"/>
    </row>
    <row r="16160" spans="4:4" x14ac:dyDescent="0.25">
      <c r="D16160" s="9"/>
    </row>
    <row r="16161" spans="4:4" x14ac:dyDescent="0.25">
      <c r="D16161" s="9"/>
    </row>
    <row r="16162" spans="4:4" x14ac:dyDescent="0.25">
      <c r="D16162" s="9"/>
    </row>
    <row r="16163" spans="4:4" x14ac:dyDescent="0.25">
      <c r="D16163" s="9"/>
    </row>
    <row r="16164" spans="4:4" x14ac:dyDescent="0.25">
      <c r="D16164" s="9"/>
    </row>
    <row r="16165" spans="4:4" x14ac:dyDescent="0.25">
      <c r="D16165" s="9"/>
    </row>
    <row r="16166" spans="4:4" x14ac:dyDescent="0.25">
      <c r="D16166" s="9"/>
    </row>
    <row r="16167" spans="4:4" x14ac:dyDescent="0.25">
      <c r="D16167" s="9"/>
    </row>
    <row r="16168" spans="4:4" x14ac:dyDescent="0.25">
      <c r="D16168" s="9"/>
    </row>
    <row r="16169" spans="4:4" x14ac:dyDescent="0.25">
      <c r="D16169" s="9"/>
    </row>
    <row r="16170" spans="4:4" x14ac:dyDescent="0.25">
      <c r="D16170" s="9"/>
    </row>
    <row r="16171" spans="4:4" x14ac:dyDescent="0.25">
      <c r="D16171" s="9"/>
    </row>
    <row r="16172" spans="4:4" x14ac:dyDescent="0.25">
      <c r="D16172" s="9"/>
    </row>
    <row r="16173" spans="4:4" x14ac:dyDescent="0.25">
      <c r="D16173" s="9"/>
    </row>
    <row r="16174" spans="4:4" x14ac:dyDescent="0.25">
      <c r="D16174" s="9"/>
    </row>
    <row r="16175" spans="4:4" x14ac:dyDescent="0.25">
      <c r="D16175" s="9"/>
    </row>
    <row r="16176" spans="4:4" x14ac:dyDescent="0.25">
      <c r="D16176" s="9"/>
    </row>
    <row r="16177" spans="4:4" x14ac:dyDescent="0.25">
      <c r="D16177" s="9"/>
    </row>
    <row r="16178" spans="4:4" x14ac:dyDescent="0.25">
      <c r="D16178" s="9"/>
    </row>
    <row r="16179" spans="4:4" x14ac:dyDescent="0.25">
      <c r="D16179" s="9"/>
    </row>
    <row r="16180" spans="4:4" x14ac:dyDescent="0.25">
      <c r="D16180" s="9"/>
    </row>
    <row r="16181" spans="4:4" x14ac:dyDescent="0.25">
      <c r="D16181" s="9"/>
    </row>
    <row r="16182" spans="4:4" x14ac:dyDescent="0.25">
      <c r="D16182" s="9"/>
    </row>
    <row r="16183" spans="4:4" x14ac:dyDescent="0.25">
      <c r="D16183" s="9"/>
    </row>
    <row r="16184" spans="4:4" x14ac:dyDescent="0.25">
      <c r="D16184" s="9"/>
    </row>
    <row r="16185" spans="4:4" x14ac:dyDescent="0.25">
      <c r="D16185" s="9"/>
    </row>
    <row r="16186" spans="4:4" x14ac:dyDescent="0.25">
      <c r="D16186" s="9"/>
    </row>
    <row r="16187" spans="4:4" x14ac:dyDescent="0.25">
      <c r="D16187" s="9"/>
    </row>
    <row r="16188" spans="4:4" x14ac:dyDescent="0.25">
      <c r="D16188" s="9"/>
    </row>
    <row r="16189" spans="4:4" x14ac:dyDescent="0.25">
      <c r="D16189" s="9"/>
    </row>
    <row r="16190" spans="4:4" x14ac:dyDescent="0.25">
      <c r="D16190" s="9"/>
    </row>
    <row r="16191" spans="4:4" x14ac:dyDescent="0.25">
      <c r="D16191" s="9"/>
    </row>
    <row r="16192" spans="4:4" x14ac:dyDescent="0.25">
      <c r="D16192" s="9"/>
    </row>
    <row r="16193" spans="4:4" x14ac:dyDescent="0.25">
      <c r="D16193" s="9"/>
    </row>
    <row r="16194" spans="4:4" x14ac:dyDescent="0.25">
      <c r="D16194" s="9"/>
    </row>
    <row r="16195" spans="4:4" x14ac:dyDescent="0.25">
      <c r="D16195" s="9"/>
    </row>
    <row r="16196" spans="4:4" x14ac:dyDescent="0.25">
      <c r="D16196" s="9"/>
    </row>
    <row r="16197" spans="4:4" x14ac:dyDescent="0.25">
      <c r="D16197" s="9"/>
    </row>
    <row r="16198" spans="4:4" x14ac:dyDescent="0.25">
      <c r="D16198" s="9"/>
    </row>
    <row r="16199" spans="4:4" x14ac:dyDescent="0.25">
      <c r="D16199" s="9"/>
    </row>
    <row r="16200" spans="4:4" x14ac:dyDescent="0.25">
      <c r="D16200" s="9"/>
    </row>
    <row r="16201" spans="4:4" x14ac:dyDescent="0.25">
      <c r="D16201" s="9"/>
    </row>
    <row r="16202" spans="4:4" x14ac:dyDescent="0.25">
      <c r="D16202" s="9"/>
    </row>
    <row r="16203" spans="4:4" x14ac:dyDescent="0.25">
      <c r="D16203" s="9"/>
    </row>
    <row r="16204" spans="4:4" x14ac:dyDescent="0.25">
      <c r="D16204" s="9"/>
    </row>
    <row r="16205" spans="4:4" x14ac:dyDescent="0.25">
      <c r="D16205" s="9"/>
    </row>
    <row r="16206" spans="4:4" x14ac:dyDescent="0.25">
      <c r="D16206" s="9"/>
    </row>
    <row r="16207" spans="4:4" x14ac:dyDescent="0.25">
      <c r="D16207" s="9"/>
    </row>
    <row r="16208" spans="4:4" x14ac:dyDescent="0.25">
      <c r="D16208" s="9"/>
    </row>
    <row r="16209" spans="4:4" x14ac:dyDescent="0.25">
      <c r="D16209" s="9"/>
    </row>
    <row r="16210" spans="4:4" x14ac:dyDescent="0.25">
      <c r="D16210" s="9"/>
    </row>
    <row r="16211" spans="4:4" x14ac:dyDescent="0.25">
      <c r="D16211" s="9"/>
    </row>
    <row r="16212" spans="4:4" x14ac:dyDescent="0.25">
      <c r="D16212" s="9"/>
    </row>
    <row r="16213" spans="4:4" x14ac:dyDescent="0.25">
      <c r="D16213" s="9"/>
    </row>
    <row r="16214" spans="4:4" x14ac:dyDescent="0.25">
      <c r="D16214" s="9"/>
    </row>
    <row r="16215" spans="4:4" x14ac:dyDescent="0.25">
      <c r="D16215" s="9"/>
    </row>
    <row r="16216" spans="4:4" x14ac:dyDescent="0.25">
      <c r="D16216" s="9"/>
    </row>
    <row r="16217" spans="4:4" x14ac:dyDescent="0.25">
      <c r="D16217" s="9"/>
    </row>
    <row r="16218" spans="4:4" x14ac:dyDescent="0.25">
      <c r="D16218" s="9"/>
    </row>
    <row r="16219" spans="4:4" x14ac:dyDescent="0.25">
      <c r="D16219" s="9"/>
    </row>
    <row r="16220" spans="4:4" x14ac:dyDescent="0.25">
      <c r="D16220" s="9"/>
    </row>
    <row r="16221" spans="4:4" x14ac:dyDescent="0.25">
      <c r="D16221" s="9"/>
    </row>
    <row r="16222" spans="4:4" x14ac:dyDescent="0.25">
      <c r="D16222" s="9"/>
    </row>
    <row r="16223" spans="4:4" x14ac:dyDescent="0.25">
      <c r="D16223" s="9"/>
    </row>
    <row r="16224" spans="4:4" x14ac:dyDescent="0.25">
      <c r="D16224" s="9"/>
    </row>
    <row r="16225" spans="4:4" x14ac:dyDescent="0.25">
      <c r="D16225" s="9"/>
    </row>
    <row r="16226" spans="4:4" x14ac:dyDescent="0.25">
      <c r="D16226" s="9"/>
    </row>
    <row r="16227" spans="4:4" x14ac:dyDescent="0.25">
      <c r="D16227" s="9"/>
    </row>
    <row r="16228" spans="4:4" x14ac:dyDescent="0.25">
      <c r="D16228" s="9"/>
    </row>
    <row r="16229" spans="4:4" x14ac:dyDescent="0.25">
      <c r="D16229" s="9"/>
    </row>
    <row r="16230" spans="4:4" x14ac:dyDescent="0.25">
      <c r="D16230" s="9"/>
    </row>
    <row r="16231" spans="4:4" x14ac:dyDescent="0.25">
      <c r="D16231" s="9"/>
    </row>
    <row r="16232" spans="4:4" x14ac:dyDescent="0.25">
      <c r="D16232" s="9"/>
    </row>
    <row r="16233" spans="4:4" x14ac:dyDescent="0.25">
      <c r="D16233" s="9"/>
    </row>
    <row r="16234" spans="4:4" x14ac:dyDescent="0.25">
      <c r="D16234" s="9"/>
    </row>
    <row r="16235" spans="4:4" x14ac:dyDescent="0.25">
      <c r="D16235" s="9"/>
    </row>
    <row r="16236" spans="4:4" x14ac:dyDescent="0.25">
      <c r="D16236" s="9"/>
    </row>
    <row r="16237" spans="4:4" x14ac:dyDescent="0.25">
      <c r="D16237" s="9"/>
    </row>
    <row r="16238" spans="4:4" x14ac:dyDescent="0.25">
      <c r="D16238" s="9"/>
    </row>
    <row r="16239" spans="4:4" x14ac:dyDescent="0.25">
      <c r="D16239" s="9"/>
    </row>
    <row r="16240" spans="4:4" x14ac:dyDescent="0.25">
      <c r="D16240" s="9"/>
    </row>
    <row r="16241" spans="4:4" x14ac:dyDescent="0.25">
      <c r="D16241" s="9"/>
    </row>
    <row r="16242" spans="4:4" x14ac:dyDescent="0.25">
      <c r="D16242" s="9"/>
    </row>
    <row r="16243" spans="4:4" x14ac:dyDescent="0.25">
      <c r="D16243" s="9"/>
    </row>
    <row r="16244" spans="4:4" x14ac:dyDescent="0.25">
      <c r="D16244" s="9"/>
    </row>
    <row r="16245" spans="4:4" x14ac:dyDescent="0.25">
      <c r="D16245" s="9"/>
    </row>
    <row r="16246" spans="4:4" x14ac:dyDescent="0.25">
      <c r="D16246" s="9"/>
    </row>
    <row r="16247" spans="4:4" x14ac:dyDescent="0.25">
      <c r="D16247" s="9"/>
    </row>
    <row r="16248" spans="4:4" x14ac:dyDescent="0.25">
      <c r="D16248" s="9"/>
    </row>
    <row r="16249" spans="4:4" x14ac:dyDescent="0.25">
      <c r="D16249" s="9"/>
    </row>
    <row r="16250" spans="4:4" x14ac:dyDescent="0.25">
      <c r="D16250" s="9"/>
    </row>
    <row r="16251" spans="4:4" x14ac:dyDescent="0.25">
      <c r="D16251" s="9"/>
    </row>
    <row r="16252" spans="4:4" x14ac:dyDescent="0.25">
      <c r="D16252" s="9"/>
    </row>
    <row r="16253" spans="4:4" x14ac:dyDescent="0.25">
      <c r="D16253" s="9"/>
    </row>
    <row r="16254" spans="4:4" x14ac:dyDescent="0.25">
      <c r="D16254" s="9"/>
    </row>
    <row r="16255" spans="4:4" x14ac:dyDescent="0.25">
      <c r="D16255" s="9"/>
    </row>
    <row r="16256" spans="4:4" x14ac:dyDescent="0.25">
      <c r="D16256" s="9"/>
    </row>
    <row r="16257" spans="4:4" x14ac:dyDescent="0.25">
      <c r="D16257" s="9"/>
    </row>
    <row r="16258" spans="4:4" x14ac:dyDescent="0.25">
      <c r="D16258" s="9"/>
    </row>
    <row r="16259" spans="4:4" x14ac:dyDescent="0.25">
      <c r="D16259" s="9"/>
    </row>
    <row r="16260" spans="4:4" x14ac:dyDescent="0.25">
      <c r="D16260" s="9"/>
    </row>
    <row r="16261" spans="4:4" x14ac:dyDescent="0.25">
      <c r="D16261" s="9"/>
    </row>
    <row r="16262" spans="4:4" x14ac:dyDescent="0.25">
      <c r="D16262" s="9"/>
    </row>
    <row r="16263" spans="4:4" x14ac:dyDescent="0.25">
      <c r="D16263" s="9"/>
    </row>
    <row r="16264" spans="4:4" x14ac:dyDescent="0.25">
      <c r="D16264" s="9"/>
    </row>
    <row r="16265" spans="4:4" x14ac:dyDescent="0.25">
      <c r="D16265" s="9"/>
    </row>
    <row r="16266" spans="4:4" x14ac:dyDescent="0.25">
      <c r="D16266" s="9"/>
    </row>
    <row r="16267" spans="4:4" x14ac:dyDescent="0.25">
      <c r="D16267" s="9"/>
    </row>
    <row r="16268" spans="4:4" x14ac:dyDescent="0.25">
      <c r="D16268" s="9"/>
    </row>
    <row r="16269" spans="4:4" x14ac:dyDescent="0.25">
      <c r="D16269" s="9"/>
    </row>
    <row r="16270" spans="4:4" x14ac:dyDescent="0.25">
      <c r="D16270" s="9"/>
    </row>
    <row r="16271" spans="4:4" x14ac:dyDescent="0.25">
      <c r="D16271" s="9"/>
    </row>
    <row r="16272" spans="4:4" x14ac:dyDescent="0.25">
      <c r="D16272" s="9"/>
    </row>
    <row r="16273" spans="4:4" x14ac:dyDescent="0.25">
      <c r="D16273" s="9"/>
    </row>
    <row r="16274" spans="4:4" x14ac:dyDescent="0.25">
      <c r="D16274" s="9"/>
    </row>
    <row r="16275" spans="4:4" x14ac:dyDescent="0.25">
      <c r="D16275" s="9"/>
    </row>
    <row r="16276" spans="4:4" x14ac:dyDescent="0.25">
      <c r="D16276" s="9"/>
    </row>
    <row r="16277" spans="4:4" x14ac:dyDescent="0.25">
      <c r="D16277" s="9"/>
    </row>
    <row r="16278" spans="4:4" x14ac:dyDescent="0.25">
      <c r="D16278" s="9"/>
    </row>
    <row r="16279" spans="4:4" x14ac:dyDescent="0.25">
      <c r="D16279" s="9"/>
    </row>
    <row r="16280" spans="4:4" x14ac:dyDescent="0.25">
      <c r="D16280" s="9"/>
    </row>
    <row r="16281" spans="4:4" x14ac:dyDescent="0.25">
      <c r="D16281" s="9"/>
    </row>
    <row r="16282" spans="4:4" x14ac:dyDescent="0.25">
      <c r="D16282" s="9"/>
    </row>
    <row r="16283" spans="4:4" x14ac:dyDescent="0.25">
      <c r="D16283" s="9"/>
    </row>
    <row r="16284" spans="4:4" x14ac:dyDescent="0.25">
      <c r="D16284" s="9"/>
    </row>
    <row r="16285" spans="4:4" x14ac:dyDescent="0.25">
      <c r="D16285" s="9"/>
    </row>
    <row r="16286" spans="4:4" x14ac:dyDescent="0.25">
      <c r="D16286" s="9"/>
    </row>
    <row r="16287" spans="4:4" x14ac:dyDescent="0.25">
      <c r="D16287" s="9"/>
    </row>
    <row r="16288" spans="4:4" x14ac:dyDescent="0.25">
      <c r="D16288" s="9"/>
    </row>
    <row r="16289" spans="4:4" x14ac:dyDescent="0.25">
      <c r="D16289" s="9"/>
    </row>
    <row r="16290" spans="4:4" x14ac:dyDescent="0.25">
      <c r="D16290" s="9"/>
    </row>
    <row r="16291" spans="4:4" x14ac:dyDescent="0.25">
      <c r="D16291" s="9"/>
    </row>
    <row r="16292" spans="4:4" x14ac:dyDescent="0.25">
      <c r="D16292" s="9"/>
    </row>
    <row r="16293" spans="4:4" x14ac:dyDescent="0.25">
      <c r="D16293" s="9"/>
    </row>
    <row r="16294" spans="4:4" x14ac:dyDescent="0.25">
      <c r="D16294" s="9"/>
    </row>
    <row r="16295" spans="4:4" x14ac:dyDescent="0.25">
      <c r="D16295" s="9"/>
    </row>
    <row r="16296" spans="4:4" x14ac:dyDescent="0.25">
      <c r="D16296" s="9"/>
    </row>
    <row r="16297" spans="4:4" x14ac:dyDescent="0.25">
      <c r="D16297" s="9"/>
    </row>
    <row r="16298" spans="4:4" x14ac:dyDescent="0.25">
      <c r="D16298" s="9"/>
    </row>
    <row r="16299" spans="4:4" x14ac:dyDescent="0.25">
      <c r="D16299" s="9"/>
    </row>
    <row r="16300" spans="4:4" x14ac:dyDescent="0.25">
      <c r="D16300" s="9"/>
    </row>
    <row r="16301" spans="4:4" x14ac:dyDescent="0.25">
      <c r="D16301" s="9"/>
    </row>
    <row r="16302" spans="4:4" x14ac:dyDescent="0.25">
      <c r="D16302" s="9"/>
    </row>
    <row r="16303" spans="4:4" x14ac:dyDescent="0.25">
      <c r="D16303" s="9"/>
    </row>
    <row r="16304" spans="4:4" x14ac:dyDescent="0.25">
      <c r="D16304" s="9"/>
    </row>
    <row r="16305" spans="4:4" x14ac:dyDescent="0.25">
      <c r="D16305" s="9"/>
    </row>
    <row r="16306" spans="4:4" x14ac:dyDescent="0.25">
      <c r="D16306" s="9"/>
    </row>
    <row r="16307" spans="4:4" x14ac:dyDescent="0.25">
      <c r="D16307" s="9"/>
    </row>
    <row r="16308" spans="4:4" x14ac:dyDescent="0.25">
      <c r="D16308" s="9"/>
    </row>
    <row r="16309" spans="4:4" x14ac:dyDescent="0.25">
      <c r="D16309" s="9"/>
    </row>
    <row r="16310" spans="4:4" x14ac:dyDescent="0.25">
      <c r="D16310" s="9"/>
    </row>
    <row r="16311" spans="4:4" x14ac:dyDescent="0.25">
      <c r="D16311" s="9"/>
    </row>
    <row r="16312" spans="4:4" x14ac:dyDescent="0.25">
      <c r="D16312" s="9"/>
    </row>
    <row r="16313" spans="4:4" x14ac:dyDescent="0.25">
      <c r="D16313" s="9"/>
    </row>
    <row r="16314" spans="4:4" x14ac:dyDescent="0.25">
      <c r="D16314" s="9"/>
    </row>
    <row r="16315" spans="4:4" x14ac:dyDescent="0.25">
      <c r="D16315" s="9"/>
    </row>
    <row r="16316" spans="4:4" x14ac:dyDescent="0.25">
      <c r="D16316" s="9"/>
    </row>
    <row r="16317" spans="4:4" x14ac:dyDescent="0.25">
      <c r="D16317" s="9"/>
    </row>
    <row r="16318" spans="4:4" x14ac:dyDescent="0.25">
      <c r="D16318" s="9"/>
    </row>
    <row r="16319" spans="4:4" x14ac:dyDescent="0.25">
      <c r="D16319" s="9"/>
    </row>
    <row r="16320" spans="4:4" x14ac:dyDescent="0.25">
      <c r="D16320" s="9"/>
    </row>
    <row r="16321" spans="4:4" x14ac:dyDescent="0.25">
      <c r="D16321" s="9"/>
    </row>
    <row r="16322" spans="4:4" x14ac:dyDescent="0.25">
      <c r="D16322" s="9"/>
    </row>
    <row r="16323" spans="4:4" x14ac:dyDescent="0.25">
      <c r="D16323" s="9"/>
    </row>
    <row r="16324" spans="4:4" x14ac:dyDescent="0.25">
      <c r="D16324" s="9"/>
    </row>
    <row r="16325" spans="4:4" x14ac:dyDescent="0.25">
      <c r="D16325" s="9"/>
    </row>
    <row r="16326" spans="4:4" x14ac:dyDescent="0.25">
      <c r="D16326" s="9"/>
    </row>
    <row r="16327" spans="4:4" x14ac:dyDescent="0.25">
      <c r="D16327" s="9"/>
    </row>
    <row r="16328" spans="4:4" x14ac:dyDescent="0.25">
      <c r="D16328" s="9"/>
    </row>
    <row r="16329" spans="4:4" x14ac:dyDescent="0.25">
      <c r="D16329" s="9"/>
    </row>
    <row r="16330" spans="4:4" x14ac:dyDescent="0.25">
      <c r="D16330" s="9"/>
    </row>
    <row r="16331" spans="4:4" x14ac:dyDescent="0.25">
      <c r="D16331" s="9"/>
    </row>
    <row r="16332" spans="4:4" x14ac:dyDescent="0.25">
      <c r="D16332" s="9"/>
    </row>
    <row r="16333" spans="4:4" x14ac:dyDescent="0.25">
      <c r="D16333" s="9"/>
    </row>
    <row r="16334" spans="4:4" x14ac:dyDescent="0.25">
      <c r="D16334" s="9"/>
    </row>
    <row r="16335" spans="4:4" x14ac:dyDescent="0.25">
      <c r="D16335" s="9"/>
    </row>
    <row r="16336" spans="4:4" x14ac:dyDescent="0.25">
      <c r="D16336" s="9"/>
    </row>
    <row r="16337" spans="4:4" x14ac:dyDescent="0.25">
      <c r="D16337" s="9"/>
    </row>
    <row r="16338" spans="4:4" x14ac:dyDescent="0.25">
      <c r="D16338" s="9"/>
    </row>
    <row r="16339" spans="4:4" x14ac:dyDescent="0.25">
      <c r="D16339" s="9"/>
    </row>
    <row r="16340" spans="4:4" x14ac:dyDescent="0.25">
      <c r="D16340" s="9"/>
    </row>
    <row r="16341" spans="4:4" x14ac:dyDescent="0.25">
      <c r="D16341" s="9"/>
    </row>
    <row r="16342" spans="4:4" x14ac:dyDescent="0.25">
      <c r="D16342" s="9"/>
    </row>
    <row r="16343" spans="4:4" x14ac:dyDescent="0.25">
      <c r="D16343" s="9"/>
    </row>
    <row r="16344" spans="4:4" x14ac:dyDescent="0.25">
      <c r="D16344" s="9"/>
    </row>
    <row r="16345" spans="4:4" x14ac:dyDescent="0.25">
      <c r="D16345" s="9"/>
    </row>
    <row r="16346" spans="4:4" x14ac:dyDescent="0.25">
      <c r="D16346" s="9"/>
    </row>
    <row r="16347" spans="4:4" x14ac:dyDescent="0.25">
      <c r="D16347" s="9"/>
    </row>
    <row r="16348" spans="4:4" x14ac:dyDescent="0.25">
      <c r="D16348" s="9"/>
    </row>
    <row r="16349" spans="4:4" x14ac:dyDescent="0.25">
      <c r="D16349" s="9"/>
    </row>
    <row r="16350" spans="4:4" x14ac:dyDescent="0.25">
      <c r="D16350" s="9"/>
    </row>
    <row r="16351" spans="4:4" x14ac:dyDescent="0.25">
      <c r="D16351" s="9"/>
    </row>
    <row r="16352" spans="4:4" x14ac:dyDescent="0.25">
      <c r="D16352" s="9"/>
    </row>
    <row r="16353" spans="4:4" x14ac:dyDescent="0.25">
      <c r="D16353" s="9"/>
    </row>
    <row r="16354" spans="4:4" x14ac:dyDescent="0.25">
      <c r="D16354" s="9"/>
    </row>
    <row r="16355" spans="4:4" x14ac:dyDescent="0.25">
      <c r="D16355" s="9"/>
    </row>
    <row r="16356" spans="4:4" x14ac:dyDescent="0.25">
      <c r="D16356" s="9"/>
    </row>
    <row r="16357" spans="4:4" x14ac:dyDescent="0.25">
      <c r="D16357" s="9"/>
    </row>
    <row r="16358" spans="4:4" x14ac:dyDescent="0.25">
      <c r="D16358" s="9"/>
    </row>
    <row r="16359" spans="4:4" x14ac:dyDescent="0.25">
      <c r="D16359" s="9"/>
    </row>
    <row r="16360" spans="4:4" x14ac:dyDescent="0.25">
      <c r="D16360" s="9"/>
    </row>
    <row r="16361" spans="4:4" x14ac:dyDescent="0.25">
      <c r="D16361" s="9"/>
    </row>
    <row r="16362" spans="4:4" x14ac:dyDescent="0.25">
      <c r="D16362" s="9"/>
    </row>
    <row r="16363" spans="4:4" x14ac:dyDescent="0.25">
      <c r="D16363" s="9"/>
    </row>
    <row r="16364" spans="4:4" x14ac:dyDescent="0.25">
      <c r="D16364" s="9"/>
    </row>
    <row r="16365" spans="4:4" x14ac:dyDescent="0.25">
      <c r="D16365" s="9"/>
    </row>
    <row r="16366" spans="4:4" x14ac:dyDescent="0.25">
      <c r="D16366" s="9"/>
    </row>
    <row r="16367" spans="4:4" x14ac:dyDescent="0.25">
      <c r="D16367" s="9"/>
    </row>
    <row r="16368" spans="4:4" x14ac:dyDescent="0.25">
      <c r="D16368" s="9"/>
    </row>
    <row r="16369" spans="4:4" x14ac:dyDescent="0.25">
      <c r="D16369" s="9"/>
    </row>
    <row r="16370" spans="4:4" x14ac:dyDescent="0.25">
      <c r="D16370" s="9"/>
    </row>
    <row r="16371" spans="4:4" x14ac:dyDescent="0.25">
      <c r="D16371" s="9"/>
    </row>
    <row r="16372" spans="4:4" x14ac:dyDescent="0.25">
      <c r="D16372" s="9"/>
    </row>
    <row r="16373" spans="4:4" x14ac:dyDescent="0.25">
      <c r="D16373" s="9"/>
    </row>
    <row r="16374" spans="4:4" x14ac:dyDescent="0.25">
      <c r="D16374" s="9"/>
    </row>
    <row r="16375" spans="4:4" x14ac:dyDescent="0.25">
      <c r="D16375" s="9"/>
    </row>
    <row r="16376" spans="4:4" x14ac:dyDescent="0.25">
      <c r="D16376" s="9"/>
    </row>
    <row r="16377" spans="4:4" x14ac:dyDescent="0.25">
      <c r="D16377" s="9"/>
    </row>
    <row r="16378" spans="4:4" x14ac:dyDescent="0.25">
      <c r="D16378" s="9"/>
    </row>
    <row r="16379" spans="4:4" x14ac:dyDescent="0.25">
      <c r="D16379" s="9"/>
    </row>
    <row r="16380" spans="4:4" x14ac:dyDescent="0.25">
      <c r="D16380" s="9"/>
    </row>
    <row r="16381" spans="4:4" x14ac:dyDescent="0.25">
      <c r="D16381" s="9"/>
    </row>
    <row r="16382" spans="4:4" x14ac:dyDescent="0.25">
      <c r="D16382" s="9"/>
    </row>
    <row r="16383" spans="4:4" x14ac:dyDescent="0.25">
      <c r="D16383" s="9"/>
    </row>
    <row r="16384" spans="4:4" x14ac:dyDescent="0.25">
      <c r="D16384" s="9"/>
    </row>
    <row r="16385" spans="4:4" x14ac:dyDescent="0.25">
      <c r="D16385" s="9"/>
    </row>
    <row r="16386" spans="4:4" x14ac:dyDescent="0.25">
      <c r="D16386" s="9"/>
    </row>
    <row r="16387" spans="4:4" x14ac:dyDescent="0.25">
      <c r="D16387" s="9"/>
    </row>
    <row r="16388" spans="4:4" x14ac:dyDescent="0.25">
      <c r="D16388" s="9"/>
    </row>
    <row r="16389" spans="4:4" x14ac:dyDescent="0.25">
      <c r="D16389" s="9"/>
    </row>
    <row r="16390" spans="4:4" x14ac:dyDescent="0.25">
      <c r="D16390" s="9"/>
    </row>
    <row r="16391" spans="4:4" x14ac:dyDescent="0.25">
      <c r="D16391" s="9"/>
    </row>
    <row r="16392" spans="4:4" x14ac:dyDescent="0.25">
      <c r="D16392" s="9"/>
    </row>
    <row r="16393" spans="4:4" x14ac:dyDescent="0.25">
      <c r="D16393" s="9"/>
    </row>
    <row r="16394" spans="4:4" x14ac:dyDescent="0.25">
      <c r="D16394" s="9"/>
    </row>
    <row r="16395" spans="4:4" x14ac:dyDescent="0.25">
      <c r="D16395" s="9"/>
    </row>
    <row r="16396" spans="4:4" x14ac:dyDescent="0.25">
      <c r="D16396" s="9"/>
    </row>
    <row r="16397" spans="4:4" x14ac:dyDescent="0.25">
      <c r="D16397" s="9"/>
    </row>
    <row r="16398" spans="4:4" x14ac:dyDescent="0.25">
      <c r="D16398" s="9"/>
    </row>
    <row r="16399" spans="4:4" x14ac:dyDescent="0.25">
      <c r="D16399" s="9"/>
    </row>
    <row r="16400" spans="4:4" x14ac:dyDescent="0.25">
      <c r="D16400" s="9"/>
    </row>
    <row r="16401" spans="4:4" x14ac:dyDescent="0.25">
      <c r="D16401" s="9"/>
    </row>
    <row r="16402" spans="4:4" x14ac:dyDescent="0.25">
      <c r="D16402" s="9"/>
    </row>
    <row r="16403" spans="4:4" x14ac:dyDescent="0.25">
      <c r="D16403" s="9"/>
    </row>
    <row r="16404" spans="4:4" x14ac:dyDescent="0.25">
      <c r="D16404" s="9"/>
    </row>
    <row r="16405" spans="4:4" x14ac:dyDescent="0.25">
      <c r="D16405" s="9"/>
    </row>
    <row r="16406" spans="4:4" x14ac:dyDescent="0.25">
      <c r="D16406" s="9"/>
    </row>
    <row r="16407" spans="4:4" x14ac:dyDescent="0.25">
      <c r="D16407" s="9"/>
    </row>
    <row r="16408" spans="4:4" x14ac:dyDescent="0.25">
      <c r="D16408" s="9"/>
    </row>
    <row r="16409" spans="4:4" x14ac:dyDescent="0.25">
      <c r="D16409" s="9"/>
    </row>
    <row r="16410" spans="4:4" x14ac:dyDescent="0.25">
      <c r="D16410" s="9"/>
    </row>
    <row r="16411" spans="4:4" x14ac:dyDescent="0.25">
      <c r="D16411" s="9"/>
    </row>
    <row r="16412" spans="4:4" x14ac:dyDescent="0.25">
      <c r="D16412" s="9"/>
    </row>
    <row r="16413" spans="4:4" x14ac:dyDescent="0.25">
      <c r="D16413" s="9"/>
    </row>
    <row r="16414" spans="4:4" x14ac:dyDescent="0.25">
      <c r="D16414" s="9"/>
    </row>
    <row r="16415" spans="4:4" x14ac:dyDescent="0.25">
      <c r="D16415" s="9"/>
    </row>
    <row r="16416" spans="4:4" x14ac:dyDescent="0.25">
      <c r="D16416" s="9"/>
    </row>
    <row r="16417" spans="4:4" x14ac:dyDescent="0.25">
      <c r="D16417" s="9"/>
    </row>
    <row r="16418" spans="4:4" x14ac:dyDescent="0.25">
      <c r="D16418" s="9"/>
    </row>
    <row r="16419" spans="4:4" x14ac:dyDescent="0.25">
      <c r="D16419" s="9"/>
    </row>
    <row r="16420" spans="4:4" x14ac:dyDescent="0.25">
      <c r="D16420" s="9"/>
    </row>
    <row r="16421" spans="4:4" x14ac:dyDescent="0.25">
      <c r="D16421" s="9"/>
    </row>
    <row r="16422" spans="4:4" x14ac:dyDescent="0.25">
      <c r="D16422" s="9"/>
    </row>
    <row r="16423" spans="4:4" x14ac:dyDescent="0.25">
      <c r="D16423" s="9"/>
    </row>
    <row r="16424" spans="4:4" x14ac:dyDescent="0.25">
      <c r="D16424" s="9"/>
    </row>
    <row r="16425" spans="4:4" x14ac:dyDescent="0.25">
      <c r="D16425" s="9"/>
    </row>
    <row r="16426" spans="4:4" x14ac:dyDescent="0.25">
      <c r="D16426" s="9"/>
    </row>
    <row r="16427" spans="4:4" x14ac:dyDescent="0.25">
      <c r="D16427" s="9"/>
    </row>
    <row r="16428" spans="4:4" x14ac:dyDescent="0.25">
      <c r="D16428" s="9"/>
    </row>
    <row r="16429" spans="4:4" x14ac:dyDescent="0.25">
      <c r="D16429" s="9"/>
    </row>
    <row r="16430" spans="4:4" x14ac:dyDescent="0.25">
      <c r="D16430" s="9"/>
    </row>
    <row r="16431" spans="4:4" x14ac:dyDescent="0.25">
      <c r="D16431" s="9"/>
    </row>
    <row r="16432" spans="4:4" x14ac:dyDescent="0.25">
      <c r="D16432" s="9"/>
    </row>
    <row r="16433" spans="4:4" x14ac:dyDescent="0.25">
      <c r="D16433" s="9"/>
    </row>
    <row r="16434" spans="4:4" x14ac:dyDescent="0.25">
      <c r="D16434" s="9"/>
    </row>
    <row r="16435" spans="4:4" x14ac:dyDescent="0.25">
      <c r="D16435" s="9"/>
    </row>
    <row r="16436" spans="4:4" x14ac:dyDescent="0.25">
      <c r="D16436" s="9"/>
    </row>
    <row r="16437" spans="4:4" x14ac:dyDescent="0.25">
      <c r="D16437" s="9"/>
    </row>
    <row r="16438" spans="4:4" x14ac:dyDescent="0.25">
      <c r="D16438" s="9"/>
    </row>
    <row r="16439" spans="4:4" x14ac:dyDescent="0.25">
      <c r="D16439" s="9"/>
    </row>
    <row r="16440" spans="4:4" x14ac:dyDescent="0.25">
      <c r="D16440" s="9"/>
    </row>
    <row r="16441" spans="4:4" x14ac:dyDescent="0.25">
      <c r="D16441" s="9"/>
    </row>
    <row r="16442" spans="4:4" x14ac:dyDescent="0.25">
      <c r="D16442" s="9"/>
    </row>
    <row r="16443" spans="4:4" x14ac:dyDescent="0.25">
      <c r="D16443" s="9"/>
    </row>
    <row r="16444" spans="4:4" x14ac:dyDescent="0.25">
      <c r="D16444" s="9"/>
    </row>
    <row r="16445" spans="4:4" x14ac:dyDescent="0.25">
      <c r="D16445" s="9"/>
    </row>
    <row r="16446" spans="4:4" x14ac:dyDescent="0.25">
      <c r="D16446" s="9"/>
    </row>
    <row r="16447" spans="4:4" x14ac:dyDescent="0.25">
      <c r="D16447" s="9"/>
    </row>
    <row r="16448" spans="4:4" x14ac:dyDescent="0.25">
      <c r="D16448" s="9"/>
    </row>
    <row r="16449" spans="4:4" x14ac:dyDescent="0.25">
      <c r="D16449" s="9"/>
    </row>
    <row r="16450" spans="4:4" x14ac:dyDescent="0.25">
      <c r="D16450" s="9"/>
    </row>
    <row r="16451" spans="4:4" x14ac:dyDescent="0.25">
      <c r="D16451" s="9"/>
    </row>
    <row r="16452" spans="4:4" x14ac:dyDescent="0.25">
      <c r="D16452" s="9"/>
    </row>
    <row r="16453" spans="4:4" x14ac:dyDescent="0.25">
      <c r="D16453" s="9"/>
    </row>
    <row r="16454" spans="4:4" x14ac:dyDescent="0.25">
      <c r="D16454" s="9"/>
    </row>
    <row r="16455" spans="4:4" x14ac:dyDescent="0.25">
      <c r="D16455" s="9"/>
    </row>
    <row r="16456" spans="4:4" x14ac:dyDescent="0.25">
      <c r="D16456" s="9"/>
    </row>
    <row r="16457" spans="4:4" x14ac:dyDescent="0.25">
      <c r="D16457" s="9"/>
    </row>
    <row r="16458" spans="4:4" x14ac:dyDescent="0.25">
      <c r="D16458" s="9"/>
    </row>
    <row r="16459" spans="4:4" x14ac:dyDescent="0.25">
      <c r="D16459" s="9"/>
    </row>
    <row r="16460" spans="4:4" x14ac:dyDescent="0.25">
      <c r="D16460" s="9"/>
    </row>
    <row r="16461" spans="4:4" x14ac:dyDescent="0.25">
      <c r="D16461" s="9"/>
    </row>
    <row r="16462" spans="4:4" x14ac:dyDescent="0.25">
      <c r="D16462" s="9"/>
    </row>
    <row r="16463" spans="4:4" x14ac:dyDescent="0.25">
      <c r="D16463" s="9"/>
    </row>
    <row r="16464" spans="4:4" x14ac:dyDescent="0.25">
      <c r="D16464" s="9"/>
    </row>
    <row r="16465" spans="4:4" x14ac:dyDescent="0.25">
      <c r="D16465" s="9"/>
    </row>
    <row r="16466" spans="4:4" x14ac:dyDescent="0.25">
      <c r="D16466" s="9"/>
    </row>
    <row r="16467" spans="4:4" x14ac:dyDescent="0.25">
      <c r="D16467" s="9"/>
    </row>
    <row r="16468" spans="4:4" x14ac:dyDescent="0.25">
      <c r="D16468" s="9"/>
    </row>
    <row r="16469" spans="4:4" x14ac:dyDescent="0.25">
      <c r="D16469" s="9"/>
    </row>
    <row r="16470" spans="4:4" x14ac:dyDescent="0.25">
      <c r="D16470" s="9"/>
    </row>
    <row r="16471" spans="4:4" x14ac:dyDescent="0.25">
      <c r="D16471" s="9"/>
    </row>
    <row r="16472" spans="4:4" x14ac:dyDescent="0.25">
      <c r="D16472" s="9"/>
    </row>
    <row r="16473" spans="4:4" x14ac:dyDescent="0.25">
      <c r="D16473" s="9"/>
    </row>
    <row r="16474" spans="4:4" x14ac:dyDescent="0.25">
      <c r="D16474" s="9"/>
    </row>
    <row r="16475" spans="4:4" x14ac:dyDescent="0.25">
      <c r="D16475" s="9"/>
    </row>
    <row r="16476" spans="4:4" x14ac:dyDescent="0.25">
      <c r="D16476" s="9"/>
    </row>
    <row r="16477" spans="4:4" x14ac:dyDescent="0.25">
      <c r="D16477" s="9"/>
    </row>
    <row r="16478" spans="4:4" x14ac:dyDescent="0.25">
      <c r="D16478" s="9"/>
    </row>
    <row r="16479" spans="4:4" x14ac:dyDescent="0.25">
      <c r="D16479" s="9"/>
    </row>
    <row r="16480" spans="4:4" x14ac:dyDescent="0.25">
      <c r="D16480" s="9"/>
    </row>
    <row r="16481" spans="4:4" x14ac:dyDescent="0.25">
      <c r="D16481" s="9"/>
    </row>
    <row r="16482" spans="4:4" x14ac:dyDescent="0.25">
      <c r="D16482" s="9"/>
    </row>
    <row r="16483" spans="4:4" x14ac:dyDescent="0.25">
      <c r="D16483" s="9"/>
    </row>
    <row r="16484" spans="4:4" x14ac:dyDescent="0.25">
      <c r="D16484" s="9"/>
    </row>
    <row r="16485" spans="4:4" x14ac:dyDescent="0.25">
      <c r="D16485" s="9"/>
    </row>
    <row r="16486" spans="4:4" x14ac:dyDescent="0.25">
      <c r="D16486" s="9"/>
    </row>
    <row r="16487" spans="4:4" x14ac:dyDescent="0.25">
      <c r="D16487" s="9"/>
    </row>
    <row r="16488" spans="4:4" x14ac:dyDescent="0.25">
      <c r="D16488" s="9"/>
    </row>
    <row r="16489" spans="4:4" x14ac:dyDescent="0.25">
      <c r="D16489" s="9"/>
    </row>
    <row r="16490" spans="4:4" x14ac:dyDescent="0.25">
      <c r="D16490" s="9"/>
    </row>
    <row r="16491" spans="4:4" x14ac:dyDescent="0.25">
      <c r="D16491" s="9"/>
    </row>
    <row r="16492" spans="4:4" x14ac:dyDescent="0.25">
      <c r="D16492" s="9"/>
    </row>
    <row r="16493" spans="4:4" x14ac:dyDescent="0.25">
      <c r="D16493" s="9"/>
    </row>
    <row r="16494" spans="4:4" x14ac:dyDescent="0.25">
      <c r="D16494" s="9"/>
    </row>
    <row r="16495" spans="4:4" x14ac:dyDescent="0.25">
      <c r="D16495" s="9"/>
    </row>
    <row r="16496" spans="4:4" x14ac:dyDescent="0.25">
      <c r="D16496" s="9"/>
    </row>
    <row r="16497" spans="4:4" x14ac:dyDescent="0.25">
      <c r="D16497" s="9"/>
    </row>
    <row r="16498" spans="4:4" x14ac:dyDescent="0.25">
      <c r="D16498" s="9"/>
    </row>
    <row r="16499" spans="4:4" x14ac:dyDescent="0.25">
      <c r="D16499" s="9"/>
    </row>
    <row r="16500" spans="4:4" x14ac:dyDescent="0.25">
      <c r="D16500" s="9"/>
    </row>
    <row r="16501" spans="4:4" x14ac:dyDescent="0.25">
      <c r="D16501" s="9"/>
    </row>
    <row r="16502" spans="4:4" x14ac:dyDescent="0.25">
      <c r="D16502" s="9"/>
    </row>
    <row r="16503" spans="4:4" x14ac:dyDescent="0.25">
      <c r="D16503" s="9"/>
    </row>
    <row r="16504" spans="4:4" x14ac:dyDescent="0.25">
      <c r="D16504" s="9"/>
    </row>
    <row r="16505" spans="4:4" x14ac:dyDescent="0.25">
      <c r="D16505" s="9"/>
    </row>
    <row r="16506" spans="4:4" x14ac:dyDescent="0.25">
      <c r="D16506" s="9"/>
    </row>
    <row r="16507" spans="4:4" x14ac:dyDescent="0.25">
      <c r="D16507" s="9"/>
    </row>
    <row r="16508" spans="4:4" x14ac:dyDescent="0.25">
      <c r="D16508" s="9"/>
    </row>
    <row r="16509" spans="4:4" x14ac:dyDescent="0.25">
      <c r="D16509" s="9"/>
    </row>
    <row r="16510" spans="4:4" x14ac:dyDescent="0.25">
      <c r="D16510" s="9"/>
    </row>
    <row r="16511" spans="4:4" x14ac:dyDescent="0.25">
      <c r="D16511" s="9"/>
    </row>
    <row r="16512" spans="4:4" x14ac:dyDescent="0.25">
      <c r="D16512" s="9"/>
    </row>
    <row r="16513" spans="4:4" x14ac:dyDescent="0.25">
      <c r="D16513" s="9"/>
    </row>
    <row r="16514" spans="4:4" x14ac:dyDescent="0.25">
      <c r="D16514" s="9"/>
    </row>
    <row r="16515" spans="4:4" x14ac:dyDescent="0.25">
      <c r="D16515" s="9"/>
    </row>
    <row r="16516" spans="4:4" x14ac:dyDescent="0.25">
      <c r="D16516" s="9"/>
    </row>
    <row r="16517" spans="4:4" x14ac:dyDescent="0.25">
      <c r="D16517" s="9"/>
    </row>
    <row r="16518" spans="4:4" x14ac:dyDescent="0.25">
      <c r="D16518" s="9"/>
    </row>
    <row r="16519" spans="4:4" x14ac:dyDescent="0.25">
      <c r="D16519" s="9"/>
    </row>
    <row r="16520" spans="4:4" x14ac:dyDescent="0.25">
      <c r="D16520" s="9"/>
    </row>
    <row r="16521" spans="4:4" x14ac:dyDescent="0.25">
      <c r="D16521" s="9"/>
    </row>
    <row r="16522" spans="4:4" x14ac:dyDescent="0.25">
      <c r="D16522" s="9"/>
    </row>
    <row r="16523" spans="4:4" x14ac:dyDescent="0.25">
      <c r="D16523" s="9"/>
    </row>
    <row r="16524" spans="4:4" x14ac:dyDescent="0.25">
      <c r="D16524" s="9"/>
    </row>
    <row r="16525" spans="4:4" x14ac:dyDescent="0.25">
      <c r="D16525" s="9"/>
    </row>
    <row r="16526" spans="4:4" x14ac:dyDescent="0.25">
      <c r="D16526" s="9"/>
    </row>
    <row r="16527" spans="4:4" x14ac:dyDescent="0.25">
      <c r="D16527" s="9"/>
    </row>
    <row r="16528" spans="4:4" x14ac:dyDescent="0.25">
      <c r="D16528" s="9"/>
    </row>
    <row r="16529" spans="4:4" x14ac:dyDescent="0.25">
      <c r="D16529" s="9"/>
    </row>
    <row r="16530" spans="4:4" x14ac:dyDescent="0.25">
      <c r="D16530" s="9"/>
    </row>
    <row r="16531" spans="4:4" x14ac:dyDescent="0.25">
      <c r="D16531" s="9"/>
    </row>
    <row r="16532" spans="4:4" x14ac:dyDescent="0.25">
      <c r="D16532" s="9"/>
    </row>
    <row r="16533" spans="4:4" x14ac:dyDescent="0.25">
      <c r="D16533" s="9"/>
    </row>
    <row r="16534" spans="4:4" x14ac:dyDescent="0.25">
      <c r="D16534" s="9"/>
    </row>
    <row r="16535" spans="4:4" x14ac:dyDescent="0.25">
      <c r="D16535" s="9"/>
    </row>
    <row r="16536" spans="4:4" x14ac:dyDescent="0.25">
      <c r="D16536" s="9"/>
    </row>
    <row r="16537" spans="4:4" x14ac:dyDescent="0.25">
      <c r="D16537" s="9"/>
    </row>
    <row r="16538" spans="4:4" x14ac:dyDescent="0.25">
      <c r="D16538" s="9"/>
    </row>
    <row r="16539" spans="4:4" x14ac:dyDescent="0.25">
      <c r="D16539" s="9"/>
    </row>
    <row r="16540" spans="4:4" x14ac:dyDescent="0.25">
      <c r="D16540" s="9"/>
    </row>
    <row r="16541" spans="4:4" x14ac:dyDescent="0.25">
      <c r="D16541" s="9"/>
    </row>
    <row r="16542" spans="4:4" x14ac:dyDescent="0.25">
      <c r="D16542" s="9"/>
    </row>
    <row r="16543" spans="4:4" x14ac:dyDescent="0.25">
      <c r="D16543" s="9"/>
    </row>
    <row r="16544" spans="4:4" x14ac:dyDescent="0.25">
      <c r="D16544" s="9"/>
    </row>
    <row r="16545" spans="4:4" x14ac:dyDescent="0.25">
      <c r="D16545" s="9"/>
    </row>
    <row r="16546" spans="4:4" x14ac:dyDescent="0.25">
      <c r="D16546" s="9"/>
    </row>
    <row r="16547" spans="4:4" x14ac:dyDescent="0.25">
      <c r="D16547" s="9"/>
    </row>
    <row r="16548" spans="4:4" x14ac:dyDescent="0.25">
      <c r="D16548" s="9"/>
    </row>
    <row r="16549" spans="4:4" x14ac:dyDescent="0.25">
      <c r="D16549" s="9"/>
    </row>
    <row r="16550" spans="4:4" x14ac:dyDescent="0.25">
      <c r="D16550" s="9"/>
    </row>
    <row r="16551" spans="4:4" x14ac:dyDescent="0.25">
      <c r="D16551" s="9"/>
    </row>
    <row r="16552" spans="4:4" x14ac:dyDescent="0.25">
      <c r="D16552" s="9"/>
    </row>
    <row r="16553" spans="4:4" x14ac:dyDescent="0.25">
      <c r="D16553" s="9"/>
    </row>
    <row r="16554" spans="4:4" x14ac:dyDescent="0.25">
      <c r="D16554" s="9"/>
    </row>
    <row r="16555" spans="4:4" x14ac:dyDescent="0.25">
      <c r="D16555" s="9"/>
    </row>
    <row r="16556" spans="4:4" x14ac:dyDescent="0.25">
      <c r="D16556" s="9"/>
    </row>
    <row r="16557" spans="4:4" x14ac:dyDescent="0.25">
      <c r="D16557" s="9"/>
    </row>
    <row r="16558" spans="4:4" x14ac:dyDescent="0.25">
      <c r="D16558" s="9"/>
    </row>
    <row r="16559" spans="4:4" x14ac:dyDescent="0.25">
      <c r="D16559" s="9"/>
    </row>
    <row r="16560" spans="4:4" x14ac:dyDescent="0.25">
      <c r="D16560" s="9"/>
    </row>
    <row r="16561" spans="4:4" x14ac:dyDescent="0.25">
      <c r="D16561" s="9"/>
    </row>
    <row r="16562" spans="4:4" x14ac:dyDescent="0.25">
      <c r="D16562" s="9"/>
    </row>
    <row r="16563" spans="4:4" x14ac:dyDescent="0.25">
      <c r="D16563" s="9"/>
    </row>
    <row r="16564" spans="4:4" x14ac:dyDescent="0.25">
      <c r="D16564" s="9"/>
    </row>
    <row r="16565" spans="4:4" x14ac:dyDescent="0.25">
      <c r="D16565" s="9"/>
    </row>
    <row r="16566" spans="4:4" x14ac:dyDescent="0.25">
      <c r="D16566" s="9"/>
    </row>
    <row r="16567" spans="4:4" x14ac:dyDescent="0.25">
      <c r="D16567" s="9"/>
    </row>
    <row r="16568" spans="4:4" x14ac:dyDescent="0.25">
      <c r="D16568" s="9"/>
    </row>
    <row r="16569" spans="4:4" x14ac:dyDescent="0.25">
      <c r="D16569" s="9"/>
    </row>
    <row r="16570" spans="4:4" x14ac:dyDescent="0.25">
      <c r="D16570" s="9"/>
    </row>
    <row r="16571" spans="4:4" x14ac:dyDescent="0.25">
      <c r="D16571" s="9"/>
    </row>
    <row r="16572" spans="4:4" x14ac:dyDescent="0.25">
      <c r="D16572" s="9"/>
    </row>
    <row r="16573" spans="4:4" x14ac:dyDescent="0.25">
      <c r="D16573" s="9"/>
    </row>
    <row r="16574" spans="4:4" x14ac:dyDescent="0.25">
      <c r="D16574" s="9"/>
    </row>
    <row r="16575" spans="4:4" x14ac:dyDescent="0.25">
      <c r="D16575" s="9"/>
    </row>
    <row r="16576" spans="4:4" x14ac:dyDescent="0.25">
      <c r="D16576" s="9"/>
    </row>
    <row r="16577" spans="4:4" x14ac:dyDescent="0.25">
      <c r="D16577" s="9"/>
    </row>
    <row r="16578" spans="4:4" x14ac:dyDescent="0.25">
      <c r="D16578" s="9"/>
    </row>
    <row r="16579" spans="4:4" x14ac:dyDescent="0.25">
      <c r="D16579" s="9"/>
    </row>
    <row r="16580" spans="4:4" x14ac:dyDescent="0.25">
      <c r="D16580" s="9"/>
    </row>
    <row r="16581" spans="4:4" x14ac:dyDescent="0.25">
      <c r="D16581" s="9"/>
    </row>
    <row r="16582" spans="4:4" x14ac:dyDescent="0.25">
      <c r="D16582" s="9"/>
    </row>
    <row r="16583" spans="4:4" x14ac:dyDescent="0.25">
      <c r="D16583" s="9"/>
    </row>
    <row r="16584" spans="4:4" x14ac:dyDescent="0.25">
      <c r="D16584" s="9"/>
    </row>
    <row r="16585" spans="4:4" x14ac:dyDescent="0.25">
      <c r="D16585" s="9"/>
    </row>
    <row r="16586" spans="4:4" x14ac:dyDescent="0.25">
      <c r="D16586" s="9"/>
    </row>
    <row r="16587" spans="4:4" x14ac:dyDescent="0.25">
      <c r="D16587" s="9"/>
    </row>
    <row r="16588" spans="4:4" x14ac:dyDescent="0.25">
      <c r="D16588" s="9"/>
    </row>
    <row r="16589" spans="4:4" x14ac:dyDescent="0.25">
      <c r="D16589" s="9"/>
    </row>
    <row r="16590" spans="4:4" x14ac:dyDescent="0.25">
      <c r="D16590" s="9"/>
    </row>
    <row r="16591" spans="4:4" x14ac:dyDescent="0.25">
      <c r="D16591" s="9"/>
    </row>
    <row r="16592" spans="4:4" x14ac:dyDescent="0.25">
      <c r="D16592" s="9"/>
    </row>
    <row r="16593" spans="4:4" x14ac:dyDescent="0.25">
      <c r="D16593" s="9"/>
    </row>
    <row r="16594" spans="4:4" x14ac:dyDescent="0.25">
      <c r="D16594" s="9"/>
    </row>
    <row r="16595" spans="4:4" x14ac:dyDescent="0.25">
      <c r="D16595" s="9"/>
    </row>
    <row r="16596" spans="4:4" x14ac:dyDescent="0.25">
      <c r="D16596" s="9"/>
    </row>
    <row r="16597" spans="4:4" x14ac:dyDescent="0.25">
      <c r="D16597" s="9"/>
    </row>
    <row r="16598" spans="4:4" x14ac:dyDescent="0.25">
      <c r="D16598" s="9"/>
    </row>
    <row r="16599" spans="4:4" x14ac:dyDescent="0.25">
      <c r="D16599" s="9"/>
    </row>
    <row r="16600" spans="4:4" x14ac:dyDescent="0.25">
      <c r="D16600" s="9"/>
    </row>
    <row r="16601" spans="4:4" x14ac:dyDescent="0.25">
      <c r="D16601" s="9"/>
    </row>
    <row r="16602" spans="4:4" x14ac:dyDescent="0.25">
      <c r="D16602" s="9"/>
    </row>
    <row r="16603" spans="4:4" x14ac:dyDescent="0.25">
      <c r="D16603" s="9"/>
    </row>
    <row r="16604" spans="4:4" x14ac:dyDescent="0.25">
      <c r="D16604" s="9"/>
    </row>
    <row r="16605" spans="4:4" x14ac:dyDescent="0.25">
      <c r="D16605" s="9"/>
    </row>
    <row r="16606" spans="4:4" x14ac:dyDescent="0.25">
      <c r="D16606" s="9"/>
    </row>
    <row r="16607" spans="4:4" x14ac:dyDescent="0.25">
      <c r="D16607" s="9"/>
    </row>
    <row r="16608" spans="4:4" x14ac:dyDescent="0.25">
      <c r="D16608" s="9"/>
    </row>
    <row r="16609" spans="4:4" x14ac:dyDescent="0.25">
      <c r="D16609" s="9"/>
    </row>
    <row r="16610" spans="4:4" x14ac:dyDescent="0.25">
      <c r="D16610" s="9"/>
    </row>
    <row r="16611" spans="4:4" x14ac:dyDescent="0.25">
      <c r="D16611" s="9"/>
    </row>
    <row r="16612" spans="4:4" x14ac:dyDescent="0.25">
      <c r="D16612" s="9"/>
    </row>
    <row r="16613" spans="4:4" x14ac:dyDescent="0.25">
      <c r="D16613" s="9"/>
    </row>
    <row r="16614" spans="4:4" x14ac:dyDescent="0.25">
      <c r="D16614" s="9"/>
    </row>
    <row r="16615" spans="4:4" x14ac:dyDescent="0.25">
      <c r="D16615" s="9"/>
    </row>
    <row r="16616" spans="4:4" x14ac:dyDescent="0.25">
      <c r="D16616" s="9"/>
    </row>
    <row r="16617" spans="4:4" x14ac:dyDescent="0.25">
      <c r="D16617" s="9"/>
    </row>
    <row r="16618" spans="4:4" x14ac:dyDescent="0.25">
      <c r="D16618" s="9"/>
    </row>
    <row r="16619" spans="4:4" x14ac:dyDescent="0.25">
      <c r="D16619" s="9"/>
    </row>
    <row r="16620" spans="4:4" x14ac:dyDescent="0.25">
      <c r="D16620" s="9"/>
    </row>
    <row r="16621" spans="4:4" x14ac:dyDescent="0.25">
      <c r="D16621" s="9"/>
    </row>
    <row r="16622" spans="4:4" x14ac:dyDescent="0.25">
      <c r="D16622" s="9"/>
    </row>
    <row r="16623" spans="4:4" x14ac:dyDescent="0.25">
      <c r="D16623" s="9"/>
    </row>
    <row r="16624" spans="4:4" x14ac:dyDescent="0.25">
      <c r="D16624" s="9"/>
    </row>
    <row r="16625" spans="4:4" x14ac:dyDescent="0.25">
      <c r="D16625" s="9"/>
    </row>
    <row r="16626" spans="4:4" x14ac:dyDescent="0.25">
      <c r="D16626" s="9"/>
    </row>
    <row r="16627" spans="4:4" x14ac:dyDescent="0.25">
      <c r="D16627" s="9"/>
    </row>
    <row r="16628" spans="4:4" x14ac:dyDescent="0.25">
      <c r="D16628" s="9"/>
    </row>
    <row r="16629" spans="4:4" x14ac:dyDescent="0.25">
      <c r="D16629" s="9"/>
    </row>
    <row r="16630" spans="4:4" x14ac:dyDescent="0.25">
      <c r="D16630" s="9"/>
    </row>
    <row r="16631" spans="4:4" x14ac:dyDescent="0.25">
      <c r="D16631" s="9"/>
    </row>
    <row r="16632" spans="4:4" x14ac:dyDescent="0.25">
      <c r="D16632" s="9"/>
    </row>
    <row r="16633" spans="4:4" x14ac:dyDescent="0.25">
      <c r="D16633" s="9"/>
    </row>
    <row r="16634" spans="4:4" x14ac:dyDescent="0.25">
      <c r="D16634" s="9"/>
    </row>
    <row r="16635" spans="4:4" x14ac:dyDescent="0.25">
      <c r="D16635" s="9"/>
    </row>
    <row r="16636" spans="4:4" x14ac:dyDescent="0.25">
      <c r="D16636" s="9"/>
    </row>
    <row r="16637" spans="4:4" x14ac:dyDescent="0.25">
      <c r="D16637" s="9"/>
    </row>
    <row r="16638" spans="4:4" x14ac:dyDescent="0.25">
      <c r="D16638" s="9"/>
    </row>
    <row r="16639" spans="4:4" x14ac:dyDescent="0.25">
      <c r="D16639" s="9"/>
    </row>
    <row r="16640" spans="4:4" x14ac:dyDescent="0.25">
      <c r="D16640" s="9"/>
    </row>
    <row r="16641" spans="4:4" x14ac:dyDescent="0.25">
      <c r="D16641" s="9"/>
    </row>
    <row r="16642" spans="4:4" x14ac:dyDescent="0.25">
      <c r="D16642" s="9"/>
    </row>
    <row r="16643" spans="4:4" x14ac:dyDescent="0.25">
      <c r="D16643" s="9"/>
    </row>
    <row r="16644" spans="4:4" x14ac:dyDescent="0.25">
      <c r="D16644" s="9"/>
    </row>
    <row r="16645" spans="4:4" x14ac:dyDescent="0.25">
      <c r="D16645" s="9"/>
    </row>
    <row r="16646" spans="4:4" x14ac:dyDescent="0.25">
      <c r="D16646" s="9"/>
    </row>
    <row r="16647" spans="4:4" x14ac:dyDescent="0.25">
      <c r="D16647" s="9"/>
    </row>
    <row r="16648" spans="4:4" x14ac:dyDescent="0.25">
      <c r="D16648" s="9"/>
    </row>
    <row r="16649" spans="4:4" x14ac:dyDescent="0.25">
      <c r="D16649" s="9"/>
    </row>
    <row r="16650" spans="4:4" x14ac:dyDescent="0.25">
      <c r="D16650" s="9"/>
    </row>
    <row r="16651" spans="4:4" x14ac:dyDescent="0.25">
      <c r="D16651" s="9"/>
    </row>
    <row r="16652" spans="4:4" x14ac:dyDescent="0.25">
      <c r="D16652" s="9"/>
    </row>
    <row r="16653" spans="4:4" x14ac:dyDescent="0.25">
      <c r="D16653" s="9"/>
    </row>
    <row r="16654" spans="4:4" x14ac:dyDescent="0.25">
      <c r="D16654" s="9"/>
    </row>
    <row r="16655" spans="4:4" x14ac:dyDescent="0.25">
      <c r="D16655" s="9"/>
    </row>
    <row r="16656" spans="4:4" x14ac:dyDescent="0.25">
      <c r="D16656" s="9"/>
    </row>
    <row r="16657" spans="4:4" x14ac:dyDescent="0.25">
      <c r="D16657" s="9"/>
    </row>
    <row r="16658" spans="4:4" x14ac:dyDescent="0.25">
      <c r="D16658" s="9"/>
    </row>
    <row r="16659" spans="4:4" x14ac:dyDescent="0.25">
      <c r="D16659" s="9"/>
    </row>
    <row r="16660" spans="4:4" x14ac:dyDescent="0.25">
      <c r="D16660" s="9"/>
    </row>
    <row r="16661" spans="4:4" x14ac:dyDescent="0.25">
      <c r="D16661" s="9"/>
    </row>
    <row r="16662" spans="4:4" x14ac:dyDescent="0.25">
      <c r="D16662" s="9"/>
    </row>
    <row r="16663" spans="4:4" x14ac:dyDescent="0.25">
      <c r="D16663" s="9"/>
    </row>
    <row r="16664" spans="4:4" x14ac:dyDescent="0.25">
      <c r="D16664" s="9"/>
    </row>
    <row r="16665" spans="4:4" x14ac:dyDescent="0.25">
      <c r="D16665" s="9"/>
    </row>
    <row r="16666" spans="4:4" x14ac:dyDescent="0.25">
      <c r="D16666" s="9"/>
    </row>
    <row r="16667" spans="4:4" x14ac:dyDescent="0.25">
      <c r="D16667" s="9"/>
    </row>
    <row r="16668" spans="4:4" x14ac:dyDescent="0.25">
      <c r="D16668" s="9"/>
    </row>
    <row r="16669" spans="4:4" x14ac:dyDescent="0.25">
      <c r="D16669" s="9"/>
    </row>
    <row r="16670" spans="4:4" x14ac:dyDescent="0.25">
      <c r="D16670" s="9"/>
    </row>
    <row r="16671" spans="4:4" x14ac:dyDescent="0.25">
      <c r="D16671" s="9"/>
    </row>
    <row r="16672" spans="4:4" x14ac:dyDescent="0.25">
      <c r="D16672" s="9"/>
    </row>
    <row r="16673" spans="4:4" x14ac:dyDescent="0.25">
      <c r="D16673" s="9"/>
    </row>
    <row r="16674" spans="4:4" x14ac:dyDescent="0.25">
      <c r="D16674" s="9"/>
    </row>
    <row r="16675" spans="4:4" x14ac:dyDescent="0.25">
      <c r="D16675" s="9"/>
    </row>
    <row r="16676" spans="4:4" x14ac:dyDescent="0.25">
      <c r="D16676" s="9"/>
    </row>
    <row r="16677" spans="4:4" x14ac:dyDescent="0.25">
      <c r="D16677" s="9"/>
    </row>
    <row r="16678" spans="4:4" x14ac:dyDescent="0.25">
      <c r="D16678" s="9"/>
    </row>
    <row r="16679" spans="4:4" x14ac:dyDescent="0.25">
      <c r="D16679" s="9"/>
    </row>
    <row r="16680" spans="4:4" x14ac:dyDescent="0.25">
      <c r="D16680" s="9"/>
    </row>
    <row r="16681" spans="4:4" x14ac:dyDescent="0.25">
      <c r="D16681" s="9"/>
    </row>
    <row r="16682" spans="4:4" x14ac:dyDescent="0.25">
      <c r="D16682" s="9"/>
    </row>
    <row r="16683" spans="4:4" x14ac:dyDescent="0.25">
      <c r="D16683" s="9"/>
    </row>
    <row r="16684" spans="4:4" x14ac:dyDescent="0.25">
      <c r="D16684" s="9"/>
    </row>
    <row r="16685" spans="4:4" x14ac:dyDescent="0.25">
      <c r="D16685" s="9"/>
    </row>
    <row r="16686" spans="4:4" x14ac:dyDescent="0.25">
      <c r="D16686" s="9"/>
    </row>
    <row r="16687" spans="4:4" x14ac:dyDescent="0.25">
      <c r="D16687" s="9"/>
    </row>
    <row r="16688" spans="4:4" x14ac:dyDescent="0.25">
      <c r="D16688" s="9"/>
    </row>
    <row r="16689" spans="4:4" x14ac:dyDescent="0.25">
      <c r="D16689" s="9"/>
    </row>
    <row r="16690" spans="4:4" x14ac:dyDescent="0.25">
      <c r="D16690" s="9"/>
    </row>
    <row r="16691" spans="4:4" x14ac:dyDescent="0.25">
      <c r="D16691" s="9"/>
    </row>
    <row r="16692" spans="4:4" x14ac:dyDescent="0.25">
      <c r="D16692" s="9"/>
    </row>
    <row r="16693" spans="4:4" x14ac:dyDescent="0.25">
      <c r="D16693" s="9"/>
    </row>
    <row r="16694" spans="4:4" x14ac:dyDescent="0.25">
      <c r="D16694" s="9"/>
    </row>
    <row r="16695" spans="4:4" x14ac:dyDescent="0.25">
      <c r="D16695" s="9"/>
    </row>
    <row r="16696" spans="4:4" x14ac:dyDescent="0.25">
      <c r="D16696" s="9"/>
    </row>
    <row r="16697" spans="4:4" x14ac:dyDescent="0.25">
      <c r="D16697" s="9"/>
    </row>
    <row r="16698" spans="4:4" x14ac:dyDescent="0.25">
      <c r="D16698" s="9"/>
    </row>
    <row r="16699" spans="4:4" x14ac:dyDescent="0.25">
      <c r="D16699" s="9"/>
    </row>
    <row r="16700" spans="4:4" x14ac:dyDescent="0.25">
      <c r="D16700" s="9"/>
    </row>
    <row r="16701" spans="4:4" x14ac:dyDescent="0.25">
      <c r="D16701" s="9"/>
    </row>
    <row r="16702" spans="4:4" x14ac:dyDescent="0.25">
      <c r="D16702" s="9"/>
    </row>
    <row r="16703" spans="4:4" x14ac:dyDescent="0.25">
      <c r="D16703" s="9"/>
    </row>
    <row r="16704" spans="4:4" x14ac:dyDescent="0.25">
      <c r="D16704" s="9"/>
    </row>
    <row r="16705" spans="4:4" x14ac:dyDescent="0.25">
      <c r="D16705" s="9"/>
    </row>
    <row r="16706" spans="4:4" x14ac:dyDescent="0.25">
      <c r="D16706" s="9"/>
    </row>
    <row r="16707" spans="4:4" x14ac:dyDescent="0.25">
      <c r="D16707" s="9"/>
    </row>
    <row r="16708" spans="4:4" x14ac:dyDescent="0.25">
      <c r="D16708" s="9"/>
    </row>
    <row r="16709" spans="4:4" x14ac:dyDescent="0.25">
      <c r="D16709" s="9"/>
    </row>
    <row r="16710" spans="4:4" x14ac:dyDescent="0.25">
      <c r="D16710" s="9"/>
    </row>
    <row r="16711" spans="4:4" x14ac:dyDescent="0.25">
      <c r="D16711" s="9"/>
    </row>
    <row r="16712" spans="4:4" x14ac:dyDescent="0.25">
      <c r="D16712" s="9"/>
    </row>
    <row r="16713" spans="4:4" x14ac:dyDescent="0.25">
      <c r="D16713" s="9"/>
    </row>
    <row r="16714" spans="4:4" x14ac:dyDescent="0.25">
      <c r="D16714" s="9"/>
    </row>
    <row r="16715" spans="4:4" x14ac:dyDescent="0.25">
      <c r="D16715" s="9"/>
    </row>
    <row r="16716" spans="4:4" x14ac:dyDescent="0.25">
      <c r="D16716" s="9"/>
    </row>
    <row r="16717" spans="4:4" x14ac:dyDescent="0.25">
      <c r="D16717" s="9"/>
    </row>
    <row r="16718" spans="4:4" x14ac:dyDescent="0.25">
      <c r="D16718" s="9"/>
    </row>
    <row r="16719" spans="4:4" x14ac:dyDescent="0.25">
      <c r="D16719" s="9"/>
    </row>
    <row r="16720" spans="4:4" x14ac:dyDescent="0.25">
      <c r="D16720" s="9"/>
    </row>
    <row r="16721" spans="4:4" x14ac:dyDescent="0.25">
      <c r="D16721" s="9"/>
    </row>
    <row r="16722" spans="4:4" x14ac:dyDescent="0.25">
      <c r="D16722" s="9"/>
    </row>
    <row r="16723" spans="4:4" x14ac:dyDescent="0.25">
      <c r="D16723" s="9"/>
    </row>
    <row r="16724" spans="4:4" x14ac:dyDescent="0.25">
      <c r="D16724" s="9"/>
    </row>
    <row r="16725" spans="4:4" x14ac:dyDescent="0.25">
      <c r="D16725" s="9"/>
    </row>
    <row r="16726" spans="4:4" x14ac:dyDescent="0.25">
      <c r="D16726" s="9"/>
    </row>
    <row r="16727" spans="4:4" x14ac:dyDescent="0.25">
      <c r="D16727" s="9"/>
    </row>
    <row r="16728" spans="4:4" x14ac:dyDescent="0.25">
      <c r="D16728" s="9"/>
    </row>
    <row r="16729" spans="4:4" x14ac:dyDescent="0.25">
      <c r="D16729" s="9"/>
    </row>
    <row r="16730" spans="4:4" x14ac:dyDescent="0.25">
      <c r="D16730" s="9"/>
    </row>
    <row r="16731" spans="4:4" x14ac:dyDescent="0.25">
      <c r="D16731" s="9"/>
    </row>
    <row r="16732" spans="4:4" x14ac:dyDescent="0.25">
      <c r="D16732" s="9"/>
    </row>
    <row r="16733" spans="4:4" x14ac:dyDescent="0.25">
      <c r="D16733" s="9"/>
    </row>
    <row r="16734" spans="4:4" x14ac:dyDescent="0.25">
      <c r="D16734" s="9"/>
    </row>
    <row r="16735" spans="4:4" x14ac:dyDescent="0.25">
      <c r="D16735" s="9"/>
    </row>
    <row r="16736" spans="4:4" x14ac:dyDescent="0.25">
      <c r="D16736" s="9"/>
    </row>
    <row r="16737" spans="4:4" x14ac:dyDescent="0.25">
      <c r="D16737" s="9"/>
    </row>
    <row r="16738" spans="4:4" x14ac:dyDescent="0.25">
      <c r="D16738" s="9"/>
    </row>
    <row r="16739" spans="4:4" x14ac:dyDescent="0.25">
      <c r="D16739" s="9"/>
    </row>
    <row r="16740" spans="4:4" x14ac:dyDescent="0.25">
      <c r="D16740" s="9"/>
    </row>
    <row r="16741" spans="4:4" x14ac:dyDescent="0.25">
      <c r="D16741" s="9"/>
    </row>
    <row r="16742" spans="4:4" x14ac:dyDescent="0.25">
      <c r="D16742" s="9"/>
    </row>
    <row r="16743" spans="4:4" x14ac:dyDescent="0.25">
      <c r="D16743" s="9"/>
    </row>
    <row r="16744" spans="4:4" x14ac:dyDescent="0.25">
      <c r="D16744" s="9"/>
    </row>
    <row r="16745" spans="4:4" x14ac:dyDescent="0.25">
      <c r="D16745" s="9"/>
    </row>
    <row r="16746" spans="4:4" x14ac:dyDescent="0.25">
      <c r="D16746" s="9"/>
    </row>
    <row r="16747" spans="4:4" x14ac:dyDescent="0.25">
      <c r="D16747" s="9"/>
    </row>
    <row r="16748" spans="4:4" x14ac:dyDescent="0.25">
      <c r="D16748" s="9"/>
    </row>
    <row r="16749" spans="4:4" x14ac:dyDescent="0.25">
      <c r="D16749" s="9"/>
    </row>
    <row r="16750" spans="4:4" x14ac:dyDescent="0.25">
      <c r="D16750" s="9"/>
    </row>
    <row r="16751" spans="4:4" x14ac:dyDescent="0.25">
      <c r="D16751" s="9"/>
    </row>
    <row r="16752" spans="4:4" x14ac:dyDescent="0.25">
      <c r="D16752" s="9"/>
    </row>
    <row r="16753" spans="4:4" x14ac:dyDescent="0.25">
      <c r="D16753" s="9"/>
    </row>
    <row r="16754" spans="4:4" x14ac:dyDescent="0.25">
      <c r="D16754" s="9"/>
    </row>
    <row r="16755" spans="4:4" x14ac:dyDescent="0.25">
      <c r="D16755" s="9"/>
    </row>
    <row r="16756" spans="4:4" x14ac:dyDescent="0.25">
      <c r="D16756" s="9"/>
    </row>
    <row r="16757" spans="4:4" x14ac:dyDescent="0.25">
      <c r="D16757" s="9"/>
    </row>
    <row r="16758" spans="4:4" x14ac:dyDescent="0.25">
      <c r="D16758" s="9"/>
    </row>
    <row r="16759" spans="4:4" x14ac:dyDescent="0.25">
      <c r="D16759" s="9"/>
    </row>
    <row r="16760" spans="4:4" x14ac:dyDescent="0.25">
      <c r="D16760" s="9"/>
    </row>
    <row r="16761" spans="4:4" x14ac:dyDescent="0.25">
      <c r="D16761" s="9"/>
    </row>
    <row r="16762" spans="4:4" x14ac:dyDescent="0.25">
      <c r="D16762" s="9"/>
    </row>
    <row r="16763" spans="4:4" x14ac:dyDescent="0.25">
      <c r="D16763" s="9"/>
    </row>
    <row r="16764" spans="4:4" x14ac:dyDescent="0.25">
      <c r="D16764" s="9"/>
    </row>
    <row r="16765" spans="4:4" x14ac:dyDescent="0.25">
      <c r="D16765" s="9"/>
    </row>
    <row r="16766" spans="4:4" x14ac:dyDescent="0.25">
      <c r="D16766" s="9"/>
    </row>
    <row r="16767" spans="4:4" x14ac:dyDescent="0.25">
      <c r="D16767" s="9"/>
    </row>
    <row r="16768" spans="4:4" x14ac:dyDescent="0.25">
      <c r="D16768" s="9"/>
    </row>
    <row r="16769" spans="4:4" x14ac:dyDescent="0.25">
      <c r="D16769" s="9"/>
    </row>
    <row r="16770" spans="4:4" x14ac:dyDescent="0.25">
      <c r="D16770" s="9"/>
    </row>
    <row r="16771" spans="4:4" x14ac:dyDescent="0.25">
      <c r="D16771" s="9"/>
    </row>
    <row r="16772" spans="4:4" x14ac:dyDescent="0.25">
      <c r="D16772" s="9"/>
    </row>
    <row r="16773" spans="4:4" x14ac:dyDescent="0.25">
      <c r="D16773" s="9"/>
    </row>
    <row r="16774" spans="4:4" x14ac:dyDescent="0.25">
      <c r="D16774" s="9"/>
    </row>
    <row r="16775" spans="4:4" x14ac:dyDescent="0.25">
      <c r="D16775" s="9"/>
    </row>
    <row r="16776" spans="4:4" x14ac:dyDescent="0.25">
      <c r="D16776" s="9"/>
    </row>
    <row r="16777" spans="4:4" x14ac:dyDescent="0.25">
      <c r="D16777" s="9"/>
    </row>
    <row r="16778" spans="4:4" x14ac:dyDescent="0.25">
      <c r="D16778" s="9"/>
    </row>
    <row r="16779" spans="4:4" x14ac:dyDescent="0.25">
      <c r="D16779" s="9"/>
    </row>
    <row r="16780" spans="4:4" x14ac:dyDescent="0.25">
      <c r="D16780" s="9"/>
    </row>
    <row r="16781" spans="4:4" x14ac:dyDescent="0.25">
      <c r="D16781" s="9"/>
    </row>
    <row r="16782" spans="4:4" x14ac:dyDescent="0.25">
      <c r="D16782" s="9"/>
    </row>
    <row r="16783" spans="4:4" x14ac:dyDescent="0.25">
      <c r="D16783" s="9"/>
    </row>
    <row r="16784" spans="4:4" x14ac:dyDescent="0.25">
      <c r="D16784" s="9"/>
    </row>
    <row r="16785" spans="4:4" x14ac:dyDescent="0.25">
      <c r="D16785" s="9"/>
    </row>
    <row r="16786" spans="4:4" x14ac:dyDescent="0.25">
      <c r="D16786" s="9"/>
    </row>
    <row r="16787" spans="4:4" x14ac:dyDescent="0.25">
      <c r="D16787" s="9"/>
    </row>
    <row r="16788" spans="4:4" x14ac:dyDescent="0.25">
      <c r="D16788" s="9"/>
    </row>
    <row r="16789" spans="4:4" x14ac:dyDescent="0.25">
      <c r="D16789" s="9"/>
    </row>
    <row r="16790" spans="4:4" x14ac:dyDescent="0.25">
      <c r="D16790" s="9"/>
    </row>
    <row r="16791" spans="4:4" x14ac:dyDescent="0.25">
      <c r="D16791" s="9"/>
    </row>
    <row r="16792" spans="4:4" x14ac:dyDescent="0.25">
      <c r="D16792" s="9"/>
    </row>
    <row r="16793" spans="4:4" x14ac:dyDescent="0.25">
      <c r="D16793" s="9"/>
    </row>
    <row r="16794" spans="4:4" x14ac:dyDescent="0.25">
      <c r="D16794" s="9"/>
    </row>
    <row r="16795" spans="4:4" x14ac:dyDescent="0.25">
      <c r="D16795" s="9"/>
    </row>
    <row r="16796" spans="4:4" x14ac:dyDescent="0.25">
      <c r="D16796" s="9"/>
    </row>
    <row r="16797" spans="4:4" x14ac:dyDescent="0.25">
      <c r="D16797" s="9"/>
    </row>
    <row r="16798" spans="4:4" x14ac:dyDescent="0.25">
      <c r="D16798" s="9"/>
    </row>
    <row r="16799" spans="4:4" x14ac:dyDescent="0.25">
      <c r="D16799" s="9"/>
    </row>
    <row r="16800" spans="4:4" x14ac:dyDescent="0.25">
      <c r="D16800" s="9"/>
    </row>
    <row r="16801" spans="4:4" x14ac:dyDescent="0.25">
      <c r="D16801" s="9"/>
    </row>
    <row r="16802" spans="4:4" x14ac:dyDescent="0.25">
      <c r="D16802" s="9"/>
    </row>
    <row r="16803" spans="4:4" x14ac:dyDescent="0.25">
      <c r="D16803" s="9"/>
    </row>
    <row r="16804" spans="4:4" x14ac:dyDescent="0.25">
      <c r="D16804" s="9"/>
    </row>
    <row r="16805" spans="4:4" x14ac:dyDescent="0.25">
      <c r="D16805" s="9"/>
    </row>
    <row r="16806" spans="4:4" x14ac:dyDescent="0.25">
      <c r="D16806" s="9"/>
    </row>
    <row r="16807" spans="4:4" x14ac:dyDescent="0.25">
      <c r="D16807" s="9"/>
    </row>
    <row r="16808" spans="4:4" x14ac:dyDescent="0.25">
      <c r="D16808" s="9"/>
    </row>
    <row r="16809" spans="4:4" x14ac:dyDescent="0.25">
      <c r="D16809" s="9"/>
    </row>
    <row r="16810" spans="4:4" x14ac:dyDescent="0.25">
      <c r="D16810" s="9"/>
    </row>
    <row r="16811" spans="4:4" x14ac:dyDescent="0.25">
      <c r="D16811" s="9"/>
    </row>
    <row r="16812" spans="4:4" x14ac:dyDescent="0.25">
      <c r="D16812" s="9"/>
    </row>
    <row r="16813" spans="4:4" x14ac:dyDescent="0.25">
      <c r="D16813" s="9"/>
    </row>
    <row r="16814" spans="4:4" x14ac:dyDescent="0.25">
      <c r="D16814" s="9"/>
    </row>
    <row r="16815" spans="4:4" x14ac:dyDescent="0.25">
      <c r="D16815" s="9"/>
    </row>
    <row r="16816" spans="4:4" x14ac:dyDescent="0.25">
      <c r="D16816" s="9"/>
    </row>
    <row r="16817" spans="4:4" x14ac:dyDescent="0.25">
      <c r="D16817" s="9"/>
    </row>
    <row r="16818" spans="4:4" x14ac:dyDescent="0.25">
      <c r="D16818" s="9"/>
    </row>
    <row r="16819" spans="4:4" x14ac:dyDescent="0.25">
      <c r="D16819" s="9"/>
    </row>
    <row r="16820" spans="4:4" x14ac:dyDescent="0.25">
      <c r="D16820" s="9"/>
    </row>
    <row r="16821" spans="4:4" x14ac:dyDescent="0.25">
      <c r="D16821" s="9"/>
    </row>
    <row r="16822" spans="4:4" x14ac:dyDescent="0.25">
      <c r="D16822" s="9"/>
    </row>
    <row r="16823" spans="4:4" x14ac:dyDescent="0.25">
      <c r="D16823" s="9"/>
    </row>
    <row r="16824" spans="4:4" x14ac:dyDescent="0.25">
      <c r="D16824" s="9"/>
    </row>
    <row r="16825" spans="4:4" x14ac:dyDescent="0.25">
      <c r="D16825" s="9"/>
    </row>
    <row r="16826" spans="4:4" x14ac:dyDescent="0.25">
      <c r="D16826" s="9"/>
    </row>
    <row r="16827" spans="4:4" x14ac:dyDescent="0.25">
      <c r="D16827" s="9"/>
    </row>
    <row r="16828" spans="4:4" x14ac:dyDescent="0.25">
      <c r="D16828" s="9"/>
    </row>
    <row r="16829" spans="4:4" x14ac:dyDescent="0.25">
      <c r="D16829" s="9"/>
    </row>
    <row r="16830" spans="4:4" x14ac:dyDescent="0.25">
      <c r="D16830" s="9"/>
    </row>
    <row r="16831" spans="4:4" x14ac:dyDescent="0.25">
      <c r="D16831" s="9"/>
    </row>
    <row r="16832" spans="4:4" x14ac:dyDescent="0.25">
      <c r="D16832" s="9"/>
    </row>
    <row r="16833" spans="4:4" x14ac:dyDescent="0.25">
      <c r="D16833" s="9"/>
    </row>
    <row r="16834" spans="4:4" x14ac:dyDescent="0.25">
      <c r="D16834" s="9"/>
    </row>
    <row r="16835" spans="4:4" x14ac:dyDescent="0.25">
      <c r="D16835" s="9"/>
    </row>
    <row r="16836" spans="4:4" x14ac:dyDescent="0.25">
      <c r="D16836" s="9"/>
    </row>
    <row r="16837" spans="4:4" x14ac:dyDescent="0.25">
      <c r="D16837" s="9"/>
    </row>
    <row r="16838" spans="4:4" x14ac:dyDescent="0.25">
      <c r="D16838" s="9"/>
    </row>
    <row r="16839" spans="4:4" x14ac:dyDescent="0.25">
      <c r="D16839" s="9"/>
    </row>
    <row r="16840" spans="4:4" x14ac:dyDescent="0.25">
      <c r="D16840" s="9"/>
    </row>
    <row r="16841" spans="4:4" x14ac:dyDescent="0.25">
      <c r="D16841" s="9"/>
    </row>
    <row r="16842" spans="4:4" x14ac:dyDescent="0.25">
      <c r="D16842" s="9"/>
    </row>
    <row r="16843" spans="4:4" x14ac:dyDescent="0.25">
      <c r="D16843" s="9"/>
    </row>
    <row r="16844" spans="4:4" x14ac:dyDescent="0.25">
      <c r="D16844" s="9"/>
    </row>
    <row r="16845" spans="4:4" x14ac:dyDescent="0.25">
      <c r="D16845" s="9"/>
    </row>
    <row r="16846" spans="4:4" x14ac:dyDescent="0.25">
      <c r="D16846" s="9"/>
    </row>
    <row r="16847" spans="4:4" x14ac:dyDescent="0.25">
      <c r="D16847" s="9"/>
    </row>
    <row r="16848" spans="4:4" x14ac:dyDescent="0.25">
      <c r="D16848" s="9"/>
    </row>
    <row r="16849" spans="4:4" x14ac:dyDescent="0.25">
      <c r="D16849" s="9"/>
    </row>
    <row r="16850" spans="4:4" x14ac:dyDescent="0.25">
      <c r="D16850" s="9"/>
    </row>
    <row r="16851" spans="4:4" x14ac:dyDescent="0.25">
      <c r="D16851" s="9"/>
    </row>
    <row r="16852" spans="4:4" x14ac:dyDescent="0.25">
      <c r="D16852" s="9"/>
    </row>
    <row r="16853" spans="4:4" x14ac:dyDescent="0.25">
      <c r="D16853" s="9"/>
    </row>
    <row r="16854" spans="4:4" x14ac:dyDescent="0.25">
      <c r="D16854" s="9"/>
    </row>
    <row r="16855" spans="4:4" x14ac:dyDescent="0.25">
      <c r="D16855" s="9"/>
    </row>
    <row r="16856" spans="4:4" x14ac:dyDescent="0.25">
      <c r="D16856" s="9"/>
    </row>
    <row r="16857" spans="4:4" x14ac:dyDescent="0.25">
      <c r="D16857" s="9"/>
    </row>
    <row r="16858" spans="4:4" x14ac:dyDescent="0.25">
      <c r="D16858" s="9"/>
    </row>
    <row r="16859" spans="4:4" x14ac:dyDescent="0.25">
      <c r="D16859" s="9"/>
    </row>
    <row r="16860" spans="4:4" x14ac:dyDescent="0.25">
      <c r="D16860" s="9"/>
    </row>
    <row r="16861" spans="4:4" x14ac:dyDescent="0.25">
      <c r="D16861" s="9"/>
    </row>
    <row r="16862" spans="4:4" x14ac:dyDescent="0.25">
      <c r="D16862" s="9"/>
    </row>
    <row r="16863" spans="4:4" x14ac:dyDescent="0.25">
      <c r="D16863" s="9"/>
    </row>
    <row r="16864" spans="4:4" x14ac:dyDescent="0.25">
      <c r="D16864" s="9"/>
    </row>
    <row r="16865" spans="4:4" x14ac:dyDescent="0.25">
      <c r="D16865" s="9"/>
    </row>
    <row r="16866" spans="4:4" x14ac:dyDescent="0.25">
      <c r="D16866" s="9"/>
    </row>
    <row r="16867" spans="4:4" x14ac:dyDescent="0.25">
      <c r="D16867" s="9"/>
    </row>
    <row r="16868" spans="4:4" x14ac:dyDescent="0.25">
      <c r="D16868" s="9"/>
    </row>
    <row r="16869" spans="4:4" x14ac:dyDescent="0.25">
      <c r="D16869" s="9"/>
    </row>
    <row r="16870" spans="4:4" x14ac:dyDescent="0.25">
      <c r="D16870" s="9"/>
    </row>
    <row r="16871" spans="4:4" x14ac:dyDescent="0.25">
      <c r="D16871" s="9"/>
    </row>
    <row r="16872" spans="4:4" x14ac:dyDescent="0.25">
      <c r="D16872" s="9"/>
    </row>
    <row r="16873" spans="4:4" x14ac:dyDescent="0.25">
      <c r="D16873" s="9"/>
    </row>
    <row r="16874" spans="4:4" x14ac:dyDescent="0.25">
      <c r="D16874" s="9"/>
    </row>
    <row r="16875" spans="4:4" x14ac:dyDescent="0.25">
      <c r="D16875" s="9"/>
    </row>
    <row r="16876" spans="4:4" x14ac:dyDescent="0.25">
      <c r="D16876" s="9"/>
    </row>
    <row r="16877" spans="4:4" x14ac:dyDescent="0.25">
      <c r="D16877" s="9"/>
    </row>
    <row r="16878" spans="4:4" x14ac:dyDescent="0.25">
      <c r="D16878" s="9"/>
    </row>
    <row r="16879" spans="4:4" x14ac:dyDescent="0.25">
      <c r="D16879" s="9"/>
    </row>
    <row r="16880" spans="4:4" x14ac:dyDescent="0.25">
      <c r="D16880" s="9"/>
    </row>
    <row r="16881" spans="4:4" x14ac:dyDescent="0.25">
      <c r="D16881" s="9"/>
    </row>
    <row r="16882" spans="4:4" x14ac:dyDescent="0.25">
      <c r="D16882" s="9"/>
    </row>
    <row r="16883" spans="4:4" x14ac:dyDescent="0.25">
      <c r="D16883" s="9"/>
    </row>
    <row r="16884" spans="4:4" x14ac:dyDescent="0.25">
      <c r="D16884" s="9"/>
    </row>
    <row r="16885" spans="4:4" x14ac:dyDescent="0.25">
      <c r="D16885" s="9"/>
    </row>
    <row r="16886" spans="4:4" x14ac:dyDescent="0.25">
      <c r="D16886" s="9"/>
    </row>
    <row r="16887" spans="4:4" x14ac:dyDescent="0.25">
      <c r="D16887" s="9"/>
    </row>
    <row r="16888" spans="4:4" x14ac:dyDescent="0.25">
      <c r="D16888" s="9"/>
    </row>
    <row r="16889" spans="4:4" x14ac:dyDescent="0.25">
      <c r="D16889" s="9"/>
    </row>
    <row r="16890" spans="4:4" x14ac:dyDescent="0.25">
      <c r="D16890" s="9"/>
    </row>
    <row r="16891" spans="4:4" x14ac:dyDescent="0.25">
      <c r="D16891" s="9"/>
    </row>
    <row r="16892" spans="4:4" x14ac:dyDescent="0.25">
      <c r="D16892" s="9"/>
    </row>
    <row r="16893" spans="4:4" x14ac:dyDescent="0.25">
      <c r="D16893" s="9"/>
    </row>
    <row r="16894" spans="4:4" x14ac:dyDescent="0.25">
      <c r="D16894" s="9"/>
    </row>
    <row r="16895" spans="4:4" x14ac:dyDescent="0.25">
      <c r="D16895" s="9"/>
    </row>
    <row r="16896" spans="4:4" x14ac:dyDescent="0.25">
      <c r="D16896" s="9"/>
    </row>
    <row r="16897" spans="4:4" x14ac:dyDescent="0.25">
      <c r="D16897" s="9"/>
    </row>
    <row r="16898" spans="4:4" x14ac:dyDescent="0.25">
      <c r="D16898" s="9"/>
    </row>
    <row r="16899" spans="4:4" x14ac:dyDescent="0.25">
      <c r="D16899" s="9"/>
    </row>
    <row r="16900" spans="4:4" x14ac:dyDescent="0.25">
      <c r="D16900" s="9"/>
    </row>
    <row r="16901" spans="4:4" x14ac:dyDescent="0.25">
      <c r="D16901" s="9"/>
    </row>
    <row r="16902" spans="4:4" x14ac:dyDescent="0.25">
      <c r="D16902" s="9"/>
    </row>
    <row r="16903" spans="4:4" x14ac:dyDescent="0.25">
      <c r="D16903" s="9"/>
    </row>
    <row r="16904" spans="4:4" x14ac:dyDescent="0.25">
      <c r="D16904" s="9"/>
    </row>
    <row r="16905" spans="4:4" x14ac:dyDescent="0.25">
      <c r="D16905" s="9"/>
    </row>
    <row r="16906" spans="4:4" x14ac:dyDescent="0.25">
      <c r="D16906" s="9"/>
    </row>
    <row r="16907" spans="4:4" x14ac:dyDescent="0.25">
      <c r="D16907" s="9"/>
    </row>
    <row r="16908" spans="4:4" x14ac:dyDescent="0.25">
      <c r="D16908" s="9"/>
    </row>
    <row r="16909" spans="4:4" x14ac:dyDescent="0.25">
      <c r="D16909" s="9"/>
    </row>
    <row r="16910" spans="4:4" x14ac:dyDescent="0.25">
      <c r="D16910" s="9"/>
    </row>
    <row r="16911" spans="4:4" x14ac:dyDescent="0.25">
      <c r="D16911" s="9"/>
    </row>
    <row r="16912" spans="4:4" x14ac:dyDescent="0.25">
      <c r="D16912" s="9"/>
    </row>
    <row r="16913" spans="4:4" x14ac:dyDescent="0.25">
      <c r="D16913" s="9"/>
    </row>
    <row r="16914" spans="4:4" x14ac:dyDescent="0.25">
      <c r="D16914" s="9"/>
    </row>
    <row r="16915" spans="4:4" x14ac:dyDescent="0.25">
      <c r="D16915" s="9"/>
    </row>
    <row r="16916" spans="4:4" x14ac:dyDescent="0.25">
      <c r="D16916" s="9"/>
    </row>
    <row r="16917" spans="4:4" x14ac:dyDescent="0.25">
      <c r="D16917" s="9"/>
    </row>
    <row r="16918" spans="4:4" x14ac:dyDescent="0.25">
      <c r="D16918" s="9"/>
    </row>
    <row r="16919" spans="4:4" x14ac:dyDescent="0.25">
      <c r="D16919" s="9"/>
    </row>
    <row r="16920" spans="4:4" x14ac:dyDescent="0.25">
      <c r="D16920" s="9"/>
    </row>
    <row r="16921" spans="4:4" x14ac:dyDescent="0.25">
      <c r="D16921" s="9"/>
    </row>
    <row r="16922" spans="4:4" x14ac:dyDescent="0.25">
      <c r="D16922" s="9"/>
    </row>
    <row r="16923" spans="4:4" x14ac:dyDescent="0.25">
      <c r="D16923" s="9"/>
    </row>
    <row r="16924" spans="4:4" x14ac:dyDescent="0.25">
      <c r="D16924" s="9"/>
    </row>
    <row r="16925" spans="4:4" x14ac:dyDescent="0.25">
      <c r="D16925" s="9"/>
    </row>
    <row r="16926" spans="4:4" x14ac:dyDescent="0.25">
      <c r="D16926" s="9"/>
    </row>
    <row r="16927" spans="4:4" x14ac:dyDescent="0.25">
      <c r="D16927" s="9"/>
    </row>
    <row r="16928" spans="4:4" x14ac:dyDescent="0.25">
      <c r="D16928" s="9"/>
    </row>
    <row r="16929" spans="4:4" x14ac:dyDescent="0.25">
      <c r="D16929" s="9"/>
    </row>
    <row r="16930" spans="4:4" x14ac:dyDescent="0.25">
      <c r="D16930" s="9"/>
    </row>
    <row r="16931" spans="4:4" x14ac:dyDescent="0.25">
      <c r="D16931" s="9"/>
    </row>
    <row r="16932" spans="4:4" x14ac:dyDescent="0.25">
      <c r="D16932" s="9"/>
    </row>
    <row r="16933" spans="4:4" x14ac:dyDescent="0.25">
      <c r="D16933" s="9"/>
    </row>
    <row r="16934" spans="4:4" x14ac:dyDescent="0.25">
      <c r="D16934" s="9"/>
    </row>
    <row r="16935" spans="4:4" x14ac:dyDescent="0.25">
      <c r="D16935" s="9"/>
    </row>
    <row r="16936" spans="4:4" x14ac:dyDescent="0.25">
      <c r="D16936" s="9"/>
    </row>
    <row r="16937" spans="4:4" x14ac:dyDescent="0.25">
      <c r="D16937" s="9"/>
    </row>
    <row r="16938" spans="4:4" x14ac:dyDescent="0.25">
      <c r="D16938" s="9"/>
    </row>
    <row r="16939" spans="4:4" x14ac:dyDescent="0.25">
      <c r="D16939" s="9"/>
    </row>
    <row r="16940" spans="4:4" x14ac:dyDescent="0.25">
      <c r="D16940" s="9"/>
    </row>
    <row r="16941" spans="4:4" x14ac:dyDescent="0.25">
      <c r="D16941" s="9"/>
    </row>
    <row r="16942" spans="4:4" x14ac:dyDescent="0.25">
      <c r="D16942" s="9"/>
    </row>
    <row r="16943" spans="4:4" x14ac:dyDescent="0.25">
      <c r="D16943" s="9"/>
    </row>
    <row r="16944" spans="4:4" x14ac:dyDescent="0.25">
      <c r="D16944" s="9"/>
    </row>
    <row r="16945" spans="4:4" x14ac:dyDescent="0.25">
      <c r="D16945" s="9"/>
    </row>
    <row r="16946" spans="4:4" x14ac:dyDescent="0.25">
      <c r="D16946" s="9"/>
    </row>
    <row r="16947" spans="4:4" x14ac:dyDescent="0.25">
      <c r="D16947" s="9"/>
    </row>
    <row r="16948" spans="4:4" x14ac:dyDescent="0.25">
      <c r="D16948" s="9"/>
    </row>
    <row r="16949" spans="4:4" x14ac:dyDescent="0.25">
      <c r="D16949" s="9"/>
    </row>
    <row r="16950" spans="4:4" x14ac:dyDescent="0.25">
      <c r="D16950" s="9"/>
    </row>
    <row r="16951" spans="4:4" x14ac:dyDescent="0.25">
      <c r="D16951" s="9"/>
    </row>
    <row r="16952" spans="4:4" x14ac:dyDescent="0.25">
      <c r="D16952" s="9"/>
    </row>
    <row r="16953" spans="4:4" x14ac:dyDescent="0.25">
      <c r="D16953" s="9"/>
    </row>
    <row r="16954" spans="4:4" x14ac:dyDescent="0.25">
      <c r="D16954" s="9"/>
    </row>
    <row r="16955" spans="4:4" x14ac:dyDescent="0.25">
      <c r="D16955" s="9"/>
    </row>
    <row r="16956" spans="4:4" x14ac:dyDescent="0.25">
      <c r="D16956" s="9"/>
    </row>
    <row r="16957" spans="4:4" x14ac:dyDescent="0.25">
      <c r="D16957" s="9"/>
    </row>
    <row r="16958" spans="4:4" x14ac:dyDescent="0.25">
      <c r="D16958" s="9"/>
    </row>
    <row r="16959" spans="4:4" x14ac:dyDescent="0.25">
      <c r="D16959" s="9"/>
    </row>
    <row r="16960" spans="4:4" x14ac:dyDescent="0.25">
      <c r="D16960" s="9"/>
    </row>
    <row r="16961" spans="4:4" x14ac:dyDescent="0.25">
      <c r="D16961" s="9"/>
    </row>
    <row r="16962" spans="4:4" x14ac:dyDescent="0.25">
      <c r="D16962" s="9"/>
    </row>
    <row r="16963" spans="4:4" x14ac:dyDescent="0.25">
      <c r="D16963" s="9"/>
    </row>
    <row r="16964" spans="4:4" x14ac:dyDescent="0.25">
      <c r="D16964" s="9"/>
    </row>
    <row r="16965" spans="4:4" x14ac:dyDescent="0.25">
      <c r="D16965" s="9"/>
    </row>
    <row r="16966" spans="4:4" x14ac:dyDescent="0.25">
      <c r="D16966" s="9"/>
    </row>
    <row r="16967" spans="4:4" x14ac:dyDescent="0.25">
      <c r="D16967" s="9"/>
    </row>
    <row r="16968" spans="4:4" x14ac:dyDescent="0.25">
      <c r="D16968" s="9"/>
    </row>
    <row r="16969" spans="4:4" x14ac:dyDescent="0.25">
      <c r="D16969" s="9"/>
    </row>
    <row r="16970" spans="4:4" x14ac:dyDescent="0.25">
      <c r="D16970" s="9"/>
    </row>
    <row r="16971" spans="4:4" x14ac:dyDescent="0.25">
      <c r="D16971" s="9"/>
    </row>
    <row r="16972" spans="4:4" x14ac:dyDescent="0.25">
      <c r="D16972" s="9"/>
    </row>
    <row r="16973" spans="4:4" x14ac:dyDescent="0.25">
      <c r="D16973" s="9"/>
    </row>
    <row r="16974" spans="4:4" x14ac:dyDescent="0.25">
      <c r="D16974" s="9"/>
    </row>
    <row r="16975" spans="4:4" x14ac:dyDescent="0.25">
      <c r="D16975" s="9"/>
    </row>
    <row r="16976" spans="4:4" x14ac:dyDescent="0.25">
      <c r="D16976" s="9"/>
    </row>
    <row r="16977" spans="4:4" x14ac:dyDescent="0.25">
      <c r="D16977" s="9"/>
    </row>
    <row r="16978" spans="4:4" x14ac:dyDescent="0.25">
      <c r="D16978" s="9"/>
    </row>
    <row r="16979" spans="4:4" x14ac:dyDescent="0.25">
      <c r="D16979" s="9"/>
    </row>
    <row r="16980" spans="4:4" x14ac:dyDescent="0.25">
      <c r="D16980" s="9"/>
    </row>
    <row r="16981" spans="4:4" x14ac:dyDescent="0.25">
      <c r="D16981" s="9"/>
    </row>
    <row r="16982" spans="4:4" x14ac:dyDescent="0.25">
      <c r="D16982" s="9"/>
    </row>
    <row r="16983" spans="4:4" x14ac:dyDescent="0.25">
      <c r="D16983" s="9"/>
    </row>
    <row r="16984" spans="4:4" x14ac:dyDescent="0.25">
      <c r="D16984" s="9"/>
    </row>
    <row r="16985" spans="4:4" x14ac:dyDescent="0.25">
      <c r="D16985" s="9"/>
    </row>
    <row r="16986" spans="4:4" x14ac:dyDescent="0.25">
      <c r="D16986" s="9"/>
    </row>
    <row r="16987" spans="4:4" x14ac:dyDescent="0.25">
      <c r="D16987" s="9"/>
    </row>
    <row r="16988" spans="4:4" x14ac:dyDescent="0.25">
      <c r="D16988" s="9"/>
    </row>
    <row r="16989" spans="4:4" x14ac:dyDescent="0.25">
      <c r="D16989" s="9"/>
    </row>
    <row r="16990" spans="4:4" x14ac:dyDescent="0.25">
      <c r="D16990" s="9"/>
    </row>
    <row r="16991" spans="4:4" x14ac:dyDescent="0.25">
      <c r="D16991" s="9"/>
    </row>
    <row r="16992" spans="4:4" x14ac:dyDescent="0.25">
      <c r="D16992" s="9"/>
    </row>
    <row r="16993" spans="4:4" x14ac:dyDescent="0.25">
      <c r="D16993" s="9"/>
    </row>
    <row r="16994" spans="4:4" x14ac:dyDescent="0.25">
      <c r="D16994" s="9"/>
    </row>
    <row r="16995" spans="4:4" x14ac:dyDescent="0.25">
      <c r="D16995" s="9"/>
    </row>
    <row r="16996" spans="4:4" x14ac:dyDescent="0.25">
      <c r="D16996" s="9"/>
    </row>
    <row r="16997" spans="4:4" x14ac:dyDescent="0.25">
      <c r="D16997" s="9"/>
    </row>
    <row r="16998" spans="4:4" x14ac:dyDescent="0.25">
      <c r="D16998" s="9"/>
    </row>
    <row r="16999" spans="4:4" x14ac:dyDescent="0.25">
      <c r="D16999" s="9"/>
    </row>
    <row r="17000" spans="4:4" x14ac:dyDescent="0.25">
      <c r="D17000" s="9"/>
    </row>
    <row r="17001" spans="4:4" x14ac:dyDescent="0.25">
      <c r="D17001" s="9"/>
    </row>
    <row r="17002" spans="4:4" x14ac:dyDescent="0.25">
      <c r="D17002" s="9"/>
    </row>
    <row r="17003" spans="4:4" x14ac:dyDescent="0.25">
      <c r="D17003" s="9"/>
    </row>
    <row r="17004" spans="4:4" x14ac:dyDescent="0.25">
      <c r="D17004" s="9"/>
    </row>
    <row r="17005" spans="4:4" x14ac:dyDescent="0.25">
      <c r="D17005" s="9"/>
    </row>
    <row r="17006" spans="4:4" x14ac:dyDescent="0.25">
      <c r="D17006" s="9"/>
    </row>
    <row r="17007" spans="4:4" x14ac:dyDescent="0.25">
      <c r="D17007" s="9"/>
    </row>
    <row r="17008" spans="4:4" x14ac:dyDescent="0.25">
      <c r="D17008" s="9"/>
    </row>
    <row r="17009" spans="4:4" x14ac:dyDescent="0.25">
      <c r="D17009" s="9"/>
    </row>
    <row r="17010" spans="4:4" x14ac:dyDescent="0.25">
      <c r="D17010" s="9"/>
    </row>
    <row r="17011" spans="4:4" x14ac:dyDescent="0.25">
      <c r="D17011" s="9"/>
    </row>
    <row r="17012" spans="4:4" x14ac:dyDescent="0.25">
      <c r="D17012" s="9"/>
    </row>
    <row r="17013" spans="4:4" x14ac:dyDescent="0.25">
      <c r="D17013" s="9"/>
    </row>
    <row r="17014" spans="4:4" x14ac:dyDescent="0.25">
      <c r="D17014" s="9"/>
    </row>
    <row r="17015" spans="4:4" x14ac:dyDescent="0.25">
      <c r="D17015" s="9"/>
    </row>
    <row r="17016" spans="4:4" x14ac:dyDescent="0.25">
      <c r="D17016" s="9"/>
    </row>
    <row r="17017" spans="4:4" x14ac:dyDescent="0.25">
      <c r="D17017" s="9"/>
    </row>
    <row r="17018" spans="4:4" x14ac:dyDescent="0.25">
      <c r="D17018" s="9"/>
    </row>
    <row r="17019" spans="4:4" x14ac:dyDescent="0.25">
      <c r="D17019" s="9"/>
    </row>
    <row r="17020" spans="4:4" x14ac:dyDescent="0.25">
      <c r="D17020" s="9"/>
    </row>
    <row r="17021" spans="4:4" x14ac:dyDescent="0.25">
      <c r="D17021" s="9"/>
    </row>
    <row r="17022" spans="4:4" x14ac:dyDescent="0.25">
      <c r="D17022" s="9"/>
    </row>
    <row r="17023" spans="4:4" x14ac:dyDescent="0.25">
      <c r="D17023" s="9"/>
    </row>
    <row r="17024" spans="4:4" x14ac:dyDescent="0.25">
      <c r="D17024" s="9"/>
    </row>
    <row r="17025" spans="4:4" x14ac:dyDescent="0.25">
      <c r="D17025" s="9"/>
    </row>
    <row r="17026" spans="4:4" x14ac:dyDescent="0.25">
      <c r="D17026" s="9"/>
    </row>
    <row r="17027" spans="4:4" x14ac:dyDescent="0.25">
      <c r="D17027" s="9"/>
    </row>
    <row r="17028" spans="4:4" x14ac:dyDescent="0.25">
      <c r="D17028" s="9"/>
    </row>
    <row r="17029" spans="4:4" x14ac:dyDescent="0.25">
      <c r="D17029" s="9"/>
    </row>
    <row r="17030" spans="4:4" x14ac:dyDescent="0.25">
      <c r="D17030" s="9"/>
    </row>
    <row r="17031" spans="4:4" x14ac:dyDescent="0.25">
      <c r="D17031" s="9"/>
    </row>
    <row r="17032" spans="4:4" x14ac:dyDescent="0.25">
      <c r="D17032" s="9"/>
    </row>
    <row r="17033" spans="4:4" x14ac:dyDescent="0.25">
      <c r="D17033" s="9"/>
    </row>
    <row r="17034" spans="4:4" x14ac:dyDescent="0.25">
      <c r="D17034" s="9"/>
    </row>
    <row r="17035" spans="4:4" x14ac:dyDescent="0.25">
      <c r="D17035" s="9"/>
    </row>
    <row r="17036" spans="4:4" x14ac:dyDescent="0.25">
      <c r="D17036" s="9"/>
    </row>
    <row r="17037" spans="4:4" x14ac:dyDescent="0.25">
      <c r="D17037" s="9"/>
    </row>
    <row r="17038" spans="4:4" x14ac:dyDescent="0.25">
      <c r="D17038" s="9"/>
    </row>
    <row r="17039" spans="4:4" x14ac:dyDescent="0.25">
      <c r="D17039" s="9"/>
    </row>
    <row r="17040" spans="4:4" x14ac:dyDescent="0.25">
      <c r="D17040" s="9"/>
    </row>
    <row r="17041" spans="4:4" x14ac:dyDescent="0.25">
      <c r="D17041" s="9"/>
    </row>
    <row r="17042" spans="4:4" x14ac:dyDescent="0.25">
      <c r="D17042" s="9"/>
    </row>
    <row r="17043" spans="4:4" x14ac:dyDescent="0.25">
      <c r="D17043" s="9"/>
    </row>
    <row r="17044" spans="4:4" x14ac:dyDescent="0.25">
      <c r="D17044" s="9"/>
    </row>
    <row r="17045" spans="4:4" x14ac:dyDescent="0.25">
      <c r="D17045" s="9"/>
    </row>
    <row r="17046" spans="4:4" x14ac:dyDescent="0.25">
      <c r="D17046" s="9"/>
    </row>
    <row r="17047" spans="4:4" x14ac:dyDescent="0.25">
      <c r="D17047" s="9"/>
    </row>
    <row r="17048" spans="4:4" x14ac:dyDescent="0.25">
      <c r="D17048" s="9"/>
    </row>
    <row r="17049" spans="4:4" x14ac:dyDescent="0.25">
      <c r="D17049" s="9"/>
    </row>
    <row r="17050" spans="4:4" x14ac:dyDescent="0.25">
      <c r="D17050" s="9"/>
    </row>
    <row r="17051" spans="4:4" x14ac:dyDescent="0.25">
      <c r="D17051" s="9"/>
    </row>
    <row r="17052" spans="4:4" x14ac:dyDescent="0.25">
      <c r="D17052" s="9"/>
    </row>
    <row r="17053" spans="4:4" x14ac:dyDescent="0.25">
      <c r="D17053" s="9"/>
    </row>
    <row r="17054" spans="4:4" x14ac:dyDescent="0.25">
      <c r="D17054" s="9"/>
    </row>
    <row r="17055" spans="4:4" x14ac:dyDescent="0.25">
      <c r="D17055" s="9"/>
    </row>
    <row r="17056" spans="4:4" x14ac:dyDescent="0.25">
      <c r="D17056" s="9"/>
    </row>
    <row r="17057" spans="4:4" x14ac:dyDescent="0.25">
      <c r="D17057" s="9"/>
    </row>
    <row r="17058" spans="4:4" x14ac:dyDescent="0.25">
      <c r="D17058" s="9"/>
    </row>
    <row r="17059" spans="4:4" x14ac:dyDescent="0.25">
      <c r="D17059" s="9"/>
    </row>
    <row r="17060" spans="4:4" x14ac:dyDescent="0.25">
      <c r="D17060" s="9"/>
    </row>
    <row r="17061" spans="4:4" x14ac:dyDescent="0.25">
      <c r="D17061" s="9"/>
    </row>
    <row r="17062" spans="4:4" x14ac:dyDescent="0.25">
      <c r="D17062" s="9"/>
    </row>
    <row r="17063" spans="4:4" x14ac:dyDescent="0.25">
      <c r="D17063" s="9"/>
    </row>
    <row r="17064" spans="4:4" x14ac:dyDescent="0.25">
      <c r="D17064" s="9"/>
    </row>
    <row r="17065" spans="4:4" x14ac:dyDescent="0.25">
      <c r="D17065" s="9"/>
    </row>
    <row r="17066" spans="4:4" x14ac:dyDescent="0.25">
      <c r="D17066" s="9"/>
    </row>
    <row r="17067" spans="4:4" x14ac:dyDescent="0.25">
      <c r="D17067" s="9"/>
    </row>
    <row r="17068" spans="4:4" x14ac:dyDescent="0.25">
      <c r="D17068" s="9"/>
    </row>
    <row r="17069" spans="4:4" x14ac:dyDescent="0.25">
      <c r="D17069" s="9"/>
    </row>
    <row r="17070" spans="4:4" x14ac:dyDescent="0.25">
      <c r="D17070" s="9"/>
    </row>
    <row r="17071" spans="4:4" x14ac:dyDescent="0.25">
      <c r="D17071" s="9"/>
    </row>
    <row r="17072" spans="4:4" x14ac:dyDescent="0.25">
      <c r="D17072" s="9"/>
    </row>
    <row r="17073" spans="4:4" x14ac:dyDescent="0.25">
      <c r="D17073" s="9"/>
    </row>
    <row r="17074" spans="4:4" x14ac:dyDescent="0.25">
      <c r="D17074" s="9"/>
    </row>
    <row r="17075" spans="4:4" x14ac:dyDescent="0.25">
      <c r="D17075" s="9"/>
    </row>
    <row r="17076" spans="4:4" x14ac:dyDescent="0.25">
      <c r="D17076" s="9"/>
    </row>
    <row r="17077" spans="4:4" x14ac:dyDescent="0.25">
      <c r="D17077" s="9"/>
    </row>
    <row r="17078" spans="4:4" x14ac:dyDescent="0.25">
      <c r="D17078" s="9"/>
    </row>
    <row r="17079" spans="4:4" x14ac:dyDescent="0.25">
      <c r="D17079" s="9"/>
    </row>
    <row r="17080" spans="4:4" x14ac:dyDescent="0.25">
      <c r="D17080" s="9"/>
    </row>
    <row r="17081" spans="4:4" x14ac:dyDescent="0.25">
      <c r="D17081" s="9"/>
    </row>
    <row r="17082" spans="4:4" x14ac:dyDescent="0.25">
      <c r="D17082" s="9"/>
    </row>
    <row r="17083" spans="4:4" x14ac:dyDescent="0.25">
      <c r="D17083" s="9"/>
    </row>
    <row r="17084" spans="4:4" x14ac:dyDescent="0.25">
      <c r="D17084" s="9"/>
    </row>
    <row r="17085" spans="4:4" x14ac:dyDescent="0.25">
      <c r="D17085" s="9"/>
    </row>
    <row r="17086" spans="4:4" x14ac:dyDescent="0.25">
      <c r="D17086" s="9"/>
    </row>
    <row r="17087" spans="4:4" x14ac:dyDescent="0.25">
      <c r="D17087" s="9"/>
    </row>
    <row r="17088" spans="4:4" x14ac:dyDescent="0.25">
      <c r="D17088" s="9"/>
    </row>
    <row r="17089" spans="4:4" x14ac:dyDescent="0.25">
      <c r="D17089" s="9"/>
    </row>
    <row r="17090" spans="4:4" x14ac:dyDescent="0.25">
      <c r="D17090" s="9"/>
    </row>
    <row r="17091" spans="4:4" x14ac:dyDescent="0.25">
      <c r="D17091" s="9"/>
    </row>
    <row r="17092" spans="4:4" x14ac:dyDescent="0.25">
      <c r="D17092" s="9"/>
    </row>
    <row r="17093" spans="4:4" x14ac:dyDescent="0.25">
      <c r="D17093" s="9"/>
    </row>
    <row r="17094" spans="4:4" x14ac:dyDescent="0.25">
      <c r="D17094" s="9"/>
    </row>
    <row r="17095" spans="4:4" x14ac:dyDescent="0.25">
      <c r="D17095" s="9"/>
    </row>
    <row r="17096" spans="4:4" x14ac:dyDescent="0.25">
      <c r="D17096" s="9"/>
    </row>
    <row r="17097" spans="4:4" x14ac:dyDescent="0.25">
      <c r="D17097" s="9"/>
    </row>
    <row r="17098" spans="4:4" x14ac:dyDescent="0.25">
      <c r="D17098" s="9"/>
    </row>
    <row r="17099" spans="4:4" x14ac:dyDescent="0.25">
      <c r="D17099" s="9"/>
    </row>
    <row r="17100" spans="4:4" x14ac:dyDescent="0.25">
      <c r="D17100" s="9"/>
    </row>
    <row r="17101" spans="4:4" x14ac:dyDescent="0.25">
      <c r="D17101" s="9"/>
    </row>
    <row r="17102" spans="4:4" x14ac:dyDescent="0.25">
      <c r="D17102" s="9"/>
    </row>
    <row r="17103" spans="4:4" x14ac:dyDescent="0.25">
      <c r="D17103" s="9"/>
    </row>
    <row r="17104" spans="4:4" x14ac:dyDescent="0.25">
      <c r="D17104" s="9"/>
    </row>
    <row r="17105" spans="4:4" x14ac:dyDescent="0.25">
      <c r="D17105" s="9"/>
    </row>
    <row r="17106" spans="4:4" x14ac:dyDescent="0.25">
      <c r="D17106" s="9"/>
    </row>
    <row r="17107" spans="4:4" x14ac:dyDescent="0.25">
      <c r="D17107" s="9"/>
    </row>
    <row r="17108" spans="4:4" x14ac:dyDescent="0.25">
      <c r="D17108" s="9"/>
    </row>
    <row r="17109" spans="4:4" x14ac:dyDescent="0.25">
      <c r="D17109" s="9"/>
    </row>
    <row r="17110" spans="4:4" x14ac:dyDescent="0.25">
      <c r="D17110" s="9"/>
    </row>
    <row r="17111" spans="4:4" x14ac:dyDescent="0.25">
      <c r="D17111" s="9"/>
    </row>
    <row r="17112" spans="4:4" x14ac:dyDescent="0.25">
      <c r="D17112" s="9"/>
    </row>
    <row r="17113" spans="4:4" x14ac:dyDescent="0.25">
      <c r="D17113" s="9"/>
    </row>
    <row r="17114" spans="4:4" x14ac:dyDescent="0.25">
      <c r="D17114" s="9"/>
    </row>
    <row r="17115" spans="4:4" x14ac:dyDescent="0.25">
      <c r="D17115" s="9"/>
    </row>
    <row r="17116" spans="4:4" x14ac:dyDescent="0.25">
      <c r="D17116" s="9"/>
    </row>
    <row r="17117" spans="4:4" x14ac:dyDescent="0.25">
      <c r="D17117" s="9"/>
    </row>
    <row r="17118" spans="4:4" x14ac:dyDescent="0.25">
      <c r="D17118" s="9"/>
    </row>
    <row r="17119" spans="4:4" x14ac:dyDescent="0.25">
      <c r="D17119" s="9"/>
    </row>
    <row r="17120" spans="4:4" x14ac:dyDescent="0.25">
      <c r="D17120" s="9"/>
    </row>
    <row r="17121" spans="4:4" x14ac:dyDescent="0.25">
      <c r="D17121" s="9"/>
    </row>
    <row r="17122" spans="4:4" x14ac:dyDescent="0.25">
      <c r="D17122" s="9"/>
    </row>
    <row r="17123" spans="4:4" x14ac:dyDescent="0.25">
      <c r="D17123" s="9"/>
    </row>
    <row r="17124" spans="4:4" x14ac:dyDescent="0.25">
      <c r="D17124" s="9"/>
    </row>
    <row r="17125" spans="4:4" x14ac:dyDescent="0.25">
      <c r="D17125" s="9"/>
    </row>
    <row r="17126" spans="4:4" x14ac:dyDescent="0.25">
      <c r="D17126" s="9"/>
    </row>
    <row r="17127" spans="4:4" x14ac:dyDescent="0.25">
      <c r="D17127" s="9"/>
    </row>
    <row r="17128" spans="4:4" x14ac:dyDescent="0.25">
      <c r="D17128" s="9"/>
    </row>
    <row r="17129" spans="4:4" x14ac:dyDescent="0.25">
      <c r="D17129" s="9"/>
    </row>
    <row r="17130" spans="4:4" x14ac:dyDescent="0.25">
      <c r="D17130" s="9"/>
    </row>
    <row r="17131" spans="4:4" x14ac:dyDescent="0.25">
      <c r="D17131" s="9"/>
    </row>
    <row r="17132" spans="4:4" x14ac:dyDescent="0.25">
      <c r="D17132" s="9"/>
    </row>
    <row r="17133" spans="4:4" x14ac:dyDescent="0.25">
      <c r="D17133" s="9"/>
    </row>
    <row r="17134" spans="4:4" x14ac:dyDescent="0.25">
      <c r="D17134" s="9"/>
    </row>
    <row r="17135" spans="4:4" x14ac:dyDescent="0.25">
      <c r="D17135" s="9"/>
    </row>
  </sheetData>
  <sortState ref="A3:E13199">
    <sortCondition ref="A3:A17135"/>
    <sortCondition descending="1" ref="D3:D1713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kro1">
                <anchor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600075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N2"/>
  <sheetViews>
    <sheetView workbookViewId="0"/>
  </sheetViews>
  <sheetFormatPr defaultRowHeight="15" x14ac:dyDescent="0.25"/>
  <sheetData>
    <row r="2" spans="14:14" x14ac:dyDescent="0.25">
      <c r="N2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ORDER</vt:lpstr>
      <vt:lpstr>Towary_poniżej_stanu_minimalneg</vt:lpstr>
      <vt:lpstr>Towary_na_zamówieniach</vt:lpstr>
      <vt:lpstr>MBI_Dostawcy_towarów</vt:lpstr>
      <vt:lpstr>Towary_i_uslugi</vt:lpstr>
      <vt:lpstr>MBI_LastBuy</vt:lpstr>
      <vt:lpstr>ItemToXLS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MBI</dc:creator>
  <cp:lastModifiedBy>MBI</cp:lastModifiedBy>
  <dcterms:created xsi:type="dcterms:W3CDTF">2019-03-13T07:50:00Z</dcterms:created>
  <dcterms:modified xsi:type="dcterms:W3CDTF">2020-12-08T10:45:30Z</dcterms:modified>
</cp:coreProperties>
</file>